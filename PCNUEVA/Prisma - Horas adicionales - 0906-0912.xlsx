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2"/>
    <sheet name="Horas Adicionales" sheetId="2" state="visible" r:id="rId3"/>
  </sheets>
  <definedNames>
    <definedName function="false" hidden="true" localSheetId="1" name="_xlnm._FilterDatabase" vbProcedure="false">'Horas Adicionales'!$B$2:$M$133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<sst xmlns="http://schemas.openxmlformats.org/spreadsheetml/2006/main" count="663" uniqueCount="58">
  <si>
    <t xml:space="preserve">0906 - 0912</t>
  </si>
  <si>
    <t xml:space="preserve">Adicionales</t>
  </si>
  <si>
    <t xml:space="preserve">Prisma</t>
  </si>
  <si>
    <t xml:space="preserve">Día</t>
  </si>
  <si>
    <t xml:space="preserve">#</t>
  </si>
  <si>
    <t xml:space="preserve">Total </t>
  </si>
  <si>
    <t xml:space="preserve">Number</t>
  </si>
  <si>
    <t xml:space="preserve">LOB</t>
  </si>
  <si>
    <t xml:space="preserve">ACM</t>
  </si>
  <si>
    <t xml:space="preserve">Supervisor</t>
  </si>
  <si>
    <t xml:space="preserve">Last Name</t>
  </si>
  <si>
    <t xml:space="preserve">Frist Name</t>
  </si>
  <si>
    <t xml:space="preserve">Payroll Number</t>
  </si>
  <si>
    <t xml:space="preserve">CCMS</t>
  </si>
  <si>
    <t xml:space="preserve">Fecha</t>
  </si>
  <si>
    <t xml:space="preserve">Schedule Actual</t>
  </si>
  <si>
    <t xml:space="preserve">Schedule Recomendado</t>
  </si>
  <si>
    <t xml:space="preserve">Feedback</t>
  </si>
  <si>
    <t xml:space="preserve">Campero Juarez Maria Guadalupe</t>
  </si>
  <si>
    <t xml:space="preserve">Podazza Villagra Daniel Matias</t>
  </si>
  <si>
    <t xml:space="preserve">Monteros</t>
  </si>
  <si>
    <t xml:space="preserve">Maximiliano Leopoldo</t>
  </si>
  <si>
    <t xml:space="preserve">Fuera de Shift</t>
  </si>
  <si>
    <t xml:space="preserve">11:00 - 12:00</t>
  </si>
  <si>
    <t xml:space="preserve">12:00 - 13:00</t>
  </si>
  <si>
    <t xml:space="preserve">Ciccarelli</t>
  </si>
  <si>
    <t xml:space="preserve">Marycel Rocio</t>
  </si>
  <si>
    <t xml:space="preserve">Nieva del Rio</t>
  </si>
  <si>
    <t xml:space="preserve">Micaela Anabel</t>
  </si>
  <si>
    <t xml:space="preserve">13:00 - 14:00</t>
  </si>
  <si>
    <t xml:space="preserve">18:00 - 19:00</t>
  </si>
  <si>
    <t xml:space="preserve">Perez Zitzke Agustina</t>
  </si>
  <si>
    <t xml:space="preserve">Palomino Juan Pablo</t>
  </si>
  <si>
    <t xml:space="preserve">Martinez Lorenzo</t>
  </si>
  <si>
    <t xml:space="preserve">Nayla Ayelen</t>
  </si>
  <si>
    <t xml:space="preserve">19:00 - 20:00</t>
  </si>
  <si>
    <t xml:space="preserve">Mendoza Norma Mercedes</t>
  </si>
  <si>
    <t xml:space="preserve">Lobo</t>
  </si>
  <si>
    <t xml:space="preserve">Miguel</t>
  </si>
  <si>
    <t xml:space="preserve">Gonzalez Jimenez</t>
  </si>
  <si>
    <t xml:space="preserve">Jorge Ivan</t>
  </si>
  <si>
    <t xml:space="preserve">Montenegro Mansilla </t>
  </si>
  <si>
    <t xml:space="preserve">Milagros</t>
  </si>
  <si>
    <t xml:space="preserve">Sanchez </t>
  </si>
  <si>
    <t xml:space="preserve">Victor Orlando</t>
  </si>
  <si>
    <t xml:space="preserve">Garcia Bulacio</t>
  </si>
  <si>
    <t xml:space="preserve">Luciano</t>
  </si>
  <si>
    <t xml:space="preserve">Gomez</t>
  </si>
  <si>
    <t xml:space="preserve">Lourdes Maria</t>
  </si>
  <si>
    <t xml:space="preserve">Gonzalez Conidares</t>
  </si>
  <si>
    <t xml:space="preserve">Enzo Micael</t>
  </si>
  <si>
    <t xml:space="preserve">Elena Beatriz</t>
  </si>
  <si>
    <t xml:space="preserve">17:00 - 18:00</t>
  </si>
  <si>
    <t xml:space="preserve">19:00 - 20.00</t>
  </si>
  <si>
    <t xml:space="preserve">Arias Juan José</t>
  </si>
  <si>
    <t xml:space="preserve">Corbera</t>
  </si>
  <si>
    <t xml:space="preserve">Martinez Iturbe</t>
  </si>
  <si>
    <t xml:space="preserve">Santiago Isaac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</si>
</sst>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dddd"/>
    <numFmt numFmtId="167" formatCode="ddd\ mm/dd"/>
    <numFmt numFmtId="168" formatCode="dd\-mmm"/>
    <numFmt numFmtId="169" formatCode="ddd\ dd/mm"/>
    <numFmt numFmtId="170" formatCode="dd/mm/yyyy"/>
  </numFmts>
  <fonts count="13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17375E"/>
      <name val="Calibri"/>
      <family val="0"/>
      <charset val="134"/>
    </font>
    <font>
      <b val="true"/>
      <sz val="12"/>
      <color rgb="FF000000"/>
      <name val="Calibri"/>
      <family val="0"/>
      <charset val="134"/>
    </font>
    <font>
      <b val="true"/>
      <sz val="12"/>
      <color rgb="FF17375E"/>
      <name val="Calibri"/>
      <family val="0"/>
      <charset val="134"/>
    </font>
    <font>
      <sz val="11"/>
      <color rgb="FFFFFFFF"/>
      <name val="Calibri"/>
      <family val="0"/>
      <charset val="134"/>
    </font>
    <font>
      <b val="true"/>
      <sz val="9"/>
      <color rgb="FFFFFFFF"/>
      <name val="Calibri"/>
      <family val="0"/>
      <charset val="134"/>
    </font>
    <font>
      <b val="true"/>
      <sz val="14"/>
      <color rgb="FFFFFFFF"/>
      <name val="Calibri"/>
      <family val="0"/>
      <charset val="134"/>
    </font>
    <font>
      <b val="true"/>
      <sz val="14"/>
      <color rgb="FFFFFF00"/>
      <name val="Calibri"/>
      <family val="0"/>
      <charset val="134"/>
    </font>
    <font>
      <sz val="11"/>
      <name val="Calibri"/>
      <family val="0"/>
      <charset val="134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A6A6A6"/>
      </patternFill>
    </fill>
    <fill>
      <patternFill patternType="solid">
        <fgColor rgb="FFDCE6F2"/>
        <bgColor rgb="FFD9D9D9"/>
      </patternFill>
    </fill>
    <fill>
      <patternFill patternType="solid">
        <fgColor rgb="FF254061"/>
        <bgColor rgb="FF17375E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hair">
        <color rgb="FF7F7F7F"/>
      </bottom>
      <diagonal/>
    </border>
    <border diagonalUp="false" diagonalDown="false">
      <left style="medium"/>
      <right style="medium"/>
      <top style="hair">
        <color rgb="FF7F7F7F"/>
      </top>
      <bottom style="hair">
        <color rgb="FF7F7F7F"/>
      </bottom>
      <diagonal/>
    </border>
    <border diagonalUp="false" diagonalDown="false">
      <left style="medium"/>
      <right style="medium"/>
      <top style="hair">
        <color rgb="FF7F7F7F"/>
      </top>
      <bottom style="medium"/>
      <diagonal/>
    </border>
    <border diagonalUp="false" diagonalDown="false">
      <left style="medium"/>
      <right style="thin">
        <color rgb="FFA6A6A6"/>
      </right>
      <top style="medium"/>
      <bottom style="medium"/>
      <diagonal/>
    </border>
    <border diagonalUp="false" diagonalDown="false">
      <left style="thin">
        <color rgb="FFA6A6A6"/>
      </left>
      <right style="thin">
        <color rgb="FFA6A6A6"/>
      </right>
      <top style="medium"/>
      <bottom style="medium"/>
      <diagonal/>
    </border>
    <border diagonalUp="false" diagonalDown="false">
      <left style="thin">
        <color rgb="FFA6A6A6"/>
      </left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>
        <color rgb="FF808080"/>
      </right>
      <top/>
      <bottom style="hair"/>
      <diagonal/>
    </border>
    <border diagonalUp="false" diagonalDown="false">
      <left style="thin">
        <color rgb="FF808080"/>
      </left>
      <right style="thin">
        <color rgb="FF808080"/>
      </right>
      <top style="hair"/>
      <bottom style="hair"/>
      <diagonal/>
    </border>
    <border diagonalUp="false" diagonalDown="false">
      <left style="medium"/>
      <right style="thin">
        <color rgb="FF808080"/>
      </right>
      <top style="hair"/>
      <bottom style="hair"/>
      <diagonal/>
    </border>
    <border diagonalUp="false" diagonalDown="false">
      <left style="thin">
        <color rgb="FF808080"/>
      </left>
      <right/>
      <top style="hair"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n">
        <color rgb="FF808080"/>
      </right>
      <top style="hair"/>
      <bottom style="medium"/>
      <diagonal/>
    </border>
    <border diagonalUp="false" diagonalDown="false">
      <left style="thin">
        <color rgb="FF808080"/>
      </left>
      <right style="thin">
        <color rgb="FF808080"/>
      </right>
      <top style="hair"/>
      <bottom style="medium"/>
      <diagonal/>
    </border>
    <border diagonalUp="false" diagonalDown="false">
      <left style="thin">
        <color rgb="FF808080"/>
      </left>
      <right/>
      <top style="hair"/>
      <bottom style="medium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/>
      <right style="medium"/>
      <top style="hair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9"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660066"/>
        </patternFill>
      </fill>
    </dxf>
    <dxf>
      <font>
        <b val="1"/>
        <i val="0"/>
        <color rgb="FFFFFFFF"/>
      </font>
      <fill>
        <patternFill>
          <bgColor rgb="FF008000"/>
        </patternFill>
      </fill>
    </dxf>
    <dxf>
      <font>
        <b val="1"/>
        <i val="0"/>
        <color rgb="FFFFFFFF"/>
      </font>
      <fill>
        <patternFill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</font>
      <fill>
        <patternFill>
          <bgColor rgb="FFD9D9D9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b val="1"/>
        <i val="0"/>
        <color rgb="FFFFFFFF"/>
      </font>
      <fill>
        <patternFill>
          <bgColor rgb="FF0000FF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7030A0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7030A0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0000FF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660066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008000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000000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FF0000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0000FF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7030A0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7030A0"/>
        </patternFill>
      </fill>
    </dxf>
    <dxf>
      <font>
        <name val="Calibri"/>
        <charset val="134"/>
        <family val="0"/>
        <b val="1"/>
        <i val="0"/>
        <color rgb="FFFFFFFF"/>
        <sz val="11"/>
      </font>
      <fill>
        <patternFill>
          <bgColor rgb="FF7030A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17375E"/>
      <rgbColor rgb="FF339966"/>
      <rgbColor rgb="FF003300"/>
      <rgbColor rgb="FF333300"/>
      <rgbColor rgb="FF993300"/>
      <rgbColor rgb="FF993366"/>
      <rgbColor rgb="FF333399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1" sqref="I118 B2"/>
    </sheetView>
  </sheetViews>
  <sheetFormatPr defaultColWidth="9.1484375" defaultRowHeight="15" zeroHeight="tru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1.57"/>
    <col collapsed="false" customWidth="true" hidden="false" outlineLevel="0" max="4" min="3" style="0" width="8.57"/>
    <col collapsed="false" customWidth="true" hidden="false" outlineLevel="0" max="5" min="5" style="0" width="4.29"/>
    <col collapsed="false" customWidth="true" hidden="true" outlineLevel="0" max="8" min="6" style="0" width="11.52"/>
    <col collapsed="false" customWidth="false" hidden="true" outlineLevel="0" max="1024" min="9" style="0" width="9.13"/>
  </cols>
  <sheetData>
    <row r="1" customFormat="false" ht="30" hidden="false" customHeight="true" outlineLevel="0" collapsed="false"/>
    <row r="2" customFormat="false" ht="15" hidden="false" customHeight="true" outlineLevel="0" collapsed="false">
      <c r="B2" s="1" t="s">
        <v>0</v>
      </c>
      <c r="C2" s="1"/>
      <c r="D2" s="1"/>
    </row>
    <row r="3" customFormat="false" ht="15.75" hidden="false" customHeight="true" outlineLevel="0" collapsed="false">
      <c r="B3" s="2" t="s">
        <v>1</v>
      </c>
      <c r="C3" s="2"/>
      <c r="D3" s="2"/>
    </row>
    <row r="4" customFormat="false" ht="15.75" hidden="false" customHeight="true" outlineLevel="0" collapsed="false">
      <c r="B4" s="3" t="s">
        <v>2</v>
      </c>
      <c r="C4" s="3"/>
      <c r="D4" s="3"/>
    </row>
    <row r="5" customFormat="false" ht="15.75" hidden="false" customHeight="true" outlineLevel="0" collapsed="false">
      <c r="B5" s="4" t="s">
        <v>3</v>
      </c>
      <c r="C5" s="5" t="s">
        <v>4</v>
      </c>
      <c r="D5" s="5" t="s">
        <v>5</v>
      </c>
    </row>
    <row r="6" customFormat="false" ht="20.1" hidden="false" customHeight="true" outlineLevel="0" collapsed="false">
      <c r="A6" s="6" t="str">
        <f aca="false">CONCATENATE(MID($B$2,3,2),"/",LEFT($B$2,2))</f>
        <v>06/09</v>
      </c>
      <c r="B6" s="7" t="str">
        <f aca="false">TEXT(CONCATENATE(MID($B$2,3,2),"/",LEFT($B$2,2)),"ddd mm/dd")</f>
        <v>dom 09/06</v>
      </c>
      <c r="C6" s="8" t="n">
        <f aca="false">COUNTIF('Horas Adicionales'!J:J,Summary!A6)</f>
        <v>0</v>
      </c>
      <c r="D6" s="9" t="n">
        <f aca="false">SUM(C6:C12)</f>
        <v>131</v>
      </c>
    </row>
    <row r="7" customFormat="false" ht="20.1" hidden="false" customHeight="true" outlineLevel="0" collapsed="false">
      <c r="B7" s="10" t="n">
        <f aca="false">A6+1</f>
        <v>44081</v>
      </c>
      <c r="C7" s="11" t="n">
        <f aca="false">COUNTIF('Horas Adicionales'!J:J,Summary!B7)</f>
        <v>11</v>
      </c>
      <c r="D7" s="9"/>
    </row>
    <row r="8" customFormat="false" ht="20.1" hidden="false" customHeight="true" outlineLevel="0" collapsed="false">
      <c r="B8" s="10" t="n">
        <f aca="false">B7+1</f>
        <v>44082</v>
      </c>
      <c r="C8" s="11" t="n">
        <f aca="false">COUNTIF('Horas Adicionales'!J:J,Summary!B8)</f>
        <v>13</v>
      </c>
      <c r="D8" s="9"/>
    </row>
    <row r="9" customFormat="false" ht="20.1" hidden="false" customHeight="true" outlineLevel="0" collapsed="false">
      <c r="B9" s="10" t="n">
        <f aca="false">B8+1</f>
        <v>44083</v>
      </c>
      <c r="C9" s="11" t="n">
        <f aca="false">COUNTIF('Horas Adicionales'!J:J,Summary!B9)</f>
        <v>49</v>
      </c>
      <c r="D9" s="9"/>
    </row>
    <row r="10" customFormat="false" ht="20.1" hidden="false" customHeight="true" outlineLevel="0" collapsed="false">
      <c r="B10" s="10" t="n">
        <f aca="false">B9+1</f>
        <v>44084</v>
      </c>
      <c r="C10" s="11" t="n">
        <f aca="false">COUNTIF('Horas Adicionales'!J:J,Summary!B10)</f>
        <v>9</v>
      </c>
      <c r="D10" s="9"/>
    </row>
    <row r="11" customFormat="false" ht="20.1" hidden="false" customHeight="true" outlineLevel="0" collapsed="false">
      <c r="B11" s="10" t="n">
        <f aca="false">B10+1</f>
        <v>44085</v>
      </c>
      <c r="C11" s="11" t="n">
        <f aca="false">COUNTIF('Horas Adicionales'!J:J,Summary!B11)</f>
        <v>49</v>
      </c>
      <c r="D11" s="9"/>
    </row>
    <row r="12" customFormat="false" ht="20.1" hidden="false" customHeight="true" outlineLevel="0" collapsed="false">
      <c r="B12" s="10" t="n">
        <f aca="false">B11+1</f>
        <v>44086</v>
      </c>
      <c r="C12" s="12" t="n">
        <f aca="false">COUNTIF('Horas Adicionales'!J:J,Summary!B12)</f>
        <v>0</v>
      </c>
      <c r="D12" s="9"/>
    </row>
    <row r="13" s="13" customFormat="true" ht="13.5" hidden="false" customHeight="true" outlineLevel="0" collapsed="false">
      <c r="C13" s="14"/>
      <c r="D13" s="14"/>
    </row>
  </sheetData>
  <mergeCells count="4">
    <mergeCell ref="B2:D2"/>
    <mergeCell ref="B3:D3"/>
    <mergeCell ref="B4:D4"/>
    <mergeCell ref="D6:D12"/>
  </mergeCells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B1:M134"/>
  <sheetViews>
    <sheetView showFormulas="false" showGridLines="false" showRowColHeaders="true" showZeros="true" rightToLeft="false" tabSelected="true" showOutlineSymbols="true" defaultGridColor="true" view="normal" topLeftCell="A42" colorId="64" zoomScale="70" zoomScaleNormal="70" zoomScalePageLayoutView="100" workbookViewId="0">
      <selection pane="topLeft" activeCell="I118" activeCellId="0" sqref="I118"/>
    </sheetView>
  </sheetViews>
  <sheetFormatPr defaultColWidth="9.1484375" defaultRowHeight="15" zeroHeight="tru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10.71"/>
    <col collapsed="false" customWidth="true" hidden="false" outlineLevel="0" max="3" min="3" style="0" width="14.57"/>
    <col collapsed="false" customWidth="true" hidden="false" outlineLevel="0" max="4" min="4" style="0" width="28.57"/>
    <col collapsed="false" customWidth="true" hidden="false" outlineLevel="0" max="5" min="5" style="0" width="27.42"/>
    <col collapsed="false" customWidth="true" hidden="false" outlineLevel="0" max="6" min="6" style="0" width="15.15"/>
    <col collapsed="false" customWidth="true" hidden="false" outlineLevel="0" max="7" min="7" style="0" width="21.57"/>
    <col collapsed="false" customWidth="true" hidden="false" outlineLevel="0" max="8" min="8" style="0" width="19.57"/>
    <col collapsed="false" customWidth="true" hidden="false" outlineLevel="0" max="9" min="9" style="0" width="15.29"/>
    <col collapsed="false" customWidth="true" hidden="false" outlineLevel="0" max="10" min="10" style="0" width="15.15"/>
    <col collapsed="false" customWidth="true" hidden="false" outlineLevel="0" max="11" min="11" style="0" width="29.86"/>
    <col collapsed="false" customWidth="true" hidden="false" outlineLevel="0" max="12" min="12" style="0" width="33"/>
    <col collapsed="false" customWidth="true" hidden="false" outlineLevel="0" max="13" min="13" style="0" width="33.71"/>
    <col collapsed="false" customWidth="true" hidden="false" outlineLevel="0" max="14" min="14" style="0" width="2.14"/>
    <col collapsed="false" customWidth="false" hidden="true" outlineLevel="0" max="1024" min="15" style="0" width="9.13"/>
  </cols>
  <sheetData>
    <row r="1" customFormat="false" ht="24.75" hidden="false" customHeight="true" outlineLevel="0" collapsed="false">
      <c r="K1" s="15" t="n">
        <v>41399</v>
      </c>
    </row>
    <row r="2" customFormat="false" ht="27.75" hidden="false" customHeight="true" outlineLevel="0" collapsed="false">
      <c r="B2" s="16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8" t="s">
        <v>15</v>
      </c>
      <c r="L2" s="19" t="s">
        <v>16</v>
      </c>
      <c r="M2" s="20" t="s">
        <v>17</v>
      </c>
    </row>
    <row r="3" customFormat="false" ht="15" hidden="false" customHeight="false" outlineLevel="0" collapsed="false">
      <c r="B3" s="21" t="n">
        <v>1</v>
      </c>
      <c r="C3" s="22" t="s">
        <v>2</v>
      </c>
      <c r="D3" s="23" t="s">
        <v>18</v>
      </c>
      <c r="E3" s="24" t="s">
        <v>19</v>
      </c>
      <c r="F3" s="24" t="s">
        <v>20</v>
      </c>
      <c r="G3" s="24" t="s">
        <v>21</v>
      </c>
      <c r="H3" s="24" t="n">
        <v>88047</v>
      </c>
      <c r="I3" s="24" t="n">
        <v>3553144</v>
      </c>
      <c r="J3" s="25" t="n">
        <v>44081</v>
      </c>
      <c r="K3" s="26" t="s">
        <v>22</v>
      </c>
      <c r="L3" s="27" t="s">
        <v>23</v>
      </c>
      <c r="M3" s="28"/>
    </row>
    <row r="4" customFormat="false" ht="15" hidden="false" customHeight="false" outlineLevel="0" collapsed="false">
      <c r="B4" s="21" t="n">
        <v>2</v>
      </c>
      <c r="C4" s="22" t="s">
        <v>2</v>
      </c>
      <c r="D4" s="23" t="s">
        <v>18</v>
      </c>
      <c r="E4" s="24" t="s">
        <v>19</v>
      </c>
      <c r="F4" s="24" t="s">
        <v>20</v>
      </c>
      <c r="G4" s="24" t="s">
        <v>21</v>
      </c>
      <c r="H4" s="24" t="n">
        <v>88047</v>
      </c>
      <c r="I4" s="24" t="n">
        <v>3553144</v>
      </c>
      <c r="J4" s="25" t="n">
        <v>44081</v>
      </c>
      <c r="K4" s="26" t="s">
        <v>22</v>
      </c>
      <c r="L4" s="27" t="s">
        <v>24</v>
      </c>
      <c r="M4" s="28"/>
    </row>
    <row r="5" customFormat="false" ht="15" hidden="false" customHeight="false" outlineLevel="0" collapsed="false">
      <c r="B5" s="21" t="n">
        <v>3</v>
      </c>
      <c r="C5" s="22" t="s">
        <v>2</v>
      </c>
      <c r="D5" s="23" t="s">
        <v>18</v>
      </c>
      <c r="E5" s="24" t="s">
        <v>19</v>
      </c>
      <c r="F5" s="24" t="s">
        <v>25</v>
      </c>
      <c r="G5" s="24" t="s">
        <v>26</v>
      </c>
      <c r="H5" s="24" t="n">
        <v>87049</v>
      </c>
      <c r="I5" s="24" t="n">
        <v>1632745</v>
      </c>
      <c r="J5" s="25" t="n">
        <v>44081</v>
      </c>
      <c r="K5" s="26" t="s">
        <v>22</v>
      </c>
      <c r="L5" s="27" t="s">
        <v>24</v>
      </c>
      <c r="M5" s="28"/>
    </row>
    <row r="6" customFormat="false" ht="15" hidden="false" customHeight="false" outlineLevel="0" collapsed="false">
      <c r="B6" s="21" t="n">
        <v>4</v>
      </c>
      <c r="C6" s="22" t="s">
        <v>2</v>
      </c>
      <c r="D6" s="23" t="s">
        <v>18</v>
      </c>
      <c r="E6" s="24" t="s">
        <v>19</v>
      </c>
      <c r="F6" s="24" t="s">
        <v>27</v>
      </c>
      <c r="G6" s="24" t="s">
        <v>28</v>
      </c>
      <c r="H6" s="24" t="n">
        <v>87051</v>
      </c>
      <c r="I6" s="24" t="n">
        <v>3409670</v>
      </c>
      <c r="J6" s="25" t="n">
        <v>44081</v>
      </c>
      <c r="K6" s="26" t="s">
        <v>22</v>
      </c>
      <c r="L6" s="27" t="s">
        <v>24</v>
      </c>
      <c r="M6" s="28"/>
    </row>
    <row r="7" customFormat="false" ht="15" hidden="false" customHeight="false" outlineLevel="0" collapsed="false">
      <c r="B7" s="21" t="n">
        <v>5</v>
      </c>
      <c r="C7" s="22" t="s">
        <v>2</v>
      </c>
      <c r="D7" s="23" t="s">
        <v>18</v>
      </c>
      <c r="E7" s="24" t="s">
        <v>19</v>
      </c>
      <c r="F7" s="24" t="s">
        <v>20</v>
      </c>
      <c r="G7" s="24" t="s">
        <v>21</v>
      </c>
      <c r="H7" s="24" t="n">
        <v>88047</v>
      </c>
      <c r="I7" s="24" t="n">
        <v>3553144</v>
      </c>
      <c r="J7" s="25" t="n">
        <v>44081</v>
      </c>
      <c r="K7" s="26" t="s">
        <v>22</v>
      </c>
      <c r="L7" s="27" t="s">
        <v>29</v>
      </c>
      <c r="M7" s="28"/>
    </row>
    <row r="8" customFormat="false" ht="15" hidden="false" customHeight="false" outlineLevel="0" collapsed="false">
      <c r="B8" s="21" t="n">
        <v>6</v>
      </c>
      <c r="C8" s="22" t="s">
        <v>2</v>
      </c>
      <c r="D8" s="23" t="s">
        <v>18</v>
      </c>
      <c r="E8" s="24" t="s">
        <v>19</v>
      </c>
      <c r="F8" s="24" t="s">
        <v>25</v>
      </c>
      <c r="G8" s="24" t="s">
        <v>26</v>
      </c>
      <c r="H8" s="24" t="n">
        <v>87049</v>
      </c>
      <c r="I8" s="24" t="n">
        <v>1632745</v>
      </c>
      <c r="J8" s="25" t="n">
        <v>44081</v>
      </c>
      <c r="K8" s="26" t="s">
        <v>22</v>
      </c>
      <c r="L8" s="27" t="s">
        <v>29</v>
      </c>
      <c r="M8" s="28"/>
    </row>
    <row r="9" customFormat="false" ht="15" hidden="true" customHeight="false" outlineLevel="0" collapsed="false">
      <c r="B9" s="21" t="n">
        <v>7</v>
      </c>
      <c r="C9" s="22" t="s">
        <v>2</v>
      </c>
      <c r="D9" s="23"/>
      <c r="E9" s="24"/>
      <c r="F9" s="24"/>
      <c r="G9" s="24"/>
      <c r="H9" s="24"/>
      <c r="I9" s="24"/>
      <c r="J9" s="25" t="n">
        <v>44081</v>
      </c>
      <c r="K9" s="26" t="s">
        <v>22</v>
      </c>
      <c r="L9" s="27" t="s">
        <v>30</v>
      </c>
      <c r="M9" s="28"/>
    </row>
    <row r="10" customFormat="false" ht="15" hidden="true" customHeight="false" outlineLevel="0" collapsed="false">
      <c r="B10" s="21" t="n">
        <v>8</v>
      </c>
      <c r="C10" s="22" t="s">
        <v>2</v>
      </c>
      <c r="D10" s="23"/>
      <c r="E10" s="24"/>
      <c r="F10" s="24"/>
      <c r="G10" s="24"/>
      <c r="H10" s="24"/>
      <c r="I10" s="24"/>
      <c r="J10" s="25" t="n">
        <v>44081</v>
      </c>
      <c r="K10" s="26" t="s">
        <v>22</v>
      </c>
      <c r="L10" s="27" t="s">
        <v>30</v>
      </c>
      <c r="M10" s="28"/>
    </row>
    <row r="11" customFormat="false" ht="15" hidden="true" customHeight="false" outlineLevel="0" collapsed="false">
      <c r="B11" s="21" t="n">
        <v>9</v>
      </c>
      <c r="C11" s="22" t="s">
        <v>2</v>
      </c>
      <c r="D11" s="23"/>
      <c r="E11" s="24"/>
      <c r="F11" s="24"/>
      <c r="G11" s="24"/>
      <c r="H11" s="24"/>
      <c r="I11" s="24"/>
      <c r="J11" s="25" t="n">
        <v>44081</v>
      </c>
      <c r="K11" s="26" t="s">
        <v>22</v>
      </c>
      <c r="L11" s="27" t="s">
        <v>30</v>
      </c>
      <c r="M11" s="28"/>
    </row>
    <row r="12" customFormat="false" ht="15" hidden="true" customHeight="false" outlineLevel="0" collapsed="false">
      <c r="B12" s="21" t="n">
        <v>10</v>
      </c>
      <c r="C12" s="22" t="s">
        <v>2</v>
      </c>
      <c r="D12" s="23" t="s">
        <v>31</v>
      </c>
      <c r="E12" s="24" t="s">
        <v>32</v>
      </c>
      <c r="F12" s="24" t="s">
        <v>33</v>
      </c>
      <c r="G12" s="24" t="s">
        <v>34</v>
      </c>
      <c r="H12" s="24" t="n">
        <v>81664</v>
      </c>
      <c r="I12" s="24" t="n">
        <v>2024463</v>
      </c>
      <c r="J12" s="25" t="n">
        <v>44081</v>
      </c>
      <c r="K12" s="26" t="s">
        <v>22</v>
      </c>
      <c r="L12" s="27" t="s">
        <v>35</v>
      </c>
      <c r="M12" s="28"/>
    </row>
    <row r="13" customFormat="false" ht="15" hidden="true" customHeight="false" outlineLevel="0" collapsed="false">
      <c r="B13" s="21" t="n">
        <v>11</v>
      </c>
      <c r="C13" s="22" t="s">
        <v>2</v>
      </c>
      <c r="D13" s="23"/>
      <c r="E13" s="24"/>
      <c r="F13" s="24"/>
      <c r="G13" s="24"/>
      <c r="H13" s="24"/>
      <c r="I13" s="24"/>
      <c r="J13" s="25" t="n">
        <v>44081</v>
      </c>
      <c r="K13" s="26" t="s">
        <v>22</v>
      </c>
      <c r="L13" s="27" t="s">
        <v>35</v>
      </c>
      <c r="M13" s="28"/>
    </row>
    <row r="14" customFormat="false" ht="15" hidden="false" customHeight="false" outlineLevel="0" collapsed="false">
      <c r="B14" s="21" t="n">
        <v>12</v>
      </c>
      <c r="C14" s="22" t="s">
        <v>2</v>
      </c>
      <c r="D14" s="23" t="s">
        <v>18</v>
      </c>
      <c r="E14" s="24" t="s">
        <v>19</v>
      </c>
      <c r="F14" s="24" t="s">
        <v>20</v>
      </c>
      <c r="G14" s="24" t="s">
        <v>21</v>
      </c>
      <c r="H14" s="24" t="n">
        <v>88047</v>
      </c>
      <c r="I14" s="24" t="n">
        <v>3553144</v>
      </c>
      <c r="J14" s="25" t="n">
        <v>44082</v>
      </c>
      <c r="K14" s="26" t="s">
        <v>22</v>
      </c>
      <c r="L14" s="27" t="s">
        <v>23</v>
      </c>
      <c r="M14" s="28"/>
    </row>
    <row r="15" customFormat="false" ht="15" hidden="false" customHeight="false" outlineLevel="0" collapsed="false">
      <c r="B15" s="21" t="n">
        <v>13</v>
      </c>
      <c r="C15" s="22" t="s">
        <v>2</v>
      </c>
      <c r="D15" s="23" t="s">
        <v>18</v>
      </c>
      <c r="E15" s="24" t="s">
        <v>19</v>
      </c>
      <c r="F15" s="24" t="s">
        <v>25</v>
      </c>
      <c r="G15" s="24" t="s">
        <v>26</v>
      </c>
      <c r="H15" s="24" t="n">
        <v>87049</v>
      </c>
      <c r="I15" s="24" t="n">
        <v>1632745</v>
      </c>
      <c r="J15" s="25" t="n">
        <v>44082</v>
      </c>
      <c r="K15" s="26" t="s">
        <v>22</v>
      </c>
      <c r="L15" s="27" t="s">
        <v>23</v>
      </c>
      <c r="M15" s="28"/>
    </row>
    <row r="16" customFormat="false" ht="15" hidden="false" customHeight="false" outlineLevel="0" collapsed="false">
      <c r="B16" s="21" t="n">
        <v>14</v>
      </c>
      <c r="C16" s="22" t="s">
        <v>2</v>
      </c>
      <c r="D16" s="23" t="s">
        <v>18</v>
      </c>
      <c r="E16" s="24" t="s">
        <v>19</v>
      </c>
      <c r="F16" s="24" t="s">
        <v>27</v>
      </c>
      <c r="G16" s="24" t="s">
        <v>28</v>
      </c>
      <c r="H16" s="24" t="n">
        <v>87051</v>
      </c>
      <c r="I16" s="24" t="n">
        <v>3409670</v>
      </c>
      <c r="J16" s="25" t="n">
        <v>44082</v>
      </c>
      <c r="K16" s="26" t="s">
        <v>22</v>
      </c>
      <c r="L16" s="27" t="s">
        <v>23</v>
      </c>
      <c r="M16" s="28"/>
    </row>
    <row r="17" customFormat="false" ht="15.75" hidden="false" customHeight="true" outlineLevel="0" collapsed="false">
      <c r="B17" s="21" t="n">
        <v>15</v>
      </c>
      <c r="C17" s="22" t="s">
        <v>2</v>
      </c>
      <c r="D17" s="23"/>
      <c r="E17" s="24"/>
      <c r="F17" s="24"/>
      <c r="G17" s="24"/>
      <c r="H17" s="24"/>
      <c r="I17" s="24"/>
      <c r="J17" s="25" t="n">
        <v>44082</v>
      </c>
      <c r="K17" s="26" t="s">
        <v>22</v>
      </c>
      <c r="L17" s="27" t="s">
        <v>23</v>
      </c>
      <c r="M17" s="28"/>
    </row>
    <row r="18" customFormat="false" ht="15" hidden="false" customHeight="false" outlineLevel="0" collapsed="false">
      <c r="B18" s="21" t="n">
        <v>16</v>
      </c>
      <c r="C18" s="22" t="s">
        <v>2</v>
      </c>
      <c r="D18" s="23" t="s">
        <v>18</v>
      </c>
      <c r="E18" s="24" t="s">
        <v>19</v>
      </c>
      <c r="F18" s="24" t="s">
        <v>20</v>
      </c>
      <c r="G18" s="24" t="s">
        <v>21</v>
      </c>
      <c r="H18" s="24" t="n">
        <v>88047</v>
      </c>
      <c r="I18" s="24" t="n">
        <v>3553144</v>
      </c>
      <c r="J18" s="25" t="n">
        <v>44082</v>
      </c>
      <c r="K18" s="26" t="s">
        <v>22</v>
      </c>
      <c r="L18" s="27" t="s">
        <v>24</v>
      </c>
      <c r="M18" s="28"/>
    </row>
    <row r="19" customFormat="false" ht="15" hidden="false" customHeight="false" outlineLevel="0" collapsed="false">
      <c r="B19" s="21" t="n">
        <v>17</v>
      </c>
      <c r="C19" s="22" t="s">
        <v>2</v>
      </c>
      <c r="D19" s="23" t="s">
        <v>18</v>
      </c>
      <c r="E19" s="24" t="s">
        <v>19</v>
      </c>
      <c r="F19" s="24" t="s">
        <v>25</v>
      </c>
      <c r="G19" s="24" t="s">
        <v>26</v>
      </c>
      <c r="H19" s="24" t="n">
        <v>87049</v>
      </c>
      <c r="I19" s="24" t="n">
        <v>1632745</v>
      </c>
      <c r="J19" s="25" t="n">
        <v>44082</v>
      </c>
      <c r="K19" s="26" t="s">
        <v>22</v>
      </c>
      <c r="L19" s="27" t="s">
        <v>24</v>
      </c>
      <c r="M19" s="28"/>
    </row>
    <row r="20" customFormat="false" ht="15" hidden="false" customHeight="false" outlineLevel="0" collapsed="false">
      <c r="B20" s="21" t="n">
        <v>18</v>
      </c>
      <c r="C20" s="22" t="s">
        <v>2</v>
      </c>
      <c r="D20" s="23" t="s">
        <v>18</v>
      </c>
      <c r="E20" s="24" t="s">
        <v>19</v>
      </c>
      <c r="F20" s="24" t="s">
        <v>27</v>
      </c>
      <c r="G20" s="24" t="s">
        <v>28</v>
      </c>
      <c r="H20" s="24" t="n">
        <v>87051</v>
      </c>
      <c r="I20" s="24" t="n">
        <v>3409670</v>
      </c>
      <c r="J20" s="25" t="n">
        <v>44082</v>
      </c>
      <c r="K20" s="26" t="s">
        <v>22</v>
      </c>
      <c r="L20" s="27" t="s">
        <v>24</v>
      </c>
      <c r="M20" s="28"/>
    </row>
    <row r="21" customFormat="false" ht="13.8" hidden="false" customHeight="false" outlineLevel="0" collapsed="false">
      <c r="B21" s="21" t="n">
        <v>19</v>
      </c>
      <c r="C21" s="22" t="s">
        <v>2</v>
      </c>
      <c r="D21" s="23" t="s">
        <v>18</v>
      </c>
      <c r="E21" s="24" t="s">
        <v>36</v>
      </c>
      <c r="F21" s="24" t="s">
        <v>37</v>
      </c>
      <c r="G21" s="24" t="s">
        <v>38</v>
      </c>
      <c r="H21" s="24" t="n">
        <v>89178</v>
      </c>
      <c r="I21" s="29" t="n">
        <v>3851263</v>
      </c>
      <c r="J21" s="25" t="n">
        <v>44082</v>
      </c>
      <c r="K21" s="26" t="s">
        <v>22</v>
      </c>
      <c r="L21" s="27" t="s">
        <v>24</v>
      </c>
      <c r="M21" s="28"/>
    </row>
    <row r="22" customFormat="false" ht="15" hidden="false" customHeight="false" outlineLevel="0" collapsed="false">
      <c r="B22" s="21" t="n">
        <v>20</v>
      </c>
      <c r="C22" s="22" t="s">
        <v>2</v>
      </c>
      <c r="D22" s="23"/>
      <c r="E22" s="24"/>
      <c r="F22" s="24"/>
      <c r="G22" s="24"/>
      <c r="H22" s="24"/>
      <c r="I22" s="24"/>
      <c r="J22" s="25" t="n">
        <v>44082</v>
      </c>
      <c r="K22" s="26" t="s">
        <v>22</v>
      </c>
      <c r="L22" s="27" t="s">
        <v>24</v>
      </c>
      <c r="M22" s="28"/>
    </row>
    <row r="23" customFormat="false" ht="15" hidden="false" customHeight="false" outlineLevel="0" collapsed="false">
      <c r="B23" s="21" t="n">
        <v>21</v>
      </c>
      <c r="C23" s="22" t="s">
        <v>2</v>
      </c>
      <c r="D23" s="23" t="s">
        <v>18</v>
      </c>
      <c r="E23" s="24" t="s">
        <v>36</v>
      </c>
      <c r="F23" s="24" t="s">
        <v>37</v>
      </c>
      <c r="G23" s="24" t="s">
        <v>38</v>
      </c>
      <c r="H23" s="24" t="n">
        <v>89178</v>
      </c>
      <c r="I23" s="24" t="n">
        <v>3851263</v>
      </c>
      <c r="J23" s="25" t="n">
        <v>44082</v>
      </c>
      <c r="K23" s="26" t="s">
        <v>22</v>
      </c>
      <c r="L23" s="27" t="s">
        <v>29</v>
      </c>
      <c r="M23" s="28"/>
    </row>
    <row r="24" customFormat="false" ht="15" hidden="false" customHeight="false" outlineLevel="0" collapsed="false">
      <c r="B24" s="21" t="n">
        <v>22</v>
      </c>
      <c r="C24" s="22" t="s">
        <v>2</v>
      </c>
      <c r="D24" s="23" t="s">
        <v>18</v>
      </c>
      <c r="E24" s="24" t="s">
        <v>19</v>
      </c>
      <c r="F24" s="24" t="s">
        <v>20</v>
      </c>
      <c r="G24" s="24" t="s">
        <v>21</v>
      </c>
      <c r="H24" s="24" t="n">
        <v>88047</v>
      </c>
      <c r="I24" s="24" t="n">
        <v>3553144</v>
      </c>
      <c r="J24" s="25" t="n">
        <v>44082</v>
      </c>
      <c r="K24" s="26" t="s">
        <v>22</v>
      </c>
      <c r="L24" s="27" t="s">
        <v>29</v>
      </c>
      <c r="M24" s="28"/>
    </row>
    <row r="25" customFormat="false" ht="15" hidden="true" customHeight="false" outlineLevel="0" collapsed="false">
      <c r="B25" s="21" t="n">
        <v>23</v>
      </c>
      <c r="C25" s="22" t="s">
        <v>2</v>
      </c>
      <c r="D25" s="23" t="s">
        <v>31</v>
      </c>
      <c r="E25" s="24" t="s">
        <v>32</v>
      </c>
      <c r="F25" s="24" t="s">
        <v>33</v>
      </c>
      <c r="G25" s="24" t="s">
        <v>34</v>
      </c>
      <c r="H25" s="24" t="n">
        <v>81664</v>
      </c>
      <c r="I25" s="24" t="n">
        <v>2024463</v>
      </c>
      <c r="J25" s="25" t="n">
        <v>44082</v>
      </c>
      <c r="K25" s="26" t="s">
        <v>22</v>
      </c>
      <c r="L25" s="27" t="s">
        <v>30</v>
      </c>
      <c r="M25" s="28"/>
    </row>
    <row r="26" customFormat="false" ht="15" hidden="true" customHeight="false" outlineLevel="0" collapsed="false">
      <c r="B26" s="21" t="n">
        <v>24</v>
      </c>
      <c r="C26" s="22" t="s">
        <v>2</v>
      </c>
      <c r="D26" s="23"/>
      <c r="E26" s="24"/>
      <c r="F26" s="24"/>
      <c r="G26" s="24"/>
      <c r="H26" s="24"/>
      <c r="I26" s="24"/>
      <c r="J26" s="25" t="n">
        <v>44082</v>
      </c>
      <c r="K26" s="26" t="s">
        <v>22</v>
      </c>
      <c r="L26" s="27" t="s">
        <v>30</v>
      </c>
      <c r="M26" s="28"/>
    </row>
    <row r="27" customFormat="false" ht="15" hidden="false" customHeight="false" outlineLevel="0" collapsed="false">
      <c r="B27" s="21" t="n">
        <v>25</v>
      </c>
      <c r="C27" s="22" t="s">
        <v>2</v>
      </c>
      <c r="D27" s="23" t="s">
        <v>18</v>
      </c>
      <c r="E27" s="24" t="s">
        <v>19</v>
      </c>
      <c r="F27" s="24" t="s">
        <v>20</v>
      </c>
      <c r="G27" s="24" t="s">
        <v>21</v>
      </c>
      <c r="H27" s="24" t="n">
        <v>88047</v>
      </c>
      <c r="I27" s="24" t="n">
        <v>3553144</v>
      </c>
      <c r="J27" s="25" t="n">
        <v>44083</v>
      </c>
      <c r="K27" s="26" t="s">
        <v>22</v>
      </c>
      <c r="L27" s="27" t="s">
        <v>23</v>
      </c>
      <c r="M27" s="28"/>
    </row>
    <row r="28" customFormat="false" ht="15" hidden="false" customHeight="false" outlineLevel="0" collapsed="false">
      <c r="B28" s="21" t="n">
        <v>26</v>
      </c>
      <c r="C28" s="22" t="s">
        <v>2</v>
      </c>
      <c r="D28" s="23" t="s">
        <v>18</v>
      </c>
      <c r="E28" s="24" t="s">
        <v>19</v>
      </c>
      <c r="F28" s="24" t="s">
        <v>25</v>
      </c>
      <c r="G28" s="24" t="s">
        <v>26</v>
      </c>
      <c r="H28" s="24" t="n">
        <v>87049</v>
      </c>
      <c r="I28" s="24" t="n">
        <v>1632745</v>
      </c>
      <c r="J28" s="25" t="n">
        <v>44083</v>
      </c>
      <c r="K28" s="26" t="s">
        <v>22</v>
      </c>
      <c r="L28" s="27" t="s">
        <v>23</v>
      </c>
      <c r="M28" s="28"/>
    </row>
    <row r="29" customFormat="false" ht="15" hidden="false" customHeight="false" outlineLevel="0" collapsed="false">
      <c r="B29" s="21" t="n">
        <v>27</v>
      </c>
      <c r="C29" s="22" t="s">
        <v>2</v>
      </c>
      <c r="D29" s="23" t="s">
        <v>18</v>
      </c>
      <c r="E29" s="24" t="s">
        <v>19</v>
      </c>
      <c r="F29" s="24" t="s">
        <v>27</v>
      </c>
      <c r="G29" s="24" t="s">
        <v>28</v>
      </c>
      <c r="H29" s="24" t="n">
        <v>87051</v>
      </c>
      <c r="I29" s="24" t="n">
        <v>3409670</v>
      </c>
      <c r="J29" s="25" t="n">
        <v>44083</v>
      </c>
      <c r="K29" s="26" t="s">
        <v>22</v>
      </c>
      <c r="L29" s="27" t="s">
        <v>23</v>
      </c>
      <c r="M29" s="28"/>
    </row>
    <row r="30" customFormat="false" ht="13.8" hidden="false" customHeight="false" outlineLevel="0" collapsed="false">
      <c r="B30" s="21" t="n">
        <v>28</v>
      </c>
      <c r="C30" s="22" t="s">
        <v>2</v>
      </c>
      <c r="D30" s="23" t="s">
        <v>18</v>
      </c>
      <c r="E30" s="24" t="s">
        <v>36</v>
      </c>
      <c r="F30" s="24" t="s">
        <v>39</v>
      </c>
      <c r="G30" s="24" t="s">
        <v>40</v>
      </c>
      <c r="H30" s="24" t="n">
        <v>89175</v>
      </c>
      <c r="I30" s="29" t="n">
        <v>3851268</v>
      </c>
      <c r="J30" s="25" t="n">
        <v>44083</v>
      </c>
      <c r="K30" s="26" t="s">
        <v>22</v>
      </c>
      <c r="L30" s="27" t="s">
        <v>23</v>
      </c>
      <c r="M30" s="28"/>
    </row>
    <row r="31" customFormat="false" ht="13.8" hidden="false" customHeight="false" outlineLevel="0" collapsed="false">
      <c r="B31" s="21" t="n">
        <v>29</v>
      </c>
      <c r="C31" s="22" t="s">
        <v>2</v>
      </c>
      <c r="D31" s="23" t="s">
        <v>18</v>
      </c>
      <c r="E31" s="24" t="s">
        <v>36</v>
      </c>
      <c r="F31" s="24" t="s">
        <v>41</v>
      </c>
      <c r="G31" s="24" t="s">
        <v>42</v>
      </c>
      <c r="H31" s="24" t="n">
        <v>89172</v>
      </c>
      <c r="I31" s="24" t="n">
        <v>3851276</v>
      </c>
      <c r="J31" s="25" t="n">
        <v>44083</v>
      </c>
      <c r="K31" s="26" t="s">
        <v>22</v>
      </c>
      <c r="L31" s="27" t="s">
        <v>23</v>
      </c>
      <c r="M31" s="28"/>
    </row>
    <row r="32" customFormat="false" ht="13.8" hidden="false" customHeight="false" outlineLevel="0" collapsed="false">
      <c r="B32" s="21" t="n">
        <v>30</v>
      </c>
      <c r="C32" s="22" t="s">
        <v>2</v>
      </c>
      <c r="D32" s="23" t="s">
        <v>18</v>
      </c>
      <c r="E32" s="24" t="s">
        <v>36</v>
      </c>
      <c r="F32" s="24" t="s">
        <v>43</v>
      </c>
      <c r="G32" s="24" t="s">
        <v>44</v>
      </c>
      <c r="H32" s="24" t="n">
        <v>89164</v>
      </c>
      <c r="I32" s="29" t="n">
        <v>3851225</v>
      </c>
      <c r="J32" s="25" t="n">
        <v>44083</v>
      </c>
      <c r="K32" s="26" t="s">
        <v>22</v>
      </c>
      <c r="L32" s="27" t="s">
        <v>23</v>
      </c>
      <c r="M32" s="28"/>
    </row>
    <row r="33" customFormat="false" ht="13.8" hidden="false" customHeight="false" outlineLevel="0" collapsed="false">
      <c r="B33" s="21" t="n">
        <v>31</v>
      </c>
      <c r="C33" s="22" t="s">
        <v>2</v>
      </c>
      <c r="D33" s="23" t="s">
        <v>18</v>
      </c>
      <c r="E33" s="24" t="s">
        <v>36</v>
      </c>
      <c r="F33" s="24" t="s">
        <v>45</v>
      </c>
      <c r="G33" s="24" t="s">
        <v>46</v>
      </c>
      <c r="H33" s="24" t="n">
        <v>89162</v>
      </c>
      <c r="I33" s="29" t="n">
        <v>3851254</v>
      </c>
      <c r="J33" s="25" t="n">
        <v>44083</v>
      </c>
      <c r="K33" s="26" t="s">
        <v>22</v>
      </c>
      <c r="L33" s="27" t="s">
        <v>23</v>
      </c>
      <c r="M33" s="28"/>
    </row>
    <row r="34" customFormat="false" ht="15" hidden="false" customHeight="false" outlineLevel="0" collapsed="false">
      <c r="B34" s="21" t="n">
        <v>32</v>
      </c>
      <c r="C34" s="22" t="s">
        <v>2</v>
      </c>
      <c r="D34" s="23"/>
      <c r="E34" s="24"/>
      <c r="F34" s="24"/>
      <c r="G34" s="24"/>
      <c r="H34" s="24"/>
      <c r="I34" s="24"/>
      <c r="J34" s="25" t="n">
        <v>44083</v>
      </c>
      <c r="K34" s="26" t="s">
        <v>22</v>
      </c>
      <c r="L34" s="27" t="s">
        <v>23</v>
      </c>
      <c r="M34" s="28"/>
    </row>
    <row r="35" customFormat="false" ht="15" hidden="false" customHeight="false" outlineLevel="0" collapsed="false">
      <c r="B35" s="21" t="n">
        <v>33</v>
      </c>
      <c r="C35" s="22" t="s">
        <v>2</v>
      </c>
      <c r="D35" s="23"/>
      <c r="E35" s="24"/>
      <c r="F35" s="24"/>
      <c r="G35" s="24"/>
      <c r="H35" s="24"/>
      <c r="I35" s="24"/>
      <c r="J35" s="25" t="n">
        <v>44083</v>
      </c>
      <c r="K35" s="26" t="s">
        <v>22</v>
      </c>
      <c r="L35" s="27" t="s">
        <v>23</v>
      </c>
      <c r="M35" s="28"/>
    </row>
    <row r="36" customFormat="false" ht="15" hidden="false" customHeight="false" outlineLevel="0" collapsed="false">
      <c r="B36" s="21" t="n">
        <v>34</v>
      </c>
      <c r="C36" s="22" t="s">
        <v>2</v>
      </c>
      <c r="D36" s="23"/>
      <c r="E36" s="24"/>
      <c r="F36" s="24"/>
      <c r="G36" s="24"/>
      <c r="H36" s="24"/>
      <c r="I36" s="24"/>
      <c r="J36" s="25" t="n">
        <v>44083</v>
      </c>
      <c r="K36" s="26" t="s">
        <v>22</v>
      </c>
      <c r="L36" s="27" t="s">
        <v>23</v>
      </c>
      <c r="M36" s="28"/>
    </row>
    <row r="37" customFormat="false" ht="15" hidden="false" customHeight="false" outlineLevel="0" collapsed="false">
      <c r="B37" s="21" t="n">
        <v>35</v>
      </c>
      <c r="C37" s="22" t="s">
        <v>2</v>
      </c>
      <c r="D37" s="23"/>
      <c r="E37" s="24"/>
      <c r="F37" s="24"/>
      <c r="G37" s="24"/>
      <c r="H37" s="24"/>
      <c r="I37" s="24"/>
      <c r="J37" s="25" t="n">
        <v>44083</v>
      </c>
      <c r="K37" s="26" t="s">
        <v>22</v>
      </c>
      <c r="L37" s="27" t="s">
        <v>23</v>
      </c>
      <c r="M37" s="28"/>
    </row>
    <row r="38" customFormat="false" ht="15" hidden="false" customHeight="false" outlineLevel="0" collapsed="false">
      <c r="B38" s="21" t="n">
        <v>36</v>
      </c>
      <c r="C38" s="22" t="s">
        <v>2</v>
      </c>
      <c r="D38" s="23"/>
      <c r="E38" s="24"/>
      <c r="F38" s="24"/>
      <c r="G38" s="24"/>
      <c r="H38" s="24"/>
      <c r="I38" s="24"/>
      <c r="J38" s="25" t="n">
        <v>44083</v>
      </c>
      <c r="K38" s="26" t="s">
        <v>22</v>
      </c>
      <c r="L38" s="27" t="s">
        <v>23</v>
      </c>
      <c r="M38" s="28"/>
    </row>
    <row r="39" customFormat="false" ht="15" hidden="false" customHeight="false" outlineLevel="0" collapsed="false">
      <c r="B39" s="21" t="n">
        <v>37</v>
      </c>
      <c r="C39" s="22" t="s">
        <v>2</v>
      </c>
      <c r="D39" s="23"/>
      <c r="E39" s="24"/>
      <c r="F39" s="24"/>
      <c r="G39" s="24"/>
      <c r="H39" s="24"/>
      <c r="I39" s="24"/>
      <c r="J39" s="25" t="n">
        <v>44083</v>
      </c>
      <c r="K39" s="26" t="s">
        <v>22</v>
      </c>
      <c r="L39" s="27" t="s">
        <v>23</v>
      </c>
      <c r="M39" s="28"/>
    </row>
    <row r="40" customFormat="false" ht="15" hidden="false" customHeight="false" outlineLevel="0" collapsed="false">
      <c r="B40" s="21" t="n">
        <v>38</v>
      </c>
      <c r="C40" s="22" t="s">
        <v>2</v>
      </c>
      <c r="D40" s="23"/>
      <c r="E40" s="24"/>
      <c r="F40" s="24"/>
      <c r="G40" s="24"/>
      <c r="H40" s="24"/>
      <c r="I40" s="24"/>
      <c r="J40" s="25" t="n">
        <v>44083</v>
      </c>
      <c r="K40" s="26" t="s">
        <v>22</v>
      </c>
      <c r="L40" s="27" t="s">
        <v>23</v>
      </c>
      <c r="M40" s="28"/>
    </row>
    <row r="41" customFormat="false" ht="15" hidden="false" customHeight="false" outlineLevel="0" collapsed="false">
      <c r="B41" s="21" t="n">
        <v>39</v>
      </c>
      <c r="C41" s="22" t="s">
        <v>2</v>
      </c>
      <c r="D41" s="23" t="s">
        <v>18</v>
      </c>
      <c r="E41" s="24" t="s">
        <v>19</v>
      </c>
      <c r="F41" s="24" t="s">
        <v>20</v>
      </c>
      <c r="G41" s="24" t="s">
        <v>21</v>
      </c>
      <c r="H41" s="24" t="n">
        <v>88047</v>
      </c>
      <c r="I41" s="24" t="n">
        <v>3553144</v>
      </c>
      <c r="J41" s="25" t="n">
        <v>44083</v>
      </c>
      <c r="K41" s="26" t="s">
        <v>22</v>
      </c>
      <c r="L41" s="27" t="s">
        <v>24</v>
      </c>
      <c r="M41" s="28"/>
    </row>
    <row r="42" customFormat="false" ht="15" hidden="false" customHeight="false" outlineLevel="0" collapsed="false">
      <c r="B42" s="21" t="n">
        <v>40</v>
      </c>
      <c r="C42" s="22" t="s">
        <v>2</v>
      </c>
      <c r="D42" s="23" t="s">
        <v>18</v>
      </c>
      <c r="E42" s="24" t="s">
        <v>19</v>
      </c>
      <c r="F42" s="24" t="s">
        <v>25</v>
      </c>
      <c r="G42" s="24" t="s">
        <v>26</v>
      </c>
      <c r="H42" s="24" t="n">
        <v>87049</v>
      </c>
      <c r="I42" s="24" t="n">
        <v>1632745</v>
      </c>
      <c r="J42" s="25" t="n">
        <v>44083</v>
      </c>
      <c r="K42" s="26" t="s">
        <v>22</v>
      </c>
      <c r="L42" s="27" t="s">
        <v>24</v>
      </c>
      <c r="M42" s="28"/>
    </row>
    <row r="43" customFormat="false" ht="15" hidden="false" customHeight="false" outlineLevel="0" collapsed="false">
      <c r="B43" s="21" t="n">
        <v>41</v>
      </c>
      <c r="C43" s="22" t="s">
        <v>2</v>
      </c>
      <c r="D43" s="23" t="s">
        <v>18</v>
      </c>
      <c r="E43" s="24" t="s">
        <v>19</v>
      </c>
      <c r="F43" s="24" t="s">
        <v>27</v>
      </c>
      <c r="G43" s="24" t="s">
        <v>28</v>
      </c>
      <c r="H43" s="24" t="n">
        <v>87051</v>
      </c>
      <c r="I43" s="24" t="n">
        <v>3409670</v>
      </c>
      <c r="J43" s="25" t="n">
        <v>44083</v>
      </c>
      <c r="K43" s="26" t="s">
        <v>22</v>
      </c>
      <c r="L43" s="27" t="s">
        <v>24</v>
      </c>
      <c r="M43" s="28"/>
    </row>
    <row r="44" customFormat="false" ht="13.8" hidden="false" customHeight="false" outlineLevel="0" collapsed="false">
      <c r="B44" s="21" t="n">
        <v>42</v>
      </c>
      <c r="C44" s="22" t="s">
        <v>2</v>
      </c>
      <c r="D44" s="23" t="s">
        <v>18</v>
      </c>
      <c r="E44" s="24" t="s">
        <v>36</v>
      </c>
      <c r="F44" s="24" t="s">
        <v>47</v>
      </c>
      <c r="G44" s="24" t="s">
        <v>48</v>
      </c>
      <c r="H44" s="24" t="n">
        <v>89176</v>
      </c>
      <c r="I44" s="29" t="n">
        <v>3851265</v>
      </c>
      <c r="J44" s="25" t="n">
        <v>44083</v>
      </c>
      <c r="K44" s="26" t="s">
        <v>22</v>
      </c>
      <c r="L44" s="27" t="s">
        <v>24</v>
      </c>
      <c r="M44" s="28"/>
    </row>
    <row r="45" customFormat="false" ht="13.8" hidden="false" customHeight="false" outlineLevel="0" collapsed="false">
      <c r="B45" s="21" t="n">
        <v>43</v>
      </c>
      <c r="C45" s="22" t="s">
        <v>2</v>
      </c>
      <c r="D45" s="23" t="s">
        <v>18</v>
      </c>
      <c r="E45" s="24" t="s">
        <v>36</v>
      </c>
      <c r="F45" s="24" t="s">
        <v>49</v>
      </c>
      <c r="G45" s="24" t="s">
        <v>50</v>
      </c>
      <c r="H45" s="24" t="n">
        <v>89152</v>
      </c>
      <c r="I45" s="29" t="n">
        <v>3851228</v>
      </c>
      <c r="J45" s="25" t="n">
        <v>44083</v>
      </c>
      <c r="K45" s="26" t="s">
        <v>22</v>
      </c>
      <c r="L45" s="27" t="s">
        <v>24</v>
      </c>
      <c r="M45" s="28"/>
    </row>
    <row r="46" customFormat="false" ht="13.8" hidden="false" customHeight="false" outlineLevel="0" collapsed="false">
      <c r="B46" s="21" t="n">
        <v>44</v>
      </c>
      <c r="C46" s="22" t="s">
        <v>2</v>
      </c>
      <c r="D46" s="23" t="s">
        <v>18</v>
      </c>
      <c r="E46" s="24" t="s">
        <v>36</v>
      </c>
      <c r="F46" s="24" t="s">
        <v>39</v>
      </c>
      <c r="G46" s="24" t="s">
        <v>40</v>
      </c>
      <c r="H46" s="24" t="n">
        <v>89175</v>
      </c>
      <c r="I46" s="24" t="n">
        <v>3851268</v>
      </c>
      <c r="J46" s="25" t="n">
        <v>44083</v>
      </c>
      <c r="K46" s="26" t="s">
        <v>22</v>
      </c>
      <c r="L46" s="27" t="s">
        <v>24</v>
      </c>
      <c r="M46" s="28"/>
    </row>
    <row r="47" customFormat="false" ht="13.8" hidden="false" customHeight="false" outlineLevel="0" collapsed="false">
      <c r="B47" s="21" t="n">
        <v>45</v>
      </c>
      <c r="C47" s="22" t="s">
        <v>2</v>
      </c>
      <c r="D47" s="23" t="s">
        <v>18</v>
      </c>
      <c r="E47" s="24" t="s">
        <v>36</v>
      </c>
      <c r="F47" s="24" t="s">
        <v>41</v>
      </c>
      <c r="G47" s="24" t="s">
        <v>42</v>
      </c>
      <c r="H47" s="24" t="n">
        <v>89172</v>
      </c>
      <c r="I47" s="24" t="n">
        <v>3851276</v>
      </c>
      <c r="J47" s="25" t="n">
        <v>44083</v>
      </c>
      <c r="K47" s="26" t="s">
        <v>22</v>
      </c>
      <c r="L47" s="27" t="s">
        <v>24</v>
      </c>
      <c r="M47" s="28"/>
    </row>
    <row r="48" customFormat="false" ht="15" hidden="false" customHeight="false" outlineLevel="0" collapsed="false">
      <c r="B48" s="21" t="n">
        <v>46</v>
      </c>
      <c r="C48" s="22" t="s">
        <v>2</v>
      </c>
      <c r="D48" s="23" t="s">
        <v>18</v>
      </c>
      <c r="E48" s="24" t="s">
        <v>36</v>
      </c>
      <c r="F48" s="24" t="s">
        <v>43</v>
      </c>
      <c r="G48" s="24" t="s">
        <v>44</v>
      </c>
      <c r="H48" s="24" t="n">
        <v>89164</v>
      </c>
      <c r="I48" s="24" t="n">
        <v>3851225</v>
      </c>
      <c r="J48" s="25" t="n">
        <v>44083</v>
      </c>
      <c r="K48" s="26" t="s">
        <v>22</v>
      </c>
      <c r="L48" s="27" t="s">
        <v>24</v>
      </c>
      <c r="M48" s="28"/>
    </row>
    <row r="49" customFormat="false" ht="15" hidden="false" customHeight="false" outlineLevel="0" collapsed="false">
      <c r="B49" s="21" t="n">
        <v>47</v>
      </c>
      <c r="C49" s="22" t="s">
        <v>2</v>
      </c>
      <c r="D49" s="23" t="s">
        <v>18</v>
      </c>
      <c r="E49" s="24" t="s">
        <v>36</v>
      </c>
      <c r="F49" s="24" t="s">
        <v>45</v>
      </c>
      <c r="G49" s="24" t="s">
        <v>46</v>
      </c>
      <c r="H49" s="24" t="n">
        <v>89162</v>
      </c>
      <c r="I49" s="24" t="n">
        <v>3851254</v>
      </c>
      <c r="J49" s="25" t="n">
        <v>44083</v>
      </c>
      <c r="K49" s="26" t="s">
        <v>22</v>
      </c>
      <c r="L49" s="27" t="s">
        <v>24</v>
      </c>
      <c r="M49" s="28"/>
    </row>
    <row r="50" customFormat="false" ht="15" hidden="false" customHeight="false" outlineLevel="0" collapsed="false">
      <c r="B50" s="21" t="n">
        <v>48</v>
      </c>
      <c r="C50" s="22" t="s">
        <v>2</v>
      </c>
      <c r="D50" s="23"/>
      <c r="E50" s="24"/>
      <c r="F50" s="24"/>
      <c r="G50" s="24"/>
      <c r="H50" s="24"/>
      <c r="I50" s="24"/>
      <c r="J50" s="25" t="n">
        <v>44083</v>
      </c>
      <c r="K50" s="26" t="s">
        <v>22</v>
      </c>
      <c r="L50" s="27" t="s">
        <v>24</v>
      </c>
      <c r="M50" s="28"/>
    </row>
    <row r="51" customFormat="false" ht="15" hidden="false" customHeight="false" outlineLevel="0" collapsed="false">
      <c r="B51" s="21" t="n">
        <v>49</v>
      </c>
      <c r="C51" s="22" t="s">
        <v>2</v>
      </c>
      <c r="D51" s="23"/>
      <c r="E51" s="24"/>
      <c r="F51" s="24"/>
      <c r="G51" s="24"/>
      <c r="H51" s="24"/>
      <c r="I51" s="24"/>
      <c r="J51" s="25" t="n">
        <v>44083</v>
      </c>
      <c r="K51" s="26" t="s">
        <v>22</v>
      </c>
      <c r="L51" s="27" t="s">
        <v>24</v>
      </c>
      <c r="M51" s="28"/>
    </row>
    <row r="52" customFormat="false" ht="15" hidden="false" customHeight="false" outlineLevel="0" collapsed="false">
      <c r="B52" s="21" t="n">
        <v>50</v>
      </c>
      <c r="C52" s="22" t="s">
        <v>2</v>
      </c>
      <c r="D52" s="23"/>
      <c r="E52" s="24"/>
      <c r="F52" s="24"/>
      <c r="G52" s="24"/>
      <c r="H52" s="24"/>
      <c r="I52" s="24"/>
      <c r="J52" s="25" t="n">
        <v>44083</v>
      </c>
      <c r="K52" s="26" t="s">
        <v>22</v>
      </c>
      <c r="L52" s="27" t="s">
        <v>24</v>
      </c>
      <c r="M52" s="28"/>
    </row>
    <row r="53" customFormat="false" ht="13.8" hidden="false" customHeight="false" outlineLevel="0" collapsed="false">
      <c r="B53" s="21" t="n">
        <v>51</v>
      </c>
      <c r="C53" s="22" t="s">
        <v>2</v>
      </c>
      <c r="D53" s="23"/>
      <c r="E53" s="24"/>
      <c r="F53" s="24"/>
      <c r="G53" s="24"/>
      <c r="H53" s="24"/>
      <c r="I53" s="24"/>
      <c r="J53" s="25" t="n">
        <v>44083</v>
      </c>
      <c r="K53" s="26" t="s">
        <v>22</v>
      </c>
      <c r="L53" s="27" t="s">
        <v>24</v>
      </c>
      <c r="M53" s="28"/>
    </row>
    <row r="54" customFormat="false" ht="15" hidden="false" customHeight="false" outlineLevel="0" collapsed="false">
      <c r="B54" s="21" t="n">
        <v>52</v>
      </c>
      <c r="C54" s="22" t="s">
        <v>2</v>
      </c>
      <c r="D54" s="23"/>
      <c r="E54" s="24"/>
      <c r="F54" s="24"/>
      <c r="G54" s="24"/>
      <c r="H54" s="24"/>
      <c r="I54" s="24"/>
      <c r="J54" s="25" t="n">
        <v>44083</v>
      </c>
      <c r="K54" s="26" t="s">
        <v>22</v>
      </c>
      <c r="L54" s="27" t="s">
        <v>24</v>
      </c>
      <c r="M54" s="28"/>
    </row>
    <row r="55" customFormat="false" ht="15" hidden="false" customHeight="false" outlineLevel="0" collapsed="false">
      <c r="B55" s="21" t="n">
        <v>53</v>
      </c>
      <c r="C55" s="22" t="s">
        <v>2</v>
      </c>
      <c r="D55" s="23"/>
      <c r="E55" s="24"/>
      <c r="F55" s="24"/>
      <c r="G55" s="24"/>
      <c r="H55" s="24"/>
      <c r="I55" s="24"/>
      <c r="J55" s="25" t="n">
        <v>44083</v>
      </c>
      <c r="K55" s="26" t="s">
        <v>22</v>
      </c>
      <c r="L55" s="27" t="s">
        <v>24</v>
      </c>
      <c r="M55" s="28"/>
    </row>
    <row r="56" customFormat="false" ht="15" hidden="false" customHeight="false" outlineLevel="0" collapsed="false">
      <c r="B56" s="21" t="n">
        <v>54</v>
      </c>
      <c r="C56" s="22" t="s">
        <v>2</v>
      </c>
      <c r="D56" s="23"/>
      <c r="E56" s="24"/>
      <c r="F56" s="24"/>
      <c r="G56" s="24"/>
      <c r="H56" s="24"/>
      <c r="I56" s="24"/>
      <c r="J56" s="25" t="n">
        <v>44083</v>
      </c>
      <c r="K56" s="26" t="s">
        <v>22</v>
      </c>
      <c r="L56" s="27" t="s">
        <v>24</v>
      </c>
      <c r="M56" s="28"/>
    </row>
    <row r="57" customFormat="false" ht="15" hidden="false" customHeight="false" outlineLevel="0" collapsed="false">
      <c r="B57" s="21" t="n">
        <v>55</v>
      </c>
      <c r="C57" s="22" t="s">
        <v>2</v>
      </c>
      <c r="D57" s="23" t="s">
        <v>18</v>
      </c>
      <c r="E57" s="24" t="s">
        <v>19</v>
      </c>
      <c r="F57" s="24" t="s">
        <v>20</v>
      </c>
      <c r="G57" s="24" t="s">
        <v>21</v>
      </c>
      <c r="H57" s="24" t="n">
        <v>88047</v>
      </c>
      <c r="I57" s="24" t="n">
        <v>3553144</v>
      </c>
      <c r="J57" s="25" t="n">
        <v>44083</v>
      </c>
      <c r="K57" s="26" t="s">
        <v>22</v>
      </c>
      <c r="L57" s="27" t="s">
        <v>29</v>
      </c>
      <c r="M57" s="28"/>
    </row>
    <row r="58" customFormat="false" ht="15" hidden="false" customHeight="false" outlineLevel="0" collapsed="false">
      <c r="B58" s="21" t="n">
        <v>56</v>
      </c>
      <c r="C58" s="22" t="s">
        <v>2</v>
      </c>
      <c r="D58" s="23" t="s">
        <v>18</v>
      </c>
      <c r="E58" s="24" t="s">
        <v>19</v>
      </c>
      <c r="F58" s="24" t="s">
        <v>27</v>
      </c>
      <c r="G58" s="24" t="s">
        <v>28</v>
      </c>
      <c r="H58" s="24" t="n">
        <v>87051</v>
      </c>
      <c r="I58" s="24" t="n">
        <v>3409670</v>
      </c>
      <c r="J58" s="25" t="n">
        <v>44083</v>
      </c>
      <c r="K58" s="26" t="s">
        <v>22</v>
      </c>
      <c r="L58" s="27" t="s">
        <v>29</v>
      </c>
      <c r="M58" s="28"/>
    </row>
    <row r="59" customFormat="false" ht="15" hidden="false" customHeight="false" outlineLevel="0" collapsed="false">
      <c r="B59" s="21" t="n">
        <v>57</v>
      </c>
      <c r="C59" s="22" t="s">
        <v>2</v>
      </c>
      <c r="D59" s="23" t="s">
        <v>18</v>
      </c>
      <c r="E59" s="24" t="s">
        <v>36</v>
      </c>
      <c r="F59" s="24" t="s">
        <v>47</v>
      </c>
      <c r="G59" s="24" t="s">
        <v>48</v>
      </c>
      <c r="H59" s="24" t="n">
        <v>89176</v>
      </c>
      <c r="I59" s="24" t="n">
        <v>3851265</v>
      </c>
      <c r="J59" s="25" t="n">
        <v>44083</v>
      </c>
      <c r="K59" s="26" t="s">
        <v>22</v>
      </c>
      <c r="L59" s="27" t="s">
        <v>29</v>
      </c>
      <c r="M59" s="28"/>
    </row>
    <row r="60" customFormat="false" ht="15" hidden="false" customHeight="false" outlineLevel="0" collapsed="false">
      <c r="B60" s="21" t="n">
        <v>58</v>
      </c>
      <c r="C60" s="22" t="s">
        <v>2</v>
      </c>
      <c r="D60" s="23" t="s">
        <v>18</v>
      </c>
      <c r="E60" s="24" t="s">
        <v>36</v>
      </c>
      <c r="F60" s="24" t="s">
        <v>49</v>
      </c>
      <c r="G60" s="24" t="s">
        <v>51</v>
      </c>
      <c r="H60" s="24" t="n">
        <v>89152</v>
      </c>
      <c r="I60" s="24" t="n">
        <v>3851228</v>
      </c>
      <c r="J60" s="25" t="n">
        <v>44083</v>
      </c>
      <c r="K60" s="26" t="s">
        <v>22</v>
      </c>
      <c r="L60" s="27" t="s">
        <v>29</v>
      </c>
      <c r="M60" s="28"/>
    </row>
    <row r="61" customFormat="false" ht="13.8" hidden="false" customHeight="false" outlineLevel="0" collapsed="false">
      <c r="B61" s="21" t="n">
        <v>59</v>
      </c>
      <c r="C61" s="22" t="s">
        <v>2</v>
      </c>
      <c r="D61" s="23" t="s">
        <v>18</v>
      </c>
      <c r="E61" s="24" t="s">
        <v>36</v>
      </c>
      <c r="F61" s="24" t="s">
        <v>41</v>
      </c>
      <c r="G61" s="24" t="s">
        <v>42</v>
      </c>
      <c r="H61" s="24" t="n">
        <v>89172</v>
      </c>
      <c r="I61" s="29" t="n">
        <v>3851276</v>
      </c>
      <c r="J61" s="25" t="n">
        <v>44083</v>
      </c>
      <c r="K61" s="26" t="s">
        <v>22</v>
      </c>
      <c r="L61" s="27" t="s">
        <v>29</v>
      </c>
      <c r="M61" s="28"/>
    </row>
    <row r="62" customFormat="false" ht="15" hidden="false" customHeight="false" outlineLevel="0" collapsed="false">
      <c r="B62" s="21" t="n">
        <v>60</v>
      </c>
      <c r="C62" s="22" t="s">
        <v>2</v>
      </c>
      <c r="D62" s="23" t="s">
        <v>18</v>
      </c>
      <c r="E62" s="24" t="s">
        <v>36</v>
      </c>
      <c r="F62" s="24" t="s">
        <v>43</v>
      </c>
      <c r="G62" s="24" t="s">
        <v>44</v>
      </c>
      <c r="H62" s="24" t="n">
        <v>89164</v>
      </c>
      <c r="I62" s="24" t="n">
        <v>3851225</v>
      </c>
      <c r="J62" s="25" t="n">
        <v>44083</v>
      </c>
      <c r="K62" s="26" t="s">
        <v>22</v>
      </c>
      <c r="L62" s="27" t="s">
        <v>29</v>
      </c>
      <c r="M62" s="28"/>
    </row>
    <row r="63" customFormat="false" ht="13.8" hidden="false" customHeight="false" outlineLevel="0" collapsed="false">
      <c r="B63" s="21" t="n">
        <v>61</v>
      </c>
      <c r="C63" s="22" t="s">
        <v>2</v>
      </c>
      <c r="D63" s="23" t="s">
        <v>18</v>
      </c>
      <c r="E63" s="24" t="s">
        <v>36</v>
      </c>
      <c r="F63" s="24" t="s">
        <v>45</v>
      </c>
      <c r="G63" s="24" t="s">
        <v>46</v>
      </c>
      <c r="H63" s="24" t="n">
        <v>89162</v>
      </c>
      <c r="I63" s="24" t="n">
        <v>3851254</v>
      </c>
      <c r="J63" s="25" t="n">
        <v>44083</v>
      </c>
      <c r="K63" s="26" t="s">
        <v>22</v>
      </c>
      <c r="L63" s="27" t="s">
        <v>29</v>
      </c>
      <c r="M63" s="28"/>
    </row>
    <row r="64" customFormat="false" ht="15" hidden="true" customHeight="false" outlineLevel="0" collapsed="false">
      <c r="B64" s="21" t="n">
        <v>62</v>
      </c>
      <c r="C64" s="22" t="s">
        <v>2</v>
      </c>
      <c r="D64" s="23"/>
      <c r="E64" s="24"/>
      <c r="F64" s="24"/>
      <c r="G64" s="24"/>
      <c r="H64" s="24"/>
      <c r="I64" s="24"/>
      <c r="J64" s="25" t="n">
        <v>44083</v>
      </c>
      <c r="K64" s="26" t="s">
        <v>22</v>
      </c>
      <c r="L64" s="27" t="s">
        <v>52</v>
      </c>
      <c r="M64" s="28"/>
    </row>
    <row r="65" customFormat="false" ht="15" hidden="true" customHeight="false" outlineLevel="0" collapsed="false">
      <c r="B65" s="21" t="n">
        <v>63</v>
      </c>
      <c r="C65" s="22" t="s">
        <v>2</v>
      </c>
      <c r="D65" s="23"/>
      <c r="E65" s="24"/>
      <c r="F65" s="24"/>
      <c r="G65" s="24"/>
      <c r="H65" s="24"/>
      <c r="I65" s="24"/>
      <c r="J65" s="25" t="n">
        <v>44083</v>
      </c>
      <c r="K65" s="26" t="s">
        <v>22</v>
      </c>
      <c r="L65" s="27" t="s">
        <v>52</v>
      </c>
      <c r="M65" s="28"/>
    </row>
    <row r="66" customFormat="false" ht="15" hidden="true" customHeight="false" outlineLevel="0" collapsed="false">
      <c r="B66" s="21" t="n">
        <v>64</v>
      </c>
      <c r="C66" s="22" t="s">
        <v>2</v>
      </c>
      <c r="D66" s="23" t="s">
        <v>31</v>
      </c>
      <c r="E66" s="24" t="s">
        <v>32</v>
      </c>
      <c r="F66" s="24" t="s">
        <v>33</v>
      </c>
      <c r="G66" s="24" t="s">
        <v>34</v>
      </c>
      <c r="H66" s="24" t="n">
        <v>81664</v>
      </c>
      <c r="I66" s="24" t="n">
        <v>2024463</v>
      </c>
      <c r="J66" s="25" t="n">
        <v>44083</v>
      </c>
      <c r="K66" s="26" t="s">
        <v>22</v>
      </c>
      <c r="L66" s="27" t="s">
        <v>30</v>
      </c>
      <c r="M66" s="28"/>
    </row>
    <row r="67" customFormat="false" ht="15" hidden="true" customHeight="false" outlineLevel="0" collapsed="false">
      <c r="B67" s="21" t="n">
        <v>65</v>
      </c>
      <c r="C67" s="22" t="s">
        <v>2</v>
      </c>
      <c r="D67" s="23"/>
      <c r="E67" s="24"/>
      <c r="F67" s="24"/>
      <c r="G67" s="24"/>
      <c r="H67" s="24"/>
      <c r="I67" s="24"/>
      <c r="J67" s="25" t="n">
        <v>44083</v>
      </c>
      <c r="K67" s="26" t="s">
        <v>22</v>
      </c>
      <c r="L67" s="27" t="s">
        <v>30</v>
      </c>
      <c r="M67" s="28"/>
    </row>
    <row r="68" customFormat="false" ht="15" hidden="true" customHeight="false" outlineLevel="0" collapsed="false">
      <c r="B68" s="21" t="n">
        <v>66</v>
      </c>
      <c r="C68" s="22" t="s">
        <v>2</v>
      </c>
      <c r="D68" s="23"/>
      <c r="E68" s="24"/>
      <c r="F68" s="24"/>
      <c r="G68" s="24"/>
      <c r="H68" s="24"/>
      <c r="I68" s="24"/>
      <c r="J68" s="25" t="n">
        <v>44083</v>
      </c>
      <c r="K68" s="26" t="s">
        <v>22</v>
      </c>
      <c r="L68" s="27" t="s">
        <v>30</v>
      </c>
      <c r="M68" s="28"/>
    </row>
    <row r="69" customFormat="false" ht="15" hidden="true" customHeight="false" outlineLevel="0" collapsed="false">
      <c r="B69" s="21" t="n">
        <v>67</v>
      </c>
      <c r="C69" s="22" t="s">
        <v>2</v>
      </c>
      <c r="D69" s="23"/>
      <c r="E69" s="24"/>
      <c r="F69" s="24"/>
      <c r="G69" s="24"/>
      <c r="H69" s="24"/>
      <c r="I69" s="24"/>
      <c r="J69" s="25" t="n">
        <v>44083</v>
      </c>
      <c r="K69" s="26" t="s">
        <v>22</v>
      </c>
      <c r="L69" s="27" t="s">
        <v>30</v>
      </c>
      <c r="M69" s="28"/>
    </row>
    <row r="70" customFormat="false" ht="15" hidden="true" customHeight="false" outlineLevel="0" collapsed="false">
      <c r="B70" s="21" t="n">
        <v>68</v>
      </c>
      <c r="C70" s="22" t="s">
        <v>2</v>
      </c>
      <c r="D70" s="23"/>
      <c r="E70" s="24"/>
      <c r="F70" s="24"/>
      <c r="G70" s="24"/>
      <c r="H70" s="24"/>
      <c r="I70" s="24"/>
      <c r="J70" s="25" t="n">
        <v>44083</v>
      </c>
      <c r="K70" s="26" t="s">
        <v>22</v>
      </c>
      <c r="L70" s="27" t="s">
        <v>30</v>
      </c>
      <c r="M70" s="28"/>
    </row>
    <row r="71" customFormat="false" ht="15" hidden="true" customHeight="false" outlineLevel="0" collapsed="false">
      <c r="B71" s="21" t="n">
        <v>69</v>
      </c>
      <c r="C71" s="22" t="s">
        <v>2</v>
      </c>
      <c r="D71" s="23"/>
      <c r="E71" s="24"/>
      <c r="F71" s="24"/>
      <c r="G71" s="24"/>
      <c r="H71" s="24"/>
      <c r="I71" s="24"/>
      <c r="J71" s="25" t="n">
        <v>44083</v>
      </c>
      <c r="K71" s="26" t="s">
        <v>22</v>
      </c>
      <c r="L71" s="27" t="s">
        <v>53</v>
      </c>
      <c r="M71" s="28"/>
    </row>
    <row r="72" customFormat="false" ht="15" hidden="true" customHeight="false" outlineLevel="0" collapsed="false">
      <c r="B72" s="21" t="n">
        <v>70</v>
      </c>
      <c r="C72" s="22" t="s">
        <v>2</v>
      </c>
      <c r="D72" s="23"/>
      <c r="E72" s="24"/>
      <c r="F72" s="24"/>
      <c r="G72" s="24"/>
      <c r="H72" s="24"/>
      <c r="I72" s="24"/>
      <c r="J72" s="25" t="n">
        <v>44083</v>
      </c>
      <c r="K72" s="26" t="s">
        <v>22</v>
      </c>
      <c r="L72" s="27" t="s">
        <v>53</v>
      </c>
      <c r="M72" s="28"/>
    </row>
    <row r="73" customFormat="false" ht="15" hidden="true" customHeight="false" outlineLevel="0" collapsed="false">
      <c r="B73" s="21" t="n">
        <v>71</v>
      </c>
      <c r="C73" s="22" t="s">
        <v>2</v>
      </c>
      <c r="D73" s="23"/>
      <c r="E73" s="24"/>
      <c r="F73" s="24"/>
      <c r="G73" s="24"/>
      <c r="H73" s="24"/>
      <c r="I73" s="24"/>
      <c r="J73" s="25" t="n">
        <v>44083</v>
      </c>
      <c r="K73" s="26" t="s">
        <v>22</v>
      </c>
      <c r="L73" s="27" t="s">
        <v>53</v>
      </c>
      <c r="M73" s="28"/>
    </row>
    <row r="74" customFormat="false" ht="15" hidden="true" customHeight="false" outlineLevel="0" collapsed="false">
      <c r="B74" s="21" t="n">
        <v>72</v>
      </c>
      <c r="C74" s="22" t="s">
        <v>2</v>
      </c>
      <c r="D74" s="23"/>
      <c r="E74" s="24"/>
      <c r="F74" s="24"/>
      <c r="G74" s="24"/>
      <c r="H74" s="24"/>
      <c r="I74" s="24"/>
      <c r="J74" s="25" t="n">
        <v>44083</v>
      </c>
      <c r="K74" s="26" t="s">
        <v>22</v>
      </c>
      <c r="L74" s="27" t="s">
        <v>53</v>
      </c>
      <c r="M74" s="28"/>
    </row>
    <row r="75" customFormat="false" ht="15" hidden="true" customHeight="false" outlineLevel="0" collapsed="false">
      <c r="B75" s="21" t="n">
        <v>73</v>
      </c>
      <c r="C75" s="22" t="s">
        <v>2</v>
      </c>
      <c r="D75" s="23"/>
      <c r="E75" s="24"/>
      <c r="F75" s="24"/>
      <c r="G75" s="24"/>
      <c r="H75" s="24"/>
      <c r="I75" s="24"/>
      <c r="J75" s="25" t="n">
        <v>44083</v>
      </c>
      <c r="K75" s="26" t="s">
        <v>22</v>
      </c>
      <c r="L75" s="27" t="s">
        <v>53</v>
      </c>
      <c r="M75" s="28"/>
    </row>
    <row r="76" customFormat="false" ht="15" hidden="false" customHeight="false" outlineLevel="0" collapsed="false">
      <c r="B76" s="21" t="n">
        <v>74</v>
      </c>
      <c r="C76" s="22" t="s">
        <v>2</v>
      </c>
      <c r="D76" s="23" t="s">
        <v>18</v>
      </c>
      <c r="E76" s="24" t="s">
        <v>19</v>
      </c>
      <c r="F76" s="24" t="s">
        <v>20</v>
      </c>
      <c r="G76" s="24" t="s">
        <v>21</v>
      </c>
      <c r="H76" s="24" t="n">
        <v>88047</v>
      </c>
      <c r="I76" s="24" t="n">
        <v>3553144</v>
      </c>
      <c r="J76" s="25" t="n">
        <v>44084</v>
      </c>
      <c r="K76" s="26" t="s">
        <v>22</v>
      </c>
      <c r="L76" s="27" t="s">
        <v>23</v>
      </c>
      <c r="M76" s="28"/>
    </row>
    <row r="77" customFormat="false" ht="15" hidden="false" customHeight="false" outlineLevel="0" collapsed="false">
      <c r="B77" s="21" t="n">
        <v>75</v>
      </c>
      <c r="C77" s="22" t="s">
        <v>2</v>
      </c>
      <c r="D77" s="23" t="s">
        <v>18</v>
      </c>
      <c r="E77" s="24" t="s">
        <v>19</v>
      </c>
      <c r="F77" s="24" t="s">
        <v>25</v>
      </c>
      <c r="G77" s="24" t="s">
        <v>26</v>
      </c>
      <c r="H77" s="24" t="n">
        <v>87049</v>
      </c>
      <c r="I77" s="24" t="n">
        <v>1632745</v>
      </c>
      <c r="J77" s="25" t="n">
        <v>44084</v>
      </c>
      <c r="K77" s="26" t="s">
        <v>22</v>
      </c>
      <c r="L77" s="27" t="s">
        <v>23</v>
      </c>
      <c r="M77" s="28"/>
    </row>
    <row r="78" customFormat="false" ht="15" hidden="false" customHeight="false" outlineLevel="0" collapsed="false">
      <c r="B78" s="21" t="n">
        <v>76</v>
      </c>
      <c r="C78" s="22" t="s">
        <v>2</v>
      </c>
      <c r="D78" s="23" t="s">
        <v>18</v>
      </c>
      <c r="E78" s="24" t="s">
        <v>19</v>
      </c>
      <c r="F78" s="24" t="s">
        <v>27</v>
      </c>
      <c r="G78" s="24" t="s">
        <v>28</v>
      </c>
      <c r="H78" s="24" t="n">
        <v>87051</v>
      </c>
      <c r="I78" s="24" t="n">
        <v>3409670</v>
      </c>
      <c r="J78" s="25" t="n">
        <v>44084</v>
      </c>
      <c r="K78" s="26" t="s">
        <v>22</v>
      </c>
      <c r="L78" s="27" t="s">
        <v>23</v>
      </c>
      <c r="M78" s="28"/>
    </row>
    <row r="79" customFormat="false" ht="15" hidden="false" customHeight="false" outlineLevel="0" collapsed="false">
      <c r="B79" s="21" t="n">
        <v>77</v>
      </c>
      <c r="C79" s="22" t="s">
        <v>2</v>
      </c>
      <c r="D79" s="23" t="s">
        <v>18</v>
      </c>
      <c r="E79" s="24" t="s">
        <v>54</v>
      </c>
      <c r="F79" s="24" t="s">
        <v>55</v>
      </c>
      <c r="G79" s="24" t="s">
        <v>51</v>
      </c>
      <c r="H79" s="24" t="n">
        <v>87314</v>
      </c>
      <c r="I79" s="24" t="n">
        <v>3462518</v>
      </c>
      <c r="J79" s="25" t="n">
        <v>44084</v>
      </c>
      <c r="K79" s="26" t="s">
        <v>22</v>
      </c>
      <c r="L79" s="27" t="s">
        <v>23</v>
      </c>
      <c r="M79" s="28"/>
    </row>
    <row r="80" customFormat="false" ht="15" hidden="false" customHeight="false" outlineLevel="0" collapsed="false">
      <c r="B80" s="21" t="n">
        <v>78</v>
      </c>
      <c r="C80" s="22" t="s">
        <v>2</v>
      </c>
      <c r="D80" s="23" t="s">
        <v>18</v>
      </c>
      <c r="E80" s="24" t="s">
        <v>19</v>
      </c>
      <c r="F80" s="24" t="s">
        <v>20</v>
      </c>
      <c r="G80" s="24" t="s">
        <v>21</v>
      </c>
      <c r="H80" s="24" t="n">
        <v>88047</v>
      </c>
      <c r="I80" s="24" t="n">
        <v>3553144</v>
      </c>
      <c r="J80" s="25" t="n">
        <v>44084</v>
      </c>
      <c r="K80" s="26" t="s">
        <v>22</v>
      </c>
      <c r="L80" s="27" t="s">
        <v>24</v>
      </c>
      <c r="M80" s="28"/>
    </row>
    <row r="81" customFormat="false" ht="15" hidden="false" customHeight="false" outlineLevel="0" collapsed="false">
      <c r="B81" s="21" t="n">
        <v>79</v>
      </c>
      <c r="C81" s="22" t="s">
        <v>2</v>
      </c>
      <c r="D81" s="23" t="s">
        <v>18</v>
      </c>
      <c r="E81" s="24" t="s">
        <v>19</v>
      </c>
      <c r="F81" s="24" t="s">
        <v>25</v>
      </c>
      <c r="G81" s="24" t="s">
        <v>26</v>
      </c>
      <c r="H81" s="24" t="n">
        <v>87049</v>
      </c>
      <c r="I81" s="24" t="n">
        <v>1632745</v>
      </c>
      <c r="J81" s="25" t="n">
        <v>44084</v>
      </c>
      <c r="K81" s="26" t="s">
        <v>22</v>
      </c>
      <c r="L81" s="27" t="s">
        <v>24</v>
      </c>
      <c r="M81" s="28"/>
    </row>
    <row r="82" customFormat="false" ht="15" hidden="false" customHeight="false" outlineLevel="0" collapsed="false">
      <c r="B82" s="21" t="n">
        <v>80</v>
      </c>
      <c r="C82" s="22" t="s">
        <v>2</v>
      </c>
      <c r="D82" s="23" t="s">
        <v>18</v>
      </c>
      <c r="E82" s="24" t="s">
        <v>19</v>
      </c>
      <c r="F82" s="24" t="s">
        <v>27</v>
      </c>
      <c r="G82" s="24" t="s">
        <v>28</v>
      </c>
      <c r="H82" s="24" t="n">
        <v>87051</v>
      </c>
      <c r="I82" s="24" t="n">
        <v>3409670</v>
      </c>
      <c r="J82" s="25" t="n">
        <v>44084</v>
      </c>
      <c r="K82" s="26" t="s">
        <v>22</v>
      </c>
      <c r="L82" s="27" t="s">
        <v>24</v>
      </c>
      <c r="M82" s="28"/>
    </row>
    <row r="83" customFormat="false" ht="15" hidden="false" customHeight="false" outlineLevel="0" collapsed="false">
      <c r="B83" s="21" t="n">
        <v>81</v>
      </c>
      <c r="C83" s="22" t="s">
        <v>2</v>
      </c>
      <c r="D83" s="23"/>
      <c r="E83" s="24"/>
      <c r="F83" s="24"/>
      <c r="G83" s="24"/>
      <c r="H83" s="24"/>
      <c r="I83" s="24"/>
      <c r="J83" s="25" t="n">
        <v>44084</v>
      </c>
      <c r="K83" s="26" t="s">
        <v>22</v>
      </c>
      <c r="L83" s="27" t="s">
        <v>24</v>
      </c>
      <c r="M83" s="28"/>
    </row>
    <row r="84" customFormat="false" ht="15" hidden="true" customHeight="false" outlineLevel="0" collapsed="false">
      <c r="B84" s="21" t="n">
        <v>82</v>
      </c>
      <c r="C84" s="22" t="s">
        <v>2</v>
      </c>
      <c r="D84" s="23"/>
      <c r="E84" s="24"/>
      <c r="F84" s="24"/>
      <c r="G84" s="24"/>
      <c r="H84" s="24"/>
      <c r="I84" s="24"/>
      <c r="J84" s="25" t="n">
        <v>44084</v>
      </c>
      <c r="K84" s="26" t="s">
        <v>22</v>
      </c>
      <c r="L84" s="27" t="s">
        <v>30</v>
      </c>
      <c r="M84" s="28"/>
    </row>
    <row r="85" customFormat="false" ht="15" hidden="false" customHeight="false" outlineLevel="0" collapsed="false">
      <c r="B85" s="21" t="n">
        <v>83</v>
      </c>
      <c r="C85" s="22" t="s">
        <v>2</v>
      </c>
      <c r="D85" s="23" t="s">
        <v>18</v>
      </c>
      <c r="E85" s="24" t="s">
        <v>19</v>
      </c>
      <c r="F85" s="24" t="s">
        <v>20</v>
      </c>
      <c r="G85" s="24" t="s">
        <v>21</v>
      </c>
      <c r="H85" s="24" t="n">
        <v>88047</v>
      </c>
      <c r="I85" s="24" t="n">
        <v>3553144</v>
      </c>
      <c r="J85" s="25" t="n">
        <v>44085</v>
      </c>
      <c r="K85" s="26" t="s">
        <v>22</v>
      </c>
      <c r="L85" s="27" t="s">
        <v>23</v>
      </c>
      <c r="M85" s="28"/>
    </row>
    <row r="86" customFormat="false" ht="15" hidden="false" customHeight="false" outlineLevel="0" collapsed="false">
      <c r="B86" s="21" t="n">
        <v>84</v>
      </c>
      <c r="C86" s="22" t="s">
        <v>2</v>
      </c>
      <c r="D86" s="23" t="s">
        <v>18</v>
      </c>
      <c r="E86" s="24" t="s">
        <v>19</v>
      </c>
      <c r="F86" s="24" t="s">
        <v>25</v>
      </c>
      <c r="G86" s="24" t="s">
        <v>26</v>
      </c>
      <c r="H86" s="24" t="n">
        <v>87049</v>
      </c>
      <c r="I86" s="24" t="n">
        <v>1632745</v>
      </c>
      <c r="J86" s="25" t="n">
        <v>44085</v>
      </c>
      <c r="K86" s="26" t="s">
        <v>22</v>
      </c>
      <c r="L86" s="27" t="s">
        <v>23</v>
      </c>
      <c r="M86" s="28"/>
    </row>
    <row r="87" customFormat="false" ht="15" hidden="false" customHeight="false" outlineLevel="0" collapsed="false">
      <c r="B87" s="21" t="n">
        <v>85</v>
      </c>
      <c r="C87" s="22" t="s">
        <v>2</v>
      </c>
      <c r="D87" s="23" t="s">
        <v>18</v>
      </c>
      <c r="E87" s="24" t="s">
        <v>54</v>
      </c>
      <c r="F87" s="24" t="s">
        <v>55</v>
      </c>
      <c r="G87" s="24" t="s">
        <v>51</v>
      </c>
      <c r="H87" s="24" t="n">
        <v>87314</v>
      </c>
      <c r="I87" s="24" t="n">
        <v>3462518</v>
      </c>
      <c r="J87" s="25" t="n">
        <v>44085</v>
      </c>
      <c r="K87" s="26" t="s">
        <v>22</v>
      </c>
      <c r="L87" s="27" t="s">
        <v>23</v>
      </c>
      <c r="M87" s="28"/>
    </row>
    <row r="88" customFormat="false" ht="13.8" hidden="false" customHeight="false" outlineLevel="0" collapsed="false">
      <c r="B88" s="21" t="n">
        <v>86</v>
      </c>
      <c r="C88" s="22" t="s">
        <v>2</v>
      </c>
      <c r="D88" s="23" t="s">
        <v>18</v>
      </c>
      <c r="E88" s="24" t="s">
        <v>36</v>
      </c>
      <c r="F88" s="24" t="s">
        <v>56</v>
      </c>
      <c r="G88" s="24" t="s">
        <v>57</v>
      </c>
      <c r="H88" s="24" t="n">
        <v>89177</v>
      </c>
      <c r="I88" s="30" t="n">
        <v>3851264</v>
      </c>
      <c r="J88" s="25" t="n">
        <v>44085</v>
      </c>
      <c r="K88" s="26" t="s">
        <v>22</v>
      </c>
      <c r="L88" s="27" t="s">
        <v>23</v>
      </c>
      <c r="M88" s="28"/>
    </row>
    <row r="89" customFormat="false" ht="13.8" hidden="false" customHeight="false" outlineLevel="0" collapsed="false">
      <c r="B89" s="21" t="n">
        <v>87</v>
      </c>
      <c r="C89" s="22" t="s">
        <v>2</v>
      </c>
      <c r="D89" s="23" t="s">
        <v>18</v>
      </c>
      <c r="E89" s="24" t="s">
        <v>36</v>
      </c>
      <c r="F89" s="24" t="s">
        <v>45</v>
      </c>
      <c r="G89" s="24" t="s">
        <v>46</v>
      </c>
      <c r="H89" s="24" t="n">
        <v>89162</v>
      </c>
      <c r="I89" s="24" t="n">
        <v>3851254</v>
      </c>
      <c r="J89" s="25" t="n">
        <v>44085</v>
      </c>
      <c r="K89" s="26" t="s">
        <v>22</v>
      </c>
      <c r="L89" s="27" t="s">
        <v>23</v>
      </c>
      <c r="M89" s="28"/>
    </row>
    <row r="90" customFormat="false" ht="15" hidden="false" customHeight="false" outlineLevel="0" collapsed="false">
      <c r="B90" s="21" t="n">
        <v>88</v>
      </c>
      <c r="C90" s="22" t="s">
        <v>2</v>
      </c>
      <c r="D90" s="23"/>
      <c r="E90" s="24"/>
      <c r="F90" s="24"/>
      <c r="G90" s="24"/>
      <c r="H90" s="24"/>
      <c r="I90" s="24"/>
      <c r="J90" s="25" t="n">
        <v>44085</v>
      </c>
      <c r="K90" s="26" t="s">
        <v>22</v>
      </c>
      <c r="L90" s="27" t="s">
        <v>23</v>
      </c>
      <c r="M90" s="28"/>
    </row>
    <row r="91" customFormat="false" ht="15" hidden="false" customHeight="false" outlineLevel="0" collapsed="false">
      <c r="B91" s="21" t="n">
        <v>89</v>
      </c>
      <c r="C91" s="22" t="s">
        <v>2</v>
      </c>
      <c r="D91" s="23"/>
      <c r="E91" s="24"/>
      <c r="F91" s="24"/>
      <c r="G91" s="24"/>
      <c r="H91" s="24"/>
      <c r="I91" s="24"/>
      <c r="J91" s="25" t="n">
        <v>44085</v>
      </c>
      <c r="K91" s="26" t="s">
        <v>22</v>
      </c>
      <c r="L91" s="27" t="s">
        <v>23</v>
      </c>
      <c r="M91" s="28"/>
    </row>
    <row r="92" customFormat="false" ht="15" hidden="false" customHeight="false" outlineLevel="0" collapsed="false">
      <c r="B92" s="21" t="n">
        <v>90</v>
      </c>
      <c r="C92" s="22" t="s">
        <v>2</v>
      </c>
      <c r="D92" s="23"/>
      <c r="E92" s="24"/>
      <c r="F92" s="24"/>
      <c r="G92" s="24"/>
      <c r="H92" s="24"/>
      <c r="I92" s="24"/>
      <c r="J92" s="25" t="n">
        <v>44085</v>
      </c>
      <c r="K92" s="26" t="s">
        <v>22</v>
      </c>
      <c r="L92" s="27" t="s">
        <v>23</v>
      </c>
      <c r="M92" s="28"/>
    </row>
    <row r="93" customFormat="false" ht="15" hidden="false" customHeight="false" outlineLevel="0" collapsed="false">
      <c r="B93" s="21" t="n">
        <v>91</v>
      </c>
      <c r="C93" s="22" t="s">
        <v>2</v>
      </c>
      <c r="D93" s="23"/>
      <c r="E93" s="24"/>
      <c r="F93" s="24"/>
      <c r="G93" s="24"/>
      <c r="H93" s="24"/>
      <c r="I93" s="24"/>
      <c r="J93" s="25" t="n">
        <v>44085</v>
      </c>
      <c r="K93" s="26" t="s">
        <v>22</v>
      </c>
      <c r="L93" s="27" t="s">
        <v>23</v>
      </c>
      <c r="M93" s="28"/>
    </row>
    <row r="94" customFormat="false" ht="15" hidden="false" customHeight="false" outlineLevel="0" collapsed="false">
      <c r="B94" s="21" t="n">
        <v>92</v>
      </c>
      <c r="C94" s="22" t="s">
        <v>2</v>
      </c>
      <c r="D94" s="23"/>
      <c r="E94" s="24"/>
      <c r="F94" s="24"/>
      <c r="G94" s="24"/>
      <c r="H94" s="24"/>
      <c r="I94" s="24"/>
      <c r="J94" s="25" t="n">
        <v>44085</v>
      </c>
      <c r="K94" s="26" t="s">
        <v>22</v>
      </c>
      <c r="L94" s="27" t="s">
        <v>23</v>
      </c>
      <c r="M94" s="28"/>
    </row>
    <row r="95" customFormat="false" ht="15" hidden="false" customHeight="false" outlineLevel="0" collapsed="false">
      <c r="B95" s="21" t="n">
        <v>93</v>
      </c>
      <c r="C95" s="22" t="s">
        <v>2</v>
      </c>
      <c r="D95" s="23"/>
      <c r="E95" s="24"/>
      <c r="F95" s="24"/>
      <c r="G95" s="24"/>
      <c r="H95" s="24"/>
      <c r="I95" s="24"/>
      <c r="J95" s="25" t="n">
        <v>44085</v>
      </c>
      <c r="K95" s="26" t="s">
        <v>22</v>
      </c>
      <c r="L95" s="27" t="s">
        <v>23</v>
      </c>
      <c r="M95" s="28"/>
    </row>
    <row r="96" customFormat="false" ht="15" hidden="false" customHeight="false" outlineLevel="0" collapsed="false">
      <c r="B96" s="21" t="n">
        <v>94</v>
      </c>
      <c r="C96" s="22" t="s">
        <v>2</v>
      </c>
      <c r="D96" s="23"/>
      <c r="E96" s="24"/>
      <c r="F96" s="24"/>
      <c r="G96" s="24"/>
      <c r="H96" s="24"/>
      <c r="I96" s="24"/>
      <c r="J96" s="25" t="n">
        <v>44085</v>
      </c>
      <c r="K96" s="26" t="s">
        <v>22</v>
      </c>
      <c r="L96" s="27" t="s">
        <v>23</v>
      </c>
      <c r="M96" s="28"/>
    </row>
    <row r="97" customFormat="false" ht="15" hidden="false" customHeight="false" outlineLevel="0" collapsed="false">
      <c r="B97" s="21" t="n">
        <v>95</v>
      </c>
      <c r="C97" s="22" t="s">
        <v>2</v>
      </c>
      <c r="D97" s="23"/>
      <c r="E97" s="24"/>
      <c r="F97" s="24"/>
      <c r="G97" s="24"/>
      <c r="H97" s="24"/>
      <c r="I97" s="24"/>
      <c r="J97" s="25" t="n">
        <v>44085</v>
      </c>
      <c r="K97" s="26" t="s">
        <v>22</v>
      </c>
      <c r="L97" s="27" t="s">
        <v>23</v>
      </c>
      <c r="M97" s="28"/>
    </row>
    <row r="98" customFormat="false" ht="15" hidden="false" customHeight="false" outlineLevel="0" collapsed="false">
      <c r="B98" s="21" t="n">
        <v>96</v>
      </c>
      <c r="C98" s="22" t="s">
        <v>2</v>
      </c>
      <c r="D98" s="23" t="s">
        <v>18</v>
      </c>
      <c r="E98" s="24" t="s">
        <v>19</v>
      </c>
      <c r="F98" s="24" t="s">
        <v>27</v>
      </c>
      <c r="G98" s="24" t="s">
        <v>28</v>
      </c>
      <c r="H98" s="24" t="n">
        <v>87051</v>
      </c>
      <c r="I98" s="24" t="n">
        <v>3409670</v>
      </c>
      <c r="J98" s="25" t="n">
        <v>44085</v>
      </c>
      <c r="K98" s="26" t="s">
        <v>22</v>
      </c>
      <c r="L98" s="27" t="s">
        <v>23</v>
      </c>
      <c r="M98" s="28"/>
    </row>
    <row r="99" customFormat="false" ht="15" hidden="false" customHeight="false" outlineLevel="0" collapsed="false">
      <c r="B99" s="21" t="n">
        <v>97</v>
      </c>
      <c r="C99" s="22" t="s">
        <v>2</v>
      </c>
      <c r="D99" s="23" t="s">
        <v>18</v>
      </c>
      <c r="E99" s="24" t="s">
        <v>19</v>
      </c>
      <c r="F99" s="24" t="s">
        <v>20</v>
      </c>
      <c r="G99" s="24" t="s">
        <v>21</v>
      </c>
      <c r="H99" s="24" t="n">
        <v>88047</v>
      </c>
      <c r="I99" s="24" t="n">
        <v>3553144</v>
      </c>
      <c r="J99" s="25" t="n">
        <v>44085</v>
      </c>
      <c r="K99" s="26" t="s">
        <v>22</v>
      </c>
      <c r="L99" s="27" t="s">
        <v>24</v>
      </c>
      <c r="M99" s="28"/>
    </row>
    <row r="100" customFormat="false" ht="15" hidden="false" customHeight="false" outlineLevel="0" collapsed="false">
      <c r="B100" s="21" t="n">
        <v>98</v>
      </c>
      <c r="C100" s="22" t="s">
        <v>2</v>
      </c>
      <c r="D100" s="23" t="s">
        <v>18</v>
      </c>
      <c r="E100" s="24" t="s">
        <v>19</v>
      </c>
      <c r="F100" s="24" t="s">
        <v>25</v>
      </c>
      <c r="G100" s="24" t="s">
        <v>26</v>
      </c>
      <c r="H100" s="24" t="n">
        <v>87049</v>
      </c>
      <c r="I100" s="24" t="n">
        <v>1632745</v>
      </c>
      <c r="J100" s="25" t="n">
        <v>44085</v>
      </c>
      <c r="K100" s="26" t="s">
        <v>22</v>
      </c>
      <c r="L100" s="27" t="s">
        <v>24</v>
      </c>
      <c r="M100" s="28"/>
    </row>
    <row r="101" customFormat="false" ht="15" hidden="false" customHeight="false" outlineLevel="0" collapsed="false">
      <c r="B101" s="21" t="n">
        <v>99</v>
      </c>
      <c r="C101" s="22" t="s">
        <v>2</v>
      </c>
      <c r="D101" s="23" t="s">
        <v>18</v>
      </c>
      <c r="E101" s="24" t="s">
        <v>19</v>
      </c>
      <c r="F101" s="24" t="s">
        <v>27</v>
      </c>
      <c r="G101" s="24" t="s">
        <v>28</v>
      </c>
      <c r="H101" s="24" t="n">
        <v>87051</v>
      </c>
      <c r="I101" s="24" t="n">
        <v>3409670</v>
      </c>
      <c r="J101" s="25" t="n">
        <v>44085</v>
      </c>
      <c r="K101" s="26" t="s">
        <v>22</v>
      </c>
      <c r="L101" s="27" t="s">
        <v>24</v>
      </c>
      <c r="M101" s="28"/>
    </row>
    <row r="102" customFormat="false" ht="15" hidden="false" customHeight="false" outlineLevel="0" collapsed="false">
      <c r="B102" s="21" t="n">
        <v>100</v>
      </c>
      <c r="C102" s="22" t="s">
        <v>2</v>
      </c>
      <c r="D102" s="23" t="s">
        <v>18</v>
      </c>
      <c r="E102" s="24" t="s">
        <v>36</v>
      </c>
      <c r="F102" s="24" t="s">
        <v>56</v>
      </c>
      <c r="G102" s="24" t="s">
        <v>57</v>
      </c>
      <c r="H102" s="24" t="n">
        <v>89177</v>
      </c>
      <c r="I102" s="24" t="n">
        <v>3851264</v>
      </c>
      <c r="J102" s="25" t="n">
        <v>44085</v>
      </c>
      <c r="K102" s="26" t="s">
        <v>22</v>
      </c>
      <c r="L102" s="27" t="s">
        <v>24</v>
      </c>
      <c r="M102" s="28"/>
    </row>
    <row r="103" customFormat="false" ht="13.8" hidden="false" customHeight="false" outlineLevel="0" collapsed="false">
      <c r="B103" s="21" t="n">
        <v>101</v>
      </c>
      <c r="C103" s="22" t="s">
        <v>2</v>
      </c>
      <c r="D103" s="23" t="s">
        <v>18</v>
      </c>
      <c r="E103" s="24" t="s">
        <v>36</v>
      </c>
      <c r="F103" s="24" t="s">
        <v>45</v>
      </c>
      <c r="G103" s="24" t="s">
        <v>46</v>
      </c>
      <c r="H103" s="24" t="n">
        <v>89162</v>
      </c>
      <c r="I103" s="24" t="n">
        <v>3851254</v>
      </c>
      <c r="J103" s="25" t="n">
        <v>44085</v>
      </c>
      <c r="K103" s="26" t="s">
        <v>22</v>
      </c>
      <c r="L103" s="27" t="s">
        <v>24</v>
      </c>
      <c r="M103" s="28"/>
    </row>
    <row r="104" customFormat="false" ht="15" hidden="false" customHeight="false" outlineLevel="0" collapsed="false">
      <c r="B104" s="21" t="n">
        <v>102</v>
      </c>
      <c r="C104" s="22" t="s">
        <v>2</v>
      </c>
      <c r="D104" s="23"/>
      <c r="E104" s="24"/>
      <c r="F104" s="24"/>
      <c r="G104" s="24"/>
      <c r="H104" s="24"/>
      <c r="I104" s="24"/>
      <c r="J104" s="25" t="n">
        <v>44085</v>
      </c>
      <c r="K104" s="26" t="s">
        <v>22</v>
      </c>
      <c r="L104" s="27" t="s">
        <v>24</v>
      </c>
      <c r="M104" s="28"/>
    </row>
    <row r="105" customFormat="false" ht="15" hidden="false" customHeight="false" outlineLevel="0" collapsed="false">
      <c r="B105" s="21" t="n">
        <v>103</v>
      </c>
      <c r="C105" s="22" t="s">
        <v>2</v>
      </c>
      <c r="D105" s="23"/>
      <c r="E105" s="24"/>
      <c r="F105" s="24"/>
      <c r="G105" s="24"/>
      <c r="H105" s="24"/>
      <c r="I105" s="24"/>
      <c r="J105" s="25" t="n">
        <v>44085</v>
      </c>
      <c r="K105" s="26" t="s">
        <v>22</v>
      </c>
      <c r="L105" s="27" t="s">
        <v>24</v>
      </c>
      <c r="M105" s="28"/>
    </row>
    <row r="106" customFormat="false" ht="15" hidden="false" customHeight="false" outlineLevel="0" collapsed="false">
      <c r="B106" s="21" t="n">
        <v>104</v>
      </c>
      <c r="C106" s="22" t="s">
        <v>2</v>
      </c>
      <c r="D106" s="23"/>
      <c r="E106" s="24"/>
      <c r="F106" s="24"/>
      <c r="G106" s="24"/>
      <c r="H106" s="24"/>
      <c r="I106" s="24"/>
      <c r="J106" s="25" t="n">
        <v>44085</v>
      </c>
      <c r="K106" s="26" t="s">
        <v>22</v>
      </c>
      <c r="L106" s="27" t="s">
        <v>24</v>
      </c>
      <c r="M106" s="28"/>
    </row>
    <row r="107" customFormat="false" ht="15" hidden="false" customHeight="false" outlineLevel="0" collapsed="false">
      <c r="B107" s="21" t="n">
        <v>105</v>
      </c>
      <c r="C107" s="22" t="s">
        <v>2</v>
      </c>
      <c r="D107" s="23"/>
      <c r="E107" s="24"/>
      <c r="F107" s="24"/>
      <c r="G107" s="24"/>
      <c r="H107" s="24"/>
      <c r="I107" s="24"/>
      <c r="J107" s="25" t="n">
        <v>44085</v>
      </c>
      <c r="K107" s="26" t="s">
        <v>22</v>
      </c>
      <c r="L107" s="27" t="s">
        <v>24</v>
      </c>
      <c r="M107" s="28"/>
    </row>
    <row r="108" customFormat="false" ht="15" hidden="false" customHeight="false" outlineLevel="0" collapsed="false">
      <c r="B108" s="21" t="n">
        <v>106</v>
      </c>
      <c r="C108" s="22" t="s">
        <v>2</v>
      </c>
      <c r="D108" s="23"/>
      <c r="E108" s="24"/>
      <c r="F108" s="24"/>
      <c r="G108" s="24"/>
      <c r="H108" s="24"/>
      <c r="I108" s="24"/>
      <c r="J108" s="25" t="n">
        <v>44085</v>
      </c>
      <c r="K108" s="26" t="s">
        <v>22</v>
      </c>
      <c r="L108" s="27" t="s">
        <v>24</v>
      </c>
      <c r="M108" s="28"/>
    </row>
    <row r="109" customFormat="false" ht="15" hidden="false" customHeight="false" outlineLevel="0" collapsed="false">
      <c r="B109" s="21" t="n">
        <v>107</v>
      </c>
      <c r="C109" s="22" t="s">
        <v>2</v>
      </c>
      <c r="D109" s="23"/>
      <c r="E109" s="24"/>
      <c r="F109" s="24"/>
      <c r="G109" s="24"/>
      <c r="H109" s="24"/>
      <c r="I109" s="24"/>
      <c r="J109" s="25" t="n">
        <v>44085</v>
      </c>
      <c r="K109" s="26" t="s">
        <v>22</v>
      </c>
      <c r="L109" s="27" t="s">
        <v>24</v>
      </c>
      <c r="M109" s="28"/>
    </row>
    <row r="110" customFormat="false" ht="15" hidden="false" customHeight="false" outlineLevel="0" collapsed="false">
      <c r="B110" s="21" t="n">
        <v>108</v>
      </c>
      <c r="C110" s="22" t="s">
        <v>2</v>
      </c>
      <c r="D110" s="23"/>
      <c r="E110" s="24"/>
      <c r="F110" s="24"/>
      <c r="G110" s="24"/>
      <c r="H110" s="24"/>
      <c r="I110" s="24"/>
      <c r="J110" s="25" t="n">
        <v>44085</v>
      </c>
      <c r="K110" s="26" t="s">
        <v>22</v>
      </c>
      <c r="L110" s="27" t="s">
        <v>24</v>
      </c>
      <c r="M110" s="28"/>
    </row>
    <row r="111" customFormat="false" ht="15" hidden="false" customHeight="false" outlineLevel="0" collapsed="false">
      <c r="B111" s="21" t="n">
        <v>109</v>
      </c>
      <c r="C111" s="22" t="s">
        <v>2</v>
      </c>
      <c r="D111" s="23"/>
      <c r="E111" s="24"/>
      <c r="F111" s="24"/>
      <c r="G111" s="24"/>
      <c r="H111" s="24"/>
      <c r="I111" s="24"/>
      <c r="J111" s="25" t="n">
        <v>44085</v>
      </c>
      <c r="K111" s="26" t="s">
        <v>22</v>
      </c>
      <c r="L111" s="27" t="s">
        <v>24</v>
      </c>
      <c r="M111" s="28"/>
    </row>
    <row r="112" customFormat="false" ht="15" hidden="false" customHeight="false" outlineLevel="0" collapsed="false">
      <c r="B112" s="21" t="n">
        <v>110</v>
      </c>
      <c r="C112" s="22" t="s">
        <v>2</v>
      </c>
      <c r="D112" s="23"/>
      <c r="E112" s="24"/>
      <c r="F112" s="24"/>
      <c r="G112" s="24"/>
      <c r="H112" s="24"/>
      <c r="I112" s="24"/>
      <c r="J112" s="25" t="n">
        <v>44085</v>
      </c>
      <c r="K112" s="26" t="s">
        <v>22</v>
      </c>
      <c r="L112" s="27" t="s">
        <v>24</v>
      </c>
      <c r="M112" s="28"/>
    </row>
    <row r="113" customFormat="false" ht="15" hidden="false" customHeight="false" outlineLevel="0" collapsed="false">
      <c r="B113" s="21" t="n">
        <v>111</v>
      </c>
      <c r="C113" s="22" t="s">
        <v>2</v>
      </c>
      <c r="D113" s="23"/>
      <c r="E113" s="24"/>
      <c r="F113" s="24"/>
      <c r="G113" s="24"/>
      <c r="H113" s="24"/>
      <c r="I113" s="24"/>
      <c r="J113" s="25" t="n">
        <v>44085</v>
      </c>
      <c r="K113" s="26" t="s">
        <v>22</v>
      </c>
      <c r="L113" s="27" t="s">
        <v>24</v>
      </c>
      <c r="M113" s="28"/>
    </row>
    <row r="114" customFormat="false" ht="15" hidden="false" customHeight="false" outlineLevel="0" collapsed="false">
      <c r="B114" s="21" t="n">
        <v>112</v>
      </c>
      <c r="C114" s="22" t="s">
        <v>2</v>
      </c>
      <c r="D114" s="23"/>
      <c r="E114" s="24"/>
      <c r="F114" s="24"/>
      <c r="G114" s="24"/>
      <c r="H114" s="24"/>
      <c r="I114" s="24"/>
      <c r="J114" s="25" t="n">
        <v>44085</v>
      </c>
      <c r="K114" s="26" t="s">
        <v>22</v>
      </c>
      <c r="L114" s="27" t="s">
        <v>24</v>
      </c>
      <c r="M114" s="28"/>
    </row>
    <row r="115" customFormat="false" ht="15" hidden="false" customHeight="false" outlineLevel="0" collapsed="false">
      <c r="B115" s="21" t="n">
        <v>113</v>
      </c>
      <c r="C115" s="22" t="s">
        <v>2</v>
      </c>
      <c r="D115" s="23" t="s">
        <v>18</v>
      </c>
      <c r="E115" s="24" t="s">
        <v>19</v>
      </c>
      <c r="F115" s="24" t="s">
        <v>20</v>
      </c>
      <c r="G115" s="24" t="s">
        <v>21</v>
      </c>
      <c r="H115" s="24" t="n">
        <v>88047</v>
      </c>
      <c r="I115" s="24" t="n">
        <v>3553144</v>
      </c>
      <c r="J115" s="25" t="n">
        <v>44085</v>
      </c>
      <c r="K115" s="26" t="s">
        <v>22</v>
      </c>
      <c r="L115" s="27" t="s">
        <v>29</v>
      </c>
      <c r="M115" s="28"/>
    </row>
    <row r="116" customFormat="false" ht="15" hidden="false" customHeight="false" outlineLevel="0" collapsed="false">
      <c r="B116" s="21" t="n">
        <v>114</v>
      </c>
      <c r="C116" s="22" t="s">
        <v>2</v>
      </c>
      <c r="D116" s="23" t="s">
        <v>18</v>
      </c>
      <c r="E116" s="24" t="s">
        <v>19</v>
      </c>
      <c r="F116" s="24" t="s">
        <v>27</v>
      </c>
      <c r="G116" s="24" t="s">
        <v>28</v>
      </c>
      <c r="H116" s="24" t="n">
        <v>87051</v>
      </c>
      <c r="I116" s="24" t="n">
        <v>3409670</v>
      </c>
      <c r="J116" s="25" t="n">
        <v>44085</v>
      </c>
      <c r="K116" s="26" t="s">
        <v>22</v>
      </c>
      <c r="L116" s="27" t="s">
        <v>29</v>
      </c>
      <c r="M116" s="28"/>
    </row>
    <row r="117" customFormat="false" ht="15" hidden="false" customHeight="false" outlineLevel="0" collapsed="false">
      <c r="B117" s="21" t="n">
        <v>115</v>
      </c>
      <c r="C117" s="22" t="s">
        <v>2</v>
      </c>
      <c r="D117" s="23" t="s">
        <v>18</v>
      </c>
      <c r="E117" s="24" t="s">
        <v>36</v>
      </c>
      <c r="F117" s="24" t="s">
        <v>56</v>
      </c>
      <c r="G117" s="24" t="s">
        <v>57</v>
      </c>
      <c r="H117" s="24" t="n">
        <v>89177</v>
      </c>
      <c r="I117" s="24" t="n">
        <v>3851264</v>
      </c>
      <c r="J117" s="25" t="n">
        <v>44085</v>
      </c>
      <c r="K117" s="26" t="s">
        <v>22</v>
      </c>
      <c r="L117" s="27" t="s">
        <v>29</v>
      </c>
      <c r="M117" s="28"/>
    </row>
    <row r="118" customFormat="false" ht="13.8" hidden="false" customHeight="false" outlineLevel="0" collapsed="false">
      <c r="B118" s="21" t="n">
        <v>116</v>
      </c>
      <c r="C118" s="22" t="s">
        <v>2</v>
      </c>
      <c r="D118" s="23" t="s">
        <v>18</v>
      </c>
      <c r="E118" s="24" t="s">
        <v>36</v>
      </c>
      <c r="F118" s="24" t="s">
        <v>45</v>
      </c>
      <c r="G118" s="24" t="s">
        <v>46</v>
      </c>
      <c r="H118" s="24" t="n">
        <v>89162</v>
      </c>
      <c r="I118" s="24" t="n">
        <v>3851254</v>
      </c>
      <c r="J118" s="25" t="n">
        <v>44085</v>
      </c>
      <c r="K118" s="26" t="s">
        <v>22</v>
      </c>
      <c r="L118" s="27" t="s">
        <v>29</v>
      </c>
      <c r="M118" s="28"/>
    </row>
    <row r="119" customFormat="false" ht="15" hidden="false" customHeight="false" outlineLevel="0" collapsed="false">
      <c r="B119" s="21" t="n">
        <v>117</v>
      </c>
      <c r="C119" s="22" t="s">
        <v>2</v>
      </c>
      <c r="D119" s="23"/>
      <c r="E119" s="24"/>
      <c r="F119" s="24"/>
      <c r="G119" s="24"/>
      <c r="H119" s="24"/>
      <c r="I119" s="24"/>
      <c r="J119" s="25" t="n">
        <v>44085</v>
      </c>
      <c r="K119" s="26" t="s">
        <v>22</v>
      </c>
      <c r="L119" s="27" t="s">
        <v>29</v>
      </c>
      <c r="M119" s="28"/>
    </row>
    <row r="120" customFormat="false" ht="15" hidden="false" customHeight="false" outlineLevel="0" collapsed="false">
      <c r="B120" s="21" t="n">
        <v>118</v>
      </c>
      <c r="C120" s="22" t="s">
        <v>2</v>
      </c>
      <c r="D120" s="23"/>
      <c r="E120" s="24"/>
      <c r="F120" s="24"/>
      <c r="G120" s="24"/>
      <c r="H120" s="24"/>
      <c r="I120" s="24"/>
      <c r="J120" s="25" t="n">
        <v>44085</v>
      </c>
      <c r="K120" s="26" t="s">
        <v>22</v>
      </c>
      <c r="L120" s="27" t="s">
        <v>29</v>
      </c>
      <c r="M120" s="28"/>
    </row>
    <row r="121" customFormat="false" ht="15" hidden="false" customHeight="false" outlineLevel="0" collapsed="false">
      <c r="B121" s="21" t="n">
        <v>119</v>
      </c>
      <c r="C121" s="22" t="s">
        <v>2</v>
      </c>
      <c r="D121" s="23"/>
      <c r="E121" s="24"/>
      <c r="F121" s="24"/>
      <c r="G121" s="24"/>
      <c r="H121" s="24"/>
      <c r="I121" s="24"/>
      <c r="J121" s="25" t="n">
        <v>44085</v>
      </c>
      <c r="K121" s="26" t="s">
        <v>22</v>
      </c>
      <c r="L121" s="27" t="s">
        <v>29</v>
      </c>
      <c r="M121" s="28"/>
    </row>
    <row r="122" customFormat="false" ht="15" hidden="true" customHeight="false" outlineLevel="0" collapsed="false">
      <c r="B122" s="21" t="n">
        <v>120</v>
      </c>
      <c r="C122" s="22" t="s">
        <v>2</v>
      </c>
      <c r="D122" s="31"/>
      <c r="E122" s="31"/>
      <c r="F122" s="31"/>
      <c r="G122" s="31"/>
      <c r="H122" s="22"/>
      <c r="I122" s="22"/>
      <c r="J122" s="25" t="n">
        <v>44085</v>
      </c>
      <c r="K122" s="26" t="s">
        <v>22</v>
      </c>
      <c r="L122" s="27" t="s">
        <v>52</v>
      </c>
      <c r="M122" s="28"/>
    </row>
    <row r="123" customFormat="false" ht="15" hidden="true" customHeight="false" outlineLevel="0" collapsed="false">
      <c r="B123" s="21" t="n">
        <v>121</v>
      </c>
      <c r="C123" s="22" t="s">
        <v>2</v>
      </c>
      <c r="D123" s="31"/>
      <c r="E123" s="31"/>
      <c r="F123" s="31"/>
      <c r="G123" s="31"/>
      <c r="H123" s="22"/>
      <c r="I123" s="22"/>
      <c r="J123" s="25" t="n">
        <v>44085</v>
      </c>
      <c r="K123" s="26" t="s">
        <v>22</v>
      </c>
      <c r="L123" s="27" t="s">
        <v>52</v>
      </c>
      <c r="M123" s="28"/>
    </row>
    <row r="124" customFormat="false" ht="15" hidden="true" customHeight="false" outlineLevel="0" collapsed="false">
      <c r="B124" s="21" t="n">
        <v>122</v>
      </c>
      <c r="C124" s="22" t="s">
        <v>2</v>
      </c>
      <c r="D124" s="31"/>
      <c r="E124" s="31"/>
      <c r="F124" s="31"/>
      <c r="G124" s="31"/>
      <c r="H124" s="22"/>
      <c r="I124" s="22"/>
      <c r="J124" s="25" t="n">
        <v>44085</v>
      </c>
      <c r="K124" s="26" t="s">
        <v>22</v>
      </c>
      <c r="L124" s="27" t="s">
        <v>30</v>
      </c>
      <c r="M124" s="28"/>
    </row>
    <row r="125" customFormat="false" ht="15" hidden="true" customHeight="false" outlineLevel="0" collapsed="false">
      <c r="B125" s="21" t="n">
        <v>123</v>
      </c>
      <c r="C125" s="22" t="s">
        <v>2</v>
      </c>
      <c r="D125" s="31"/>
      <c r="E125" s="31"/>
      <c r="F125" s="31"/>
      <c r="G125" s="31"/>
      <c r="H125" s="22"/>
      <c r="I125" s="22"/>
      <c r="J125" s="25" t="n">
        <v>44085</v>
      </c>
      <c r="K125" s="26" t="s">
        <v>22</v>
      </c>
      <c r="L125" s="27" t="s">
        <v>30</v>
      </c>
      <c r="M125" s="28"/>
    </row>
    <row r="126" customFormat="false" ht="15" hidden="true" customHeight="false" outlineLevel="0" collapsed="false">
      <c r="B126" s="21" t="n">
        <v>124</v>
      </c>
      <c r="C126" s="22" t="s">
        <v>2</v>
      </c>
      <c r="D126" s="31"/>
      <c r="E126" s="31"/>
      <c r="F126" s="31"/>
      <c r="G126" s="31"/>
      <c r="H126" s="22"/>
      <c r="I126" s="22"/>
      <c r="J126" s="25" t="n">
        <v>44085</v>
      </c>
      <c r="K126" s="26" t="s">
        <v>22</v>
      </c>
      <c r="L126" s="27" t="s">
        <v>30</v>
      </c>
      <c r="M126" s="28"/>
    </row>
    <row r="127" customFormat="false" ht="15" hidden="true" customHeight="false" outlineLevel="0" collapsed="false">
      <c r="B127" s="21" t="n">
        <v>125</v>
      </c>
      <c r="C127" s="22" t="s">
        <v>2</v>
      </c>
      <c r="D127" s="31"/>
      <c r="E127" s="31"/>
      <c r="F127" s="31"/>
      <c r="G127" s="31"/>
      <c r="H127" s="22"/>
      <c r="I127" s="22"/>
      <c r="J127" s="25" t="n">
        <v>44085</v>
      </c>
      <c r="K127" s="26" t="s">
        <v>22</v>
      </c>
      <c r="L127" s="27" t="s">
        <v>30</v>
      </c>
      <c r="M127" s="28"/>
    </row>
    <row r="128" customFormat="false" ht="15" hidden="true" customHeight="false" outlineLevel="0" collapsed="false">
      <c r="B128" s="21" t="n">
        <v>126</v>
      </c>
      <c r="C128" s="22" t="s">
        <v>2</v>
      </c>
      <c r="D128" s="31"/>
      <c r="E128" s="31"/>
      <c r="F128" s="31"/>
      <c r="G128" s="31"/>
      <c r="H128" s="22"/>
      <c r="I128" s="22"/>
      <c r="J128" s="25" t="n">
        <v>44085</v>
      </c>
      <c r="K128" s="26" t="s">
        <v>22</v>
      </c>
      <c r="L128" s="27" t="s">
        <v>30</v>
      </c>
      <c r="M128" s="28"/>
    </row>
    <row r="129" customFormat="false" ht="15" hidden="true" customHeight="false" outlineLevel="0" collapsed="false">
      <c r="B129" s="21" t="n">
        <v>127</v>
      </c>
      <c r="C129" s="22" t="s">
        <v>2</v>
      </c>
      <c r="D129" s="31"/>
      <c r="E129" s="31"/>
      <c r="F129" s="31"/>
      <c r="G129" s="31"/>
      <c r="H129" s="22"/>
      <c r="I129" s="22"/>
      <c r="J129" s="25" t="n">
        <v>44085</v>
      </c>
      <c r="K129" s="26" t="s">
        <v>22</v>
      </c>
      <c r="L129" s="27" t="s">
        <v>53</v>
      </c>
      <c r="M129" s="28"/>
    </row>
    <row r="130" customFormat="false" ht="15" hidden="true" customHeight="false" outlineLevel="0" collapsed="false">
      <c r="B130" s="21" t="n">
        <v>128</v>
      </c>
      <c r="C130" s="22" t="s">
        <v>2</v>
      </c>
      <c r="D130" s="31"/>
      <c r="E130" s="31"/>
      <c r="F130" s="31"/>
      <c r="G130" s="31"/>
      <c r="H130" s="22"/>
      <c r="I130" s="22"/>
      <c r="J130" s="25" t="n">
        <v>44085</v>
      </c>
      <c r="K130" s="26" t="s">
        <v>22</v>
      </c>
      <c r="L130" s="27" t="s">
        <v>53</v>
      </c>
      <c r="M130" s="28"/>
    </row>
    <row r="131" customFormat="false" ht="15" hidden="true" customHeight="false" outlineLevel="0" collapsed="false">
      <c r="B131" s="21" t="n">
        <v>129</v>
      </c>
      <c r="C131" s="22" t="s">
        <v>2</v>
      </c>
      <c r="D131" s="31"/>
      <c r="E131" s="31"/>
      <c r="F131" s="31"/>
      <c r="G131" s="31"/>
      <c r="H131" s="22"/>
      <c r="I131" s="22"/>
      <c r="J131" s="25" t="n">
        <v>44085</v>
      </c>
      <c r="K131" s="26" t="s">
        <v>22</v>
      </c>
      <c r="L131" s="27" t="s">
        <v>53</v>
      </c>
      <c r="M131" s="28"/>
    </row>
    <row r="132" customFormat="false" ht="15" hidden="true" customHeight="false" outlineLevel="0" collapsed="false">
      <c r="B132" s="21" t="n">
        <v>130</v>
      </c>
      <c r="C132" s="22" t="s">
        <v>2</v>
      </c>
      <c r="D132" s="31"/>
      <c r="E132" s="31"/>
      <c r="F132" s="31"/>
      <c r="G132" s="31"/>
      <c r="H132" s="22"/>
      <c r="I132" s="22"/>
      <c r="J132" s="25" t="n">
        <v>44085</v>
      </c>
      <c r="K132" s="26" t="s">
        <v>22</v>
      </c>
      <c r="L132" s="27" t="s">
        <v>53</v>
      </c>
      <c r="M132" s="28"/>
    </row>
    <row r="133" customFormat="false" ht="15" hidden="true" customHeight="false" outlineLevel="0" collapsed="false">
      <c r="B133" s="32" t="n">
        <v>131</v>
      </c>
      <c r="C133" s="33" t="s">
        <v>2</v>
      </c>
      <c r="D133" s="34"/>
      <c r="E133" s="34"/>
      <c r="F133" s="34"/>
      <c r="G133" s="34"/>
      <c r="H133" s="33"/>
      <c r="I133" s="33"/>
      <c r="J133" s="35" t="n">
        <v>44085</v>
      </c>
      <c r="K133" s="36" t="s">
        <v>22</v>
      </c>
      <c r="L133" s="37" t="s">
        <v>53</v>
      </c>
      <c r="M133" s="38"/>
    </row>
    <row r="134" customFormat="false" ht="15" hidden="false" customHeight="false" outlineLevel="0" collapsed="false"/>
  </sheetData>
  <autoFilter ref="B2:M133">
    <filterColumn colId="10">
      <filters>
        <filter val="11:00 - 12:00"/>
        <filter val="12:00 - 13:00"/>
        <filter val="13:00 - 14:00"/>
      </filters>
    </filterColumn>
  </autoFilter>
  <conditionalFormatting sqref="D3:G3">
    <cfRule type="cellIs" priority="2" operator="equal" aboveAverage="0" equalAverage="0" bottom="0" percent="0" rank="0" text="" dxfId="0">
      <formula>"LOA"</formula>
    </cfRule>
    <cfRule type="cellIs" priority="3" operator="equal" aboveAverage="0" equalAverage="0" bottom="0" percent="0" rank="0" text="" dxfId="1">
      <formula>"PENDING TERM"</formula>
    </cfRule>
    <cfRule type="cellIs" priority="4" operator="equal" aboveAverage="0" equalAverage="0" bottom="0" percent="0" rank="0" text="" dxfId="2">
      <formula>"PROMOTED"</formula>
    </cfRule>
    <cfRule type="cellIs" priority="5" operator="equal" aboveAverage="0" equalAverage="0" bottom="0" percent="0" rank="0" text="" dxfId="3">
      <formula>"REINSTATEMENT"</formula>
    </cfRule>
    <cfRule type="cellIs" priority="6" operator="equal" aboveAverage="0" equalAverage="0" bottom="0" percent="0" rank="0" text="" dxfId="4">
      <formula>"TERM"</formula>
    </cfRule>
    <cfRule type="cellIs" priority="7" operator="equal" aboveAverage="0" equalAverage="0" bottom="0" percent="0" rank="0" text="" dxfId="5">
      <formula>"TRANSFER"</formula>
    </cfRule>
  </conditionalFormatting>
  <conditionalFormatting sqref="H3">
    <cfRule type="duplicateValues" priority="8" aboveAverage="0" equalAverage="0" bottom="0" percent="0" rank="0" text="" dxfId="6"/>
    <cfRule type="duplicateValues" priority="9" aboveAverage="0" equalAverage="0" bottom="0" percent="0" rank="0" text="" dxfId="7"/>
    <cfRule type="duplicateValues" priority="10" aboveAverage="0" equalAverage="0" bottom="0" percent="0" rank="0" text="" dxfId="8"/>
  </conditionalFormatting>
  <conditionalFormatting sqref="H3:I3">
    <cfRule type="cellIs" priority="11" operator="equal" aboveAverage="0" equalAverage="0" bottom="0" percent="0" rank="0" text="" dxfId="9">
      <formula>"LOA"</formula>
    </cfRule>
    <cfRule type="cellIs" priority="12" operator="equal" aboveAverage="0" equalAverage="0" bottom="0" percent="0" rank="0" text="" dxfId="10">
      <formula>"PENDING TERM"</formula>
    </cfRule>
    <cfRule type="cellIs" priority="13" operator="equal" aboveAverage="0" equalAverage="0" bottom="0" percent="0" rank="0" text="" dxfId="11">
      <formula>"PROMOTED"</formula>
    </cfRule>
    <cfRule type="cellIs" priority="14" operator="equal" aboveAverage="0" equalAverage="0" bottom="0" percent="0" rank="0" text="" dxfId="12">
      <formula>"REINSTATEMENT"</formula>
    </cfRule>
    <cfRule type="cellIs" priority="15" operator="equal" aboveAverage="0" equalAverage="0" bottom="0" percent="0" rank="0" text="" dxfId="13">
      <formula>"TERM"</formula>
    </cfRule>
    <cfRule type="cellIs" priority="16" operator="equal" aboveAverage="0" equalAverage="0" bottom="0" percent="0" rank="0" text="" dxfId="14">
      <formula>"TRANSFER"</formula>
    </cfRule>
  </conditionalFormatting>
  <conditionalFormatting sqref="I3">
    <cfRule type="duplicateValues" priority="17" aboveAverage="0" equalAverage="0" bottom="0" percent="0" rank="0" text="" dxfId="15"/>
    <cfRule type="duplicateValues" priority="18" aboveAverage="0" equalAverage="0" bottom="0" percent="0" rank="0" text="" dxfId="16"/>
    <cfRule type="duplicateValues" priority="19" aboveAverage="0" equalAverage="0" bottom="0" percent="0" rank="0" text="" dxfId="17"/>
    <cfRule type="duplicateValues" priority="20" aboveAverage="0" equalAverage="0" bottom="0" percent="0" rank="0" text="" dxfId="18"/>
  </conditionalFormatting>
  <conditionalFormatting sqref="D12:G12">
    <cfRule type="cellIs" priority="21" operator="equal" aboveAverage="0" equalAverage="0" bottom="0" percent="0" rank="0" text="" dxfId="19">
      <formula>"LOA"</formula>
    </cfRule>
    <cfRule type="cellIs" priority="22" operator="equal" aboveAverage="0" equalAverage="0" bottom="0" percent="0" rank="0" text="" dxfId="20">
      <formula>"PENDING TERM"</formula>
    </cfRule>
    <cfRule type="cellIs" priority="23" operator="equal" aboveAverage="0" equalAverage="0" bottom="0" percent="0" rank="0" text="" dxfId="21">
      <formula>"PROMOTED"</formula>
    </cfRule>
    <cfRule type="cellIs" priority="24" operator="equal" aboveAverage="0" equalAverage="0" bottom="0" percent="0" rank="0" text="" dxfId="22">
      <formula>"REINSTATEMENT"</formula>
    </cfRule>
    <cfRule type="cellIs" priority="25" operator="equal" aboveAverage="0" equalAverage="0" bottom="0" percent="0" rank="0" text="" dxfId="23">
      <formula>"TERM"</formula>
    </cfRule>
    <cfRule type="cellIs" priority="26" operator="equal" aboveAverage="0" equalAverage="0" bottom="0" percent="0" rank="0" text="" dxfId="24">
      <formula>"TRANSFER"</formula>
    </cfRule>
  </conditionalFormatting>
  <conditionalFormatting sqref="H12">
    <cfRule type="duplicateValues" priority="27" aboveAverage="0" equalAverage="0" bottom="0" percent="0" rank="0" text="" dxfId="25"/>
    <cfRule type="duplicateValues" priority="28" aboveAverage="0" equalAverage="0" bottom="0" percent="0" rank="0" text="" dxfId="26"/>
  </conditionalFormatting>
  <conditionalFormatting sqref="H12:I12">
    <cfRule type="cellIs" priority="29" operator="equal" aboveAverage="0" equalAverage="0" bottom="0" percent="0" rank="0" text="" dxfId="27">
      <formula>"LOA"</formula>
    </cfRule>
    <cfRule type="cellIs" priority="30" operator="equal" aboveAverage="0" equalAverage="0" bottom="0" percent="0" rank="0" text="" dxfId="28">
      <formula>"PENDING TERM"</formula>
    </cfRule>
    <cfRule type="cellIs" priority="31" operator="equal" aboveAverage="0" equalAverage="0" bottom="0" percent="0" rank="0" text="" dxfId="29">
      <formula>"PROMOTED"</formula>
    </cfRule>
    <cfRule type="cellIs" priority="32" operator="equal" aboveAverage="0" equalAverage="0" bottom="0" percent="0" rank="0" text="" dxfId="30">
      <formula>"REINSTATEMENT"</formula>
    </cfRule>
    <cfRule type="cellIs" priority="33" operator="equal" aboveAverage="0" equalAverage="0" bottom="0" percent="0" rank="0" text="" dxfId="31">
      <formula>"TERM"</formula>
    </cfRule>
    <cfRule type="cellIs" priority="34" operator="equal" aboveAverage="0" equalAverage="0" bottom="0" percent="0" rank="0" text="" dxfId="32">
      <formula>"TRANSFER"</formula>
    </cfRule>
  </conditionalFormatting>
  <conditionalFormatting sqref="I12">
    <cfRule type="duplicateValues" priority="35" aboveAverage="0" equalAverage="0" bottom="0" percent="0" rank="0" text="" dxfId="33"/>
    <cfRule type="duplicateValues" priority="36" aboveAverage="0" equalAverage="0" bottom="0" percent="0" rank="0" text="" dxfId="34"/>
    <cfRule type="duplicateValues" priority="37" aboveAverage="0" equalAverage="0" bottom="0" percent="0" rank="0" text="" dxfId="35"/>
  </conditionalFormatting>
  <conditionalFormatting sqref="D25:G25">
    <cfRule type="cellIs" priority="38" operator="equal" aboveAverage="0" equalAverage="0" bottom="0" percent="0" rank="0" text="" dxfId="36">
      <formula>"LOA"</formula>
    </cfRule>
    <cfRule type="cellIs" priority="39" operator="equal" aboveAverage="0" equalAverage="0" bottom="0" percent="0" rank="0" text="" dxfId="37">
      <formula>"PENDING TERM"</formula>
    </cfRule>
    <cfRule type="cellIs" priority="40" operator="equal" aboveAverage="0" equalAverage="0" bottom="0" percent="0" rank="0" text="" dxfId="38">
      <formula>"PROMOTED"</formula>
    </cfRule>
    <cfRule type="cellIs" priority="41" operator="equal" aboveAverage="0" equalAverage="0" bottom="0" percent="0" rank="0" text="" dxfId="39">
      <formula>"REINSTATEMENT"</formula>
    </cfRule>
    <cfRule type="cellIs" priority="42" operator="equal" aboveAverage="0" equalAverage="0" bottom="0" percent="0" rank="0" text="" dxfId="40">
      <formula>"TERM"</formula>
    </cfRule>
    <cfRule type="cellIs" priority="43" operator="equal" aboveAverage="0" equalAverage="0" bottom="0" percent="0" rank="0" text="" dxfId="41">
      <formula>"TRANSFER"</formula>
    </cfRule>
  </conditionalFormatting>
  <conditionalFormatting sqref="H25">
    <cfRule type="duplicateValues" priority="44" aboveAverage="0" equalAverage="0" bottom="0" percent="0" rank="0" text="" dxfId="42"/>
    <cfRule type="duplicateValues" priority="45" aboveAverage="0" equalAverage="0" bottom="0" percent="0" rank="0" text="" dxfId="43"/>
  </conditionalFormatting>
  <conditionalFormatting sqref="H25:I25">
    <cfRule type="cellIs" priority="46" operator="equal" aboveAverage="0" equalAverage="0" bottom="0" percent="0" rank="0" text="" dxfId="44">
      <formula>"LOA"</formula>
    </cfRule>
    <cfRule type="cellIs" priority="47" operator="equal" aboveAverage="0" equalAverage="0" bottom="0" percent="0" rank="0" text="" dxfId="45">
      <formula>"PENDING TERM"</formula>
    </cfRule>
    <cfRule type="cellIs" priority="48" operator="equal" aboveAverage="0" equalAverage="0" bottom="0" percent="0" rank="0" text="" dxfId="46">
      <formula>"PROMOTED"</formula>
    </cfRule>
    <cfRule type="cellIs" priority="49" operator="equal" aboveAverage="0" equalAverage="0" bottom="0" percent="0" rank="0" text="" dxfId="47">
      <formula>"REINSTATEMENT"</formula>
    </cfRule>
    <cfRule type="cellIs" priority="50" operator="equal" aboveAverage="0" equalAverage="0" bottom="0" percent="0" rank="0" text="" dxfId="48">
      <formula>"TERM"</formula>
    </cfRule>
    <cfRule type="cellIs" priority="51" operator="equal" aboveAverage="0" equalAverage="0" bottom="0" percent="0" rank="0" text="" dxfId="49">
      <formula>"TRANSFER"</formula>
    </cfRule>
  </conditionalFormatting>
  <conditionalFormatting sqref="I25">
    <cfRule type="duplicateValues" priority="52" aboveAverage="0" equalAverage="0" bottom="0" percent="0" rank="0" text="" dxfId="50"/>
    <cfRule type="duplicateValues" priority="53" aboveAverage="0" equalAverage="0" bottom="0" percent="0" rank="0" text="" dxfId="51"/>
    <cfRule type="duplicateValues" priority="54" aboveAverage="0" equalAverage="0" bottom="0" percent="0" rank="0" text="" dxfId="52"/>
  </conditionalFormatting>
  <conditionalFormatting sqref="D66:G66">
    <cfRule type="cellIs" priority="55" operator="equal" aboveAverage="0" equalAverage="0" bottom="0" percent="0" rank="0" text="" dxfId="53">
      <formula>"LOA"</formula>
    </cfRule>
    <cfRule type="cellIs" priority="56" operator="equal" aboveAverage="0" equalAverage="0" bottom="0" percent="0" rank="0" text="" dxfId="54">
      <formula>"PENDING TERM"</formula>
    </cfRule>
    <cfRule type="cellIs" priority="57" operator="equal" aboveAverage="0" equalAverage="0" bottom="0" percent="0" rank="0" text="" dxfId="55">
      <formula>"PROMOTED"</formula>
    </cfRule>
    <cfRule type="cellIs" priority="58" operator="equal" aboveAverage="0" equalAverage="0" bottom="0" percent="0" rank="0" text="" dxfId="56">
      <formula>"REINSTATEMENT"</formula>
    </cfRule>
    <cfRule type="cellIs" priority="59" operator="equal" aboveAverage="0" equalAverage="0" bottom="0" percent="0" rank="0" text="" dxfId="57">
      <formula>"TERM"</formula>
    </cfRule>
    <cfRule type="cellIs" priority="60" operator="equal" aboveAverage="0" equalAverage="0" bottom="0" percent="0" rank="0" text="" dxfId="58">
      <formula>"TRANSFER"</formula>
    </cfRule>
  </conditionalFormatting>
  <conditionalFormatting sqref="H66">
    <cfRule type="duplicateValues" priority="61" aboveAverage="0" equalAverage="0" bottom="0" percent="0" rank="0" text="" dxfId="59"/>
    <cfRule type="duplicateValues" priority="62" aboveAverage="0" equalAverage="0" bottom="0" percent="0" rank="0" text="" dxfId="60"/>
  </conditionalFormatting>
  <conditionalFormatting sqref="H66:I66">
    <cfRule type="cellIs" priority="63" operator="equal" aboveAverage="0" equalAverage="0" bottom="0" percent="0" rank="0" text="" dxfId="61">
      <formula>"LOA"</formula>
    </cfRule>
    <cfRule type="cellIs" priority="64" operator="equal" aboveAverage="0" equalAverage="0" bottom="0" percent="0" rank="0" text="" dxfId="62">
      <formula>"PENDING TERM"</formula>
    </cfRule>
    <cfRule type="cellIs" priority="65" operator="equal" aboveAverage="0" equalAverage="0" bottom="0" percent="0" rank="0" text="" dxfId="63">
      <formula>"PROMOTED"</formula>
    </cfRule>
    <cfRule type="cellIs" priority="66" operator="equal" aboveAverage="0" equalAverage="0" bottom="0" percent="0" rank="0" text="" dxfId="64">
      <formula>"REINSTATEMENT"</formula>
    </cfRule>
    <cfRule type="cellIs" priority="67" operator="equal" aboveAverage="0" equalAverage="0" bottom="0" percent="0" rank="0" text="" dxfId="65">
      <formula>"TERM"</formula>
    </cfRule>
    <cfRule type="cellIs" priority="68" operator="equal" aboveAverage="0" equalAverage="0" bottom="0" percent="0" rank="0" text="" dxfId="66">
      <formula>"TRANSFER"</formula>
    </cfRule>
  </conditionalFormatting>
  <conditionalFormatting sqref="I66">
    <cfRule type="duplicateValues" priority="69" aboveAverage="0" equalAverage="0" bottom="0" percent="0" rank="0" text="" dxfId="67"/>
    <cfRule type="duplicateValues" priority="70" aboveAverage="0" equalAverage="0" bottom="0" percent="0" rank="0" text="" dxfId="68"/>
    <cfRule type="duplicateValues" priority="71" aboveAverage="0" equalAverage="0" bottom="0" percent="0" rank="0" text="" dxfId="69"/>
  </conditionalFormatting>
  <conditionalFormatting sqref="L3:L133">
    <cfRule type="cellIs" priority="72" operator="equal" aboveAverage="0" equalAverage="0" bottom="0" percent="0" rank="0" text="" dxfId="70">
      <formula>"Pending Term"</formula>
    </cfRule>
    <cfRule type="cellIs" priority="73" operator="equal" aboveAverage="0" equalAverage="0" bottom="0" percent="0" rank="0" text="" dxfId="71">
      <formula>"Approved Off"</formula>
    </cfRule>
    <cfRule type="cellIs" priority="74" operator="equal" aboveAverage="0" equalAverage="0" bottom="0" percent="0" rank="0" text="" dxfId="72">
      <formula>"FER"</formula>
    </cfRule>
    <cfRule type="cellIs" priority="75" operator="equal" aboveAverage="0" equalAverage="0" bottom="0" percent="0" rank="0" text="" dxfId="73">
      <formula>"LOA"</formula>
    </cfRule>
    <cfRule type="cellIs" priority="76" operator="equal" aboveAverage="0" equalAverage="0" bottom="0" percent="0" rank="0" text="" dxfId="74">
      <formula>"OFF"</formula>
    </cfRule>
    <cfRule type="cellIs" priority="77" operator="equal" aboveAverage="0" equalAverage="0" bottom="0" percent="0" rank="0" text="" dxfId="75">
      <formula>"Study Day"</formula>
    </cfRule>
    <cfRule type="cellIs" priority="78" operator="equal" aboveAverage="0" equalAverage="0" bottom="0" percent="0" rank="0" text="" dxfId="76">
      <formula>"SUS"</formula>
    </cfRule>
    <cfRule type="cellIs" priority="79" operator="equal" aboveAverage="0" equalAverage="0" bottom="0" percent="0" rank="0" text="" dxfId="77">
      <formula>"VAC"</formula>
    </cfRule>
  </conditionalFormatting>
  <conditionalFormatting sqref="I21 I44:I45 I30 I61">
    <cfRule type="duplicateValues" priority="80" aboveAverage="0" equalAverage="0" bottom="0" percent="0" rank="0" text="" dxfId="78"/>
  </conditionalFormatting>
  <conditionalFormatting sqref="I21 I44:I45 I30 I61">
    <cfRule type="duplicateValues" priority="81" aboveAverage="0" equalAverage="0" bottom="0" percent="0" rank="0" text="" dxfId="79"/>
  </conditionalFormatting>
  <conditionalFormatting sqref="I21 I44:I45 I30 I61">
    <cfRule type="duplicateValues" priority="82" aboveAverage="0" equalAverage="0" bottom="0" percent="0" rank="0" text="" dxfId="21"/>
  </conditionalFormatting>
  <conditionalFormatting sqref="I32">
    <cfRule type="cellIs" priority="83" operator="equal" aboveAverage="0" equalAverage="0" bottom="0" percent="0" rank="0" text="" dxfId="80">
      <formula>"LOA"</formula>
    </cfRule>
    <cfRule type="cellIs" priority="84" operator="equal" aboveAverage="0" equalAverage="0" bottom="0" percent="0" rank="0" text="" dxfId="81">
      <formula>"PENDING TERM"</formula>
    </cfRule>
    <cfRule type="cellIs" priority="85" operator="equal" aboveAverage="0" equalAverage="0" bottom="0" percent="0" rank="0" text="" dxfId="82">
      <formula>"PROMOTED"</formula>
    </cfRule>
    <cfRule type="cellIs" priority="86" operator="equal" aboveAverage="0" equalAverage="0" bottom="0" percent="0" rank="0" text="" dxfId="83">
      <formula>"REINSTATEMENT"</formula>
    </cfRule>
    <cfRule type="cellIs" priority="87" operator="equal" aboveAverage="0" equalAverage="0" bottom="0" percent="0" rank="0" text="" dxfId="84">
      <formula>"TERM"</formula>
    </cfRule>
    <cfRule type="cellIs" priority="88" operator="equal" aboveAverage="0" equalAverage="0" bottom="0" percent="0" rank="0" text="" dxfId="85">
      <formula>"TRANSFER"</formula>
    </cfRule>
  </conditionalFormatting>
  <conditionalFormatting sqref="I32">
    <cfRule type="duplicateValues" priority="89" aboveAverage="0" equalAverage="0" bottom="0" percent="0" rank="0" text="" dxfId="86"/>
  </conditionalFormatting>
  <conditionalFormatting sqref="I32:I33 I88">
    <cfRule type="duplicateValues" priority="90" aboveAverage="0" equalAverage="0" bottom="0" percent="0" rank="0" text="" dxfId="55"/>
  </conditionalFormatting>
  <conditionalFormatting sqref="I88 I33">
    <cfRule type="duplicateValues" priority="91" aboveAverage="0" equalAverage="0" bottom="0" percent="0" rank="0" text="" dxfId="87"/>
  </conditionalFormatting>
  <conditionalFormatting sqref="I88 I33">
    <cfRule type="duplicateValues" priority="92" aboveAverage="0" equalAverage="0" bottom="0" percent="0" rank="0" text="" dxfId="88"/>
  </conditionalFormatting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LibreOffice/6.4.5.2$Windows_X86_64 LibreOffice_project/a726b36747cf2001e06b58ad5db1aa3a9a1872d6</Application>
  <Company>Teleperformance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2013-03-26T17:23:00Z</dcterms:created>
  <dc:creator>Alejandra Zelarayan</dc:creator>
  <dc:description/>
  <dc:language>es-AR</dc:language>
  <cp:lastModifiedBy/>
  <dcterms:modified xsi:type="dcterms:W3CDTF">2020-09-03T18:23:06Z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Teleperformance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KSOProductBuildVer">
    <vt:lpwstr>3082-10.2.0.7646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