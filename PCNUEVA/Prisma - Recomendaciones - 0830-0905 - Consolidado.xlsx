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21600" windowHeight="9750" activeTab="1"/>
  </bookViews>
  <sheets>
    <sheet name="Summary" sheetId="2" r:id="rId1"/>
    <sheet name="Recomendaciones" sheetId="4" r:id="rId2"/>
  </sheets>
  <definedNames>
    <definedName name="_xlnm._FilterDatabase" localSheetId="1" hidden="1">Recomendaciones!$B$1:$M$24</definedName>
  </definedNames>
  <calcPr calcId="152511"/>
</workbook>
</file>

<file path=xl/calcChain.xml><?xml version="1.0" encoding="utf-8"?>
<calcChain xmlns="http://schemas.openxmlformats.org/spreadsheetml/2006/main">
  <c r="B6" i="2" l="1"/>
  <c r="A6" i="2"/>
  <c r="C6" i="2" s="1"/>
  <c r="B7" i="2" l="1"/>
  <c r="B8" i="2" l="1"/>
  <c r="C7" i="2"/>
  <c r="C8" i="2" l="1"/>
  <c r="B9" i="2"/>
  <c r="C9" i="2" l="1"/>
  <c r="B10" i="2"/>
  <c r="B11" i="2" l="1"/>
  <c r="C10" i="2"/>
  <c r="C11" i="2" l="1"/>
  <c r="B12" i="2"/>
  <c r="C12" i="2" s="1"/>
  <c r="D6" i="2" s="1"/>
</calcChain>
</file>

<file path=xl/sharedStrings.xml><?xml version="1.0" encoding="utf-8"?>
<sst xmlns="http://schemas.openxmlformats.org/spreadsheetml/2006/main" count="148" uniqueCount="45">
  <si>
    <t>0830 - 0905</t>
  </si>
  <si>
    <t>Recomendaciones</t>
  </si>
  <si>
    <t>Prisma</t>
  </si>
  <si>
    <t>Día</t>
  </si>
  <si>
    <t>#</t>
  </si>
  <si>
    <t xml:space="preserve">Total </t>
  </si>
  <si>
    <t>Number</t>
  </si>
  <si>
    <t>LOB</t>
  </si>
  <si>
    <t>ACM</t>
  </si>
  <si>
    <t>Supervisor</t>
  </si>
  <si>
    <t>Last Name</t>
  </si>
  <si>
    <t>Frist Name</t>
  </si>
  <si>
    <t>Payroll Number</t>
  </si>
  <si>
    <t>CCMS</t>
  </si>
  <si>
    <t>Fecha</t>
  </si>
  <si>
    <t>Schedule Actual</t>
  </si>
  <si>
    <t>Schedule Recomendado</t>
  </si>
  <si>
    <t>Feedback</t>
  </si>
  <si>
    <t>Perez Zitzke Agustina</t>
  </si>
  <si>
    <t>Grimaldi Agustina Sofía</t>
  </si>
  <si>
    <t>Avellaneda</t>
  </si>
  <si>
    <t>Nicolás Alfredo</t>
  </si>
  <si>
    <t>09:00 - 15:00</t>
  </si>
  <si>
    <t>10:00 - 16:00</t>
  </si>
  <si>
    <t>Campero Juarez Maria Guadalupe</t>
  </si>
  <si>
    <t>Mendoza Norma Mercedes</t>
  </si>
  <si>
    <t>Ledesma</t>
  </si>
  <si>
    <t>Maria Florencia</t>
  </si>
  <si>
    <t>Zamorano Ortiz</t>
  </si>
  <si>
    <t>Gabriel Martin</t>
  </si>
  <si>
    <t>Palomino Juan Pablo</t>
  </si>
  <si>
    <t>Soria Juarez</t>
  </si>
  <si>
    <t>Eugenia Soledad</t>
  </si>
  <si>
    <t>Juarez</t>
  </si>
  <si>
    <t>Ana Sofia</t>
  </si>
  <si>
    <t>Monges</t>
  </si>
  <si>
    <t>Elina Teresa</t>
  </si>
  <si>
    <t>Ortiz Jose María</t>
  </si>
  <si>
    <t>Britos Fernando José</t>
  </si>
  <si>
    <t>Robles Marquez</t>
  </si>
  <si>
    <t>Emilse Nahir</t>
  </si>
  <si>
    <t>Sanna</t>
  </si>
  <si>
    <t>Luis Fernando</t>
  </si>
  <si>
    <t>Infante Marcello</t>
  </si>
  <si>
    <t>Christian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</si>
</sst>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d\ dd/mm"/>
    <numFmt numFmtId="167" formatCode="dddd"/>
    <numFmt numFmtId="168" formatCode="ddd\ mm/dd"/>
  </numFmts>
  <fonts count="9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4"/>
      <color rgb="FFFFFF00"/>
      <name val="Calibri"/>
      <charset val="134"/>
      <scheme val="minor"/>
    </font>
    <font>
      <b/>
      <sz val="8"/>
      <color theme="3" tint="-0.249977111117893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3" tint="-0.249977111117893"/>
      <name val="Calibri"/>
      <charset val="134"/>
      <scheme val="minor"/>
    </font>
    <font>
      <b/>
      <sz val="9"/>
      <color theme="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7999511703848384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34998626667073579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theme="1" tint="0.499984740745262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16" fontId="3" fillId="0" borderId="0" xfId="0" applyNumberFormat="1" applyFont="1"/>
    <xf numFmtId="0" fontId="4" fillId="2" borderId="8" xfId="0" applyFont="1" applyFill="1" applyBorder="1" applyAlignment="1">
      <alignment horizontal="center" vertical="center" wrapText="1"/>
    </xf>
    <xf numFmtId="164" fontId="2" fillId="0" borderId="4" xfId="0" applyNumberFormat="1" applyFont="1" applyFill="1" applyBorder="1" applyAlignment="1">
      <alignment horizontal="center"/>
    </xf>
    <xf numFmtId="14" fontId="2" fillId="0" borderId="4" xfId="0" applyNumberFormat="1" applyFont="1" applyFill="1" applyBorder="1" applyAlignment="1">
      <alignment horizontal="center" vertical="center"/>
    </xf>
    <xf numFmtId="14" fontId="2" fillId="0" borderId="9" xfId="0" applyNumberFormat="1" applyFont="1" applyFill="1" applyBorder="1" applyAlignment="1">
      <alignment horizontal="center" vertical="center"/>
    </xf>
    <xf numFmtId="164" fontId="2" fillId="0" borderId="7" xfId="0" applyNumberFormat="1" applyFont="1" applyFill="1" applyBorder="1" applyAlignment="1">
      <alignment horizontal="center"/>
    </xf>
    <xf numFmtId="14" fontId="2" fillId="0" borderId="7" xfId="0" applyNumberFormat="1" applyFont="1" applyFill="1" applyBorder="1" applyAlignment="1">
      <alignment horizontal="center" vertical="center"/>
    </xf>
    <xf numFmtId="14" fontId="2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3" borderId="20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 vertical="center" wrapText="1"/>
    </xf>
    <xf numFmtId="0" fontId="3" fillId="0" borderId="0" xfId="0" applyFont="1"/>
    <xf numFmtId="167" fontId="8" fillId="2" borderId="20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168" fontId="8" fillId="2" borderId="20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6" fillId="4" borderId="17" xfId="0" applyFont="1" applyFill="1" applyBorder="1" applyAlignment="1">
      <alignment horizontal="center" wrapText="1"/>
    </xf>
    <xf numFmtId="0" fontId="6" fillId="4" borderId="18" xfId="0" applyFont="1" applyFill="1" applyBorder="1" applyAlignment="1">
      <alignment horizontal="center" wrapText="1"/>
    </xf>
    <xf numFmtId="0" fontId="6" fillId="4" borderId="19" xfId="0" applyFont="1" applyFill="1" applyBorder="1" applyAlignment="1">
      <alignment horizontal="center" wrapTex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226"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</dxfs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3"/>
  <sheetViews>
    <sheetView showGridLines="0" zoomScale="90" zoomScaleNormal="90" workbookViewId="0">
      <selection activeCell="B2" sqref="B2:D2"/>
    </sheetView>
  </sheetViews>
  <sheetFormatPr baseColWidth="10" defaultColWidth="0" defaultRowHeight="15" zeroHeight="1"/>
  <cols>
    <col min="1" max="1" width="3.85546875" customWidth="1"/>
    <col min="2" max="2" width="11.5703125" customWidth="1"/>
    <col min="3" max="4" width="8.5703125" customWidth="1"/>
    <col min="5" max="5" width="4.28515625" customWidth="1"/>
    <col min="6" max="8" width="0" hidden="1" customWidth="1"/>
    <col min="9" max="16384" width="9.140625" hidden="1"/>
  </cols>
  <sheetData>
    <row r="1" spans="1:4" ht="30" customHeight="1"/>
    <row r="2" spans="1:4">
      <c r="B2" s="30" t="s">
        <v>0</v>
      </c>
      <c r="C2" s="31"/>
      <c r="D2" s="32"/>
    </row>
    <row r="3" spans="1:4" ht="15.75" customHeight="1">
      <c r="B3" s="33" t="s">
        <v>1</v>
      </c>
      <c r="C3" s="34"/>
      <c r="D3" s="35"/>
    </row>
    <row r="4" spans="1:4" ht="15.75" customHeight="1">
      <c r="B4" s="36" t="s">
        <v>2</v>
      </c>
      <c r="C4" s="37"/>
      <c r="D4" s="38"/>
    </row>
    <row r="5" spans="1:4" ht="15.75" customHeight="1">
      <c r="B5" s="21" t="s">
        <v>3</v>
      </c>
      <c r="C5" s="22" t="s">
        <v>4</v>
      </c>
      <c r="D5" s="22" t="s">
        <v>5</v>
      </c>
    </row>
    <row r="6" spans="1:4" ht="20.100000000000001" customHeight="1">
      <c r="A6" s="23" t="str">
        <f>CONCATENATE(MID($B$2,3,2),"/",LEFT($B$2,2))</f>
        <v>30/08</v>
      </c>
      <c r="B6" s="24" t="str">
        <f>TEXT(CONCATENATE(MID($B$2,3,2),"/",LEFT($B$2,2)),"ddd mm/dd")</f>
        <v>dom 08/30</v>
      </c>
      <c r="C6" s="25">
        <f>COUNTIF(Recomendaciones!J:J,Summary!A6)</f>
        <v>0</v>
      </c>
      <c r="D6" s="39">
        <f>SUM(C6:C12)</f>
        <v>22</v>
      </c>
    </row>
    <row r="7" spans="1:4" ht="20.100000000000001" customHeight="1">
      <c r="B7" s="26">
        <f>A6+1</f>
        <v>44074</v>
      </c>
      <c r="C7" s="27">
        <f>COUNTIF(Recomendaciones!J:J,Summary!B7)</f>
        <v>5</v>
      </c>
      <c r="D7" s="40"/>
    </row>
    <row r="8" spans="1:4" ht="20.100000000000001" customHeight="1">
      <c r="B8" s="26">
        <f t="shared" ref="B8:B12" si="0">B7+1</f>
        <v>44075</v>
      </c>
      <c r="C8" s="27">
        <f>COUNTIF(Recomendaciones!J:J,Summary!B8)</f>
        <v>5</v>
      </c>
      <c r="D8" s="40"/>
    </row>
    <row r="9" spans="1:4" ht="20.100000000000001" customHeight="1">
      <c r="B9" s="26">
        <f t="shared" si="0"/>
        <v>44076</v>
      </c>
      <c r="C9" s="27">
        <f>COUNTIF(Recomendaciones!J:J,Summary!B9)</f>
        <v>4</v>
      </c>
      <c r="D9" s="40"/>
    </row>
    <row r="10" spans="1:4" ht="20.100000000000001" customHeight="1">
      <c r="B10" s="26">
        <f t="shared" si="0"/>
        <v>44077</v>
      </c>
      <c r="C10" s="27">
        <f>COUNTIF(Recomendaciones!J:J,Summary!B10)</f>
        <v>4</v>
      </c>
      <c r="D10" s="40"/>
    </row>
    <row r="11" spans="1:4" ht="20.100000000000001" customHeight="1">
      <c r="B11" s="26">
        <f t="shared" si="0"/>
        <v>44078</v>
      </c>
      <c r="C11" s="27">
        <f>COUNTIF(Recomendaciones!J:J,Summary!B11)</f>
        <v>4</v>
      </c>
      <c r="D11" s="40"/>
    </row>
    <row r="12" spans="1:4" ht="20.100000000000001" customHeight="1">
      <c r="B12" s="26">
        <f t="shared" si="0"/>
        <v>44079</v>
      </c>
      <c r="C12" s="28">
        <f>COUNTIF(Recomendaciones!J:J,Summary!B12)</f>
        <v>0</v>
      </c>
      <c r="D12" s="41"/>
    </row>
    <row r="13" spans="1:4" s="20" customFormat="1" ht="13.5" customHeight="1">
      <c r="C13" s="29"/>
      <c r="D13" s="29"/>
    </row>
  </sheetData>
  <mergeCells count="4">
    <mergeCell ref="B2:D2"/>
    <mergeCell ref="B3:D3"/>
    <mergeCell ref="B4:D4"/>
    <mergeCell ref="D6:D12"/>
  </mergeCells>
  <pageMargins left="0.69930555555555596" right="0.69930555555555596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"/>
  <sheetViews>
    <sheetView showGridLines="0" tabSelected="1" zoomScale="70" zoomScaleNormal="70" workbookViewId="0">
      <selection activeCell="D23" sqref="D23:I23"/>
    </sheetView>
  </sheetViews>
  <sheetFormatPr baseColWidth="10" defaultColWidth="0" defaultRowHeight="15" zeroHeight="1"/>
  <cols>
    <col min="1" max="1" width="4.85546875" customWidth="1"/>
    <col min="2" max="2" width="10.7109375" customWidth="1"/>
    <col min="3" max="3" width="14.5703125" customWidth="1"/>
    <col min="4" max="4" width="28.5703125" customWidth="1"/>
    <col min="5" max="5" width="27.42578125" customWidth="1"/>
    <col min="6" max="6" width="15.140625" customWidth="1"/>
    <col min="7" max="7" width="21.5703125" customWidth="1"/>
    <col min="8" max="8" width="19.5703125" customWidth="1"/>
    <col min="9" max="9" width="15.28515625" customWidth="1"/>
    <col min="10" max="10" width="15.140625" customWidth="1"/>
    <col min="11" max="11" width="29.85546875" customWidth="1"/>
    <col min="12" max="12" width="33" customWidth="1"/>
    <col min="13" max="13" width="33.7109375" style="1" customWidth="1"/>
    <col min="14" max="14" width="2.140625" style="1" customWidth="1"/>
    <col min="15" max="46" width="9.140625" style="1" hidden="1" customWidth="1"/>
    <col min="47" max="16384" width="9.140625" hidden="1"/>
  </cols>
  <sheetData>
    <row r="1" spans="2:13" s="1" customFormat="1" ht="24.75" customHeight="1">
      <c r="B1"/>
      <c r="C1"/>
      <c r="D1"/>
      <c r="E1"/>
      <c r="F1"/>
      <c r="G1"/>
      <c r="H1"/>
      <c r="I1"/>
      <c r="J1"/>
      <c r="K1" s="12">
        <v>41399</v>
      </c>
      <c r="L1"/>
    </row>
    <row r="2" spans="2:13" s="1" customFormat="1" ht="27.75" customHeight="1"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13" t="s">
        <v>16</v>
      </c>
      <c r="M2" s="13" t="s">
        <v>17</v>
      </c>
    </row>
    <row r="3" spans="2:13">
      <c r="B3" s="4">
        <v>1</v>
      </c>
      <c r="C3" s="5" t="s">
        <v>2</v>
      </c>
      <c r="D3" s="6" t="s">
        <v>18</v>
      </c>
      <c r="E3" s="7" t="s">
        <v>19</v>
      </c>
      <c r="F3" s="7" t="s">
        <v>20</v>
      </c>
      <c r="G3" s="7" t="s">
        <v>21</v>
      </c>
      <c r="H3" s="7">
        <v>87868</v>
      </c>
      <c r="I3" s="7">
        <v>1831428</v>
      </c>
      <c r="J3" s="14">
        <v>44074</v>
      </c>
      <c r="K3" s="15" t="s">
        <v>22</v>
      </c>
      <c r="L3" s="16" t="s">
        <v>23</v>
      </c>
      <c r="M3" s="16"/>
    </row>
    <row r="4" spans="2:13">
      <c r="B4" s="4">
        <v>2</v>
      </c>
      <c r="C4" s="5" t="s">
        <v>2</v>
      </c>
      <c r="D4" s="6" t="s">
        <v>24</v>
      </c>
      <c r="E4" s="6" t="s">
        <v>25</v>
      </c>
      <c r="F4" s="6" t="s">
        <v>26</v>
      </c>
      <c r="G4" s="6" t="s">
        <v>27</v>
      </c>
      <c r="H4" s="7">
        <v>89179</v>
      </c>
      <c r="I4" s="7">
        <v>3851259</v>
      </c>
      <c r="J4" s="14">
        <v>44074</v>
      </c>
      <c r="K4" s="15" t="s">
        <v>22</v>
      </c>
      <c r="L4" s="16" t="s">
        <v>23</v>
      </c>
      <c r="M4" s="16"/>
    </row>
    <row r="5" spans="2:13">
      <c r="B5" s="4">
        <v>3</v>
      </c>
      <c r="C5" s="5" t="s">
        <v>2</v>
      </c>
      <c r="D5" s="6" t="s">
        <v>18</v>
      </c>
      <c r="E5" s="7" t="s">
        <v>19</v>
      </c>
      <c r="F5" s="7" t="s">
        <v>28</v>
      </c>
      <c r="G5" s="7" t="s">
        <v>29</v>
      </c>
      <c r="H5" s="7">
        <v>87891</v>
      </c>
      <c r="I5" s="7">
        <v>3522061</v>
      </c>
      <c r="J5" s="14">
        <v>44074</v>
      </c>
      <c r="K5" s="15" t="s">
        <v>22</v>
      </c>
      <c r="L5" s="16" t="s">
        <v>23</v>
      </c>
      <c r="M5" s="16"/>
    </row>
    <row r="6" spans="2:13">
      <c r="B6" s="4">
        <v>4</v>
      </c>
      <c r="C6" s="5" t="s">
        <v>2</v>
      </c>
      <c r="D6" s="6" t="s">
        <v>18</v>
      </c>
      <c r="E6" s="7" t="s">
        <v>30</v>
      </c>
      <c r="F6" s="7" t="s">
        <v>31</v>
      </c>
      <c r="G6" s="7" t="s">
        <v>32</v>
      </c>
      <c r="H6" s="7">
        <v>83489</v>
      </c>
      <c r="I6" s="7">
        <v>2490376</v>
      </c>
      <c r="J6" s="14">
        <v>44074</v>
      </c>
      <c r="K6" s="15" t="s">
        <v>22</v>
      </c>
      <c r="L6" s="16" t="s">
        <v>23</v>
      </c>
      <c r="M6" s="16"/>
    </row>
    <row r="7" spans="2:13">
      <c r="B7" s="4">
        <v>5</v>
      </c>
      <c r="C7" s="5" t="s">
        <v>2</v>
      </c>
      <c r="D7" s="6" t="s">
        <v>18</v>
      </c>
      <c r="E7" s="7" t="s">
        <v>19</v>
      </c>
      <c r="F7" s="7" t="s">
        <v>33</v>
      </c>
      <c r="G7" s="7" t="s">
        <v>34</v>
      </c>
      <c r="H7" s="7">
        <v>80050</v>
      </c>
      <c r="I7" s="7">
        <v>1535101</v>
      </c>
      <c r="J7" s="14">
        <v>44074</v>
      </c>
      <c r="K7" s="15" t="s">
        <v>22</v>
      </c>
      <c r="L7" s="16" t="s">
        <v>23</v>
      </c>
      <c r="M7" s="16"/>
    </row>
    <row r="8" spans="2:13">
      <c r="B8" s="4">
        <v>6</v>
      </c>
      <c r="C8" s="5" t="s">
        <v>2</v>
      </c>
      <c r="D8" s="6" t="s">
        <v>18</v>
      </c>
      <c r="E8" s="7" t="s">
        <v>19</v>
      </c>
      <c r="F8" s="7" t="s">
        <v>35</v>
      </c>
      <c r="G8" s="7" t="s">
        <v>36</v>
      </c>
      <c r="H8" s="7">
        <v>60260</v>
      </c>
      <c r="I8" s="7">
        <v>433236</v>
      </c>
      <c r="J8" s="14">
        <v>44075</v>
      </c>
      <c r="K8" s="15" t="s">
        <v>22</v>
      </c>
      <c r="L8" s="16" t="s">
        <v>23</v>
      </c>
      <c r="M8" s="16"/>
    </row>
    <row r="9" spans="2:13">
      <c r="B9" s="4">
        <v>7</v>
      </c>
      <c r="C9" s="5" t="s">
        <v>2</v>
      </c>
      <c r="D9" s="6" t="s">
        <v>37</v>
      </c>
      <c r="E9" s="7" t="s">
        <v>38</v>
      </c>
      <c r="F9" s="7" t="s">
        <v>39</v>
      </c>
      <c r="G9" s="7" t="s">
        <v>40</v>
      </c>
      <c r="H9" s="7">
        <v>86179</v>
      </c>
      <c r="I9" s="7">
        <v>3118459</v>
      </c>
      <c r="J9" s="14">
        <v>44075</v>
      </c>
      <c r="K9" s="15" t="s">
        <v>22</v>
      </c>
      <c r="L9" s="16" t="s">
        <v>23</v>
      </c>
      <c r="M9" s="16"/>
    </row>
    <row r="10" spans="2:13">
      <c r="B10" s="4">
        <v>8</v>
      </c>
      <c r="C10" s="5" t="s">
        <v>2</v>
      </c>
      <c r="D10" s="42" t="s">
        <v>37</v>
      </c>
      <c r="E10" s="43" t="s">
        <v>38</v>
      </c>
      <c r="F10" s="43" t="s">
        <v>43</v>
      </c>
      <c r="G10" s="43" t="s">
        <v>44</v>
      </c>
      <c r="H10" s="43">
        <v>86282</v>
      </c>
      <c r="I10" s="43">
        <v>3133234</v>
      </c>
      <c r="J10" s="14">
        <v>44075</v>
      </c>
      <c r="K10" s="15" t="s">
        <v>22</v>
      </c>
      <c r="L10" s="16" t="s">
        <v>23</v>
      </c>
      <c r="M10" s="16"/>
    </row>
    <row r="11" spans="2:13">
      <c r="B11" s="4">
        <v>9</v>
      </c>
      <c r="C11" s="5" t="s">
        <v>2</v>
      </c>
      <c r="D11" s="8"/>
      <c r="E11" s="8"/>
      <c r="F11" s="8"/>
      <c r="G11" s="8"/>
      <c r="H11" s="5"/>
      <c r="I11" s="5"/>
      <c r="J11" s="14">
        <v>44075</v>
      </c>
      <c r="K11" s="15" t="s">
        <v>22</v>
      </c>
      <c r="L11" s="16" t="s">
        <v>23</v>
      </c>
      <c r="M11" s="16"/>
    </row>
    <row r="12" spans="2:13">
      <c r="B12" s="4">
        <v>10</v>
      </c>
      <c r="C12" s="5" t="s">
        <v>2</v>
      </c>
      <c r="D12" s="8"/>
      <c r="E12" s="8"/>
      <c r="F12" s="8"/>
      <c r="G12" s="8"/>
      <c r="H12" s="5"/>
      <c r="I12" s="5"/>
      <c r="J12" s="14">
        <v>44075</v>
      </c>
      <c r="K12" s="15" t="s">
        <v>22</v>
      </c>
      <c r="L12" s="16" t="s">
        <v>23</v>
      </c>
      <c r="M12" s="16"/>
    </row>
    <row r="13" spans="2:13">
      <c r="B13" s="4">
        <v>11</v>
      </c>
      <c r="C13" s="5" t="s">
        <v>2</v>
      </c>
      <c r="D13" s="6" t="s">
        <v>18</v>
      </c>
      <c r="E13" s="7" t="s">
        <v>19</v>
      </c>
      <c r="F13" s="7" t="s">
        <v>35</v>
      </c>
      <c r="G13" s="7" t="s">
        <v>36</v>
      </c>
      <c r="H13" s="7">
        <v>60260</v>
      </c>
      <c r="I13" s="7">
        <v>433236</v>
      </c>
      <c r="J13" s="14">
        <v>44076</v>
      </c>
      <c r="K13" s="15" t="s">
        <v>22</v>
      </c>
      <c r="L13" s="16" t="s">
        <v>23</v>
      </c>
      <c r="M13" s="16"/>
    </row>
    <row r="14" spans="2:13">
      <c r="B14" s="4">
        <v>12</v>
      </c>
      <c r="C14" s="5" t="s">
        <v>2</v>
      </c>
      <c r="D14" s="44" t="s">
        <v>37</v>
      </c>
      <c r="E14" s="45" t="s">
        <v>38</v>
      </c>
      <c r="F14" s="45" t="s">
        <v>43</v>
      </c>
      <c r="G14" s="45" t="s">
        <v>44</v>
      </c>
      <c r="H14" s="45">
        <v>86282</v>
      </c>
      <c r="I14" s="45">
        <v>3133234</v>
      </c>
      <c r="J14" s="14">
        <v>44076</v>
      </c>
      <c r="K14" s="15" t="s">
        <v>22</v>
      </c>
      <c r="L14" s="16" t="s">
        <v>23</v>
      </c>
      <c r="M14" s="16"/>
    </row>
    <row r="15" spans="2:13">
      <c r="B15" s="4">
        <v>13</v>
      </c>
      <c r="C15" s="5" t="s">
        <v>2</v>
      </c>
      <c r="D15" s="8"/>
      <c r="E15" s="8"/>
      <c r="F15" s="8"/>
      <c r="G15" s="8"/>
      <c r="H15" s="5"/>
      <c r="I15" s="5"/>
      <c r="J15" s="14">
        <v>44076</v>
      </c>
      <c r="K15" s="15" t="s">
        <v>22</v>
      </c>
      <c r="L15" s="16" t="s">
        <v>23</v>
      </c>
      <c r="M15" s="16"/>
    </row>
    <row r="16" spans="2:13">
      <c r="B16" s="4">
        <v>14</v>
      </c>
      <c r="C16" s="5" t="s">
        <v>2</v>
      </c>
      <c r="D16" s="8"/>
      <c r="E16" s="8"/>
      <c r="F16" s="8"/>
      <c r="G16" s="8"/>
      <c r="H16" s="5"/>
      <c r="I16" s="5"/>
      <c r="J16" s="14">
        <v>44076</v>
      </c>
      <c r="K16" s="15" t="s">
        <v>22</v>
      </c>
      <c r="L16" s="16" t="s">
        <v>23</v>
      </c>
      <c r="M16" s="16"/>
    </row>
    <row r="17" spans="2:13">
      <c r="B17" s="4">
        <v>15</v>
      </c>
      <c r="C17" s="5" t="s">
        <v>2</v>
      </c>
      <c r="D17" s="6" t="s">
        <v>18</v>
      </c>
      <c r="E17" s="7" t="s">
        <v>19</v>
      </c>
      <c r="F17" s="7" t="s">
        <v>35</v>
      </c>
      <c r="G17" s="7" t="s">
        <v>36</v>
      </c>
      <c r="H17" s="7">
        <v>60260</v>
      </c>
      <c r="I17" s="7">
        <v>433236</v>
      </c>
      <c r="J17" s="14">
        <v>44077</v>
      </c>
      <c r="K17" s="15" t="s">
        <v>22</v>
      </c>
      <c r="L17" s="16" t="s">
        <v>23</v>
      </c>
      <c r="M17" s="16"/>
    </row>
    <row r="18" spans="2:13">
      <c r="B18" s="4">
        <v>16</v>
      </c>
      <c r="C18" s="5" t="s">
        <v>2</v>
      </c>
      <c r="D18" s="6" t="s">
        <v>18</v>
      </c>
      <c r="E18" s="7" t="s">
        <v>30</v>
      </c>
      <c r="F18" s="7" t="s">
        <v>41</v>
      </c>
      <c r="G18" s="7" t="s">
        <v>42</v>
      </c>
      <c r="H18" s="7">
        <v>59401</v>
      </c>
      <c r="I18" s="7">
        <v>432923</v>
      </c>
      <c r="J18" s="14">
        <v>44077</v>
      </c>
      <c r="K18" s="15" t="s">
        <v>22</v>
      </c>
      <c r="L18" s="16" t="s">
        <v>23</v>
      </c>
      <c r="M18" s="16"/>
    </row>
    <row r="19" spans="2:13">
      <c r="B19" s="4">
        <v>17</v>
      </c>
      <c r="C19" s="5" t="s">
        <v>2</v>
      </c>
      <c r="D19" s="46" t="s">
        <v>37</v>
      </c>
      <c r="E19" s="47" t="s">
        <v>38</v>
      </c>
      <c r="F19" s="47" t="s">
        <v>43</v>
      </c>
      <c r="G19" s="47" t="s">
        <v>44</v>
      </c>
      <c r="H19" s="47">
        <v>86282</v>
      </c>
      <c r="I19" s="47">
        <v>3133234</v>
      </c>
      <c r="J19" s="14">
        <v>44077</v>
      </c>
      <c r="K19" s="15" t="s">
        <v>22</v>
      </c>
      <c r="L19" s="16" t="s">
        <v>23</v>
      </c>
      <c r="M19" s="16"/>
    </row>
    <row r="20" spans="2:13">
      <c r="B20" s="4">
        <v>18</v>
      </c>
      <c r="C20" s="5" t="s">
        <v>2</v>
      </c>
      <c r="D20" s="8"/>
      <c r="E20" s="8"/>
      <c r="F20" s="8"/>
      <c r="G20" s="8"/>
      <c r="H20" s="5"/>
      <c r="I20" s="5"/>
      <c r="J20" s="14">
        <v>44077</v>
      </c>
      <c r="K20" s="15" t="s">
        <v>22</v>
      </c>
      <c r="L20" s="16" t="s">
        <v>23</v>
      </c>
      <c r="M20" s="16"/>
    </row>
    <row r="21" spans="2:13">
      <c r="B21" s="4">
        <v>19</v>
      </c>
      <c r="C21" s="5" t="s">
        <v>2</v>
      </c>
      <c r="D21" s="6" t="s">
        <v>18</v>
      </c>
      <c r="E21" s="7" t="s">
        <v>19</v>
      </c>
      <c r="F21" s="7" t="s">
        <v>35</v>
      </c>
      <c r="G21" s="7" t="s">
        <v>36</v>
      </c>
      <c r="H21" s="7">
        <v>60260</v>
      </c>
      <c r="I21" s="7">
        <v>433236</v>
      </c>
      <c r="J21" s="14">
        <v>44078</v>
      </c>
      <c r="K21" s="15" t="s">
        <v>22</v>
      </c>
      <c r="L21" s="16" t="s">
        <v>23</v>
      </c>
      <c r="M21" s="16"/>
    </row>
    <row r="22" spans="2:13">
      <c r="B22" s="4">
        <v>20</v>
      </c>
      <c r="C22" s="5" t="s">
        <v>2</v>
      </c>
      <c r="D22" s="6" t="s">
        <v>18</v>
      </c>
      <c r="E22" s="7" t="s">
        <v>30</v>
      </c>
      <c r="F22" s="7" t="s">
        <v>41</v>
      </c>
      <c r="G22" s="7" t="s">
        <v>42</v>
      </c>
      <c r="H22" s="7">
        <v>59401</v>
      </c>
      <c r="I22" s="7">
        <v>432923</v>
      </c>
      <c r="J22" s="14">
        <v>44078</v>
      </c>
      <c r="K22" s="15" t="s">
        <v>22</v>
      </c>
      <c r="L22" s="16" t="s">
        <v>23</v>
      </c>
      <c r="M22" s="16"/>
    </row>
    <row r="23" spans="2:13">
      <c r="B23" s="4">
        <v>21</v>
      </c>
      <c r="C23" s="5" t="s">
        <v>2</v>
      </c>
      <c r="D23" s="48" t="s">
        <v>37</v>
      </c>
      <c r="E23" s="49" t="s">
        <v>38</v>
      </c>
      <c r="F23" s="49" t="s">
        <v>43</v>
      </c>
      <c r="G23" s="49" t="s">
        <v>44</v>
      </c>
      <c r="H23" s="49">
        <v>86282</v>
      </c>
      <c r="I23" s="49">
        <v>3133234</v>
      </c>
      <c r="J23" s="14">
        <v>44078</v>
      </c>
      <c r="K23" s="15" t="s">
        <v>22</v>
      </c>
      <c r="L23" s="16" t="s">
        <v>23</v>
      </c>
      <c r="M23" s="16"/>
    </row>
    <row r="24" spans="2:13" ht="15.75" thickBot="1">
      <c r="B24" s="9">
        <v>22</v>
      </c>
      <c r="C24" s="10" t="s">
        <v>2</v>
      </c>
      <c r="D24" s="11"/>
      <c r="E24" s="11"/>
      <c r="F24" s="11"/>
      <c r="G24" s="11"/>
      <c r="H24" s="10"/>
      <c r="I24" s="10"/>
      <c r="J24" s="17">
        <v>44078</v>
      </c>
      <c r="K24" s="18" t="s">
        <v>22</v>
      </c>
      <c r="L24" s="19" t="s">
        <v>23</v>
      </c>
      <c r="M24" s="19"/>
    </row>
    <row r="25" spans="2:13"/>
  </sheetData>
  <autoFilter ref="B1:M24"/>
  <sortState ref="B3:M221">
    <sortCondition ref="J3:J221"/>
    <sortCondition ref="K3:K221"/>
  </sortState>
  <conditionalFormatting sqref="D3:G3">
    <cfRule type="cellIs" dxfId="225" priority="260" operator="equal">
      <formula>"TRANSFER"</formula>
    </cfRule>
    <cfRule type="cellIs" dxfId="224" priority="259" operator="equal">
      <formula>"TERM"</formula>
    </cfRule>
    <cfRule type="cellIs" dxfId="223" priority="258" operator="equal">
      <formula>"REINSTATEMENT"</formula>
    </cfRule>
    <cfRule type="cellIs" dxfId="222" priority="257" operator="equal">
      <formula>"PROMOTED"</formula>
    </cfRule>
    <cfRule type="cellIs" dxfId="221" priority="256" operator="equal">
      <formula>"PENDING TERM"</formula>
    </cfRule>
    <cfRule type="cellIs" dxfId="220" priority="255" operator="equal">
      <formula>"LOA"</formula>
    </cfRule>
  </conditionalFormatting>
  <conditionalFormatting sqref="H3">
    <cfRule type="duplicateValues" dxfId="219" priority="252"/>
    <cfRule type="duplicateValues" dxfId="218" priority="250"/>
  </conditionalFormatting>
  <conditionalFormatting sqref="H3:I3">
    <cfRule type="cellIs" dxfId="217" priority="249" operator="equal">
      <formula>"TRANSFER"</formula>
    </cfRule>
    <cfRule type="cellIs" dxfId="216" priority="248" operator="equal">
      <formula>"TERM"</formula>
    </cfRule>
    <cfRule type="cellIs" dxfId="215" priority="247" operator="equal">
      <formula>"REINSTATEMENT"</formula>
    </cfRule>
    <cfRule type="cellIs" dxfId="214" priority="246" operator="equal">
      <formula>"PROMOTED"</formula>
    </cfRule>
    <cfRule type="cellIs" dxfId="213" priority="245" operator="equal">
      <formula>"PENDING TERM"</formula>
    </cfRule>
    <cfRule type="cellIs" dxfId="212" priority="244" operator="equal">
      <formula>"LOA"</formula>
    </cfRule>
  </conditionalFormatting>
  <conditionalFormatting sqref="I3">
    <cfRule type="duplicateValues" dxfId="211" priority="254"/>
    <cfRule type="duplicateValues" dxfId="210" priority="253"/>
    <cfRule type="duplicateValues" dxfId="209" priority="251"/>
  </conditionalFormatting>
  <conditionalFormatting sqref="D4:G4">
    <cfRule type="cellIs" dxfId="208" priority="72" operator="equal">
      <formula>"TRANSFER"</formula>
    </cfRule>
    <cfRule type="cellIs" dxfId="207" priority="71" operator="equal">
      <formula>"TERM"</formula>
    </cfRule>
    <cfRule type="cellIs" dxfId="206" priority="70" operator="equal">
      <formula>"REINSTATEMENT"</formula>
    </cfRule>
    <cfRule type="cellIs" dxfId="205" priority="69" operator="equal">
      <formula>"PROMOTED"</formula>
    </cfRule>
    <cfRule type="cellIs" dxfId="204" priority="68" operator="equal">
      <formula>"PENDING TERM"</formula>
    </cfRule>
    <cfRule type="cellIs" dxfId="203" priority="67" operator="equal">
      <formula>"LOA"</formula>
    </cfRule>
  </conditionalFormatting>
  <conditionalFormatting sqref="H4:I4">
    <cfRule type="duplicateValues" dxfId="202" priority="80"/>
    <cfRule type="duplicateValues" dxfId="201" priority="79"/>
    <cfRule type="cellIs" dxfId="200" priority="78" operator="equal">
      <formula>"TRANSFER"</formula>
    </cfRule>
    <cfRule type="cellIs" dxfId="199" priority="77" operator="equal">
      <formula>"TERM"</formula>
    </cfRule>
    <cfRule type="cellIs" dxfId="198" priority="76" operator="equal">
      <formula>"REINSTATEMENT"</formula>
    </cfRule>
    <cfRule type="cellIs" dxfId="197" priority="75" operator="equal">
      <formula>"PROMOTED"</formula>
    </cfRule>
    <cfRule type="cellIs" dxfId="196" priority="74" operator="equal">
      <formula>"PENDING TERM"</formula>
    </cfRule>
    <cfRule type="cellIs" dxfId="195" priority="73" operator="equal">
      <formula>"LOA"</formula>
    </cfRule>
  </conditionalFormatting>
  <conditionalFormatting sqref="D5:G5">
    <cfRule type="cellIs" dxfId="194" priority="125" operator="equal">
      <formula>"TRANSFER"</formula>
    </cfRule>
    <cfRule type="cellIs" dxfId="193" priority="124" operator="equal">
      <formula>"TERM"</formula>
    </cfRule>
    <cfRule type="cellIs" dxfId="192" priority="123" operator="equal">
      <formula>"REINSTATEMENT"</formula>
    </cfRule>
    <cfRule type="cellIs" dxfId="191" priority="122" operator="equal">
      <formula>"PROMOTED"</formula>
    </cfRule>
    <cfRule type="cellIs" dxfId="190" priority="121" operator="equal">
      <formula>"PENDING TERM"</formula>
    </cfRule>
    <cfRule type="cellIs" dxfId="189" priority="120" operator="equal">
      <formula>"LOA"</formula>
    </cfRule>
  </conditionalFormatting>
  <conditionalFormatting sqref="H5">
    <cfRule type="duplicateValues" dxfId="188" priority="117"/>
    <cfRule type="duplicateValues" dxfId="187" priority="115"/>
  </conditionalFormatting>
  <conditionalFormatting sqref="H5:I5">
    <cfRule type="cellIs" dxfId="186" priority="114" operator="equal">
      <formula>"TRANSFER"</formula>
    </cfRule>
    <cfRule type="cellIs" dxfId="185" priority="113" operator="equal">
      <formula>"TERM"</formula>
    </cfRule>
    <cfRule type="cellIs" dxfId="184" priority="112" operator="equal">
      <formula>"REINSTATEMENT"</formula>
    </cfRule>
    <cfRule type="cellIs" dxfId="183" priority="111" operator="equal">
      <formula>"PROMOTED"</formula>
    </cfRule>
    <cfRule type="cellIs" dxfId="182" priority="110" operator="equal">
      <formula>"PENDING TERM"</formula>
    </cfRule>
    <cfRule type="cellIs" dxfId="181" priority="109" operator="equal">
      <formula>"LOA"</formula>
    </cfRule>
  </conditionalFormatting>
  <conditionalFormatting sqref="I5">
    <cfRule type="duplicateValues" dxfId="180" priority="119"/>
    <cfRule type="duplicateValues" dxfId="179" priority="118"/>
    <cfRule type="duplicateValues" dxfId="178" priority="116"/>
  </conditionalFormatting>
  <conditionalFormatting sqref="D6:G6">
    <cfRule type="cellIs" dxfId="177" priority="108" operator="equal">
      <formula>"TRANSFER"</formula>
    </cfRule>
    <cfRule type="cellIs" dxfId="176" priority="107" operator="equal">
      <formula>"TERM"</formula>
    </cfRule>
    <cfRule type="cellIs" dxfId="175" priority="106" operator="equal">
      <formula>"REINSTATEMENT"</formula>
    </cfRule>
    <cfRule type="cellIs" dxfId="174" priority="105" operator="equal">
      <formula>"PROMOTED"</formula>
    </cfRule>
    <cfRule type="cellIs" dxfId="173" priority="104" operator="equal">
      <formula>"PENDING TERM"</formula>
    </cfRule>
    <cfRule type="cellIs" dxfId="172" priority="103" operator="equal">
      <formula>"LOA"</formula>
    </cfRule>
  </conditionalFormatting>
  <conditionalFormatting sqref="H6">
    <cfRule type="duplicateValues" dxfId="171" priority="100"/>
    <cfRule type="duplicateValues" dxfId="170" priority="98"/>
  </conditionalFormatting>
  <conditionalFormatting sqref="H6:I6">
    <cfRule type="cellIs" dxfId="169" priority="97" operator="equal">
      <formula>"TRANSFER"</formula>
    </cfRule>
    <cfRule type="cellIs" dxfId="168" priority="96" operator="equal">
      <formula>"TERM"</formula>
    </cfRule>
    <cfRule type="cellIs" dxfId="167" priority="95" operator="equal">
      <formula>"REINSTATEMENT"</formula>
    </cfRule>
    <cfRule type="cellIs" dxfId="166" priority="94" operator="equal">
      <formula>"PROMOTED"</formula>
    </cfRule>
    <cfRule type="cellIs" dxfId="165" priority="93" operator="equal">
      <formula>"PENDING TERM"</formula>
    </cfRule>
    <cfRule type="cellIs" dxfId="164" priority="92" operator="equal">
      <formula>"LOA"</formula>
    </cfRule>
  </conditionalFormatting>
  <conditionalFormatting sqref="I6">
    <cfRule type="duplicateValues" dxfId="163" priority="102"/>
    <cfRule type="duplicateValues" dxfId="162" priority="101"/>
    <cfRule type="duplicateValues" dxfId="161" priority="99"/>
  </conditionalFormatting>
  <conditionalFormatting sqref="D7:G7">
    <cfRule type="cellIs" dxfId="160" priority="66" operator="equal">
      <formula>"TRANSFER"</formula>
    </cfRule>
    <cfRule type="cellIs" dxfId="159" priority="65" operator="equal">
      <formula>"TERM"</formula>
    </cfRule>
    <cfRule type="cellIs" dxfId="158" priority="64" operator="equal">
      <formula>"REINSTATEMENT"</formula>
    </cfRule>
    <cfRule type="cellIs" dxfId="157" priority="63" operator="equal">
      <formula>"PROMOTED"</formula>
    </cfRule>
    <cfRule type="cellIs" dxfId="156" priority="62" operator="equal">
      <formula>"PENDING TERM"</formula>
    </cfRule>
    <cfRule type="cellIs" dxfId="155" priority="61" operator="equal">
      <formula>"LOA"</formula>
    </cfRule>
  </conditionalFormatting>
  <conditionalFormatting sqref="H7">
    <cfRule type="duplicateValues" dxfId="154" priority="58"/>
    <cfRule type="duplicateValues" dxfId="153" priority="56"/>
  </conditionalFormatting>
  <conditionalFormatting sqref="H7:I7">
    <cfRule type="cellIs" dxfId="152" priority="55" operator="equal">
      <formula>"TRANSFER"</formula>
    </cfRule>
    <cfRule type="cellIs" dxfId="151" priority="54" operator="equal">
      <formula>"TERM"</formula>
    </cfRule>
    <cfRule type="cellIs" dxfId="150" priority="53" operator="equal">
      <formula>"REINSTATEMENT"</formula>
    </cfRule>
    <cfRule type="cellIs" dxfId="149" priority="52" operator="equal">
      <formula>"PROMOTED"</formula>
    </cfRule>
    <cfRule type="cellIs" dxfId="148" priority="51" operator="equal">
      <formula>"PENDING TERM"</formula>
    </cfRule>
    <cfRule type="cellIs" dxfId="147" priority="50" operator="equal">
      <formula>"LOA"</formula>
    </cfRule>
  </conditionalFormatting>
  <conditionalFormatting sqref="I7">
    <cfRule type="duplicateValues" dxfId="146" priority="60"/>
    <cfRule type="duplicateValues" dxfId="145" priority="59"/>
    <cfRule type="duplicateValues" dxfId="144" priority="57"/>
  </conditionalFormatting>
  <conditionalFormatting sqref="D8:G8">
    <cfRule type="cellIs" dxfId="143" priority="226" operator="equal">
      <formula>"TRANSFER"</formula>
    </cfRule>
    <cfRule type="cellIs" dxfId="142" priority="225" operator="equal">
      <formula>"TERM"</formula>
    </cfRule>
    <cfRule type="cellIs" dxfId="141" priority="224" operator="equal">
      <formula>"REINSTATEMENT"</formula>
    </cfRule>
    <cfRule type="cellIs" dxfId="140" priority="223" operator="equal">
      <formula>"PROMOTED"</formula>
    </cfRule>
    <cfRule type="cellIs" dxfId="139" priority="222" operator="equal">
      <formula>"PENDING TERM"</formula>
    </cfRule>
    <cfRule type="cellIs" dxfId="138" priority="221" operator="equal">
      <formula>"LOA"</formula>
    </cfRule>
  </conditionalFormatting>
  <conditionalFormatting sqref="H8">
    <cfRule type="duplicateValues" dxfId="137" priority="218"/>
    <cfRule type="duplicateValues" dxfId="136" priority="216"/>
  </conditionalFormatting>
  <conditionalFormatting sqref="H8:I8">
    <cfRule type="cellIs" dxfId="135" priority="215" operator="equal">
      <formula>"TRANSFER"</formula>
    </cfRule>
    <cfRule type="cellIs" dxfId="134" priority="214" operator="equal">
      <formula>"TERM"</formula>
    </cfRule>
    <cfRule type="cellIs" dxfId="133" priority="213" operator="equal">
      <formula>"REINSTATEMENT"</formula>
    </cfRule>
    <cfRule type="cellIs" dxfId="132" priority="212" operator="equal">
      <formula>"PROMOTED"</formula>
    </cfRule>
    <cfRule type="cellIs" dxfId="131" priority="211" operator="equal">
      <formula>"PENDING TERM"</formula>
    </cfRule>
    <cfRule type="cellIs" dxfId="130" priority="210" operator="equal">
      <formula>"LOA"</formula>
    </cfRule>
  </conditionalFormatting>
  <conditionalFormatting sqref="I8">
    <cfRule type="duplicateValues" dxfId="129" priority="220"/>
    <cfRule type="duplicateValues" dxfId="128" priority="219"/>
    <cfRule type="duplicateValues" dxfId="127" priority="217"/>
  </conditionalFormatting>
  <conditionalFormatting sqref="D9:G9">
    <cfRule type="cellIs" dxfId="126" priority="15" operator="equal">
      <formula>"TRANSFER"</formula>
    </cfRule>
    <cfRule type="cellIs" dxfId="125" priority="14" operator="equal">
      <formula>"TERM"</formula>
    </cfRule>
    <cfRule type="cellIs" dxfId="124" priority="13" operator="equal">
      <formula>"REINSTATEMENT"</formula>
    </cfRule>
    <cfRule type="cellIs" dxfId="123" priority="12" operator="equal">
      <formula>"PROMOTED"</formula>
    </cfRule>
    <cfRule type="cellIs" dxfId="122" priority="11" operator="equal">
      <formula>"PENDING TERM"</formula>
    </cfRule>
    <cfRule type="cellIs" dxfId="121" priority="10" operator="equal">
      <formula>"LOA"</formula>
    </cfRule>
  </conditionalFormatting>
  <conditionalFormatting sqref="H9">
    <cfRule type="duplicateValues" dxfId="120" priority="7"/>
  </conditionalFormatting>
  <conditionalFormatting sqref="H9:I9">
    <cfRule type="cellIs" dxfId="119" priority="6" operator="equal">
      <formula>"TRANSFER"</formula>
    </cfRule>
    <cfRule type="cellIs" dxfId="118" priority="5" operator="equal">
      <formula>"TERM"</formula>
    </cfRule>
    <cfRule type="cellIs" dxfId="117" priority="4" operator="equal">
      <formula>"REINSTATEMENT"</formula>
    </cfRule>
    <cfRule type="cellIs" dxfId="116" priority="3" operator="equal">
      <formula>"PROMOTED"</formula>
    </cfRule>
    <cfRule type="cellIs" dxfId="115" priority="2" operator="equal">
      <formula>"PENDING TERM"</formula>
    </cfRule>
    <cfRule type="cellIs" dxfId="114" priority="1" operator="equal">
      <formula>"LOA"</formula>
    </cfRule>
  </conditionalFormatting>
  <conditionalFormatting sqref="I9">
    <cfRule type="duplicateValues" dxfId="113" priority="9"/>
    <cfRule type="duplicateValues" dxfId="112" priority="8"/>
  </conditionalFormatting>
  <conditionalFormatting sqref="D13:G13">
    <cfRule type="cellIs" dxfId="111" priority="209" operator="equal">
      <formula>"TRANSFER"</formula>
    </cfRule>
    <cfRule type="cellIs" dxfId="110" priority="208" operator="equal">
      <formula>"TERM"</formula>
    </cfRule>
    <cfRule type="cellIs" dxfId="109" priority="207" operator="equal">
      <formula>"REINSTATEMENT"</formula>
    </cfRule>
    <cfRule type="cellIs" dxfId="108" priority="206" operator="equal">
      <formula>"PROMOTED"</formula>
    </cfRule>
    <cfRule type="cellIs" dxfId="107" priority="205" operator="equal">
      <formula>"PENDING TERM"</formula>
    </cfRule>
    <cfRule type="cellIs" dxfId="106" priority="204" operator="equal">
      <formula>"LOA"</formula>
    </cfRule>
  </conditionalFormatting>
  <conditionalFormatting sqref="H13">
    <cfRule type="duplicateValues" dxfId="105" priority="201"/>
    <cfRule type="duplicateValues" dxfId="104" priority="199"/>
  </conditionalFormatting>
  <conditionalFormatting sqref="H13:I13">
    <cfRule type="cellIs" dxfId="103" priority="198" operator="equal">
      <formula>"TRANSFER"</formula>
    </cfRule>
    <cfRule type="cellIs" dxfId="102" priority="197" operator="equal">
      <formula>"TERM"</formula>
    </cfRule>
    <cfRule type="cellIs" dxfId="101" priority="196" operator="equal">
      <formula>"REINSTATEMENT"</formula>
    </cfRule>
    <cfRule type="cellIs" dxfId="100" priority="195" operator="equal">
      <formula>"PROMOTED"</formula>
    </cfRule>
    <cfRule type="cellIs" dxfId="99" priority="194" operator="equal">
      <formula>"PENDING TERM"</formula>
    </cfRule>
    <cfRule type="cellIs" dxfId="98" priority="193" operator="equal">
      <formula>"LOA"</formula>
    </cfRule>
  </conditionalFormatting>
  <conditionalFormatting sqref="I13">
    <cfRule type="duplicateValues" dxfId="97" priority="203"/>
    <cfRule type="duplicateValues" dxfId="96" priority="202"/>
    <cfRule type="duplicateValues" dxfId="95" priority="200"/>
  </conditionalFormatting>
  <conditionalFormatting sqref="D14">
    <cfRule type="duplicateValues" dxfId="94" priority="137"/>
    <cfRule type="duplicateValues" dxfId="93" priority="133"/>
  </conditionalFormatting>
  <conditionalFormatting sqref="D14:G14">
    <cfRule type="cellIs" dxfId="92" priority="131" operator="equal">
      <formula>"TRANSFER"</formula>
    </cfRule>
    <cfRule type="cellIs" dxfId="91" priority="130" operator="equal">
      <formula>"TERM"</formula>
    </cfRule>
    <cfRule type="cellIs" dxfId="90" priority="129" operator="equal">
      <formula>"REINSTATEMENT"</formula>
    </cfRule>
    <cfRule type="cellIs" dxfId="89" priority="128" operator="equal">
      <formula>"PROMOTED"</formula>
    </cfRule>
    <cfRule type="cellIs" dxfId="88" priority="127" operator="equal">
      <formula>"PENDING TERM"</formula>
    </cfRule>
    <cfRule type="cellIs" dxfId="87" priority="126" operator="equal">
      <formula>"LOA"</formula>
    </cfRule>
  </conditionalFormatting>
  <conditionalFormatting sqref="E14">
    <cfRule type="duplicateValues" dxfId="86" priority="141"/>
    <cfRule type="duplicateValues" dxfId="85" priority="139"/>
    <cfRule type="duplicateValues" dxfId="84" priority="135"/>
  </conditionalFormatting>
  <conditionalFormatting sqref="F14">
    <cfRule type="duplicateValues" dxfId="83" priority="136"/>
    <cfRule type="duplicateValues" dxfId="82" priority="132"/>
  </conditionalFormatting>
  <conditionalFormatting sqref="G14">
    <cfRule type="duplicateValues" dxfId="81" priority="140"/>
    <cfRule type="duplicateValues" dxfId="80" priority="138"/>
    <cfRule type="duplicateValues" dxfId="79" priority="134"/>
  </conditionalFormatting>
  <conditionalFormatting sqref="H14">
    <cfRule type="duplicateValues" dxfId="78" priority="150"/>
    <cfRule type="duplicateValues" dxfId="77" priority="148"/>
  </conditionalFormatting>
  <conditionalFormatting sqref="H14:I14">
    <cfRule type="cellIs" dxfId="76" priority="147" operator="equal">
      <formula>"TRANSFER"</formula>
    </cfRule>
    <cfRule type="cellIs" dxfId="75" priority="146" operator="equal">
      <formula>"TERM"</formula>
    </cfRule>
    <cfRule type="cellIs" dxfId="74" priority="145" operator="equal">
      <formula>"REINSTATEMENT"</formula>
    </cfRule>
    <cfRule type="cellIs" dxfId="73" priority="144" operator="equal">
      <formula>"PROMOTED"</formula>
    </cfRule>
    <cfRule type="cellIs" dxfId="72" priority="143" operator="equal">
      <formula>"PENDING TERM"</formula>
    </cfRule>
    <cfRule type="cellIs" dxfId="71" priority="142" operator="equal">
      <formula>"LOA"</formula>
    </cfRule>
  </conditionalFormatting>
  <conditionalFormatting sqref="I14">
    <cfRule type="duplicateValues" dxfId="70" priority="152"/>
    <cfRule type="duplicateValues" dxfId="69" priority="151"/>
    <cfRule type="duplicateValues" dxfId="68" priority="149"/>
  </conditionalFormatting>
  <conditionalFormatting sqref="D17:G17">
    <cfRule type="cellIs" dxfId="67" priority="192" operator="equal">
      <formula>"TRANSFER"</formula>
    </cfRule>
    <cfRule type="cellIs" dxfId="66" priority="191" operator="equal">
      <formula>"TERM"</formula>
    </cfRule>
    <cfRule type="cellIs" dxfId="65" priority="190" operator="equal">
      <formula>"REINSTATEMENT"</formula>
    </cfRule>
    <cfRule type="cellIs" dxfId="64" priority="189" operator="equal">
      <formula>"PROMOTED"</formula>
    </cfRule>
    <cfRule type="cellIs" dxfId="63" priority="188" operator="equal">
      <formula>"PENDING TERM"</formula>
    </cfRule>
    <cfRule type="cellIs" dxfId="62" priority="187" operator="equal">
      <formula>"LOA"</formula>
    </cfRule>
  </conditionalFormatting>
  <conditionalFormatting sqref="H17">
    <cfRule type="duplicateValues" dxfId="61" priority="184"/>
    <cfRule type="duplicateValues" dxfId="60" priority="182"/>
  </conditionalFormatting>
  <conditionalFormatting sqref="H17:I17">
    <cfRule type="cellIs" dxfId="59" priority="181" operator="equal">
      <formula>"TRANSFER"</formula>
    </cfRule>
    <cfRule type="cellIs" dxfId="58" priority="180" operator="equal">
      <formula>"TERM"</formula>
    </cfRule>
    <cfRule type="cellIs" dxfId="57" priority="179" operator="equal">
      <formula>"REINSTATEMENT"</formula>
    </cfRule>
    <cfRule type="cellIs" dxfId="56" priority="178" operator="equal">
      <formula>"PROMOTED"</formula>
    </cfRule>
    <cfRule type="cellIs" dxfId="55" priority="177" operator="equal">
      <formula>"PENDING TERM"</formula>
    </cfRule>
    <cfRule type="cellIs" dxfId="54" priority="176" operator="equal">
      <formula>"LOA"</formula>
    </cfRule>
  </conditionalFormatting>
  <conditionalFormatting sqref="I17">
    <cfRule type="duplicateValues" dxfId="53" priority="186"/>
    <cfRule type="duplicateValues" dxfId="52" priority="185"/>
    <cfRule type="duplicateValues" dxfId="51" priority="183"/>
  </conditionalFormatting>
  <conditionalFormatting sqref="D18:G18">
    <cfRule type="cellIs" dxfId="50" priority="49" operator="equal">
      <formula>"TRANSFER"</formula>
    </cfRule>
    <cfRule type="cellIs" dxfId="49" priority="48" operator="equal">
      <formula>"TERM"</formula>
    </cfRule>
    <cfRule type="cellIs" dxfId="48" priority="47" operator="equal">
      <formula>"REINSTATEMENT"</formula>
    </cfRule>
    <cfRule type="cellIs" dxfId="47" priority="46" operator="equal">
      <formula>"PROMOTED"</formula>
    </cfRule>
    <cfRule type="cellIs" dxfId="46" priority="45" operator="equal">
      <formula>"PENDING TERM"</formula>
    </cfRule>
    <cfRule type="cellIs" dxfId="45" priority="44" operator="equal">
      <formula>"LOA"</formula>
    </cfRule>
  </conditionalFormatting>
  <conditionalFormatting sqref="H18">
    <cfRule type="duplicateValues" dxfId="44" priority="41"/>
    <cfRule type="duplicateValues" dxfId="43" priority="39"/>
  </conditionalFormatting>
  <conditionalFormatting sqref="H18:I18">
    <cfRule type="cellIs" dxfId="42" priority="38" operator="equal">
      <formula>"TRANSFER"</formula>
    </cfRule>
    <cfRule type="cellIs" dxfId="41" priority="37" operator="equal">
      <formula>"TERM"</formula>
    </cfRule>
    <cfRule type="cellIs" dxfId="40" priority="36" operator="equal">
      <formula>"REINSTATEMENT"</formula>
    </cfRule>
    <cfRule type="cellIs" dxfId="39" priority="35" operator="equal">
      <formula>"PROMOTED"</formula>
    </cfRule>
    <cfRule type="cellIs" dxfId="38" priority="34" operator="equal">
      <formula>"PENDING TERM"</formula>
    </cfRule>
    <cfRule type="cellIs" dxfId="37" priority="33" operator="equal">
      <formula>"LOA"</formula>
    </cfRule>
  </conditionalFormatting>
  <conditionalFormatting sqref="I18">
    <cfRule type="duplicateValues" dxfId="36" priority="43"/>
    <cfRule type="duplicateValues" dxfId="35" priority="42"/>
    <cfRule type="duplicateValues" dxfId="34" priority="40"/>
  </conditionalFormatting>
  <conditionalFormatting sqref="D21:G21">
    <cfRule type="cellIs" dxfId="33" priority="175" operator="equal">
      <formula>"TRANSFER"</formula>
    </cfRule>
    <cfRule type="cellIs" dxfId="32" priority="174" operator="equal">
      <formula>"TERM"</formula>
    </cfRule>
    <cfRule type="cellIs" dxfId="31" priority="173" operator="equal">
      <formula>"REINSTATEMENT"</formula>
    </cfRule>
    <cfRule type="cellIs" dxfId="30" priority="172" operator="equal">
      <formula>"PROMOTED"</formula>
    </cfRule>
    <cfRule type="cellIs" dxfId="29" priority="171" operator="equal">
      <formula>"PENDING TERM"</formula>
    </cfRule>
    <cfRule type="cellIs" dxfId="28" priority="170" operator="equal">
      <formula>"LOA"</formula>
    </cfRule>
  </conditionalFormatting>
  <conditionalFormatting sqref="H21">
    <cfRule type="duplicateValues" dxfId="27" priority="167"/>
    <cfRule type="duplicateValues" dxfId="26" priority="165"/>
  </conditionalFormatting>
  <conditionalFormatting sqref="H21:I21">
    <cfRule type="cellIs" dxfId="25" priority="164" operator="equal">
      <formula>"TRANSFER"</formula>
    </cfRule>
    <cfRule type="cellIs" dxfId="24" priority="163" operator="equal">
      <formula>"TERM"</formula>
    </cfRule>
    <cfRule type="cellIs" dxfId="23" priority="162" operator="equal">
      <formula>"REINSTATEMENT"</formula>
    </cfRule>
    <cfRule type="cellIs" dxfId="22" priority="161" operator="equal">
      <formula>"PROMOTED"</formula>
    </cfRule>
    <cfRule type="cellIs" dxfId="21" priority="160" operator="equal">
      <formula>"PENDING TERM"</formula>
    </cfRule>
    <cfRule type="cellIs" dxfId="20" priority="159" operator="equal">
      <formula>"LOA"</formula>
    </cfRule>
  </conditionalFormatting>
  <conditionalFormatting sqref="I21">
    <cfRule type="duplicateValues" dxfId="19" priority="169"/>
    <cfRule type="duplicateValues" dxfId="18" priority="168"/>
    <cfRule type="duplicateValues" dxfId="17" priority="166"/>
  </conditionalFormatting>
  <conditionalFormatting sqref="D22:G22">
    <cfRule type="cellIs" dxfId="16" priority="32" operator="equal">
      <formula>"TRANSFER"</formula>
    </cfRule>
    <cfRule type="cellIs" dxfId="15" priority="31" operator="equal">
      <formula>"TERM"</formula>
    </cfRule>
    <cfRule type="cellIs" dxfId="14" priority="30" operator="equal">
      <formula>"REINSTATEMENT"</formula>
    </cfRule>
    <cfRule type="cellIs" dxfId="13" priority="29" operator="equal">
      <formula>"PROMOTED"</formula>
    </cfRule>
    <cfRule type="cellIs" dxfId="12" priority="28" operator="equal">
      <formula>"PENDING TERM"</formula>
    </cfRule>
    <cfRule type="cellIs" dxfId="11" priority="27" operator="equal">
      <formula>"LOA"</formula>
    </cfRule>
  </conditionalFormatting>
  <conditionalFormatting sqref="H22">
    <cfRule type="duplicateValues" dxfId="10" priority="24"/>
    <cfRule type="duplicateValues" dxfId="9" priority="22"/>
  </conditionalFormatting>
  <conditionalFormatting sqref="H22:I22">
    <cfRule type="cellIs" dxfId="8" priority="21" operator="equal">
      <formula>"TRANSFER"</formula>
    </cfRule>
    <cfRule type="cellIs" dxfId="7" priority="20" operator="equal">
      <formula>"TERM"</formula>
    </cfRule>
    <cfRule type="cellIs" dxfId="6" priority="19" operator="equal">
      <formula>"REINSTATEMENT"</formula>
    </cfRule>
    <cfRule type="cellIs" dxfId="5" priority="18" operator="equal">
      <formula>"PROMOTED"</formula>
    </cfRule>
    <cfRule type="cellIs" dxfId="4" priority="17" operator="equal">
      <formula>"PENDING TERM"</formula>
    </cfRule>
    <cfRule type="cellIs" dxfId="3" priority="16" operator="equal">
      <formula>"LOA"</formula>
    </cfRule>
  </conditionalFormatting>
  <conditionalFormatting sqref="I22">
    <cfRule type="duplicateValues" dxfId="2" priority="26"/>
    <cfRule type="duplicateValues" dxfId="1" priority="25"/>
    <cfRule type="duplicateValues" dxfId="0" priority="23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Recomendaciones</vt:lpstr>
    </vt:vector>
  </TitlesOfParts>
  <Company>Teleperformance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Zelarayan</dc:creator>
  <cp:lastModifiedBy>Juan Arias</cp:lastModifiedBy>
  <dcterms:created xsi:type="dcterms:W3CDTF">2013-03-26T17:23:00Z</dcterms:created>
  <dcterms:modified xsi:type="dcterms:W3CDTF">2020-08-31T20:51:04Z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3082-11.2.0.9031</vt:lpwstr>
  </property>
</Properties>
</file>