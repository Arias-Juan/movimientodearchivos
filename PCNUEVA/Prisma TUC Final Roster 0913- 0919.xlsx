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4000" windowHeight="9750" tabRatio="906"/>
  </bookViews>
  <sheets>
    <sheet name="Agents' Final Roster 0913-0919" sheetId="12" r:id="rId1"/>
    <sheet name="Sups' Final Roster 0913-0919" sheetId="13" r:id="rId2"/>
    <sheet name="ACMs' Final Roster 0913-0919" sheetId="14" r:id="rId3"/>
    <sheet name="Ratios" sheetId="11" r:id="rId4"/>
    <sheet name="Agents" sheetId="5" state="hidden" r:id="rId5"/>
    <sheet name="Sups" sheetId="6" state="hidden" r:id="rId6"/>
    <sheet name="Resumen" sheetId="9" state="hidden" r:id="rId7"/>
  </sheets>
  <definedNames>
    <definedName name="_xlnm._FilterDatabase" localSheetId="0" hidden="1">'Agents'' Final Roster 0913-0919'!$A$1:$AA$384</definedName>
    <definedName name="_xlnm._FilterDatabase" localSheetId="1" hidden="1">'Sups'' Final Roster 0913-0919'!$A$1:$K$20</definedName>
    <definedName name="_xlnm._FilterDatabase" localSheetId="2" hidden="1">'ACMs'' Final Roster 0913-0919'!$A$1:$K$4</definedName>
    <definedName name="_xlnm._FilterDatabase" localSheetId="4" hidden="1">Agents!$A$1:$AP$1303</definedName>
    <definedName name="_xlnm._FilterDatabase" localSheetId="5" hidden="1">Sups!$A$1:$M$56</definedName>
  </definedNames>
  <calcPr calcId="144525"/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<sst xmlns="http://schemas.openxmlformats.org/spreadsheetml/2006/main" count="5796" uniqueCount="1948">
  <si>
    <t>ACM</t>
  </si>
  <si>
    <t>Supervisor</t>
  </si>
  <si>
    <t>Last Name</t>
  </si>
  <si>
    <t>First Name</t>
  </si>
  <si>
    <t>Horario Enroque</t>
  </si>
  <si>
    <t>Tuesday</t>
  </si>
  <si>
    <t>ACDID</t>
  </si>
  <si>
    <t>Agent´s Payroll Number</t>
  </si>
  <si>
    <t>CCMSID</t>
  </si>
  <si>
    <t>LOB</t>
  </si>
  <si>
    <t>Secondary Skill</t>
  </si>
  <si>
    <t>Supervisor´s Payroll Numer</t>
  </si>
  <si>
    <t>ACM´s Payroll Number</t>
  </si>
  <si>
    <t>NT Loguin</t>
  </si>
  <si>
    <t>User #1</t>
  </si>
  <si>
    <t>WAHA desde</t>
  </si>
  <si>
    <t>Telephone Number</t>
  </si>
  <si>
    <t>DNI</t>
  </si>
  <si>
    <t>CUIL</t>
  </si>
  <si>
    <t>TPARG Hire Date</t>
  </si>
  <si>
    <t>Project Hire Date</t>
  </si>
  <si>
    <t>Production Hire Date</t>
  </si>
  <si>
    <t>Tenure</t>
  </si>
  <si>
    <t>Site</t>
  </si>
  <si>
    <t>Extensión</t>
  </si>
  <si>
    <t>WAHA</t>
  </si>
  <si>
    <t>Horario Original</t>
  </si>
  <si>
    <t>Campero Juarez Maria Guadalupe</t>
  </si>
  <si>
    <t>Arias Juan José</t>
  </si>
  <si>
    <t>Bautista Boloña</t>
  </si>
  <si>
    <t>Luciana Florencia</t>
  </si>
  <si>
    <t>15:00 - 20:00</t>
  </si>
  <si>
    <t>CSV2</t>
  </si>
  <si>
    <t>bautistabolona.5</t>
  </si>
  <si>
    <t xml:space="preserve">VCTLUBAU </t>
  </si>
  <si>
    <t>381-155811017</t>
  </si>
  <si>
    <t>Campus Casino</t>
  </si>
  <si>
    <t>SI</t>
  </si>
  <si>
    <t>(Hs Orig  15:00 - 20:00 OFF Dom Sab)</t>
  </si>
  <si>
    <t>Albornoz Perez</t>
  </si>
  <si>
    <t>Jose Ezequiel</t>
  </si>
  <si>
    <t>Approved OFF</t>
  </si>
  <si>
    <t>DVH</t>
  </si>
  <si>
    <t>CSV1</t>
  </si>
  <si>
    <t>albornozperez.5</t>
  </si>
  <si>
    <t>VCTJOALB</t>
  </si>
  <si>
    <t>03814655139</t>
  </si>
  <si>
    <t>20-39972625-6</t>
  </si>
  <si>
    <t>Podazza Villagra Daniel Matias</t>
  </si>
  <si>
    <t>Ale</t>
  </si>
  <si>
    <t xml:space="preserve"> Rocío Agustina</t>
  </si>
  <si>
    <t>15:00 - 21:00</t>
  </si>
  <si>
    <t>Servicios web</t>
  </si>
  <si>
    <t>ale.32</t>
  </si>
  <si>
    <t>VCTROALE</t>
  </si>
  <si>
    <t>381 620 2108</t>
  </si>
  <si>
    <t>(Hs Orig  15:00 - 21:00 OFF Dom Sab)</t>
  </si>
  <si>
    <t>Aragón</t>
  </si>
  <si>
    <t>Maria Celeste</t>
  </si>
  <si>
    <t>LOA</t>
  </si>
  <si>
    <t>Compras Referidas</t>
  </si>
  <si>
    <t>aragon.180</t>
  </si>
  <si>
    <t>VCTMAARA</t>
  </si>
  <si>
    <t>381 550 4635</t>
  </si>
  <si>
    <t>Brito</t>
  </si>
  <si>
    <t>Jesus Exequiel</t>
  </si>
  <si>
    <t>CSV3</t>
  </si>
  <si>
    <t>brito.272</t>
  </si>
  <si>
    <t>VCTJEBRI</t>
  </si>
  <si>
    <t>03865-15419891</t>
  </si>
  <si>
    <t>Carabajal</t>
  </si>
  <si>
    <t>Priscila Daiana</t>
  </si>
  <si>
    <t xml:space="preserve">carabajal.35 </t>
  </si>
  <si>
    <t xml:space="preserve">VCTPRCAR </t>
  </si>
  <si>
    <t xml:space="preserve">381-153508762 </t>
  </si>
  <si>
    <t>Casares</t>
  </si>
  <si>
    <t>Diego Jesus</t>
  </si>
  <si>
    <t>VIP</t>
  </si>
  <si>
    <t>VIP/ HD</t>
  </si>
  <si>
    <t>casares.15 </t>
  </si>
  <si>
    <t>VCTDICAS</t>
  </si>
  <si>
    <t>0381-154629051</t>
  </si>
  <si>
    <t>Cejas</t>
  </si>
  <si>
    <t>Ignacio Martin</t>
  </si>
  <si>
    <t>cejasguijarro.5</t>
  </si>
  <si>
    <t>VCTIGCEJ</t>
  </si>
  <si>
    <t>381-154049900</t>
  </si>
  <si>
    <t>Cisneros</t>
  </si>
  <si>
    <t>Roxana Natalia</t>
  </si>
  <si>
    <t>cisneros.153</t>
  </si>
  <si>
    <t>VCTROCIS</t>
  </si>
  <si>
    <t>Corbera</t>
  </si>
  <si>
    <t>Elena Beatriz</t>
  </si>
  <si>
    <t>corbera.8</t>
  </si>
  <si>
    <t>VCTELCOR</t>
  </si>
  <si>
    <t>Escobar</t>
  </si>
  <si>
    <t>Marcos Nahuel</t>
  </si>
  <si>
    <t xml:space="preserve">escobar.21 </t>
  </si>
  <si>
    <t xml:space="preserve">VCTMAESC </t>
  </si>
  <si>
    <t>381-156538022</t>
  </si>
  <si>
    <t>Juarez</t>
  </si>
  <si>
    <t>Carlos Luciano</t>
  </si>
  <si>
    <t xml:space="preserve">Juarez.286 </t>
  </si>
  <si>
    <t xml:space="preserve">VCTCAJUA </t>
  </si>
  <si>
    <t>381-155399372</t>
  </si>
  <si>
    <t>Muratore</t>
  </si>
  <si>
    <t>Daiana Gabriela</t>
  </si>
  <si>
    <t>muratore.9</t>
  </si>
  <si>
    <t>VCTDAMUR</t>
  </si>
  <si>
    <t>0381-153499565</t>
  </si>
  <si>
    <t>Nunez</t>
  </si>
  <si>
    <t>Marcelo Nahuel</t>
  </si>
  <si>
    <t xml:space="preserve">nuez.128  </t>
  </si>
  <si>
    <t xml:space="preserve">VCTMANUN </t>
  </si>
  <si>
    <t>0381-156179830</t>
  </si>
  <si>
    <t>Ortiz</t>
  </si>
  <si>
    <t>Silvina Gabriela</t>
  </si>
  <si>
    <t>ortiz.710</t>
  </si>
  <si>
    <t>VCTSIORT</t>
  </si>
  <si>
    <t>0381-154061434</t>
  </si>
  <si>
    <t>Pockorny</t>
  </si>
  <si>
    <t>Tomás Agustín</t>
  </si>
  <si>
    <t>HD</t>
  </si>
  <si>
    <t>CSV3/ HD</t>
  </si>
  <si>
    <t>pockorny.5</t>
  </si>
  <si>
    <t>VCTTOPOC</t>
  </si>
  <si>
    <t>0381-156539796</t>
  </si>
  <si>
    <t>Quiroga</t>
  </si>
  <si>
    <t xml:space="preserve"> Marianella Stefania</t>
  </si>
  <si>
    <t>quiroga.96</t>
  </si>
  <si>
    <t>VCTMAQUI</t>
  </si>
  <si>
    <t>381 614 5326</t>
  </si>
  <si>
    <t>Yapura</t>
  </si>
  <si>
    <t>Cintia Elena del Valle</t>
  </si>
  <si>
    <t>09:00 - 15:00</t>
  </si>
  <si>
    <t>yapura.5</t>
  </si>
  <si>
    <t>VCTCIYAP</t>
  </si>
  <si>
    <t>0381-155060573</t>
  </si>
  <si>
    <t>Ortiz Jose María</t>
  </si>
  <si>
    <t>Bachur Karim</t>
  </si>
  <si>
    <t>Albornoz</t>
  </si>
  <si>
    <t>Luciana de los Angeles</t>
  </si>
  <si>
    <t>TLMK</t>
  </si>
  <si>
    <t>albornoz.77</t>
  </si>
  <si>
    <t>VCTLUALB</t>
  </si>
  <si>
    <t>27-31354102-4</t>
  </si>
  <si>
    <t>On Site</t>
  </si>
  <si>
    <t>Avellaneda</t>
  </si>
  <si>
    <t>Rocío Mariel</t>
  </si>
  <si>
    <t>avellaneda.34</t>
  </si>
  <si>
    <t>VCTROAVE</t>
  </si>
  <si>
    <t>27-42371665-2</t>
  </si>
  <si>
    <t>Baez Silberstein</t>
  </si>
  <si>
    <t>Santiago</t>
  </si>
  <si>
    <t>baezsilberstein.5</t>
  </si>
  <si>
    <t>VCTSABAE</t>
  </si>
  <si>
    <t>20-37657560-9</t>
  </si>
  <si>
    <t>Contreras</t>
  </si>
  <si>
    <t>Fernando Gonzalo</t>
  </si>
  <si>
    <t>contreras.503</t>
  </si>
  <si>
    <t xml:space="preserve">VCTFECON </t>
  </si>
  <si>
    <t>381-153435386</t>
  </si>
  <si>
    <t>23-38224052-9</t>
  </si>
  <si>
    <t>Coria</t>
  </si>
  <si>
    <t>Ana</t>
  </si>
  <si>
    <t>coria.27</t>
  </si>
  <si>
    <t>VCTCOANA</t>
  </si>
  <si>
    <t>27-39142413-1</t>
  </si>
  <si>
    <t>Dilascio</t>
  </si>
  <si>
    <t>Miguel Angel</t>
  </si>
  <si>
    <t>dilascio.10</t>
  </si>
  <si>
    <t xml:space="preserve">VCTMIDIL </t>
  </si>
  <si>
    <t>381-155249588</t>
  </si>
  <si>
    <t>20-39574767-4</t>
  </si>
  <si>
    <t>Mercado</t>
  </si>
  <si>
    <t>Mikaela Sabrina</t>
  </si>
  <si>
    <t>mercado.668</t>
  </si>
  <si>
    <t xml:space="preserve">VCTMIMER </t>
  </si>
  <si>
    <t>381-155715427</t>
  </si>
  <si>
    <t>27-34327482-9</t>
  </si>
  <si>
    <t>Montaldo</t>
  </si>
  <si>
    <t>Sol Agustina</t>
  </si>
  <si>
    <t>montaldo.8</t>
  </si>
  <si>
    <t xml:space="preserve">VCTSOMON </t>
  </si>
  <si>
    <t>381-155455805</t>
  </si>
  <si>
    <t>27-41771566-0</t>
  </si>
  <si>
    <t>Navarro</t>
  </si>
  <si>
    <t>Luciana Antonella</t>
  </si>
  <si>
    <t>navarro.873</t>
  </si>
  <si>
    <t xml:space="preserve">VCTANNAV </t>
  </si>
  <si>
    <t>381-155013812</t>
  </si>
  <si>
    <t>27-38244120-1</t>
  </si>
  <si>
    <t>Pascual</t>
  </si>
  <si>
    <t>Silvio Daniel</t>
  </si>
  <si>
    <t>pascual.465</t>
  </si>
  <si>
    <t xml:space="preserve">VCTSIPAS </t>
  </si>
  <si>
    <t>381-153362589</t>
  </si>
  <si>
    <t>23-36439725-9</t>
  </si>
  <si>
    <t>Rodríguez</t>
  </si>
  <si>
    <t>Brenda Agostina</t>
  </si>
  <si>
    <t>rodriguez.4165</t>
  </si>
  <si>
    <t xml:space="preserve">VCTBRROD </t>
  </si>
  <si>
    <t>381-156070741</t>
  </si>
  <si>
    <t>27-39730809-5</t>
  </si>
  <si>
    <t>Terriaca Lemme</t>
  </si>
  <si>
    <t>Flavia Solaina</t>
  </si>
  <si>
    <t>terriacalemme.5</t>
  </si>
  <si>
    <t xml:space="preserve">VCTFLTER </t>
  </si>
  <si>
    <t>381-153016768</t>
  </si>
  <si>
    <t>27-35195568-1</t>
  </si>
  <si>
    <t>Ucciardello</t>
  </si>
  <si>
    <t>Luciana Daniza</t>
  </si>
  <si>
    <t>ucciardello.5</t>
  </si>
  <si>
    <t xml:space="preserve">VCTLUUCC </t>
  </si>
  <si>
    <t>381-153396910</t>
  </si>
  <si>
    <t>27-42548543-7</t>
  </si>
  <si>
    <t>Yanelli</t>
  </si>
  <si>
    <t>Aníbal Hector Francisco</t>
  </si>
  <si>
    <t>yanelli.5</t>
  </si>
  <si>
    <t xml:space="preserve">VCTANYAN </t>
  </si>
  <si>
    <t>381-15 6576805</t>
  </si>
  <si>
    <t>20-42371182-6</t>
  </si>
  <si>
    <t>Corbera Susana Sofía</t>
  </si>
  <si>
    <t>Alonso</t>
  </si>
  <si>
    <t>Facundo ismael</t>
  </si>
  <si>
    <t>alonso.155</t>
  </si>
  <si>
    <t xml:space="preserve">VCTFAALO  </t>
  </si>
  <si>
    <t>Alvarez Maziad</t>
  </si>
  <si>
    <t>Monica Carolina</t>
  </si>
  <si>
    <t>alvarezmaziad.5</t>
  </si>
  <si>
    <t>VCTMOALV</t>
  </si>
  <si>
    <t>0381-156802261</t>
  </si>
  <si>
    <t>Azubel</t>
  </si>
  <si>
    <t xml:space="preserve">Solange </t>
  </si>
  <si>
    <t>azubel.7</t>
  </si>
  <si>
    <t>VCTSOAZU</t>
  </si>
  <si>
    <t>Cantos</t>
  </si>
  <si>
    <t xml:space="preserve">Horacio Nicolas </t>
  </si>
  <si>
    <t>cantos.58</t>
  </si>
  <si>
    <t>VCTHOCAN</t>
  </si>
  <si>
    <t>Castillo</t>
  </si>
  <si>
    <t xml:space="preserve">Angel Alberto </t>
  </si>
  <si>
    <t>castillo.1268</t>
  </si>
  <si>
    <t>VCTANCAS</t>
  </si>
  <si>
    <t>Chavarria Bevacqua</t>
  </si>
  <si>
    <t>Silvana Carolina</t>
  </si>
  <si>
    <t>chavarriabevacqua.5</t>
  </si>
  <si>
    <t xml:space="preserve">VCTSICHA </t>
  </si>
  <si>
    <t>381-156956998</t>
  </si>
  <si>
    <t>27-35192091-8</t>
  </si>
  <si>
    <t>Del Pino</t>
  </si>
  <si>
    <t>Agustin Alejandro</t>
  </si>
  <si>
    <t>delpino.12</t>
  </si>
  <si>
    <t xml:space="preserve">VCTAGDEL </t>
  </si>
  <si>
    <t>381-155438690</t>
  </si>
  <si>
    <t>(Hs Orig  16:00 - 21:00 OFF Dom Sab)</t>
  </si>
  <si>
    <t>Elias</t>
  </si>
  <si>
    <t>Mario Jorge</t>
  </si>
  <si>
    <t xml:space="preserve">elias.112 </t>
  </si>
  <si>
    <t xml:space="preserve">VCTMAELI </t>
  </si>
  <si>
    <t>381-156987176</t>
  </si>
  <si>
    <t xml:space="preserve">Garcia </t>
  </si>
  <si>
    <t>Guillermo Eduardo</t>
  </si>
  <si>
    <t>garcia.3872</t>
  </si>
  <si>
    <t>VCTGUGAR</t>
  </si>
  <si>
    <t>0381-156358727</t>
  </si>
  <si>
    <t>Gjugum</t>
  </si>
  <si>
    <t>Sofia Denise</t>
  </si>
  <si>
    <t>gjugum.7</t>
  </si>
  <si>
    <t>VCTSOGJU</t>
  </si>
  <si>
    <t>Guzman</t>
  </si>
  <si>
    <t>Nahuel Maximiliano</t>
  </si>
  <si>
    <t xml:space="preserve">guzman.452 </t>
  </si>
  <si>
    <t xml:space="preserve">VCTNAGUZ </t>
  </si>
  <si>
    <t>0381-154347497</t>
  </si>
  <si>
    <t>(Hs Orig  09:00 - 15:00 OFF Dom Sab)</t>
  </si>
  <si>
    <t>Laitán Landro</t>
  </si>
  <si>
    <t>Gimena María</t>
  </si>
  <si>
    <t>laitnlandro.5</t>
  </si>
  <si>
    <t>VCTGILAI</t>
  </si>
  <si>
    <t>0381-156311579</t>
  </si>
  <si>
    <t>Martinez Teseyra</t>
  </si>
  <si>
    <t>Mayra Belen</t>
  </si>
  <si>
    <t>16:00 - 21:00</t>
  </si>
  <si>
    <t>martinezteseyra.5</t>
  </si>
  <si>
    <t>VCTBEMAR</t>
  </si>
  <si>
    <t>3876-15401588</t>
  </si>
  <si>
    <t>Medina</t>
  </si>
  <si>
    <t>Leyla Maria</t>
  </si>
  <si>
    <t>medina.894</t>
  </si>
  <si>
    <t>VCTLEMED</t>
  </si>
  <si>
    <t>Gregoratti Juan Carlos</t>
  </si>
  <si>
    <t>Pomo</t>
  </si>
  <si>
    <t xml:space="preserve"> Daniel Nicolas</t>
  </si>
  <si>
    <t>pomo.7</t>
  </si>
  <si>
    <t>VCTDAPOM</t>
  </si>
  <si>
    <t>387 619 4290</t>
  </si>
  <si>
    <t>Ricci</t>
  </si>
  <si>
    <t>Marcos Jose</t>
  </si>
  <si>
    <t xml:space="preserve">ricci.57 </t>
  </si>
  <si>
    <t xml:space="preserve">VCTMARIC </t>
  </si>
  <si>
    <t>0381-154498587</t>
  </si>
  <si>
    <t>Ruiz Barrionuevo</t>
  </si>
  <si>
    <t xml:space="preserve">Isabella Catalina </t>
  </si>
  <si>
    <t>ruizbarrionuevo.6</t>
  </si>
  <si>
    <t xml:space="preserve">VCTISRUI </t>
  </si>
  <si>
    <t>381-153676323</t>
  </si>
  <si>
    <t>Soto</t>
  </si>
  <si>
    <t>Fatima Belen</t>
  </si>
  <si>
    <t>soto.324</t>
  </si>
  <si>
    <t>VCTFASOT</t>
  </si>
  <si>
    <t>27-40697438-9</t>
  </si>
  <si>
    <t>Criado Esteban</t>
  </si>
  <si>
    <t>Amicone</t>
  </si>
  <si>
    <t>Julieta</t>
  </si>
  <si>
    <t>amicone.9</t>
  </si>
  <si>
    <t>VCTJUAMI</t>
  </si>
  <si>
    <t>381 432 4959</t>
  </si>
  <si>
    <t>Arias</t>
  </si>
  <si>
    <t>Ivan Santiago</t>
  </si>
  <si>
    <t>arias.197</t>
  </si>
  <si>
    <t>VCTIVARI</t>
  </si>
  <si>
    <t>381 364 1513</t>
  </si>
  <si>
    <t>Bernard</t>
  </si>
  <si>
    <t>Mariano</t>
  </si>
  <si>
    <t>bernard.212</t>
  </si>
  <si>
    <t>VCTMABER</t>
  </si>
  <si>
    <t>Blacut</t>
  </si>
  <si>
    <t>Carolina Concepcion</t>
  </si>
  <si>
    <t>13:00 - 19:00</t>
  </si>
  <si>
    <t>blacut.5</t>
  </si>
  <si>
    <t>VCTCABLA</t>
  </si>
  <si>
    <t>(Hs Orig  13:00 - 19:00 OFF Dom Sab)</t>
  </si>
  <si>
    <t>Chico</t>
  </si>
  <si>
    <t>Jessica Liliana</t>
  </si>
  <si>
    <t>chico.47</t>
  </si>
  <si>
    <t>VCTJECHI</t>
  </si>
  <si>
    <t>4330399 / 155782351</t>
  </si>
  <si>
    <t>Ferraro</t>
  </si>
  <si>
    <t>David Franco Ramón</t>
  </si>
  <si>
    <t>ferraro.26</t>
  </si>
  <si>
    <t>VCTDAFER</t>
  </si>
  <si>
    <t>381 153907269</t>
  </si>
  <si>
    <t>Formoselle</t>
  </si>
  <si>
    <t>Ivana Veronica</t>
  </si>
  <si>
    <t>fermoselle.5</t>
  </si>
  <si>
    <t>VCTIVFOR</t>
  </si>
  <si>
    <t>381 545 7234</t>
  </si>
  <si>
    <t>Giolito</t>
  </si>
  <si>
    <t>Maira Elizabeth</t>
  </si>
  <si>
    <t>giolito.6</t>
  </si>
  <si>
    <t>VCTMAGIO</t>
  </si>
  <si>
    <t>Jandar</t>
  </si>
  <si>
    <t>Fabio Nicolás</t>
  </si>
  <si>
    <t>jandar.8</t>
  </si>
  <si>
    <t>VCTFAJAN</t>
  </si>
  <si>
    <t>0381-154180132</t>
  </si>
  <si>
    <t>Jerez</t>
  </si>
  <si>
    <t>María Celeste</t>
  </si>
  <si>
    <t>09:00 - 14:00</t>
  </si>
  <si>
    <t>jerez.37</t>
  </si>
  <si>
    <t>VCTMAJER</t>
  </si>
  <si>
    <t>0381 155585231</t>
  </si>
  <si>
    <t>Juri</t>
  </si>
  <si>
    <t>Aida Del Valle</t>
  </si>
  <si>
    <t>juri.10</t>
  </si>
  <si>
    <t>VCTAIJUR</t>
  </si>
  <si>
    <t>381 388 7424</t>
  </si>
  <si>
    <t>Leal Martinez</t>
  </si>
  <si>
    <t>Matias Emanuel</t>
  </si>
  <si>
    <t>lealmartinez.11</t>
  </si>
  <si>
    <t>VCTMALEA</t>
  </si>
  <si>
    <t>038 115 4981045</t>
  </si>
  <si>
    <t>López</t>
  </si>
  <si>
    <t xml:space="preserve"> Matias Gonzalo</t>
  </si>
  <si>
    <t>lpez.41</t>
  </si>
  <si>
    <t>VCTGOLOP</t>
  </si>
  <si>
    <t>385 409 3212</t>
  </si>
  <si>
    <t>Mansilla</t>
  </si>
  <si>
    <t>Karen Nicole</t>
  </si>
  <si>
    <t>mansilla.45</t>
  </si>
  <si>
    <t xml:space="preserve">VCTKAMAN </t>
  </si>
  <si>
    <t>381-156047766</t>
  </si>
  <si>
    <t>Palavecino</t>
  </si>
  <si>
    <t xml:space="preserve"> Pablo Mauricio</t>
  </si>
  <si>
    <t>palavecino.27</t>
  </si>
  <si>
    <t>VCTPAPAL</t>
  </si>
  <si>
    <t>381 664 5424</t>
  </si>
  <si>
    <t>Paz</t>
  </si>
  <si>
    <t>Enzo Javier</t>
  </si>
  <si>
    <t>paz.230</t>
  </si>
  <si>
    <t>VCTENPAZ</t>
  </si>
  <si>
    <t>381 345 9389</t>
  </si>
  <si>
    <t>Ruiz</t>
  </si>
  <si>
    <t>Daniel Antonio</t>
  </si>
  <si>
    <t>ruiz.835</t>
  </si>
  <si>
    <t>VCTDARUI</t>
  </si>
  <si>
    <t>381 663 9013</t>
  </si>
  <si>
    <t>Salinas</t>
  </si>
  <si>
    <t>Mariana Josefina</t>
  </si>
  <si>
    <t>15:00 - 19:00</t>
  </si>
  <si>
    <t>Habilitaciones</t>
  </si>
  <si>
    <t>salinas.358</t>
  </si>
  <si>
    <t>VCTMASAL</t>
  </si>
  <si>
    <t>(Hs Orig  15:00 - 19:00 OFF Dom Sab)</t>
  </si>
  <si>
    <t>Santucho</t>
  </si>
  <si>
    <t>María del Rosario</t>
  </si>
  <si>
    <t>santucho.22</t>
  </si>
  <si>
    <t>VCTMASAN</t>
  </si>
  <si>
    <t>0381-153469922</t>
  </si>
  <si>
    <t>Villagra</t>
  </si>
  <si>
    <t xml:space="preserve">Daniela Alejandra </t>
  </si>
  <si>
    <t>villagra.43</t>
  </si>
  <si>
    <t>VCTDAVIL</t>
  </si>
  <si>
    <t>03816416605</t>
  </si>
  <si>
    <t>27-31038158-1</t>
  </si>
  <si>
    <t>Agüero</t>
  </si>
  <si>
    <t>Maria Micaela</t>
  </si>
  <si>
    <t>aguero.57</t>
  </si>
  <si>
    <t>VCTMAAGU</t>
  </si>
  <si>
    <t>N/A</t>
  </si>
  <si>
    <t xml:space="preserve">Alarcon </t>
  </si>
  <si>
    <t>Yanet Micaela</t>
  </si>
  <si>
    <t>alarcon.133</t>
  </si>
  <si>
    <t>VCTYAALA</t>
  </si>
  <si>
    <t>03816664035</t>
  </si>
  <si>
    <t>27-41870420-4</t>
  </si>
  <si>
    <t>Blanco Brandan</t>
  </si>
  <si>
    <t>Bianca Abigail</t>
  </si>
  <si>
    <t xml:space="preserve">blancobrandan.5 </t>
  </si>
  <si>
    <t xml:space="preserve">VCTBIBLA </t>
  </si>
  <si>
    <t>0381-156088304</t>
  </si>
  <si>
    <t>Carrizo</t>
  </si>
  <si>
    <t>Ulises Joel</t>
  </si>
  <si>
    <t>carrizo.93</t>
  </si>
  <si>
    <t>VCTULCAR</t>
  </si>
  <si>
    <t>0381-155111621</t>
  </si>
  <si>
    <t>Carolina del Valle</t>
  </si>
  <si>
    <t xml:space="preserve">escobar.209 </t>
  </si>
  <si>
    <t xml:space="preserve">VCTCAESC </t>
  </si>
  <si>
    <t>381-153008243</t>
  </si>
  <si>
    <t>NO</t>
  </si>
  <si>
    <t>Ferroni</t>
  </si>
  <si>
    <t>Carlos Agustin</t>
  </si>
  <si>
    <t>ferroni.6</t>
  </si>
  <si>
    <t>VCTFECAR</t>
  </si>
  <si>
    <t>381 341-1143</t>
  </si>
  <si>
    <t>Garcia Jerez</t>
  </si>
  <si>
    <t xml:space="preserve">Matias Agustin </t>
  </si>
  <si>
    <t xml:space="preserve">garciajerez.6 </t>
  </si>
  <si>
    <t xml:space="preserve">VCTMATGA </t>
  </si>
  <si>
    <t>0381-155330620</t>
  </si>
  <si>
    <t>Lafuente</t>
  </si>
  <si>
    <t>Facundo Edel</t>
  </si>
  <si>
    <t>lafuente.23</t>
  </si>
  <si>
    <t>VCTFALAF</t>
  </si>
  <si>
    <t>03814774519</t>
  </si>
  <si>
    <t>20-41425872-8</t>
  </si>
  <si>
    <t>Lescano</t>
  </si>
  <si>
    <t>Daiana Gissel</t>
  </si>
  <si>
    <t>lescano.51</t>
  </si>
  <si>
    <t xml:space="preserve">VCTGILES  </t>
  </si>
  <si>
    <t>Lizárraga</t>
  </si>
  <si>
    <t>Lucas Iván</t>
  </si>
  <si>
    <t>lizrrraga.5</t>
  </si>
  <si>
    <t>VCTLULIZ</t>
  </si>
  <si>
    <t>381 328 3185</t>
  </si>
  <si>
    <t>Ochoa</t>
  </si>
  <si>
    <t>Florencia Belen</t>
  </si>
  <si>
    <t>ochoa.141</t>
  </si>
  <si>
    <t>VCTFLOCH</t>
  </si>
  <si>
    <t>381-156743025</t>
  </si>
  <si>
    <t>Pachao Medina</t>
  </si>
  <si>
    <t>Juan Carlos</t>
  </si>
  <si>
    <t>pachaomedina.5</t>
  </si>
  <si>
    <t>VCTJUPAC</t>
  </si>
  <si>
    <t>Quiroga Castro</t>
  </si>
  <si>
    <t>Franco Nicolas</t>
  </si>
  <si>
    <t>quirogacastro.7</t>
  </si>
  <si>
    <t xml:space="preserve">VCTFRQUI </t>
  </si>
  <si>
    <t>381-154664980</t>
  </si>
  <si>
    <t>20-41126232-5</t>
  </si>
  <si>
    <t>Sanchez</t>
  </si>
  <si>
    <t>Juan Jorge Augusto</t>
  </si>
  <si>
    <t>sanchez.2281</t>
  </si>
  <si>
    <t>VCTJUSAN</t>
  </si>
  <si>
    <t>03814965135</t>
  </si>
  <si>
    <t>20-41345711-5</t>
  </si>
  <si>
    <t>Vitar</t>
  </si>
  <si>
    <t>Nuria Mariel</t>
  </si>
  <si>
    <t xml:space="preserve">vitar.5 </t>
  </si>
  <si>
    <t xml:space="preserve">VCTNUVIT </t>
  </si>
  <si>
    <t>381-154686954</t>
  </si>
  <si>
    <t>Benito Javier</t>
  </si>
  <si>
    <t>yapura.8</t>
  </si>
  <si>
    <t xml:space="preserve">VCTBEYAP </t>
  </si>
  <si>
    <t>381-156375615</t>
  </si>
  <si>
    <t>Mendoza Norma Mercedes</t>
  </si>
  <si>
    <t>Figueroa</t>
  </si>
  <si>
    <t>Aranda María</t>
  </si>
  <si>
    <t>figueroaaranda.5</t>
  </si>
  <si>
    <t>VCTARFIG</t>
  </si>
  <si>
    <t>381 510 2561</t>
  </si>
  <si>
    <t>Garcia Bulacio</t>
  </si>
  <si>
    <t>Luciano</t>
  </si>
  <si>
    <t>garciabulacio.5</t>
  </si>
  <si>
    <t xml:space="preserve">VCTLUGAR </t>
  </si>
  <si>
    <t>20-40437526-2</t>
  </si>
  <si>
    <t>Gomez</t>
  </si>
  <si>
    <t>Lourdes María</t>
  </si>
  <si>
    <t>gomez.1589</t>
  </si>
  <si>
    <t>VCTLOGOM</t>
  </si>
  <si>
    <t>23-41833251-4</t>
  </si>
  <si>
    <t>Gonzalez Conidares</t>
  </si>
  <si>
    <t>Enzo Micael</t>
  </si>
  <si>
    <t>gonzalezconidares.5</t>
  </si>
  <si>
    <t>VCTMIGON</t>
  </si>
  <si>
    <t>20-42269972-5</t>
  </si>
  <si>
    <t>González Jiménez</t>
  </si>
  <si>
    <t>Jorge Iván</t>
  </si>
  <si>
    <t>gonzalezjimenez.45</t>
  </si>
  <si>
    <t>VCTJOGON</t>
  </si>
  <si>
    <t>20-37838075-9</t>
  </si>
  <si>
    <t>Ibañez</t>
  </si>
  <si>
    <t>Jeremias Raul</t>
  </si>
  <si>
    <t>ibanez.209</t>
  </si>
  <si>
    <t>VCTJEIBA</t>
  </si>
  <si>
    <t>27-37916231-8</t>
  </si>
  <si>
    <t>Ledesma</t>
  </si>
  <si>
    <t>Maria Florencia</t>
  </si>
  <si>
    <t>ledesma.271</t>
  </si>
  <si>
    <t>VCTMALED</t>
  </si>
  <si>
    <t>27-36132635-6</t>
  </si>
  <si>
    <t>Lobo</t>
  </si>
  <si>
    <t>Miguel</t>
  </si>
  <si>
    <t>lobo.134</t>
  </si>
  <si>
    <t>VCTMILOB</t>
  </si>
  <si>
    <t>20-41736742-0</t>
  </si>
  <si>
    <t>Martinez</t>
  </si>
  <si>
    <t>Yahir Jesus</t>
  </si>
  <si>
    <t>martinez.3660</t>
  </si>
  <si>
    <t xml:space="preserve">VCTYAMAR </t>
  </si>
  <si>
    <t>20-36347133-2</t>
  </si>
  <si>
    <t>Martinez Iturbe</t>
  </si>
  <si>
    <t>Santiago Isaac</t>
  </si>
  <si>
    <t>martineziturbe.5</t>
  </si>
  <si>
    <t xml:space="preserve">VCTISMAR </t>
  </si>
  <si>
    <t>20-43362130-2</t>
  </si>
  <si>
    <t>Montenegro Mansilla</t>
  </si>
  <si>
    <t>Milagros</t>
  </si>
  <si>
    <t>montenegromansilla.5</t>
  </si>
  <si>
    <t>VCTMIMON</t>
  </si>
  <si>
    <t>27-41059241-5</t>
  </si>
  <si>
    <t>Pons Amún</t>
  </si>
  <si>
    <t>Solana Agostina</t>
  </si>
  <si>
    <t>ponsamun.5</t>
  </si>
  <si>
    <t xml:space="preserve">VCTSOPON </t>
  </si>
  <si>
    <t>27-41649190-4</t>
  </si>
  <si>
    <t>Saavedra</t>
  </si>
  <si>
    <t>Virginia Valeria</t>
  </si>
  <si>
    <t>saavedra.182</t>
  </si>
  <si>
    <t xml:space="preserve">VCTVISAA </t>
  </si>
  <si>
    <t>Sánchez</t>
  </si>
  <si>
    <t>Victor Orlando</t>
  </si>
  <si>
    <t>sanchez.2409</t>
  </si>
  <si>
    <t>VCTORSAN</t>
  </si>
  <si>
    <t>Acosta</t>
  </si>
  <si>
    <t xml:space="preserve">Ignacio Matias </t>
  </si>
  <si>
    <t>acosta.490</t>
  </si>
  <si>
    <t xml:space="preserve">VCTIGACO </t>
  </si>
  <si>
    <t>381-156464004</t>
  </si>
  <si>
    <t>Albarracin</t>
  </si>
  <si>
    <t xml:space="preserve">Heber Wilson </t>
  </si>
  <si>
    <t>albarracin.54</t>
  </si>
  <si>
    <t xml:space="preserve">VCTHEALB </t>
  </si>
  <si>
    <t>381-155569434</t>
  </si>
  <si>
    <t>Almaraz</t>
  </si>
  <si>
    <t>Julio Cesar</t>
  </si>
  <si>
    <t>almaraz.41</t>
  </si>
  <si>
    <t xml:space="preserve">VCTJUALM  </t>
  </si>
  <si>
    <t>Antenucci</t>
  </si>
  <si>
    <t>Aldana Belén</t>
  </si>
  <si>
    <t>antenucci.9</t>
  </si>
  <si>
    <t>VCTALANT</t>
  </si>
  <si>
    <t>03815198750</t>
  </si>
  <si>
    <t>27-40086091-8</t>
  </si>
  <si>
    <t>Bustos</t>
  </si>
  <si>
    <t>Cecilia Leonor</t>
  </si>
  <si>
    <t>bustos.105</t>
  </si>
  <si>
    <t>VCTCEBUS</t>
  </si>
  <si>
    <t>381-156355347</t>
  </si>
  <si>
    <t>Caro</t>
  </si>
  <si>
    <t>Carolina Analia</t>
  </si>
  <si>
    <t>caro.44</t>
  </si>
  <si>
    <t>VCTANCAR</t>
  </si>
  <si>
    <t>+54 0381-155211391</t>
  </si>
  <si>
    <t>Ciccarelli</t>
  </si>
  <si>
    <t>Marycel Rocio</t>
  </si>
  <si>
    <t>ciccarelli.7</t>
  </si>
  <si>
    <t>VCTMACIC</t>
  </si>
  <si>
    <t>381-156028072</t>
  </si>
  <si>
    <t>27-39478154-7</t>
  </si>
  <si>
    <t>De la Rosa</t>
  </si>
  <si>
    <t>Solana</t>
  </si>
  <si>
    <t>delarosa.359</t>
  </si>
  <si>
    <t xml:space="preserve">VCTSOROS </t>
  </si>
  <si>
    <t>381-156144731</t>
  </si>
  <si>
    <t>Del Rio</t>
  </si>
  <si>
    <t>Virginia Natalia</t>
  </si>
  <si>
    <t>delrio.52</t>
  </si>
  <si>
    <t xml:space="preserve">VCTVIDEL  </t>
  </si>
  <si>
    <t>Jorge</t>
  </si>
  <si>
    <t>German Omar</t>
  </si>
  <si>
    <t xml:space="preserve">jorge.100 </t>
  </si>
  <si>
    <t xml:space="preserve">VCTGEJOR </t>
  </si>
  <si>
    <t>381-155235919</t>
  </si>
  <si>
    <t>Latina</t>
  </si>
  <si>
    <t>Walter Fabian</t>
  </si>
  <si>
    <t>latina.13</t>
  </si>
  <si>
    <t>VCTWALAT</t>
  </si>
  <si>
    <t>381-156634740</t>
  </si>
  <si>
    <t>Monteros</t>
  </si>
  <si>
    <t>Maximiliano Leopoldo</t>
  </si>
  <si>
    <t>monteros.33</t>
  </si>
  <si>
    <t>VCTMAMON</t>
  </si>
  <si>
    <t>Nieva del Rio</t>
  </si>
  <si>
    <t>Micaela Anabel</t>
  </si>
  <si>
    <t>nievadelrio.5</t>
  </si>
  <si>
    <t xml:space="preserve">VCTMINIE </t>
  </si>
  <si>
    <t>381-153913270</t>
  </si>
  <si>
    <t>Perez Aguirre</t>
  </si>
  <si>
    <t>Luis Alejandro</t>
  </si>
  <si>
    <t>perez.2580</t>
  </si>
  <si>
    <t>VCTLUPER</t>
  </si>
  <si>
    <t>20-32158208-8</t>
  </si>
  <si>
    <t>Ríos Yeser</t>
  </si>
  <si>
    <t xml:space="preserve"> María Florencia</t>
  </si>
  <si>
    <t>rosyeser.5</t>
  </si>
  <si>
    <t>VCTMARIO</t>
  </si>
  <si>
    <t>381 301 1859</t>
  </si>
  <si>
    <t>Roibon Mesias</t>
  </si>
  <si>
    <t>Tomas</t>
  </si>
  <si>
    <t>roibonmesias.5</t>
  </si>
  <si>
    <t>VCTMEROI</t>
  </si>
  <si>
    <t>381-156153365</t>
  </si>
  <si>
    <t>Romano</t>
  </si>
  <si>
    <t xml:space="preserve">Juan Pablo </t>
  </si>
  <si>
    <t>romano.218</t>
  </si>
  <si>
    <t>VCTJUROM</t>
  </si>
  <si>
    <t>20-32460235-7</t>
  </si>
  <si>
    <t>Romero</t>
  </si>
  <si>
    <t>Romina Ailen</t>
  </si>
  <si>
    <t>romero.901</t>
  </si>
  <si>
    <t xml:space="preserve">VCTROROM  </t>
  </si>
  <si>
    <t>Serrano</t>
  </si>
  <si>
    <t>Maria Catalina</t>
  </si>
  <si>
    <t>serrano.498</t>
  </si>
  <si>
    <t>VCTMASER</t>
  </si>
  <si>
    <t>381-155997096</t>
  </si>
  <si>
    <t>Brandan Ernesto Alejandro</t>
  </si>
  <si>
    <t>Argañaráz</t>
  </si>
  <si>
    <t>arganaraz.45</t>
  </si>
  <si>
    <t>VCTLUARG</t>
  </si>
  <si>
    <t>0381-156485869</t>
  </si>
  <si>
    <t>Daniela Beatriz</t>
  </si>
  <si>
    <t>arias.191</t>
  </si>
  <si>
    <t>VCTDAARI</t>
  </si>
  <si>
    <t>0381 -153011270</t>
  </si>
  <si>
    <t>Burgos</t>
  </si>
  <si>
    <t>Damaris Nahir</t>
  </si>
  <si>
    <t>burgos.173</t>
  </si>
  <si>
    <t xml:space="preserve">VCTDABUR  </t>
  </si>
  <si>
    <t>Campos</t>
  </si>
  <si>
    <t>Rodrigo Federico</t>
  </si>
  <si>
    <t>campos.120</t>
  </si>
  <si>
    <t>VCTROCAM</t>
  </si>
  <si>
    <t>0381-153303102</t>
  </si>
  <si>
    <t>Delgado</t>
  </si>
  <si>
    <t>Jessica Elizabeth</t>
  </si>
  <si>
    <t xml:space="preserve">delgado.492 </t>
  </si>
  <si>
    <t xml:space="preserve">VCTJEDEL </t>
  </si>
  <si>
    <t>0381-155789939</t>
  </si>
  <si>
    <t>Fernandez</t>
  </si>
  <si>
    <t xml:space="preserve">Carolina del Valle </t>
  </si>
  <si>
    <t xml:space="preserve">fernandez.1680 </t>
  </si>
  <si>
    <t xml:space="preserve">VCTCAFER </t>
  </si>
  <si>
    <t>0381-155090139</t>
  </si>
  <si>
    <t>Galarce</t>
  </si>
  <si>
    <t>Diego Jose</t>
  </si>
  <si>
    <t>galarce.6</t>
  </si>
  <si>
    <t>VCTDIGAL</t>
  </si>
  <si>
    <t>0381 -156406308</t>
  </si>
  <si>
    <t>Galindez</t>
  </si>
  <si>
    <t>Yuliana Lilia Denis</t>
  </si>
  <si>
    <t>galindez.28</t>
  </si>
  <si>
    <t xml:space="preserve">VCTYUGAL </t>
  </si>
  <si>
    <t>381-155979585</t>
  </si>
  <si>
    <t>Lopez</t>
  </si>
  <si>
    <t>Ana Valentina</t>
  </si>
  <si>
    <t xml:space="preserve">lpez.19 </t>
  </si>
  <si>
    <t xml:space="preserve">VCTANLOP </t>
  </si>
  <si>
    <t>381-156254830</t>
  </si>
  <si>
    <t xml:space="preserve">Loto </t>
  </si>
  <si>
    <t>Fernanda</t>
  </si>
  <si>
    <t>loto.10</t>
  </si>
  <si>
    <t>VCTFELOT</t>
  </si>
  <si>
    <t>0381-155533301</t>
  </si>
  <si>
    <t>Luna</t>
  </si>
  <si>
    <t>Maria De Los Angeles</t>
  </si>
  <si>
    <t>luna.326</t>
  </si>
  <si>
    <t>VCTMALUN</t>
  </si>
  <si>
    <t>0381-153025745</t>
  </si>
  <si>
    <t>Micaela Belen</t>
  </si>
  <si>
    <t>mansilla.38</t>
  </si>
  <si>
    <t>VCTMIMAN</t>
  </si>
  <si>
    <t>0381 -155403921</t>
  </si>
  <si>
    <t>Lorena Macarena</t>
  </si>
  <si>
    <t>martinez.2823</t>
  </si>
  <si>
    <t>VCTMAMAR</t>
  </si>
  <si>
    <t>0381-153533229</t>
  </si>
  <si>
    <t>Morales</t>
  </si>
  <si>
    <t>Lucas Santiago</t>
  </si>
  <si>
    <t>HD/ CSV3</t>
  </si>
  <si>
    <t>morales.739</t>
  </si>
  <si>
    <t>VCTLUMOR</t>
  </si>
  <si>
    <t>0381-154762606</t>
  </si>
  <si>
    <t>Nuñez</t>
  </si>
  <si>
    <t>Roxana Marcela</t>
  </si>
  <si>
    <t>nunez.36</t>
  </si>
  <si>
    <t>VCTRONUN</t>
  </si>
  <si>
    <t>0381-155710981</t>
  </si>
  <si>
    <t>Marta Erika del Valle</t>
  </si>
  <si>
    <t>palavecino.17</t>
  </si>
  <si>
    <t>VCTMAPAL</t>
  </si>
  <si>
    <t>0381 - 155089689</t>
  </si>
  <si>
    <t>Rivadeneira</t>
  </si>
  <si>
    <t>Maira Belén</t>
  </si>
  <si>
    <t>rivadeneira.25</t>
  </si>
  <si>
    <t>VCTMARIV</t>
  </si>
  <si>
    <t>0381-155974525</t>
  </si>
  <si>
    <t>Rodriguez Ciccio</t>
  </si>
  <si>
    <t>Nicolas Exequiel</t>
  </si>
  <si>
    <t xml:space="preserve">rodriguezciccio.5 </t>
  </si>
  <si>
    <t xml:space="preserve">VCTNIROD </t>
  </si>
  <si>
    <t>381-156632446</t>
  </si>
  <si>
    <t>Salas</t>
  </si>
  <si>
    <t>Melina del Carmen</t>
  </si>
  <si>
    <t>Salas.258</t>
  </si>
  <si>
    <t xml:space="preserve">VCTMESAL </t>
  </si>
  <si>
    <t>381-155940438</t>
  </si>
  <si>
    <t>Ramon Eduardo</t>
  </si>
  <si>
    <t>santucho.19</t>
  </si>
  <si>
    <t>VCTRASAN</t>
  </si>
  <si>
    <t>0381 -156858989</t>
  </si>
  <si>
    <t>Vargas</t>
  </si>
  <si>
    <t>Ivan Xavier</t>
  </si>
  <si>
    <t>Vargas.622</t>
  </si>
  <si>
    <t xml:space="preserve">VCTIVVAR </t>
  </si>
  <si>
    <t>0381-153906006</t>
  </si>
  <si>
    <t>Gerez Andrea Soledad</t>
  </si>
  <si>
    <t>Alcaraz</t>
  </si>
  <si>
    <t>Maria Gabriela</t>
  </si>
  <si>
    <t>alcaraz.92</t>
  </si>
  <si>
    <t xml:space="preserve">VCTMAALC  </t>
  </si>
  <si>
    <t>Britos Fernando José</t>
  </si>
  <si>
    <t>Almada</t>
  </si>
  <si>
    <t>Nancy Alejandra</t>
  </si>
  <si>
    <t>10:00 - 15:00</t>
  </si>
  <si>
    <t>almada.19</t>
  </si>
  <si>
    <t xml:space="preserve">VCTNAALM </t>
  </si>
  <si>
    <t>03813016250</t>
  </si>
  <si>
    <t>27-32459324-7</t>
  </si>
  <si>
    <t>(Hs Orig  10:00 - 15:00 OFF Dom Sab)</t>
  </si>
  <si>
    <t>Alvaro Rodrigo</t>
  </si>
  <si>
    <t>arias.266</t>
  </si>
  <si>
    <t xml:space="preserve">VCTALARI  </t>
  </si>
  <si>
    <t>Boffa</t>
  </si>
  <si>
    <t>Maria de Los Angeles</t>
  </si>
  <si>
    <t>boffa.6</t>
  </si>
  <si>
    <t>VCTMABOF</t>
  </si>
  <si>
    <t>0381 -153463744</t>
  </si>
  <si>
    <t>Cerdeira</t>
  </si>
  <si>
    <t>Rosana Valeria</t>
  </si>
  <si>
    <t>cerdeira.5</t>
  </si>
  <si>
    <t>Cortes Jozami</t>
  </si>
  <si>
    <t>Ana Sofia</t>
  </si>
  <si>
    <t>cortes.329</t>
  </si>
  <si>
    <t xml:space="preserve">VCTANJOZ  </t>
  </si>
  <si>
    <t>delgado.581</t>
  </si>
  <si>
    <t xml:space="preserve">VCTMADEL  </t>
  </si>
  <si>
    <t>Dilodovico</t>
  </si>
  <si>
    <t>Dilodovico,5</t>
  </si>
  <si>
    <t>0381-156981607</t>
  </si>
  <si>
    <t>Infante Marcello</t>
  </si>
  <si>
    <t>Christian Sebastian</t>
  </si>
  <si>
    <t>DVH / Compras Referidas/ Servicios Web</t>
  </si>
  <si>
    <t>Infantemarcello.6</t>
  </si>
  <si>
    <t>VCTCHINF</t>
  </si>
  <si>
    <t>0381-155124517</t>
  </si>
  <si>
    <t>Patricia Isabel</t>
  </si>
  <si>
    <t>juarez.206</t>
  </si>
  <si>
    <t>VCTPAJUA</t>
  </si>
  <si>
    <t>Merlo</t>
  </si>
  <si>
    <t>Rocio Agustina</t>
  </si>
  <si>
    <t>merlo.17</t>
  </si>
  <si>
    <t>VCTROMER</t>
  </si>
  <si>
    <t>03814432147/ 03816301594</t>
  </si>
  <si>
    <t>27-41950682-1</t>
  </si>
  <si>
    <t>Moreira</t>
  </si>
  <si>
    <t>Fernando Ezequiel</t>
  </si>
  <si>
    <t>moreira.521</t>
  </si>
  <si>
    <t xml:space="preserve">VCTFEMOR  </t>
  </si>
  <si>
    <t>Robles Marquez</t>
  </si>
  <si>
    <t>Emilse Nahir</t>
  </si>
  <si>
    <t>roblesmarquez.8</t>
  </si>
  <si>
    <t>VCTEMROB</t>
  </si>
  <si>
    <t>381 571 6055</t>
  </si>
  <si>
    <t>Rodriguez</t>
  </si>
  <si>
    <t xml:space="preserve">Maria Florencia </t>
  </si>
  <si>
    <t>Rodriguez.3446</t>
  </si>
  <si>
    <t xml:space="preserve">VCTMAROD </t>
  </si>
  <si>
    <t>0381-155178960</t>
  </si>
  <si>
    <t>Vidal</t>
  </si>
  <si>
    <t>Maria Elisa</t>
  </si>
  <si>
    <t>vidal.239</t>
  </si>
  <si>
    <t xml:space="preserve">VCTMAVID  </t>
  </si>
  <si>
    <t>Vizcarra</t>
  </si>
  <si>
    <t>Ayelén Magalí del Valle</t>
  </si>
  <si>
    <t>vizcarra.70</t>
  </si>
  <si>
    <t>VCTAYVIZ</t>
  </si>
  <si>
    <t>03814751743</t>
  </si>
  <si>
    <t>27-40089513-4</t>
  </si>
  <si>
    <t>Perez Zitzke Agustina</t>
  </si>
  <si>
    <t>Diaz Jesica Luciana</t>
  </si>
  <si>
    <t>Barros</t>
  </si>
  <si>
    <t>barros.296</t>
  </si>
  <si>
    <t>VCTJUBAR</t>
  </si>
  <si>
    <t>0381-155278437</t>
  </si>
  <si>
    <t>Bulacio Pereyra</t>
  </si>
  <si>
    <t>Leandro Emiliano</t>
  </si>
  <si>
    <t xml:space="preserve">bulaciopereyra.5 </t>
  </si>
  <si>
    <t>VCTLEBUL</t>
  </si>
  <si>
    <t>387-154037371</t>
  </si>
  <si>
    <t>Maria Belen</t>
  </si>
  <si>
    <t>campos.467</t>
  </si>
  <si>
    <t>VCTMACAM</t>
  </si>
  <si>
    <t>+54 381 429 8982</t>
  </si>
  <si>
    <t>Daiana Melina</t>
  </si>
  <si>
    <t>DVH / Compras Referidas / Servicios web / Formularios de contacto Débito/TLMK</t>
  </si>
  <si>
    <t xml:space="preserve">delgado.491 </t>
  </si>
  <si>
    <t xml:space="preserve">VCTDADEL </t>
  </si>
  <si>
    <t>0381-156938777</t>
  </si>
  <si>
    <t xml:space="preserve">Felipe </t>
  </si>
  <si>
    <t>Erika Tamara</t>
  </si>
  <si>
    <t>felipe.89</t>
  </si>
  <si>
    <t>VCTERFEL</t>
  </si>
  <si>
    <t>0381-156547468</t>
  </si>
  <si>
    <t xml:space="preserve">Isa Massa </t>
  </si>
  <si>
    <t>Leila Gabriela</t>
  </si>
  <si>
    <t>isamassa.5</t>
  </si>
  <si>
    <t>VCTLEISA</t>
  </si>
  <si>
    <t>0381-154192983</t>
  </si>
  <si>
    <t>Jeréz</t>
  </si>
  <si>
    <t>Eliana Del Milagro</t>
  </si>
  <si>
    <t>jerez.14</t>
  </si>
  <si>
    <t>VCTELJER</t>
  </si>
  <si>
    <t>0381-154067498</t>
  </si>
  <si>
    <t>Ruth Micaela</t>
  </si>
  <si>
    <t xml:space="preserve">lopez.2492 </t>
  </si>
  <si>
    <t xml:space="preserve">VCTRULOP </t>
  </si>
  <si>
    <t>0381-153514301</t>
  </si>
  <si>
    <t>Veronica Alejandra</t>
  </si>
  <si>
    <t xml:space="preserve">luna.535 </t>
  </si>
  <si>
    <t xml:space="preserve">VCTVELUN </t>
  </si>
  <si>
    <t>381-155633166</t>
  </si>
  <si>
    <t>Malinar</t>
  </si>
  <si>
    <t>Lorena</t>
  </si>
  <si>
    <t>malinar.5</t>
  </si>
  <si>
    <t>VCTLOMAL</t>
  </si>
  <si>
    <t>0381-154160828</t>
  </si>
  <si>
    <t xml:space="preserve">Molina </t>
  </si>
  <si>
    <t>María Jimena</t>
  </si>
  <si>
    <t>molina.244</t>
  </si>
  <si>
    <t>VCTMAMOL</t>
  </si>
  <si>
    <t>0381-155198663</t>
  </si>
  <si>
    <t>Morales Casen</t>
  </si>
  <si>
    <t>Zaida Yamile</t>
  </si>
  <si>
    <t xml:space="preserve">moralescasen.5 </t>
  </si>
  <si>
    <t xml:space="preserve">VCTZAMOR </t>
  </si>
  <si>
    <t>0381-156645832</t>
  </si>
  <si>
    <t>Pacheco</t>
  </si>
  <si>
    <t>Milagro Belen</t>
  </si>
  <si>
    <t>pacheco.259</t>
  </si>
  <si>
    <t>VCTBEPAC</t>
  </si>
  <si>
    <t>0381-156870493 / 0381-156870493</t>
  </si>
  <si>
    <t>Pavón</t>
  </si>
  <si>
    <t>Marcos Fidel</t>
  </si>
  <si>
    <t>pavn.6</t>
  </si>
  <si>
    <t>VCTMAPAV</t>
  </si>
  <si>
    <t>0381 -156365778</t>
  </si>
  <si>
    <t>Ponce</t>
  </si>
  <si>
    <t>Lucia Emilia</t>
  </si>
  <si>
    <t xml:space="preserve">ponce.308 </t>
  </si>
  <si>
    <t xml:space="preserve">VCTLUPON </t>
  </si>
  <si>
    <t>381-153311458</t>
  </si>
  <si>
    <t xml:space="preserve">Reyna </t>
  </si>
  <si>
    <t>Edith Macarena</t>
  </si>
  <si>
    <t>reyna.146</t>
  </si>
  <si>
    <t>VCTEDREY</t>
  </si>
  <si>
    <t>0381-155907511</t>
  </si>
  <si>
    <t>Serra</t>
  </si>
  <si>
    <t xml:space="preserve">Tamara </t>
  </si>
  <si>
    <t>Serra.75</t>
  </si>
  <si>
    <t>VCTTASER</t>
  </si>
  <si>
    <t>0381-154772633</t>
  </si>
  <si>
    <t>Silva</t>
  </si>
  <si>
    <t>Franco Gabriel</t>
  </si>
  <si>
    <t xml:space="preserve">silva.13039 </t>
  </si>
  <si>
    <t xml:space="preserve">VCTFRSIL </t>
  </si>
  <si>
    <t>03865-15264084</t>
  </si>
  <si>
    <t>Suarez</t>
  </si>
  <si>
    <t>suarez.249</t>
  </si>
  <si>
    <t>VCTMASUA</t>
  </si>
  <si>
    <t>0381 -155191372</t>
  </si>
  <si>
    <t>Valverde</t>
  </si>
  <si>
    <t>Lourdes Oriana</t>
  </si>
  <si>
    <t xml:space="preserve">valverde.30 </t>
  </si>
  <si>
    <t xml:space="preserve">VCTLOVAL </t>
  </si>
  <si>
    <t>381-154748771</t>
  </si>
  <si>
    <t>Esquivel Pavan Pamela Sol</t>
  </si>
  <si>
    <t>Joaquin Nicolas</t>
  </si>
  <si>
    <t>acosta.529</t>
  </si>
  <si>
    <t xml:space="preserve">VCTJOACO  </t>
  </si>
  <si>
    <t>Alderete</t>
  </si>
  <si>
    <t>Mayra Luciana</t>
  </si>
  <si>
    <t>VCTLUALD</t>
  </si>
  <si>
    <t>27-33374870-9</t>
  </si>
  <si>
    <t>Angulo</t>
  </si>
  <si>
    <t>Luciano Nicolas</t>
  </si>
  <si>
    <t xml:space="preserve">angulo.38 </t>
  </si>
  <si>
    <t>VCTLUANG</t>
  </si>
  <si>
    <t>0381-154679160</t>
  </si>
  <si>
    <t>20-37502888-4</t>
  </si>
  <si>
    <t>Barrionuevo</t>
  </si>
  <si>
    <t>Natalia Elizabeth</t>
  </si>
  <si>
    <t xml:space="preserve">barrionuevo.75 </t>
  </si>
  <si>
    <t>VCTNABAR</t>
  </si>
  <si>
    <t>381-155893430</t>
  </si>
  <si>
    <t>Barros Fernandez</t>
  </si>
  <si>
    <t>Maria Luciana</t>
  </si>
  <si>
    <t>barrosfernandez.5</t>
  </si>
  <si>
    <t xml:space="preserve">VCTMABAR  </t>
  </si>
  <si>
    <t>Bonadelli</t>
  </si>
  <si>
    <t>Angel Fabian</t>
  </si>
  <si>
    <t>bonadeli.5</t>
  </si>
  <si>
    <t>VCTANBON</t>
  </si>
  <si>
    <t>0386 -153501845</t>
  </si>
  <si>
    <t>20-29088429-3</t>
  </si>
  <si>
    <t>Correa</t>
  </si>
  <si>
    <t>David Maximiliano</t>
  </si>
  <si>
    <t>Correa.309</t>
  </si>
  <si>
    <t>VCTDACOR</t>
  </si>
  <si>
    <t>0381-155618109</t>
  </si>
  <si>
    <t>Guevara</t>
  </si>
  <si>
    <t>Carlos Augusto</t>
  </si>
  <si>
    <t xml:space="preserve">guevara.168 </t>
  </si>
  <si>
    <t xml:space="preserve">VCTCAGUE </t>
  </si>
  <si>
    <t>0381-154638420</t>
  </si>
  <si>
    <t xml:space="preserve">Rodrigo Facundo </t>
  </si>
  <si>
    <t>VCTFAJER</t>
  </si>
  <si>
    <t>20-39356693-1</t>
  </si>
  <si>
    <t>Lazarte</t>
  </si>
  <si>
    <t>Carlos Enrique</t>
  </si>
  <si>
    <t>lazarte.85</t>
  </si>
  <si>
    <t>VCTCALAZ</t>
  </si>
  <si>
    <t>0381-155764472</t>
  </si>
  <si>
    <t>Franco Daniel</t>
  </si>
  <si>
    <t>lopez.2770</t>
  </si>
  <si>
    <t>VCTFRLOP</t>
  </si>
  <si>
    <t>Mendez</t>
  </si>
  <si>
    <t>Maria Laura</t>
  </si>
  <si>
    <t>VCTMAMEN</t>
  </si>
  <si>
    <t>27-36668244-4</t>
  </si>
  <si>
    <t>Moreno</t>
  </si>
  <si>
    <t>Fatima Rocio Belen</t>
  </si>
  <si>
    <t>VCTFAMOR</t>
  </si>
  <si>
    <t>27-41300232-5</t>
  </si>
  <si>
    <t xml:space="preserve">Luciano Gustavo </t>
  </si>
  <si>
    <t xml:space="preserve">navarro.744 </t>
  </si>
  <si>
    <t xml:space="preserve">VCTLUNAV </t>
  </si>
  <si>
    <t>0381-154722968</t>
  </si>
  <si>
    <t>20-39481760-1</t>
  </si>
  <si>
    <t>Perez</t>
  </si>
  <si>
    <t>Maria Jose</t>
  </si>
  <si>
    <t>VCTMAPER</t>
  </si>
  <si>
    <t>23-41983179-4</t>
  </si>
  <si>
    <t>Reinoso Cisnero</t>
  </si>
  <si>
    <t>Gaspar</t>
  </si>
  <si>
    <t xml:space="preserve">reinosocisnero.5 </t>
  </si>
  <si>
    <t xml:space="preserve">VCTGAREI </t>
  </si>
  <si>
    <t>03838-155400615</t>
  </si>
  <si>
    <t>Alejandra Isabel</t>
  </si>
  <si>
    <t>rodriguez.3867</t>
  </si>
  <si>
    <t>VCTALROD</t>
  </si>
  <si>
    <t>381-153301915</t>
  </si>
  <si>
    <t>Rossi</t>
  </si>
  <si>
    <t>Griselda Analia</t>
  </si>
  <si>
    <t>rossi.84</t>
  </si>
  <si>
    <t>VCTGRROS</t>
  </si>
  <si>
    <t>+54 038 150 95653</t>
  </si>
  <si>
    <t>Rotondo</t>
  </si>
  <si>
    <t>Eliana Romina</t>
  </si>
  <si>
    <t>rotondo.6</t>
  </si>
  <si>
    <t>VCTELROT</t>
  </si>
  <si>
    <t>0381 -155772644</t>
  </si>
  <si>
    <t>Soria</t>
  </si>
  <si>
    <t>Agustín Said</t>
  </si>
  <si>
    <t xml:space="preserve">soria.181 </t>
  </si>
  <si>
    <t xml:space="preserve">VCTAGSOR </t>
  </si>
  <si>
    <t>3813158987 / 3814167314</t>
  </si>
  <si>
    <t>20-41184272-0</t>
  </si>
  <si>
    <t>Torres Mariotti</t>
  </si>
  <si>
    <t>Rocio Alejandra</t>
  </si>
  <si>
    <t>torresmariotti.6</t>
  </si>
  <si>
    <t>VCTROTOR</t>
  </si>
  <si>
    <t>Paula</t>
  </si>
  <si>
    <t>carabajal.37</t>
  </si>
  <si>
    <t>VCTPACAR</t>
  </si>
  <si>
    <t>03815019439</t>
  </si>
  <si>
    <t>27-41238849-1</t>
  </si>
  <si>
    <t>Concha</t>
  </si>
  <si>
    <t>Maria de las Mercedes</t>
  </si>
  <si>
    <t>concha.56</t>
  </si>
  <si>
    <t>VCTMACON</t>
  </si>
  <si>
    <t>03813507269</t>
  </si>
  <si>
    <t>27-37499087-5</t>
  </si>
  <si>
    <t>Ana Florencia</t>
  </si>
  <si>
    <t>corbera.6</t>
  </si>
  <si>
    <t>VCTANCOR</t>
  </si>
  <si>
    <t>+54 381 519 4888</t>
  </si>
  <si>
    <t>Décima</t>
  </si>
  <si>
    <t>Alejo Nicolas</t>
  </si>
  <si>
    <t>decima.22</t>
  </si>
  <si>
    <t>VCTALDEC</t>
  </si>
  <si>
    <t>Del Valle</t>
  </si>
  <si>
    <t>Silvina</t>
  </si>
  <si>
    <t>delvalle.77</t>
  </si>
  <si>
    <t xml:space="preserve">VCTSIDEL  </t>
  </si>
  <si>
    <t>Gonzalez</t>
  </si>
  <si>
    <t>Sofia Anahi</t>
  </si>
  <si>
    <t>gonzalez.2548</t>
  </si>
  <si>
    <t xml:space="preserve">VCTSOGON  </t>
  </si>
  <si>
    <t xml:space="preserve">Lopez </t>
  </si>
  <si>
    <t xml:space="preserve">Rosa Mariana </t>
  </si>
  <si>
    <t>lopez.2211</t>
  </si>
  <si>
    <t>VCTROLOP</t>
  </si>
  <si>
    <t>0381-154433893</t>
  </si>
  <si>
    <t>Lugones Agüero</t>
  </si>
  <si>
    <t>Alejo Ezequiel</t>
  </si>
  <si>
    <t>lugonesaguero.5</t>
  </si>
  <si>
    <t>VCTALLUG</t>
  </si>
  <si>
    <t>03814652349</t>
  </si>
  <si>
    <t>20-34603002-0</t>
  </si>
  <si>
    <t>Marín</t>
  </si>
  <si>
    <t>Melisa Betsabé</t>
  </si>
  <si>
    <t>marin.260</t>
  </si>
  <si>
    <t xml:space="preserve">VCTMEMAR  </t>
  </si>
  <si>
    <t>Damaris</t>
  </si>
  <si>
    <t xml:space="preserve">moreno.758 </t>
  </si>
  <si>
    <t xml:space="preserve">VCTDAMOR </t>
  </si>
  <si>
    <t>0381-1561669012</t>
  </si>
  <si>
    <t>Ocaranza</t>
  </si>
  <si>
    <t xml:space="preserve">Jonathan Franco </t>
  </si>
  <si>
    <t>ocaranza.12</t>
  </si>
  <si>
    <t>VCTJOOCA</t>
  </si>
  <si>
    <t>381-155218355</t>
  </si>
  <si>
    <t>sanchez.2280</t>
  </si>
  <si>
    <t>03813608549</t>
  </si>
  <si>
    <t>27-43202751-7</t>
  </si>
  <si>
    <t>Alicia Veronica</t>
  </si>
  <si>
    <t>suarez.131</t>
  </si>
  <si>
    <t>VCTALSUA</t>
  </si>
  <si>
    <t>0381-156574458</t>
  </si>
  <si>
    <t>Suarez Yapura</t>
  </si>
  <si>
    <t>Agostina</t>
  </si>
  <si>
    <t>suarezyapura.5</t>
  </si>
  <si>
    <t xml:space="preserve">VCTAGSUA  </t>
  </si>
  <si>
    <t>Tula</t>
  </si>
  <si>
    <t>Luciana Belen</t>
  </si>
  <si>
    <t>tula.20</t>
  </si>
  <si>
    <t xml:space="preserve">VCTLUTUL  </t>
  </si>
  <si>
    <t>Visuara</t>
  </si>
  <si>
    <t>Alberto Nicolas Emanuel</t>
  </si>
  <si>
    <t>VAC</t>
  </si>
  <si>
    <t>visuara.9</t>
  </si>
  <si>
    <t>VCTALVIS</t>
  </si>
  <si>
    <t>0381-153378537</t>
  </si>
  <si>
    <t>Vizgarra</t>
  </si>
  <si>
    <t>Valentina Ercilia</t>
  </si>
  <si>
    <t>vizgarra.9</t>
  </si>
  <si>
    <t xml:space="preserve">VCTVAVIZ  </t>
  </si>
  <si>
    <t>Zerrizuela</t>
  </si>
  <si>
    <t>Mariana Agostina</t>
  </si>
  <si>
    <t>zerrizuela.6</t>
  </si>
  <si>
    <t>VCTMAZER</t>
  </si>
  <si>
    <t>0386-515350029</t>
  </si>
  <si>
    <t>Zottoli</t>
  </si>
  <si>
    <t>Gonzalo</t>
  </si>
  <si>
    <t>zottoli.6</t>
  </si>
  <si>
    <t xml:space="preserve">VCTGOZOT  </t>
  </si>
  <si>
    <t>Silva Gabriel Alberto</t>
  </si>
  <si>
    <t>Aramayo</t>
  </si>
  <si>
    <t>Fihama Loreley</t>
  </si>
  <si>
    <t>aramayo.17</t>
  </si>
  <si>
    <t xml:space="preserve">VCTFIARA </t>
  </si>
  <si>
    <t>381-156566831</t>
  </si>
  <si>
    <t>27-41763147-5</t>
  </si>
  <si>
    <t>Asen Ruiz</t>
  </si>
  <si>
    <t>Mirta Anahí</t>
  </si>
  <si>
    <t>asenruiz.6</t>
  </si>
  <si>
    <t>VCTMIASE</t>
  </si>
  <si>
    <t>23-39975338-4</t>
  </si>
  <si>
    <t>Ballesteros</t>
  </si>
  <si>
    <t>Gabriela Elizabeth</t>
  </si>
  <si>
    <t>ballesteros.176</t>
  </si>
  <si>
    <t xml:space="preserve">VCTGABAL </t>
  </si>
  <si>
    <t>381-153554446</t>
  </si>
  <si>
    <t>27-43710701-2</t>
  </si>
  <si>
    <t>Paula Cristina</t>
  </si>
  <si>
    <t>figueroa.376</t>
  </si>
  <si>
    <t xml:space="preserve">VCTPAFIG </t>
  </si>
  <si>
    <t>381-156635470</t>
  </si>
  <si>
    <t>27-41534420-7</t>
  </si>
  <si>
    <t>Flores</t>
  </si>
  <si>
    <t>Ana Cecilia</t>
  </si>
  <si>
    <t>flores.2460</t>
  </si>
  <si>
    <t>VCTANFLO</t>
  </si>
  <si>
    <t>27-37190020-4</t>
  </si>
  <si>
    <t>Guitiérrez</t>
  </si>
  <si>
    <t>Emmanuel Maximiliano</t>
  </si>
  <si>
    <t>gutierrez.1383</t>
  </si>
  <si>
    <t>VCTEMGUI</t>
  </si>
  <si>
    <t>20-36885457-4</t>
  </si>
  <si>
    <t>María Ines</t>
  </si>
  <si>
    <t>lazarte.103</t>
  </si>
  <si>
    <t xml:space="preserve">VCTMALAZ </t>
  </si>
  <si>
    <t>Orellana</t>
  </si>
  <si>
    <t>Maria Cecilia</t>
  </si>
  <si>
    <t>381-153330386</t>
  </si>
  <si>
    <t>(Hs Orig  09:00 - 14:00 OFF Dom Sab)</t>
  </si>
  <si>
    <t>Florencia Agostina</t>
  </si>
  <si>
    <t>pacheco.361</t>
  </si>
  <si>
    <t xml:space="preserve">VCTFLPAC </t>
  </si>
  <si>
    <t>381-154091663</t>
  </si>
  <si>
    <t>23-36867211-4</t>
  </si>
  <si>
    <t>Rayó</t>
  </si>
  <si>
    <t>Rodrigo Exequiel</t>
  </si>
  <si>
    <t>rayo.28</t>
  </si>
  <si>
    <t xml:space="preserve">VCTRORAY </t>
  </si>
  <si>
    <t>381-154190596</t>
  </si>
  <si>
    <t>20-36712734-2</t>
  </si>
  <si>
    <t xml:space="preserve">Albornoz Miguel </t>
  </si>
  <si>
    <t>Lucero</t>
  </si>
  <si>
    <t>Noelia</t>
  </si>
  <si>
    <t>lucero.274</t>
  </si>
  <si>
    <t>VCTNOLUC</t>
  </si>
  <si>
    <t>27-40089669-6</t>
  </si>
  <si>
    <t>Maria del Valle</t>
  </si>
  <si>
    <t>medina.989</t>
  </si>
  <si>
    <t xml:space="preserve">VCTMAMED </t>
  </si>
  <si>
    <t>27-35921828-7</t>
  </si>
  <si>
    <t>Mendoza</t>
  </si>
  <si>
    <t>Rocío Camila</t>
  </si>
  <si>
    <t>mendoza.2175</t>
  </si>
  <si>
    <t xml:space="preserve">VCTROMEN </t>
  </si>
  <si>
    <t>27-40643538-0</t>
  </si>
  <si>
    <t>Peñaloza</t>
  </si>
  <si>
    <t>María Romina</t>
  </si>
  <si>
    <t>penaloza.25</t>
  </si>
  <si>
    <t>VCTMAPEN</t>
  </si>
  <si>
    <t>27-38185201-1</t>
  </si>
  <si>
    <t>Ribotis</t>
  </si>
  <si>
    <t>ribotis.5</t>
  </si>
  <si>
    <t>VCTJURIB</t>
  </si>
  <si>
    <t>27-36182605-7</t>
  </si>
  <si>
    <t>Risso</t>
  </si>
  <si>
    <t>Florencia Marisel</t>
  </si>
  <si>
    <t>risso.9</t>
  </si>
  <si>
    <t>VCTFLRIS</t>
  </si>
  <si>
    <t>27-39359545-6</t>
  </si>
  <si>
    <t>Florecia Raquel</t>
  </si>
  <si>
    <t>romero.932</t>
  </si>
  <si>
    <t xml:space="preserve">VCTFLROM </t>
  </si>
  <si>
    <t>María Soledad</t>
  </si>
  <si>
    <t>santucho.27</t>
  </si>
  <si>
    <t xml:space="preserve">VCTSOSAN </t>
  </si>
  <si>
    <t>Villalba</t>
  </si>
  <si>
    <t>Rocío Micaela</t>
  </si>
  <si>
    <t>villalba.63</t>
  </si>
  <si>
    <t>VCTROVIL</t>
  </si>
  <si>
    <t>Villa Aleman Alejandro Roberto</t>
  </si>
  <si>
    <t>Micaela Estefania</t>
  </si>
  <si>
    <t>ale.33</t>
  </si>
  <si>
    <t xml:space="preserve">VCTMIALE  </t>
  </si>
  <si>
    <t>Grimaldi Agustina Sofía</t>
  </si>
  <si>
    <t>Nicolás Alfredo</t>
  </si>
  <si>
    <t>avellaneda.31</t>
  </si>
  <si>
    <t>VCTNIAVE</t>
  </si>
  <si>
    <t>381 461-2091</t>
  </si>
  <si>
    <t>Courel</t>
  </si>
  <si>
    <t>Axel Nahuel</t>
  </si>
  <si>
    <t>courel.5</t>
  </si>
  <si>
    <t>VCTAXCOU</t>
  </si>
  <si>
    <t>0381-156816140</t>
  </si>
  <si>
    <t>Gamero Albornoz</t>
  </si>
  <si>
    <t>Romina</t>
  </si>
  <si>
    <t>gameroalbornoz.5</t>
  </si>
  <si>
    <t>VCTROGAM</t>
  </si>
  <si>
    <t>Gomez Toledo</t>
  </si>
  <si>
    <t>Marianela Lujan</t>
  </si>
  <si>
    <t>Gomeztoledo.6</t>
  </si>
  <si>
    <t>VCTLUGOM</t>
  </si>
  <si>
    <t>0381-155091174</t>
  </si>
  <si>
    <t>Luciano Matias</t>
  </si>
  <si>
    <t>juarez.64</t>
  </si>
  <si>
    <t>VCTLUJUA</t>
  </si>
  <si>
    <t>juarez.165</t>
  </si>
  <si>
    <t>VCTANJUA</t>
  </si>
  <si>
    <t>0381-155727327</t>
  </si>
  <si>
    <t>Mariani</t>
  </si>
  <si>
    <t>mariani.11</t>
  </si>
  <si>
    <t>VCTCEMAR</t>
  </si>
  <si>
    <t>153501142 / 155854338</t>
  </si>
  <si>
    <t>Leandro Dario</t>
  </si>
  <si>
    <t>mndez.19</t>
  </si>
  <si>
    <t>VCTLEMEN</t>
  </si>
  <si>
    <t>381 586 9128</t>
  </si>
  <si>
    <t>Monges</t>
  </si>
  <si>
    <t>Elina Teresa</t>
  </si>
  <si>
    <t>monges.6</t>
  </si>
  <si>
    <t>VCTELMON</t>
  </si>
  <si>
    <t>Olivera</t>
  </si>
  <si>
    <t>Irene Marcia</t>
  </si>
  <si>
    <t>olivera.20</t>
  </si>
  <si>
    <t>VCTIROLI</t>
  </si>
  <si>
    <t>Porello</t>
  </si>
  <si>
    <t>Maria Belén</t>
  </si>
  <si>
    <t>porello.7</t>
  </si>
  <si>
    <t>VCTMAPOR</t>
  </si>
  <si>
    <t>381 505 8651</t>
  </si>
  <si>
    <t>Rocio del Valle</t>
  </si>
  <si>
    <t>ricci.61</t>
  </si>
  <si>
    <t>VCTRORIC</t>
  </si>
  <si>
    <t>03816760423</t>
  </si>
  <si>
    <t>27-42173457-2</t>
  </si>
  <si>
    <t>Sosa</t>
  </si>
  <si>
    <t>Maria Lucia</t>
  </si>
  <si>
    <t>sosa.227</t>
  </si>
  <si>
    <t>VCTMASOS</t>
  </si>
  <si>
    <t>381 153044814</t>
  </si>
  <si>
    <t>Uncos</t>
  </si>
  <si>
    <t>Cristian Carlos</t>
  </si>
  <si>
    <t>uncos.7</t>
  </si>
  <si>
    <t>VCTCRUNC</t>
  </si>
  <si>
    <t>381 423-6626</t>
  </si>
  <si>
    <t>Villa</t>
  </si>
  <si>
    <t>Luciana Pamela</t>
  </si>
  <si>
    <t>villa.276</t>
  </si>
  <si>
    <t>VCTLUVIL</t>
  </si>
  <si>
    <t>03814094052</t>
  </si>
  <si>
    <t>27-37503426-9</t>
  </si>
  <si>
    <t>Zamorano Ortiz</t>
  </si>
  <si>
    <t>Gabriel Martin</t>
  </si>
  <si>
    <t>zamoranoortiz.5</t>
  </si>
  <si>
    <t>VCTGAZAM</t>
  </si>
  <si>
    <t>381 155240603</t>
  </si>
  <si>
    <t>Palomino Juan Pablo</t>
  </si>
  <si>
    <t>Fatima Noemi</t>
  </si>
  <si>
    <t>aguero.38</t>
  </si>
  <si>
    <t>VCTFAAGU</t>
  </si>
  <si>
    <t>0381-153040539</t>
  </si>
  <si>
    <t>Aguero Peralta</t>
  </si>
  <si>
    <t>Edith Alejandra Mabel</t>
  </si>
  <si>
    <t>agueroperalta.5</t>
  </si>
  <si>
    <t>VCTEDAGÜ</t>
  </si>
  <si>
    <t>03816169946</t>
  </si>
  <si>
    <t>27-36420663-7</t>
  </si>
  <si>
    <t>Leonela María del Valle</t>
  </si>
  <si>
    <t>almaraz.36</t>
  </si>
  <si>
    <t>VCTMAALM</t>
  </si>
  <si>
    <t>0381-153472631</t>
  </si>
  <si>
    <t>Ana Elizabeth</t>
  </si>
  <si>
    <t>castillo.1245</t>
  </si>
  <si>
    <t>VCTELCAS</t>
  </si>
  <si>
    <t>381-153419841</t>
  </si>
  <si>
    <t>Ezquer Texeira</t>
  </si>
  <si>
    <t>Mariana del Rosario</t>
  </si>
  <si>
    <t>ezquertexeira.5</t>
  </si>
  <si>
    <t>VCTMAEZQ</t>
  </si>
  <si>
    <t>381 492 7358</t>
  </si>
  <si>
    <t>Garcia</t>
  </si>
  <si>
    <t>Francisco Antonio</t>
  </si>
  <si>
    <t>garcia.4353</t>
  </si>
  <si>
    <t>VCTFRGAR</t>
  </si>
  <si>
    <t>Silvana Elizabeth</t>
  </si>
  <si>
    <t>gomez.660</t>
  </si>
  <si>
    <t>VCTSIGOM</t>
  </si>
  <si>
    <t>0381-154293451</t>
  </si>
  <si>
    <t>Martinez Lorenzo</t>
  </si>
  <si>
    <t>Nayla Ayelen</t>
  </si>
  <si>
    <t>martinezlorenzo.7</t>
  </si>
  <si>
    <t>VCTNAMAR</t>
  </si>
  <si>
    <t>0381-156485842</t>
  </si>
  <si>
    <t>Mereles Zerda</t>
  </si>
  <si>
    <t>Ana Carolina</t>
  </si>
  <si>
    <t>mereleszerda.5</t>
  </si>
  <si>
    <t>VCTANMER</t>
  </si>
  <si>
    <t>381 638 9165</t>
  </si>
  <si>
    <t>Miguel Alfredo</t>
  </si>
  <si>
    <t>pacheco.283</t>
  </si>
  <si>
    <t>VCTMIPAC</t>
  </si>
  <si>
    <t>0381-156558636</t>
  </si>
  <si>
    <t>Parraga</t>
  </si>
  <si>
    <t>Guillermo Nicolas</t>
  </si>
  <si>
    <t>parraga.5</t>
  </si>
  <si>
    <t>VCTGUPAR</t>
  </si>
  <si>
    <t>Ramirez Zorrilla</t>
  </si>
  <si>
    <t>Maria Fernanda</t>
  </si>
  <si>
    <t>ramirezzorrilla.5</t>
  </si>
  <si>
    <t>VCTMARAM</t>
  </si>
  <si>
    <t>Rivas</t>
  </si>
  <si>
    <t>Yanina Del Valle</t>
  </si>
  <si>
    <t>rivas.112</t>
  </si>
  <si>
    <t>VCTYARIV</t>
  </si>
  <si>
    <t>Maria Victoria</t>
  </si>
  <si>
    <t>sanchez.2320</t>
  </si>
  <si>
    <t xml:space="preserve">VCTVISAN  </t>
  </si>
  <si>
    <t>Rita Victoria</t>
  </si>
  <si>
    <t>sanchez.1827</t>
  </si>
  <si>
    <t>VCTRISAN</t>
  </si>
  <si>
    <t>0381-4254092 / 381-156294945</t>
  </si>
  <si>
    <t>Sanna</t>
  </si>
  <si>
    <t>Luis Fernando</t>
  </si>
  <si>
    <t>sanna.5</t>
  </si>
  <si>
    <t>VCTLUSAN</t>
  </si>
  <si>
    <t>Soria Juarez</t>
  </si>
  <si>
    <t>Eugenia Soledad</t>
  </si>
  <si>
    <t>soriajuarez.5</t>
  </si>
  <si>
    <t>VCTEUSOR</t>
  </si>
  <si>
    <t>381 639 8503</t>
  </si>
  <si>
    <t>Teseyra</t>
  </si>
  <si>
    <t>Maria Estefania</t>
  </si>
  <si>
    <t>teseyra.8</t>
  </si>
  <si>
    <t>VCTMATES</t>
  </si>
  <si>
    <t>4310015 / 155754392</t>
  </si>
  <si>
    <t>Katerina Soledad</t>
  </si>
  <si>
    <t>vizcarra.40</t>
  </si>
  <si>
    <t>VCTKAVIZ</t>
  </si>
  <si>
    <t>4615514 / 155449037</t>
  </si>
  <si>
    <t>Juan Jose</t>
  </si>
  <si>
    <t>avellaneda.33</t>
  </si>
  <si>
    <t xml:space="preserve">VCTJUAVE  </t>
  </si>
  <si>
    <t>Ramallo Jose Emanuel</t>
  </si>
  <si>
    <t>Bazan</t>
  </si>
  <si>
    <t>Melina Soledad</t>
  </si>
  <si>
    <t>bazan.50</t>
  </si>
  <si>
    <t>VCTMEBAZ</t>
  </si>
  <si>
    <t>03815567436</t>
  </si>
  <si>
    <t>27-38245134-7</t>
  </si>
  <si>
    <t>Bravo</t>
  </si>
  <si>
    <t>Agustin Gonzalo</t>
  </si>
  <si>
    <t>bravo.169</t>
  </si>
  <si>
    <t>VCTAGBRA</t>
  </si>
  <si>
    <t>Caamaño</t>
  </si>
  <si>
    <t>Emmanuel David</t>
  </si>
  <si>
    <t>caamano.9</t>
  </si>
  <si>
    <t>VCTEMCAA</t>
  </si>
  <si>
    <t>20-33697993-6</t>
  </si>
  <si>
    <t>Cáceres</t>
  </si>
  <si>
    <t>Jose Maximo</t>
  </si>
  <si>
    <t>cceres.12</t>
  </si>
  <si>
    <t>VCTJOCAC</t>
  </si>
  <si>
    <t>0381- 156402158</t>
  </si>
  <si>
    <t>Carmona</t>
  </si>
  <si>
    <t>Camila Belen</t>
  </si>
  <si>
    <t>carmona.157</t>
  </si>
  <si>
    <t xml:space="preserve">VCTCACAR  </t>
  </si>
  <si>
    <t>Dominguez</t>
  </si>
  <si>
    <t>Julian Ernesto</t>
  </si>
  <si>
    <t>dominguez.431</t>
  </si>
  <si>
    <t>VCTJUDOM</t>
  </si>
  <si>
    <t>03814629366</t>
  </si>
  <si>
    <t>20-40698559-9</t>
  </si>
  <si>
    <t>Luciana Anahi</t>
  </si>
  <si>
    <t>fernandez.170</t>
  </si>
  <si>
    <t>VCTLUFER</t>
  </si>
  <si>
    <t>Maria Emilia</t>
  </si>
  <si>
    <t>gomez.1431</t>
  </si>
  <si>
    <t>VCTMAGOM</t>
  </si>
  <si>
    <t>27-29438749-3</t>
  </si>
  <si>
    <t>Elizabeth de los Angeles</t>
  </si>
  <si>
    <t>gonzalez.2549</t>
  </si>
  <si>
    <t xml:space="preserve">VCTELGON  </t>
  </si>
  <si>
    <t>González</t>
  </si>
  <si>
    <t>gonzalez.2577</t>
  </si>
  <si>
    <t>VCTENGON</t>
  </si>
  <si>
    <t>20-41772351-0</t>
  </si>
  <si>
    <t>Guerra</t>
  </si>
  <si>
    <t>Héctor Gonzalo</t>
  </si>
  <si>
    <t>14:00 - 20:00</t>
  </si>
  <si>
    <t>guerra.243</t>
  </si>
  <si>
    <t>VCTHEGUE</t>
  </si>
  <si>
    <t>+54 038 149 42328</t>
  </si>
  <si>
    <t>(Hs Orig  14:00 - 20:00 OFF Dom Sab)</t>
  </si>
  <si>
    <t>Juarez Fernandez</t>
  </si>
  <si>
    <t>Juan Gabriel</t>
  </si>
  <si>
    <t>jurezfernndez.5</t>
  </si>
  <si>
    <t>VCTJUJUA</t>
  </si>
  <si>
    <t>0381-4321344 / 0381-155574165</t>
  </si>
  <si>
    <t>Moya</t>
  </si>
  <si>
    <t>Nadia Florencia</t>
  </si>
  <si>
    <t>moya.50</t>
  </si>
  <si>
    <t>VCTNAMOY</t>
  </si>
  <si>
    <t>Perez Flores</t>
  </si>
  <si>
    <t>Leandro Nahuel</t>
  </si>
  <si>
    <t>perezflores.28</t>
  </si>
  <si>
    <t>VCTLEPER</t>
  </si>
  <si>
    <t>387 847-1326</t>
  </si>
  <si>
    <t>Prado</t>
  </si>
  <si>
    <t>Maria de los Angeles</t>
  </si>
  <si>
    <t xml:space="preserve">prado.268  </t>
  </si>
  <si>
    <t xml:space="preserve">VCTMAPRA </t>
  </si>
  <si>
    <t>0381-154140580</t>
  </si>
  <si>
    <t>27-38509438-3</t>
  </si>
  <si>
    <t>Sevilla</t>
  </si>
  <si>
    <t>Lourdes Florencia</t>
  </si>
  <si>
    <t>sevilla.259</t>
  </si>
  <si>
    <t>VCTLOSEV</t>
  </si>
  <si>
    <t>27-40532694-4</t>
  </si>
  <si>
    <t>Eric Emanuel</t>
  </si>
  <si>
    <t>soto.261</t>
  </si>
  <si>
    <t>VCTERSOT</t>
  </si>
  <si>
    <t>381-155616291</t>
  </si>
  <si>
    <t>Valenzuela</t>
  </si>
  <si>
    <t>Gonzalo Rene</t>
  </si>
  <si>
    <t>valenzuela.384</t>
  </si>
  <si>
    <t xml:space="preserve">VCTGOVAL </t>
  </si>
  <si>
    <t>381-155902404</t>
  </si>
  <si>
    <t>20-41651681-3</t>
  </si>
  <si>
    <t>Vazquez Valladares Eduardo Alejandro</t>
  </si>
  <si>
    <t xml:space="preserve">Gaston Exequiel </t>
  </si>
  <si>
    <t>VCTGAACO</t>
  </si>
  <si>
    <t>23-40275956-9</t>
  </si>
  <si>
    <t>Alvarez</t>
  </si>
  <si>
    <t xml:space="preserve">Alejandra Liliana </t>
  </si>
  <si>
    <t>alvarez.1038</t>
  </si>
  <si>
    <t>VCTALALV</t>
  </si>
  <si>
    <t>Lucas Gabriel</t>
  </si>
  <si>
    <t>alvarez.1069</t>
  </si>
  <si>
    <t>VCTLUALV</t>
  </si>
  <si>
    <t>03816317544</t>
  </si>
  <si>
    <t>20-37997844-5</t>
  </si>
  <si>
    <t>Artaza</t>
  </si>
  <si>
    <t xml:space="preserve"> Milagro Ileana Maribel</t>
  </si>
  <si>
    <t>artaza.15</t>
  </si>
  <si>
    <t>VCTMIART</t>
  </si>
  <si>
    <t>381 488 4001</t>
  </si>
  <si>
    <t>Caballero</t>
  </si>
  <si>
    <t>Matias Nahuel</t>
  </si>
  <si>
    <t>CSV3; HD</t>
  </si>
  <si>
    <t>caballero.309</t>
  </si>
  <si>
    <t>VCTMACAB</t>
  </si>
  <si>
    <t>0381 -154014772</t>
  </si>
  <si>
    <t>Castro del Sastre</t>
  </si>
  <si>
    <t>Camila Belén</t>
  </si>
  <si>
    <t>VCTCACAS</t>
  </si>
  <si>
    <t>27-42467280-2</t>
  </si>
  <si>
    <t xml:space="preserve">Cipolla </t>
  </si>
  <si>
    <t>Naim</t>
  </si>
  <si>
    <t>cipolla.5</t>
  </si>
  <si>
    <t>VCTNACIP</t>
  </si>
  <si>
    <t>0381-153017069</t>
  </si>
  <si>
    <t>Coronel</t>
  </si>
  <si>
    <t xml:space="preserve"> José Benjamín</t>
  </si>
  <si>
    <t>coronel.160</t>
  </si>
  <si>
    <t>VCTJOCOR</t>
  </si>
  <si>
    <t>381 571 2386</t>
  </si>
  <si>
    <t>Ana Gabriela</t>
  </si>
  <si>
    <t>correa.357</t>
  </si>
  <si>
    <t>VCTMACOR</t>
  </si>
  <si>
    <t>381-154069186</t>
  </si>
  <si>
    <t>27-41495251-3</t>
  </si>
  <si>
    <t>Alejandra Noemi</t>
  </si>
  <si>
    <t>delgado.582</t>
  </si>
  <si>
    <t xml:space="preserve">VCTALDEL  </t>
  </si>
  <si>
    <t>Solana Abigail</t>
  </si>
  <si>
    <t>delgado.546</t>
  </si>
  <si>
    <t>VCTSODEL</t>
  </si>
  <si>
    <t>Diaz</t>
  </si>
  <si>
    <t>Fernando Gabriel</t>
  </si>
  <si>
    <t>diaz.1260</t>
  </si>
  <si>
    <t>VCTFEDIA</t>
  </si>
  <si>
    <t>0381-156713498</t>
  </si>
  <si>
    <t>Gómez</t>
  </si>
  <si>
    <t xml:space="preserve">Jonás </t>
  </si>
  <si>
    <t xml:space="preserve">gomez.1294  </t>
  </si>
  <si>
    <t xml:space="preserve">VCTJOGÓM </t>
  </si>
  <si>
    <t>0381-153869343</t>
  </si>
  <si>
    <t>Ocampo</t>
  </si>
  <si>
    <t>Franco Vicente</t>
  </si>
  <si>
    <t>VCTFROCA</t>
  </si>
  <si>
    <t>20-40356980-2</t>
  </si>
  <si>
    <t>Pavone</t>
  </si>
  <si>
    <t>David Emanuel</t>
  </si>
  <si>
    <t>pavone.20</t>
  </si>
  <si>
    <t>VCTDAPAV</t>
  </si>
  <si>
    <t>PROMOTED</t>
  </si>
  <si>
    <t>Jimena Alejandra</t>
  </si>
  <si>
    <t>ruiz.943</t>
  </si>
  <si>
    <t>VCTJIRUI</t>
  </si>
  <si>
    <t>27-37658363-0</t>
  </si>
  <si>
    <t>Torres</t>
  </si>
  <si>
    <t>torres.1778</t>
  </si>
  <si>
    <t>VCTMATOR</t>
  </si>
  <si>
    <t>381-156471110</t>
  </si>
  <si>
    <t>Alcorta</t>
  </si>
  <si>
    <t>Carla Andrea</t>
  </si>
  <si>
    <t>alcorta.10</t>
  </si>
  <si>
    <t>VCTCAALC</t>
  </si>
  <si>
    <t>27-39477028-6</t>
  </si>
  <si>
    <t>Blac Sleiman</t>
  </si>
  <si>
    <t>David Exequiel</t>
  </si>
  <si>
    <t>blacsleiman.6</t>
  </si>
  <si>
    <t>VCTDABLA</t>
  </si>
  <si>
    <t>0381-156552983</t>
  </si>
  <si>
    <t>20-39355647-2</t>
  </si>
  <si>
    <t>(Hs Orig  09:00 - 14:00 OFF Dom Vie Sab)</t>
  </si>
  <si>
    <t>Carrasco Paiva</t>
  </si>
  <si>
    <t>Jhonny Daniel</t>
  </si>
  <si>
    <t>carrasco.131</t>
  </si>
  <si>
    <t>VCTJHCAR</t>
  </si>
  <si>
    <t>23-96001421-9</t>
  </si>
  <si>
    <t>Casella Lorca</t>
  </si>
  <si>
    <t>Gianfranco</t>
  </si>
  <si>
    <t>casellalorca.6</t>
  </si>
  <si>
    <t>VCTGICAS</t>
  </si>
  <si>
    <t>20-40357988-3</t>
  </si>
  <si>
    <t>Castro</t>
  </si>
  <si>
    <t xml:space="preserve">Diego Nicolas </t>
  </si>
  <si>
    <t>castro.1390</t>
  </si>
  <si>
    <t>VCTCANIC</t>
  </si>
  <si>
    <t>20-41649361-9</t>
  </si>
  <si>
    <t>Cuello</t>
  </si>
  <si>
    <t>Paula Mariana</t>
  </si>
  <si>
    <t>cuello.26</t>
  </si>
  <si>
    <t xml:space="preserve">VCTPACUE  </t>
  </si>
  <si>
    <t>Emeterio Toscano</t>
  </si>
  <si>
    <t>Anabela</t>
  </si>
  <si>
    <t xml:space="preserve">emeteriotoscano.6 </t>
  </si>
  <si>
    <t xml:space="preserve">VCTANEME </t>
  </si>
  <si>
    <t>0381-154197485</t>
  </si>
  <si>
    <t>Fernandez Lafuente</t>
  </si>
  <si>
    <t>Eliana</t>
  </si>
  <si>
    <t xml:space="preserve">fernndezlafuente.5 </t>
  </si>
  <si>
    <t xml:space="preserve">VCTELFER </t>
  </si>
  <si>
    <t>381-155070922</t>
  </si>
  <si>
    <t>27-38184365-9</t>
  </si>
  <si>
    <t>Cristian Daniel Antonio</t>
  </si>
  <si>
    <t>gonzalez.2059</t>
  </si>
  <si>
    <t>VCTCRGON</t>
  </si>
  <si>
    <t>+54 381 670 8290</t>
  </si>
  <si>
    <t>Carlos Martin</t>
  </si>
  <si>
    <t>guerra.335</t>
  </si>
  <si>
    <t>VCTGUCAR</t>
  </si>
  <si>
    <t>03816637449</t>
  </si>
  <si>
    <t>20-37727877-2</t>
  </si>
  <si>
    <t>Olga Tamara</t>
  </si>
  <si>
    <t>medina.514</t>
  </si>
  <si>
    <t>VCTOLMED</t>
  </si>
  <si>
    <t>0381-156690297</t>
  </si>
  <si>
    <t>Florencia Yudith</t>
  </si>
  <si>
    <t xml:space="preserve">navarro.740 </t>
  </si>
  <si>
    <t xml:space="preserve">VCTFLNAV </t>
  </si>
  <si>
    <t>381-153356081</t>
  </si>
  <si>
    <t>27-40217271-7</t>
  </si>
  <si>
    <t>89322 </t>
  </si>
  <si>
    <t>palavecino.29</t>
  </si>
  <si>
    <t>VCTLAPAL</t>
  </si>
  <si>
    <t>27-39698542-5</t>
  </si>
  <si>
    <t>Parrado Quiroga</t>
  </si>
  <si>
    <t>Gimena Marisol</t>
  </si>
  <si>
    <t>Parradoquiroga.5</t>
  </si>
  <si>
    <t>VCTGIPAR</t>
  </si>
  <si>
    <t>0381-156301220</t>
  </si>
  <si>
    <t>27-40155412-8</t>
  </si>
  <si>
    <t>Rojas</t>
  </si>
  <si>
    <t>rojas.103</t>
  </si>
  <si>
    <t>VCTBEROJ</t>
  </si>
  <si>
    <t>Romina Mercedes</t>
  </si>
  <si>
    <t>salas.307</t>
  </si>
  <si>
    <t xml:space="preserve">VCTROSAL  </t>
  </si>
  <si>
    <t>Pedro Alejandro</t>
  </si>
  <si>
    <t>snchez.16</t>
  </si>
  <si>
    <t>VCTPESAN</t>
  </si>
  <si>
    <t>0381-155065886</t>
  </si>
  <si>
    <t>Teves</t>
  </si>
  <si>
    <t>Emiliano Gabriel</t>
  </si>
  <si>
    <t>teves.16</t>
  </si>
  <si>
    <t>VCTEMTEV</t>
  </si>
  <si>
    <t>0381-156675000</t>
  </si>
  <si>
    <t>Trionfini</t>
  </si>
  <si>
    <t>Monica Luciana</t>
  </si>
  <si>
    <t xml:space="preserve">trionfini.6 </t>
  </si>
  <si>
    <t>VCTMOTRI</t>
  </si>
  <si>
    <t>0381-154015977</t>
  </si>
  <si>
    <t>27-34186702-4</t>
  </si>
  <si>
    <t>Borges</t>
  </si>
  <si>
    <t>Veronica</t>
  </si>
  <si>
    <t>borges.332</t>
  </si>
  <si>
    <t>VCTVEBOR</t>
  </si>
  <si>
    <t>381-155397408</t>
  </si>
  <si>
    <t>27-36838719-9</t>
  </si>
  <si>
    <t>Delgado Juarez</t>
  </si>
  <si>
    <t>Lucia Stefanía</t>
  </si>
  <si>
    <t>delgadojuarez.7</t>
  </si>
  <si>
    <t>VCTLUDEL</t>
  </si>
  <si>
    <t>381-155285034</t>
  </si>
  <si>
    <t>27-36839524-8</t>
  </si>
  <si>
    <t>Estoquin</t>
  </si>
  <si>
    <t>Nicolas Abel</t>
  </si>
  <si>
    <t>estoquin.5</t>
  </si>
  <si>
    <t>VCTNIEST</t>
  </si>
  <si>
    <t xml:space="preserve">381-156909685/381-2300132 </t>
  </si>
  <si>
    <t>20-40087984-3</t>
  </si>
  <si>
    <t xml:space="preserve">Leguina </t>
  </si>
  <si>
    <t>Ivana</t>
  </si>
  <si>
    <t>leguina.5</t>
  </si>
  <si>
    <t>VCTIVLEG</t>
  </si>
  <si>
    <t>381-155586569</t>
  </si>
  <si>
    <t>27-37457686-6</t>
  </si>
  <si>
    <t>Toledo</t>
  </si>
  <si>
    <t>Juan Pablo</t>
  </si>
  <si>
    <t>toledo.311 </t>
  </si>
  <si>
    <t>VCTJUTOL</t>
  </si>
  <si>
    <t>381-156595332</t>
  </si>
  <si>
    <t>20-40902733-5</t>
  </si>
  <si>
    <t>Geronimo Nicolas</t>
  </si>
  <si>
    <t>acosta.556</t>
  </si>
  <si>
    <t>VCTGEACO</t>
  </si>
  <si>
    <t>(381) 155584444</t>
  </si>
  <si>
    <t>20-38023289-9</t>
  </si>
  <si>
    <t>Melanie Gisel</t>
  </si>
  <si>
    <t>coronel.173</t>
  </si>
  <si>
    <t>VCTMECOR</t>
  </si>
  <si>
    <t>0381-155703459</t>
  </si>
  <si>
    <t>27-37656622-1</t>
  </si>
  <si>
    <t>Lujan</t>
  </si>
  <si>
    <t>Cecilia Estefania</t>
  </si>
  <si>
    <t>lujan.50 </t>
  </si>
  <si>
    <t>VCTCELUJ</t>
  </si>
  <si>
    <t>(381) 156643246</t>
  </si>
  <si>
    <t>27-37309000-5</t>
  </si>
  <si>
    <t>Callejon</t>
  </si>
  <si>
    <t>Florencia Ana</t>
  </si>
  <si>
    <t>callejon.5</t>
  </si>
  <si>
    <t>VCTFLCAL</t>
  </si>
  <si>
    <t>381-155077360</t>
  </si>
  <si>
    <t>27-30442830-4</t>
  </si>
  <si>
    <t>Roncedo</t>
  </si>
  <si>
    <t>Carla Sofia</t>
  </si>
  <si>
    <t>roncedo.10</t>
  </si>
  <si>
    <t>VCTCARON</t>
  </si>
  <si>
    <t>381-154435966</t>
  </si>
  <si>
    <t>27-39355697-3</t>
  </si>
  <si>
    <t>Pérez Zitzke Agustina</t>
  </si>
  <si>
    <t>Batista</t>
  </si>
  <si>
    <t>Manuel</t>
  </si>
  <si>
    <t>Nesting</t>
  </si>
  <si>
    <t>batista.535</t>
  </si>
  <si>
    <t>VCTMABAT</t>
  </si>
  <si>
    <t>20-29640385-8</t>
  </si>
  <si>
    <t>Constanza Melina</t>
  </si>
  <si>
    <t>coronel.171</t>
  </si>
  <si>
    <t>VCTCOCOR</t>
  </si>
  <si>
    <t>27-38490286-9</t>
  </si>
  <si>
    <t>Grimaldi</t>
  </si>
  <si>
    <t>grimaldi.19</t>
  </si>
  <si>
    <t>VCTMAGRI</t>
  </si>
  <si>
    <t>27-37457019-1</t>
  </si>
  <si>
    <t>Vazquez</t>
  </si>
  <si>
    <t>Nicol Agostina</t>
  </si>
  <si>
    <t>vazquez.343</t>
  </si>
  <si>
    <t>VCTNIVAZ</t>
  </si>
  <si>
    <t>27-42008426-4</t>
  </si>
  <si>
    <t>Bautista</t>
  </si>
  <si>
    <t>Agustina</t>
  </si>
  <si>
    <t>bautista.1468</t>
  </si>
  <si>
    <t>VCTAGBAU</t>
  </si>
  <si>
    <t>27-42547949 -6</t>
  </si>
  <si>
    <t>(Hs Orig  10:00 - 14:00 OFF Dom Sab)</t>
  </si>
  <si>
    <t>Quiles Sainz</t>
  </si>
  <si>
    <t>Maria Elena</t>
  </si>
  <si>
    <t>quilessainz.5</t>
  </si>
  <si>
    <t>VCTMASAI</t>
  </si>
  <si>
    <t>27-29338745-7</t>
  </si>
  <si>
    <t>Aranda</t>
  </si>
  <si>
    <t>Emilse Giselle</t>
  </si>
  <si>
    <t>aranda.96</t>
  </si>
  <si>
    <t>VCTEMARA</t>
  </si>
  <si>
    <t>27-37310486-3</t>
  </si>
  <si>
    <t>(Hs Orig  11:00 - 15:00 OFF Dom Sab)</t>
  </si>
  <si>
    <t>Idiart</t>
  </si>
  <si>
    <t>Ana Sofía</t>
  </si>
  <si>
    <t>idiart.6 </t>
  </si>
  <si>
    <t>VCTANIDI</t>
  </si>
  <si>
    <t>27-39358864.6</t>
  </si>
  <si>
    <t>Santillan</t>
  </si>
  <si>
    <t>Daiana Micaela</t>
  </si>
  <si>
    <t>santillan.199</t>
  </si>
  <si>
    <t>VCTDASAN</t>
  </si>
  <si>
    <t>27-38490696-1</t>
  </si>
  <si>
    <t>Vega</t>
  </si>
  <si>
    <t>Aldana Abigail</t>
  </si>
  <si>
    <t>vega.243</t>
  </si>
  <si>
    <t>VCTALVEG</t>
  </si>
  <si>
    <t xml:space="preserve"> Ivana Paola</t>
  </si>
  <si>
    <t>mendoza.2186</t>
  </si>
  <si>
    <t>VCTIVMEN</t>
  </si>
  <si>
    <t>27-39698105-5</t>
  </si>
  <si>
    <t>Arroyo Ledesma</t>
  </si>
  <si>
    <t>Maria del Carmen</t>
  </si>
  <si>
    <t>arroyoledesma.5 </t>
  </si>
  <si>
    <t>VCTMAARR</t>
  </si>
  <si>
    <t>27-32202906-9</t>
  </si>
  <si>
    <t>Avila</t>
  </si>
  <si>
    <t>Agustín Alfredo</t>
  </si>
  <si>
    <t>avila.484</t>
  </si>
  <si>
    <t>VCTAGAVI</t>
  </si>
  <si>
    <t>20-39141415-8</t>
  </si>
  <si>
    <t>Del Prado</t>
  </si>
  <si>
    <t>Martina</t>
  </si>
  <si>
    <t>martina.45</t>
  </si>
  <si>
    <t>VCTPRMAR</t>
  </si>
  <si>
    <t>27-42007202-9</t>
  </si>
  <si>
    <t>Nieva</t>
  </si>
  <si>
    <t>Erika Fernanda</t>
  </si>
  <si>
    <t>nieva.113</t>
  </si>
  <si>
    <t>VCTERNIE</t>
  </si>
  <si>
    <t>27-40695807-3</t>
  </si>
  <si>
    <t>Marcos Oscar</t>
  </si>
  <si>
    <t>ortiz.963 </t>
  </si>
  <si>
    <t>VCTORORT</t>
  </si>
  <si>
    <t>20-43204646-0</t>
  </si>
  <si>
    <t>Quiroga Arteaga</t>
  </si>
  <si>
    <t>Emilse</t>
  </si>
  <si>
    <t>quirogaarteaga.5 </t>
  </si>
  <si>
    <t>VCTEMQUI</t>
  </si>
  <si>
    <t>27-40356491-0</t>
  </si>
  <si>
    <t>Rivero Suarez</t>
  </si>
  <si>
    <t>Guadalupe Martina</t>
  </si>
  <si>
    <t>riverosuarez.7</t>
  </si>
  <si>
    <t>VCTGURIV</t>
  </si>
  <si>
    <t>27-42665072-5</t>
  </si>
  <si>
    <t>Nahir Rosario</t>
  </si>
  <si>
    <t>villagra.47</t>
  </si>
  <si>
    <t>VCTNAVIL</t>
  </si>
  <si>
    <t>27-38023833-6</t>
  </si>
  <si>
    <t>Alvarez Ortiz</t>
  </si>
  <si>
    <t>Gimena</t>
  </si>
  <si>
    <t>alvarezortiz.15</t>
  </si>
  <si>
    <t>VCTGIORT</t>
  </si>
  <si>
    <t>27-37455257-6</t>
  </si>
  <si>
    <t>(Hs Orig  16:00 - 20:00 OFF Dom Sab)</t>
  </si>
  <si>
    <t>Bautista Ezequiel</t>
  </si>
  <si>
    <t>gonzalez.2751</t>
  </si>
  <si>
    <t>VCTBAGON</t>
  </si>
  <si>
    <t>23-39138945-4</t>
  </si>
  <si>
    <t>Camila del Rosario</t>
  </si>
  <si>
    <t>medina.997</t>
  </si>
  <si>
    <t>VCTCAMED</t>
  </si>
  <si>
    <t>27-42173495-5</t>
  </si>
  <si>
    <t>María del Milagro</t>
  </si>
  <si>
    <t>moya.128</t>
  </si>
  <si>
    <t>VCTMAMOY</t>
  </si>
  <si>
    <t>27-39145858-3</t>
  </si>
  <si>
    <t>Naraskevicius</t>
  </si>
  <si>
    <t xml:space="preserve"> Alejandro</t>
  </si>
  <si>
    <t>naraskevicius.5</t>
  </si>
  <si>
    <t>VCTALNAR</t>
  </si>
  <si>
    <t>20-38247812-7</t>
  </si>
  <si>
    <t>Eliana Yaneth</t>
  </si>
  <si>
    <t>albarracin.63</t>
  </si>
  <si>
    <t>VCTELALB</t>
  </si>
  <si>
    <t>27-41238505-0</t>
  </si>
  <si>
    <t>(Hs Orig  17:00 - 21:00 OFF Dom Sab)</t>
  </si>
  <si>
    <t>Victor</t>
  </si>
  <si>
    <t>bazan.57</t>
  </si>
  <si>
    <t>VCTVIBAZ</t>
  </si>
  <si>
    <t>20-38119297-1</t>
  </si>
  <si>
    <t>Maria Soledad Micaela</t>
  </si>
  <si>
    <t>diaz.1682</t>
  </si>
  <si>
    <t>VCTMADIA</t>
  </si>
  <si>
    <t>27-37457843-5</t>
  </si>
  <si>
    <t>Ferrocchio</t>
  </si>
  <si>
    <t>Juan Manue</t>
  </si>
  <si>
    <t>ferrocchio.6</t>
  </si>
  <si>
    <t>VCTJUFER</t>
  </si>
  <si>
    <t>20-37097011-5</t>
  </si>
  <si>
    <t>Llanes Fonzo</t>
  </si>
  <si>
    <t>Camila Milagros</t>
  </si>
  <si>
    <t>llanesfonzo.5</t>
  </si>
  <si>
    <t>VCTCALLA</t>
  </si>
  <si>
    <t>27_41817028-5</t>
  </si>
  <si>
    <t>Bobba</t>
  </si>
  <si>
    <t>bobba.9</t>
  </si>
  <si>
    <t>VCTFRBOB</t>
  </si>
  <si>
    <t>20-34953586-7</t>
  </si>
  <si>
    <t>Delani</t>
  </si>
  <si>
    <t>Milagros Rocio Ayelen</t>
  </si>
  <si>
    <t>delani.7</t>
  </si>
  <si>
    <t>VCTMIDEL</t>
  </si>
  <si>
    <t>23-43002555-4</t>
  </si>
  <si>
    <t>Maira Daiana</t>
  </si>
  <si>
    <t>escobar.288</t>
  </si>
  <si>
    <t>VCTDAESC</t>
  </si>
  <si>
    <t>27-40534471-3</t>
  </si>
  <si>
    <t>Almazan</t>
  </si>
  <si>
    <t>Franco Matias</t>
  </si>
  <si>
    <t>almazan.80</t>
  </si>
  <si>
    <t>VCTFRALM</t>
  </si>
  <si>
    <t>20-39698401-7</t>
  </si>
  <si>
    <t>Lobo Valdez</t>
  </si>
  <si>
    <t>Lucila</t>
  </si>
  <si>
    <t>valdezlobo.6</t>
  </si>
  <si>
    <t>VCTLULOB</t>
  </si>
  <si>
    <t>27-40923908-6</t>
  </si>
  <si>
    <t>Florencia María</t>
  </si>
  <si>
    <t>soria.205 </t>
  </si>
  <si>
    <t>VCTFLSOR</t>
  </si>
  <si>
    <t>27-37089919-9</t>
  </si>
  <si>
    <t>Yamila Celeste</t>
  </si>
  <si>
    <t>coronel.172</t>
  </si>
  <si>
    <t>VCTYACOR</t>
  </si>
  <si>
    <t>27-37457389-1</t>
  </si>
  <si>
    <t>Quesada</t>
  </si>
  <si>
    <t>Micaela</t>
  </si>
  <si>
    <t>quesada.44</t>
  </si>
  <si>
    <t>VCTMIQUE</t>
  </si>
  <si>
    <t>27-42547180-0</t>
  </si>
  <si>
    <t>Maria Agustina</t>
  </si>
  <si>
    <t>lobo.138</t>
  </si>
  <si>
    <t>VCTMALOB</t>
  </si>
  <si>
    <t>27-39698765-7</t>
  </si>
  <si>
    <t>Sofía Isabel</t>
  </si>
  <si>
    <t>luna.634</t>
  </si>
  <si>
    <t>VCTSOLUN</t>
  </si>
  <si>
    <t>27-36867895-9</t>
  </si>
  <si>
    <t>navarro.879</t>
  </si>
  <si>
    <t>VCTGINAV</t>
  </si>
  <si>
    <t>27-40533765-2</t>
  </si>
  <si>
    <t>Ariel Maximiliano</t>
  </si>
  <si>
    <t>ortiz.962</t>
  </si>
  <si>
    <t>VCTARORT</t>
  </si>
  <si>
    <t>20-35813319-4</t>
  </si>
  <si>
    <t>Oyola</t>
  </si>
  <si>
    <t>Sofia</t>
  </si>
  <si>
    <t>oyola.9</t>
  </si>
  <si>
    <t>VCTSOOYO</t>
  </si>
  <si>
    <t>27-40436518-0</t>
  </si>
  <si>
    <t>Peralta</t>
  </si>
  <si>
    <t>María Paula</t>
  </si>
  <si>
    <t>peralta.421 </t>
  </si>
  <si>
    <t>VCTPAPER</t>
  </si>
  <si>
    <t>27-36838717-2</t>
  </si>
  <si>
    <t>Robles</t>
  </si>
  <si>
    <t>Inés Mónica</t>
  </si>
  <si>
    <t>robles.455 </t>
  </si>
  <si>
    <t>VCTINROB</t>
  </si>
  <si>
    <t>27-41408431-7</t>
  </si>
  <si>
    <t>Maria Gisela</t>
  </si>
  <si>
    <t>soria.206</t>
  </si>
  <si>
    <t>VCTMASOR</t>
  </si>
  <si>
    <t>27-33541052-7</t>
  </si>
  <si>
    <t>Valle</t>
  </si>
  <si>
    <t>Federico</t>
  </si>
  <si>
    <t>valle.167</t>
  </si>
  <si>
    <t>VCTFEVAL</t>
  </si>
  <si>
    <t>20-43835572-4</t>
  </si>
  <si>
    <t>Villarrubia</t>
  </si>
  <si>
    <t>Franco Antonio</t>
  </si>
  <si>
    <t>villarrubia.8</t>
  </si>
  <si>
    <t>VCTFRVIL</t>
  </si>
  <si>
    <t>20-37504461-8</t>
  </si>
  <si>
    <t>Sunday</t>
  </si>
  <si>
    <t>Monday</t>
  </si>
  <si>
    <t>Wednesday</t>
  </si>
  <si>
    <t>Thrusday</t>
  </si>
  <si>
    <t>Friday</t>
  </si>
  <si>
    <t>Saturday</t>
  </si>
  <si>
    <t>Legajo</t>
  </si>
  <si>
    <t>OFF</t>
  </si>
  <si>
    <t>12:00 - 21:00</t>
  </si>
  <si>
    <t>07:30 - 16:30</t>
  </si>
  <si>
    <t>08:00 - 17:00</t>
  </si>
  <si>
    <t>07:00 - 16:00</t>
  </si>
  <si>
    <t>CCM</t>
  </si>
  <si>
    <t>Décima Romina Soledad</t>
  </si>
  <si>
    <t>09:00 - 18:00</t>
  </si>
  <si>
    <t>11:00 - 20:00</t>
  </si>
  <si>
    <t>RATIO Prisma</t>
  </si>
  <si>
    <t xml:space="preserve">Supervisores </t>
  </si>
  <si>
    <t>Share</t>
  </si>
  <si>
    <t xml:space="preserve">Agentes </t>
  </si>
  <si>
    <t>Ortiz Jose María Total</t>
  </si>
  <si>
    <t>Campero Juarez Maria Guadalupe Total</t>
  </si>
  <si>
    <t>Perez Zitzke Agustina Total</t>
  </si>
  <si>
    <t>Grand Total</t>
  </si>
  <si>
    <t>Attriton Date</t>
  </si>
  <si>
    <t>Comments</t>
  </si>
  <si>
    <t>Type</t>
  </si>
  <si>
    <t>Sun Hrs.</t>
  </si>
  <si>
    <t>Mon Hrs.</t>
  </si>
  <si>
    <t>Tue Hrs.</t>
  </si>
  <si>
    <t>Wed Hrs.</t>
  </si>
  <si>
    <t>Thu Hrs.</t>
  </si>
  <si>
    <t>Fri Hrs.</t>
  </si>
  <si>
    <t>Sat Hrs.</t>
  </si>
  <si>
    <t>Scheduled Hrs.</t>
  </si>
  <si>
    <t>User #2</t>
  </si>
  <si>
    <t>Set Skill Programado</t>
  </si>
  <si>
    <t>Legajo Telecom</t>
  </si>
  <si>
    <t>h</t>
  </si>
  <si>
    <t>Lob</t>
  </si>
  <si>
    <t>Nomina</t>
  </si>
  <si>
    <t>LOAs</t>
  </si>
  <si>
    <t>%</t>
  </si>
  <si>
    <t>Front</t>
  </si>
  <si>
    <t>Retención Móvil</t>
  </si>
  <si>
    <t>Downselling</t>
  </si>
  <si>
    <t>Retención Red Preferida</t>
  </si>
  <si>
    <t>Total</t>
  </si>
  <si>
    <t>HC Total Inbound</t>
  </si>
  <si>
    <t>Study Day</t>
  </si>
  <si>
    <t>SUS</t>
  </si>
  <si>
    <t>HC Bis</t>
  </si>
  <si>
    <t>HC Total Inbound Neto</t>
  </si>
  <si>
    <t>Hs, Total Inbound</t>
  </si>
  <si>
    <t>Shift Avg.</t>
  </si>
</sst>
</file>

<file path=xl/styles.xml><?xml version="1.0" encoding="utf-8"?>
<styleSheet xmlns="http://schemas.openxmlformats.org/spreadsheetml/2006/main">
  <numFmts count="6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dd/mm/yyyy;@"/>
    <numFmt numFmtId="177" formatCode="_ * #,##0_ ;_ * \-#,##0_ ;_ * &quot;-&quot;??_ ;_ @_ "/>
    <numFmt numFmtId="178" formatCode="_ * #,##0.00_ ;_ * \-#,##0.00_ ;_ * &quot;-&quot;??_ ;_ @_ "/>
    <numFmt numFmtId="179" formatCode="_ * #,##0_ ;_ * \-#,##0_ ;_ * &quot;-&quot;_ ;_ @_ "/>
  </numFmts>
  <fonts count="3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indexed="9"/>
      <name val="Calibri"/>
      <charset val="134"/>
    </font>
    <font>
      <sz val="11"/>
      <name val="Calibri"/>
      <charset val="134"/>
    </font>
    <font>
      <b/>
      <sz val="11"/>
      <color rgb="FFFFFF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indexed="8"/>
      <name val="Calibri"/>
      <charset val="134"/>
    </font>
    <font>
      <sz val="9"/>
      <color theme="1"/>
      <name val="Calibri"/>
      <charset val="134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0"/>
      <name val="Arial"/>
      <charset val="134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25406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medium">
        <color auto="1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auto="1"/>
      </top>
      <bottom style="medium">
        <color auto="1"/>
      </bottom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medium">
        <color auto="1"/>
      </right>
      <top/>
      <bottom style="hair">
        <color theme="0" tint="-0.249946592608417"/>
      </bottom>
      <diagonal/>
    </border>
    <border>
      <left style="medium">
        <color auto="1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medium">
        <color auto="1"/>
      </right>
      <top style="hair">
        <color theme="0" tint="-0.249946592608417"/>
      </top>
      <bottom style="hair">
        <color theme="0" tint="-0.249946592608417"/>
      </bottom>
      <diagonal/>
    </border>
    <border>
      <left style="medium">
        <color auto="1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6"/>
      </left>
      <right/>
      <top style="medium">
        <color auto="1"/>
      </top>
      <bottom style="hair">
        <color auto="1"/>
      </bottom>
      <diagonal/>
    </border>
    <border>
      <left style="thin">
        <color theme="0" tint="-0.349986266670736"/>
      </left>
      <right/>
      <top style="hair">
        <color auto="1"/>
      </top>
      <bottom style="hair">
        <color auto="1"/>
      </bottom>
      <diagonal/>
    </border>
    <border>
      <left/>
      <right style="medium">
        <color theme="1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 style="thin">
        <color theme="0" tint="-0.349986266670736"/>
      </left>
      <right/>
      <top/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/>
      <diagonal/>
    </border>
    <border>
      <left style="thin">
        <color theme="0" tint="-0.499984740745262"/>
      </left>
      <right/>
      <top style="hair">
        <color auto="1"/>
      </top>
      <bottom style="medium">
        <color auto="1"/>
      </bottom>
      <diagonal/>
    </border>
    <border>
      <left style="thin">
        <color theme="0" tint="-0.349986266670736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hair">
        <color indexed="8"/>
      </top>
      <bottom style="hair">
        <color indexed="8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118">
    <xf numFmtId="0" fontId="0" fillId="0" borderId="0"/>
    <xf numFmtId="0" fontId="20" fillId="0" borderId="0"/>
    <xf numFmtId="0" fontId="0" fillId="0" borderId="0"/>
    <xf numFmtId="42" fontId="12" fillId="0" borderId="0" applyFont="0" applyFill="0" applyBorder="0" applyAlignment="0" applyProtection="0">
      <alignment vertical="center"/>
    </xf>
    <xf numFmtId="0" fontId="17" fillId="0" borderId="5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/>
    <xf numFmtId="0" fontId="0" fillId="0" borderId="0"/>
    <xf numFmtId="9" fontId="1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27" fillId="40" borderId="56" applyNumberFormat="0" applyAlignment="0" applyProtection="0">
      <alignment vertical="center"/>
    </xf>
    <xf numFmtId="0" fontId="12" fillId="18" borderId="51" applyNumberFormat="0" applyFont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14" fillId="0" borderId="5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29" fillId="0" borderId="5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35" borderId="55" applyNumberFormat="0" applyAlignment="0" applyProtection="0">
      <alignment vertical="center"/>
    </xf>
    <xf numFmtId="0" fontId="30" fillId="40" borderId="55" applyNumberFormat="0" applyAlignment="0" applyProtection="0">
      <alignment vertical="center"/>
    </xf>
    <xf numFmtId="0" fontId="31" fillId="41" borderId="57" applyNumberFormat="0" applyAlignment="0" applyProtection="0">
      <alignment vertical="center"/>
    </xf>
    <xf numFmtId="0" fontId="22" fillId="0" borderId="54" applyNumberFormat="0" applyFill="0" applyAlignment="0" applyProtection="0">
      <alignment vertical="center"/>
    </xf>
    <xf numFmtId="0" fontId="21" fillId="0" borderId="53" applyNumberFormat="0" applyFill="0" applyAlignment="0" applyProtection="0">
      <alignment vertical="center"/>
    </xf>
    <xf numFmtId="0" fontId="16" fillId="0" borderId="0"/>
    <xf numFmtId="0" fontId="10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5" fillId="0" borderId="0"/>
    <xf numFmtId="0" fontId="9" fillId="13" borderId="0" applyNumberFormat="0" applyBorder="0" applyAlignment="0" applyProtection="0">
      <alignment vertical="center"/>
    </xf>
    <xf numFmtId="0" fontId="0" fillId="0" borderId="0"/>
    <xf numFmtId="0" fontId="13" fillId="30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0" fillId="0" borderId="0"/>
    <xf numFmtId="0" fontId="13" fillId="3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0" fillId="0" borderId="0"/>
    <xf numFmtId="0" fontId="13" fillId="28" borderId="0" applyNumberFormat="0" applyBorder="0" applyAlignment="0" applyProtection="0">
      <alignment vertical="center"/>
    </xf>
    <xf numFmtId="0" fontId="0" fillId="0" borderId="0"/>
    <xf numFmtId="0" fontId="13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0" fillId="0" borderId="0"/>
    <xf numFmtId="0" fontId="13" fillId="21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0" fillId="0" borderId="0"/>
    <xf numFmtId="0" fontId="13" fillId="20" borderId="0" applyNumberFormat="0" applyBorder="0" applyAlignment="0" applyProtection="0">
      <alignment vertical="center"/>
    </xf>
    <xf numFmtId="0" fontId="0" fillId="0" borderId="0"/>
    <xf numFmtId="0" fontId="13" fillId="1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0" borderId="0"/>
    <xf numFmtId="0" fontId="13" fillId="4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5" fillId="0" borderId="0"/>
  </cellStyleXfs>
  <cellXfs count="137">
    <xf numFmtId="0" fontId="0" fillId="0" borderId="0" xfId="0"/>
    <xf numFmtId="0" fontId="1" fillId="0" borderId="0" xfId="0" applyFont="1"/>
    <xf numFmtId="0" fontId="2" fillId="0" borderId="0" xfId="0" applyFont="1"/>
    <xf numFmtId="9" fontId="3" fillId="2" borderId="1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Fill="1" applyBorder="1"/>
    <xf numFmtId="177" fontId="1" fillId="0" borderId="5" xfId="10" applyNumberFormat="1" applyFont="1" applyFill="1" applyBorder="1" applyAlignment="1">
      <alignment horizontal="center" vertical="center"/>
    </xf>
    <xf numFmtId="10" fontId="1" fillId="0" borderId="6" xfId="0" applyNumberFormat="1" applyFont="1" applyFill="1" applyBorder="1" applyAlignment="1">
      <alignment horizontal="center" vertical="center"/>
    </xf>
    <xf numFmtId="0" fontId="4" fillId="0" borderId="0" xfId="0" applyFont="1"/>
    <xf numFmtId="0" fontId="3" fillId="0" borderId="7" xfId="0" applyFont="1" applyFill="1" applyBorder="1"/>
    <xf numFmtId="177" fontId="1" fillId="0" borderId="8" xfId="10" applyNumberFormat="1" applyFont="1" applyFill="1" applyBorder="1" applyAlignment="1">
      <alignment horizontal="center" vertical="center"/>
    </xf>
    <xf numFmtId="10" fontId="1" fillId="0" borderId="9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177" fontId="1" fillId="0" borderId="2" xfId="10" applyNumberFormat="1" applyFont="1" applyFill="1" applyBorder="1" applyAlignment="1">
      <alignment horizontal="center" vertical="center"/>
    </xf>
    <xf numFmtId="10" fontId="1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10" fontId="1" fillId="0" borderId="0" xfId="0" applyNumberFormat="1" applyFont="1" applyFill="1" applyBorder="1" applyAlignment="1">
      <alignment horizontal="center" vertical="center"/>
    </xf>
    <xf numFmtId="177" fontId="1" fillId="0" borderId="5" xfId="10" applyNumberFormat="1" applyFont="1" applyFill="1" applyBorder="1" applyAlignment="1">
      <alignment vertical="center"/>
    </xf>
    <xf numFmtId="0" fontId="3" fillId="0" borderId="10" xfId="0" applyFont="1" applyFill="1" applyBorder="1"/>
    <xf numFmtId="177" fontId="1" fillId="0" borderId="11" xfId="10" applyNumberFormat="1" applyFont="1" applyFill="1" applyBorder="1" applyAlignment="1">
      <alignment vertical="center"/>
    </xf>
    <xf numFmtId="0" fontId="3" fillId="3" borderId="1" xfId="0" applyFont="1" applyFill="1" applyBorder="1"/>
    <xf numFmtId="177" fontId="1" fillId="3" borderId="2" xfId="10" applyNumberFormat="1" applyFont="1" applyFill="1" applyBorder="1" applyAlignment="1">
      <alignment vertical="center"/>
    </xf>
    <xf numFmtId="0" fontId="0" fillId="0" borderId="0" xfId="0" applyAlignment="1"/>
    <xf numFmtId="177" fontId="1" fillId="0" borderId="11" xfId="10" applyNumberFormat="1" applyFont="1" applyFill="1" applyBorder="1" applyAlignment="1">
      <alignment horizontal="center" vertical="center"/>
    </xf>
    <xf numFmtId="178" fontId="1" fillId="3" borderId="2" xfId="10" applyFont="1" applyFill="1" applyBorder="1" applyAlignment="1">
      <alignment horizontal="center" vertical="center"/>
    </xf>
    <xf numFmtId="9" fontId="3" fillId="2" borderId="3" xfId="0" applyNumberFormat="1" applyFont="1" applyFill="1" applyBorder="1" applyAlignment="1">
      <alignment horizontal="center" vertical="center"/>
    </xf>
    <xf numFmtId="177" fontId="1" fillId="0" borderId="6" xfId="10" applyNumberFormat="1" applyFont="1" applyFill="1" applyBorder="1" applyAlignment="1">
      <alignment vertical="center"/>
    </xf>
    <xf numFmtId="177" fontId="1" fillId="0" borderId="12" xfId="10" applyNumberFormat="1" applyFont="1" applyFill="1" applyBorder="1" applyAlignment="1">
      <alignment vertical="center"/>
    </xf>
    <xf numFmtId="177" fontId="1" fillId="3" borderId="3" xfId="10" applyNumberFormat="1" applyFont="1" applyFill="1" applyBorder="1" applyAlignment="1">
      <alignment vertical="center"/>
    </xf>
    <xf numFmtId="177" fontId="1" fillId="0" borderId="12" xfId="10" applyNumberFormat="1" applyFont="1" applyFill="1" applyBorder="1" applyAlignment="1">
      <alignment horizontal="center" vertical="center"/>
    </xf>
    <xf numFmtId="178" fontId="1" fillId="3" borderId="3" xfId="10" applyFont="1" applyFill="1" applyBorder="1" applyAlignment="1">
      <alignment horizontal="center" vertical="center"/>
    </xf>
    <xf numFmtId="0" fontId="0" fillId="0" borderId="0" xfId="0" applyFill="1"/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2" fillId="0" borderId="0" xfId="0" applyFont="1" applyFill="1"/>
    <xf numFmtId="0" fontId="1" fillId="0" borderId="18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/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left" vertical="center"/>
    </xf>
    <xf numFmtId="0" fontId="5" fillId="4" borderId="22" xfId="0" applyFont="1" applyFill="1" applyBorder="1" applyAlignment="1">
      <alignment horizontal="center" vertical="center" wrapText="1"/>
    </xf>
    <xf numFmtId="176" fontId="1" fillId="0" borderId="16" xfId="0" applyNumberFormat="1" applyFont="1" applyFill="1" applyBorder="1" applyAlignment="1">
      <alignment horizontal="center" vertical="center"/>
    </xf>
    <xf numFmtId="176" fontId="1" fillId="0" borderId="23" xfId="0" applyNumberFormat="1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/>
    </xf>
    <xf numFmtId="1" fontId="7" fillId="0" borderId="28" xfId="0" applyNumberFormat="1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1" fontId="7" fillId="0" borderId="29" xfId="0" applyNumberFormat="1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left" vertical="center"/>
    </xf>
    <xf numFmtId="0" fontId="1" fillId="0" borderId="31" xfId="0" applyFont="1" applyFill="1" applyBorder="1" applyAlignment="1">
      <alignment horizontal="center" vertical="center"/>
    </xf>
    <xf numFmtId="176" fontId="1" fillId="0" borderId="31" xfId="0" applyNumberFormat="1" applyFont="1" applyFill="1" applyBorder="1" applyAlignment="1">
      <alignment horizontal="center" vertical="center"/>
    </xf>
    <xf numFmtId="176" fontId="1" fillId="0" borderId="32" xfId="0" applyNumberFormat="1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3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1" fillId="0" borderId="18" xfId="0" applyNumberFormat="1" applyFont="1" applyFill="1" applyBorder="1" applyAlignment="1">
      <alignment horizontal="center" vertical="center"/>
    </xf>
    <xf numFmtId="176" fontId="1" fillId="0" borderId="36" xfId="0" applyNumberFormat="1" applyFont="1" applyFill="1" applyBorder="1" applyAlignment="1">
      <alignment horizontal="center" vertical="center"/>
    </xf>
    <xf numFmtId="0" fontId="1" fillId="0" borderId="36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Font="1" applyAlignment="1">
      <alignment horizont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38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6" borderId="16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5" fillId="11" borderId="16" xfId="0" applyFont="1" applyFill="1" applyBorder="1" applyAlignment="1">
      <alignment horizontal="center" vertical="center"/>
    </xf>
    <xf numFmtId="58" fontId="1" fillId="6" borderId="16" xfId="0" applyNumberFormat="1" applyFont="1" applyFill="1" applyBorder="1" applyAlignment="1">
      <alignment horizontal="center" vertical="center"/>
    </xf>
    <xf numFmtId="58" fontId="1" fillId="0" borderId="16" xfId="0" applyNumberFormat="1" applyFont="1" applyFill="1" applyBorder="1" applyAlignment="1">
      <alignment horizontal="center" vertical="center"/>
    </xf>
    <xf numFmtId="0" fontId="1" fillId="6" borderId="40" xfId="0" applyFont="1" applyFill="1" applyBorder="1" applyAlignment="1">
      <alignment horizontal="center" vertical="center"/>
    </xf>
    <xf numFmtId="176" fontId="1" fillId="6" borderId="16" xfId="0" applyNumberFormat="1" applyFont="1" applyFill="1" applyBorder="1" applyAlignment="1">
      <alignment horizontal="center" vertical="center"/>
    </xf>
    <xf numFmtId="176" fontId="1" fillId="6" borderId="23" xfId="0" applyNumberFormat="1" applyFont="1" applyFill="1" applyBorder="1" applyAlignment="1">
      <alignment horizontal="center" vertical="center"/>
    </xf>
    <xf numFmtId="0" fontId="1" fillId="6" borderId="39" xfId="0" applyFont="1" applyFill="1" applyBorder="1" applyAlignment="1">
      <alignment horizontal="center" vertical="center"/>
    </xf>
    <xf numFmtId="0" fontId="1" fillId="6" borderId="41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1" fillId="6" borderId="44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/>
    </xf>
    <xf numFmtId="0" fontId="1" fillId="0" borderId="16" xfId="0" applyNumberFormat="1" applyFont="1" applyFill="1" applyBorder="1" applyAlignment="1">
      <alignment horizontal="center" vertical="center"/>
    </xf>
    <xf numFmtId="0" fontId="7" fillId="0" borderId="16" xfId="47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58" fontId="1" fillId="0" borderId="18" xfId="0" applyNumberFormat="1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8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vertical="center"/>
    </xf>
  </cellXfs>
  <cellStyles count="118">
    <cellStyle name="Normal" xfId="0" builtinId="0"/>
    <cellStyle name="%" xfId="1"/>
    <cellStyle name="Normal 2 83 59" xfId="2"/>
    <cellStyle name="Moneda [0]" xfId="3" builtinId="7"/>
    <cellStyle name="Título 3" xfId="4" builtinId="18"/>
    <cellStyle name="40% - Énfasis1" xfId="5" builtinId="31"/>
    <cellStyle name="Normal 2 9 31" xfId="6"/>
    <cellStyle name="Normal 2 9 26" xfId="7"/>
    <cellStyle name="Coma [0]" xfId="8" builtinId="6"/>
    <cellStyle name="Moneda" xfId="9" builtinId="4"/>
    <cellStyle name="Coma" xfId="10" builtinId="3"/>
    <cellStyle name="Normal 2 83 15" xfId="11"/>
    <cellStyle name="Porcentaje" xfId="12" builtinId="5"/>
    <cellStyle name="Hipervínculo" xfId="13" builtinId="8"/>
    <cellStyle name="Hipervínculo visitado" xfId="14" builtinId="9"/>
    <cellStyle name="Normal 2 227" xfId="15"/>
    <cellStyle name="Salida" xfId="16" builtinId="21"/>
    <cellStyle name="Nota" xfId="17" builtinId="10"/>
    <cellStyle name="Normal 2 83 58" xfId="18"/>
    <cellStyle name="Texto de advertencia" xfId="19" builtinId="11"/>
    <cellStyle name="Título 2" xfId="20" builtinId="17"/>
    <cellStyle name="Título" xfId="21" builtinId="15"/>
    <cellStyle name="Texto explicativo" xfId="22" builtinId="53"/>
    <cellStyle name="Normal 2 83 57" xfId="23"/>
    <cellStyle name="Título 1" xfId="24" builtinId="16"/>
    <cellStyle name="Título 4" xfId="25" builtinId="19"/>
    <cellStyle name="Entrada" xfId="26" builtinId="20"/>
    <cellStyle name="Cálculo" xfId="27" builtinId="22"/>
    <cellStyle name="Celda de comprobación" xfId="28" builtinId="23"/>
    <cellStyle name="Celda vinculada" xfId="29" builtinId="24"/>
    <cellStyle name="Total" xfId="30" builtinId="25"/>
    <cellStyle name="Normal 2 2" xfId="31"/>
    <cellStyle name="Correcto" xfId="32" builtinId="26"/>
    <cellStyle name="Incorrecto" xfId="33" builtinId="27"/>
    <cellStyle name="40% - Énfasis5" xfId="34" builtinId="47"/>
    <cellStyle name="Neutro" xfId="35" builtinId="28"/>
    <cellStyle name="20% - Énfasis5" xfId="36" builtinId="46"/>
    <cellStyle name="Énfasis1" xfId="37" builtinId="29"/>
    <cellStyle name="Excel Built-in Normal" xfId="38"/>
    <cellStyle name="20% - Énfasis1" xfId="39" builtinId="30"/>
    <cellStyle name="Normal 2 3" xfId="40"/>
    <cellStyle name="60% - Énfasis1" xfId="41" builtinId="32"/>
    <cellStyle name="20% - Énfasis6" xfId="42" builtinId="50"/>
    <cellStyle name="Normal 2 9 78" xfId="43"/>
    <cellStyle name="Énfasis2" xfId="44" builtinId="33"/>
    <cellStyle name="20% - Énfasis2" xfId="45" builtinId="34"/>
    <cellStyle name="40% - Énfasis2" xfId="46" builtinId="35"/>
    <cellStyle name="Normal 2 4" xfId="47"/>
    <cellStyle name="60% - Énfasis2" xfId="48" builtinId="36"/>
    <cellStyle name="Normal 2 9 79" xfId="49"/>
    <cellStyle name="Énfasis3" xfId="50" builtinId="37"/>
    <cellStyle name="20% - Énfasis3" xfId="51" builtinId="38"/>
    <cellStyle name="40% - Énfasis3" xfId="52" builtinId="39"/>
    <cellStyle name="60% - Énfasis3" xfId="53" builtinId="40"/>
    <cellStyle name="Normal 2 9 85" xfId="54"/>
    <cellStyle name="Énfasis4" xfId="55" builtinId="41"/>
    <cellStyle name="20% - Énfasis4" xfId="56" builtinId="42"/>
    <cellStyle name="40% - Énfasis4" xfId="57" builtinId="43"/>
    <cellStyle name="60% - Énfasis4" xfId="58" builtinId="44"/>
    <cellStyle name="Normal 2 9 86" xfId="59"/>
    <cellStyle name="Énfasis5" xfId="60" builtinId="45"/>
    <cellStyle name="Normal 2 7" xfId="61"/>
    <cellStyle name="60% - Énfasis5" xfId="62" builtinId="48"/>
    <cellStyle name="Énfasis6" xfId="63" builtinId="49"/>
    <cellStyle name="40% - Énfasis6" xfId="64" builtinId="51"/>
    <cellStyle name="Normal 2" xfId="65"/>
    <cellStyle name="60% - Énfasis6" xfId="66" builtinId="52"/>
    <cellStyle name="Normal 2 2 10" xfId="67"/>
    <cellStyle name="Normal 2 83 16" xfId="68"/>
    <cellStyle name="Normal 2 83 23" xfId="69"/>
    <cellStyle name="Normal 2 83 25" xfId="70"/>
    <cellStyle name="Normal 2 83 30" xfId="71"/>
    <cellStyle name="Normal 2 83 26" xfId="72"/>
    <cellStyle name="Normal 2 83 32" xfId="73"/>
    <cellStyle name="Normal 2 83 27" xfId="74"/>
    <cellStyle name="Normal 2 83 33" xfId="75"/>
    <cellStyle name="Normal 2 83 34" xfId="76"/>
    <cellStyle name="Normal 2 83 42" xfId="77"/>
    <cellStyle name="Normal 2 83 44" xfId="78"/>
    <cellStyle name="Normal 2 83 49" xfId="79"/>
    <cellStyle name="Normal 2 83 51" xfId="80"/>
    <cellStyle name="Normal 2 83 52" xfId="81"/>
    <cellStyle name="Normal 2 83 53" xfId="82"/>
    <cellStyle name="Normal 2 83 55" xfId="83"/>
    <cellStyle name="Normal 2 83 56" xfId="84"/>
    <cellStyle name="Normal 2 9 24" xfId="85"/>
    <cellStyle name="Normal 2 9 19" xfId="86"/>
    <cellStyle name="Normal 2 9 32" xfId="87"/>
    <cellStyle name="Normal 2 9 27" xfId="88"/>
    <cellStyle name="Normal 2 9 29" xfId="89"/>
    <cellStyle name="Normal 2 9 30" xfId="90"/>
    <cellStyle name="Normal 2 9 33" xfId="91"/>
    <cellStyle name="Normal 2 9 42" xfId="92"/>
    <cellStyle name="Normal 2 9 37" xfId="93"/>
    <cellStyle name="Normal 2 9 43" xfId="94"/>
    <cellStyle name="Normal 2 9 38" xfId="95"/>
    <cellStyle name="Normal 2 9 44" xfId="96"/>
    <cellStyle name="Normal 2 9 39" xfId="97"/>
    <cellStyle name="Normal 2 9 50" xfId="98"/>
    <cellStyle name="Normal 2 9 45" xfId="99"/>
    <cellStyle name="Normal 2 9 51" xfId="100"/>
    <cellStyle name="Normal 2 9 46" xfId="101"/>
    <cellStyle name="Normal 2 9 52" xfId="102"/>
    <cellStyle name="Normal 2 9 47" xfId="103"/>
    <cellStyle name="Normal 2 9 49" xfId="104"/>
    <cellStyle name="Normal 2 9 53" xfId="105"/>
    <cellStyle name="Normal 2 9 58" xfId="106"/>
    <cellStyle name="Normal 2 9 65" xfId="107"/>
    <cellStyle name="Normal 2 9 67 13" xfId="108"/>
    <cellStyle name="Normal 2 9 73" xfId="109"/>
    <cellStyle name="Normal 2 9 75" xfId="110"/>
    <cellStyle name="Normal 2 9 89" xfId="111"/>
    <cellStyle name="Normal 3" xfId="112"/>
    <cellStyle name="Normal 4" xfId="113"/>
    <cellStyle name="Normal 4 18" xfId="114"/>
    <cellStyle name="Normal 5" xfId="115"/>
    <cellStyle name="Normal 6" xfId="116"/>
    <cellStyle name="Normal 7" xfId="117"/>
  </cellStyles>
  <dxfs count="20"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alignment horizontal="center"/>
    </dxf>
    <dxf>
      <font>
        <b val="1"/>
        <i val="0"/>
        <color theme="0"/>
      </font>
      <fill>
        <patternFill patternType="solid">
          <bgColor rgb="FF0000FF"/>
        </patternFill>
      </fill>
    </dxf>
    <dxf>
      <font>
        <b val="1"/>
        <i val="0"/>
      </font>
      <fill>
        <patternFill patternType="solid">
          <bgColor theme="0" tint="-0.14996795556505"/>
        </patternFill>
      </fill>
    </dxf>
    <dxf>
      <font>
        <b val="1"/>
        <i val="0"/>
        <color theme="0"/>
      </font>
      <fill>
        <patternFill patternType="solid">
          <bgColor rgb="FF660066"/>
        </patternFill>
      </fill>
    </dxf>
    <dxf>
      <font>
        <b val="1"/>
        <i val="0"/>
        <color theme="0"/>
      </font>
      <fill>
        <patternFill patternType="solid">
          <bgColor rgb="FF008000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CC99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ill>
        <patternFill patternType="solid">
          <fgColor theme="0"/>
          <bgColor rgb="FFFF0000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</dxfs>
  <tableStyles count="0" defaultTableStyle="TableStyleMedium9" defaultPivotStyle="PivotStyleLight16"/>
  <colors>
    <mruColors>
      <color rgb="00FFFFCC"/>
      <color rgb="00CCFFCC"/>
      <color rgb="00CC99FF"/>
      <color rgb="00CCFFFF"/>
      <color rgb="00CC00FF"/>
      <color rgb="000000FF"/>
      <color rgb="00660066"/>
      <color rgb="00CC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056.4142716435" refreshedBy="Luis Orlando Palavecino" recordCount="332">
  <cacheSource type="worksheet">
    <worksheetSource ref="A1:I1048576" sheet="Agents' Final Roster 0913-0919"/>
  </cacheSource>
  <cacheFields count="25">
    <cacheField name="ACM" numFmtId="0">
      <sharedItems containsBlank="1" count="10">
        <s v="Campero Juarez Maria Guadalupe"/>
        <s v="Pérez Zitzke Agustina"/>
        <s v="Ortiz Jose María"/>
        <s v="Perez Zitzke Agustina"/>
        <m/>
        <s v="REINSTATEMENT" u="1"/>
        <s v="PROMOTED" u="1"/>
        <s v="PENDING TERM" u="1"/>
        <s v="ACM TBD" u="1"/>
        <s v="TRANSFER" u="1"/>
      </sharedItems>
    </cacheField>
    <cacheField name="Supervisor" numFmtId="0">
      <sharedItems containsBlank="1" count="27">
        <s v="Arias Juan José"/>
        <s v="Vazquez Valladares Eduardo Alejandro"/>
        <s v="Corbera Susana Sofía"/>
        <s v="Criado Esteban"/>
        <s v="Gregoratti Juan Carlos"/>
        <s v="Britos Fernando José"/>
        <s v="Podazza Villagra Daniel Matias"/>
        <s v="Brandan Ernesto Alejandro"/>
        <s v="Esquivel Pavan Pamela Sol"/>
        <s v="Diaz Jesica Luciana"/>
        <s v="Gerez Andrea Soledad"/>
        <s v="Palomino Juan Pablo"/>
        <s v="Villa Aleman Alejandro Roberto"/>
        <s v="Grimaldi Agustina Sofía"/>
        <s v="Ramallo Jose Emanuel"/>
        <s v="Silva Gabriel Alberto"/>
        <s v="Bachur Karim"/>
        <s v="Mendoza Norma Mercedes"/>
        <s v="Albornoz Miguel "/>
        <m/>
        <s v="Rodriguez Paola Graciela" u="1"/>
        <s v="Supervisor TBD 1" u="1"/>
        <s v="Supervisor TBD 2" u="1"/>
        <s v="Supervisor TBD 3 CG" u="1"/>
        <s v="Supervisor TBD 3" u="1"/>
        <s v="Suopervisor TBD" u="1"/>
        <s v="Contrera Mayra Lucia" u="1"/>
      </sharedItems>
    </cacheField>
    <cacheField name="Last Name" numFmtId="0"/>
    <cacheField name="First Name" numFmtId="0"/>
    <cacheField name="Sunday" numFmtId="0"/>
    <cacheField name="Monday" numFmtId="0"/>
    <cacheField name="Tuesday" numFmtId="0"/>
    <cacheField name="Wednesday" numFmtId="0"/>
    <cacheField name="Thrusday" numFmtId="0"/>
    <cacheField name="Friday" numFmtId="0"/>
    <cacheField name="Saturday" numFmtId="0"/>
    <cacheField name="Attriton Date" numFmtId="0"/>
    <cacheField name="Comments" numFmtId="0"/>
    <cacheField name="Type" numFmtId="0"/>
    <cacheField name="Sun Hrs." numFmtId="0"/>
    <cacheField name="Mon Hrs." numFmtId="0"/>
    <cacheField name="Tue Hrs." numFmtId="0"/>
    <cacheField name="Wed Hrs." numFmtId="0"/>
    <cacheField name="Thu Hrs." numFmtId="0"/>
    <cacheField name="Fri Hrs." numFmtId="0"/>
    <cacheField name="Sat Hrs." numFmtId="0"/>
    <cacheField name="Scheduled Hrs." numFmtId="0"/>
    <cacheField name="ACDID" numFmtId="0"/>
    <cacheField name="Agent´s Payroll Number" numFmtId="0"/>
    <cacheField name="CCMSID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056.4143481482" refreshedBy="Luis Orlando Palavecino" recordCount="332">
  <cacheSource type="worksheet">
    <worksheetSource ref="A1:X1048576" sheet="Agents' Final Roster 0913-0919"/>
  </cacheSource>
  <cacheFields count="40">
    <cacheField name="ACM" numFmtId="0">
      <sharedItems containsBlank="1" count="10">
        <s v="Campero Juarez Maria Guadalupe"/>
        <s v="Pérez Zitzke Agustina"/>
        <s v="Ortiz Jose María"/>
        <s v="Perez Zitzke Agustina"/>
        <m/>
        <s v="REINSTATEMENT" u="1"/>
        <s v="PROMOTED" u="1"/>
        <s v="PENDING TERM" u="1"/>
        <s v="ACM TBD" u="1"/>
        <s v="TRANSFER" u="1"/>
      </sharedItems>
    </cacheField>
    <cacheField name="Supervisor" numFmtId="0">
      <sharedItems containsBlank="1" count="27">
        <s v="Arias Juan José"/>
        <s v="Vazquez Valladares Eduardo Alejandro"/>
        <s v="Corbera Susana Sofía"/>
        <s v="Criado Esteban"/>
        <s v="Gregoratti Juan Carlos"/>
        <s v="Britos Fernando José"/>
        <s v="Podazza Villagra Daniel Matias"/>
        <s v="Brandan Ernesto Alejandro"/>
        <s v="Esquivel Pavan Pamela Sol"/>
        <s v="Diaz Jesica Luciana"/>
        <s v="Gerez Andrea Soledad"/>
        <s v="Palomino Juan Pablo"/>
        <s v="Villa Aleman Alejandro Roberto"/>
        <s v="Grimaldi Agustina Sofía"/>
        <s v="Ramallo Jose Emanuel"/>
        <s v="Silva Gabriel Alberto"/>
        <s v="Bachur Karim"/>
        <s v="Mendoza Norma Mercedes"/>
        <s v="Albornoz Miguel "/>
        <m/>
        <s v="Rodriguez Paola Graciela" u="1"/>
        <s v="Supervisor TBD 1" u="1"/>
        <s v="Supervisor TBD 2" u="1"/>
        <s v="Supervisor TBD 3 CG" u="1"/>
        <s v="Supervisor TBD 3" u="1"/>
        <s v="Suopervisor TBD" u="1"/>
        <s v="Contrera Mayra Lucia" u="1"/>
      </sharedItems>
    </cacheField>
    <cacheField name="Last Name" numFmtId="0"/>
    <cacheField name="First Name" numFmtId="0"/>
    <cacheField name="Sunday" numFmtId="0"/>
    <cacheField name="Monday" numFmtId="0"/>
    <cacheField name="Tuesday" numFmtId="0"/>
    <cacheField name="Wednesday" numFmtId="0"/>
    <cacheField name="Thrusday" numFmtId="0"/>
    <cacheField name="Friday" numFmtId="0"/>
    <cacheField name="Saturday" numFmtId="0"/>
    <cacheField name="Attriton Date" numFmtId="0"/>
    <cacheField name="Comments" numFmtId="0"/>
    <cacheField name="Type" numFmtId="0"/>
    <cacheField name="Sun Hrs." numFmtId="0"/>
    <cacheField name="Mon Hrs." numFmtId="0"/>
    <cacheField name="Tue Hrs." numFmtId="0"/>
    <cacheField name="Wed Hrs." numFmtId="0"/>
    <cacheField name="Thu Hrs." numFmtId="0"/>
    <cacheField name="Fri Hrs." numFmtId="0"/>
    <cacheField name="Sat Hrs." numFmtId="0"/>
    <cacheField name="Scheduled Hrs." numFmtId="0"/>
    <cacheField name="ACDID" numFmtId="0"/>
    <cacheField name="Agent´s Payroll Number" numFmtId="0"/>
    <cacheField name="CCMSID" numFmtId="0"/>
    <cacheField name="LOB" numFmtId="0"/>
    <cacheField name="Secondary Skill" numFmtId="0"/>
    <cacheField name="Supervisor´s Payroll Numer" numFmtId="0"/>
    <cacheField name="ACM´s Payroll Number" numFmtId="0"/>
    <cacheField name="NT Loguin" numFmtId="0"/>
    <cacheField name="User #1" numFmtId="0"/>
    <cacheField name="WAHA desde" numFmtId="0"/>
    <cacheField name="Telephone Number" numFmtId="0"/>
    <cacheField name="DNI" numFmtId="0"/>
    <cacheField name="CUIL" numFmtId="0"/>
    <cacheField name="TPARG Hire Date" numFmtId="0"/>
    <cacheField name="Project Hire Date" numFmtId="0"/>
    <cacheField name="Production Hire Date" numFmtId="0"/>
    <cacheField name="Tenure" numFmtId="0"/>
    <cacheField name="Site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2">
  <r>
    <x v="0"/>
    <x v="0"/>
    <s v=" Bautista Boloña"/>
    <s v="Luciana Florenci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6"/>
    <n v="87043"/>
    <n v="3409624"/>
  </r>
  <r>
    <x v="0"/>
    <x v="0"/>
    <s v="Albornoz Perez"/>
    <s v="Jose Ezequiel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0"/>
    <n v="88037"/>
    <n v="3553112"/>
  </r>
  <r>
    <x v="0"/>
    <x v="0"/>
    <s v="Brito"/>
    <s v="Jesus Exequi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69"/>
    <n v="82613"/>
    <n v="2313015"/>
  </r>
  <r>
    <x v="0"/>
    <x v="0"/>
    <s v="Carabajal"/>
    <s v="Priscila Da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8"/>
    <n v="86145"/>
    <n v="2358095"/>
  </r>
  <r>
    <x v="0"/>
    <x v="0"/>
    <s v="Casares"/>
    <s v="Diego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1"/>
    <n v="81099"/>
    <n v="1880623"/>
  </r>
  <r>
    <x v="0"/>
    <x v="0"/>
    <s v="Cisneros"/>
    <s v="Roxan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7"/>
    <n v="87304"/>
    <n v="3462502"/>
  </r>
  <r>
    <x v="0"/>
    <x v="0"/>
    <s v="Corbera"/>
    <s v="Elena Beatriz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7"/>
    <n v="87314"/>
    <n v="3462518"/>
  </r>
  <r>
    <x v="1"/>
    <x v="1"/>
    <s v="Diaz"/>
    <s v="Fernando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4"/>
    <n v="85332"/>
    <n v="2811367"/>
  </r>
  <r>
    <x v="0"/>
    <x v="0"/>
    <s v="Escobar"/>
    <s v="Marco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21"/>
    <n v="86155"/>
    <n v="2783079"/>
  </r>
  <r>
    <x v="0"/>
    <x v="0"/>
    <s v="Juarez"/>
    <s v="Carlos 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5"/>
    <n v="86141"/>
    <n v="3118306"/>
  </r>
  <r>
    <x v="0"/>
    <x v="0"/>
    <s v="Muratore"/>
    <s v="Daia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3"/>
    <n v="82401"/>
    <n v="1063468"/>
  </r>
  <r>
    <x v="0"/>
    <x v="0"/>
    <s v="Nunez"/>
    <s v="Marcel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4"/>
    <n v="86296"/>
    <n v="3133293"/>
  </r>
  <r>
    <x v="0"/>
    <x v="0"/>
    <s v="Ortiz"/>
    <s v="Silvi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7"/>
    <n v="85614"/>
    <n v="2873639"/>
  </r>
  <r>
    <x v="0"/>
    <x v="0"/>
    <s v="Pockorny"/>
    <s v="Tomás Agust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4"/>
    <n v="85621"/>
    <n v="2873911"/>
  </r>
  <r>
    <x v="0"/>
    <x v="0"/>
    <s v="Yapura"/>
    <s v="Cintia Ele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9"/>
    <n v="85474"/>
    <n v="2832262"/>
  </r>
  <r>
    <x v="0"/>
    <x v="2"/>
    <s v="Alonso"/>
    <s v="Facundo ism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13"/>
    <n v="88174"/>
    <n v="3624184"/>
  </r>
  <r>
    <x v="0"/>
    <x v="2"/>
    <s v="Alvarez Maziad"/>
    <s v="Monica Carol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7"/>
    <n v="83603"/>
    <n v="2523112"/>
  </r>
  <r>
    <x v="0"/>
    <x v="2"/>
    <s v="Azubel"/>
    <s v="Solange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5"/>
    <n v="87316"/>
    <n v="1100247"/>
  </r>
  <r>
    <x v="0"/>
    <x v="2"/>
    <s v="Cantos"/>
    <s v="Horacio Nicola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6"/>
    <n v="87308"/>
    <n v="3462509"/>
  </r>
  <r>
    <x v="0"/>
    <x v="2"/>
    <s v="Castillo"/>
    <s v="Angel Albert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4"/>
    <n v="85278"/>
    <n v="2803851"/>
  </r>
  <r>
    <x v="0"/>
    <x v="2"/>
    <s v="Chavarria Bevacqua"/>
    <s v="Silvana Carolin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7"/>
    <n v="87045"/>
    <n v="3409666"/>
  </r>
  <r>
    <x v="0"/>
    <x v="2"/>
    <s v="Del Pino"/>
    <s v="Agustin Alejandr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1"/>
    <n v="87057"/>
    <n v="3409641"/>
  </r>
  <r>
    <x v="0"/>
    <x v="2"/>
    <s v="Elias"/>
    <s v="Mario Jorg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9"/>
    <n v="86154"/>
    <n v="3118300"/>
  </r>
  <r>
    <x v="0"/>
    <x v="2"/>
    <s v="Garcia "/>
    <s v="Guillermo Eduardo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01"/>
    <n v="83911"/>
    <n v="2657668"/>
  </r>
  <r>
    <x v="0"/>
    <x v="2"/>
    <s v="Gjugum"/>
    <s v="Sofia Deni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9"/>
    <n v="87310"/>
    <n v="3462512"/>
  </r>
  <r>
    <x v="0"/>
    <x v="2"/>
    <s v="Laitán Landro"/>
    <s v="Gimen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6"/>
    <n v="85310"/>
    <n v="2811372"/>
  </r>
  <r>
    <x v="0"/>
    <x v="2"/>
    <s v="Martinez Teseyra"/>
    <s v="Mayra Belen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5"/>
    <n v="87060"/>
    <n v="3409628"/>
  </r>
  <r>
    <x v="0"/>
    <x v="2"/>
    <s v="Medina"/>
    <s v="Leyla Ma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1"/>
    <n v="87306"/>
    <n v="1729885"/>
  </r>
  <r>
    <x v="0"/>
    <x v="2"/>
    <s v="Nasif"/>
    <s v="Mar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2"/>
    <n v="87300"/>
    <n v="3462489"/>
  </r>
  <r>
    <x v="0"/>
    <x v="2"/>
    <s v="Ricci"/>
    <s v="Marcos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8"/>
    <n v="86288"/>
    <n v="3133272"/>
  </r>
  <r>
    <x v="0"/>
    <x v="2"/>
    <s v="Ruiz Barrionuevo"/>
    <s v="Isabella Catalin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8"/>
    <n v="87054"/>
    <n v="3409729"/>
  </r>
  <r>
    <x v="0"/>
    <x v="3"/>
    <s v="Amicone"/>
    <s v="Juliet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4"/>
    <n v="86201"/>
    <n v="3120478"/>
  </r>
  <r>
    <x v="0"/>
    <x v="3"/>
    <s v="Arias"/>
    <s v="Ivan 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2"/>
    <n v="86212"/>
    <n v="3119977"/>
  </r>
  <r>
    <x v="0"/>
    <x v="3"/>
    <s v="Bernard"/>
    <s v="Mar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78"/>
    <n v="86585"/>
    <n v="3290393"/>
  </r>
  <r>
    <x v="0"/>
    <x v="3"/>
    <s v="Blacut"/>
    <s v="Carolina Concepcion"/>
    <s v="OFF"/>
    <s v="13:00 - 19:00"/>
    <s v="13:00 - 19:00"/>
    <s v="13:00 - 19:00"/>
    <s v="13:00 - 19:00"/>
    <s v="13:00 - 19:00"/>
    <s v="OFF"/>
    <m/>
    <m/>
    <s v="PT"/>
    <n v="0"/>
    <n v="6"/>
    <n v="6"/>
    <n v="6"/>
    <n v="6"/>
    <n v="6"/>
    <n v="0"/>
    <n v="30"/>
    <n v="648379"/>
    <n v="64114"/>
    <n v="433384"/>
  </r>
  <r>
    <x v="0"/>
    <x v="3"/>
    <s v="Chico"/>
    <s v="Jessica Lil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1"/>
    <n v="82194"/>
    <n v="2178609"/>
  </r>
  <r>
    <x v="0"/>
    <x v="3"/>
    <s v="Ferraro"/>
    <s v="David Franco Ramó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2"/>
    <n v="87912"/>
    <n v="3526348"/>
  </r>
  <r>
    <x v="0"/>
    <x v="3"/>
    <s v="Jandar"/>
    <s v="Fabio Nicolá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0"/>
    <n v="83918"/>
    <n v="2657804"/>
  </r>
  <r>
    <x v="0"/>
    <x v="3"/>
    <s v="Jerez"/>
    <s v="María Celest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5"/>
    <n v="81571"/>
    <n v="1988450"/>
  </r>
  <r>
    <x v="0"/>
    <x v="3"/>
    <s v="Juri"/>
    <s v="Aid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6"/>
    <n v="86032"/>
    <n v="3116938"/>
  </r>
  <r>
    <x v="0"/>
    <x v="3"/>
    <s v="Leal Martinez"/>
    <s v="Matias Eman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2"/>
    <n v="80131"/>
    <n v="1567502"/>
  </r>
  <r>
    <x v="0"/>
    <x v="3"/>
    <s v="Mansilla"/>
    <s v="Karen Nicol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4"/>
    <n v="87056"/>
    <n v="3409650"/>
  </r>
  <r>
    <x v="0"/>
    <x v="3"/>
    <s v="Pa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61"/>
    <n v="85995"/>
    <n v="3116792"/>
  </r>
  <r>
    <x v="0"/>
    <x v="3"/>
    <s v="Ruiz"/>
    <s v="Daniel Antoni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3"/>
    <n v="86015"/>
    <n v="2765889"/>
  </r>
  <r>
    <x v="0"/>
    <x v="3"/>
    <s v="Salinas"/>
    <s v="Mariana Josefina"/>
    <s v="OFF"/>
    <s v="15:00 - 19:00"/>
    <s v="15:00 - 19:00"/>
    <s v="15:00 - 19:00"/>
    <s v="15:00 - 19:00"/>
    <s v="15:00 - 19:00"/>
    <s v="OFF"/>
    <m/>
    <m/>
    <s v="PT"/>
    <n v="0"/>
    <n v="4"/>
    <n v="4"/>
    <n v="4"/>
    <n v="4"/>
    <n v="4"/>
    <n v="0"/>
    <n v="20"/>
    <n v="648387"/>
    <n v="83101"/>
    <n v="1441889"/>
  </r>
  <r>
    <x v="0"/>
    <x v="3"/>
    <s v="Santucho"/>
    <s v="María del Rosario"/>
    <s v="OFF"/>
    <s v="LOA"/>
    <s v="LOA"/>
    <s v="LOA"/>
    <s v="LOA"/>
    <s v="LOA"/>
    <s v="OFF"/>
    <m/>
    <s v="LOA 08/06 - mm/dd (Hs Orig  15:00 - 19:00 OFF Dom Sab)"/>
    <s v="PT"/>
    <n v="0"/>
    <n v="0"/>
    <n v="0"/>
    <n v="0"/>
    <n v="0"/>
    <n v="0"/>
    <n v="0"/>
    <n v="0"/>
    <n v="648235"/>
    <n v="85552"/>
    <n v="2855603"/>
  </r>
  <r>
    <x v="0"/>
    <x v="3"/>
    <s v="Villagra"/>
    <s v="Daniela Alejandr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1"/>
    <n v="88038"/>
    <n v="3553114"/>
  </r>
  <r>
    <x v="0"/>
    <x v="4"/>
    <s v="Agüero"/>
    <s v="Maria Mica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5"/>
    <n v="87307"/>
    <n v="3462508"/>
  </r>
  <r>
    <x v="0"/>
    <x v="4"/>
    <s v="Alarcon "/>
    <s v="Yanet Micaela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58"/>
    <n v="88048"/>
    <n v="3553156"/>
  </r>
  <r>
    <x v="0"/>
    <x v="4"/>
    <s v="Blanco Brandan"/>
    <s v="Bianca Abigai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57"/>
    <n v="86290"/>
    <n v="3133275"/>
  </r>
  <r>
    <x v="0"/>
    <x v="4"/>
    <s v="Carrizo"/>
    <s v="Ulises Jo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24"/>
    <n v="83409"/>
    <n v="2466183"/>
  </r>
  <r>
    <x v="0"/>
    <x v="4"/>
    <s v="Escobar"/>
    <s v="Caroli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2"/>
    <n v="86153"/>
    <n v="3118303"/>
  </r>
  <r>
    <x v="0"/>
    <x v="4"/>
    <s v="Garcia Jerez"/>
    <s v="Matias Agustin 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86"/>
    <n v="86334"/>
    <n v="3138482"/>
  </r>
  <r>
    <x v="0"/>
    <x v="4"/>
    <s v="Lafuente"/>
    <s v="Facundo Edel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62"/>
    <n v="88050"/>
    <n v="3553149"/>
  </r>
  <r>
    <x v="0"/>
    <x v="4"/>
    <s v="Lescano"/>
    <s v="Daiana Giss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2"/>
    <n v="88173"/>
    <n v="3624180"/>
  </r>
  <r>
    <x v="0"/>
    <x v="4"/>
    <s v="Lizárraga"/>
    <s v="Lucas Ivá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9"/>
    <n v="87712"/>
    <n v="3526355"/>
  </r>
  <r>
    <x v="0"/>
    <x v="4"/>
    <s v="Ochoa"/>
    <s v="Florencia Be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03"/>
    <n v="85279"/>
    <n v="2804825"/>
  </r>
  <r>
    <x v="0"/>
    <x v="4"/>
    <s v="Pachao Medina"/>
    <s v="Juan Carl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3"/>
    <n v="87301"/>
    <n v="3462491"/>
  </r>
  <r>
    <x v="2"/>
    <x v="5"/>
    <s v="Robles Marquez"/>
    <s v="Emilse Nahir"/>
    <s v="OFF"/>
    <s v="15:00 - 21:00"/>
    <s v="15:00 - 21:00"/>
    <s v="09:00 - 15:00"/>
    <s v="09:00 - 15:00"/>
    <s v="09:00 - 15:00"/>
    <s v="OFF"/>
    <m/>
    <m/>
    <s v="PT"/>
    <n v="0"/>
    <n v="6"/>
    <n v="6"/>
    <n v="6"/>
    <n v="6"/>
    <n v="6"/>
    <n v="0"/>
    <n v="30"/>
    <n v="648351"/>
    <n v="86179"/>
    <n v="3118459"/>
  </r>
  <r>
    <x v="0"/>
    <x v="4"/>
    <s v="Sanchez"/>
    <s v="Juan Jorge Augusto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59"/>
    <n v="88036"/>
    <n v="3553110"/>
  </r>
  <r>
    <x v="0"/>
    <x v="4"/>
    <s v="Vitar"/>
    <s v="Nuria Mari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35"/>
    <n v="86152"/>
    <n v="1154505"/>
  </r>
  <r>
    <x v="0"/>
    <x v="4"/>
    <s v="Yapura"/>
    <s v="Benito Javier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2"/>
    <n v="87048"/>
    <n v="3409593"/>
  </r>
  <r>
    <x v="0"/>
    <x v="6"/>
    <s v="Acosta"/>
    <s v="Ignacio Matias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4"/>
    <n v="87044"/>
    <n v="3409636"/>
  </r>
  <r>
    <x v="0"/>
    <x v="6"/>
    <s v="Albarracin"/>
    <s v="Heber Wilson 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05"/>
    <n v="87052"/>
    <n v="2445607"/>
  </r>
  <r>
    <x v="0"/>
    <x v="6"/>
    <s v="Almaraz"/>
    <s v="Julio Cesar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1"/>
    <n v="88172"/>
    <n v="3624178"/>
  </r>
  <r>
    <x v="0"/>
    <x v="6"/>
    <s v="Antenucci"/>
    <s v="Aldana Belé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73"/>
    <n v="88357"/>
    <n v="3667098"/>
  </r>
  <r>
    <x v="2"/>
    <x v="7"/>
    <s v="Burgos"/>
    <s v="Damaris Nahir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07"/>
    <n v="88168"/>
    <n v="3624164"/>
  </r>
  <r>
    <x v="0"/>
    <x v="6"/>
    <s v="Bustos"/>
    <s v="Cecilia Leono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0"/>
    <n v="85199"/>
    <n v="2792749"/>
  </r>
  <r>
    <x v="0"/>
    <x v="6"/>
    <s v="Ciccarelli"/>
    <s v="Marycel Rocio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8"/>
    <n v="87049"/>
    <n v="1632745"/>
  </r>
  <r>
    <x v="0"/>
    <x v="6"/>
    <s v="De la Rosa"/>
    <s v="Solana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0"/>
    <n v="87061"/>
    <n v="3409646"/>
  </r>
  <r>
    <x v="0"/>
    <x v="6"/>
    <s v="Del Rio"/>
    <s v="Virgini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5"/>
    <n v="88166"/>
    <n v="3624156"/>
  </r>
  <r>
    <x v="2"/>
    <x v="7"/>
    <s v="Galindez"/>
    <s v="Yuliana Lilia Denis"/>
    <s v="OFF"/>
    <s v="09:00 - 14:00"/>
    <s v="09:00 - 14:00"/>
    <s v="09:00 - 14:00"/>
    <s v="09:00 - 14:00"/>
    <s v="09:00 - 14:00"/>
    <s v="OFF"/>
    <m/>
    <s v="Cambio de horario provisorio durante Waha a 09:00 - 14:00 (Hs Orig  15:00 - 20:00 OFF Dom Sab)"/>
    <s v="PT"/>
    <n v="0"/>
    <n v="5.0000000000000009"/>
    <n v="5.0000000000000009"/>
    <n v="5.0000000000000009"/>
    <n v="5.0000000000000009"/>
    <n v="5.0000000000000009"/>
    <n v="0"/>
    <n v="25.000000000000004"/>
    <n v="89212"/>
    <n v="87058"/>
    <n v="2702133"/>
  </r>
  <r>
    <x v="0"/>
    <x v="6"/>
    <s v="Latina"/>
    <s v="Walter Fabian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229"/>
    <n v="82706"/>
    <n v="1506174"/>
  </r>
  <r>
    <x v="0"/>
    <x v="6"/>
    <s v="Monteros"/>
    <s v="Maximiliano Leopold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2"/>
    <n v="88047"/>
    <n v="3553144"/>
  </r>
  <r>
    <x v="0"/>
    <x v="6"/>
    <s v="Nieva del Rio"/>
    <s v="Micaela Ana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16"/>
    <n v="87051"/>
    <n v="3409670"/>
  </r>
  <r>
    <x v="0"/>
    <x v="6"/>
    <s v="Perez Aguirre"/>
    <s v="Luis Alejandro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81"/>
    <n v="88365"/>
    <n v="3667105"/>
  </r>
  <r>
    <x v="0"/>
    <x v="6"/>
    <s v="Roibon Mesias"/>
    <s v="Tomas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33"/>
    <n v="84361"/>
    <n v="2741853"/>
  </r>
  <r>
    <x v="0"/>
    <x v="6"/>
    <s v="Romano"/>
    <s v="Juan Pabl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4"/>
    <n v="87296"/>
    <n v="3462473"/>
  </r>
  <r>
    <x v="0"/>
    <x v="6"/>
    <s v="Romero"/>
    <s v="Romina Ai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5"/>
    <n v="88176"/>
    <n v="3624188"/>
  </r>
  <r>
    <x v="0"/>
    <x v="6"/>
    <s v="Serrano"/>
    <s v="Maria Catalina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89219"/>
    <n v="87059"/>
    <n v="3267967"/>
  </r>
  <r>
    <x v="2"/>
    <x v="7"/>
    <s v="Argañaráz"/>
    <s v="Luc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7"/>
    <n v="85609"/>
    <n v="1584478"/>
  </r>
  <r>
    <x v="2"/>
    <x v="7"/>
    <s v="Arias"/>
    <s v="Daniela Beatriz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5"/>
    <n v="85619"/>
    <n v="2873635"/>
  </r>
  <r>
    <x v="2"/>
    <x v="7"/>
    <s v="Campos"/>
    <s v="Rodrigo Federic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9"/>
    <n v="78561"/>
    <n v="1159887"/>
  </r>
  <r>
    <x v="2"/>
    <x v="7"/>
    <s v="Delgado"/>
    <s v="Jessica Elizabeth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81"/>
    <n v="86326"/>
    <n v="3138477"/>
  </r>
  <r>
    <x v="2"/>
    <x v="7"/>
    <s v="Fernandez"/>
    <s v="Carolina del Valle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4"/>
    <n v="86327"/>
    <n v="3138516"/>
  </r>
  <r>
    <x v="2"/>
    <x v="7"/>
    <s v="Galarce"/>
    <s v="Diego Jos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7"/>
    <n v="76594"/>
    <n v="796797"/>
  </r>
  <r>
    <x v="0"/>
    <x v="2"/>
    <s v="Guzman"/>
    <s v="Nahuel Maximiliano"/>
    <s v="OFF"/>
    <s v="15:00 - 21:00"/>
    <s v="15:00 - 21:00"/>
    <s v="15:00 - 21:00"/>
    <s v="15:00 - 21:00"/>
    <s v="15:00 - 21:00"/>
    <s v="OFF"/>
    <m/>
    <s v="Cambio de horario durante WAHA a 15:00 - 21:00  (Hs Orig  09:00 - 15:00 OFF Dom Sab)"/>
    <s v="PT"/>
    <n v="0"/>
    <n v="6"/>
    <n v="6"/>
    <n v="6"/>
    <n v="6"/>
    <n v="6"/>
    <n v="0"/>
    <n v="30"/>
    <n v="89188"/>
    <n v="86341"/>
    <n v="3138508"/>
  </r>
  <r>
    <x v="2"/>
    <x v="7"/>
    <s v="Lopez"/>
    <s v="Ana Valen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6"/>
    <n v="86147"/>
    <n v="3118280"/>
  </r>
  <r>
    <x v="2"/>
    <x v="7"/>
    <s v="Loto "/>
    <s v="Fernanda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003"/>
    <n v="81254"/>
    <n v="1313201"/>
  </r>
  <r>
    <x v="2"/>
    <x v="7"/>
    <s v="Lun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5"/>
    <n v="82428"/>
    <n v="1581549"/>
  </r>
  <r>
    <x v="2"/>
    <x v="7"/>
    <s v="Mansilla"/>
    <s v="Micael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5"/>
    <n v="83798"/>
    <n v="2593757"/>
  </r>
  <r>
    <x v="2"/>
    <x v="7"/>
    <s v="Martinez"/>
    <s v="Lorena Maca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0"/>
    <n v="85612"/>
    <n v="2445213"/>
  </r>
  <r>
    <x v="2"/>
    <x v="7"/>
    <s v="Morales"/>
    <s v="Lucas Santia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0"/>
    <n v="82330"/>
    <n v="1704898"/>
  </r>
  <r>
    <x v="2"/>
    <x v="7"/>
    <s v="Nuñez"/>
    <s v="Roxana Marc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1"/>
    <n v="71634"/>
    <n v="513017"/>
  </r>
  <r>
    <x v="2"/>
    <x v="7"/>
    <s v="Palavecino"/>
    <s v="Marta Erik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8"/>
    <n v="77400"/>
    <n v="961948"/>
  </r>
  <r>
    <x v="2"/>
    <x v="7"/>
    <s v="Rivadeneira"/>
    <s v="Maira Belén"/>
    <s v="OFF"/>
    <s v="LOA"/>
    <s v="LOA"/>
    <s v="LOA"/>
    <s v="LOA"/>
    <s v="LOA"/>
    <s v="OFF"/>
    <m/>
    <s v="LOA mm/dd - mm/dd"/>
    <s v="PT"/>
    <n v="0"/>
    <n v="0"/>
    <n v="0"/>
    <n v="0"/>
    <n v="0"/>
    <n v="0"/>
    <n v="0"/>
    <n v="0"/>
    <n v="89006"/>
    <n v="83577"/>
    <n v="2523177"/>
  </r>
  <r>
    <x v="2"/>
    <x v="7"/>
    <s v="Rodriguez Ciccio"/>
    <s v="Nicolas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3"/>
    <n v="86339"/>
    <n v="3138527"/>
  </r>
  <r>
    <x v="2"/>
    <x v="7"/>
    <s v="Salas"/>
    <s v="Melina del Carm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2"/>
    <n v="86156"/>
    <n v="3118290"/>
  </r>
  <r>
    <x v="2"/>
    <x v="7"/>
    <s v="Santucho"/>
    <s v="Ramon Eduar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5"/>
    <n v="83852"/>
    <n v="2592591"/>
  </r>
  <r>
    <x v="2"/>
    <x v="7"/>
    <s v="Vargas"/>
    <s v="Ivan Xavier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5"/>
    <n v="86285"/>
    <n v="2831528"/>
  </r>
  <r>
    <x v="2"/>
    <x v="5"/>
    <s v="Alcaraz"/>
    <s v="Maria Gabri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5"/>
    <n v="88157"/>
    <n v="3624105"/>
  </r>
  <r>
    <x v="2"/>
    <x v="5"/>
    <s v="Almada"/>
    <s v="Nancy Alejand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38"/>
    <n v="88032"/>
    <n v="3553100"/>
  </r>
  <r>
    <x v="2"/>
    <x v="8"/>
    <s v="Angulo"/>
    <s v="Luciano Nicolas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7"/>
    <n v="86333"/>
    <n v="3138500"/>
  </r>
  <r>
    <x v="2"/>
    <x v="5"/>
    <s v="Arias"/>
    <s v="Alvaro Rodri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7"/>
    <n v="88158"/>
    <n v="3542988"/>
  </r>
  <r>
    <x v="2"/>
    <x v="5"/>
    <s v="Boff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9"/>
    <n v="85338"/>
    <n v="2811355"/>
  </r>
  <r>
    <x v="2"/>
    <x v="5"/>
    <s v="Cerdeira"/>
    <s v="Rosana Vale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5"/>
    <n v="77345"/>
    <n v="946453"/>
  </r>
  <r>
    <x v="2"/>
    <x v="5"/>
    <s v="Cortes Jozami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0"/>
    <n v="88142"/>
    <n v="3624021"/>
  </r>
  <r>
    <x v="2"/>
    <x v="5"/>
    <s v="Delgado"/>
    <s v="Maria Celest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8"/>
    <n v="88140"/>
    <n v="3623922"/>
  </r>
  <r>
    <x v="2"/>
    <x v="5"/>
    <s v="Dilodovico"/>
    <s v="Mari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6"/>
    <n v="83998"/>
    <n v="2714192"/>
  </r>
  <r>
    <x v="2"/>
    <x v="5"/>
    <s v="Infante Marcello"/>
    <s v="Christian Sebastia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1"/>
    <n v="86282"/>
    <n v="3133234"/>
  </r>
  <r>
    <x v="0"/>
    <x v="6"/>
    <s v="Jorge"/>
    <s v="German Oma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4"/>
    <n v="86148"/>
    <n v="3118297"/>
  </r>
  <r>
    <x v="2"/>
    <x v="5"/>
    <s v="Juarez"/>
    <s v="Patrici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8"/>
    <n v="81801"/>
    <n v="2068786"/>
  </r>
  <r>
    <x v="2"/>
    <x v="5"/>
    <s v="Merlo"/>
    <s v="Rocio Agusti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3"/>
    <n v="88029"/>
    <n v="3553091"/>
  </r>
  <r>
    <x v="2"/>
    <x v="5"/>
    <s v="Moreira"/>
    <s v="Fernando Ez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8"/>
    <n v="88150"/>
    <n v="2837489"/>
  </r>
  <r>
    <x v="2"/>
    <x v="5"/>
    <s v="Rodriguez"/>
    <s v="Maria Florenci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9"/>
    <n v="86281"/>
    <n v="2464942"/>
  </r>
  <r>
    <x v="2"/>
    <x v="5"/>
    <s v="Vidal"/>
    <s v="Maria Elis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2"/>
    <n v="88144"/>
    <n v="3624024"/>
  </r>
  <r>
    <x v="2"/>
    <x v="5"/>
    <s v="Vizcarra"/>
    <s v="Ayelén Magalí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76"/>
    <n v="88360"/>
    <n v="3667100"/>
  </r>
  <r>
    <x v="2"/>
    <x v="9"/>
    <s v="Barros"/>
    <s v="Ju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06"/>
    <n v="85274"/>
    <n v="2804853"/>
  </r>
  <r>
    <x v="2"/>
    <x v="9"/>
    <s v="Bulacio Pereyra"/>
    <s v="Leandro Emiliano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17"/>
    <n v="86142"/>
    <n v="3118266"/>
  </r>
  <r>
    <x v="2"/>
    <x v="9"/>
    <s v="Campo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7"/>
    <n v="83159"/>
    <n v="2426406"/>
  </r>
  <r>
    <x v="2"/>
    <x v="9"/>
    <s v="Delgado"/>
    <s v="Daiana Me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2"/>
    <n v="86332"/>
    <n v="3138445"/>
  </r>
  <r>
    <x v="2"/>
    <x v="9"/>
    <s v="Felipe "/>
    <s v="Erik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8"/>
    <n v="83111"/>
    <n v="2426435"/>
  </r>
  <r>
    <x v="2"/>
    <x v="9"/>
    <s v="Isa Massa "/>
    <s v="Leila Gabri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0"/>
    <n v="78218"/>
    <n v="1167531"/>
  </r>
  <r>
    <x v="2"/>
    <x v="9"/>
    <s v="Jeréz"/>
    <s v="Eliana Del Milag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4"/>
    <n v="65030"/>
    <n v="433692"/>
  </r>
  <r>
    <x v="2"/>
    <x v="9"/>
    <s v="Lopez"/>
    <s v="Ruth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2"/>
    <n v="86292"/>
    <n v="3133281"/>
  </r>
  <r>
    <x v="2"/>
    <x v="9"/>
    <s v="Luna"/>
    <s v="Veronica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7"/>
    <n v="86143"/>
    <n v="3118251"/>
  </r>
  <r>
    <x v="2"/>
    <x v="9"/>
    <s v="Malinar"/>
    <s v="Lo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6"/>
    <n v="82628"/>
    <n v="2313063"/>
  </r>
  <r>
    <x v="2"/>
    <x v="9"/>
    <s v="Molina "/>
    <s v="María Jim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5"/>
    <n v="80059"/>
    <n v="1535349"/>
  </r>
  <r>
    <x v="2"/>
    <x v="9"/>
    <s v="Morales Casen"/>
    <s v="Zaida Yami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0"/>
    <n v="86338"/>
    <n v="3138452"/>
  </r>
  <r>
    <x v="2"/>
    <x v="9"/>
    <s v="Pacheco"/>
    <s v="Milagro Belen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93"/>
    <n v="83709"/>
    <n v="2557023"/>
  </r>
  <r>
    <x v="2"/>
    <x v="9"/>
    <s v="Pavón"/>
    <s v="Marcos Fid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3"/>
    <n v="80925"/>
    <n v="1846621"/>
  </r>
  <r>
    <x v="2"/>
    <x v="9"/>
    <s v="Ponce"/>
    <s v="Lucia Em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0"/>
    <n v="86149"/>
    <n v="1947342"/>
  </r>
  <r>
    <x v="2"/>
    <x v="9"/>
    <s v="Reyna "/>
    <s v="Edith Macare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5"/>
    <n v="85607"/>
    <n v="2873901"/>
  </r>
  <r>
    <x v="2"/>
    <x v="9"/>
    <s v="Serra"/>
    <s v="Tamar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1"/>
    <n v="86280"/>
    <n v="3133230"/>
  </r>
  <r>
    <x v="2"/>
    <x v="9"/>
    <s v="Silva"/>
    <s v="Franco Gabr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2"/>
    <n v="86295"/>
    <n v="3133292"/>
  </r>
  <r>
    <x v="2"/>
    <x v="9"/>
    <s v="Suarez"/>
    <s v="Maria Florenci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34"/>
    <n v="80985"/>
    <n v="1880542"/>
  </r>
  <r>
    <x v="2"/>
    <x v="9"/>
    <s v="Valverde"/>
    <s v="Lourdes Orian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34"/>
    <n v="86146"/>
    <n v="3118276"/>
  </r>
  <r>
    <x v="2"/>
    <x v="8"/>
    <s v="Acosta"/>
    <s v="Joaquin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7"/>
    <n v="88139"/>
    <n v="3623919"/>
  </r>
  <r>
    <x v="2"/>
    <x v="8"/>
    <s v="Alderete"/>
    <s v="Mayra Lucia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2"/>
    <n v="88362"/>
    <n v="3667102"/>
  </r>
  <r>
    <x v="2"/>
    <x v="8"/>
    <s v="Barrionuevo"/>
    <s v="Natali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16"/>
    <n v="86139"/>
    <n v="3118248"/>
  </r>
  <r>
    <x v="2"/>
    <x v="8"/>
    <s v="Barros Fernandez"/>
    <s v="Mari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4"/>
    <n v="88146"/>
    <n v="3624026"/>
  </r>
  <r>
    <x v="2"/>
    <x v="8"/>
    <s v="Bonadelli"/>
    <s v="Angel Fabia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36"/>
    <n v="73450"/>
    <n v="567214"/>
  </r>
  <r>
    <x v="2"/>
    <x v="8"/>
    <s v="Correa"/>
    <s v="David Maximiliano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159"/>
    <n v="86277"/>
    <n v="3133223"/>
  </r>
  <r>
    <x v="2"/>
    <x v="8"/>
    <s v="Guevara"/>
    <s v="Carlos August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0"/>
    <n v="86286"/>
    <n v="3133265"/>
  </r>
  <r>
    <x v="2"/>
    <x v="8"/>
    <s v="Jerez"/>
    <s v="Rodrigo Facundo 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3"/>
    <n v="88363"/>
    <n v="3667103"/>
  </r>
  <r>
    <x v="2"/>
    <x v="8"/>
    <s v="Lazarte"/>
    <s v="Carlos Enriqu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7"/>
    <n v="83366"/>
    <n v="2455222"/>
  </r>
  <r>
    <x v="2"/>
    <x v="8"/>
    <s v="Lopez"/>
    <s v="Franco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4"/>
    <n v="87513"/>
    <n v="3503290"/>
  </r>
  <r>
    <x v="2"/>
    <x v="8"/>
    <s v="Mendez"/>
    <s v="Maria Lau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9"/>
    <n v="88349"/>
    <n v="3667091"/>
  </r>
  <r>
    <x v="2"/>
    <x v="8"/>
    <s v="Moreno"/>
    <s v="Fatima Rocio Belen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8"/>
    <n v="88348"/>
    <n v="3667090"/>
  </r>
  <r>
    <x v="2"/>
    <x v="8"/>
    <s v="Navarro"/>
    <s v="Luciano Gustavo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3"/>
    <n v="86291"/>
    <n v="1823340"/>
  </r>
  <r>
    <x v="2"/>
    <x v="8"/>
    <s v="Perez"/>
    <s v="Maria Jos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25"/>
    <n v="88355"/>
    <n v="3667096"/>
  </r>
  <r>
    <x v="2"/>
    <x v="8"/>
    <s v="Reinoso Cisnero"/>
    <s v="Gaspar"/>
    <s v="OFF"/>
    <s v="09:00 - 15:00"/>
    <s v="09:00 - 15:00"/>
    <s v="SUS"/>
    <s v="09:00 - 15:00"/>
    <s v="09:00 - 15:00"/>
    <s v="OFF"/>
    <m/>
    <s v="SUS 08/19"/>
    <e v="#VALUE!"/>
    <n v="0"/>
    <n v="6"/>
    <n v="6"/>
    <e v="#VALUE!"/>
    <n v="6"/>
    <n v="6"/>
    <n v="0"/>
    <e v="#VALUE!"/>
    <n v="89192"/>
    <n v="86345"/>
    <n v="3138511"/>
  </r>
  <r>
    <x v="2"/>
    <x v="8"/>
    <s v="Rodriguez"/>
    <s v="Alejandr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8"/>
    <n v="87599"/>
    <n v="3525648"/>
  </r>
  <r>
    <x v="2"/>
    <x v="8"/>
    <s v="Rossi"/>
    <s v="Griselda Anal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05"/>
    <n v="83066"/>
    <n v="2426256"/>
  </r>
  <r>
    <x v="2"/>
    <x v="8"/>
    <s v="Rotondo"/>
    <s v="Elian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6"/>
    <n v="85339"/>
    <n v="2811272"/>
  </r>
  <r>
    <x v="2"/>
    <x v="8"/>
    <s v="Soria"/>
    <s v="Agustín Sai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4"/>
    <n v="86340"/>
    <n v="3138455"/>
  </r>
  <r>
    <x v="2"/>
    <x v="8"/>
    <s v="Torres Mariotti"/>
    <s v="Rocio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8"/>
    <n v="84619"/>
    <n v="2745917"/>
  </r>
  <r>
    <x v="2"/>
    <x v="10"/>
    <s v="Carabajal"/>
    <s v="Pau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69"/>
    <n v="88353"/>
    <n v="3667094"/>
  </r>
  <r>
    <x v="2"/>
    <x v="10"/>
    <s v="Concha"/>
    <s v="Maria de las Mercedes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1"/>
    <n v="88027"/>
    <n v="1213197"/>
  </r>
  <r>
    <x v="2"/>
    <x v="10"/>
    <s v="Corbera"/>
    <s v="An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1"/>
    <n v="83571"/>
    <n v="2523179"/>
  </r>
  <r>
    <x v="2"/>
    <x v="10"/>
    <s v="Décima"/>
    <s v="Alej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7"/>
    <n v="88347"/>
    <n v="3123167"/>
  </r>
  <r>
    <x v="2"/>
    <x v="10"/>
    <s v="Del Valle"/>
    <s v="Silvi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7"/>
    <n v="88149"/>
    <n v="3624031"/>
  </r>
  <r>
    <x v="2"/>
    <x v="10"/>
    <s v="Gonzalez"/>
    <s v="Sofia Anahi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6"/>
    <n v="88148"/>
    <n v="3624029"/>
  </r>
  <r>
    <x v="2"/>
    <x v="10"/>
    <s v="Lopez "/>
    <s v="Rosa Marian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0"/>
    <n v="83904"/>
    <n v="2657802"/>
  </r>
  <r>
    <x v="2"/>
    <x v="10"/>
    <s v="Lugones Agüero"/>
    <s v="Alejo Ezequi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2"/>
    <n v="88028"/>
    <n v="3553088"/>
  </r>
  <r>
    <x v="2"/>
    <x v="10"/>
    <s v="Marín"/>
    <s v="Melisa Betsabé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6"/>
    <n v="88138"/>
    <n v="3623917"/>
  </r>
  <r>
    <x v="2"/>
    <x v="10"/>
    <s v="Moreno"/>
    <s v="Damari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1"/>
    <n v="86331"/>
    <n v="3138494"/>
  </r>
  <r>
    <x v="2"/>
    <x v="10"/>
    <s v="Ocaranza"/>
    <s v="Jonathan Franco 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89255"/>
    <n v="88030"/>
    <n v="2852874"/>
  </r>
  <r>
    <x v="2"/>
    <x v="10"/>
    <s v="Sanchez"/>
    <s v="Maria Florenci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0"/>
    <n v="88026"/>
    <n v="3553083"/>
  </r>
  <r>
    <x v="2"/>
    <x v="10"/>
    <s v="Suarez"/>
    <s v="Alicia Veronic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5"/>
    <n v="76572"/>
    <n v="796746"/>
  </r>
  <r>
    <x v="2"/>
    <x v="10"/>
    <s v="Suarez Yapura"/>
    <s v="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5"/>
    <n v="88147"/>
    <n v="3624028"/>
  </r>
  <r>
    <x v="2"/>
    <x v="10"/>
    <s v="Tula"/>
    <s v="Luciana Bele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79"/>
    <n v="88141"/>
    <n v="3623928"/>
  </r>
  <r>
    <x v="2"/>
    <x v="10"/>
    <s v="Visuara"/>
    <s v="Alberto Nicolas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7"/>
    <n v="78142"/>
    <n v="1154719"/>
  </r>
  <r>
    <x v="2"/>
    <x v="10"/>
    <s v="Vizgarra"/>
    <s v="Valentina Er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3"/>
    <n v="88145"/>
    <n v="3624025"/>
  </r>
  <r>
    <x v="2"/>
    <x v="10"/>
    <s v="Zerrizuela"/>
    <s v="Marian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2"/>
    <n v="81902"/>
    <n v="2102074"/>
  </r>
  <r>
    <x v="2"/>
    <x v="10"/>
    <s v="Zottoli"/>
    <s v="Gonzal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3"/>
    <n v="88155"/>
    <n v="3624072"/>
  </r>
  <r>
    <x v="3"/>
    <x v="11"/>
    <s v="Almaraz"/>
    <s v="Leonela María del Vall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221"/>
    <n v="85556"/>
    <n v="2758426"/>
  </r>
  <r>
    <x v="3"/>
    <x v="11"/>
    <s v="Martinez Lorenzo"/>
    <s v="Nayla Ay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0"/>
    <n v="81664"/>
    <n v="2024463"/>
  </r>
  <r>
    <x v="3"/>
    <x v="12"/>
    <s v="Emeterio Toscano"/>
    <s v="Anab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3"/>
    <n v="86343"/>
    <n v="3138530"/>
  </r>
  <r>
    <x v="3"/>
    <x v="12"/>
    <s v="Gonzalez"/>
    <s v="Cristian Daniel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4"/>
    <n v="85804"/>
    <n v="2911897"/>
  </r>
  <r>
    <x v="3"/>
    <x v="12"/>
    <s v="Orellana"/>
    <s v="Maria Cecilia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66"/>
    <n v="87029"/>
    <n v="3405729"/>
  </r>
  <r>
    <x v="3"/>
    <x v="12"/>
    <s v="Roja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4"/>
    <n v="75493"/>
    <n v="717244"/>
  </r>
  <r>
    <x v="3"/>
    <x v="12"/>
    <s v="Teves"/>
    <s v="Emiliano Gabriel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3"/>
    <n v="72480"/>
    <n v="538948"/>
  </r>
  <r>
    <x v="0"/>
    <x v="0"/>
    <s v="Ale"/>
    <s v=" Rocío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2"/>
    <n v="87695"/>
    <n v="3526421"/>
  </r>
  <r>
    <x v="0"/>
    <x v="0"/>
    <s v="Aragón"/>
    <s v="Maria Celeste"/>
    <s v="OFF"/>
    <s v="LOA"/>
    <s v="LOA"/>
    <s v="LOA"/>
    <s v="LOA"/>
    <s v="LOA"/>
    <s v="OFF"/>
    <m/>
    <s v="LOA mm/dd - mm/dd (Hs Orig  15:00 - 21:00 OFF Dom Sab)"/>
    <s v="PT"/>
    <n v="0"/>
    <n v="0"/>
    <n v="0"/>
    <n v="0"/>
    <n v="0"/>
    <n v="0"/>
    <n v="0"/>
    <n v="0"/>
    <n v="648303"/>
    <n v="87688"/>
    <n v="1546296"/>
  </r>
  <r>
    <x v="0"/>
    <x v="0"/>
    <s v="Cejas"/>
    <s v="Ignacio Mar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6"/>
    <n v="87262"/>
    <n v="2837797"/>
  </r>
  <r>
    <x v="0"/>
    <x v="0"/>
    <s v="Quiroga"/>
    <s v=" Marianella Stefan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5"/>
    <n v="87719"/>
    <n v="3526375"/>
  </r>
  <r>
    <x v="0"/>
    <x v="2"/>
    <s v="Pomo"/>
    <s v=" Daniel Nicola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4"/>
    <n v="87699"/>
    <n v="3526445"/>
  </r>
  <r>
    <x v="0"/>
    <x v="2"/>
    <s v="Soto"/>
    <s v="Fatim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6"/>
    <n v="87302"/>
    <n v="3462494"/>
  </r>
  <r>
    <x v="0"/>
    <x v="3"/>
    <s v="Formoselle"/>
    <s v="Ivana Veronic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0"/>
    <n v="87705"/>
    <n v="3526463"/>
  </r>
  <r>
    <x v="0"/>
    <x v="3"/>
    <s v="Giolito"/>
    <s v="Maira Elizabeth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9"/>
    <n v="87297"/>
    <n v="1294127"/>
  </r>
  <r>
    <x v="0"/>
    <x v="3"/>
    <s v="López"/>
    <s v=" Matias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1"/>
    <n v="87722"/>
    <n v="3526400"/>
  </r>
  <r>
    <x v="0"/>
    <x v="3"/>
    <s v="Palavecino"/>
    <s v=" Pablo Maurici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2"/>
    <n v="87701"/>
    <n v="2000078"/>
  </r>
  <r>
    <x v="3"/>
    <x v="1"/>
    <s v="Coronel"/>
    <s v=" José Benjam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7"/>
    <n v="87685"/>
    <n v="3526349"/>
  </r>
  <r>
    <x v="0"/>
    <x v="4"/>
    <s v="Ferroni"/>
    <s v="Carlos Agus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8"/>
    <n v="87882"/>
    <n v="3123170"/>
  </r>
  <r>
    <x v="0"/>
    <x v="4"/>
    <s v="Figueroa"/>
    <s v="Arand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9"/>
    <n v="87715"/>
    <n v="2353705"/>
  </r>
  <r>
    <x v="0"/>
    <x v="4"/>
    <s v="Quiroga Castro"/>
    <s v="Franco Nicolas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17"/>
    <n v="87050"/>
    <n v="3409733"/>
  </r>
  <r>
    <x v="3"/>
    <x v="13"/>
    <s v="Ale"/>
    <s v="Micael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2"/>
    <n v="88154"/>
    <n v="3624040"/>
  </r>
  <r>
    <x v="3"/>
    <x v="13"/>
    <s v="Avellaneda"/>
    <s v="Nicolás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0"/>
    <n v="87868"/>
    <n v="1831428"/>
  </r>
  <r>
    <x v="3"/>
    <x v="13"/>
    <s v="Courel"/>
    <s v="Axel Nah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8"/>
    <n v="76309"/>
    <n v="765954"/>
  </r>
  <r>
    <x v="3"/>
    <x v="13"/>
    <s v="Gamero Albornoz"/>
    <s v="Romina"/>
    <s v="OFF"/>
    <s v="09:00 - 15:00"/>
    <s v="09:00 - 15:00"/>
    <s v="09:00 - 15:00"/>
    <s v="09:00 - 15:00"/>
    <s v="09:00 - 15:00"/>
    <s v="OFF"/>
    <m/>
    <s v="Back from VAC 0802 - 08/16 (Hs Orig  09:00 - 15:00 OFF Dom Sab)"/>
    <s v="PT"/>
    <n v="0"/>
    <n v="6"/>
    <n v="6"/>
    <n v="6"/>
    <n v="6"/>
    <n v="6"/>
    <n v="0"/>
    <n v="30"/>
    <n v="648291"/>
    <n v="64167"/>
    <n v="433490"/>
  </r>
  <r>
    <x v="3"/>
    <x v="13"/>
    <s v="Gomez Toledo"/>
    <s v="Marianela Lujan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75"/>
    <n v="76198"/>
    <n v="765944"/>
  </r>
  <r>
    <x v="3"/>
    <x v="13"/>
    <s v="Juarez"/>
    <s v="Luciano Mati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2"/>
    <n v="71798"/>
    <n v="516965"/>
  </r>
  <r>
    <x v="3"/>
    <x v="13"/>
    <s v="Juarez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3"/>
    <n v="80050"/>
    <n v="1535101"/>
  </r>
  <r>
    <x v="3"/>
    <x v="13"/>
    <s v="Mariani"/>
    <s v="Mari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91"/>
    <n v="81639"/>
    <n v="2024635"/>
  </r>
  <r>
    <x v="3"/>
    <x v="13"/>
    <s v="Mendez"/>
    <s v="Leandro D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5"/>
    <n v="87670"/>
    <n v="3525831"/>
  </r>
  <r>
    <x v="3"/>
    <x v="13"/>
    <s v="Monges"/>
    <s v="Elina Teres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6"/>
    <n v="60260"/>
    <n v="433236"/>
  </r>
  <r>
    <x v="3"/>
    <x v="13"/>
    <s v="Olivera"/>
    <s v="Irene Mar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9"/>
    <n v="75641"/>
    <n v="730819"/>
  </r>
  <r>
    <x v="3"/>
    <x v="13"/>
    <s v="Porello"/>
    <s v="Maria Belé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7"/>
    <n v="87883"/>
    <n v="3534209"/>
  </r>
  <r>
    <x v="3"/>
    <x v="13"/>
    <s v="Ricci"/>
    <s v="Rocio del Valle"/>
    <s v="OFF"/>
    <s v="Approved OFF"/>
    <s v="Approved OFF"/>
    <s v="Approved OFF"/>
    <s v="Approved OFF"/>
    <s v="Approved OFF"/>
    <s v="OFF"/>
    <m/>
    <s v="CAPA CSV1 a CSV2 08/10 - 08/31 (activo 09/01)(Hs Orig  09:00 - 14:00 OFF Dom Sab)"/>
    <s v="PT"/>
    <n v="0"/>
    <n v="0"/>
    <n v="0"/>
    <n v="0"/>
    <n v="0"/>
    <n v="0"/>
    <n v="0"/>
    <n v="0"/>
    <n v="648039"/>
    <n v="88033"/>
    <n v="3553104"/>
  </r>
  <r>
    <x v="3"/>
    <x v="13"/>
    <s v="Sosa"/>
    <s v="Maria Lu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9"/>
    <n v="87895"/>
    <n v="3534360"/>
  </r>
  <r>
    <x v="3"/>
    <x v="13"/>
    <s v="Uncos"/>
    <s v="Cristi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0"/>
    <n v="87867"/>
    <n v="3534207"/>
  </r>
  <r>
    <x v="3"/>
    <x v="13"/>
    <s v="Villa"/>
    <s v="Luciana Pamela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648040"/>
    <n v="88034"/>
    <n v="3553109"/>
  </r>
  <r>
    <x v="3"/>
    <x v="13"/>
    <s v="Zamorano Ortiz"/>
    <s v="Gabriel Marti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1"/>
    <n v="87891"/>
    <n v="3522061"/>
  </r>
  <r>
    <x v="3"/>
    <x v="11"/>
    <s v="Agüero"/>
    <s v="Fatima Noemi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220"/>
    <n v="80879"/>
    <n v="1833170"/>
  </r>
  <r>
    <x v="3"/>
    <x v="11"/>
    <s v="Aguero Peralta"/>
    <s v="Edith Alejandra Mab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41"/>
    <n v="88035"/>
    <n v="3553153"/>
  </r>
  <r>
    <x v="3"/>
    <x v="11"/>
    <s v="Castillo"/>
    <s v="An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7"/>
    <n v="84602"/>
    <n v="2744900"/>
  </r>
  <r>
    <x v="3"/>
    <x v="11"/>
    <s v="Ezquer Texeira"/>
    <s v="Mariana del Ros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0"/>
    <n v="83317"/>
    <n v="2445631"/>
  </r>
  <r>
    <x v="3"/>
    <x v="11"/>
    <s v="Garcia"/>
    <s v="Francisco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6"/>
    <n v="86048"/>
    <n v="3124769"/>
  </r>
  <r>
    <x v="3"/>
    <x v="11"/>
    <s v="Gomez"/>
    <s v="Silvana Elizabeth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58"/>
    <n v="80032"/>
    <n v="1534867"/>
  </r>
  <r>
    <x v="3"/>
    <x v="11"/>
    <s v="Mereles Zerda"/>
    <s v="Ana Caro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4"/>
    <n v="85181"/>
    <n v="2360478"/>
  </r>
  <r>
    <x v="3"/>
    <x v="11"/>
    <s v="Pacheco"/>
    <s v="Miguel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8"/>
    <n v="85610"/>
    <n v="2873906"/>
  </r>
  <r>
    <x v="3"/>
    <x v="11"/>
    <s v="Parraga"/>
    <s v="Guillerm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6"/>
    <n v="68100"/>
    <n v="500872"/>
  </r>
  <r>
    <x v="3"/>
    <x v="11"/>
    <s v="Ramirez Zorrilla"/>
    <s v="Maria Fernand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2"/>
    <n v="70186"/>
    <n v="487637"/>
  </r>
  <r>
    <x v="3"/>
    <x v="11"/>
    <s v="Rivas"/>
    <s v="Yanin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0"/>
    <n v="81211"/>
    <n v="1915088"/>
  </r>
  <r>
    <x v="3"/>
    <x v="11"/>
    <s v="Sanchez"/>
    <s v="Maria Victor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9"/>
    <n v="88151"/>
    <n v="1690062"/>
  </r>
  <r>
    <x v="3"/>
    <x v="11"/>
    <s v="Sanchez"/>
    <s v="Rita Victo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3"/>
    <n v="84600"/>
    <n v="1601683"/>
  </r>
  <r>
    <x v="3"/>
    <x v="11"/>
    <s v="Sanna"/>
    <s v="Luis Fernan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7"/>
    <n v="59401"/>
    <n v="432923"/>
  </r>
  <r>
    <x v="3"/>
    <x v="11"/>
    <s v="Soria Juarez"/>
    <s v="Eugeni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3"/>
    <n v="83489"/>
    <n v="2490376"/>
  </r>
  <r>
    <x v="3"/>
    <x v="11"/>
    <s v="Teseyra"/>
    <s v="Mari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1"/>
    <n v="80860"/>
    <n v="1817065"/>
  </r>
  <r>
    <x v="3"/>
    <x v="11"/>
    <s v="Vizcarra"/>
    <s v="Katerin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2"/>
    <n v="81847"/>
    <n v="2076324"/>
  </r>
  <r>
    <x v="0"/>
    <x v="6"/>
    <s v="Caro"/>
    <s v="Carolina Analia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0"/>
    <n v="79759"/>
    <n v="1466034"/>
  </r>
  <r>
    <x v="0"/>
    <x v="6"/>
    <s v="Ríos Yeser"/>
    <s v=" Marí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6"/>
    <n v="87724"/>
    <n v="3526407"/>
  </r>
  <r>
    <x v="3"/>
    <x v="14"/>
    <s v="Antoni"/>
    <s v="Pablo Sebastian"/>
    <s v="OFF"/>
    <s v="13:00 - 18:00"/>
    <s v="13:00 - 18:00"/>
    <s v="13:00 - 18:00"/>
    <s v="13:00 - 18:00"/>
    <s v="OFF"/>
    <s v="OFF"/>
    <m/>
    <m/>
    <s v="PT"/>
    <n v="0"/>
    <n v="5.0000000000000009"/>
    <n v="5.0000000000000009"/>
    <n v="5.0000000000000009"/>
    <n v="5.0000000000000009"/>
    <n v="0"/>
    <n v="0"/>
    <n v="20.000000000000004"/>
    <n v="648222"/>
    <n v="84367"/>
    <n v="2741462"/>
  </r>
  <r>
    <x v="3"/>
    <x v="14"/>
    <s v="Avellaneda"/>
    <s v="Juan Jose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8"/>
    <n v="88169"/>
    <n v="3624172"/>
  </r>
  <r>
    <x v="3"/>
    <x v="14"/>
    <s v="Bazan"/>
    <s v="Melina Soleda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45"/>
    <n v="88043"/>
    <n v="3553124"/>
  </r>
  <r>
    <x v="3"/>
    <x v="14"/>
    <s v="Bravo"/>
    <s v="Agustin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2"/>
    <n v="82973"/>
    <n v="2397193"/>
  </r>
  <r>
    <x v="3"/>
    <x v="14"/>
    <s v="Caamaño"/>
    <s v="Emmanuel Davi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64"/>
    <n v="88039"/>
    <n v="3553117"/>
  </r>
  <r>
    <x v="3"/>
    <x v="14"/>
    <s v="Cáceres"/>
    <s v="Jose Maxim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0"/>
    <n v="84980"/>
    <n v="2783370"/>
  </r>
  <r>
    <x v="3"/>
    <x v="14"/>
    <s v="Carmona"/>
    <s v="Camil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3"/>
    <n v="88164"/>
    <n v="3624151"/>
  </r>
  <r>
    <x v="3"/>
    <x v="14"/>
    <s v="Dominguez"/>
    <s v="Julian Ernest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7"/>
    <n v="88361"/>
    <n v="3667101"/>
  </r>
  <r>
    <x v="3"/>
    <x v="14"/>
    <s v="Fernandez"/>
    <s v="Luciana Anahi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3"/>
    <n v="69253"/>
    <n v="464833"/>
  </r>
  <r>
    <x v="3"/>
    <x v="14"/>
    <s v="Gomez"/>
    <s v="Maria Emi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0"/>
    <n v="87309"/>
    <n v="3462510"/>
  </r>
  <r>
    <x v="3"/>
    <x v="14"/>
    <s v="Gonzalez"/>
    <s v="Elizabeth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99"/>
    <n v="88160"/>
    <n v="2538332"/>
  </r>
  <r>
    <x v="3"/>
    <x v="14"/>
    <s v="Gonzále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5"/>
    <n v="88359"/>
    <n v="3646861"/>
  </r>
  <r>
    <x v="3"/>
    <x v="14"/>
    <s v="Guerra"/>
    <s v="Héctor Gonzalo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27"/>
    <n v="84358"/>
    <n v="2741865"/>
  </r>
  <r>
    <x v="3"/>
    <x v="14"/>
    <s v="Juarez Fernandez"/>
    <s v="Juan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8"/>
    <n v="84641"/>
    <n v="2746225"/>
  </r>
  <r>
    <x v="3"/>
    <x v="14"/>
    <s v="Moya"/>
    <s v="Nadia Florencia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39"/>
    <n v="79828"/>
    <n v="1496443"/>
  </r>
  <r>
    <x v="3"/>
    <x v="14"/>
    <s v="Perez Flores"/>
    <s v="Leandr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3"/>
    <n v="87884"/>
    <n v="3102002"/>
  </r>
  <r>
    <x v="3"/>
    <x v="14"/>
    <s v="Prado"/>
    <s v="Mari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7"/>
    <n v="86287"/>
    <n v="3133268"/>
  </r>
  <r>
    <x v="3"/>
    <x v="14"/>
    <s v="Sevilla"/>
    <s v="Lourdes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34"/>
    <n v="88364"/>
    <n v="3667104"/>
  </r>
  <r>
    <x v="3"/>
    <x v="1"/>
    <s v="Torres"/>
    <s v="Maria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7"/>
    <n v="87259"/>
    <n v="3448408"/>
  </r>
  <r>
    <x v="3"/>
    <x v="14"/>
    <s v="Valenzuela"/>
    <s v="Gonzalo Ren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1"/>
    <n v="87055"/>
    <n v="3409601"/>
  </r>
  <r>
    <x v="3"/>
    <x v="1"/>
    <s v="Acosta"/>
    <s v="Gaston Exequiel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4"/>
    <n v="88049"/>
    <n v="3553148"/>
  </r>
  <r>
    <x v="3"/>
    <x v="1"/>
    <s v="Alvarez"/>
    <s v="Alejandra Liliana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4"/>
    <n v="87317"/>
    <n v="3462526"/>
  </r>
  <r>
    <x v="3"/>
    <x v="1"/>
    <s v="Alvarez"/>
    <s v="Lucas Gabriel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36"/>
    <n v="88040"/>
    <n v="1664812"/>
  </r>
  <r>
    <x v="3"/>
    <x v="1"/>
    <s v="Artaza"/>
    <s v=" Milagro Ileana Mari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4"/>
    <n v="87686"/>
    <n v="3526354"/>
  </r>
  <r>
    <x v="3"/>
    <x v="1"/>
    <s v="Caballero"/>
    <s v="Matia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22"/>
    <n v="85620"/>
    <n v="2873657"/>
  </r>
  <r>
    <x v="3"/>
    <x v="1"/>
    <s v="Castro del Sastre"/>
    <s v="Camila Belén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8"/>
    <n v="88358"/>
    <n v="3667099"/>
  </r>
  <r>
    <x v="3"/>
    <x v="1"/>
    <s v="Cipolla "/>
    <s v="Naim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07"/>
    <n v="83376"/>
    <n v="2453507"/>
  </r>
  <r>
    <x v="3"/>
    <x v="1"/>
    <s v="Correa"/>
    <s v="Ana Gabriel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9"/>
    <n v="87053"/>
    <n v="3409633"/>
  </r>
  <r>
    <x v="3"/>
    <x v="1"/>
    <s v="Delgado"/>
    <s v="Alejandra Noemi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0"/>
    <n v="88161"/>
    <n v="3624113"/>
  </r>
  <r>
    <x v="3"/>
    <x v="1"/>
    <s v="Delgado"/>
    <s v="Solana Abigai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8"/>
    <n v="87299"/>
    <n v="3295607"/>
  </r>
  <r>
    <x v="3"/>
    <x v="1"/>
    <s v="Gómez"/>
    <s v="Joná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87"/>
    <n v="86336"/>
    <n v="3138449"/>
  </r>
  <r>
    <x v="3"/>
    <x v="1"/>
    <s v="Ocampo"/>
    <s v="Franco Vicente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6"/>
    <n v="88356"/>
    <n v="3667097"/>
  </r>
  <r>
    <x v="3"/>
    <x v="1"/>
    <s v="Pavone"/>
    <s v="David Eman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01"/>
    <n v="83362"/>
    <n v="2178550"/>
  </r>
  <r>
    <x v="3"/>
    <x v="1"/>
    <s v="Ruiz"/>
    <s v="Jimena Alejandr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1"/>
    <n v="87313"/>
    <n v="2001850"/>
  </r>
  <r>
    <x v="3"/>
    <x v="12"/>
    <s v="Alcorta"/>
    <s v="Carla Andre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23"/>
    <n v="87320"/>
    <n v="3462531"/>
  </r>
  <r>
    <x v="3"/>
    <x v="12"/>
    <s v="Blac Sleiman"/>
    <s v="David Exequiel"/>
    <s v="OFF"/>
    <s v="10:00 - 15:00"/>
    <s v="10:00 - 15:00"/>
    <s v="10:00 - 15:00"/>
    <s v="10:00 - 15:00"/>
    <s v="OFF"/>
    <s v="OFF"/>
    <m/>
    <m/>
    <s v="PT"/>
    <n v="0"/>
    <n v="5"/>
    <n v="5"/>
    <n v="5"/>
    <n v="5"/>
    <n v="0"/>
    <n v="0"/>
    <n v="20"/>
    <n v="89023"/>
    <n v="85615"/>
    <n v="2646185"/>
  </r>
  <r>
    <x v="3"/>
    <x v="12"/>
    <s v="Carrasco Paiva"/>
    <s v="Jhonny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6"/>
    <n v="88346"/>
    <n v="3667089"/>
  </r>
  <r>
    <x v="3"/>
    <x v="12"/>
    <s v="Casella Lorca"/>
    <s v="Gianfranc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321"/>
    <n v="88351"/>
    <n v="3123376"/>
  </r>
  <r>
    <x v="3"/>
    <x v="12"/>
    <s v="Castro"/>
    <s v="Diego Nicolas 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26"/>
    <n v="87319"/>
    <n v="3462528"/>
  </r>
  <r>
    <x v="3"/>
    <x v="12"/>
    <s v="Cuello"/>
    <s v="Paula Mar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1"/>
    <n v="88153"/>
    <n v="3624035"/>
  </r>
  <r>
    <x v="3"/>
    <x v="12"/>
    <s v="Fernandez Lafuente"/>
    <s v="Elia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3"/>
    <n v="86151"/>
    <n v="3118301"/>
  </r>
  <r>
    <x v="3"/>
    <x v="12"/>
    <s v="Guerra"/>
    <s v="Carlos Marti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648067"/>
    <n v="88350"/>
    <n v="3667092"/>
  </r>
  <r>
    <x v="3"/>
    <x v="12"/>
    <s v="Medina"/>
    <s v="Olg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1"/>
    <n v="81663"/>
    <n v="2025854"/>
  </r>
  <r>
    <x v="3"/>
    <x v="12"/>
    <s v="Navarro"/>
    <s v="Florencia Yudi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9"/>
    <n v="86144"/>
    <n v="3118271"/>
  </r>
  <r>
    <x v="3"/>
    <x v="12"/>
    <s v="Palavecino"/>
    <s v="Maria Lau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s v="89322 "/>
    <n v="88352"/>
    <n v="3667093"/>
  </r>
  <r>
    <x v="3"/>
    <x v="12"/>
    <s v="Parrado Quiroga"/>
    <s v="Gimena Mariso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5"/>
    <n v="86283"/>
    <n v="3133256"/>
  </r>
  <r>
    <x v="3"/>
    <x v="12"/>
    <s v="Salas"/>
    <s v="Romina Merced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1"/>
    <n v="88143"/>
    <n v="3624022"/>
  </r>
  <r>
    <x v="3"/>
    <x v="12"/>
    <s v="Sánchez"/>
    <s v="Pedro Alejand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4"/>
    <n v="80591"/>
    <n v="1676298"/>
  </r>
  <r>
    <x v="3"/>
    <x v="12"/>
    <s v="Soto"/>
    <s v="Eric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6"/>
    <n v="84355"/>
    <n v="2741813"/>
  </r>
  <r>
    <x v="3"/>
    <x v="12"/>
    <s v="Trionfini"/>
    <s v="Monic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4"/>
    <n v="86284"/>
    <n v="1412049"/>
  </r>
  <r>
    <x v="2"/>
    <x v="15"/>
    <s v="Ballesteros"/>
    <s v="Gabriel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771"/>
  </r>
  <r>
    <x v="2"/>
    <x v="15"/>
    <s v="Figueroa"/>
    <s v="Paula Cri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37"/>
  </r>
  <r>
    <x v="2"/>
    <x v="15"/>
    <s v="Pacheco"/>
    <s v="Florenci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0"/>
  </r>
  <r>
    <x v="2"/>
    <x v="15"/>
    <s v="Aramayo"/>
    <s v="Fihama Loreley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7"/>
  </r>
  <r>
    <x v="2"/>
    <x v="15"/>
    <s v="Rayó"/>
    <s v="Rodrigo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65"/>
  </r>
  <r>
    <x v="0"/>
    <x v="16"/>
    <s v="Mercado"/>
    <s v="Mikaela Sabr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1"/>
  </r>
  <r>
    <x v="0"/>
    <x v="16"/>
    <s v="Terriaca Lemme"/>
    <s v="Flavia Sola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7"/>
  </r>
  <r>
    <x v="0"/>
    <x v="16"/>
    <s v="Ucciardello"/>
    <s v="Luciana Daniz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38"/>
  </r>
  <r>
    <x v="0"/>
    <x v="16"/>
    <s v="Dilascio"/>
    <s v="Miguel Ang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1"/>
  </r>
  <r>
    <x v="0"/>
    <x v="16"/>
    <s v="Rodríguez"/>
    <s v="Brend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6"/>
  </r>
  <r>
    <x v="0"/>
    <x v="16"/>
    <s v="Montaldo"/>
    <s v="Sol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51"/>
  </r>
  <r>
    <x v="0"/>
    <x v="16"/>
    <s v="Yanelli"/>
    <s v="Aníbal Hector Francisc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68"/>
  </r>
  <r>
    <x v="0"/>
    <x v="16"/>
    <s v="Pascual"/>
    <s v="Silvio Dan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612"/>
  </r>
  <r>
    <x v="0"/>
    <x v="16"/>
    <s v="Contreras"/>
    <s v="Fernando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2"/>
  </r>
  <r>
    <x v="0"/>
    <x v="16"/>
    <s v="Navarro"/>
    <s v="Luciana Antonel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5"/>
  </r>
  <r>
    <x v="0"/>
    <x v="16"/>
    <s v="Albornoz"/>
    <s v="Lucian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436665"/>
  </r>
  <r>
    <x v="2"/>
    <x v="15"/>
    <s v="Asen Ruiz"/>
    <s v="Mirta Anahí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6"/>
  </r>
  <r>
    <x v="0"/>
    <x v="16"/>
    <s v="Avellaneda"/>
    <s v="Rocío Ma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320633"/>
  </r>
  <r>
    <x v="0"/>
    <x v="16"/>
    <s v="Baez Silberstein"/>
    <s v="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1"/>
  </r>
  <r>
    <x v="0"/>
    <x v="16"/>
    <s v="Coria"/>
    <s v="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9"/>
  </r>
  <r>
    <x v="2"/>
    <x v="15"/>
    <s v="Flores"/>
    <s v="An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1"/>
  </r>
  <r>
    <x v="0"/>
    <x v="17"/>
    <s v="Garcia Bulacio"/>
    <s v="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4"/>
  </r>
  <r>
    <x v="0"/>
    <x v="17"/>
    <s v="Gomez"/>
    <s v="Lourdes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5"/>
  </r>
  <r>
    <x v="0"/>
    <x v="17"/>
    <s v="Gonzalez Conidares"/>
    <s v="Enzo Mic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8"/>
  </r>
  <r>
    <x v="0"/>
    <x v="17"/>
    <s v="González Jiménez"/>
    <s v="Jorge Ivá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8"/>
  </r>
  <r>
    <x v="2"/>
    <x v="15"/>
    <s v="Guitiérrez"/>
    <s v="Emmanuel Maximil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8"/>
  </r>
  <r>
    <x v="0"/>
    <x v="17"/>
    <s v="Ibañez"/>
    <s v="Jeremias Rau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1308377"/>
  </r>
  <r>
    <x v="2"/>
    <x v="15"/>
    <s v="Lazarte"/>
    <s v="María In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929044"/>
  </r>
  <r>
    <x v="0"/>
    <x v="17"/>
    <s v="Ledesma"/>
    <s v="Mari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9"/>
  </r>
  <r>
    <x v="0"/>
    <x v="17"/>
    <s v="Lobo"/>
    <s v="Mig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3"/>
  </r>
  <r>
    <x v="3"/>
    <x v="18"/>
    <s v="Lucero"/>
    <s v="Noe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71"/>
  </r>
  <r>
    <x v="0"/>
    <x v="17"/>
    <s v="Martinez"/>
    <s v="Yahir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36"/>
  </r>
  <r>
    <x v="0"/>
    <x v="17"/>
    <s v="Martinez Iturbe"/>
    <s v="Santiago Isaac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4"/>
  </r>
  <r>
    <x v="3"/>
    <x v="18"/>
    <s v="Medina"/>
    <s v="Mari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525070"/>
  </r>
  <r>
    <x v="3"/>
    <x v="18"/>
    <s v="Mendoza"/>
    <s v="Rocío Cami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528515"/>
  </r>
  <r>
    <x v="0"/>
    <x v="17"/>
    <s v="Montenegro Mansilla"/>
    <s v="Milagr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6"/>
  </r>
  <r>
    <x v="3"/>
    <x v="18"/>
    <s v="Peñaloza"/>
    <s v="Marí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87330"/>
  </r>
  <r>
    <x v="0"/>
    <x v="17"/>
    <s v="Pons Amún"/>
    <s v="Solan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7"/>
  </r>
  <r>
    <x v="3"/>
    <x v="18"/>
    <s v="Ribotis"/>
    <s v="Juliet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8"/>
  </r>
  <r>
    <x v="3"/>
    <x v="18"/>
    <s v="Risso"/>
    <s v="Florencia Maris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3"/>
  </r>
  <r>
    <x v="3"/>
    <x v="18"/>
    <s v="Romero"/>
    <s v="Florecia Raq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9"/>
  </r>
  <r>
    <x v="0"/>
    <x v="17"/>
    <s v="Saavedra"/>
    <s v="Virginia Vale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1"/>
  </r>
  <r>
    <x v="0"/>
    <x v="17"/>
    <s v="Sánchez"/>
    <s v="Victor Orland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5"/>
  </r>
  <r>
    <x v="3"/>
    <x v="18"/>
    <s v="Santucho"/>
    <s v="Marí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2419193"/>
  </r>
  <r>
    <x v="3"/>
    <x v="18"/>
    <s v="Villalba"/>
    <s v="Rocío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19960"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32">
  <r>
    <x v="0"/>
    <x v="0"/>
    <s v=" Bautista Boloña"/>
    <s v="Luciana Florenci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6"/>
    <n v="87043"/>
    <n v="3409624"/>
    <s v="CSV2"/>
    <s v="CSV1 / CSV2"/>
    <n v="84825"/>
    <n v="74054"/>
    <s v="bautistabolona.5"/>
    <s v="VCTLUBAU "/>
    <d v="2020-03-26T00:00:00"/>
    <s v="381-155811017"/>
    <n v="35517416"/>
    <n v="27355174161"/>
    <d v="2019-07-22T00:00:00"/>
    <d v="2019-07-23T00:00:00"/>
    <d v="2019-08-01T00:00:00"/>
    <n v="390"/>
    <s v="Campus Casino"/>
  </r>
  <r>
    <x v="0"/>
    <x v="0"/>
    <s v="Albornoz Perez"/>
    <s v="Jose Ezequiel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0"/>
    <n v="88037"/>
    <n v="3553112"/>
    <s v="DVH"/>
    <s v="CSV1"/>
    <n v="84825"/>
    <n v="74054"/>
    <s v="albornozperez.5"/>
    <s v="VCTJOALB"/>
    <d v="2020-04-22T00:00:00"/>
    <s v="03814655139"/>
    <n v="39972625"/>
    <s v="20-39972625-6"/>
    <d v="2020-04-21T00:00:00"/>
    <d v="2020-04-21T00:00:00"/>
    <d v="2020-04-22T00:00:00"/>
    <n v="121"/>
    <s v="Campus Casino"/>
  </r>
  <r>
    <x v="0"/>
    <x v="0"/>
    <s v="Brito"/>
    <s v="Jesus Exequi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69"/>
    <n v="82613"/>
    <n v="2313015"/>
    <s v="CSV2"/>
    <s v="CSV2"/>
    <n v="84825"/>
    <n v="74054"/>
    <s v="brito.272"/>
    <s v="VCTJEBRI"/>
    <d v="2020-03-27T00:00:00"/>
    <s v="03865-15419891"/>
    <n v="37311054"/>
    <n v="20373110540"/>
    <d v="2016-11-14T00:00:00"/>
    <d v="2018-09-26T00:00:00"/>
    <d v="2018-10-30T00:00:00"/>
    <n v="1358"/>
    <s v="Campus Casino"/>
  </r>
  <r>
    <x v="0"/>
    <x v="0"/>
    <s v="Carabajal"/>
    <s v="Priscila Da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8"/>
    <n v="86145"/>
    <n v="2358095"/>
    <s v="CSV3"/>
    <s v="CSV2 / CSV3"/>
    <n v="84825"/>
    <n v="74054"/>
    <s v="carabajal.35 "/>
    <s v="VCTPRCAR "/>
    <d v="2020-03-27T00:00:00"/>
    <s v="381-153508762 "/>
    <n v="39141166"/>
    <n v="27391411668"/>
    <d v="2018-12-03T00:00:00"/>
    <d v="2018-12-03T00:00:00"/>
    <d v="2018-12-14T00:00:00"/>
    <n v="619"/>
    <s v="Campus Casino"/>
  </r>
  <r>
    <x v="0"/>
    <x v="0"/>
    <s v="Casares"/>
    <s v="Diego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1"/>
    <n v="81099"/>
    <n v="1880623"/>
    <s v="VIP"/>
    <s v="CSV2/HD / CSV3 / VIP"/>
    <n v="84825"/>
    <n v="74054"/>
    <s v="casares.15 "/>
    <s v="VCTDICAS"/>
    <d v="2020-03-26T00:00:00"/>
    <s v="0381-154629051"/>
    <n v="37656704"/>
    <n v="20376567045"/>
    <d v="2015-11-02T00:00:00"/>
    <d v="2018-08-15T00:00:00"/>
    <d v="2018-08-16T00:00:00"/>
    <n v="1730"/>
    <s v="Campus Casino"/>
  </r>
  <r>
    <x v="0"/>
    <x v="0"/>
    <s v="Cisneros"/>
    <s v="Roxan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7"/>
    <n v="87304"/>
    <n v="3462502"/>
    <s v="Servicios web"/>
    <s v="CSV1"/>
    <n v="84825"/>
    <n v="74054"/>
    <s v="cisneros.153"/>
    <s v="VCTROCIS"/>
    <d v="2020-03-25T00:00:00"/>
    <n v="3815811118"/>
    <n v="30759743"/>
    <n v="27307597433"/>
    <d v="2019-08-26T00:00:00"/>
    <d v="2019-08-26T00:00:00"/>
    <d v="2019-09-05T00:00:00"/>
    <n v="356"/>
    <s v="Campus Casino"/>
  </r>
  <r>
    <x v="0"/>
    <x v="0"/>
    <s v="Corbera"/>
    <s v="Elena Beatriz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7"/>
    <n v="87314"/>
    <n v="3462518"/>
    <s v="CSV2"/>
    <s v="CSV1 / CSV2"/>
    <n v="84825"/>
    <n v="74054"/>
    <s v="corbera.8"/>
    <s v="VCTELCOR"/>
    <d v="2020-03-26T00:00:00"/>
    <n v="3816363464"/>
    <n v="32200145"/>
    <n v="27322001458"/>
    <d v="2019-08-26T00:00:00"/>
    <d v="2019-08-26T00:00:00"/>
    <d v="2019-09-05T00:00:00"/>
    <n v="356"/>
    <s v="Campus Casino"/>
  </r>
  <r>
    <x v="1"/>
    <x v="1"/>
    <s v="Diaz"/>
    <s v="Fernando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4"/>
    <n v="85332"/>
    <n v="2811367"/>
    <s v="CSV2"/>
    <s v="CSV2"/>
    <e v="#N/A"/>
    <n v="59438"/>
    <s v="diaz.1260"/>
    <s v="VCTFEDIA"/>
    <d v="2020-07-21T00:00:00"/>
    <s v="0381-156713498"/>
    <n v="36585224"/>
    <n v="20365852244"/>
    <d v="2018-03-12T00:00:00"/>
    <d v="2018-08-15T00:00:00"/>
    <d v="2018-08-16T00:00:00"/>
    <n v="880"/>
    <s v="Campus Casino"/>
  </r>
  <r>
    <x v="0"/>
    <x v="0"/>
    <s v="Escobar"/>
    <s v="Marco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21"/>
    <n v="86155"/>
    <n v="2783079"/>
    <s v="CSV2"/>
    <s v="CSV1 / CSV2"/>
    <n v="84825"/>
    <n v="74054"/>
    <s v="escobar.21 "/>
    <s v="VCTMAESC "/>
    <d v="2020-03-26T00:00:00"/>
    <s v="381-156538022"/>
    <n v="38741741"/>
    <n v="23387417419"/>
    <d v="2018-12-03T00:00:00"/>
    <d v="2018-12-03T00:00:00"/>
    <d v="2018-12-14T00:00:00"/>
    <n v="619"/>
    <s v="Campus Casino"/>
  </r>
  <r>
    <x v="0"/>
    <x v="0"/>
    <s v="Juarez"/>
    <s v="Carlos 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5"/>
    <n v="86141"/>
    <n v="3118306"/>
    <s v="CSV3"/>
    <s v="CSV2 / CSV3"/>
    <n v="84825"/>
    <n v="74054"/>
    <s v="Juarez.286 "/>
    <s v="VCTCAJUA "/>
    <d v="2020-04-24T00:00:00"/>
    <s v="381-155399372"/>
    <n v="40437730"/>
    <n v="20404377303"/>
    <d v="2018-12-03T00:00:00"/>
    <d v="2018-12-03T00:00:00"/>
    <d v="2018-12-14T00:00:00"/>
    <n v="619"/>
    <s v="Campus Casino"/>
  </r>
  <r>
    <x v="0"/>
    <x v="0"/>
    <s v="Muratore"/>
    <s v="Daia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3"/>
    <n v="82401"/>
    <n v="1063468"/>
    <s v="CSV2"/>
    <s v="CSV2"/>
    <n v="84825"/>
    <n v="74054"/>
    <s v="muratore.9"/>
    <s v="VCTDAMUR"/>
    <d v="2020-04-24T00:00:00"/>
    <s v="0381-153499565"/>
    <n v="37311904"/>
    <n v="27373119046"/>
    <d v="2016-09-12T00:00:00"/>
    <d v="2018-08-15T00:00:00"/>
    <d v="2018-08-16T00:00:00"/>
    <n v="1420"/>
    <s v="Campus Casino"/>
  </r>
  <r>
    <x v="0"/>
    <x v="0"/>
    <s v="Nunez"/>
    <s v="Marcel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4"/>
    <n v="86296"/>
    <n v="3133293"/>
    <s v="VIP"/>
    <s v="CSV2/CSV3 / VIP"/>
    <n v="84825"/>
    <n v="74054"/>
    <s v="nuez.128  "/>
    <s v="VCTMANUN "/>
    <d v="2020-03-26T00:00:00"/>
    <s v="0381-156179830"/>
    <n v="42221286"/>
    <n v="20422212869"/>
    <d v="2018-12-17T00:00:00"/>
    <d v="2018-12-17T00:00:00"/>
    <d v="2019-01-02T00:00:00"/>
    <n v="605"/>
    <s v="Campus Casino"/>
  </r>
  <r>
    <x v="0"/>
    <x v="0"/>
    <s v="Ortiz"/>
    <s v="Silvina Gabri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7"/>
    <n v="85614"/>
    <n v="2873639"/>
    <s v="CSV3"/>
    <s v="CSV2/ CSV3"/>
    <n v="84825"/>
    <n v="74054"/>
    <s v="ortiz.710"/>
    <s v="VCTSIORT"/>
    <d v="2020-03-27T00:00:00"/>
    <s v="0381-154061434"/>
    <n v="38115785"/>
    <n v="27381157852"/>
    <d v="2018-05-07T00:00:00"/>
    <d v="2018-06-08T00:00:00"/>
    <d v="2018-06-11T00:00:00"/>
    <n v="825"/>
    <s v="Campus Casino"/>
  </r>
  <r>
    <x v="0"/>
    <x v="0"/>
    <s v="Pockorny"/>
    <s v="Tomás Agust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24"/>
    <n v="85621"/>
    <n v="2873911"/>
    <s v="CSV3"/>
    <s v="CSV2/CSV3/ HD"/>
    <n v="84825"/>
    <n v="74054"/>
    <s v="pockorny.5"/>
    <s v="VCTTOPOC"/>
    <d v="2020-03-26T00:00:00"/>
    <s v="0381-156539796"/>
    <n v="38185380"/>
    <n v="20381853803"/>
    <d v="2018-05-07T00:00:00"/>
    <d v="2018-06-08T00:00:00"/>
    <d v="2018-06-11T00:00:00"/>
    <n v="825"/>
    <s v="Campus Casino"/>
  </r>
  <r>
    <x v="0"/>
    <x v="0"/>
    <s v="Yapura"/>
    <s v="Cintia Ele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9"/>
    <n v="85474"/>
    <n v="2832262"/>
    <s v="VIP"/>
    <s v="CSV2/HD / CSV3/ VIP"/>
    <n v="84825"/>
    <n v="74054"/>
    <s v="yapura.5"/>
    <s v="VCTCIYAP"/>
    <d v="2020-03-20T00:00:00"/>
    <s v="0381-155060573"/>
    <n v="40696111"/>
    <n v="27406961112"/>
    <d v="2018-04-03T00:00:00"/>
    <d v="2018-08-15T00:00:00"/>
    <d v="2018-08-16T00:00:00"/>
    <n v="859"/>
    <s v="Campus Casino"/>
  </r>
  <r>
    <x v="0"/>
    <x v="2"/>
    <s v="Alonso"/>
    <s v="Facundo ism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13"/>
    <n v="88174"/>
    <n v="3624184"/>
    <s v="CSV2"/>
    <s v="CSV2"/>
    <e v="#N/A"/>
    <n v="74054"/>
    <s v="alonso.155"/>
    <s v="VCTFAALO  "/>
    <d v="2020-03-27T00:00:00"/>
    <m/>
    <n v="42007693"/>
    <n v="20420076933"/>
    <d v="2019-12-09T00:00:00"/>
    <d v="2019-12-09T00:00:00"/>
    <d v="2020-01-01T00:00:00"/>
    <n v="253"/>
    <s v="Campus Casino"/>
  </r>
  <r>
    <x v="0"/>
    <x v="2"/>
    <s v="Alvarez Maziad"/>
    <s v="Monica Carol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7"/>
    <n v="83603"/>
    <n v="2523112"/>
    <s v="CSV2"/>
    <s v="CSV1 / CSV2"/>
    <e v="#N/A"/>
    <n v="74054"/>
    <s v="alvarezmaziad.5"/>
    <s v="VCTMOALV"/>
    <d v="2020-03-27T00:00:00"/>
    <s v="0381-156802261"/>
    <n v="39145406"/>
    <n v="27391454065"/>
    <d v="2017-06-05T00:00:00"/>
    <d v="2018-08-15T00:00:00"/>
    <d v="2018-08-16T00:00:00"/>
    <n v="1157"/>
    <s v="Campus Casino"/>
  </r>
  <r>
    <x v="0"/>
    <x v="2"/>
    <s v="Azubel"/>
    <s v="Solange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5"/>
    <n v="87316"/>
    <n v="1100247"/>
    <s v="CSV3"/>
    <s v="CSV2/ CSV3"/>
    <e v="#N/A"/>
    <n v="74054"/>
    <s v="azubel.7"/>
    <s v="VCTSOAZU"/>
    <d v="2020-03-26T00:00:00"/>
    <n v="3814637258"/>
    <n v="35921500"/>
    <n v="27359215008"/>
    <d v="2019-08-26T00:00:00"/>
    <d v="2019-08-26T00:00:00"/>
    <d v="2019-09-05T00:00:00"/>
    <n v="356"/>
    <s v="Campus Casino"/>
  </r>
  <r>
    <x v="0"/>
    <x v="2"/>
    <s v="Cantos"/>
    <s v="Horacio Nicola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6"/>
    <n v="87308"/>
    <n v="3462509"/>
    <s v="CSV3"/>
    <s v="CSV2 / CSV3"/>
    <e v="#N/A"/>
    <n v="74054"/>
    <s v="cantos.58"/>
    <s v="VCTHOCAN"/>
    <d v="2020-03-25T00:00:00"/>
    <n v="3814742874"/>
    <n v="41650790"/>
    <n v="20416507903"/>
    <d v="2019-08-26T00:00:00"/>
    <d v="2019-08-26T00:00:00"/>
    <d v="2019-09-05T00:00:00"/>
    <n v="356"/>
    <s v="Campus Casino"/>
  </r>
  <r>
    <x v="0"/>
    <x v="2"/>
    <s v="Castillo"/>
    <s v="Angel Albert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4"/>
    <n v="85278"/>
    <n v="2803851"/>
    <s v="CSV3"/>
    <s v="CSV2 / CSV3"/>
    <e v="#N/A"/>
    <n v="74054"/>
    <s v="castillo.1268"/>
    <s v="VCTANCAS"/>
    <d v="2020-03-20T00:00:00"/>
    <n v="3816509596"/>
    <n v="37457052"/>
    <n v="20374570529"/>
    <d v="2018-03-05T00:00:00"/>
    <d v="2018-11-05T00:00:00"/>
    <d v="2018-11-19T00:00:00"/>
    <n v="887"/>
    <s v="Campus Casino"/>
  </r>
  <r>
    <x v="0"/>
    <x v="2"/>
    <s v="Chavarria Bevacqua"/>
    <s v="Silvana Carolin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7"/>
    <n v="87045"/>
    <n v="3409666"/>
    <s v="CSV2"/>
    <s v="CSV1 / CSV2"/>
    <e v="#N/A"/>
    <n v="74054"/>
    <s v="chavarriabevacqua.5"/>
    <s v="VCTSICHA "/>
    <d v="2020-03-26T00:00:00"/>
    <s v="381-156956998"/>
    <n v="35192091"/>
    <s v="27-35192091-8"/>
    <d v="2019-07-22T00:00:00"/>
    <d v="2019-07-23T00:00:00"/>
    <d v="2019-08-01T00:00:00"/>
    <n v="390"/>
    <s v="Campus Casino"/>
  </r>
  <r>
    <x v="0"/>
    <x v="2"/>
    <s v="Del Pino"/>
    <s v="Agustin Alejandr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1"/>
    <n v="87057"/>
    <n v="3409641"/>
    <s v="DVH"/>
    <s v="CSV1"/>
    <e v="#N/A"/>
    <n v="74054"/>
    <s v="delpino.12"/>
    <s v="VCTAGDEL "/>
    <d v="2020-04-24T00:00:00"/>
    <s v="381-155438690"/>
    <n v="41495060"/>
    <n v="20414950605"/>
    <d v="2019-07-22T00:00:00"/>
    <d v="2019-07-23T00:00:00"/>
    <d v="2019-08-01T00:00:00"/>
    <n v="390"/>
    <s v="Campus Casino"/>
  </r>
  <r>
    <x v="0"/>
    <x v="2"/>
    <s v="Elias"/>
    <s v="Mario Jorg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9"/>
    <n v="86154"/>
    <n v="3118300"/>
    <s v="CSV2"/>
    <s v="CSV2"/>
    <e v="#N/A"/>
    <n v="74054"/>
    <s v="elias.112 "/>
    <s v="VCTMAELI "/>
    <d v="2020-04-13T00:00:00"/>
    <s v="381-156987176"/>
    <n v="35822667"/>
    <n v="20358226672"/>
    <d v="2018-12-03T00:00:00"/>
    <d v="2018-12-03T00:00:00"/>
    <d v="2018-12-14T00:00:00"/>
    <n v="619"/>
    <s v="Campus Casino"/>
  </r>
  <r>
    <x v="0"/>
    <x v="2"/>
    <s v="Garcia "/>
    <s v="Guillermo Eduardo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01"/>
    <n v="83911"/>
    <n v="2657668"/>
    <s v="CSV2"/>
    <s v="CSV2"/>
    <e v="#N/A"/>
    <n v="74054"/>
    <s v="garcia.3872"/>
    <s v="VCTGUGAR"/>
    <d v="2020-03-31T00:00:00"/>
    <s v="0381-156358727"/>
    <n v="37455215"/>
    <n v="20374552156"/>
    <d v="2017-10-02T00:00:00"/>
    <d v="2018-06-08T00:00:00"/>
    <d v="2018-06-11T00:00:00"/>
    <n v="1040"/>
    <s v="Campus Casino"/>
  </r>
  <r>
    <x v="0"/>
    <x v="2"/>
    <s v="Gjugum"/>
    <s v="Sofia Deni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9"/>
    <n v="87310"/>
    <n v="3462512"/>
    <s v="CSV3"/>
    <s v="CSV2 / CSV3"/>
    <e v="#N/A"/>
    <n v="74054"/>
    <s v="gjugum.7"/>
    <s v="VCTSOGJU"/>
    <d v="2020-03-27T00:00:00"/>
    <n v="3816313769"/>
    <n v="40532665"/>
    <n v="27405326650"/>
    <d v="2019-08-26T00:00:00"/>
    <d v="2019-08-26T00:00:00"/>
    <d v="2019-09-05T00:00:00"/>
    <n v="356"/>
    <s v="Campus Casino"/>
  </r>
  <r>
    <x v="0"/>
    <x v="2"/>
    <s v="Laitán Landro"/>
    <s v="Gimen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56"/>
    <n v="85310"/>
    <n v="2811372"/>
    <s v="HD"/>
    <s v="CSV2/CSV3/HD"/>
    <e v="#N/A"/>
    <n v="74054"/>
    <s v="laitnlandro.5"/>
    <s v="VCTGILAI"/>
    <d v="2020-03-27T00:00:00"/>
    <s v="0381-156311579"/>
    <n v="36865396"/>
    <n v="27368653964"/>
    <d v="2018-03-12T00:00:00"/>
    <d v="2018-08-15T00:00:00"/>
    <d v="2018-08-16T00:00:00"/>
    <n v="880"/>
    <s v="Campus Casino"/>
  </r>
  <r>
    <x v="0"/>
    <x v="2"/>
    <s v="Martinez Teseyra"/>
    <s v="Mayra Belen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5"/>
    <n v="87060"/>
    <n v="3409628"/>
    <s v="CSV2"/>
    <s v="CSV1 / CSV2"/>
    <e v="#N/A"/>
    <n v="74054"/>
    <s v="martinezteseyra.5"/>
    <s v="VCTBEMAR"/>
    <d v="2020-04-13T00:00:00"/>
    <s v="3876-15401588"/>
    <n v="36129883"/>
    <n v="27361298832"/>
    <d v="2019-07-22T00:00:00"/>
    <d v="2019-07-23T00:00:00"/>
    <d v="2019-08-01T00:00:00"/>
    <n v="390"/>
    <s v="Campus Casino"/>
  </r>
  <r>
    <x v="0"/>
    <x v="2"/>
    <s v="Medina"/>
    <s v="Leyla Ma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1"/>
    <n v="87306"/>
    <n v="1729885"/>
    <s v="HD"/>
    <s v="CSV2 / HD/ CSV3"/>
    <e v="#N/A"/>
    <n v="74054"/>
    <s v="medina.894"/>
    <s v="VCTLEMED"/>
    <d v="2020-03-25T00:00:00"/>
    <n v="3813545684"/>
    <n v="36584345"/>
    <n v="27365843452"/>
    <d v="2019-08-26T00:00:00"/>
    <d v="2019-08-26T00:00:00"/>
    <d v="2019-09-05T00:00:00"/>
    <n v="356"/>
    <s v="Campus Casino"/>
  </r>
  <r>
    <x v="0"/>
    <x v="2"/>
    <s v="Nasif"/>
    <s v="Mar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2"/>
    <n v="87300"/>
    <n v="3462489"/>
    <s v="DVH"/>
    <s v="CSV1"/>
    <e v="#N/A"/>
    <n v="74054"/>
    <s v="nasif.8"/>
    <s v="VCTMANAS"/>
    <m/>
    <n v="3854161581"/>
    <n v="35251517"/>
    <n v="27352515170"/>
    <d v="2019-08-26T00:00:00"/>
    <d v="2019-08-26T00:00:00"/>
    <d v="2019-09-05T00:00:00"/>
    <n v="356"/>
    <s v="Campus Casino"/>
  </r>
  <r>
    <x v="0"/>
    <x v="2"/>
    <s v="Ricci"/>
    <s v="Marcos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8"/>
    <n v="86288"/>
    <n v="3133272"/>
    <s v="CSV3"/>
    <s v="CSV2/ CSV3"/>
    <e v="#N/A"/>
    <n v="74054"/>
    <s v="ricci.57 "/>
    <s v="VCTMARIC "/>
    <d v="2020-03-26T00:00:00"/>
    <s v="0381-154498587"/>
    <n v="36550805"/>
    <n v="20365508055"/>
    <d v="2018-12-17T00:00:00"/>
    <d v="2018-12-17T00:00:00"/>
    <d v="2019-01-02T00:00:00"/>
    <n v="605"/>
    <s v="Campus Casino"/>
  </r>
  <r>
    <x v="0"/>
    <x v="2"/>
    <s v="Ruiz Barrionuevo"/>
    <s v="Isabella Catalin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8"/>
    <n v="87054"/>
    <n v="3409729"/>
    <s v="CSV2"/>
    <s v="CSV1 / CSV2"/>
    <e v="#N/A"/>
    <n v="74054"/>
    <s v="ruizbarrionuevo.6"/>
    <s v="VCTISRUI "/>
    <d v="2020-03-25T00:00:00"/>
    <s v="381-153676323"/>
    <n v="42664926"/>
    <n v="27426649263"/>
    <d v="2019-07-22T00:00:00"/>
    <d v="2019-07-23T00:00:00"/>
    <d v="2019-08-01T00:00:00"/>
    <n v="390"/>
    <s v="Campus Casino"/>
  </r>
  <r>
    <x v="0"/>
    <x v="3"/>
    <s v="Amicone"/>
    <s v="Juliet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4"/>
    <n v="86201"/>
    <n v="3120478"/>
    <s v="CSV1"/>
    <s v="CSV1"/>
    <n v="85154"/>
    <n v="74054"/>
    <s v="amicone.9"/>
    <s v="VCTJUAMI"/>
    <d v="2020-05-18T00:00:00"/>
    <s v="381 432 4959"/>
    <n v="42007271"/>
    <n v="27420072711"/>
    <d v="2018-12-03T00:00:00"/>
    <d v="2020-05-11T00:00:00"/>
    <d v="2020-05-18T00:00:00"/>
    <n v="619"/>
    <s v="Campus Casino"/>
  </r>
  <r>
    <x v="0"/>
    <x v="3"/>
    <s v="Arias"/>
    <s v="Ivan 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2"/>
    <n v="86212"/>
    <n v="3119977"/>
    <s v="DVH"/>
    <s v="CSV1"/>
    <n v="85154"/>
    <n v="74054"/>
    <s v="arias.197"/>
    <s v="VCTIVARI"/>
    <d v="2020-05-18T00:00:00"/>
    <s v="381 364 1513"/>
    <n v="36839830"/>
    <n v="20368398307"/>
    <d v="2018-12-03T00:00:00"/>
    <d v="2020-05-11T00:00:00"/>
    <d v="2020-05-18T00:00:00"/>
    <n v="619"/>
    <s v="Campus Casino"/>
  </r>
  <r>
    <x v="0"/>
    <x v="3"/>
    <s v="Bernard"/>
    <s v="Mar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78"/>
    <n v="86585"/>
    <n v="3290393"/>
    <s v="CSV1"/>
    <s v="CSV1"/>
    <n v="85154"/>
    <n v="74054"/>
    <s v="bernard.212"/>
    <s v="VCTMABER"/>
    <d v="2020-05-18T00:00:00"/>
    <n v="3816761743"/>
    <n v="37457894"/>
    <n v="20374578945"/>
    <d v="2019-05-09T00:00:00"/>
    <d v="2020-05-11T00:00:00"/>
    <d v="2020-05-18T00:00:00"/>
    <n v="463"/>
    <s v="Campus Casino"/>
  </r>
  <r>
    <x v="0"/>
    <x v="3"/>
    <s v="Blacut"/>
    <s v="Carolina Concepcion"/>
    <s v="OFF"/>
    <s v="13:00 - 19:00"/>
    <s v="13:00 - 19:00"/>
    <s v="13:00 - 19:00"/>
    <s v="13:00 - 19:00"/>
    <s v="13:00 - 19:00"/>
    <s v="OFF"/>
    <m/>
    <m/>
    <s v="PT"/>
    <n v="0"/>
    <n v="6"/>
    <n v="6"/>
    <n v="6"/>
    <n v="6"/>
    <n v="6"/>
    <n v="0"/>
    <n v="30"/>
    <n v="648379"/>
    <n v="64114"/>
    <n v="433384"/>
    <s v="CSV1"/>
    <s v="CSV1"/>
    <n v="85154"/>
    <n v="74054"/>
    <s v="blacut.5"/>
    <s v="VCTCABLA"/>
    <d v="2020-05-18T00:00:00"/>
    <n v="3814360935"/>
    <n v="22989370"/>
    <n v="27229893705"/>
    <d v="2009-05-04T00:00:00"/>
    <d v="2020-05-11T00:00:00"/>
    <d v="2020-05-18T00:00:00"/>
    <n v="4068"/>
    <s v="Campus Casino"/>
  </r>
  <r>
    <x v="0"/>
    <x v="3"/>
    <s v="Chico"/>
    <s v="Jessica Lili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1"/>
    <n v="82194"/>
    <n v="2178609"/>
    <s v="CSV1"/>
    <s v="CSV1"/>
    <n v="85154"/>
    <n v="74054"/>
    <s v="chico.47"/>
    <s v="VCTJECHI"/>
    <d v="2020-05-18T00:00:00"/>
    <s v="4330399 / 155782351"/>
    <n v="36584697"/>
    <n v="27365846974"/>
    <d v="2016-07-29T00:00:00"/>
    <d v="2020-05-11T00:00:00"/>
    <d v="2020-05-18T00:00:00"/>
    <n v="1463"/>
    <s v="Campus Casino"/>
  </r>
  <r>
    <x v="0"/>
    <x v="3"/>
    <s v="Ferraro"/>
    <s v="David Franco Ramó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2"/>
    <n v="87912"/>
    <n v="3526348"/>
    <s v="CSV1"/>
    <s v="CSV1"/>
    <n v="85154"/>
    <n v="74054"/>
    <s v="ferraro.26"/>
    <s v="VCTDAFER"/>
    <d v="2020-05-18T00:00:00"/>
    <s v="381 153907269"/>
    <n v="37310000"/>
    <n v="20373100006"/>
    <d v="2019-10-07T00:00:00"/>
    <d v="2020-05-11T00:00:00"/>
    <d v="2020-05-18T00:00:00"/>
    <n v="315"/>
    <s v="Campus Casino"/>
  </r>
  <r>
    <x v="0"/>
    <x v="3"/>
    <s v="Jandar"/>
    <s v="Fabio Nicolá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90"/>
    <n v="83918"/>
    <n v="2657804"/>
    <s v="CSV1"/>
    <s v="CSV1"/>
    <n v="85154"/>
    <n v="74054"/>
    <s v="jandar.8"/>
    <s v="VCTFAJAN"/>
    <d v="2020-05-18T00:00:00"/>
    <s v="0381-154180132"/>
    <n v="39481787"/>
    <n v="20394817873"/>
    <d v="2017-10-02T00:00:00"/>
    <d v="2020-05-11T00:00:00"/>
    <d v="2020-05-18T00:00:00"/>
    <n v="1040"/>
    <s v="Campus Casino"/>
  </r>
  <r>
    <x v="0"/>
    <x v="3"/>
    <s v="Jerez"/>
    <s v="María Celest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5"/>
    <n v="81571"/>
    <n v="1988450"/>
    <s v="DVH"/>
    <s v="CSV1"/>
    <n v="85154"/>
    <n v="74054"/>
    <s v="jerez.37"/>
    <s v="VCTMAJER"/>
    <d v="2020-05-18T00:00:00"/>
    <s v="0381 155585231"/>
    <n v="34764648"/>
    <n v="27347646488"/>
    <d v="2016-02-29T00:00:00"/>
    <d v="2020-05-11T00:00:00"/>
    <d v="2020-05-18T00:00:00"/>
    <n v="1612"/>
    <s v="Campus Casino"/>
  </r>
  <r>
    <x v="0"/>
    <x v="3"/>
    <s v="Juri"/>
    <s v="Aid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6"/>
    <n v="86032"/>
    <n v="3116938"/>
    <s v="CSV1"/>
    <s v="CSV1"/>
    <n v="85154"/>
    <n v="74054"/>
    <s v="juri.10"/>
    <s v="VCTAIJUR"/>
    <d v="2020-05-18T00:00:00"/>
    <s v="381 388 7424"/>
    <n v="39572913"/>
    <n v="27395729131"/>
    <d v="2018-12-03T00:00:00"/>
    <d v="2020-05-11T00:00:00"/>
    <d v="2020-05-18T00:00:00"/>
    <n v="619"/>
    <s v="Campus Casino"/>
  </r>
  <r>
    <x v="0"/>
    <x v="3"/>
    <s v="Leal Martinez"/>
    <s v="Matias Eman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2"/>
    <n v="80131"/>
    <n v="1567502"/>
    <s v="CSV1"/>
    <s v="CSV1"/>
    <n v="85154"/>
    <n v="74054"/>
    <s v="lealmartinez.11"/>
    <s v="VCTMALEA"/>
    <d v="2020-05-18T00:00:00"/>
    <s v="038 115 4981045"/>
    <n v="38509359"/>
    <n v="20385093595"/>
    <d v="2015-02-02T00:00:00"/>
    <d v="2020-05-11T00:00:00"/>
    <d v="2020-05-18T00:00:00"/>
    <n v="2000"/>
    <s v="Campus Casino"/>
  </r>
  <r>
    <x v="0"/>
    <x v="3"/>
    <s v="Mansilla"/>
    <s v="Karen Nicol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4"/>
    <n v="87056"/>
    <n v="3409650"/>
    <s v="DVH"/>
    <s v="CSV1"/>
    <n v="85154"/>
    <n v="74054"/>
    <s v="mansilla.45"/>
    <s v="VCTKAMAN "/>
    <d v="2020-03-25T00:00:00"/>
    <s v="381-156047766"/>
    <n v="42523139"/>
    <n v="27425231397"/>
    <d v="2019-07-22T00:00:00"/>
    <d v="2019-07-23T00:00:00"/>
    <d v="2019-08-01T00:00:00"/>
    <n v="390"/>
    <s v="Campus Casino"/>
  </r>
  <r>
    <x v="0"/>
    <x v="3"/>
    <s v="Pa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61"/>
    <n v="85995"/>
    <n v="3116792"/>
    <s v="DVH"/>
    <s v="CSV1"/>
    <n v="85154"/>
    <n v="74054"/>
    <s v="paz.230"/>
    <s v="VCTENPAZ"/>
    <d v="2020-05-18T00:00:00"/>
    <s v="381 345 9389"/>
    <n v="42467181"/>
    <n v="23424671819"/>
    <d v="2018-12-03T00:00:00"/>
    <d v="2020-05-11T00:00:00"/>
    <d v="2020-05-18T00:00:00"/>
    <n v="619"/>
    <s v="Campus Casino"/>
  </r>
  <r>
    <x v="0"/>
    <x v="3"/>
    <s v="Ruiz"/>
    <s v="Daniel Antoni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83"/>
    <n v="86015"/>
    <n v="2765889"/>
    <s v="DVH"/>
    <s v="CSV1"/>
    <n v="85154"/>
    <n v="74054"/>
    <s v="ruiz.835"/>
    <s v="VCTDARUI"/>
    <d v="2020-05-18T00:00:00"/>
    <s v="381 663 9013"/>
    <n v="40215879"/>
    <n v="20402158795"/>
    <d v="2018-12-03T00:00:00"/>
    <d v="2020-05-11T00:00:00"/>
    <d v="2020-05-18T00:00:00"/>
    <n v="619"/>
    <s v="Campus Casino"/>
  </r>
  <r>
    <x v="0"/>
    <x v="3"/>
    <s v="Salinas"/>
    <s v="Mariana Josefina"/>
    <s v="OFF"/>
    <s v="15:00 - 19:00"/>
    <s v="15:00 - 19:00"/>
    <s v="15:00 - 19:00"/>
    <s v="15:00 - 19:00"/>
    <s v="15:00 - 19:00"/>
    <s v="OFF"/>
    <m/>
    <m/>
    <s v="PT"/>
    <n v="0"/>
    <n v="4"/>
    <n v="4"/>
    <n v="4"/>
    <n v="4"/>
    <n v="4"/>
    <n v="0"/>
    <n v="20"/>
    <n v="648387"/>
    <n v="83101"/>
    <n v="1441889"/>
    <s v="Habilitaciones"/>
    <s v="CSV1"/>
    <n v="85154"/>
    <n v="74054"/>
    <s v="salinas.358"/>
    <s v="VCTMASAL"/>
    <d v="2020-05-18T00:00:00"/>
    <n v="3816591167"/>
    <n v="31100304"/>
    <n v="27311003041"/>
    <d v="2017-03-06T00:00:00"/>
    <d v="2020-05-11T00:00:00"/>
    <d v="2020-05-18T00:00:00"/>
    <n v="1246"/>
    <s v="Campus Casino"/>
  </r>
  <r>
    <x v="0"/>
    <x v="3"/>
    <s v="Santucho"/>
    <s v="María del Rosario"/>
    <s v="OFF"/>
    <s v="LOA"/>
    <s v="LOA"/>
    <s v="LOA"/>
    <s v="LOA"/>
    <s v="LOA"/>
    <s v="OFF"/>
    <m/>
    <s v="LOA 08/06 - mm/dd (Hs Orig  15:00 - 19:00 OFF Dom Sab)"/>
    <s v="PT"/>
    <n v="0"/>
    <n v="0"/>
    <n v="0"/>
    <n v="0"/>
    <n v="0"/>
    <n v="0"/>
    <n v="0"/>
    <n v="0"/>
    <n v="648235"/>
    <n v="85552"/>
    <n v="2855603"/>
    <s v="CSV1"/>
    <s v="CSV1; servicions WEB; Compras Referidas"/>
    <n v="85154"/>
    <n v="74054"/>
    <s v="santucho.22"/>
    <s v="VCTMASAN"/>
    <d v="2020-04-14T00:00:00"/>
    <s v="0381-153469922"/>
    <n v="45513329"/>
    <n v="27455133292"/>
    <d v="2018-04-19T00:00:00"/>
    <d v="2020-04-09T00:00:00"/>
    <d v="2020-04-14T00:00:00"/>
    <n v="843"/>
    <s v="Campus Casino"/>
  </r>
  <r>
    <x v="0"/>
    <x v="3"/>
    <s v="Villagra"/>
    <s v="Daniela Alejandra 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61"/>
    <n v="88038"/>
    <n v="3553114"/>
    <s v="DVH"/>
    <s v="CSV1"/>
    <n v="85154"/>
    <n v="74054"/>
    <s v="villagra.43"/>
    <s v="VCTDAVIL"/>
    <d v="2020-04-22T00:00:00"/>
    <s v="03816416605"/>
    <n v="31038158"/>
    <s v="27-31038158-1"/>
    <d v="2020-04-21T00:00:00"/>
    <d v="2020-04-21T00:00:00"/>
    <d v="2020-04-22T00:00:00"/>
    <n v="121"/>
    <s v="Campus Casino"/>
  </r>
  <r>
    <x v="0"/>
    <x v="4"/>
    <s v="Agüero"/>
    <s v="Maria Micae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5"/>
    <n v="87307"/>
    <n v="3462508"/>
    <s v="DVH"/>
    <s v="CSV1"/>
    <n v="79688"/>
    <n v="74054"/>
    <s v="aguero.57"/>
    <s v="VCTMAAGU"/>
    <d v="2020-03-25T00:00:00"/>
    <s v="N/A"/>
    <n v="40085899"/>
    <n v="27400858999"/>
    <d v="2019-08-26T00:00:00"/>
    <d v="2019-08-26T00:00:00"/>
    <d v="2019-09-05T00:00:00"/>
    <n v="356"/>
    <s v="Campus Casino"/>
  </r>
  <r>
    <x v="0"/>
    <x v="4"/>
    <s v="Alarcon "/>
    <s v="Yanet Micaela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58"/>
    <n v="88048"/>
    <n v="3553156"/>
    <s v="DVH"/>
    <s v="CSV1"/>
    <n v="79688"/>
    <n v="74054"/>
    <s v="alarcon.133"/>
    <s v="VCTYAALA"/>
    <d v="2020-04-22T00:00:00"/>
    <s v="03816664035"/>
    <n v="41870420"/>
    <s v="27-41870420-4"/>
    <d v="2020-04-21T00:00:00"/>
    <d v="2020-04-21T00:00:00"/>
    <d v="2020-04-22T00:00:00"/>
    <n v="121"/>
    <s v="Campus Casino"/>
  </r>
  <r>
    <x v="0"/>
    <x v="4"/>
    <s v="Blanco Brandan"/>
    <s v="Bianca Abigai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57"/>
    <n v="86290"/>
    <n v="3133275"/>
    <s v="Compras Referidas"/>
    <s v="CSV1"/>
    <n v="79688"/>
    <n v="74054"/>
    <s v="blancobrandan.5 "/>
    <s v="VCTBIBLA "/>
    <d v="2020-03-25T00:00:00"/>
    <s v="0381-156088304"/>
    <n v="41763285"/>
    <n v="27417632854"/>
    <d v="2018-12-17T00:00:00"/>
    <d v="2018-12-17T00:00:00"/>
    <d v="2019-01-02T00:00:00"/>
    <n v="605"/>
    <s v="Campus Casino"/>
  </r>
  <r>
    <x v="0"/>
    <x v="4"/>
    <s v="Carrizo"/>
    <s v="Ulises Jo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24"/>
    <n v="83409"/>
    <n v="2466183"/>
    <s v="Servicios web"/>
    <s v="CSV1; servicions WEB; Compras Referidas"/>
    <n v="79688"/>
    <n v="74054"/>
    <s v="carrizo.93"/>
    <s v="VCTULCAR"/>
    <d v="2020-04-14T00:00:00"/>
    <s v="0381-155111621"/>
    <n v="37996896"/>
    <n v="20379968962"/>
    <d v="2017-04-17T00:00:00"/>
    <d v="2020-04-09T00:00:00"/>
    <d v="2020-04-14T00:00:00"/>
    <n v="1205"/>
    <s v="Campus Casino"/>
  </r>
  <r>
    <x v="0"/>
    <x v="4"/>
    <s v="Escobar"/>
    <s v="Carolina del Vall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2"/>
    <n v="86153"/>
    <n v="3118303"/>
    <s v="CSV2"/>
    <s v="CSV1 / CSV2"/>
    <n v="79688"/>
    <n v="74054"/>
    <s v="escobar.209 "/>
    <s v="VCTCAESC "/>
    <d v="2020-06-29T00:00:00"/>
    <s v="381-153008243"/>
    <n v="35921616"/>
    <n v="27359216160"/>
    <d v="2018-12-03T00:00:00"/>
    <d v="2018-12-03T00:00:00"/>
    <d v="2018-12-14T00:00:00"/>
    <n v="619"/>
    <s v="Campus Casino"/>
  </r>
  <r>
    <x v="0"/>
    <x v="4"/>
    <s v="Garcia Jerez"/>
    <s v="Matias Agustin 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86"/>
    <n v="86334"/>
    <n v="3138482"/>
    <s v="DVH"/>
    <s v="CSV1"/>
    <n v="79688"/>
    <n v="74054"/>
    <s v="garciajerez.6 "/>
    <s v="VCTMATGA "/>
    <d v="2020-03-26T00:00:00"/>
    <s v="0381-155330620"/>
    <n v="28883627"/>
    <n v="20288836273"/>
    <d v="2018-12-26T00:00:00"/>
    <d v="2018-12-26T00:00:00"/>
    <d v="2019-01-11T00:00:00"/>
    <n v="596"/>
    <s v="Campus Casino"/>
  </r>
  <r>
    <x v="0"/>
    <x v="4"/>
    <s v="Lafuente"/>
    <s v="Facundo Edel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62"/>
    <n v="88050"/>
    <n v="3553149"/>
    <s v="DVH"/>
    <s v="CSV1"/>
    <n v="79688"/>
    <n v="74054"/>
    <s v="lafuente.23"/>
    <s v="VCTFALAF"/>
    <d v="2020-04-22T00:00:00"/>
    <s v="03814774519"/>
    <n v="41425872"/>
    <s v="20-41425872-8"/>
    <d v="2020-04-21T00:00:00"/>
    <d v="2020-04-21T00:00:00"/>
    <d v="2020-04-22T00:00:00"/>
    <n v="121"/>
    <s v="Campus Casino"/>
  </r>
  <r>
    <x v="0"/>
    <x v="4"/>
    <s v="Lescano"/>
    <s v="Daiana Giss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2"/>
    <n v="88173"/>
    <n v="3624180"/>
    <s v="DVH"/>
    <s v="CSV1"/>
    <n v="79688"/>
    <n v="74054"/>
    <s v="lescano.51"/>
    <s v="VCTGILES  "/>
    <d v="2020-03-25T00:00:00"/>
    <m/>
    <n v="37460467"/>
    <n v="27374604673"/>
    <d v="2019-12-09T00:00:00"/>
    <d v="2019-12-09T00:00:00"/>
    <d v="2020-01-01T00:00:00"/>
    <n v="253"/>
    <s v="Campus Casino"/>
  </r>
  <r>
    <x v="0"/>
    <x v="4"/>
    <s v="Lizárraga"/>
    <s v="Lucas Ivá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9"/>
    <n v="87712"/>
    <n v="3526355"/>
    <s v="CSV1"/>
    <s v="CSV1"/>
    <n v="79688"/>
    <n v="74054"/>
    <s v="lizrrraga.5"/>
    <s v="VCTLULIZ"/>
    <d v="2020-05-18T00:00:00"/>
    <s v="381 328 3185"/>
    <n v="41060400"/>
    <n v="20410604001"/>
    <d v="2019-10-07T00:00:00"/>
    <d v="2020-05-11T00:00:00"/>
    <d v="2020-05-18T00:00:00"/>
    <n v="315"/>
    <s v="Campus Casino"/>
  </r>
  <r>
    <x v="0"/>
    <x v="4"/>
    <s v="Ochoa"/>
    <s v="Florencia Be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03"/>
    <n v="85279"/>
    <n v="2804825"/>
    <s v="DVH"/>
    <s v="CSV1"/>
    <n v="79688"/>
    <n v="74054"/>
    <s v="ochoa.141"/>
    <s v="VCTFLOCH"/>
    <d v="2020-03-22T00:00:00"/>
    <s v="381-156743025"/>
    <n v="35374408"/>
    <n v="27353744084"/>
    <d v="2018-03-05T00:00:00"/>
    <d v="2018-11-05T00:00:00"/>
    <d v="2018-11-19T00:00:00"/>
    <n v="887"/>
    <s v="Campus Casino"/>
  </r>
  <r>
    <x v="0"/>
    <x v="4"/>
    <s v="Pachao Medina"/>
    <s v="Juan Carl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3"/>
    <n v="87301"/>
    <n v="3462491"/>
    <s v="DVH"/>
    <s v="CSV1"/>
    <n v="79688"/>
    <n v="74054"/>
    <s v="pachaomedina.5"/>
    <s v="VCTJUPAC"/>
    <d v="2020-03-29T00:00:00"/>
    <n v="3816470378"/>
    <n v="37455387"/>
    <n v="23374553879"/>
    <d v="2019-08-26T00:00:00"/>
    <d v="2019-08-26T00:00:00"/>
    <d v="2019-09-05T00:00:00"/>
    <n v="356"/>
    <s v="Campus Casino"/>
  </r>
  <r>
    <x v="2"/>
    <x v="5"/>
    <s v="Robles Marquez"/>
    <s v="Emilse Nahir"/>
    <s v="OFF"/>
    <s v="15:00 - 21:00"/>
    <s v="15:00 - 21:00"/>
    <s v="09:00 - 15:00"/>
    <s v="09:00 - 15:00"/>
    <s v="09:00 - 15:00"/>
    <s v="OFF"/>
    <m/>
    <m/>
    <s v="PT"/>
    <n v="0"/>
    <n v="6"/>
    <n v="6"/>
    <n v="6"/>
    <n v="6"/>
    <n v="6"/>
    <n v="0"/>
    <n v="30"/>
    <n v="648351"/>
    <n v="86179"/>
    <n v="3118459"/>
    <s v="DVH"/>
    <s v="CSV1"/>
    <n v="77681"/>
    <n v="64118"/>
    <s v="roblesmarquez.8"/>
    <s v="VCTEMROB"/>
    <d v="2020-05-18T00:00:00"/>
    <s v="381 571 6055"/>
    <n v="41959700"/>
    <n v="27419597002"/>
    <d v="2018-12-03T00:00:00"/>
    <d v="2020-05-11T00:00:00"/>
    <d v="2020-05-18T00:00:00"/>
    <n v="619"/>
    <s v="Campus Casino"/>
  </r>
  <r>
    <x v="0"/>
    <x v="4"/>
    <s v="Sanchez"/>
    <s v="Juan Jorge Augusto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059"/>
    <n v="88036"/>
    <n v="3553110"/>
    <s v="DVH"/>
    <s v="CSV1"/>
    <n v="79688"/>
    <n v="74054"/>
    <s v="sanchez.2281"/>
    <s v="VCTJUSAN"/>
    <d v="2020-04-22T00:00:00"/>
    <s v="03814965135"/>
    <n v="41345711"/>
    <s v="20-41345711-5"/>
    <d v="2020-04-21T00:00:00"/>
    <d v="2020-04-21T00:00:00"/>
    <d v="2020-04-22T00:00:00"/>
    <n v="121"/>
    <s v="Campus Casino"/>
  </r>
  <r>
    <x v="0"/>
    <x v="4"/>
    <s v="Vitar"/>
    <s v="Nuria Mariel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135"/>
    <n v="86152"/>
    <n v="1154505"/>
    <s v="Compras Referidas"/>
    <s v="CSV1"/>
    <n v="79688"/>
    <n v="74054"/>
    <s v="vitar.5 "/>
    <s v="VCTNUVIT "/>
    <d v="2020-03-27T00:00:00"/>
    <s v="381-154686954"/>
    <n v="38045027"/>
    <n v="27380450270"/>
    <d v="2018-12-03T00:00:00"/>
    <d v="2018-12-03T00:00:00"/>
    <d v="2018-12-14T00:00:00"/>
    <n v="619"/>
    <s v="Campus Casino"/>
  </r>
  <r>
    <x v="0"/>
    <x v="4"/>
    <s v="Yapura"/>
    <s v="Benito Javier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2"/>
    <n v="87048"/>
    <n v="3409593"/>
    <s v="DVH"/>
    <s v="CSV1"/>
    <n v="79688"/>
    <n v="74054"/>
    <s v="yapura.8"/>
    <s v="VCTBEYAP "/>
    <d v="2020-03-26T00:00:00"/>
    <s v="381-156375615"/>
    <n v="36998015"/>
    <n v="20369980158"/>
    <d v="2019-07-22T00:00:00"/>
    <d v="2019-07-23T00:00:00"/>
    <d v="2019-08-01T00:00:00"/>
    <n v="390"/>
    <s v="Campus Casino"/>
  </r>
  <r>
    <x v="0"/>
    <x v="6"/>
    <s v="Acosta"/>
    <s v="Ignacio Matias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4"/>
    <n v="87044"/>
    <n v="3409636"/>
    <s v="Servicios web"/>
    <s v="CSV1"/>
    <n v="80740"/>
    <n v="74054"/>
    <s v="acosta.490"/>
    <s v="VCTIGACO "/>
    <d v="2020-03-31T00:00:00"/>
    <s v="381-156464004"/>
    <n v="40238197"/>
    <n v="20402381974"/>
    <d v="2019-07-22T00:00:00"/>
    <d v="2019-07-23T00:00:00"/>
    <d v="2019-08-01T00:00:00"/>
    <n v="390"/>
    <s v="Campus Casino"/>
  </r>
  <r>
    <x v="0"/>
    <x v="6"/>
    <s v="Albarracin"/>
    <s v="Heber Wilson 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05"/>
    <n v="87052"/>
    <n v="2445607"/>
    <s v="Servicios web"/>
    <s v="CSV1"/>
    <n v="80740"/>
    <n v="74054"/>
    <s v="albarracin.54"/>
    <s v="VCTHEALB "/>
    <d v="2020-04-13T00:00:00"/>
    <s v="381-155569434"/>
    <n v="35107662"/>
    <n v="20351076624"/>
    <d v="2019-07-22T00:00:00"/>
    <d v="2019-07-23T00:00:00"/>
    <d v="2019-08-01T00:00:00"/>
    <n v="390"/>
    <s v="Campus Casino"/>
  </r>
  <r>
    <x v="0"/>
    <x v="6"/>
    <s v="Almaraz"/>
    <s v="Julio Cesar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1"/>
    <n v="88172"/>
    <n v="3624178"/>
    <s v="Habilitaciones"/>
    <s v="CSV1"/>
    <n v="80740"/>
    <n v="74054"/>
    <s v="almaraz.41"/>
    <s v="VCTJUALM  "/>
    <d v="2020-03-31T00:00:00"/>
    <m/>
    <n v="40532698"/>
    <n v="20405326982"/>
    <d v="2019-12-09T00:00:00"/>
    <d v="2019-12-09T00:00:00"/>
    <d v="2020-01-01T00:00:00"/>
    <n v="253"/>
    <s v="Campus Casino"/>
  </r>
  <r>
    <x v="0"/>
    <x v="6"/>
    <s v="Antenucci"/>
    <s v="Aldana Belé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73"/>
    <n v="88357"/>
    <n v="3667098"/>
    <s v="TLMK"/>
    <s v="CSV1"/>
    <n v="80740"/>
    <n v="74054"/>
    <s v="antenucci.9"/>
    <s v="VCTALANT"/>
    <d v="2020-04-22T00:00:00"/>
    <s v="03815198750"/>
    <n v="40086091"/>
    <s v="27-40086091-8"/>
    <d v="2020-04-21T00:00:00"/>
    <d v="2020-04-21T00:00:00"/>
    <d v="2020-04-22T00:00:00"/>
    <n v="121"/>
    <s v="Campus Casino"/>
  </r>
  <r>
    <x v="2"/>
    <x v="7"/>
    <s v="Burgos"/>
    <s v="Damaris Nahir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07"/>
    <n v="88168"/>
    <n v="3624164"/>
    <s v="CSV2"/>
    <s v="CSV2"/>
    <n v="74323"/>
    <n v="64118"/>
    <s v="burgos.173"/>
    <s v="VCTDABUR  "/>
    <d v="2020-03-29T00:00:00"/>
    <m/>
    <n v="40274928"/>
    <n v="27402749283"/>
    <d v="2019-12-09T00:00:00"/>
    <d v="2019-12-09T00:00:00"/>
    <d v="2020-01-01T00:00:00"/>
    <n v="253"/>
    <s v="Campus Casino"/>
  </r>
  <r>
    <x v="0"/>
    <x v="6"/>
    <s v="Bustos"/>
    <s v="Cecilia Leono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10"/>
    <n v="85199"/>
    <n v="2792749"/>
    <s v="Compras Referidas"/>
    <s v="CSV1"/>
    <n v="80740"/>
    <n v="74054"/>
    <s v="bustos.105"/>
    <s v="VCTCEBUS"/>
    <d v="2020-07-06T00:00:00"/>
    <s v="381-156355347"/>
    <n v="38250399"/>
    <n v="27382503991"/>
    <d v="2018-02-19T00:00:00"/>
    <d v="2018-11-05T00:00:00"/>
    <d v="2018-11-19T00:00:00"/>
    <n v="903"/>
    <s v="Campus Casino"/>
  </r>
  <r>
    <x v="0"/>
    <x v="6"/>
    <s v="Ciccarelli"/>
    <s v="Marycel Rocio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8"/>
    <n v="87049"/>
    <n v="1632745"/>
    <s v="CSV2"/>
    <s v="CSV2"/>
    <n v="80740"/>
    <n v="74054"/>
    <s v="ciccarelli.7"/>
    <s v="VCTMACIC"/>
    <d v="2020-03-22T00:00:00"/>
    <s v="381-156028072"/>
    <n v="39478154"/>
    <s v="27-39478154-7"/>
    <d v="2019-07-22T00:00:00"/>
    <d v="2019-07-23T00:00:00"/>
    <d v="2019-08-01T00:00:00"/>
    <n v="390"/>
    <s v="Campus Casino"/>
  </r>
  <r>
    <x v="0"/>
    <x v="6"/>
    <s v="De la Rosa"/>
    <s v="Solana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10"/>
    <n v="87061"/>
    <n v="3409646"/>
    <s v="CSV2"/>
    <s v="CSV2"/>
    <n v="80740"/>
    <n v="74054"/>
    <s v="delarosa.359"/>
    <s v="VCTSOROS "/>
    <d v="2020-03-29T00:00:00"/>
    <s v="381-156144731"/>
    <n v="43162247"/>
    <n v="27431622470"/>
    <d v="2019-07-22T00:00:00"/>
    <d v="2019-07-23T00:00:00"/>
    <d v="2019-08-01T00:00:00"/>
    <n v="390"/>
    <s v="Campus Casino"/>
  </r>
  <r>
    <x v="0"/>
    <x v="6"/>
    <s v="Del Rio"/>
    <s v="Virginia Nata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5"/>
    <n v="88166"/>
    <n v="3624156"/>
    <s v="CSV2"/>
    <s v="CSV1 / CSV2"/>
    <n v="80740"/>
    <n v="74054"/>
    <s v="delrio.52"/>
    <s v="VCTVIDEL  "/>
    <d v="2020-03-20T00:00:00"/>
    <m/>
    <n v="40088998"/>
    <n v="27400889983"/>
    <d v="2019-12-09T00:00:00"/>
    <d v="2019-12-09T00:00:00"/>
    <d v="2020-01-01T00:00:00"/>
    <n v="253"/>
    <s v="Campus Casino"/>
  </r>
  <r>
    <x v="2"/>
    <x v="7"/>
    <s v="Galindez"/>
    <s v="Yuliana Lilia Denis"/>
    <s v="OFF"/>
    <s v="09:00 - 14:00"/>
    <s v="09:00 - 14:00"/>
    <s v="09:00 - 14:00"/>
    <s v="09:00 - 14:00"/>
    <s v="09:00 - 14:00"/>
    <s v="OFF"/>
    <m/>
    <s v="Cambio de horario provisorio durante Waha a 09:00 - 14:00 (Hs Orig  15:00 - 20:00 OFF Dom Sab)"/>
    <s v="PT"/>
    <n v="0"/>
    <n v="5.0000000000000009"/>
    <n v="5.0000000000000009"/>
    <n v="5.0000000000000009"/>
    <n v="5.0000000000000009"/>
    <n v="5.0000000000000009"/>
    <n v="0"/>
    <n v="25.000000000000004"/>
    <n v="89212"/>
    <n v="87058"/>
    <n v="2702133"/>
    <s v="CSV2"/>
    <s v="CSV2"/>
    <n v="74323"/>
    <n v="64118"/>
    <s v="galindez.28"/>
    <s v="VCTYUGAL "/>
    <d v="2020-03-27T00:00:00"/>
    <s v="381-155979585"/>
    <n v="37837958"/>
    <n v="27378379585"/>
    <d v="2019-07-22T00:00:00"/>
    <d v="2019-07-23T00:00:00"/>
    <d v="2019-08-01T00:00:00"/>
    <n v="390"/>
    <s v="Campus Casino"/>
  </r>
  <r>
    <x v="0"/>
    <x v="6"/>
    <s v="Latina"/>
    <s v="Walter Fabian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648229"/>
    <n v="82706"/>
    <n v="1506174"/>
    <s v="CSV1"/>
    <s v="CSV1; servicions WEB; Compras Referidas"/>
    <n v="80740"/>
    <n v="74054"/>
    <s v="latina.13"/>
    <s v="VCTWALAT"/>
    <d v="2020-04-14T00:00:00"/>
    <s v="381-156634740"/>
    <n v="38488834"/>
    <n v="20384888349"/>
    <d v="2016-12-12T00:00:00"/>
    <d v="2020-04-09T00:00:00"/>
    <d v="2020-04-14T00:00:00"/>
    <n v="1330"/>
    <s v="Campus Casino"/>
  </r>
  <r>
    <x v="0"/>
    <x v="6"/>
    <s v="Monteros"/>
    <s v="Maximiliano Leopoldo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2"/>
    <n v="88047"/>
    <n v="3553144"/>
    <s v="CSV2"/>
    <s v="CSV2"/>
    <n v="80740"/>
    <n v="74054"/>
    <s v="monteros.33"/>
    <s v="VCTMAMON"/>
    <d v="2020-03-22T00:00:00"/>
    <m/>
    <n v="38060703"/>
    <n v="20380607035"/>
    <d v="2019-10-28T00:00:00"/>
    <d v="2019-10-28T00:00:00"/>
    <d v="2019-11-07T00:00:00"/>
    <n v="294"/>
    <s v="Campus Casino"/>
  </r>
  <r>
    <x v="0"/>
    <x v="6"/>
    <s v="Nieva del Rio"/>
    <s v="Micaela Ana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16"/>
    <n v="87051"/>
    <n v="3409670"/>
    <s v="CSV2"/>
    <s v="CSV1 / CSV2"/>
    <n v="80740"/>
    <n v="74054"/>
    <s v="nievadelrio.5"/>
    <s v="VCTMINIE "/>
    <d v="2020-03-27T00:00:00"/>
    <s v="381-153913270"/>
    <n v="34953151"/>
    <n v="27349531513"/>
    <d v="2019-07-22T00:00:00"/>
    <d v="2019-07-23T00:00:00"/>
    <d v="2019-08-01T00:00:00"/>
    <n v="390"/>
    <s v="Campus Casino"/>
  </r>
  <r>
    <x v="0"/>
    <x v="6"/>
    <s v="Perez Aguirre"/>
    <s v="Luis Alejandro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081"/>
    <n v="88365"/>
    <n v="3667105"/>
    <s v="TLMK"/>
    <s v="CSV1"/>
    <n v="80740"/>
    <n v="74054"/>
    <s v="perez.2580"/>
    <s v="VCTLUPER"/>
    <d v="2020-04-22T00:00:00"/>
    <n v="3815426913"/>
    <n v="32158208"/>
    <s v="20-32158208-8"/>
    <d v="2020-04-21T00:00:00"/>
    <d v="2020-04-21T00:00:00"/>
    <d v="2020-04-22T00:00:00"/>
    <n v="121"/>
    <s v="Campus Casino"/>
  </r>
  <r>
    <x v="0"/>
    <x v="6"/>
    <s v="Roibon Mesias"/>
    <s v="Tomas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233"/>
    <n v="84361"/>
    <n v="2741853"/>
    <s v="Servicios web"/>
    <s v="CSV1; servicions WEB; Compras Referidas"/>
    <n v="80740"/>
    <n v="74054"/>
    <s v="roibonmesias.5"/>
    <s v="VCTMEROI"/>
    <d v="2020-04-14T00:00:00"/>
    <s v="381-156153365"/>
    <n v="36948295"/>
    <n v="20369482956"/>
    <d v="2018-01-02T00:00:00"/>
    <d v="2020-04-09T00:00:00"/>
    <d v="2020-04-14T00:00:00"/>
    <n v="950"/>
    <s v="Campus Casino"/>
  </r>
  <r>
    <x v="0"/>
    <x v="6"/>
    <s v="Romano"/>
    <s v="Juan Pablo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4"/>
    <n v="87296"/>
    <n v="3462473"/>
    <s v="DVH"/>
    <s v="CSV1"/>
    <n v="80740"/>
    <n v="74054"/>
    <s v="romano.218"/>
    <s v="VCTJUROM"/>
    <d v="2020-03-31T00:00:00"/>
    <n v="3813039101"/>
    <n v="32460235"/>
    <s v="20-32460235-7"/>
    <d v="2019-08-26T00:00:00"/>
    <d v="2019-08-26T00:00:00"/>
    <d v="2019-09-05T00:00:00"/>
    <n v="356"/>
    <s v="Campus Casino"/>
  </r>
  <r>
    <x v="0"/>
    <x v="6"/>
    <s v="Romero"/>
    <s v="Romina Ailen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15"/>
    <n v="88176"/>
    <n v="3624188"/>
    <s v="CSV1"/>
    <s v="CSV1"/>
    <n v="80740"/>
    <n v="74054"/>
    <s v="romero.901"/>
    <s v="VCTROROM  "/>
    <d v="2020-06-07T00:00:00"/>
    <m/>
    <n v="41522108"/>
    <n v="27415221083"/>
    <d v="2019-12-09T00:00:00"/>
    <d v="2019-12-09T00:00:00"/>
    <d v="2020-01-01T00:00:00"/>
    <n v="253"/>
    <s v="Campus Casino"/>
  </r>
  <r>
    <x v="0"/>
    <x v="6"/>
    <s v="Serrano"/>
    <s v="Maria Catalina"/>
    <s v="OFF"/>
    <s v="Approved OFF"/>
    <s v="Approved OFF"/>
    <s v="Approved OFF"/>
    <s v="Approved OFF"/>
    <s v="Approved OFF"/>
    <s v="OFF"/>
    <m/>
    <s v="CAPA CSV1 a CSV2 08/10 - 08/31 (activo 09/01)(Hs Orig  16:00 - 21:00 OFF Dom Sab)"/>
    <s v="PT"/>
    <n v="0"/>
    <n v="0"/>
    <n v="0"/>
    <n v="0"/>
    <n v="0"/>
    <n v="0"/>
    <n v="0"/>
    <n v="0"/>
    <n v="89219"/>
    <n v="87059"/>
    <n v="3267967"/>
    <s v="DVH"/>
    <s v="CSV1"/>
    <n v="80740"/>
    <n v="74054"/>
    <s v="serrano.498"/>
    <s v="VCTMASER"/>
    <d v="2020-03-25T00:00:00"/>
    <s v="381-155997096"/>
    <n v="38063040"/>
    <n v="27380630406"/>
    <d v="2019-07-22T00:00:00"/>
    <d v="2019-07-23T00:00:00"/>
    <d v="2019-08-01T00:00:00"/>
    <n v="390"/>
    <s v="Campus Casino"/>
  </r>
  <r>
    <x v="2"/>
    <x v="7"/>
    <s v="Argañaráz"/>
    <s v="Luc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7"/>
    <n v="85609"/>
    <n v="1584478"/>
    <s v="CSV3"/>
    <s v="CSV2/ CSV3"/>
    <n v="74323"/>
    <n v="64118"/>
    <s v="arganaraz.45"/>
    <s v="VCTLUARG"/>
    <d v="2020-04-24T00:00:00"/>
    <s v="0381-156485869"/>
    <n v="36350437"/>
    <n v="20363504370"/>
    <d v="2018-05-07T00:00:00"/>
    <d v="2018-06-08T00:00:00"/>
    <d v="2018-06-11T00:00:00"/>
    <n v="825"/>
    <s v="Campus Casino"/>
  </r>
  <r>
    <x v="2"/>
    <x v="7"/>
    <s v="Arias"/>
    <s v="Daniela Beatriz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5"/>
    <n v="85619"/>
    <n v="2873635"/>
    <s v="VIP"/>
    <s v="CSV2/CSV3/ VIP"/>
    <n v="74323"/>
    <n v="64118"/>
    <s v="arias.191"/>
    <s v="VCTDAARI"/>
    <d v="2020-03-20T00:00:00"/>
    <s v="0381 -153011270"/>
    <n v="33978353"/>
    <n v="27339783530"/>
    <d v="2018-05-07T00:00:00"/>
    <d v="2018-06-08T00:00:00"/>
    <d v="2018-06-11T00:00:00"/>
    <n v="825"/>
    <s v="Campus Casino"/>
  </r>
  <r>
    <x v="2"/>
    <x v="7"/>
    <s v="Campos"/>
    <s v="Rodrigo Federic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9"/>
    <n v="78561"/>
    <n v="1159887"/>
    <s v="CSV3"/>
    <s v="CSV2/CSV3/HD"/>
    <n v="74323"/>
    <n v="64118"/>
    <s v="campos.120"/>
    <s v="VCTROCAM"/>
    <d v="2020-03-29T00:00:00"/>
    <s v="0381-153303102"/>
    <n v="37501588"/>
    <n v="23375015889"/>
    <d v="2014-01-04T00:00:00"/>
    <d v="2018-06-08T00:00:00"/>
    <d v="2018-06-11T00:00:00"/>
    <n v="2388"/>
    <s v="Campus Casino"/>
  </r>
  <r>
    <x v="2"/>
    <x v="7"/>
    <s v="Delgado"/>
    <s v="Jessica Elizabeth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81"/>
    <n v="86326"/>
    <n v="3138477"/>
    <s v="CSV2"/>
    <s v="CSV1 / CSV2"/>
    <n v="74323"/>
    <n v="64118"/>
    <s v="delgado.492 "/>
    <s v="VCTJEDEL "/>
    <d v="2020-03-26T00:00:00"/>
    <s v="0381-155789939"/>
    <n v="35029789"/>
    <n v="27350297893"/>
    <d v="2018-12-26T00:00:00"/>
    <d v="2018-12-26T00:00:00"/>
    <d v="2019-01-11T00:00:00"/>
    <n v="596"/>
    <s v="Campus Casino"/>
  </r>
  <r>
    <x v="2"/>
    <x v="7"/>
    <s v="Fernandez"/>
    <s v="Carolina del Valle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4"/>
    <n v="86327"/>
    <n v="3138516"/>
    <s v="CSV2"/>
    <s v="CSV1 / CSV2"/>
    <n v="74323"/>
    <n v="64118"/>
    <s v="fernandez.1680 "/>
    <s v="VCTCAFER "/>
    <d v="2020-03-26T00:00:00"/>
    <s v="0381-155090139"/>
    <n v="25502915"/>
    <n v="27255029156"/>
    <d v="2018-12-26T00:00:00"/>
    <d v="2018-12-26T00:00:00"/>
    <d v="2019-01-11T00:00:00"/>
    <n v="596"/>
    <s v="Campus Casino"/>
  </r>
  <r>
    <x v="2"/>
    <x v="7"/>
    <s v="Galarce"/>
    <s v="Diego Jos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7"/>
    <n v="76594"/>
    <n v="796797"/>
    <s v="CSV2"/>
    <s v="CSV2"/>
    <n v="74323"/>
    <n v="64118"/>
    <s v="galarce.6"/>
    <s v="VCTDIGAL"/>
    <d v="2020-03-31T00:00:00"/>
    <s v="0381 -156406308"/>
    <n v="33609113"/>
    <n v="20336091137"/>
    <d v="2012-04-09T00:00:00"/>
    <d v="2018-08-15T00:00:00"/>
    <d v="2018-08-16T00:00:00"/>
    <n v="3013"/>
    <s v="Campus Casino"/>
  </r>
  <r>
    <x v="0"/>
    <x v="2"/>
    <s v="Guzman"/>
    <s v="Nahuel Maximiliano"/>
    <s v="OFF"/>
    <s v="15:00 - 21:00"/>
    <s v="15:00 - 21:00"/>
    <s v="15:00 - 21:00"/>
    <s v="15:00 - 21:00"/>
    <s v="15:00 - 21:00"/>
    <s v="OFF"/>
    <m/>
    <s v="Cambio de horario durante WAHA a 15:00 - 21:00  (Hs Orig  09:00 - 15:00 OFF Dom Sab)"/>
    <s v="PT"/>
    <n v="0"/>
    <n v="6"/>
    <n v="6"/>
    <n v="6"/>
    <n v="6"/>
    <n v="6"/>
    <n v="0"/>
    <n v="30"/>
    <n v="89188"/>
    <n v="86341"/>
    <n v="3138508"/>
    <s v="CSV2"/>
    <s v="CSV1 / CSV2"/>
    <e v="#N/A"/>
    <n v="74054"/>
    <s v="guzman.452 "/>
    <s v="VCTNAGUZ "/>
    <d v="2020-03-27T00:00:00"/>
    <s v="0381-154347497"/>
    <n v="40273349"/>
    <n v="20402733498"/>
    <d v="2018-12-26T00:00:00"/>
    <d v="2018-12-26T00:00:00"/>
    <d v="2019-01-11T00:00:00"/>
    <n v="596"/>
    <s v="Campus Casino"/>
  </r>
  <r>
    <x v="2"/>
    <x v="7"/>
    <s v="Lopez"/>
    <s v="Ana Valen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6"/>
    <n v="86147"/>
    <n v="3118280"/>
    <s v="CSV2"/>
    <s v="CSV1 / CSV2"/>
    <n v="74323"/>
    <n v="64118"/>
    <s v="lpez.19 "/>
    <s v="VCTANLOP "/>
    <d v="2020-03-29T00:00:00"/>
    <s v="381-156254830"/>
    <n v="37740165"/>
    <n v="23377401654"/>
    <d v="2018-12-03T00:00:00"/>
    <d v="2018-12-03T00:00:00"/>
    <d v="2018-12-14T00:00:00"/>
    <n v="619"/>
    <s v="Campus Casino"/>
  </r>
  <r>
    <x v="2"/>
    <x v="7"/>
    <s v="Loto "/>
    <s v="Fernanda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003"/>
    <n v="81254"/>
    <n v="1313201"/>
    <s v="CSV2"/>
    <s v="CSV2"/>
    <n v="74323"/>
    <n v="64118"/>
    <s v="loto.10"/>
    <s v="VCTFELOT"/>
    <m/>
    <s v="0381-155533301"/>
    <n v="32775545"/>
    <n v="27327755450"/>
    <d v="2015-12-09T00:00:00"/>
    <d v="2018-06-08T00:00:00"/>
    <d v="2018-06-11T00:00:00"/>
    <n v="1693"/>
    <s v="Campus Casino"/>
  </r>
  <r>
    <x v="2"/>
    <x v="7"/>
    <s v="Lun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5"/>
    <n v="82428"/>
    <n v="1581549"/>
    <s v="CSV2"/>
    <s v="CSV1 / CSV2"/>
    <n v="74323"/>
    <n v="64118"/>
    <s v="luna.326"/>
    <s v="VCTMALUN"/>
    <d v="2020-03-22T00:00:00"/>
    <s v="0381-153025745"/>
    <n v="31127334"/>
    <n v="27311273340"/>
    <d v="2016-09-23T00:00:00"/>
    <d v="2018-11-05T00:00:00"/>
    <d v="2018-11-19T00:00:00"/>
    <n v="1409"/>
    <s v="Campus Casino"/>
  </r>
  <r>
    <x v="2"/>
    <x v="7"/>
    <s v="Mansilla"/>
    <s v="Micael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5"/>
    <n v="83798"/>
    <n v="2593757"/>
    <s v="CSV3"/>
    <s v="CSV2/ HD/ CSV3"/>
    <n v="74323"/>
    <n v="64118"/>
    <s v="mansilla.38"/>
    <s v="VCTMIMAN"/>
    <d v="2020-03-27T00:00:00"/>
    <s v="0381 -155403921"/>
    <n v="39140995"/>
    <n v="27391409957"/>
    <d v="2017-08-07T00:00:00"/>
    <d v="2018-08-15T00:00:00"/>
    <d v="2018-08-16T00:00:00"/>
    <n v="1095"/>
    <s v="Campus Casino"/>
  </r>
  <r>
    <x v="2"/>
    <x v="7"/>
    <s v="Martinez"/>
    <s v="Lorena Maca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20"/>
    <n v="85612"/>
    <n v="2445213"/>
    <s v="VIP"/>
    <s v="CSV2/ CSV3  VIP"/>
    <n v="74323"/>
    <n v="64118"/>
    <s v="martinez.2823"/>
    <s v="VCTMAMAR"/>
    <d v="2020-04-24T00:00:00"/>
    <s v="0381-153533229"/>
    <n v="41060279"/>
    <n v="27410602798"/>
    <d v="2018-05-07T00:00:00"/>
    <d v="2018-06-08T00:00:00"/>
    <d v="2018-06-11T00:00:00"/>
    <n v="825"/>
    <s v="Campus Casino"/>
  </r>
  <r>
    <x v="2"/>
    <x v="7"/>
    <s v="Morales"/>
    <s v="Lucas Santia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0"/>
    <n v="82330"/>
    <n v="1704898"/>
    <s v="HD"/>
    <s v="CSV2/ HD/ CSV3"/>
    <n v="74323"/>
    <n v="64118"/>
    <s v="morales.739"/>
    <s v="VCTLUMOR"/>
    <d v="2020-03-25T00:00:00"/>
    <s v="0381-154762606"/>
    <n v="39138577"/>
    <n v="20391385778"/>
    <d v="2016-08-31T00:00:00"/>
    <d v="2018-06-08T00:00:00"/>
    <d v="2018-06-11T00:00:00"/>
    <n v="1432"/>
    <s v="Campus Casino"/>
  </r>
  <r>
    <x v="2"/>
    <x v="7"/>
    <s v="Nuñez"/>
    <s v="Roxana Marc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1"/>
    <n v="71634"/>
    <n v="513017"/>
    <s v="DVH"/>
    <s v="CSV1"/>
    <n v="74323"/>
    <n v="64118"/>
    <s v="nunez.36"/>
    <s v="VCTRONUN"/>
    <d v="2020-04-24T00:00:00"/>
    <s v="0381-155710981"/>
    <n v="23931674"/>
    <n v="27239316749"/>
    <d v="2010-10-22T00:00:00"/>
    <d v="2018-06-08T00:00:00"/>
    <d v="2018-06-11T00:00:00"/>
    <n v="3540"/>
    <s v="Campus Casino"/>
  </r>
  <r>
    <x v="2"/>
    <x v="7"/>
    <s v="Palavecino"/>
    <s v="Marta Erik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8"/>
    <n v="77400"/>
    <n v="961948"/>
    <s v="VIP"/>
    <s v="CSV2/CSV3/ VIP"/>
    <n v="74323"/>
    <n v="64118"/>
    <s v="palavecino.17"/>
    <s v="VCTMAPAL"/>
    <d v="2020-03-29T00:00:00"/>
    <s v="0381 - 155089689"/>
    <n v="33161905"/>
    <n v="27331619057"/>
    <d v="2013-01-14T00:00:00"/>
    <d v="2018-08-15T00:00:00"/>
    <d v="2018-08-16T00:00:00"/>
    <n v="2738"/>
    <s v="Campus Casino"/>
  </r>
  <r>
    <x v="2"/>
    <x v="7"/>
    <s v="Rivadeneira"/>
    <s v="Maira Belén"/>
    <s v="OFF"/>
    <s v="LOA"/>
    <s v="LOA"/>
    <s v="LOA"/>
    <s v="LOA"/>
    <s v="LOA"/>
    <s v="OFF"/>
    <m/>
    <s v="LOA mm/dd - mm/dd"/>
    <s v="PT"/>
    <n v="0"/>
    <n v="0"/>
    <n v="0"/>
    <n v="0"/>
    <n v="0"/>
    <n v="0"/>
    <n v="0"/>
    <n v="0"/>
    <n v="89006"/>
    <n v="83577"/>
    <n v="2523177"/>
    <s v="CSV2"/>
    <s v="CSV2"/>
    <n v="74323"/>
    <n v="64118"/>
    <s v="rivadeneira.25"/>
    <s v="VCTMARIV"/>
    <m/>
    <s v="0381-155974525"/>
    <n v="39729566"/>
    <n v="23397295664"/>
    <d v="2016-06-01T00:00:00"/>
    <d v="2018-06-08T00:00:00"/>
    <d v="2018-06-11T00:00:00"/>
    <n v="1521"/>
    <s v="Campus Casino"/>
  </r>
  <r>
    <x v="2"/>
    <x v="7"/>
    <s v="Rodriguez Ciccio"/>
    <s v="Nicolas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3"/>
    <n v="86339"/>
    <n v="3138527"/>
    <s v="VIP"/>
    <s v="CSV2/CSV3/ VIP"/>
    <n v="74323"/>
    <n v="64118"/>
    <s v="rodriguezciccio.5 "/>
    <s v="VCTNIROD "/>
    <d v="2020-03-29T00:00:00"/>
    <s v="381-156632446"/>
    <n v="40531146"/>
    <n v="20405311462"/>
    <d v="2018-12-26T00:00:00"/>
    <d v="2018-12-26T00:00:00"/>
    <d v="2019-01-11T00:00:00"/>
    <n v="596"/>
    <s v="Campus Casino"/>
  </r>
  <r>
    <x v="2"/>
    <x v="7"/>
    <s v="Salas"/>
    <s v="Melina del Carm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2"/>
    <n v="86156"/>
    <n v="3118290"/>
    <s v="CSV2"/>
    <s v="CSV1 / CSV2"/>
    <n v="74323"/>
    <n v="64118"/>
    <s v="Salas.258"/>
    <s v="VCTMESAL "/>
    <d v="2020-03-29T00:00:00"/>
    <s v="381-155940438"/>
    <n v="39574228"/>
    <n v="27395742286"/>
    <d v="2018-12-03T00:00:00"/>
    <d v="2018-12-03T00:00:00"/>
    <d v="2018-12-14T00:00:00"/>
    <n v="619"/>
    <s v="Campus Casino"/>
  </r>
  <r>
    <x v="2"/>
    <x v="7"/>
    <s v="Santucho"/>
    <s v="Ramon Eduar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5"/>
    <n v="83852"/>
    <n v="2592591"/>
    <s v="VIP"/>
    <s v="CSV2/CSV3/ VIP"/>
    <n v="74323"/>
    <n v="64118"/>
    <s v="santucho.19"/>
    <s v="VCTRASAN"/>
    <d v="2020-03-25T00:00:00"/>
    <s v="0381 -156858989"/>
    <n v="38243803"/>
    <n v="20382438036"/>
    <d v="2017-08-07T00:00:00"/>
    <d v="2018-08-15T00:00:00"/>
    <d v="2018-08-16T00:00:00"/>
    <n v="1095"/>
    <s v="Campus Casino"/>
  </r>
  <r>
    <x v="2"/>
    <x v="7"/>
    <s v="Vargas"/>
    <s v="Ivan Xavier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5"/>
    <n v="86285"/>
    <n v="2831528"/>
    <s v="DVH"/>
    <s v="CSV1"/>
    <n v="74323"/>
    <n v="64118"/>
    <s v="Vargas.622"/>
    <s v="VCTIVVAR "/>
    <d v="2020-03-26T00:00:00"/>
    <s v="0381-153906006"/>
    <n v="39313697"/>
    <n v="23393136979"/>
    <d v="2018-12-17T00:00:00"/>
    <d v="2018-12-17T00:00:00"/>
    <d v="2019-01-02T00:00:00"/>
    <n v="605"/>
    <s v="Campus Casino"/>
  </r>
  <r>
    <x v="2"/>
    <x v="5"/>
    <s v="Alcaraz"/>
    <s v="Maria Gabriel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5"/>
    <n v="88157"/>
    <n v="3624105"/>
    <s v="Habilitaciones"/>
    <s v="CSV1"/>
    <n v="77681"/>
    <n v="64118"/>
    <s v="alcaraz.92"/>
    <s v="VCTMAALC  "/>
    <d v="2020-03-31T00:00:00"/>
    <m/>
    <n v="35816404"/>
    <n v="27358164043"/>
    <d v="2019-12-09T00:00:00"/>
    <d v="2019-12-09T00:00:00"/>
    <d v="2020-01-01T00:00:00"/>
    <n v="253"/>
    <s v="Campus Casino"/>
  </r>
  <r>
    <x v="2"/>
    <x v="5"/>
    <s v="Almada"/>
    <s v="Nancy Alejand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38"/>
    <n v="88032"/>
    <n v="3553100"/>
    <s v="DVH"/>
    <s v="CSV1"/>
    <n v="77681"/>
    <n v="64118"/>
    <s v="almada.19"/>
    <s v="VCTNAALM "/>
    <d v="2020-04-22T00:00:00"/>
    <s v="03813016250"/>
    <n v="32459324"/>
    <s v="27-32459324-7"/>
    <d v="2020-04-21T00:00:00"/>
    <d v="2020-04-21T00:00:00"/>
    <d v="2020-04-22T00:00:00"/>
    <n v="121"/>
    <s v="Campus Casino"/>
  </r>
  <r>
    <x v="2"/>
    <x v="8"/>
    <s v="Angulo"/>
    <s v="Luciano Nicolas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7"/>
    <n v="86333"/>
    <n v="3138500"/>
    <s v="Compras Referidas"/>
    <s v="CSV1"/>
    <n v="78667"/>
    <n v="64118"/>
    <s v="angulo.38 "/>
    <s v="VCTLUANG"/>
    <d v="2020-07-17T00:00:00"/>
    <s v="0381-154679160"/>
    <n v="37502888"/>
    <s v="20-37502888-4"/>
    <d v="2018-12-26T00:00:00"/>
    <d v="2018-12-26T00:00:00"/>
    <d v="2019-01-11T00:00:00"/>
    <n v="596"/>
    <s v="Campus Casino"/>
  </r>
  <r>
    <x v="2"/>
    <x v="5"/>
    <s v="Arias"/>
    <s v="Alvaro Rodrig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7"/>
    <n v="88158"/>
    <n v="3542988"/>
    <s v="Servicios web"/>
    <s v="CSV1"/>
    <n v="77681"/>
    <n v="64118"/>
    <s v="arias.266"/>
    <s v="VCTALARI  "/>
    <d v="2020-03-26T00:00:00"/>
    <m/>
    <n v="38490162"/>
    <n v="20384901620"/>
    <d v="2019-12-09T00:00:00"/>
    <d v="2019-12-09T00:00:00"/>
    <d v="2020-01-01T00:00:00"/>
    <n v="253"/>
    <s v="Campus Casino"/>
  </r>
  <r>
    <x v="2"/>
    <x v="5"/>
    <s v="Boffa"/>
    <s v="Maria de Los Angel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9"/>
    <n v="85338"/>
    <n v="2811355"/>
    <s v="Servicios web"/>
    <s v="CSV1"/>
    <n v="77681"/>
    <n v="64118"/>
    <s v="boffa.6"/>
    <s v="VCTMABOF"/>
    <d v="2020-03-26T00:00:00"/>
    <s v="0381 -153463744"/>
    <n v="39358274"/>
    <n v="27393582745"/>
    <d v="2018-03-12T00:00:00"/>
    <d v="2018-08-15T00:00:00"/>
    <d v="2018-08-16T00:00:00"/>
    <n v="880"/>
    <s v="Campus Casino"/>
  </r>
  <r>
    <x v="2"/>
    <x v="5"/>
    <s v="Cerdeira"/>
    <s v="Rosana Vale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5"/>
    <n v="77345"/>
    <n v="946453"/>
    <s v="CSV1"/>
    <s v="CSV1; servicions WEB; Compras Referidas"/>
    <n v="77681"/>
    <n v="64118"/>
    <s v="cerdeira.5"/>
    <e v="#N/A"/>
    <d v="2020-04-14T00:00:00"/>
    <n v="3814299551"/>
    <n v="29412707"/>
    <n v="27294127076"/>
    <d v="2012-12-19T00:00:00"/>
    <d v="2020-04-09T00:00:00"/>
    <d v="2020-04-14T00:00:00"/>
    <n v="2763"/>
    <s v="Campus Casino"/>
  </r>
  <r>
    <x v="2"/>
    <x v="5"/>
    <s v="Cortes Jozami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0"/>
    <n v="88142"/>
    <n v="3624021"/>
    <s v="Servicios web"/>
    <s v="CSV1"/>
    <n v="77681"/>
    <n v="64118"/>
    <s v="cortes.329"/>
    <s v="VCTANJOZ  "/>
    <d v="2020-03-27T00:00:00"/>
    <m/>
    <n v="39573252"/>
    <n v="27395732523"/>
    <d v="2019-12-09T00:00:00"/>
    <d v="2019-12-09T00:00:00"/>
    <d v="2020-01-01T00:00:00"/>
    <n v="253"/>
    <s v="Campus Casino"/>
  </r>
  <r>
    <x v="2"/>
    <x v="5"/>
    <s v="Delgado"/>
    <s v="Maria Celest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8"/>
    <n v="88140"/>
    <n v="3623922"/>
    <s v="DVH"/>
    <s v="CSV1"/>
    <n v="77681"/>
    <n v="64118"/>
    <s v="delgado.581"/>
    <s v="VCTMADEL  "/>
    <d v="2020-03-20T00:00:00"/>
    <m/>
    <n v="41276143"/>
    <n v="27412761435"/>
    <d v="2019-12-09T00:00:00"/>
    <d v="2019-12-09T00:00:00"/>
    <d v="2020-01-01T00:00:00"/>
    <n v="253"/>
    <s v="Campus Casino"/>
  </r>
  <r>
    <x v="2"/>
    <x v="5"/>
    <s v="Dilodovico"/>
    <s v="Mari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6"/>
    <n v="83998"/>
    <n v="2714192"/>
    <s v="CSV1"/>
    <s v="CSV1; servicions WEB; Compras Referidas"/>
    <n v="77681"/>
    <n v="64118"/>
    <s v="Dilodovico,5"/>
    <e v="#N/A"/>
    <d v="2020-04-14T00:00:00"/>
    <s v="0381-156981607"/>
    <n v="35921164"/>
    <n v="27359211649"/>
    <d v="2017-11-27T00:00:00"/>
    <d v="2020-04-09T00:00:00"/>
    <d v="2020-04-14T00:00:00"/>
    <n v="985"/>
    <s v="Campus Casino"/>
  </r>
  <r>
    <x v="2"/>
    <x v="5"/>
    <s v="Infante Marcello"/>
    <s v="Christian Sebastia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1"/>
    <n v="86282"/>
    <n v="3133234"/>
    <s v="Compras Referidas"/>
    <s v="DVH / Compras Referidas/ Servicios Web"/>
    <n v="77681"/>
    <n v="64118"/>
    <s v="Infantemarcello.6"/>
    <s v="VCTCHINF"/>
    <d v="2020-03-22T00:00:00"/>
    <s v="0381-155124517"/>
    <n v="40437969"/>
    <n v="23404379690"/>
    <d v="2018-12-17T00:00:00"/>
    <d v="2018-12-17T00:00:00"/>
    <d v="2019-01-02T00:00:00"/>
    <n v="605"/>
    <s v="Campus Casino"/>
  </r>
  <r>
    <x v="0"/>
    <x v="6"/>
    <s v="Jorge"/>
    <s v="German Oma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24"/>
    <n v="86148"/>
    <n v="3118297"/>
    <s v="Servicios web"/>
    <s v="CSV1"/>
    <n v="80740"/>
    <n v="74054"/>
    <s v="jorge.100 "/>
    <s v="VCTGEJOR "/>
    <d v="2020-03-20T00:00:00"/>
    <s v="381-155235919"/>
    <n v="39078538"/>
    <n v="20390785381"/>
    <d v="2018-12-03T00:00:00"/>
    <d v="2018-12-03T00:00:00"/>
    <d v="2018-12-14T00:00:00"/>
    <n v="619"/>
    <s v="Campus Casino"/>
  </r>
  <r>
    <x v="2"/>
    <x v="5"/>
    <s v="Juarez"/>
    <s v="Patrici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28"/>
    <n v="81801"/>
    <n v="2068786"/>
    <s v="CSV1"/>
    <s v="CSV1; servicions WEB; Compras Referidas"/>
    <n v="77681"/>
    <n v="64118"/>
    <s v="juarez.206"/>
    <s v="VCTPAJUA"/>
    <d v="2020-04-14T00:00:00"/>
    <n v="156578456"/>
    <n v="32630352"/>
    <n v="27326303521"/>
    <d v="2016-05-04T00:00:00"/>
    <d v="2020-04-09T00:00:00"/>
    <d v="2020-04-14T00:00:00"/>
    <n v="1548"/>
    <s v="Campus Casino"/>
  </r>
  <r>
    <x v="2"/>
    <x v="5"/>
    <s v="Merlo"/>
    <s v="Rocio Agusti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3"/>
    <n v="88029"/>
    <n v="3553091"/>
    <s v="DVH"/>
    <s v="CSV1"/>
    <n v="77681"/>
    <n v="64118"/>
    <s v="merlo.17"/>
    <s v="VCTROMER"/>
    <d v="2020-04-22T00:00:00"/>
    <s v="03814432147/ 03816301594"/>
    <n v="41950682"/>
    <s v="27-41950682-1"/>
    <d v="2020-04-21T00:00:00"/>
    <d v="2020-04-21T00:00:00"/>
    <d v="2020-04-22T00:00:00"/>
    <n v="121"/>
    <s v="Campus Casino"/>
  </r>
  <r>
    <x v="2"/>
    <x v="5"/>
    <s v="Moreira"/>
    <s v="Fernando Ez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8"/>
    <n v="88150"/>
    <n v="2837489"/>
    <s v="DVH"/>
    <s v="CSV1"/>
    <n v="77681"/>
    <n v="64118"/>
    <s v="moreira.521"/>
    <s v="VCTFEMOR  "/>
    <d v="2020-03-22T00:00:00"/>
    <m/>
    <n v="41950442"/>
    <n v="20419504425"/>
    <d v="2019-12-09T00:00:00"/>
    <d v="2019-12-09T00:00:00"/>
    <d v="2020-01-01T00:00:00"/>
    <n v="253"/>
    <s v="Campus Casino"/>
  </r>
  <r>
    <x v="2"/>
    <x v="5"/>
    <s v="Rodriguez"/>
    <s v="Maria Florenci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9"/>
    <n v="86281"/>
    <n v="2464942"/>
    <s v="DVH"/>
    <s v="CSV1"/>
    <n v="77681"/>
    <n v="64118"/>
    <s v="Rodriguez.3446"/>
    <s v="VCTMAROD "/>
    <d v="2020-03-26T00:00:00"/>
    <s v="0381-155178960"/>
    <n v="39358829"/>
    <n v="27393588298"/>
    <d v="2018-12-17T00:00:00"/>
    <d v="2018-12-17T00:00:00"/>
    <d v="2019-01-02T00:00:00"/>
    <n v="605"/>
    <s v="Campus Casino"/>
  </r>
  <r>
    <x v="2"/>
    <x v="5"/>
    <s v="Vidal"/>
    <s v="Maria Elis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2"/>
    <n v="88144"/>
    <n v="3624024"/>
    <s v="TLMK"/>
    <s v="CSV1"/>
    <n v="77681"/>
    <n v="64118"/>
    <s v="vidal.239"/>
    <s v="VCTMAVID  "/>
    <d v="2020-03-26T00:00:00"/>
    <m/>
    <n v="40314189"/>
    <n v="27403141890"/>
    <d v="2019-12-09T00:00:00"/>
    <d v="2019-12-09T00:00:00"/>
    <d v="2020-01-01T00:00:00"/>
    <n v="253"/>
    <s v="Campus Casino"/>
  </r>
  <r>
    <x v="2"/>
    <x v="5"/>
    <s v="Vizcarra"/>
    <s v="Ayelén Magalí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76"/>
    <n v="88360"/>
    <n v="3667100"/>
    <s v="TLMK"/>
    <s v="CSV1"/>
    <n v="77681"/>
    <n v="64118"/>
    <s v="vizcarra.70"/>
    <s v="VCTAYVIZ"/>
    <d v="2020-04-22T00:00:00"/>
    <s v="03814751743"/>
    <n v="40089513"/>
    <s v="27-40089513-4"/>
    <d v="2020-04-21T00:00:00"/>
    <d v="2020-04-21T00:00:00"/>
    <d v="2020-04-22T00:00:00"/>
    <n v="121"/>
    <s v="Campus Casino"/>
  </r>
  <r>
    <x v="2"/>
    <x v="9"/>
    <s v="Barros"/>
    <s v="Ju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06"/>
    <n v="85274"/>
    <n v="2804853"/>
    <s v="CSV3"/>
    <s v="CSV2 / CSV3 / HD"/>
    <n v="66977"/>
    <n v="64118"/>
    <s v="barros.296"/>
    <s v="VCTJUBAR"/>
    <d v="2020-03-29T00:00:00"/>
    <s v="0381-155278437"/>
    <n v="37188262"/>
    <n v="20371882627"/>
    <d v="2018-03-05T00:00:00"/>
    <d v="2018-11-05T00:00:00"/>
    <d v="2018-11-19T00:00:00"/>
    <n v="887"/>
    <s v="Campus Casino"/>
  </r>
  <r>
    <x v="2"/>
    <x v="9"/>
    <s v="Bulacio Pereyra"/>
    <s v="Leandro Emiliano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17"/>
    <n v="86142"/>
    <n v="3118266"/>
    <s v="CSV2"/>
    <s v="CSV2"/>
    <n v="66977"/>
    <n v="64118"/>
    <s v="bulaciopereyra.5 "/>
    <s v="VCTLEBUL"/>
    <d v="2020-04-24T00:00:00"/>
    <s v="387-154037371"/>
    <n v="39037592"/>
    <n v="20390375922"/>
    <d v="2018-12-03T00:00:00"/>
    <d v="2018-12-03T00:00:00"/>
    <d v="2018-12-14T00:00:00"/>
    <n v="619"/>
    <s v="Campus Casino"/>
  </r>
  <r>
    <x v="2"/>
    <x v="9"/>
    <s v="Campo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7"/>
    <n v="83159"/>
    <n v="2426406"/>
    <s v="CSV2"/>
    <s v="CSV2"/>
    <n v="66977"/>
    <n v="64118"/>
    <s v="campos.467"/>
    <s v="VCTMACAM"/>
    <d v="2020-03-25T00:00:00"/>
    <s v="+54 381 429 8982"/>
    <n v="34064086"/>
    <n v="27340640867"/>
    <d v="2017-03-06T00:00:00"/>
    <d v="2018-11-05T00:00:00"/>
    <d v="2018-11-19T00:00:00"/>
    <n v="1246"/>
    <s v="Campus Casino"/>
  </r>
  <r>
    <x v="2"/>
    <x v="9"/>
    <s v="Delgado"/>
    <s v="Daiana Me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2"/>
    <n v="86332"/>
    <n v="3138445"/>
    <s v="Compras Referidas"/>
    <s v="DVH / Compras Referidas / Servicios web / Formularios de contacto Débito/TLMK"/>
    <n v="66977"/>
    <n v="64118"/>
    <s v="delgado.491 "/>
    <s v="VCTDADEL "/>
    <d v="2020-03-25T00:00:00"/>
    <s v="0381-156938777"/>
    <n v="39575029"/>
    <n v="27395750297"/>
    <d v="2018-12-26T00:00:00"/>
    <d v="2018-12-26T00:00:00"/>
    <d v="2019-01-11T00:00:00"/>
    <n v="596"/>
    <s v="Campus Casino"/>
  </r>
  <r>
    <x v="2"/>
    <x v="9"/>
    <s v="Felipe "/>
    <s v="Erik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8"/>
    <n v="83111"/>
    <n v="2426435"/>
    <s v="CSV2"/>
    <s v="CSV2"/>
    <n v="66977"/>
    <n v="64118"/>
    <s v="felipe.89"/>
    <s v="VCTERFEL"/>
    <d v="2020-03-29T00:00:00"/>
    <s v="0381-156547468"/>
    <n v="39143903"/>
    <n v="27391439031"/>
    <d v="2017-03-06T00:00:00"/>
    <d v="2018-06-08T00:00:00"/>
    <d v="2018-06-11T00:00:00"/>
    <n v="1246"/>
    <s v="Campus Casino"/>
  </r>
  <r>
    <x v="2"/>
    <x v="9"/>
    <s v="Isa Massa "/>
    <s v="Leila Gabri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0"/>
    <n v="78218"/>
    <n v="1167531"/>
    <s v="Compras Referidas"/>
    <s v="CSV1"/>
    <n v="66977"/>
    <n v="64118"/>
    <s v="isamassa.5"/>
    <s v="VCTLEISA"/>
    <d v="2020-03-29T00:00:00"/>
    <s v="0381-154192983"/>
    <n v="29290007"/>
    <n v="23292900074"/>
    <d v="2013-11-04T00:00:00"/>
    <d v="2018-06-08T00:00:00"/>
    <d v="2018-06-11T00:00:00"/>
    <n v="2448"/>
    <s v="Campus Casino"/>
  </r>
  <r>
    <x v="2"/>
    <x v="9"/>
    <s v="Jeréz"/>
    <s v="Eliana Del Milag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4"/>
    <n v="65030"/>
    <n v="433692"/>
    <s v="HD"/>
    <s v="CSV2 / HD/ CSV3"/>
    <n v="66977"/>
    <n v="64118"/>
    <s v="jerez.14"/>
    <s v="VCTELJER"/>
    <d v="2020-03-29T00:00:00"/>
    <s v="0381-154067498"/>
    <n v="27016062"/>
    <n v="27270160625"/>
    <d v="2009-07-06T00:00:00"/>
    <d v="2018-06-08T00:00:00"/>
    <d v="2018-06-11T00:00:00"/>
    <n v="4006"/>
    <s v="Campus Casino"/>
  </r>
  <r>
    <x v="2"/>
    <x v="9"/>
    <s v="Lopez"/>
    <s v="Ruth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2"/>
    <n v="86292"/>
    <n v="3133281"/>
    <s v="CSV3"/>
    <s v="CSV2 / CSV3"/>
    <n v="66977"/>
    <n v="64118"/>
    <s v="lopez.2492 "/>
    <s v="VCTRULOP "/>
    <d v="2020-03-27T00:00:00"/>
    <s v="0381-153514301"/>
    <n v="39357619"/>
    <n v="27393576192"/>
    <d v="2018-12-17T00:00:00"/>
    <d v="2018-12-17T00:00:00"/>
    <d v="2019-01-02T00:00:00"/>
    <n v="605"/>
    <s v="Campus Casino"/>
  </r>
  <r>
    <x v="2"/>
    <x v="9"/>
    <s v="Luna"/>
    <s v="Veronica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7"/>
    <n v="86143"/>
    <n v="3118251"/>
    <s v="CSV2"/>
    <s v="CSV1 / CSV2"/>
    <n v="66977"/>
    <n v="64118"/>
    <s v="luna.535 "/>
    <s v="VCTVELUN "/>
    <d v="2020-03-20T00:00:00"/>
    <s v="381-155633166"/>
    <n v="33755672"/>
    <n v="27337556723"/>
    <d v="2018-12-03T00:00:00"/>
    <d v="2018-12-03T00:00:00"/>
    <d v="2018-12-14T00:00:00"/>
    <n v="619"/>
    <s v="Campus Casino"/>
  </r>
  <r>
    <x v="2"/>
    <x v="9"/>
    <s v="Malinar"/>
    <s v="Lor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6"/>
    <n v="82628"/>
    <n v="2313063"/>
    <s v="CSV2"/>
    <s v="CSV2"/>
    <n v="66977"/>
    <n v="64118"/>
    <s v="malinar.5"/>
    <s v="VCTLOMAL"/>
    <d v="2020-03-29T00:00:00"/>
    <s v="0381-154160828"/>
    <n v="25255663"/>
    <n v="27252556635"/>
    <d v="2016-11-14T00:00:00"/>
    <d v="2018-11-05T00:00:00"/>
    <d v="2018-11-19T00:00:00"/>
    <n v="1358"/>
    <s v="Campus Casino"/>
  </r>
  <r>
    <x v="2"/>
    <x v="9"/>
    <s v="Molina "/>
    <s v="María Jime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05"/>
    <n v="80059"/>
    <n v="1535349"/>
    <s v="Compras Referidas"/>
    <s v="CSV1"/>
    <n v="66977"/>
    <n v="64118"/>
    <s v="molina.244"/>
    <s v="VCTMAMOL"/>
    <d v="2020-04-24T00:00:00"/>
    <s v="0381-155198663"/>
    <n v="36583773"/>
    <n v="27365837738"/>
    <d v="2015-01-05T00:00:00"/>
    <d v="2018-06-08T00:00:00"/>
    <d v="2018-06-11T00:00:00"/>
    <n v="2027"/>
    <s v="Campus Casino"/>
  </r>
  <r>
    <x v="2"/>
    <x v="9"/>
    <s v="Morales Casen"/>
    <s v="Zaida Yami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0"/>
    <n v="86338"/>
    <n v="3138452"/>
    <s v="CSV2"/>
    <s v="CSV2"/>
    <n v="66977"/>
    <n v="64118"/>
    <s v="moralescasen.5 "/>
    <s v="VCTZAMOR "/>
    <d v="2020-03-25T00:00:00"/>
    <s v="0381-156645832"/>
    <n v="39575371"/>
    <n v="27395753717"/>
    <d v="2018-12-26T00:00:00"/>
    <d v="2018-12-26T00:00:00"/>
    <d v="2019-01-11T00:00:00"/>
    <n v="596"/>
    <s v="Campus Casino"/>
  </r>
  <r>
    <x v="2"/>
    <x v="9"/>
    <s v="Pacheco"/>
    <s v="Milagro Belen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93"/>
    <n v="83709"/>
    <n v="2557023"/>
    <s v="CSV2"/>
    <s v="CSV2"/>
    <n v="66977"/>
    <n v="64118"/>
    <s v="pacheco.259"/>
    <s v="VCTBEPAC"/>
    <d v="2020-04-24T00:00:00"/>
    <s v="0381-156870493 / 0381-156870493"/>
    <n v="40237972"/>
    <n v="27402379729"/>
    <d v="2017-07-03T00:00:00"/>
    <d v="2018-11-05T00:00:00"/>
    <d v="2018-11-19T00:00:00"/>
    <n v="1129"/>
    <s v="Campus Casino"/>
  </r>
  <r>
    <x v="2"/>
    <x v="9"/>
    <s v="Pavón"/>
    <s v="Marcos Fid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33"/>
    <n v="80925"/>
    <n v="1846621"/>
    <s v="CSV3"/>
    <s v="CSV2 / CSV3"/>
    <n v="66977"/>
    <n v="64118"/>
    <s v="pavn.6"/>
    <s v="VCTMAPAV"/>
    <d v="2020-03-26T00:00:00"/>
    <s v="0381 -156365778"/>
    <n v="38745124"/>
    <n v="20387451243"/>
    <d v="2015-10-05T00:00:00"/>
    <d v="2018-08-15T00:00:00"/>
    <d v="2018-08-16T00:00:00"/>
    <n v="1757"/>
    <s v="Campus Casino"/>
  </r>
  <r>
    <x v="2"/>
    <x v="9"/>
    <s v="Ponce"/>
    <s v="Lucia Em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30"/>
    <n v="86149"/>
    <n v="1947342"/>
    <s v="CSV3"/>
    <s v="CSV2/ CSV3"/>
    <n v="66977"/>
    <n v="64118"/>
    <s v="ponce.308 "/>
    <s v="VCTLUPON "/>
    <d v="2020-04-13T00:00:00"/>
    <s v="381-153311458"/>
    <n v="37927030"/>
    <n v="27379270307"/>
    <d v="2018-12-03T00:00:00"/>
    <d v="2018-12-03T00:00:00"/>
    <d v="2018-12-14T00:00:00"/>
    <n v="619"/>
    <s v="Campus Casino"/>
  </r>
  <r>
    <x v="2"/>
    <x v="9"/>
    <s v="Reyna "/>
    <s v="Edith Macare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5"/>
    <n v="85607"/>
    <n v="2873901"/>
    <s v="DVH"/>
    <s v="CSV1"/>
    <n v="66977"/>
    <n v="64118"/>
    <s v="reyna.146"/>
    <s v="VCTEDREY"/>
    <d v="2020-04-24T00:00:00"/>
    <s v="0381-155907511"/>
    <n v="37728242"/>
    <n v="27377282421"/>
    <d v="2018-05-07T00:00:00"/>
    <d v="2018-06-08T00:00:00"/>
    <d v="2018-06-11T00:00:00"/>
    <n v="825"/>
    <s v="Campus Casino"/>
  </r>
  <r>
    <x v="2"/>
    <x v="9"/>
    <s v="Serra"/>
    <s v="Tamar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1"/>
    <n v="86280"/>
    <n v="3133230"/>
    <s v="CSV2"/>
    <s v="CSV1 / CSV2"/>
    <n v="66977"/>
    <n v="64118"/>
    <s v="Serra.75"/>
    <s v="VCTTASER"/>
    <d v="2020-03-31T00:00:00"/>
    <s v="0381-154772633"/>
    <n v="39573437"/>
    <n v="27395734372"/>
    <d v="2018-12-17T00:00:00"/>
    <d v="2018-12-17T00:00:00"/>
    <d v="2019-01-02T00:00:00"/>
    <n v="605"/>
    <s v="Campus Casino"/>
  </r>
  <r>
    <x v="2"/>
    <x v="9"/>
    <s v="Silva"/>
    <s v="Franco Gabr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72"/>
    <n v="86295"/>
    <n v="3133292"/>
    <s v="CSV2"/>
    <s v="CSV1 / CSV2"/>
    <n v="66977"/>
    <n v="64118"/>
    <s v="silva.13039 "/>
    <s v="VCTFRSIL "/>
    <d v="2020-03-20T00:00:00"/>
    <s v="03865-15264084"/>
    <n v="43037646"/>
    <n v="20430376463"/>
    <d v="2018-12-17T00:00:00"/>
    <d v="2018-12-17T00:00:00"/>
    <d v="2019-01-02T00:00:00"/>
    <n v="605"/>
    <s v="Campus Casino"/>
  </r>
  <r>
    <x v="2"/>
    <x v="9"/>
    <s v="Suarez"/>
    <s v="Maria Florenci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034"/>
    <n v="80985"/>
    <n v="1880542"/>
    <s v="CSV2"/>
    <s v="CSV2"/>
    <n v="66977"/>
    <n v="64118"/>
    <s v="suarez.249"/>
    <s v="VCTMASUA"/>
    <d v="2020-04-24T00:00:00"/>
    <s v="0381 -155191372"/>
    <n v="34133058"/>
    <n v="27341330586"/>
    <d v="2015-11-02T00:00:00"/>
    <d v="2018-08-15T00:00:00"/>
    <d v="2018-08-16T00:00:00"/>
    <n v="1730"/>
    <s v="Campus Casino"/>
  </r>
  <r>
    <x v="2"/>
    <x v="9"/>
    <s v="Valverde"/>
    <s v="Lourdes Oriana"/>
    <s v="OFF"/>
    <s v="Approved OFF"/>
    <s v="Approved OFF"/>
    <s v="Approved OFF"/>
    <s v="Approved OFF"/>
    <s v="Approved OFF"/>
    <s v="OFF"/>
    <m/>
    <s v="CAPA CSV2 a CSV3 08/11 - 08/26 (activo 08/27)(Hs Orig  09:00 - 15:00 OFF Dom Sab)"/>
    <s v="PT"/>
    <n v="0"/>
    <n v="0"/>
    <n v="0"/>
    <n v="0"/>
    <n v="0"/>
    <n v="0"/>
    <n v="0"/>
    <n v="0"/>
    <n v="89134"/>
    <n v="86146"/>
    <n v="3118276"/>
    <s v="CSV2"/>
    <s v="CSV2"/>
    <n v="66977"/>
    <n v="64118"/>
    <s v="valverde.30 "/>
    <s v="VCTLOVAL "/>
    <d v="2020-03-29T00:00:00"/>
    <s v="381-154748771"/>
    <n v="41299933"/>
    <n v="27412999334"/>
    <d v="2018-12-03T00:00:00"/>
    <d v="2018-12-03T00:00:00"/>
    <d v="2018-12-14T00:00:00"/>
    <n v="619"/>
    <s v="Campus Casino"/>
  </r>
  <r>
    <x v="2"/>
    <x v="8"/>
    <s v="Acosta"/>
    <s v="Joaquin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7"/>
    <n v="88139"/>
    <n v="3623919"/>
    <s v="Habilitaciones"/>
    <s v="CSV1"/>
    <n v="78667"/>
    <n v="64118"/>
    <s v="acosta.529"/>
    <s v="VCTJOACO  "/>
    <d v="2020-03-26T00:00:00"/>
    <m/>
    <n v="39138709"/>
    <n v="20391387096"/>
    <d v="2019-12-09T00:00:00"/>
    <d v="2019-12-09T00:00:00"/>
    <d v="2020-01-01T00:00:00"/>
    <n v="253"/>
    <s v="Campus Casino"/>
  </r>
  <r>
    <x v="2"/>
    <x v="8"/>
    <s v="Alderete"/>
    <s v="Mayra Lucian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2"/>
    <n v="88362"/>
    <n v="3667102"/>
    <s v="CSV1"/>
    <s v="CSV1"/>
    <n v="78667"/>
    <n v="64118"/>
    <m/>
    <s v="VCTLUALD"/>
    <m/>
    <m/>
    <n v="33374870"/>
    <s v="27-33374870-9"/>
    <d v="2020-07-14T00:00:00"/>
    <d v="2020-07-14T00:00:00"/>
    <d v="2020-07-17T00:00:00"/>
    <n v="38"/>
    <s v="Campus Casino"/>
  </r>
  <r>
    <x v="2"/>
    <x v="8"/>
    <s v="Barrionuevo"/>
    <s v="Natali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16"/>
    <n v="86139"/>
    <n v="3118248"/>
    <s v="Servicios web"/>
    <s v="CSV1"/>
    <n v="78667"/>
    <n v="64118"/>
    <s v="barrionuevo.75 "/>
    <s v="VCTNABAR"/>
    <d v="2020-03-25T00:00:00"/>
    <s v="381-155893430"/>
    <n v="27017947"/>
    <n v="27270179474"/>
    <d v="2018-12-03T00:00:00"/>
    <d v="2018-12-03T00:00:00"/>
    <d v="2018-12-14T00:00:00"/>
    <n v="619"/>
    <s v="Campus Casino"/>
  </r>
  <r>
    <x v="2"/>
    <x v="8"/>
    <s v="Barros Fernandez"/>
    <s v="Mari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4"/>
    <n v="88146"/>
    <n v="3624026"/>
    <s v="Servicios web"/>
    <s v="CSV1"/>
    <n v="78667"/>
    <n v="64118"/>
    <s v="barrosfernandez.5"/>
    <s v="VCTMABAR  "/>
    <d v="2020-03-29T00:00:00"/>
    <m/>
    <n v="39972866"/>
    <n v="27399728660"/>
    <d v="2019-12-09T00:00:00"/>
    <d v="2019-12-09T00:00:00"/>
    <d v="2020-01-01T00:00:00"/>
    <n v="253"/>
    <s v="Campus Casino"/>
  </r>
  <r>
    <x v="2"/>
    <x v="8"/>
    <s v="Bonadelli"/>
    <s v="Angel Fabia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36"/>
    <n v="73450"/>
    <n v="567214"/>
    <s v="Servicios web"/>
    <s v="CSV1"/>
    <n v="78667"/>
    <n v="64118"/>
    <s v="bonadeli.5"/>
    <s v="VCTANBON"/>
    <d v="2020-07-17T00:00:00"/>
    <s v="0386 -153501845"/>
    <n v="29088429"/>
    <s v="20-29088429-3"/>
    <d v="2010-11-08T00:00:00"/>
    <d v="2018-08-15T00:00:00"/>
    <d v="2018-08-16T00:00:00"/>
    <n v="3524"/>
    <s v="Campus Casino"/>
  </r>
  <r>
    <x v="2"/>
    <x v="8"/>
    <s v="Correa"/>
    <s v="David Maximiliano"/>
    <s v="OFF"/>
    <s v="LOA"/>
    <s v="LOA"/>
    <s v="LOA"/>
    <s v="LOA"/>
    <s v="LOA"/>
    <s v="OFF"/>
    <m/>
    <s v="LOA mm/dd - mm/dd (Hs Orig  09:00 - 15:00 OFF Dom Sab)"/>
    <s v="PT"/>
    <n v="0"/>
    <n v="0"/>
    <n v="0"/>
    <n v="0"/>
    <n v="0"/>
    <n v="0"/>
    <n v="0"/>
    <n v="0"/>
    <n v="89159"/>
    <n v="86277"/>
    <n v="3133223"/>
    <s v="DVH"/>
    <s v="CSV1"/>
    <n v="78667"/>
    <n v="64118"/>
    <s v="Correa.309"/>
    <s v="VCTDACOR"/>
    <d v="2020-07-28T00:00:00"/>
    <s v="0381-155618109"/>
    <n v="34285435"/>
    <n v="20342854355"/>
    <d v="2018-12-17T00:00:00"/>
    <d v="2018-12-17T00:00:00"/>
    <d v="2019-01-02T00:00:00"/>
    <n v="605"/>
    <s v="Campus Casino"/>
  </r>
  <r>
    <x v="2"/>
    <x v="8"/>
    <s v="Guevara"/>
    <s v="Carlos August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0"/>
    <n v="86286"/>
    <n v="3133265"/>
    <s v="CSV2"/>
    <s v="CSV2"/>
    <n v="78667"/>
    <n v="64118"/>
    <s v="guevara.168 "/>
    <s v="VCTCAGUE "/>
    <d v="2020-07-21T00:00:00"/>
    <s v="0381-154638420"/>
    <n v="36042494"/>
    <n v="20360424945"/>
    <d v="2018-12-17T00:00:00"/>
    <d v="2018-12-17T00:00:00"/>
    <d v="2019-01-02T00:00:00"/>
    <n v="605"/>
    <s v="Campus Casino"/>
  </r>
  <r>
    <x v="2"/>
    <x v="8"/>
    <s v="Jerez"/>
    <s v="Rodrigo Facundo 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33"/>
    <n v="88363"/>
    <n v="3667103"/>
    <s v="CSV1"/>
    <s v="CSV1"/>
    <n v="78667"/>
    <n v="64118"/>
    <m/>
    <s v="VCTFAJER"/>
    <m/>
    <m/>
    <n v="39356693"/>
    <s v="20-39356693-1"/>
    <d v="2020-07-14T00:00:00"/>
    <d v="2020-07-14T00:00:00"/>
    <d v="2020-07-17T00:00:00"/>
    <n v="38"/>
    <s v="Campus Casino"/>
  </r>
  <r>
    <x v="2"/>
    <x v="8"/>
    <s v="Lazarte"/>
    <s v="Carlos Enriqu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7"/>
    <n v="83366"/>
    <n v="2455222"/>
    <s v="DVH"/>
    <s v="CSV1"/>
    <n v="78667"/>
    <n v="64118"/>
    <s v="lazarte.85"/>
    <s v="VCTCALAZ"/>
    <d v="2020-07-28T00:00:00"/>
    <s v="0381-155764472"/>
    <n v="40695733"/>
    <n v="20406957331"/>
    <d v="2017-04-03T00:00:00"/>
    <d v="2018-11-05T00:00:00"/>
    <d v="2018-11-19T00:00:00"/>
    <n v="1219"/>
    <s v="Campus Casino"/>
  </r>
  <r>
    <x v="2"/>
    <x v="8"/>
    <s v="Lopez"/>
    <s v="Franco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4"/>
    <n v="87513"/>
    <n v="3503290"/>
    <s v="Servicios web"/>
    <s v="DVH – Compras referidas – Habilitaciones – Servicio Web – Clave PIN"/>
    <n v="78667"/>
    <n v="64118"/>
    <s v="lopez.2770"/>
    <s v="VCTFRLOP"/>
    <d v="2020-05-04T00:00:00"/>
    <m/>
    <n v="42008494"/>
    <n v="20420084944"/>
    <d v="2019-09-23T00:00:00"/>
    <d v="2020-04-24T00:00:00"/>
    <d v="2020-05-05T00:00:00"/>
    <n v="329"/>
    <s v="Campus Casino"/>
  </r>
  <r>
    <x v="2"/>
    <x v="8"/>
    <s v="Mendez"/>
    <s v="Maria Laur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9"/>
    <n v="88349"/>
    <n v="3667091"/>
    <s v="CSV1"/>
    <s v="CSV1"/>
    <n v="78667"/>
    <n v="64118"/>
    <m/>
    <s v="VCTMAMEN"/>
    <m/>
    <m/>
    <n v="36668244"/>
    <s v="27-36668244-4"/>
    <d v="2020-07-14T00:00:00"/>
    <d v="2020-07-14T00:00:00"/>
    <d v="2020-07-17T00:00:00"/>
    <n v="38"/>
    <s v="Campus Casino"/>
  </r>
  <r>
    <x v="2"/>
    <x v="8"/>
    <s v="Moreno"/>
    <s v="Fatima Rocio Belen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18"/>
    <n v="88348"/>
    <n v="3667090"/>
    <s v="CSV1"/>
    <s v="CSV1"/>
    <n v="78667"/>
    <n v="64118"/>
    <m/>
    <s v="VCTFAMOR"/>
    <m/>
    <m/>
    <n v="41300232"/>
    <s v="27-41300232-5"/>
    <d v="2020-07-14T00:00:00"/>
    <d v="2020-07-14T00:00:00"/>
    <d v="2020-07-17T00:00:00"/>
    <n v="38"/>
    <s v="Campus Casino"/>
  </r>
  <r>
    <x v="2"/>
    <x v="8"/>
    <s v="Navarro"/>
    <s v="Luciano Gustavo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3"/>
    <n v="86291"/>
    <n v="1823340"/>
    <s v="CSV2"/>
    <s v="CSV2"/>
    <n v="78667"/>
    <n v="64118"/>
    <s v="navarro.744 "/>
    <s v="VCTLUNAV "/>
    <d v="2020-07-21T00:00:00"/>
    <s v="0381-154722968"/>
    <n v="39481760"/>
    <s v="20-39481760-1"/>
    <d v="2018-12-17T00:00:00"/>
    <d v="2018-12-17T00:00:00"/>
    <d v="2019-01-02T00:00:00"/>
    <n v="605"/>
    <s v="Campus Casino"/>
  </r>
  <r>
    <x v="2"/>
    <x v="8"/>
    <s v="Perez"/>
    <s v="Maria Jos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89325"/>
    <n v="88355"/>
    <n v="3667096"/>
    <s v="CSV1"/>
    <s v="CSV1"/>
    <n v="78667"/>
    <n v="64118"/>
    <m/>
    <s v="VCTMAPER"/>
    <m/>
    <m/>
    <n v="41983179"/>
    <s v="23-41983179-4"/>
    <d v="2020-07-14T00:00:00"/>
    <d v="2020-07-14T00:00:00"/>
    <d v="2020-07-17T00:00:00"/>
    <n v="38"/>
    <s v="Campus Casino"/>
  </r>
  <r>
    <x v="2"/>
    <x v="8"/>
    <s v="Reinoso Cisnero"/>
    <s v="Gaspar"/>
    <s v="OFF"/>
    <s v="09:00 - 15:00"/>
    <s v="09:00 - 15:00"/>
    <s v="SUS"/>
    <s v="09:00 - 15:00"/>
    <s v="09:00 - 15:00"/>
    <s v="OFF"/>
    <m/>
    <s v="SUS 08/19"/>
    <e v="#VALUE!"/>
    <n v="0"/>
    <n v="6"/>
    <n v="6"/>
    <e v="#VALUE!"/>
    <n v="6"/>
    <n v="6"/>
    <n v="0"/>
    <e v="#VALUE!"/>
    <n v="89192"/>
    <n v="86345"/>
    <n v="3138511"/>
    <s v="Servicios web"/>
    <s v="CSV1"/>
    <n v="78667"/>
    <n v="64118"/>
    <s v="reinosocisnero.5 "/>
    <s v="VCTGAREI "/>
    <d v="2020-04-24T00:00:00"/>
    <s v="03838-155400615"/>
    <n v="41038574"/>
    <n v="20410385741"/>
    <d v="2018-12-26T00:00:00"/>
    <d v="2018-12-26T00:00:00"/>
    <d v="2019-01-11T00:00:00"/>
    <n v="596"/>
    <s v="Campus Casino"/>
  </r>
  <r>
    <x v="2"/>
    <x v="8"/>
    <s v="Rodriguez"/>
    <s v="Alejandra Isab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8"/>
    <n v="87599"/>
    <n v="3525648"/>
    <s v="Compras Referidas"/>
    <s v="DVH – Compras referidas – Habilitaciones – Servicio Web – Clave PIN"/>
    <n v="78667"/>
    <n v="64118"/>
    <s v="rodriguez.3867"/>
    <s v="VCTALROD"/>
    <d v="2020-05-04T00:00:00"/>
    <s v="381-153301915"/>
    <n v="33328577"/>
    <n v="27333285776"/>
    <d v="2019-10-07T00:00:00"/>
    <d v="2020-04-24T00:00:00"/>
    <d v="2020-05-05T00:00:00"/>
    <n v="315"/>
    <s v="Campus Casino"/>
  </r>
  <r>
    <x v="2"/>
    <x v="8"/>
    <s v="Rossi"/>
    <s v="Griselda Anal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05"/>
    <n v="83066"/>
    <n v="2426256"/>
    <s v="DVH"/>
    <s v="CSV1"/>
    <n v="78667"/>
    <n v="64118"/>
    <s v="rossi.84"/>
    <s v="VCTGRROS"/>
    <d v="2020-07-17T00:00:00"/>
    <s v="+54 038 150 95653"/>
    <n v="34105812"/>
    <n v="27341058126"/>
    <d v="2017-03-06T00:00:00"/>
    <d v="2018-11-05T00:00:00"/>
    <d v="2018-11-19T00:00:00"/>
    <n v="1246"/>
    <s v="Campus Casino"/>
  </r>
  <r>
    <x v="2"/>
    <x v="8"/>
    <s v="Rotondo"/>
    <s v="Elian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46"/>
    <n v="85339"/>
    <n v="2811272"/>
    <s v="CSV1"/>
    <s v="CSV1"/>
    <n v="78667"/>
    <n v="64118"/>
    <s v="rotondo.6"/>
    <s v="VCTELROT"/>
    <d v="2020-07-17T00:00:00"/>
    <s v="0381 -155772644"/>
    <n v="34287811"/>
    <n v="27342878119"/>
    <d v="2018-03-12T00:00:00"/>
    <d v="2018-08-15T00:00:00"/>
    <d v="2018-08-16T00:00:00"/>
    <n v="880"/>
    <s v="Campus Casino"/>
  </r>
  <r>
    <x v="2"/>
    <x v="8"/>
    <s v="Soria"/>
    <s v="Agustín Sai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4"/>
    <n v="86340"/>
    <n v="3138455"/>
    <s v="DVH"/>
    <s v="CSV1"/>
    <n v="78667"/>
    <n v="64118"/>
    <s v="soria.181 "/>
    <s v="VCTAGSOR "/>
    <d v="2020-06-29T00:00:00"/>
    <s v="3813158987 / 3814167314"/>
    <n v="41184272"/>
    <s v="20-41184272-0"/>
    <d v="2018-12-26T00:00:00"/>
    <d v="2018-12-26T00:00:00"/>
    <d v="2019-01-11T00:00:00"/>
    <n v="596"/>
    <s v="Campus Casino"/>
  </r>
  <r>
    <x v="2"/>
    <x v="8"/>
    <s v="Torres Mariotti"/>
    <s v="Rocio Alejand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88"/>
    <n v="84619"/>
    <n v="2745917"/>
    <s v="CSV2"/>
    <s v="CSV2"/>
    <n v="78667"/>
    <n v="64118"/>
    <s v="torresmariotti.6"/>
    <s v="VCTROTOR"/>
    <d v="2020-07-21T00:00:00"/>
    <n v="155941758"/>
    <n v="39728877"/>
    <n v="27397288779"/>
    <d v="2018-01-08T00:00:00"/>
    <d v="2018-11-05T00:00:00"/>
    <d v="2018-11-19T00:00:00"/>
    <n v="944"/>
    <s v="Campus Casino"/>
  </r>
  <r>
    <x v="2"/>
    <x v="10"/>
    <s v="Carabajal"/>
    <s v="Pau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069"/>
    <n v="88353"/>
    <n v="3667094"/>
    <s v="TLMK"/>
    <s v="CSV1"/>
    <n v="64659"/>
    <n v="64118"/>
    <s v="carabajal.37"/>
    <s v="VCTPACAR"/>
    <d v="2020-04-22T00:00:00"/>
    <s v="03815019439"/>
    <n v="41238849"/>
    <s v="27-41238849-1"/>
    <d v="2020-04-21T00:00:00"/>
    <d v="2020-04-21T00:00:00"/>
    <d v="2020-04-22T00:00:00"/>
    <n v="121"/>
    <s v="Campus Casino"/>
  </r>
  <r>
    <x v="2"/>
    <x v="10"/>
    <s v="Concha"/>
    <s v="Maria de las Mercedes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1"/>
    <n v="88027"/>
    <n v="1213197"/>
    <s v="DVH"/>
    <s v="CSV1"/>
    <n v="64659"/>
    <n v="64118"/>
    <s v="concha.56"/>
    <s v="VCTMACON"/>
    <d v="2020-04-22T00:00:00"/>
    <s v="03813507269"/>
    <n v="37499087"/>
    <s v="27-37499087-5"/>
    <d v="2020-04-21T00:00:00"/>
    <d v="2020-04-21T00:00:00"/>
    <d v="2020-04-22T00:00:00"/>
    <n v="121"/>
    <s v="Campus Casino"/>
  </r>
  <r>
    <x v="2"/>
    <x v="10"/>
    <s v="Corbera"/>
    <s v="Ana Floren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1"/>
    <n v="83571"/>
    <n v="2523179"/>
    <s v="Servicios web"/>
    <s v="CSV1"/>
    <n v="64659"/>
    <n v="64118"/>
    <s v="corbera.6"/>
    <s v="VCTANCOR"/>
    <d v="2020-03-25T00:00:00"/>
    <s v="+54 381 519 4888"/>
    <n v="38488161"/>
    <n v="27384881616"/>
    <d v="2017-06-05T00:00:00"/>
    <d v="2018-11-05T00:00:00"/>
    <d v="2018-11-19T00:00:00"/>
    <n v="1157"/>
    <s v="Campus Casino"/>
  </r>
  <r>
    <x v="2"/>
    <x v="10"/>
    <s v="Décima"/>
    <s v="Alej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7"/>
    <n v="88347"/>
    <n v="3123167"/>
    <s v="DVH"/>
    <s v="CSV1"/>
    <n v="64659"/>
    <n v="64118"/>
    <s v="decima.22"/>
    <s v="VCTALDEC"/>
    <d v="2020-03-20T00:00:00"/>
    <m/>
    <n v="42277306"/>
    <n v="20422773062"/>
    <d v="2020-01-22T00:00:00"/>
    <d v="2020-01-22T00:00:00"/>
    <d v="2020-02-12T00:00:00"/>
    <n v="210"/>
    <s v="Campus Casino"/>
  </r>
  <r>
    <x v="2"/>
    <x v="10"/>
    <s v="Del Valle"/>
    <s v="Silvi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7"/>
    <n v="88149"/>
    <n v="3624031"/>
    <s v="Servicios web"/>
    <s v="CSV1"/>
    <n v="64659"/>
    <n v="64118"/>
    <s v="delvalle.77"/>
    <s v="VCTSIDEL  "/>
    <d v="2020-03-27T00:00:00"/>
    <m/>
    <n v="39146028"/>
    <n v="27391460286"/>
    <d v="2019-12-09T00:00:00"/>
    <d v="2019-12-09T00:00:00"/>
    <d v="2020-01-01T00:00:00"/>
    <n v="253"/>
    <s v="Campus Casino"/>
  </r>
  <r>
    <x v="2"/>
    <x v="10"/>
    <s v="Gonzalez"/>
    <s v="Sofia Anahi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6"/>
    <n v="88148"/>
    <n v="3624029"/>
    <s v="CSV2"/>
    <s v="CSV2"/>
    <n v="64659"/>
    <n v="64118"/>
    <s v="gonzalez.2548"/>
    <s v="VCTSOGON  "/>
    <d v="2020-03-27T00:00:00"/>
    <m/>
    <n v="41736994"/>
    <n v="27417369940"/>
    <d v="2019-12-09T00:00:00"/>
    <d v="2019-12-09T00:00:00"/>
    <d v="2020-01-01T00:00:00"/>
    <n v="253"/>
    <s v="Campus Casino"/>
  </r>
  <r>
    <x v="2"/>
    <x v="10"/>
    <s v="Lopez "/>
    <s v="Rosa Mariana 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0"/>
    <n v="83904"/>
    <n v="2657802"/>
    <s v="DVH"/>
    <s v="CSV1"/>
    <n v="64659"/>
    <n v="64118"/>
    <s v="lopez.2211"/>
    <s v="VCTROLOP"/>
    <d v="2020-03-25T00:00:00"/>
    <s v="0381-154433893"/>
    <n v="37657901"/>
    <n v="27376579013"/>
    <d v="2017-10-02T00:00:00"/>
    <d v="2018-11-05T00:00:00"/>
    <d v="2018-11-19T00:00:00"/>
    <n v="1040"/>
    <s v="Campus Casino"/>
  </r>
  <r>
    <x v="2"/>
    <x v="10"/>
    <s v="Lugones Agüero"/>
    <s v="Alejo Ezequi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2"/>
    <n v="88028"/>
    <n v="3553088"/>
    <s v="DVH"/>
    <s v="CSV1"/>
    <n v="64659"/>
    <n v="64118"/>
    <s v="lugonesaguero.5"/>
    <s v="VCTALLUG"/>
    <d v="2020-04-22T00:00:00"/>
    <s v="03814652349"/>
    <n v="34603002"/>
    <s v="20-34603002-0"/>
    <d v="2020-04-21T00:00:00"/>
    <d v="2020-04-21T00:00:00"/>
    <d v="2020-04-22T00:00:00"/>
    <n v="121"/>
    <s v="Campus Casino"/>
  </r>
  <r>
    <x v="2"/>
    <x v="10"/>
    <s v="Marín"/>
    <s v="Melisa Betsabé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76"/>
    <n v="88138"/>
    <n v="3623917"/>
    <s v="CSV2"/>
    <s v="CSV2"/>
    <n v="64659"/>
    <n v="64118"/>
    <s v="marin.260"/>
    <s v="VCTMEMAR  "/>
    <d v="2020-03-29T00:00:00"/>
    <m/>
    <n v="36998325"/>
    <n v="27369983259"/>
    <d v="2019-12-09T00:00:00"/>
    <d v="2019-12-09T00:00:00"/>
    <d v="2020-01-01T00:00:00"/>
    <n v="253"/>
    <s v="Campus Casino"/>
  </r>
  <r>
    <x v="2"/>
    <x v="10"/>
    <s v="Moreno"/>
    <s v="Damari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91"/>
    <n v="86331"/>
    <n v="3138494"/>
    <s v="CSV2"/>
    <s v="CSV1 / CSV2"/>
    <n v="64659"/>
    <n v="64118"/>
    <s v="moreno.758 "/>
    <s v="VCTDAMOR "/>
    <d v="2020-03-26T00:00:00"/>
    <s v="0381-1561669012"/>
    <n v="41983155"/>
    <n v="27419831552"/>
    <d v="2018-12-26T00:00:00"/>
    <d v="2018-12-26T00:00:00"/>
    <d v="2019-01-11T00:00:00"/>
    <n v="596"/>
    <s v="Campus Casino"/>
  </r>
  <r>
    <x v="2"/>
    <x v="10"/>
    <s v="Ocaranza"/>
    <s v="Jonathan Franco 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89255"/>
    <n v="88030"/>
    <n v="2852874"/>
    <s v="DVH"/>
    <s v="CSV1"/>
    <n v="64659"/>
    <n v="64118"/>
    <s v="ocaranza.12"/>
    <s v="VCTJOOCA"/>
    <d v="2020-03-20T00:00:00"/>
    <s v="381-155218355"/>
    <n v="36998204"/>
    <n v="20369982045"/>
    <d v="2019-10-28T00:00:00"/>
    <d v="2019-10-28T00:00:00"/>
    <d v="2019-11-07T00:00:00"/>
    <n v="294"/>
    <s v="Campus Casino"/>
  </r>
  <r>
    <x v="2"/>
    <x v="10"/>
    <s v="Sanchez"/>
    <s v="Maria Florencia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50"/>
    <n v="88026"/>
    <n v="3553083"/>
    <s v="DVH"/>
    <s v="CSV1"/>
    <n v="64659"/>
    <n v="64118"/>
    <s v="sanchez.2280"/>
    <s v="VCTMASAN"/>
    <d v="2020-04-22T00:00:00"/>
    <s v="03813608549"/>
    <n v="43202751"/>
    <s v="27-43202751-7"/>
    <d v="2020-04-21T00:00:00"/>
    <d v="2020-04-21T00:00:00"/>
    <d v="2020-04-22T00:00:00"/>
    <n v="121"/>
    <s v="Campus Casino"/>
  </r>
  <r>
    <x v="2"/>
    <x v="10"/>
    <s v="Suarez"/>
    <s v="Alicia Veronic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5"/>
    <n v="76572"/>
    <n v="796746"/>
    <s v="CSV1"/>
    <s v="CSV1"/>
    <n v="64659"/>
    <n v="64118"/>
    <s v="suarez.131"/>
    <s v="VCTALSUA"/>
    <d v="2020-05-18T00:00:00"/>
    <s v="0381-156574458"/>
    <n v="30835040"/>
    <n v="27308350407"/>
    <d v="2012-04-09T00:00:00"/>
    <d v="2020-05-11T00:00:00"/>
    <d v="2020-05-18T00:00:00"/>
    <n v="3013"/>
    <s v="Campus Casino"/>
  </r>
  <r>
    <x v="2"/>
    <x v="10"/>
    <s v="Suarez Yapura"/>
    <s v="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5"/>
    <n v="88147"/>
    <n v="3624028"/>
    <s v="DVH"/>
    <s v="CSV1"/>
    <n v="64659"/>
    <n v="64118"/>
    <s v="suarezyapura.5"/>
    <s v="VCTAGSUA  "/>
    <d v="2020-03-27T00:00:00"/>
    <m/>
    <n v="39078566"/>
    <n v="27390785661"/>
    <d v="2019-12-09T00:00:00"/>
    <d v="2019-12-09T00:00:00"/>
    <d v="2020-01-01T00:00:00"/>
    <n v="253"/>
    <s v="Campus Casino"/>
  </r>
  <r>
    <x v="2"/>
    <x v="10"/>
    <s v="Tula"/>
    <s v="Luciana Bele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79"/>
    <n v="88141"/>
    <n v="3623928"/>
    <s v="DVH"/>
    <s v="CSV1"/>
    <n v="64659"/>
    <n v="64118"/>
    <s v="tula.20"/>
    <s v="VCTLUTUL  "/>
    <d v="2020-03-26T00:00:00"/>
    <m/>
    <n v="40356540"/>
    <n v="27403565402"/>
    <d v="2019-12-09T00:00:00"/>
    <d v="2019-12-09T00:00:00"/>
    <d v="2020-01-01T00:00:00"/>
    <n v="253"/>
    <s v="Campus Casino"/>
  </r>
  <r>
    <x v="2"/>
    <x v="10"/>
    <s v="Visuara"/>
    <s v="Alberto Nicolas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7"/>
    <n v="78142"/>
    <n v="1154719"/>
    <s v="CSV1"/>
    <s v="CSV1; servicions WEB; Compras Referidas"/>
    <n v="64659"/>
    <n v="64118"/>
    <s v="visuara.9"/>
    <s v="VCTALVIS"/>
    <d v="2020-04-14T00:00:00"/>
    <s v="0381-153378537"/>
    <n v="37191171"/>
    <n v="20371911716"/>
    <d v="2013-10-21T00:00:00"/>
    <d v="2020-04-09T00:00:00"/>
    <d v="2020-04-14T00:00:00"/>
    <n v="2461"/>
    <s v="Campus Casino"/>
  </r>
  <r>
    <x v="2"/>
    <x v="10"/>
    <s v="Vizgarra"/>
    <s v="Valentina Er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3"/>
    <n v="88145"/>
    <n v="3624025"/>
    <s v="CSV2"/>
    <s v="CSV2"/>
    <n v="64659"/>
    <n v="64118"/>
    <s v="vizgarra.9"/>
    <s v="VCTVAVIZ  "/>
    <d v="2020-03-27T00:00:00"/>
    <m/>
    <n v="42525848"/>
    <n v="27425258481"/>
    <d v="2019-12-09T00:00:00"/>
    <d v="2019-12-09T00:00:00"/>
    <d v="2020-01-01T00:00:00"/>
    <n v="253"/>
    <s v="Campus Casino"/>
  </r>
  <r>
    <x v="2"/>
    <x v="10"/>
    <s v="Zerrizuela"/>
    <s v="Marian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2"/>
    <n v="81902"/>
    <n v="2102074"/>
    <s v="CSV1"/>
    <s v="CSV1; servicions WEB; Compras Referidas"/>
    <n v="64659"/>
    <n v="64118"/>
    <s v="zerrizuela.6"/>
    <s v="VCTMAZER"/>
    <d v="2020-04-14T00:00:00"/>
    <s v="0386-515350029"/>
    <n v="37498078"/>
    <n v="27374980780"/>
    <d v="2016-05-30T00:00:00"/>
    <d v="2020-04-09T00:00:00"/>
    <d v="2020-04-14T00:00:00"/>
    <n v="1522"/>
    <s v="Campus Casino"/>
  </r>
  <r>
    <x v="2"/>
    <x v="10"/>
    <s v="Zottoli"/>
    <s v="Gonzal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3"/>
    <n v="88155"/>
    <n v="3624072"/>
    <s v="CSV1"/>
    <s v="CSV1"/>
    <n v="64659"/>
    <n v="64118"/>
    <s v="zottoli.6"/>
    <s v="VCTGOZOT  "/>
    <d v="2020-03-20T00:00:00"/>
    <m/>
    <n v="33163365"/>
    <n v="20331633659"/>
    <d v="2019-12-09T00:00:00"/>
    <d v="2019-12-09T00:00:00"/>
    <d v="2020-01-01T00:00:00"/>
    <n v="253"/>
    <s v="Campus Casino"/>
  </r>
  <r>
    <x v="3"/>
    <x v="11"/>
    <s v="Almaraz"/>
    <s v="Leonela María del Valle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221"/>
    <n v="85556"/>
    <n v="2758426"/>
    <s v="CSV1"/>
    <s v="CSV1; servicions WEB; Compras Referidas"/>
    <n v="83505"/>
    <e v="#N/A"/>
    <s v="almaraz.36"/>
    <s v="VCTMAALM"/>
    <d v="2020-04-14T00:00:00"/>
    <s v="0381-153472631"/>
    <n v="35548085"/>
    <n v="27355480858"/>
    <d v="2018-04-19T00:00:00"/>
    <d v="2020-04-09T00:00:00"/>
    <d v="2020-04-14T00:00:00"/>
    <n v="843"/>
    <s v="Campus Casino"/>
  </r>
  <r>
    <x v="3"/>
    <x v="11"/>
    <s v="Martinez Lorenzo"/>
    <s v="Nayla Ay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0"/>
    <n v="81664"/>
    <n v="2024463"/>
    <s v="CSV1"/>
    <s v="CSV1; servicions WEB; Compras Referidas"/>
    <n v="83505"/>
    <e v="#N/A"/>
    <s v="martinezlorenzo.7"/>
    <s v="VCTNAMAR"/>
    <d v="2020-04-14T00:00:00"/>
    <s v="0381-156485842"/>
    <n v="37502520"/>
    <n v="27375025200"/>
    <d v="2016-04-01T00:00:00"/>
    <d v="2020-04-09T00:00:00"/>
    <d v="2020-04-14T00:00:00"/>
    <n v="1581"/>
    <s v="Campus Casino"/>
  </r>
  <r>
    <x v="3"/>
    <x v="12"/>
    <s v="Emeterio Toscano"/>
    <s v="Anab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83"/>
    <n v="86343"/>
    <n v="3138530"/>
    <s v="CSV2"/>
    <s v="CSV2"/>
    <n v="81043"/>
    <e v="#N/A"/>
    <s v="emeteriotoscano.6 "/>
    <s v="VCTANEME "/>
    <d v="2020-03-27T00:00:00"/>
    <s v="0381-154197485"/>
    <n v="38216500"/>
    <n v="23382165004"/>
    <d v="2018-12-26T00:00:00"/>
    <d v="2018-12-26T00:00:00"/>
    <d v="2019-01-11T00:00:00"/>
    <n v="596"/>
    <s v="Campus Casino"/>
  </r>
  <r>
    <x v="3"/>
    <x v="12"/>
    <s v="Gonzalez"/>
    <s v="Cristian Daniel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94"/>
    <n v="85804"/>
    <n v="2911897"/>
    <s v="CSV2"/>
    <s v="CSV2"/>
    <n v="81043"/>
    <e v="#N/A"/>
    <s v="gonzalez.2059"/>
    <s v="VCTCRGON"/>
    <d v="2020-03-26T00:00:00"/>
    <s v="+54 381 670 8290"/>
    <n v="39575074"/>
    <n v="20395750748"/>
    <d v="2018-06-11T00:00:00"/>
    <d v="2018-11-05T00:00:00"/>
    <d v="2018-11-19T00:00:00"/>
    <n v="791"/>
    <s v="Campus Casino"/>
  </r>
  <r>
    <x v="3"/>
    <x v="12"/>
    <s v="Orellana"/>
    <s v="Maria Cecilia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66"/>
    <n v="87029"/>
    <n v="3405729"/>
    <s v="DVH"/>
    <s v="CSV1"/>
    <n v="81043"/>
    <e v="#N/A"/>
    <s v="N/A"/>
    <s v="N/A"/>
    <d v="2020-06-24T00:00:00"/>
    <s v="381-153330386"/>
    <n v="37658620"/>
    <n v="27376586206"/>
    <d v="2019-07-18T00:00:00"/>
    <d v="2020-05-11T00:00:00"/>
    <d v="2020-05-18T00:00:00"/>
    <n v="394"/>
    <s v="Campus Casino"/>
  </r>
  <r>
    <x v="3"/>
    <x v="12"/>
    <s v="Rojas"/>
    <s v="Maria Bele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4"/>
    <n v="75493"/>
    <n v="717244"/>
    <s v="CSV1"/>
    <s v="CSV1"/>
    <n v="81043"/>
    <e v="#N/A"/>
    <s v="rojas.103"/>
    <s v="VCTBEROJ"/>
    <d v="2020-05-18T00:00:00"/>
    <n v="381155546584"/>
    <n v="32132541"/>
    <n v="27321325411"/>
    <d v="2011-10-11T00:00:00"/>
    <d v="2020-05-11T00:00:00"/>
    <d v="2020-05-18T00:00:00"/>
    <n v="3191"/>
    <s v="Campus Casino"/>
  </r>
  <r>
    <x v="3"/>
    <x v="12"/>
    <s v="Teves"/>
    <s v="Emiliano Gabriel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013"/>
    <n v="72480"/>
    <n v="538948"/>
    <s v="DVH"/>
    <s v="CSV1"/>
    <n v="81043"/>
    <e v="#N/A"/>
    <s v="teves.16"/>
    <s v="VCTEMTEV"/>
    <d v="2020-05-05T00:00:00"/>
    <s v="0381-156675000"/>
    <n v="36049213"/>
    <n v="20360492134"/>
    <d v="2010-08-23T00:00:00"/>
    <d v="2018-06-08T00:00:00"/>
    <d v="2018-06-11T00:00:00"/>
    <n v="3599"/>
    <s v="Campus Casino"/>
  </r>
  <r>
    <x v="0"/>
    <x v="0"/>
    <s v="Ale"/>
    <s v=" Rocío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2"/>
    <n v="87695"/>
    <n v="3526421"/>
    <s v="Servicios web"/>
    <s v="DVH – Compras referidas – Habilitaciones – Servicio Web – Clave PIN"/>
    <n v="84825"/>
    <n v="74054"/>
    <s v="ale.32"/>
    <s v="VCTROALE"/>
    <d v="2020-05-04T00:00:00"/>
    <s v="381 620 2108"/>
    <n v="41299917"/>
    <n v="27412999172"/>
    <d v="2019-10-07T00:00:00"/>
    <d v="2020-04-24T00:00:00"/>
    <d v="2020-05-05T00:00:00"/>
    <n v="315"/>
    <s v="Campus Casino"/>
  </r>
  <r>
    <x v="0"/>
    <x v="0"/>
    <s v="Aragón"/>
    <s v="Maria Celeste"/>
    <s v="OFF"/>
    <s v="LOA"/>
    <s v="LOA"/>
    <s v="LOA"/>
    <s v="LOA"/>
    <s v="LOA"/>
    <s v="OFF"/>
    <m/>
    <s v="LOA mm/dd - mm/dd (Hs Orig  15:00 - 21:00 OFF Dom Sab)"/>
    <s v="PT"/>
    <n v="0"/>
    <n v="0"/>
    <n v="0"/>
    <n v="0"/>
    <n v="0"/>
    <n v="0"/>
    <n v="0"/>
    <n v="0"/>
    <n v="648303"/>
    <n v="87688"/>
    <n v="1546296"/>
    <s v="Compras Referidas"/>
    <s v="DVH – Compras referidas – Habilitaciones – Servicio Web – Clave PIN"/>
    <n v="84825"/>
    <n v="74054"/>
    <s v="aragon.180"/>
    <s v="VCTMAARA"/>
    <d v="2020-05-04T00:00:00"/>
    <s v="381 550 4635"/>
    <n v="36231401"/>
    <n v="27362314017"/>
    <d v="2019-10-07T00:00:00"/>
    <d v="2020-04-24T00:00:00"/>
    <d v="2020-05-05T00:00:00"/>
    <n v="315"/>
    <s v="Campus Casino"/>
  </r>
  <r>
    <x v="0"/>
    <x v="0"/>
    <s v="Cejas"/>
    <s v="Ignacio Mar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6"/>
    <n v="87262"/>
    <n v="2837797"/>
    <s v="Compras Referidas"/>
    <s v="DVH – Compras referidas – Habilitaciones – Servicio Web – Clave PIN"/>
    <n v="84825"/>
    <n v="74054"/>
    <s v="cejasguijarro.5"/>
    <s v="VCTIGCEJ"/>
    <d v="2020-05-04T00:00:00"/>
    <s v="381-154049900"/>
    <n v="41059943"/>
    <n v="20410599431"/>
    <d v="2019-08-15T00:00:00"/>
    <d v="2020-04-24T00:00:00"/>
    <d v="2020-05-05T00:00:00"/>
    <n v="367"/>
    <s v="Campus Casino"/>
  </r>
  <r>
    <x v="0"/>
    <x v="0"/>
    <s v="Quiroga"/>
    <s v=" Marianella Stefan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5"/>
    <n v="87719"/>
    <n v="3526375"/>
    <s v="Servicios web"/>
    <s v="DVH – Compras referidas – Habilitaciones – Servicio Web – Clave PIN"/>
    <n v="84825"/>
    <n v="74054"/>
    <s v="quiroga.96"/>
    <s v="VCTMAQUI"/>
    <d v="2020-05-04T00:00:00"/>
    <s v="381 614 5326"/>
    <n v="35548816"/>
    <n v="27355488166"/>
    <d v="2019-10-07T00:00:00"/>
    <d v="2020-04-24T00:00:00"/>
    <d v="2020-05-05T00:00:00"/>
    <n v="315"/>
    <s v="Campus Casino"/>
  </r>
  <r>
    <x v="0"/>
    <x v="2"/>
    <s v="Pomo"/>
    <s v=" Daniel Nicola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4"/>
    <n v="87699"/>
    <n v="3526445"/>
    <s v="Compras Referidas"/>
    <s v="DVH – Compras referidas – Habilitaciones – Servicio Web – Clave PIN"/>
    <e v="#N/A"/>
    <n v="74054"/>
    <s v="pomo.7"/>
    <s v="VCTDAPOM"/>
    <d v="2020-05-04T00:00:00"/>
    <s v="387 619 4290"/>
    <n v="38246090"/>
    <n v="20382460902"/>
    <d v="2019-10-07T00:00:00"/>
    <d v="2020-04-24T00:00:00"/>
    <d v="2020-05-05T00:00:00"/>
    <n v="315"/>
    <s v="Campus Casino"/>
  </r>
  <r>
    <x v="0"/>
    <x v="2"/>
    <s v="Soto"/>
    <s v="Fatim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46"/>
    <n v="87302"/>
    <n v="3462494"/>
    <s v="CSV2"/>
    <s v="CSV1 / CSV2"/>
    <e v="#N/A"/>
    <n v="74054"/>
    <s v="soto.324"/>
    <s v="VCTFASOT"/>
    <d v="2020-03-22T00:00:00"/>
    <n v="3815494273"/>
    <n v="40697438"/>
    <s v="27-40697438-9"/>
    <d v="2019-08-26T00:00:00"/>
    <d v="2019-08-26T00:00:00"/>
    <d v="2019-09-05T00:00:00"/>
    <n v="356"/>
    <s v="Campus Casino"/>
  </r>
  <r>
    <x v="0"/>
    <x v="3"/>
    <s v="Formoselle"/>
    <s v="Ivana Veronic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0"/>
    <n v="87705"/>
    <n v="3526463"/>
    <s v="Servicios web"/>
    <s v="DVH – Compras referidas – Habilitaciones – Servicio Web – Clave PIN"/>
    <n v="85154"/>
    <n v="74054"/>
    <s v="fermoselle.5"/>
    <s v="VCTIVFOR"/>
    <d v="2020-05-04T00:00:00"/>
    <s v="381 545 7234"/>
    <n v="39141069"/>
    <n v="27391410696"/>
    <d v="2019-10-07T00:00:00"/>
    <d v="2020-04-24T00:00:00"/>
    <d v="2020-05-05T00:00:00"/>
    <n v="315"/>
    <s v="Campus Casino"/>
  </r>
  <r>
    <x v="0"/>
    <x v="3"/>
    <s v="Giolito"/>
    <s v="Maira Elizabeth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9"/>
    <n v="87297"/>
    <n v="1294127"/>
    <s v="DVH"/>
    <s v="CSV1"/>
    <n v="85154"/>
    <n v="74054"/>
    <s v="giolito.6"/>
    <s v="VCTMAGIO"/>
    <d v="2020-04-24T00:00:00"/>
    <n v="3814152698"/>
    <n v="34953742"/>
    <n v="27349537422"/>
    <d v="2019-08-26T00:00:00"/>
    <d v="2019-08-26T00:00:00"/>
    <d v="2019-09-05T00:00:00"/>
    <n v="356"/>
    <s v="Campus Casino"/>
  </r>
  <r>
    <x v="0"/>
    <x v="3"/>
    <s v="López"/>
    <s v=" Matias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1"/>
    <n v="87722"/>
    <n v="3526400"/>
    <s v="Compras Referidas"/>
    <s v="DVH – Compras referidas – Habilitaciones – Servicio Web – Clave PIN"/>
    <n v="85154"/>
    <n v="74054"/>
    <s v="lpez.41"/>
    <s v="VCTGOLOP"/>
    <d v="2020-05-04T00:00:00"/>
    <s v="385 409 3212"/>
    <n v="33882372"/>
    <n v="20338823720"/>
    <d v="2019-10-07T00:00:00"/>
    <d v="2020-04-24T00:00:00"/>
    <d v="2020-05-05T00:00:00"/>
    <n v="315"/>
    <s v="Campus Casino"/>
  </r>
  <r>
    <x v="0"/>
    <x v="3"/>
    <s v="Palavecino"/>
    <s v=" Pablo Maurici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2"/>
    <n v="87701"/>
    <n v="2000078"/>
    <s v="Compras Referidas"/>
    <s v="DVH – Compras referidas – Habilitaciones – Servicio Web – Clave PIN"/>
    <n v="85154"/>
    <n v="74054"/>
    <s v="palavecino.27"/>
    <s v="VCTPAPAL"/>
    <d v="2020-05-04T00:00:00"/>
    <s v="381 664 5424"/>
    <n v="36281639"/>
    <n v="20362816395"/>
    <d v="2019-10-07T00:00:00"/>
    <d v="2020-04-24T00:00:00"/>
    <d v="2020-05-05T00:00:00"/>
    <n v="315"/>
    <s v="Campus Casino"/>
  </r>
  <r>
    <x v="3"/>
    <x v="1"/>
    <s v="Coronel"/>
    <s v=" José Benjamí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7"/>
    <n v="87685"/>
    <n v="3526349"/>
    <s v="Servicios web"/>
    <s v="DVH – Compras referidas – Habilitaciones – Servicio Web – Clave PIN"/>
    <e v="#N/A"/>
    <e v="#N/A"/>
    <s v="coronel.160"/>
    <s v="VCTJOCOR"/>
    <d v="2020-06-07T00:00:00"/>
    <s v="381 571 2386"/>
    <n v="42467693"/>
    <n v="20424676935"/>
    <d v="2019-10-07T00:00:00"/>
    <d v="2020-04-24T00:00:00"/>
    <d v="2020-05-05T00:00:00"/>
    <n v="315"/>
    <s v="Campus Casino"/>
  </r>
  <r>
    <x v="0"/>
    <x v="4"/>
    <s v="Ferroni"/>
    <s v="Carlos Agusti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8"/>
    <n v="87882"/>
    <n v="3123170"/>
    <s v="Compras Referidas"/>
    <s v="DVH – Compras referidas – Habilitaciones – Servicio Web – Clave PIN"/>
    <n v="79688"/>
    <n v="74054"/>
    <s v="ferroni.6"/>
    <s v="VCTFECAR"/>
    <d v="2020-05-04T00:00:00"/>
    <s v="381 341-1143"/>
    <n v="42007193"/>
    <n v="20420071931"/>
    <d v="2019-10-14T00:00:00"/>
    <d v="2020-04-24T00:00:00"/>
    <d v="2020-05-05T00:00:00"/>
    <n v="308"/>
    <s v="Campus Casino"/>
  </r>
  <r>
    <x v="0"/>
    <x v="4"/>
    <s v="Figueroa"/>
    <s v="Aranda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9"/>
    <n v="87715"/>
    <n v="2353705"/>
    <s v="Servicios web"/>
    <s v="DVH – Compras referidas – Habilitaciones – Servicio Web – Clave PIN"/>
    <n v="79688"/>
    <n v="74054"/>
    <s v="figueroaaranda.5"/>
    <s v="VCTARFIG"/>
    <d v="2020-05-04T00:00:00"/>
    <s v="381 510 2561"/>
    <n v="37503155"/>
    <n v="27375031553"/>
    <d v="2019-10-07T00:00:00"/>
    <d v="2020-04-24T00:00:00"/>
    <d v="2020-05-05T00:00:00"/>
    <n v="315"/>
    <s v="Campus Casino"/>
  </r>
  <r>
    <x v="0"/>
    <x v="4"/>
    <s v="Quiroga Castro"/>
    <s v="Franco Nicolas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89217"/>
    <n v="87050"/>
    <n v="3409733"/>
    <s v="DVH"/>
    <s v="CSV1"/>
    <n v="79688"/>
    <n v="74054"/>
    <s v="quirogacastro.7"/>
    <s v="VCTFRQUI "/>
    <d v="2020-03-26T00:00:00"/>
    <s v="381-154664980"/>
    <n v="41126232"/>
    <s v="20-41126232-5"/>
    <d v="2019-07-22T00:00:00"/>
    <d v="2019-07-23T00:00:00"/>
    <d v="2019-08-01T00:00:00"/>
    <n v="390"/>
    <s v="Campus Casino"/>
  </r>
  <r>
    <x v="3"/>
    <x v="13"/>
    <s v="Ale"/>
    <s v="Micael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92"/>
    <n v="88154"/>
    <n v="3624040"/>
    <s v="DVH"/>
    <s v="CSV1"/>
    <n v="79943"/>
    <e v="#N/A"/>
    <s v="ale.33"/>
    <s v="VCTMIALE  "/>
    <d v="2020-03-29T00:00:00"/>
    <m/>
    <n v="40274531"/>
    <n v="27402745318"/>
    <d v="2019-12-09T00:00:00"/>
    <d v="2019-12-09T00:00:00"/>
    <d v="2020-01-01T00:00:00"/>
    <n v="253"/>
    <s v="Campus Casino"/>
  </r>
  <r>
    <x v="3"/>
    <x v="13"/>
    <s v="Avellaneda"/>
    <s v="Nicolás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0"/>
    <n v="87868"/>
    <n v="1831428"/>
    <s v="Compras Referidas"/>
    <s v="DVH – Compras referidas – Habilitaciones – Servicio Web – Clave PIN"/>
    <n v="79943"/>
    <e v="#N/A"/>
    <s v="avellaneda.31"/>
    <s v="VCTNIAVE"/>
    <d v="2020-05-04T00:00:00"/>
    <s v="381 461-2091"/>
    <n v="38248191"/>
    <n v="20382481918"/>
    <d v="2019-10-14T00:00:00"/>
    <d v="2020-04-24T00:00:00"/>
    <d v="2020-05-05T00:00:00"/>
    <n v="308"/>
    <s v="Campus Casino"/>
  </r>
  <r>
    <x v="3"/>
    <x v="13"/>
    <s v="Courel"/>
    <s v="Axel Nah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8"/>
    <n v="76309"/>
    <n v="765954"/>
    <s v="Servicios web"/>
    <s v="CSV1"/>
    <n v="79943"/>
    <e v="#N/A"/>
    <s v="courel.5"/>
    <s v="VCTAXCOU"/>
    <d v="2020-05-18T00:00:00"/>
    <s v="0381-156816140"/>
    <n v="37259157"/>
    <n v="23372591579"/>
    <d v="2012-02-28T00:00:00"/>
    <d v="2020-05-11T00:00:00"/>
    <d v="2020-05-18T00:00:00"/>
    <n v="3054"/>
    <s v="Campus Casino"/>
  </r>
  <r>
    <x v="3"/>
    <x v="13"/>
    <s v="Gamero Albornoz"/>
    <s v="Romina"/>
    <s v="OFF"/>
    <s v="09:00 - 15:00"/>
    <s v="09:00 - 15:00"/>
    <s v="09:00 - 15:00"/>
    <s v="09:00 - 15:00"/>
    <s v="09:00 - 15:00"/>
    <s v="OFF"/>
    <m/>
    <s v="Back from VAC 0802 - 08/16 (Hs Orig  09:00 - 15:00 OFF Dom Sab)"/>
    <s v="PT"/>
    <n v="0"/>
    <n v="6"/>
    <n v="6"/>
    <n v="6"/>
    <n v="6"/>
    <n v="6"/>
    <n v="0"/>
    <n v="30"/>
    <n v="648291"/>
    <n v="64167"/>
    <n v="433490"/>
    <s v="Servicios web"/>
    <s v="DVH – Compras referidas – Habilitaciones – Servicio Web – Clave PIN"/>
    <n v="79943"/>
    <e v="#N/A"/>
    <s v="gameroalbornoz.5"/>
    <s v="VCTROGAM"/>
    <d v="2020-05-04T00:00:00"/>
    <n v="3814348840"/>
    <n v="29391113"/>
    <n v="23293911134"/>
    <d v="2009-05-04T00:00:00"/>
    <d v="2020-04-24T00:00:00"/>
    <d v="2020-05-05T00:00:00"/>
    <n v="4068"/>
    <s v="Campus Casino"/>
  </r>
  <r>
    <x v="3"/>
    <x v="13"/>
    <s v="Gomez Toledo"/>
    <s v="Marianela Lujan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75"/>
    <n v="76198"/>
    <n v="765944"/>
    <s v="DVH"/>
    <s v="CSV1"/>
    <n v="79943"/>
    <e v="#N/A"/>
    <s v="Gomeztoledo.6"/>
    <s v="VCTLUGOM"/>
    <d v="2020-05-18T00:00:00"/>
    <s v="0381-155091174"/>
    <n v="35419321"/>
    <n v="27354193219"/>
    <d v="2012-01-30T00:00:00"/>
    <d v="2020-05-11T00:00:00"/>
    <d v="2020-05-18T00:00:00"/>
    <n v="3082"/>
    <s v="Campus Casino"/>
  </r>
  <r>
    <x v="3"/>
    <x v="13"/>
    <s v="Juarez"/>
    <s v="Luciano Mati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2"/>
    <n v="71798"/>
    <n v="516965"/>
    <s v="Servicios web"/>
    <s v="DVH – Compras referidas – Habilitaciones – Servicio Web – Clave PIN"/>
    <n v="79943"/>
    <e v="#N/A"/>
    <s v="juarez.64"/>
    <s v="VCTLUJUA"/>
    <d v="2020-05-04T00:00:00"/>
    <n v="381156539986"/>
    <n v="32853762"/>
    <n v="20328537622"/>
    <d v="2010-06-28T00:00:00"/>
    <d v="2020-04-24T00:00:00"/>
    <d v="2020-05-05T00:00:00"/>
    <n v="3654"/>
    <s v="Campus Casino"/>
  </r>
  <r>
    <x v="3"/>
    <x v="13"/>
    <s v="Juarez"/>
    <s v="Ana Sof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3"/>
    <n v="80050"/>
    <n v="1535101"/>
    <s v="Servicios web"/>
    <s v="DVH – Compras referidas – Habilitaciones – Servicio Web – Clave PIN"/>
    <n v="79943"/>
    <e v="#N/A"/>
    <s v="juarez.165"/>
    <s v="VCTANJUA"/>
    <d v="2020-05-04T00:00:00"/>
    <s v="0381-155727327"/>
    <n v="34064053"/>
    <n v="27340640530"/>
    <d v="2015-01-05T00:00:00"/>
    <d v="2020-04-24T00:00:00"/>
    <d v="2020-05-05T00:00:00"/>
    <n v="2027"/>
    <s v="Campus Casino"/>
  </r>
  <r>
    <x v="3"/>
    <x v="13"/>
    <s v="Mariani"/>
    <s v="Mari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91"/>
    <n v="81639"/>
    <n v="2024635"/>
    <s v="DVH"/>
    <s v="CSV1"/>
    <n v="79943"/>
    <e v="#N/A"/>
    <s v="mariani.11"/>
    <s v="VCTCEMAR"/>
    <d v="2020-05-18T00:00:00"/>
    <s v="153501142 / 155854338"/>
    <n v="37456943"/>
    <n v="27374569436"/>
    <d v="2016-03-31T00:00:00"/>
    <d v="2020-05-11T00:00:00"/>
    <d v="2020-05-18T00:00:00"/>
    <n v="1582"/>
    <s v="Campus Casino"/>
  </r>
  <r>
    <x v="3"/>
    <x v="13"/>
    <s v="Mendez"/>
    <s v="Leandro D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5"/>
    <n v="87670"/>
    <n v="3525831"/>
    <s v="Servicios web"/>
    <s v="DVH – Compras referidas – Habilitaciones – Servicio Web – Clave PIN"/>
    <n v="79943"/>
    <e v="#N/A"/>
    <s v="mndez.19"/>
    <s v="VCTLEMEN"/>
    <d v="2020-05-04T00:00:00"/>
    <s v="381 586 9128"/>
    <n v="40273863"/>
    <n v="20402738635"/>
    <d v="2019-10-07T00:00:00"/>
    <d v="2020-04-24T00:00:00"/>
    <d v="2020-05-05T00:00:00"/>
    <n v="315"/>
    <s v="Campus Casino"/>
  </r>
  <r>
    <x v="3"/>
    <x v="13"/>
    <s v="Monges"/>
    <s v="Elina Teres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6"/>
    <n v="60260"/>
    <n v="433236"/>
    <s v="Servicios web"/>
    <s v="DVH – Compras referidas – Habilitaciones – Servicio Web – Clave PIN"/>
    <n v="79943"/>
    <e v="#N/A"/>
    <s v="monges.6"/>
    <s v="VCTELMON"/>
    <d v="2020-05-04T00:00:00"/>
    <n v="3814392233"/>
    <n v="24982560"/>
    <n v="27249825609"/>
    <d v="2008-08-11T00:00:00"/>
    <d v="2020-04-24T00:00:00"/>
    <d v="2020-05-05T00:00:00"/>
    <n v="4331"/>
    <s v="Campus Casino"/>
  </r>
  <r>
    <x v="3"/>
    <x v="13"/>
    <s v="Olivera"/>
    <s v="Irene Mar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9"/>
    <n v="75641"/>
    <n v="730819"/>
    <s v="CSV1"/>
    <s v="CSV1"/>
    <n v="79943"/>
    <e v="#N/A"/>
    <s v="olivera.20"/>
    <s v="VCTIROLI"/>
    <d v="2020-05-18T00:00:00"/>
    <n v="385155980395"/>
    <n v="31305838"/>
    <n v="27313058382"/>
    <d v="2011-11-07T00:00:00"/>
    <d v="2020-05-11T00:00:00"/>
    <d v="2020-05-18T00:00:00"/>
    <n v="3165"/>
    <s v="Campus Casino"/>
  </r>
  <r>
    <x v="3"/>
    <x v="13"/>
    <s v="Porello"/>
    <s v="Maria Belé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7"/>
    <n v="87883"/>
    <n v="3534209"/>
    <s v="Compras Referidas"/>
    <s v="DVH – Compras referidas – Habilitaciones – Servicio Web – Clave PIN"/>
    <n v="79943"/>
    <e v="#N/A"/>
    <s v="porello.7"/>
    <s v="VCTMAPOR"/>
    <d v="2020-05-04T00:00:00"/>
    <s v="381 505 8651"/>
    <n v="40782555"/>
    <n v="27407825557"/>
    <d v="2019-10-14T00:00:00"/>
    <d v="2020-04-24T00:00:00"/>
    <d v="2020-05-05T00:00:00"/>
    <n v="308"/>
    <s v="Campus Casino"/>
  </r>
  <r>
    <x v="3"/>
    <x v="13"/>
    <s v="Ricci"/>
    <s v="Rocio del Valle"/>
    <s v="OFF"/>
    <s v="Approved OFF"/>
    <s v="Approved OFF"/>
    <s v="Approved OFF"/>
    <s v="Approved OFF"/>
    <s v="Approved OFF"/>
    <s v="OFF"/>
    <m/>
    <s v="CAPA CSV1 a CSV2 08/10 - 08/31 (activo 09/01)(Hs Orig  09:00 - 14:00 OFF Dom Sab)"/>
    <s v="PT"/>
    <n v="0"/>
    <n v="0"/>
    <n v="0"/>
    <n v="0"/>
    <n v="0"/>
    <n v="0"/>
    <n v="0"/>
    <n v="0"/>
    <n v="648039"/>
    <n v="88033"/>
    <n v="3553104"/>
    <s v="DVH"/>
    <s v="CSV1"/>
    <n v="79943"/>
    <e v="#N/A"/>
    <s v="ricci.61"/>
    <s v="VCTRORIC"/>
    <d v="2020-04-22T00:00:00"/>
    <s v="03816760423"/>
    <n v="42173457"/>
    <s v="27-42173457-2"/>
    <d v="2020-04-21T00:00:00"/>
    <d v="2020-04-21T00:00:00"/>
    <d v="2020-04-22T00:00:00"/>
    <n v="121"/>
    <s v="Campus Casino"/>
  </r>
  <r>
    <x v="3"/>
    <x v="13"/>
    <s v="Sosa"/>
    <s v="Maria Luc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99"/>
    <n v="87895"/>
    <n v="3534360"/>
    <s v="Compras Referidas"/>
    <s v="DVH – Compras referidas – Habilitaciones – Servicio Web – Clave PIN"/>
    <n v="79943"/>
    <e v="#N/A"/>
    <s v="sosa.227"/>
    <s v="VCTMASOS"/>
    <d v="2020-05-04T00:00:00"/>
    <s v="381 153044814"/>
    <n v="31809122"/>
    <n v="27318091221"/>
    <d v="2019-10-14T00:00:00"/>
    <d v="2020-04-24T00:00:00"/>
    <d v="2020-05-05T00:00:00"/>
    <n v="308"/>
    <s v="Campus Casino"/>
  </r>
  <r>
    <x v="3"/>
    <x v="13"/>
    <s v="Uncos"/>
    <s v="Cristian Carlo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0"/>
    <n v="87867"/>
    <n v="3534207"/>
    <s v="Compras Referidas"/>
    <s v="DVH – Compras referidas – Habilitaciones – Servicio Web – Clave PIN"/>
    <n v="79943"/>
    <e v="#N/A"/>
    <s v="uncos.7"/>
    <s v="VCTCRUNC"/>
    <d v="2020-05-04T00:00:00"/>
    <s v="381 423-6626"/>
    <n v="42371528"/>
    <n v="20423715287"/>
    <d v="2019-10-14T00:00:00"/>
    <d v="2020-04-24T00:00:00"/>
    <d v="2020-05-05T00:00:00"/>
    <n v="308"/>
    <s v="Campus Casino"/>
  </r>
  <r>
    <x v="3"/>
    <x v="13"/>
    <s v="Villa"/>
    <s v="Luciana Pamela"/>
    <s v="OFF"/>
    <s v="Approved OFF"/>
    <s v="Approved OFF"/>
    <s v="Approved OFF"/>
    <s v="Approved OFF"/>
    <s v="Approved OFF"/>
    <s v="OFF"/>
    <m/>
    <s v="CAPA CSV1 a CSV2 08/10 - 08/31 (activo 09/01)(Hs Orig  10:00 - 15:00 OFF Dom Sab)"/>
    <s v="PT"/>
    <n v="0"/>
    <n v="0"/>
    <n v="0"/>
    <n v="0"/>
    <n v="0"/>
    <n v="0"/>
    <n v="0"/>
    <n v="0"/>
    <n v="648040"/>
    <n v="88034"/>
    <n v="3553109"/>
    <s v="DVH"/>
    <s v="CSV1"/>
    <n v="79943"/>
    <e v="#N/A"/>
    <s v="villa.276"/>
    <s v="VCTLUVIL"/>
    <d v="2020-04-22T00:00:00"/>
    <s v="03814094052"/>
    <n v="37503426"/>
    <s v="27-37503426-9"/>
    <d v="2020-04-21T00:00:00"/>
    <d v="2020-04-21T00:00:00"/>
    <d v="2020-04-22T00:00:00"/>
    <n v="121"/>
    <s v="Campus Casino"/>
  </r>
  <r>
    <x v="3"/>
    <x v="13"/>
    <s v="Zamorano Ortiz"/>
    <s v="Gabriel Martin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01"/>
    <n v="87891"/>
    <n v="3522061"/>
    <s v="Compras Referidas"/>
    <s v="DVH – Compras referidas – Habilitaciones – Servicio Web – Clave PIN"/>
    <n v="79943"/>
    <e v="#N/A"/>
    <s v="zamoranoortiz.5"/>
    <s v="VCTGAZAM"/>
    <d v="2020-05-04T00:00:00"/>
    <s v="381 155240603"/>
    <n v="38023091"/>
    <n v="20380230918"/>
    <d v="2019-10-14T00:00:00"/>
    <d v="2020-04-24T00:00:00"/>
    <d v="2020-05-05T00:00:00"/>
    <n v="308"/>
    <s v="Campus Casino"/>
  </r>
  <r>
    <x v="3"/>
    <x v="11"/>
    <s v="Agüero"/>
    <s v="Fatima Noemi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220"/>
    <n v="80879"/>
    <n v="1833170"/>
    <s v="CSV1"/>
    <s v="CSV1; servicions WEB; Compras Referidas"/>
    <n v="83505"/>
    <e v="#N/A"/>
    <s v="aguero.38"/>
    <s v="VCTFAAGU"/>
    <d v="2020-04-14T00:00:00"/>
    <s v="0381-153040539"/>
    <n v="32601762"/>
    <n v="27326017626"/>
    <d v="2015-09-17T00:00:00"/>
    <d v="2020-04-09T00:00:00"/>
    <d v="2020-04-14T00:00:00"/>
    <n v="1775"/>
    <s v="Campus Casino"/>
  </r>
  <r>
    <x v="3"/>
    <x v="11"/>
    <s v="Aguero Peralta"/>
    <s v="Edith Alejandra Mabel"/>
    <s v="OFF"/>
    <s v="10:00 - 15:00"/>
    <s v="10:00 - 15:00"/>
    <s v="10:00 - 15:00"/>
    <s v="10:00 - 15:00"/>
    <s v="10:00 - 15:00"/>
    <s v="OFF"/>
    <m/>
    <m/>
    <s v="PT"/>
    <n v="0"/>
    <n v="5"/>
    <n v="5"/>
    <n v="5"/>
    <n v="5"/>
    <n v="5"/>
    <n v="0"/>
    <n v="25"/>
    <n v="648041"/>
    <n v="88035"/>
    <n v="3553153"/>
    <s v="DVH"/>
    <s v="CSV1"/>
    <n v="83505"/>
    <e v="#N/A"/>
    <s v="agueroperalta.5"/>
    <s v="VCTEDAGÜ"/>
    <d v="2020-04-22T00:00:00"/>
    <s v="03816169946"/>
    <n v="36420663"/>
    <s v="27-36420663-7"/>
    <d v="2020-04-21T00:00:00"/>
    <d v="2020-04-21T00:00:00"/>
    <d v="2020-04-22T00:00:00"/>
    <n v="121"/>
    <s v="Campus Casino"/>
  </r>
  <r>
    <x v="3"/>
    <x v="11"/>
    <s v="Castillo"/>
    <s v="An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7"/>
    <n v="84602"/>
    <n v="2744900"/>
    <s v="Servicios web"/>
    <s v="CSV1"/>
    <n v="83505"/>
    <e v="#N/A"/>
    <s v="castillo.1245"/>
    <s v="VCTELCAS"/>
    <d v="2020-05-18T00:00:00"/>
    <s v="381-153419841"/>
    <n v="41374252"/>
    <n v="27413742523"/>
    <d v="2018-01-08T00:00:00"/>
    <d v="2020-05-11T00:00:00"/>
    <d v="2020-05-18T00:00:00"/>
    <n v="944"/>
    <s v="Campus Casino"/>
  </r>
  <r>
    <x v="3"/>
    <x v="11"/>
    <s v="Ezquer Texeira"/>
    <s v="Mariana del Rosar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0"/>
    <n v="83317"/>
    <n v="2445631"/>
    <s v="DVH"/>
    <s v="CSV1"/>
    <n v="83505"/>
    <e v="#N/A"/>
    <s v="ezquertexeira.5"/>
    <s v="VCTMAEZQ"/>
    <d v="2020-05-18T00:00:00"/>
    <s v="381 492 7358"/>
    <n v="34911669"/>
    <n v="27349116699"/>
    <d v="2017-03-27T00:00:00"/>
    <d v="2020-05-11T00:00:00"/>
    <d v="2020-05-18T00:00:00"/>
    <n v="1225"/>
    <s v="Campus Casino"/>
  </r>
  <r>
    <x v="3"/>
    <x v="11"/>
    <s v="Garcia"/>
    <s v="Francisco Antoni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6"/>
    <n v="86048"/>
    <n v="3124769"/>
    <s v="DVH"/>
    <s v="CSV1"/>
    <n v="83505"/>
    <e v="#N/A"/>
    <s v="garcia.4353"/>
    <s v="VCTFRGAR"/>
    <d v="2020-05-18T00:00:00"/>
    <n v="3816402083"/>
    <n v="31588787"/>
    <n v="23315887879"/>
    <d v="2018-12-03T00:00:00"/>
    <d v="2020-05-11T00:00:00"/>
    <d v="2020-05-18T00:00:00"/>
    <n v="619"/>
    <s v="Campus Casino"/>
  </r>
  <r>
    <x v="3"/>
    <x v="11"/>
    <s v="Gomez"/>
    <s v="Silvana Elizabeth"/>
    <s v="OFF"/>
    <s v="09:00 - 14:00"/>
    <s v="09:00 - 14:00"/>
    <s v="09:00 - 14:00"/>
    <s v="09:00 - 14:00"/>
    <s v="09:00 - 14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358"/>
    <n v="80032"/>
    <n v="1534867"/>
    <s v="CSV1"/>
    <s v="CSV1"/>
    <n v="83505"/>
    <e v="#N/A"/>
    <s v="gomez.660"/>
    <s v="VCTSIGOM"/>
    <d v="2020-05-18T00:00:00"/>
    <s v="0381-154293451"/>
    <n v="31443913"/>
    <n v="27314439134"/>
    <d v="2015-01-05T00:00:00"/>
    <d v="2020-05-11T00:00:00"/>
    <d v="2020-05-18T00:00:00"/>
    <n v="2027"/>
    <s v="Campus Casino"/>
  </r>
  <r>
    <x v="3"/>
    <x v="11"/>
    <s v="Mereles Zerda"/>
    <s v="Ana Carol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4"/>
    <n v="85181"/>
    <n v="2360478"/>
    <s v="DVH"/>
    <s v="CSV1"/>
    <n v="83505"/>
    <e v="#N/A"/>
    <s v="mereleszerda.5"/>
    <s v="VCTANMER"/>
    <d v="2020-05-18T00:00:00"/>
    <s v="381 638 9165"/>
    <n v="39359211"/>
    <n v="27393592112"/>
    <d v="2018-02-19T00:00:00"/>
    <d v="2020-05-11T00:00:00"/>
    <d v="2020-05-18T00:00:00"/>
    <n v="903"/>
    <s v="Campus Casino"/>
  </r>
  <r>
    <x v="3"/>
    <x v="11"/>
    <s v="Pacheco"/>
    <s v="Miguel Alfre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018"/>
    <n v="85610"/>
    <n v="2873906"/>
    <s v="Servicios web"/>
    <s v="CSV1"/>
    <n v="83505"/>
    <e v="#N/A"/>
    <s v="pacheco.283"/>
    <s v="VCTMIPAC"/>
    <d v="2020-03-25T00:00:00"/>
    <s v="0381-156558636"/>
    <n v="32201685"/>
    <n v="23322016859"/>
    <d v="2018-05-07T00:00:00"/>
    <d v="2018-06-08T00:00:00"/>
    <d v="2018-06-11T00:00:00"/>
    <n v="825"/>
    <s v="Campus Casino"/>
  </r>
  <r>
    <x v="3"/>
    <x v="11"/>
    <s v="Parraga"/>
    <s v="Guillermo Nicola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6"/>
    <n v="68100"/>
    <n v="500872"/>
    <s v="CSV1"/>
    <s v="CSV1"/>
    <n v="83505"/>
    <e v="#N/A"/>
    <s v="parraga.5"/>
    <s v="VCTGUPAR"/>
    <d v="2020-05-18T00:00:00"/>
    <n v="3814314836"/>
    <n v="31100697"/>
    <n v="20311006976"/>
    <d v="2009-11-30T00:00:00"/>
    <d v="2020-05-11T00:00:00"/>
    <d v="2020-05-18T00:00:00"/>
    <n v="3862"/>
    <s v="Campus Casino"/>
  </r>
  <r>
    <x v="3"/>
    <x v="11"/>
    <s v="Ramirez Zorrilla"/>
    <s v="Maria Fernand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2"/>
    <n v="70186"/>
    <n v="487637"/>
    <s v="CSV1"/>
    <s v="CSV1"/>
    <n v="83505"/>
    <e v="#N/A"/>
    <s v="ramirezzorrilla.5"/>
    <s v="VCTMARAM"/>
    <d v="2020-05-18T00:00:00"/>
    <n v="381154157004"/>
    <n v="28290663"/>
    <n v="27282906630"/>
    <d v="2010-04-12T00:00:00"/>
    <d v="2020-05-11T00:00:00"/>
    <d v="2020-05-18T00:00:00"/>
    <n v="3730"/>
    <s v="Campus Casino"/>
  </r>
  <r>
    <x v="3"/>
    <x v="11"/>
    <s v="Rivas"/>
    <s v="Yanin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0"/>
    <n v="81211"/>
    <n v="1915088"/>
    <s v="CSV1"/>
    <s v="CSV1"/>
    <n v="83505"/>
    <e v="#N/A"/>
    <s v="rivas.112"/>
    <s v="VCTYARIV"/>
    <d v="2020-05-18T00:00:00"/>
    <n v="155130505"/>
    <n v="33161942"/>
    <n v="27331619421"/>
    <d v="2015-12-09T00:00:00"/>
    <d v="2020-05-11T00:00:00"/>
    <d v="2020-05-18T00:00:00"/>
    <n v="1693"/>
    <s v="Campus Casino"/>
  </r>
  <r>
    <x v="3"/>
    <x v="11"/>
    <s v="Sanchez"/>
    <s v="Maria Victori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89"/>
    <n v="88151"/>
    <n v="1690062"/>
    <s v="DVH"/>
    <s v="CSV1"/>
    <n v="83505"/>
    <e v="#N/A"/>
    <s v="sanchez.2320"/>
    <s v="VCTVISAN  "/>
    <d v="2020-03-27T00:00:00"/>
    <m/>
    <n v="34357057"/>
    <n v="27343570576"/>
    <d v="2019-12-09T00:00:00"/>
    <d v="2019-12-09T00:00:00"/>
    <d v="2020-01-01T00:00:00"/>
    <n v="253"/>
    <s v="Campus Casino"/>
  </r>
  <r>
    <x v="3"/>
    <x v="11"/>
    <s v="Sanchez"/>
    <s v="Rita Victor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3"/>
    <n v="84600"/>
    <n v="1601683"/>
    <s v="DVH"/>
    <s v="CSV1"/>
    <n v="83505"/>
    <e v="#N/A"/>
    <s v="sanchez.1827"/>
    <s v="VCTRISAN"/>
    <d v="2020-05-18T00:00:00"/>
    <s v="0381-4254092 / 381-156294945"/>
    <n v="37456968"/>
    <n v="27374569681"/>
    <d v="2018-01-08T00:00:00"/>
    <d v="2020-05-11T00:00:00"/>
    <d v="2020-05-18T00:00:00"/>
    <n v="944"/>
    <s v="Campus Casino"/>
  </r>
  <r>
    <x v="3"/>
    <x v="11"/>
    <s v="Sanna"/>
    <s v="Luis Fernand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57"/>
    <n v="59401"/>
    <n v="432923"/>
    <s v="CSV1"/>
    <s v="CSV1"/>
    <n v="83505"/>
    <e v="#N/A"/>
    <s v="sanna.5"/>
    <s v="VCTLUSAN"/>
    <d v="2020-05-18T00:00:00"/>
    <n v="3814283174"/>
    <n v="31030140"/>
    <n v="20310301400"/>
    <d v="2008-06-16T00:00:00"/>
    <d v="2020-05-11T00:00:00"/>
    <d v="2020-05-18T00:00:00"/>
    <n v="4386"/>
    <s v="Campus Casino"/>
  </r>
  <r>
    <x v="3"/>
    <x v="11"/>
    <s v="Soria Juarez"/>
    <s v="Eugeni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63"/>
    <n v="83489"/>
    <n v="2490376"/>
    <s v="CSV1"/>
    <s v="CSV1"/>
    <n v="83505"/>
    <e v="#N/A"/>
    <s v="soriajuarez.5"/>
    <s v="VCTEUSOR"/>
    <d v="2020-05-18T00:00:00"/>
    <s v="381 639 8503"/>
    <n v="35578660"/>
    <n v="27355786604"/>
    <d v="2017-05-08T00:00:00"/>
    <d v="2020-05-11T00:00:00"/>
    <d v="2020-05-18T00:00:00"/>
    <n v="1184"/>
    <s v="Campus Casino"/>
  </r>
  <r>
    <x v="3"/>
    <x v="11"/>
    <s v="Teseyra"/>
    <s v="Maria Estefan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1"/>
    <n v="80860"/>
    <n v="1817065"/>
    <s v="Habilitaciones"/>
    <s v="CSV1"/>
    <n v="83505"/>
    <e v="#N/A"/>
    <s v="teseyra.8"/>
    <s v="VCTMATES"/>
    <d v="2020-05-18T00:00:00"/>
    <s v="4310015 / 155754392"/>
    <n v="37457670"/>
    <n v="23374576704"/>
    <d v="2015-09-07T00:00:00"/>
    <d v="2020-05-11T00:00:00"/>
    <d v="2020-05-18T00:00:00"/>
    <n v="1785"/>
    <s v="Campus Casino"/>
  </r>
  <r>
    <x v="3"/>
    <x v="11"/>
    <s v="Vizcarra"/>
    <s v="Katerin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372"/>
    <n v="81847"/>
    <n v="2076324"/>
    <s v="CSV1"/>
    <s v="CSV1"/>
    <n v="83505"/>
    <e v="#N/A"/>
    <s v="vizcarra.40"/>
    <s v="VCTKAVIZ"/>
    <d v="2020-05-18T00:00:00"/>
    <s v="4615514 / 155449037"/>
    <n v="38491058"/>
    <n v="27384910586"/>
    <d v="2016-05-09T00:00:00"/>
    <d v="2020-05-11T00:00:00"/>
    <d v="2020-05-18T00:00:00"/>
    <n v="1543"/>
    <s v="Campus Casino"/>
  </r>
  <r>
    <x v="0"/>
    <x v="6"/>
    <s v="Caro"/>
    <s v="Carolina Analia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648380"/>
    <n v="79759"/>
    <n v="1466034"/>
    <s v="CSV1"/>
    <s v="CSV1"/>
    <n v="80740"/>
    <n v="74054"/>
    <s v="caro.44"/>
    <s v="VCTANCAR"/>
    <d v="2020-05-18T00:00:00"/>
    <s v="+54 0381-155211391"/>
    <n v="35262083"/>
    <n v="27352620837"/>
    <d v="2014-11-03T00:00:00"/>
    <d v="2020-05-11T00:00:00"/>
    <d v="2020-05-18T00:00:00"/>
    <n v="2089"/>
    <s v="Campus Casino"/>
  </r>
  <r>
    <x v="0"/>
    <x v="6"/>
    <s v="Ríos Yeser"/>
    <s v=" Marí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6"/>
    <n v="87724"/>
    <n v="3526407"/>
    <s v="Compras Referidas"/>
    <s v="DVH – Compras referidas – Habilitaciones – Servicio Web – Clave PIN"/>
    <n v="80740"/>
    <n v="74054"/>
    <s v="rosyeser.5"/>
    <s v="VCTMARIO"/>
    <d v="2020-05-04T00:00:00"/>
    <s v="381 301 1859"/>
    <n v="40085777"/>
    <n v="27400857771"/>
    <d v="2019-10-07T00:00:00"/>
    <d v="2020-04-24T00:00:00"/>
    <d v="2020-05-05T00:00:00"/>
    <n v="315"/>
    <s v="Campus Casino"/>
  </r>
  <r>
    <x v="3"/>
    <x v="14"/>
    <s v="Antoni"/>
    <s v="Pablo Sebastian"/>
    <s v="OFF"/>
    <s v="13:00 - 18:00"/>
    <s v="13:00 - 18:00"/>
    <s v="13:00 - 18:00"/>
    <s v="13:00 - 18:00"/>
    <s v="OFF"/>
    <s v="OFF"/>
    <m/>
    <m/>
    <s v="PT"/>
    <n v="0"/>
    <n v="5.0000000000000009"/>
    <n v="5.0000000000000009"/>
    <n v="5.0000000000000009"/>
    <n v="5.0000000000000009"/>
    <n v="0"/>
    <n v="0"/>
    <n v="20.000000000000004"/>
    <n v="648222"/>
    <n v="84367"/>
    <n v="2741462"/>
    <s v="CSV1"/>
    <s v="CSV1; servicions WEB; Compras Referidas"/>
    <n v="79479"/>
    <e v="#N/A"/>
    <s v="antoni.15"/>
    <s v="VCTPAANT"/>
    <d v="2020-04-14T00:00:00"/>
    <s v="381-153431078"/>
    <n v="31053001"/>
    <n v="20310530019"/>
    <d v="2018-01-02T00:00:00"/>
    <d v="2020-04-09T00:00:00"/>
    <d v="2020-04-14T00:00:00"/>
    <n v="950"/>
    <s v="Campus Casino"/>
  </r>
  <r>
    <x v="3"/>
    <x v="14"/>
    <s v="Avellaneda"/>
    <s v="Juan Jose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8"/>
    <n v="88169"/>
    <n v="3624172"/>
    <s v="Servicios web"/>
    <s v="CSV1"/>
    <n v="79479"/>
    <e v="#N/A"/>
    <s v="avellaneda.33"/>
    <s v="VCTJUAVE  "/>
    <d v="2020-03-27T00:00:00"/>
    <m/>
    <n v="38246432"/>
    <n v="20382464320"/>
    <d v="2019-12-09T00:00:00"/>
    <d v="2019-12-09T00:00:00"/>
    <d v="2020-01-01T00:00:00"/>
    <n v="253"/>
    <s v="Campus Casino"/>
  </r>
  <r>
    <x v="3"/>
    <x v="14"/>
    <s v="Bazan"/>
    <s v="Melina Soleda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648045"/>
    <n v="88043"/>
    <n v="3553124"/>
    <s v="DVH"/>
    <s v="CSV1"/>
    <n v="79479"/>
    <e v="#N/A"/>
    <s v="bazan.50"/>
    <s v="VCTMEBAZ"/>
    <d v="2020-04-22T00:00:00"/>
    <s v="03815567436"/>
    <n v="38245134"/>
    <s v="27-38245134-7"/>
    <d v="2020-04-21T00:00:00"/>
    <d v="2020-04-21T00:00:00"/>
    <d v="2020-04-22T00:00:00"/>
    <n v="121"/>
    <s v="Campus Casino"/>
  </r>
  <r>
    <x v="3"/>
    <x v="14"/>
    <s v="Bravo"/>
    <s v="Agustin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02"/>
    <n v="82973"/>
    <n v="2397193"/>
    <s v="Compras Referidas"/>
    <s v="CSV1"/>
    <n v="79479"/>
    <e v="#N/A"/>
    <s v="bravo.169"/>
    <s v="VCTAGBRA"/>
    <d v="2020-03-27T00:00:00"/>
    <n v="154435369"/>
    <n v="30357462"/>
    <n v="20303574620"/>
    <d v="2017-02-06T00:00:00"/>
    <d v="2018-11-05T00:00:00"/>
    <d v="2018-11-19T00:00:00"/>
    <n v="1276"/>
    <s v="Campus Casino"/>
  </r>
  <r>
    <x v="3"/>
    <x v="14"/>
    <s v="Caamaño"/>
    <s v="Emmanuel David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64"/>
    <n v="88039"/>
    <n v="3553117"/>
    <s v="CSV2"/>
    <s v="DVH"/>
    <n v="79479"/>
    <e v="#N/A"/>
    <s v="caamano.9"/>
    <s v="VCTEMCAA"/>
    <d v="2020-03-22T00:00:00"/>
    <m/>
    <n v="33697993"/>
    <s v="20-33697993-6"/>
    <d v="2019-10-28T00:00:00"/>
    <d v="2019-10-28T00:00:00"/>
    <d v="2019-11-07T00:00:00"/>
    <n v="294"/>
    <s v="Campus Casino"/>
  </r>
  <r>
    <x v="3"/>
    <x v="14"/>
    <s v="Cáceres"/>
    <s v="Jose Maxim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60"/>
    <n v="84980"/>
    <n v="2783370"/>
    <s v="Compras Referidas"/>
    <s v="CSV1"/>
    <n v="79479"/>
    <e v="#N/A"/>
    <s v="cceres.12"/>
    <s v="VCTJOCAC"/>
    <d v="2020-04-24T00:00:00"/>
    <s v="0381- 156402158"/>
    <n v="27906244"/>
    <n v="20279062443"/>
    <d v="2018-02-14T00:00:00"/>
    <d v="2018-08-15T00:00:00"/>
    <d v="2018-08-16T00:00:00"/>
    <n v="908"/>
    <s v="Campus Casino"/>
  </r>
  <r>
    <x v="3"/>
    <x v="14"/>
    <s v="Carmona"/>
    <s v="Camila Bele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03"/>
    <n v="88164"/>
    <n v="3624151"/>
    <s v="TLMK"/>
    <s v="CSV1"/>
    <n v="79479"/>
    <e v="#N/A"/>
    <s v="carmona.157"/>
    <s v="VCTCACAR  "/>
    <d v="2020-03-22T00:00:00"/>
    <m/>
    <n v="40876335"/>
    <n v="27408763350"/>
    <d v="2019-12-09T00:00:00"/>
    <d v="2019-12-09T00:00:00"/>
    <d v="2020-01-01T00:00:00"/>
    <n v="253"/>
    <s v="Campus Casino"/>
  </r>
  <r>
    <x v="3"/>
    <x v="14"/>
    <s v="Dominguez"/>
    <s v="Julian Ernest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7"/>
    <n v="88361"/>
    <n v="3667101"/>
    <s v="CSV1"/>
    <s v="CSV1"/>
    <n v="79479"/>
    <e v="#N/A"/>
    <s v="dominguez.431"/>
    <s v="VCTJUDOM"/>
    <d v="2020-04-22T00:00:00"/>
    <s v="03814629366"/>
    <n v="40698559"/>
    <s v="20-40698559-9"/>
    <d v="2020-04-21T00:00:00"/>
    <d v="2020-04-21T00:00:00"/>
    <d v="2020-04-22T00:00:00"/>
    <n v="121"/>
    <s v="Campus Casino"/>
  </r>
  <r>
    <x v="3"/>
    <x v="14"/>
    <s v="Fernandez"/>
    <s v="Luciana Anahi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53"/>
    <n v="69253"/>
    <n v="464833"/>
    <s v="Habilitaciones"/>
    <s v="CSV1"/>
    <n v="79479"/>
    <e v="#N/A"/>
    <s v="fernandez.170"/>
    <s v="VCTLUFER"/>
    <d v="2020-05-18T00:00:00"/>
    <n v="381156284181"/>
    <n v="34132310"/>
    <n v="27341323105"/>
    <d v="2010-02-08T00:00:00"/>
    <d v="2020-05-11T00:00:00"/>
    <d v="2020-05-18T00:00:00"/>
    <n v="3794"/>
    <s v="Campus Casino"/>
  </r>
  <r>
    <x v="3"/>
    <x v="14"/>
    <s v="Gomez"/>
    <s v="Maria Emil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0"/>
    <n v="87309"/>
    <n v="3462510"/>
    <s v="DVH"/>
    <s v="CSV1"/>
    <n v="79479"/>
    <e v="#N/A"/>
    <s v="gomez.1431"/>
    <s v="VCTMAGOM"/>
    <d v="2020-03-29T00:00:00"/>
    <n v="3813030689"/>
    <n v="29438749"/>
    <s v="27-29438749-3"/>
    <d v="2019-08-26T00:00:00"/>
    <d v="2019-08-26T00:00:00"/>
    <d v="2019-09-05T00:00:00"/>
    <n v="356"/>
    <s v="Campus Casino"/>
  </r>
  <r>
    <x v="3"/>
    <x v="14"/>
    <s v="Gonzalez"/>
    <s v="Elizabeth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99"/>
    <n v="88160"/>
    <n v="2538332"/>
    <s v="TLMK"/>
    <s v="CSV1"/>
    <n v="79479"/>
    <e v="#N/A"/>
    <s v="gonzalez.2549"/>
    <s v="VCTELGON  "/>
    <d v="2020-03-29T00:00:00"/>
    <m/>
    <n v="38490522"/>
    <n v="27384905221"/>
    <d v="2019-12-09T00:00:00"/>
    <d v="2019-12-09T00:00:00"/>
    <d v="2020-01-01T00:00:00"/>
    <n v="253"/>
    <s v="Campus Casino"/>
  </r>
  <r>
    <x v="3"/>
    <x v="14"/>
    <s v="González"/>
    <s v="Enzo Javier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075"/>
    <n v="88359"/>
    <n v="3646861"/>
    <s v="CSV1"/>
    <s v="CSV1"/>
    <n v="79479"/>
    <e v="#N/A"/>
    <s v="gonzalez.2577"/>
    <s v="VCTENGON"/>
    <d v="2020-04-22T00:00:00"/>
    <n v="3814563507"/>
    <n v="41772351"/>
    <s v="20-41772351-0"/>
    <d v="2020-04-21T00:00:00"/>
    <d v="2020-04-21T00:00:00"/>
    <d v="2020-04-22T00:00:00"/>
    <n v="121"/>
    <s v="Campus Casino"/>
  </r>
  <r>
    <x v="3"/>
    <x v="14"/>
    <s v="Guerra"/>
    <s v="Héctor Gonzalo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27"/>
    <n v="84358"/>
    <n v="2741865"/>
    <s v="CSV1"/>
    <s v="CSV1; servicions WEB; Compras Referidas"/>
    <n v="79479"/>
    <e v="#N/A"/>
    <s v="guerra.243"/>
    <s v="VCTHEGUE"/>
    <d v="2020-04-14T00:00:00"/>
    <s v="+54 038 149 42328"/>
    <n v="39699234"/>
    <n v="20396992346"/>
    <d v="2018-01-02T00:00:00"/>
    <d v="2020-04-09T00:00:00"/>
    <d v="2020-04-14T00:00:00"/>
    <n v="950"/>
    <s v="Campus Casino"/>
  </r>
  <r>
    <x v="3"/>
    <x v="14"/>
    <s v="Juarez Fernandez"/>
    <s v="Juan Gab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88"/>
    <n v="84641"/>
    <n v="2746225"/>
    <s v="CSV1"/>
    <s v="CSV1"/>
    <n v="79479"/>
    <e v="#N/A"/>
    <s v="jurezfernndez.5"/>
    <s v="VCTJUJUA"/>
    <d v="2020-05-18T00:00:00"/>
    <s v="0381-4321344 / 0381-155574165"/>
    <n v="39730187"/>
    <n v="20397301878"/>
    <d v="2018-01-08T00:00:00"/>
    <d v="2020-05-11T00:00:00"/>
    <d v="2020-05-18T00:00:00"/>
    <n v="944"/>
    <s v="Campus Casino"/>
  </r>
  <r>
    <x v="3"/>
    <x v="14"/>
    <s v="Moya"/>
    <s v="Nadia Florencia"/>
    <s v="OFF"/>
    <s v="14:00 - 20:00"/>
    <s v="14:00 - 20:00"/>
    <s v="14:00 - 20:00"/>
    <s v="14:00 - 20:00"/>
    <s v="14:00 - 20:00"/>
    <s v="OFF"/>
    <m/>
    <m/>
    <s v="PT"/>
    <n v="0"/>
    <n v="6"/>
    <n v="6"/>
    <n v="6"/>
    <n v="6"/>
    <n v="6"/>
    <n v="0"/>
    <n v="30"/>
    <n v="648239"/>
    <n v="79828"/>
    <n v="1496443"/>
    <s v="CSV1"/>
    <s v="CSV1; servicions WEB; Compras Referidas"/>
    <n v="79479"/>
    <e v="#N/A"/>
    <s v="moya.50"/>
    <s v="VCTNAMOY"/>
    <d v="2020-04-14T00:00:00"/>
    <m/>
    <n v="31857587"/>
    <m/>
    <d v="2016-04-01T00:00:00"/>
    <d v="2020-04-09T00:00:00"/>
    <d v="2020-04-14T00:00:00"/>
    <n v="1581"/>
    <s v="Campus Casino"/>
  </r>
  <r>
    <x v="3"/>
    <x v="14"/>
    <s v="Perez Flores"/>
    <s v="Leandro Nah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3"/>
    <n v="87884"/>
    <n v="3102002"/>
    <s v="Servicios web"/>
    <s v="DVH – Compras referidas – Habilitaciones – Servicio Web – Clave PIN"/>
    <n v="79479"/>
    <e v="#N/A"/>
    <s v="perezflores.28"/>
    <s v="VCTLEPER"/>
    <d v="2020-05-04T00:00:00"/>
    <s v="387 847-1326"/>
    <n v="35073705"/>
    <n v="20350737058"/>
    <d v="2019-10-14T00:00:00"/>
    <d v="2020-04-24T00:00:00"/>
    <d v="2020-05-05T00:00:00"/>
    <n v="308"/>
    <s v="Campus Casino"/>
  </r>
  <r>
    <x v="3"/>
    <x v="14"/>
    <s v="Prado"/>
    <s v="Mari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67"/>
    <n v="86287"/>
    <n v="3133268"/>
    <s v="Compras Referidas"/>
    <s v="CSV1"/>
    <n v="79479"/>
    <e v="#N/A"/>
    <s v="prado.268  "/>
    <s v="VCTMAPRA "/>
    <d v="2020-03-25T00:00:00"/>
    <s v="0381-154140580"/>
    <n v="38509438"/>
    <s v="27-38509438-3"/>
    <d v="2018-12-17T00:00:00"/>
    <d v="2018-12-17T00:00:00"/>
    <d v="2019-01-02T00:00:00"/>
    <n v="605"/>
    <s v="Campus Casino"/>
  </r>
  <r>
    <x v="3"/>
    <x v="14"/>
    <s v="Sevilla"/>
    <s v="Lourdes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334"/>
    <n v="88364"/>
    <n v="3667104"/>
    <s v="CSV1"/>
    <s v="CSV1"/>
    <n v="79479"/>
    <e v="#N/A"/>
    <s v="sevilla.259"/>
    <s v="VCTLOSEV"/>
    <d v="2020-03-22T00:00:00"/>
    <m/>
    <n v="40532694"/>
    <s v="27-40532694-4"/>
    <d v="2020-01-22T00:00:00"/>
    <d v="2020-01-22T00:00:00"/>
    <d v="2020-02-12T00:00:00"/>
    <n v="210"/>
    <s v="Campus Casino"/>
  </r>
  <r>
    <x v="3"/>
    <x v="1"/>
    <s v="Torres"/>
    <s v="Maria Jose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17"/>
    <n v="87259"/>
    <n v="3448408"/>
    <s v="Compras Referidas"/>
    <s v="DVH – Compras referidas – Habilitaciones – Servicio Web – Clave PIN"/>
    <e v="#N/A"/>
    <e v="#N/A"/>
    <s v="torres.1778"/>
    <s v="VCTMATOR"/>
    <d v="2020-05-04T00:00:00"/>
    <s v="381-156471110"/>
    <n v="36690903"/>
    <n v="27366909031"/>
    <d v="2019-08-15T00:00:00"/>
    <d v="2020-04-24T00:00:00"/>
    <d v="2020-05-05T00:00:00"/>
    <n v="367"/>
    <s v="Campus Casino"/>
  </r>
  <r>
    <x v="3"/>
    <x v="14"/>
    <s v="Valenzuela"/>
    <s v="Gonzalo Rene"/>
    <s v="OFF"/>
    <s v="16:00 - 21:00"/>
    <s v="16:00 - 21:00"/>
    <s v="16:00 - 21:00"/>
    <s v="16:00 - 21:00"/>
    <s v="16:00 - 21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21"/>
    <n v="87055"/>
    <n v="3409601"/>
    <s v="DVH"/>
    <s v="CSV1"/>
    <n v="79479"/>
    <e v="#N/A"/>
    <s v="valenzuela.384"/>
    <s v="VCTGOVAL "/>
    <d v="2020-03-27T00:00:00"/>
    <s v="381-155902404"/>
    <n v="41651681"/>
    <s v="20-41651681-3"/>
    <d v="2019-07-22T00:00:00"/>
    <d v="2019-07-23T00:00:00"/>
    <d v="2019-08-01T00:00:00"/>
    <n v="390"/>
    <s v="Campus Casino"/>
  </r>
  <r>
    <x v="3"/>
    <x v="1"/>
    <s v="Acosta"/>
    <s v="Gaston Exequiel 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74"/>
    <n v="88049"/>
    <n v="3553148"/>
    <s v="DVH"/>
    <s v="DVH"/>
    <e v="#N/A"/>
    <e v="#N/A"/>
    <m/>
    <s v="VCTGAACO"/>
    <m/>
    <m/>
    <n v="40275956"/>
    <s v="23-40275956-9"/>
    <d v="2020-07-14T00:00:00"/>
    <d v="2020-07-14T00:00:00"/>
    <d v="2020-07-15T00:00:00"/>
    <n v="38"/>
    <s v="Campus Casino"/>
  </r>
  <r>
    <x v="3"/>
    <x v="1"/>
    <s v="Alvarez"/>
    <s v="Alejandra Liliana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24"/>
    <n v="87317"/>
    <n v="3462526"/>
    <s v="Servicios web"/>
    <s v="CSV1"/>
    <e v="#N/A"/>
    <e v="#N/A"/>
    <s v="alvarez.1038"/>
    <s v="VCTALALV"/>
    <d v="2020-03-26T00:00:00"/>
    <n v="3815532654"/>
    <n v="31870365"/>
    <n v="27318703650"/>
    <d v="2019-08-26T00:00:00"/>
    <d v="2019-08-26T00:00:00"/>
    <d v="2019-09-05T00:00:00"/>
    <n v="356"/>
    <s v="Campus Casino"/>
  </r>
  <r>
    <x v="3"/>
    <x v="1"/>
    <s v="Alvarez"/>
    <s v="Lucas Gabriel"/>
    <s v="OFF"/>
    <s v="Approved OFF"/>
    <s v="Approved OFF"/>
    <s v="Approved OFF"/>
    <s v="Approved OFF"/>
    <s v="Approved OFF"/>
    <s v="OFF"/>
    <m/>
    <s v="CAPA CSV1 a CSV2 08/10 - 08/31 (activo 09/01)(Hs Orig  15:00 - 20:00 OFF Dom Sab)"/>
    <s v="PT"/>
    <n v="0"/>
    <n v="0"/>
    <n v="0"/>
    <n v="0"/>
    <n v="0"/>
    <n v="0"/>
    <n v="0"/>
    <n v="0"/>
    <n v="648036"/>
    <n v="88040"/>
    <n v="1664812"/>
    <s v="DVH"/>
    <s v="CSV1"/>
    <e v="#N/A"/>
    <e v="#N/A"/>
    <s v="alvarez.1069"/>
    <s v="VCTLUALV"/>
    <d v="2020-04-22T00:00:00"/>
    <s v="03816317544"/>
    <n v="37997844"/>
    <s v="20-37997844-5"/>
    <d v="2020-04-21T00:00:00"/>
    <d v="2020-04-21T00:00:00"/>
    <d v="2020-04-22T00:00:00"/>
    <n v="121"/>
    <s v="Campus Casino"/>
  </r>
  <r>
    <x v="3"/>
    <x v="1"/>
    <s v="Artaza"/>
    <s v=" Milagro Ileana Marib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648304"/>
    <n v="87686"/>
    <n v="3526354"/>
    <s v="Servicios web"/>
    <s v="DVH – Compras referidas – Habilitaciones – Servicio Web – Clave PIN"/>
    <e v="#N/A"/>
    <e v="#N/A"/>
    <s v="artaza.15"/>
    <s v="VCTMIART"/>
    <d v="2020-05-04T00:00:00"/>
    <s v="381 488 4001"/>
    <n v="41950744"/>
    <n v="27419507445"/>
    <d v="2019-10-07T00:00:00"/>
    <d v="2020-04-24T00:00:00"/>
    <d v="2020-05-05T00:00:00"/>
    <n v="315"/>
    <s v="Campus Casino"/>
  </r>
  <r>
    <x v="3"/>
    <x v="1"/>
    <s v="Caballero"/>
    <s v="Matias Nah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022"/>
    <n v="85620"/>
    <n v="2873657"/>
    <s v="CSV2"/>
    <s v="CSV2/HD"/>
    <e v="#N/A"/>
    <e v="#N/A"/>
    <s v="caballero.309"/>
    <s v="VCTMACAB"/>
    <d v="2020-04-24T00:00:00"/>
    <s v="0381 -154014772"/>
    <n v="41694320"/>
    <n v="20416943207"/>
    <d v="2018-05-07T00:00:00"/>
    <d v="2018-06-08T00:00:00"/>
    <d v="2018-06-11T00:00:00"/>
    <n v="825"/>
    <s v="Campus Casino"/>
  </r>
  <r>
    <x v="3"/>
    <x v="1"/>
    <s v="Castro del Sastre"/>
    <s v="Camila Belén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8"/>
    <n v="88358"/>
    <n v="3667099"/>
    <s v="CSV1"/>
    <s v="CSV1"/>
    <e v="#N/A"/>
    <e v="#N/A"/>
    <m/>
    <s v="VCTCACAS"/>
    <m/>
    <m/>
    <n v="42467280"/>
    <s v="27-42467280-2"/>
    <d v="2020-07-14T00:00:00"/>
    <d v="2020-07-14T00:00:00"/>
    <d v="2020-07-17T00:00:00"/>
    <n v="38"/>
    <s v="Campus Casino"/>
  </r>
  <r>
    <x v="3"/>
    <x v="1"/>
    <s v="Cipolla "/>
    <s v="Naim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007"/>
    <n v="83376"/>
    <n v="2453507"/>
    <s v="VIP"/>
    <s v="CSV2/HD/CSV3/ VIP"/>
    <e v="#N/A"/>
    <e v="#N/A"/>
    <s v="cipolla.5"/>
    <s v="VCTNACIP"/>
    <d v="2020-03-25T00:00:00"/>
    <s v="0381-153017069"/>
    <n v="40533169"/>
    <n v="27405331697"/>
    <d v="2017-04-03T00:00:00"/>
    <d v="2018-06-08T00:00:00"/>
    <d v="2018-06-11T00:00:00"/>
    <n v="1219"/>
    <s v="Campus Casino"/>
  </r>
  <r>
    <x v="3"/>
    <x v="1"/>
    <s v="Correa"/>
    <s v="Ana Gabriela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209"/>
    <n v="87053"/>
    <n v="3409633"/>
    <s v="Servicios web"/>
    <s v="CSV1"/>
    <e v="#N/A"/>
    <e v="#N/A"/>
    <s v="correa.357"/>
    <s v="VCTMACOR"/>
    <d v="2020-07-17T00:00:00"/>
    <s v="381-154069186"/>
    <n v="41495251"/>
    <s v="27-41495251-3"/>
    <d v="2019-07-22T00:00:00"/>
    <d v="2019-07-23T00:00:00"/>
    <d v="2019-08-01T00:00:00"/>
    <n v="390"/>
    <s v="Campus Casino"/>
  </r>
  <r>
    <x v="3"/>
    <x v="1"/>
    <s v="Delgado"/>
    <s v="Alejandra Noemi"/>
    <s v="OFF"/>
    <s v="Approved OFF"/>
    <s v="Approved OFF"/>
    <s v="Approved OFF"/>
    <s v="Approved OFF"/>
    <s v="Approved OFF"/>
    <s v="OFF"/>
    <m/>
    <s v="CAPA CSV1 a CSV2 08/10 - 08/31 (activo 09/01)(Hs Orig  15:00 - 21:00 OFF Dom Sab)"/>
    <s v="PT"/>
    <n v="0"/>
    <n v="0"/>
    <n v="0"/>
    <n v="0"/>
    <n v="0"/>
    <n v="0"/>
    <n v="0"/>
    <n v="0"/>
    <n v="89300"/>
    <n v="88161"/>
    <n v="3624113"/>
    <s v="Servicios web"/>
    <s v="CSV1"/>
    <e v="#N/A"/>
    <e v="#N/A"/>
    <s v="delgado.582"/>
    <s v="VCTALDEL  "/>
    <d v="2020-03-29T00:00:00"/>
    <m/>
    <n v="34285532"/>
    <n v="27342855321"/>
    <d v="2019-12-09T00:00:00"/>
    <d v="2019-12-09T00:00:00"/>
    <d v="2020-01-01T00:00:00"/>
    <n v="253"/>
    <s v="Campus Casino"/>
  </r>
  <r>
    <x v="3"/>
    <x v="1"/>
    <s v="Delgado"/>
    <s v="Solana Abigai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8"/>
    <n v="87299"/>
    <n v="3295607"/>
    <s v="Servicios web"/>
    <s v="CSV1"/>
    <e v="#N/A"/>
    <e v="#N/A"/>
    <s v="delgado.546"/>
    <s v="VCTSODEL"/>
    <d v="2020-03-26T00:00:00"/>
    <n v="3813397461"/>
    <n v="43002203"/>
    <n v="27430022038"/>
    <d v="2019-08-26T00:00:00"/>
    <d v="2019-08-26T00:00:00"/>
    <d v="2019-09-05T00:00:00"/>
    <n v="356"/>
    <s v="Campus Casino"/>
  </r>
  <r>
    <x v="3"/>
    <x v="1"/>
    <s v="Gómez"/>
    <s v="Jonás 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187"/>
    <n v="86336"/>
    <n v="3138449"/>
    <s v="CSV2"/>
    <s v="CSV2"/>
    <e v="#N/A"/>
    <e v="#N/A"/>
    <s v="gomez.1294  "/>
    <s v="VCTJOGÓM "/>
    <d v="2020-04-24T00:00:00"/>
    <s v="0381-153869343"/>
    <n v="42797032"/>
    <n v="23427970329"/>
    <d v="2018-12-26T00:00:00"/>
    <d v="2018-12-26T00:00:00"/>
    <d v="2019-01-11T00:00:00"/>
    <n v="596"/>
    <s v="Campus Casino"/>
  </r>
  <r>
    <x v="3"/>
    <x v="1"/>
    <s v="Ocampo"/>
    <s v="Franco Vicente"/>
    <s v="OFF"/>
    <s v="15:00 - 20:00"/>
    <s v="15:00 - 20:00"/>
    <s v="15:00 - 20:00"/>
    <s v="15:00 - 20:00"/>
    <s v="15:00 - 20:00"/>
    <s v="OFF"/>
    <m/>
    <m/>
    <s v="PT"/>
    <n v="0"/>
    <n v="5.0000000000000009"/>
    <n v="5.0000000000000009"/>
    <n v="5.0000000000000009"/>
    <n v="5.0000000000000009"/>
    <n v="5.0000000000000009"/>
    <n v="0"/>
    <n v="25.000000000000004"/>
    <n v="89326"/>
    <n v="88356"/>
    <n v="3667097"/>
    <s v="CSV1"/>
    <s v="CSV1"/>
    <e v="#N/A"/>
    <e v="#N/A"/>
    <m/>
    <s v="VCTFROCA"/>
    <m/>
    <m/>
    <n v="40356980"/>
    <s v="20-40356980-2"/>
    <d v="2020-07-14T00:00:00"/>
    <d v="2020-07-14T00:00:00"/>
    <d v="2020-07-17T00:00:00"/>
    <n v="38"/>
    <s v="Campus Casino"/>
  </r>
  <r>
    <x v="3"/>
    <x v="1"/>
    <s v="Pavone"/>
    <s v="David Emanuel"/>
    <s v="OFF"/>
    <s v="Approved OFF"/>
    <s v="Approved OFF"/>
    <s v="Approved OFF"/>
    <s v="Approved OFF"/>
    <s v="Approved OFF"/>
    <s v="OFF"/>
    <m/>
    <s v="CAPA CSV2 a CSV3 08/11 - 08/26 (activo 08/27)(Hs Orig  15:00 - 21:00 OFF Dom Sab)"/>
    <s v="PT"/>
    <n v="0"/>
    <n v="0"/>
    <n v="0"/>
    <n v="0"/>
    <n v="0"/>
    <n v="0"/>
    <n v="0"/>
    <n v="0"/>
    <n v="89101"/>
    <n v="83362"/>
    <n v="2178550"/>
    <s v="CSV2"/>
    <s v="CSV2"/>
    <e v="#N/A"/>
    <e v="#N/A"/>
    <s v="pavone.20"/>
    <s v="VCTDAPAV"/>
    <d v="2020-03-31T00:00:00"/>
    <n v="153048278"/>
    <n v="39975325"/>
    <n v="20399753253"/>
    <d v="2017-04-03T00:00:00"/>
    <d v="2018-11-05T00:00:00"/>
    <d v="2018-11-19T00:00:00"/>
    <n v="1219"/>
    <s v="Campus Casino"/>
  </r>
  <r>
    <x v="3"/>
    <x v="1"/>
    <s v="Ruiz"/>
    <s v="Jimena Alejandr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n v="89231"/>
    <n v="87313"/>
    <n v="2001850"/>
    <s v="CSV2"/>
    <s v="CSV2"/>
    <e v="#N/A"/>
    <e v="#N/A"/>
    <s v="ruiz.943"/>
    <s v="VCTJIRUI"/>
    <d v="2020-07-21T00:00:00"/>
    <n v="3816699242"/>
    <n v="37658363"/>
    <s v="27-37658363-0"/>
    <d v="2019-08-26T00:00:00"/>
    <d v="2019-08-26T00:00:00"/>
    <d v="2019-09-05T00:00:00"/>
    <n v="356"/>
    <s v="Campus Casino"/>
  </r>
  <r>
    <x v="3"/>
    <x v="12"/>
    <s v="Alcorta"/>
    <s v="Carla Andre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23"/>
    <n v="87320"/>
    <n v="3462531"/>
    <s v="CSV2"/>
    <s v="CSV2"/>
    <n v="81043"/>
    <e v="#N/A"/>
    <s v="alcorta.10"/>
    <s v="VCTCAALC"/>
    <d v="2020-04-24T00:00:00"/>
    <n v="3814735728"/>
    <n v="39477028"/>
    <s v="27-39477028-6"/>
    <d v="2019-08-26T00:00:00"/>
    <d v="2019-08-26T00:00:00"/>
    <d v="2019-09-05T00:00:00"/>
    <n v="356"/>
    <s v="Campus Casino"/>
  </r>
  <r>
    <x v="3"/>
    <x v="12"/>
    <s v="Blac Sleiman"/>
    <s v="David Exequiel"/>
    <s v="OFF"/>
    <s v="10:00 - 15:00"/>
    <s v="10:00 - 15:00"/>
    <s v="10:00 - 15:00"/>
    <s v="10:00 - 15:00"/>
    <s v="OFF"/>
    <s v="OFF"/>
    <m/>
    <m/>
    <s v="PT"/>
    <n v="0"/>
    <n v="5"/>
    <n v="5"/>
    <n v="5"/>
    <n v="5"/>
    <n v="0"/>
    <n v="0"/>
    <n v="20"/>
    <n v="89023"/>
    <n v="85615"/>
    <n v="2646185"/>
    <s v="Compras Referidas"/>
    <s v="CSV1"/>
    <n v="81043"/>
    <e v="#N/A"/>
    <s v="blacsleiman.6"/>
    <s v="VCTDABLA"/>
    <d v="2020-03-22T00:00:00"/>
    <s v="0381-156552983"/>
    <n v="39355647"/>
    <s v="20-39355647-2"/>
    <d v="2018-05-07T00:00:00"/>
    <d v="2018-06-08T00:00:00"/>
    <d v="2018-06-11T00:00:00"/>
    <n v="825"/>
    <s v="Campus Casino"/>
  </r>
  <r>
    <x v="3"/>
    <x v="12"/>
    <s v="Carrasco Paiva"/>
    <s v="Jhonny Dan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316"/>
    <n v="88346"/>
    <n v="3667089"/>
    <s v="CSV1"/>
    <s v="CSV1"/>
    <n v="81043"/>
    <e v="#N/A"/>
    <s v="carrasco.131"/>
    <s v="VCTJHCAR"/>
    <d v="2020-03-22T00:00:00"/>
    <m/>
    <n v="96001421"/>
    <s v="23-96001421-9"/>
    <d v="2020-01-22T00:00:00"/>
    <d v="2020-01-22T00:00:00"/>
    <d v="2020-02-12T00:00:00"/>
    <n v="210"/>
    <s v="Campus Casino"/>
  </r>
  <r>
    <x v="3"/>
    <x v="12"/>
    <s v="Casella Lorca"/>
    <s v="Gianfranco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321"/>
    <n v="88351"/>
    <n v="3123376"/>
    <s v="CSV1"/>
    <s v="CSV1"/>
    <n v="81043"/>
    <e v="#N/A"/>
    <s v="casellalorca.6"/>
    <s v="VCTGICAS"/>
    <d v="2020-03-22T00:00:00"/>
    <m/>
    <n v="40357988"/>
    <s v="20-40357988-3"/>
    <d v="2020-01-22T00:00:00"/>
    <d v="2020-01-22T00:00:00"/>
    <d v="2020-02-12T00:00:00"/>
    <n v="210"/>
    <s v="Campus Casino"/>
  </r>
  <r>
    <x v="3"/>
    <x v="12"/>
    <s v="Castro"/>
    <s v="Diego Nicolas 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26"/>
    <n v="87319"/>
    <n v="3462528"/>
    <s v="CSV1"/>
    <s v="CSV1"/>
    <n v="81043"/>
    <e v="#N/A"/>
    <s v="castro.1390"/>
    <s v="VCTCANIC"/>
    <d v="2020-03-25T00:00:00"/>
    <s v="N/A"/>
    <n v="41649361"/>
    <s v="20-41649361-9"/>
    <d v="2019-08-26T00:00:00"/>
    <d v="2019-08-26T00:00:00"/>
    <d v="2019-09-05T00:00:00"/>
    <n v="356"/>
    <s v="Campus Casino"/>
  </r>
  <r>
    <x v="3"/>
    <x v="12"/>
    <s v="Cuello"/>
    <s v="Paula Mar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291"/>
    <n v="88153"/>
    <n v="3624035"/>
    <s v="Servicios web"/>
    <s v="CSV1"/>
    <n v="81043"/>
    <e v="#N/A"/>
    <s v="cuello.26"/>
    <s v="VCTPACUE  "/>
    <d v="2020-03-27T00:00:00"/>
    <m/>
    <n v="38184629"/>
    <n v="27381846291"/>
    <d v="2019-12-09T00:00:00"/>
    <d v="2019-12-09T00:00:00"/>
    <d v="2020-01-01T00:00:00"/>
    <n v="253"/>
    <s v="Campus Casino"/>
  </r>
  <r>
    <x v="3"/>
    <x v="12"/>
    <s v="Fernandez Lafuente"/>
    <s v="Elia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3"/>
    <n v="86151"/>
    <n v="3118301"/>
    <s v="CSV2"/>
    <s v="CSV1 / CSV2"/>
    <n v="81043"/>
    <e v="#N/A"/>
    <s v="fernndezlafuente.5 "/>
    <s v="VCTELFER "/>
    <d v="2020-03-22T00:00:00"/>
    <s v="381-155070922"/>
    <n v="38184365"/>
    <s v="27-38184365-9"/>
    <d v="2018-12-03T00:00:00"/>
    <d v="2018-12-03T00:00:00"/>
    <d v="2018-12-14T00:00:00"/>
    <n v="619"/>
    <s v="Campus Casino"/>
  </r>
  <r>
    <x v="3"/>
    <x v="12"/>
    <s v="Guerra"/>
    <s v="Carlos Martin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648067"/>
    <n v="88350"/>
    <n v="3667092"/>
    <s v="CSV1"/>
    <s v="CSV1"/>
    <n v="81043"/>
    <e v="#N/A"/>
    <s v="guerra.335"/>
    <s v="VCTGUCAR"/>
    <d v="2020-04-22T00:00:00"/>
    <s v="03816637449"/>
    <n v="37727877"/>
    <s v="20-37727877-2"/>
    <d v="2020-04-21T00:00:00"/>
    <d v="2020-04-21T00:00:00"/>
    <d v="2020-04-22T00:00:00"/>
    <n v="121"/>
    <s v="Campus Casino"/>
  </r>
  <r>
    <x v="3"/>
    <x v="12"/>
    <s v="Medina"/>
    <s v="Olga Tama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1"/>
    <n v="81663"/>
    <n v="2025854"/>
    <s v="CSV1"/>
    <s v="CSV1; servicions WEB; Compras Referidas"/>
    <n v="81043"/>
    <e v="#N/A"/>
    <s v="medina.514"/>
    <s v="VCTOLMED"/>
    <d v="2020-04-14T00:00:00"/>
    <s v="0381-156690297"/>
    <n v="39139933"/>
    <n v="27391399331"/>
    <d v="2016-04-01T00:00:00"/>
    <d v="2020-04-09T00:00:00"/>
    <d v="2020-04-14T00:00:00"/>
    <n v="1581"/>
    <s v="Campus Casino"/>
  </r>
  <r>
    <x v="3"/>
    <x v="12"/>
    <s v="Navarro"/>
    <s v="Florencia Yudi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29"/>
    <n v="86144"/>
    <n v="3118271"/>
    <s v="DVH"/>
    <s v="CSV1"/>
    <n v="81043"/>
    <e v="#N/A"/>
    <s v="navarro.740 "/>
    <s v="VCTFLNAV "/>
    <d v="2020-03-25T00:00:00"/>
    <s v="381-153356081"/>
    <n v="40217271"/>
    <s v="27-40217271-7"/>
    <d v="2018-12-03T00:00:00"/>
    <d v="2018-12-03T00:00:00"/>
    <d v="2018-12-14T00:00:00"/>
    <n v="619"/>
    <s v="Campus Casino"/>
  </r>
  <r>
    <x v="3"/>
    <x v="12"/>
    <s v="Palavecino"/>
    <s v="Maria Laur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s v="89322 "/>
    <n v="88352"/>
    <n v="3667093"/>
    <s v="CSV1"/>
    <s v="CSV1"/>
    <n v="81043"/>
    <e v="#N/A"/>
    <s v="palavecino.29"/>
    <s v="VCTLAPAL"/>
    <d v="2020-03-22T00:00:00"/>
    <m/>
    <n v="39698542"/>
    <s v="27-39698542-5"/>
    <d v="2020-01-22T00:00:00"/>
    <d v="2020-01-22T00:00:00"/>
    <d v="2020-02-12T00:00:00"/>
    <n v="210"/>
    <s v="Campus Casino"/>
  </r>
  <r>
    <x v="3"/>
    <x v="12"/>
    <s v="Parrado Quiroga"/>
    <s v="Gimena Mariso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165"/>
    <n v="86283"/>
    <n v="3133256"/>
    <s v="Servicios web"/>
    <s v="DVH / Compras Referidas/ Servicios Web"/>
    <n v="81043"/>
    <e v="#N/A"/>
    <s v="Parradoquiroga.5"/>
    <s v="VCTGIPAR"/>
    <d v="2020-03-22T00:00:00"/>
    <s v="0381-156301220"/>
    <n v="40155412"/>
    <s v="27-40155412-8"/>
    <d v="2018-12-17T00:00:00"/>
    <d v="2018-12-17T00:00:00"/>
    <d v="2019-01-02T00:00:00"/>
    <n v="605"/>
    <s v="Campus Casino"/>
  </r>
  <r>
    <x v="3"/>
    <x v="12"/>
    <s v="Salas"/>
    <s v="Romina Merced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89281"/>
    <n v="88143"/>
    <n v="3624022"/>
    <s v="CSV1"/>
    <s v="CSV1"/>
    <n v="81043"/>
    <e v="#N/A"/>
    <s v="salas.307"/>
    <s v="VCTROSAL  "/>
    <d v="2020-03-27T00:00:00"/>
    <m/>
    <n v="32501160"/>
    <n v="27325011608"/>
    <d v="2019-12-09T00:00:00"/>
    <d v="2019-12-09T00:00:00"/>
    <d v="2020-01-01T00:00:00"/>
    <n v="253"/>
    <s v="Campus Casino"/>
  </r>
  <r>
    <x v="3"/>
    <x v="12"/>
    <s v="Sánchez"/>
    <s v="Pedro Alejandr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4"/>
    <n v="80591"/>
    <n v="1676298"/>
    <s v="CSV1"/>
    <s v="CSV1; servicions WEB; Compras Referidas"/>
    <n v="81043"/>
    <e v="#N/A"/>
    <s v="snchez.16"/>
    <s v="VCTPESAN"/>
    <d v="2020-04-14T00:00:00"/>
    <s v="0381-155065886"/>
    <n v="31253777"/>
    <n v="20312537770"/>
    <d v="2015-05-11T00:00:00"/>
    <d v="2020-04-09T00:00:00"/>
    <d v="2020-04-14T00:00:00"/>
    <n v="1901"/>
    <s v="Campus Casino"/>
  </r>
  <r>
    <x v="3"/>
    <x v="12"/>
    <s v="Soto"/>
    <s v="Eric Eman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n v="648236"/>
    <n v="84355"/>
    <n v="2741813"/>
    <s v="CSV1"/>
    <s v="CSV1; servicions WEB; Compras Referidas"/>
    <n v="81043"/>
    <e v="#N/A"/>
    <s v="soto.261"/>
    <s v="VCTERSOT"/>
    <d v="2020-04-14T00:00:00"/>
    <s v="381-155616291"/>
    <n v="40698650"/>
    <n v="20406986501"/>
    <d v="2018-01-02T00:00:00"/>
    <d v="2020-04-09T00:00:00"/>
    <d v="2020-04-14T00:00:00"/>
    <n v="950"/>
    <s v="Campus Casino"/>
  </r>
  <r>
    <x v="3"/>
    <x v="12"/>
    <s v="Trionfini"/>
    <s v="Monica Luciana"/>
    <s v="OFF"/>
    <s v="Approved OFF"/>
    <s v="Approved OFF"/>
    <s v="Approved OFF"/>
    <s v="Approved OFF"/>
    <s v="Approved OFF"/>
    <s v="OFF"/>
    <m/>
    <s v="CAPA CSV1 a CSV2 08/10 - 08/31 (activo 09/01)(Hs Orig  09:00 - 15:00 OFF Dom Sab)"/>
    <s v="PT"/>
    <n v="0"/>
    <n v="0"/>
    <n v="0"/>
    <n v="0"/>
    <n v="0"/>
    <n v="0"/>
    <n v="0"/>
    <n v="0"/>
    <n v="89174"/>
    <n v="86284"/>
    <n v="1412049"/>
    <s v="DVH"/>
    <s v="CSV1"/>
    <n v="81043"/>
    <e v="#N/A"/>
    <s v="trionfini.6 "/>
    <s v="VCTMOTRI"/>
    <d v="2020-03-26T00:00:00"/>
    <s v="0381-154015977"/>
    <n v="34186702"/>
    <s v="27-34186702-4"/>
    <d v="2018-12-17T00:00:00"/>
    <d v="2018-12-17T00:00:00"/>
    <d v="2019-01-02T00:00:00"/>
    <n v="605"/>
    <s v="Campus Casino"/>
  </r>
  <r>
    <x v="2"/>
    <x v="15"/>
    <s v="Ballesteros"/>
    <s v="Gabriela Elizabeth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771"/>
    <s v="DVH"/>
    <s v="DVH"/>
    <n v="84144"/>
    <n v="64118"/>
    <m/>
    <m/>
    <m/>
    <s v="381-153554446"/>
    <n v="43710701"/>
    <s v="27-43710701-2"/>
    <d v="2020-07-27T00:00:00"/>
    <d v="2020-07-27T00:00:00"/>
    <d v="2020-08-04T00:00:00"/>
    <n v="25"/>
    <s v="Campus Casino"/>
  </r>
  <r>
    <x v="2"/>
    <x v="15"/>
    <s v="Figueroa"/>
    <s v="Paula Cri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37"/>
    <s v="DVH"/>
    <s v="DVH"/>
    <n v="84144"/>
    <n v="64118"/>
    <m/>
    <m/>
    <m/>
    <s v="381-156635470"/>
    <n v="41534420"/>
    <s v="27-41534420-7"/>
    <d v="2020-07-27T00:00:00"/>
    <d v="2020-07-27T00:00:00"/>
    <d v="2020-08-04T00:00:00"/>
    <n v="25"/>
    <s v="Campus Casino"/>
  </r>
  <r>
    <x v="2"/>
    <x v="15"/>
    <s v="Pacheco"/>
    <s v="Florencia Agost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0"/>
    <s v="DVH"/>
    <s v="DVH"/>
    <n v="84144"/>
    <n v="64118"/>
    <m/>
    <m/>
    <m/>
    <s v="381-154091663"/>
    <n v="36867211"/>
    <s v="23-36867211-4"/>
    <d v="2020-07-27T00:00:00"/>
    <d v="2020-07-27T00:00:00"/>
    <d v="2020-08-04T00:00:00"/>
    <n v="25"/>
    <s v="Campus Casino"/>
  </r>
  <r>
    <x v="2"/>
    <x v="15"/>
    <s v="Aramayo"/>
    <s v="Fihama Loreley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47"/>
    <s v="DVH"/>
    <s v="DVH"/>
    <n v="84144"/>
    <n v="64118"/>
    <m/>
    <m/>
    <m/>
    <s v="381-156566831"/>
    <n v="41763147"/>
    <s v="27-41763147-5"/>
    <d v="2020-07-27T00:00:00"/>
    <d v="2020-07-27T00:00:00"/>
    <d v="2020-08-04T00:00:00"/>
    <n v="25"/>
    <s v="Campus Casino"/>
  </r>
  <r>
    <x v="2"/>
    <x v="15"/>
    <s v="Rayó"/>
    <s v="Rodrigo Exequi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5633865"/>
    <s v="DVH"/>
    <s v="DVH"/>
    <n v="84144"/>
    <n v="64118"/>
    <m/>
    <m/>
    <m/>
    <s v="381-154190596"/>
    <n v="36712734"/>
    <s v="20-36712734-2"/>
    <d v="2020-07-27T00:00:00"/>
    <d v="2020-07-27T00:00:00"/>
    <d v="2020-08-04T00:00:00"/>
    <n v="25"/>
    <s v="Campus Casino"/>
  </r>
  <r>
    <x v="0"/>
    <x v="16"/>
    <s v="Mercado"/>
    <s v="Mikaela Sabr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1"/>
    <s v="DVH"/>
    <s v="DVH"/>
    <n v="83851"/>
    <n v="74054"/>
    <m/>
    <m/>
    <m/>
    <s v="381-155715427"/>
    <n v="34327482"/>
    <s v="27-34327482-9"/>
    <d v="2020-07-27T00:00:00"/>
    <d v="2020-07-27T00:00:00"/>
    <d v="2020-08-04T00:00:00"/>
    <n v="25"/>
    <s v="Campus Casino"/>
  </r>
  <r>
    <x v="0"/>
    <x v="16"/>
    <s v="Terriaca Lemme"/>
    <s v="Flavia Sola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3877"/>
    <s v="DVH"/>
    <s v="DVH"/>
    <n v="83851"/>
    <n v="74054"/>
    <m/>
    <m/>
    <m/>
    <s v="381-153016768"/>
    <n v="35195568"/>
    <s v="27-35195568-1"/>
    <d v="2020-07-27T00:00:00"/>
    <d v="2020-07-27T00:00:00"/>
    <d v="2020-08-04T00:00:00"/>
    <n v="25"/>
    <s v="Campus Casino"/>
  </r>
  <r>
    <x v="0"/>
    <x v="16"/>
    <s v="Ucciardello"/>
    <s v="Luciana Daniz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38"/>
    <s v="DVH"/>
    <s v="DVH"/>
    <n v="83851"/>
    <n v="74054"/>
    <m/>
    <m/>
    <m/>
    <s v="381-153396910"/>
    <n v="42548543"/>
    <s v="27-42548543-7"/>
    <d v="2020-07-27T00:00:00"/>
    <d v="2020-07-27T00:00:00"/>
    <d v="2020-08-04T00:00:00"/>
    <n v="25"/>
    <s v="Campus Casino"/>
  </r>
  <r>
    <x v="0"/>
    <x v="16"/>
    <s v="Dilascio"/>
    <s v="Miguel Ang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1"/>
    <s v="DVH"/>
    <s v="DVH"/>
    <n v="83851"/>
    <n v="74054"/>
    <m/>
    <m/>
    <m/>
    <s v="381-155249588"/>
    <n v="39574767"/>
    <s v="20-39574767-4"/>
    <d v="2020-07-27T00:00:00"/>
    <d v="2020-07-27T00:00:00"/>
    <d v="2020-08-04T00:00:00"/>
    <n v="25"/>
    <s v="Campus Casino"/>
  </r>
  <r>
    <x v="0"/>
    <x v="16"/>
    <s v="Rodríguez"/>
    <s v="Brend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46"/>
    <s v="DVH"/>
    <s v="DVH"/>
    <n v="83851"/>
    <n v="74054"/>
    <m/>
    <m/>
    <m/>
    <s v="381-156070741"/>
    <n v="39730809"/>
    <s v="27-39730809-5"/>
    <d v="2020-07-27T00:00:00"/>
    <d v="2020-07-27T00:00:00"/>
    <d v="2020-08-04T00:00:00"/>
    <n v="25"/>
    <s v="Campus Casino"/>
  </r>
  <r>
    <x v="0"/>
    <x v="16"/>
    <s v="Montaldo"/>
    <s v="Sol Agu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51"/>
    <s v="DVH"/>
    <s v="DVH"/>
    <n v="83851"/>
    <n v="74054"/>
    <m/>
    <m/>
    <m/>
    <s v="381-155455805"/>
    <n v="41771566"/>
    <s v="27-41771566-0"/>
    <d v="2020-07-27T00:00:00"/>
    <d v="2020-07-27T00:00:00"/>
    <d v="2020-08-04T00:00:00"/>
    <n v="25"/>
    <s v="Campus Casino"/>
  </r>
  <r>
    <x v="0"/>
    <x v="16"/>
    <s v="Yanelli"/>
    <s v="Aníbal Hector Francisc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68"/>
    <s v="DVH"/>
    <s v="DVH"/>
    <n v="83851"/>
    <n v="74054"/>
    <m/>
    <m/>
    <m/>
    <s v="381-15 6576805"/>
    <n v="42371182"/>
    <s v="20-42371182-6"/>
    <d v="2020-07-27T00:00:00"/>
    <d v="2020-07-27T00:00:00"/>
    <d v="2020-08-04T00:00:00"/>
    <n v="25"/>
    <s v="Campus Casino"/>
  </r>
  <r>
    <x v="0"/>
    <x v="16"/>
    <s v="Pascual"/>
    <s v="Silvio Dan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612"/>
    <s v="DVH"/>
    <s v="DVH"/>
    <n v="83851"/>
    <n v="74054"/>
    <m/>
    <m/>
    <m/>
    <s v="381-153362589"/>
    <n v="36439725"/>
    <s v="23-36439725-9"/>
    <d v="2020-07-27T00:00:00"/>
    <d v="2020-07-27T00:00:00"/>
    <d v="2020-08-04T00:00:00"/>
    <n v="25"/>
    <s v="Campus Casino"/>
  </r>
  <r>
    <x v="0"/>
    <x v="16"/>
    <s v="Contreras"/>
    <s v="Fernando Gonzal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2"/>
    <s v="DVH"/>
    <s v="DVH"/>
    <n v="83851"/>
    <n v="74054"/>
    <m/>
    <m/>
    <m/>
    <s v="381-153435386"/>
    <n v="38224052"/>
    <s v="23-38224052-9"/>
    <d v="2020-07-27T00:00:00"/>
    <d v="2020-07-27T00:00:00"/>
    <d v="2020-08-04T00:00:00"/>
    <n v="25"/>
    <s v="Campus Casino"/>
  </r>
  <r>
    <x v="0"/>
    <x v="16"/>
    <s v="Navarro"/>
    <s v="Luciana Antonell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5634075"/>
    <s v="DVH"/>
    <s v="DVH"/>
    <n v="83851"/>
    <n v="74054"/>
    <m/>
    <m/>
    <m/>
    <s v="381-155013812"/>
    <n v="38244120"/>
    <s v="27-38244120-1"/>
    <d v="2020-07-27T00:00:00"/>
    <d v="2020-07-27T00:00:00"/>
    <d v="2020-08-04T00:00:00"/>
    <n v="25"/>
    <s v="Campus Casino"/>
  </r>
  <r>
    <x v="0"/>
    <x v="16"/>
    <s v="Albornoz"/>
    <s v="Luciana de los Angele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436665"/>
    <s v="DVH"/>
    <s v="DVH"/>
    <n v="83851"/>
    <n v="74054"/>
    <m/>
    <m/>
    <m/>
    <m/>
    <n v="31354102"/>
    <s v="27-31354102-4"/>
    <d v="2020-08-03T00:00:00"/>
    <d v="2020-08-03T00:00:00"/>
    <d v="2020-08-14T00:00:00"/>
    <n v="19"/>
    <s v="Campus Casino"/>
  </r>
  <r>
    <x v="2"/>
    <x v="15"/>
    <s v="Asen Ruiz"/>
    <s v="Mirta Anahí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6"/>
    <s v="DVH"/>
    <s v="DVH"/>
    <n v="84144"/>
    <n v="64118"/>
    <m/>
    <m/>
    <m/>
    <m/>
    <n v="39975338"/>
    <s v="23-39975338-4"/>
    <d v="2020-08-03T00:00:00"/>
    <d v="2020-08-03T00:00:00"/>
    <d v="2020-08-14T00:00:00"/>
    <n v="19"/>
    <s v="Campus Casino"/>
  </r>
  <r>
    <x v="0"/>
    <x v="16"/>
    <s v="Avellaneda"/>
    <s v="Rocío Mari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320633"/>
    <s v="DVH"/>
    <s v="DVH"/>
    <n v="83851"/>
    <n v="74054"/>
    <m/>
    <m/>
    <m/>
    <m/>
    <n v="42371665"/>
    <s v="27-42371665-2"/>
    <d v="2020-08-03T00:00:00"/>
    <d v="2020-08-03T00:00:00"/>
    <d v="2020-08-14T00:00:00"/>
    <n v="19"/>
    <s v="Campus Casino"/>
  </r>
  <r>
    <x v="0"/>
    <x v="16"/>
    <s v="Baez Silberstein"/>
    <s v="Santiag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1"/>
    <s v="DVH"/>
    <s v="DVH"/>
    <n v="83851"/>
    <n v="74054"/>
    <m/>
    <m/>
    <m/>
    <m/>
    <n v="37657560"/>
    <s v="20-37657560-9"/>
    <d v="2020-08-03T00:00:00"/>
    <d v="2020-08-03T00:00:00"/>
    <d v="2020-08-14T00:00:00"/>
    <n v="19"/>
    <s v="Campus Casino"/>
  </r>
  <r>
    <x v="0"/>
    <x v="16"/>
    <s v="Coria"/>
    <s v="A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49"/>
    <s v="DVH"/>
    <s v="DVH"/>
    <n v="83851"/>
    <n v="74054"/>
    <m/>
    <m/>
    <m/>
    <m/>
    <n v="39142413"/>
    <s v="27-39142413-1"/>
    <d v="2020-08-03T00:00:00"/>
    <d v="2020-08-03T00:00:00"/>
    <d v="2020-08-14T00:00:00"/>
    <n v="19"/>
    <s v="Campus Casino"/>
  </r>
  <r>
    <x v="2"/>
    <x v="15"/>
    <s v="Flores"/>
    <s v="Ana Ceci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1"/>
    <s v="DVH"/>
    <s v="DVH"/>
    <n v="84144"/>
    <n v="64118"/>
    <m/>
    <m/>
    <m/>
    <m/>
    <n v="37190020"/>
    <s v="27-37190020-4"/>
    <d v="2020-08-03T00:00:00"/>
    <d v="2020-08-03T00:00:00"/>
    <d v="2020-08-14T00:00:00"/>
    <n v="19"/>
    <s v="Campus Casino"/>
  </r>
  <r>
    <x v="0"/>
    <x v="17"/>
    <s v="Garcia Bulacio"/>
    <s v="Lucian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4"/>
    <s v="DVH"/>
    <s v="DVH"/>
    <n v="83947"/>
    <n v="74054"/>
    <m/>
    <m/>
    <m/>
    <m/>
    <n v="40437526"/>
    <s v="20-40437526-2"/>
    <d v="2020-08-03T00:00:00"/>
    <d v="2020-08-03T00:00:00"/>
    <d v="2020-08-14T00:00:00"/>
    <n v="19"/>
    <s v="Campus Casino"/>
  </r>
  <r>
    <x v="0"/>
    <x v="17"/>
    <s v="Gomez"/>
    <s v="Lourdes Marí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5"/>
    <s v="DVH"/>
    <s v="DVH"/>
    <n v="83947"/>
    <n v="74054"/>
    <m/>
    <m/>
    <m/>
    <m/>
    <n v="41833251"/>
    <s v="23-41833251-4"/>
    <d v="2020-08-03T00:00:00"/>
    <d v="2020-08-03T00:00:00"/>
    <d v="2020-08-14T00:00:00"/>
    <n v="19"/>
    <s v="Campus Casino"/>
  </r>
  <r>
    <x v="0"/>
    <x v="17"/>
    <s v="Gonzalez Conidares"/>
    <s v="Enzo Mica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8"/>
    <s v="DVH"/>
    <s v="DVH"/>
    <n v="83947"/>
    <n v="74054"/>
    <m/>
    <m/>
    <m/>
    <m/>
    <n v="42269972"/>
    <s v="20-42269972-5"/>
    <d v="2020-08-03T00:00:00"/>
    <d v="2020-08-03T00:00:00"/>
    <d v="2020-08-14T00:00:00"/>
    <n v="19"/>
    <s v="Campus Casino"/>
  </r>
  <r>
    <x v="0"/>
    <x v="17"/>
    <s v="González Jiménez"/>
    <s v="Jorge Iván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8"/>
    <s v="DVH"/>
    <s v="DVH"/>
    <n v="83947"/>
    <n v="74054"/>
    <m/>
    <m/>
    <m/>
    <m/>
    <n v="37838075"/>
    <s v="20-37838075-9"/>
    <d v="2020-08-03T00:00:00"/>
    <d v="2020-08-03T00:00:00"/>
    <d v="2020-08-14T00:00:00"/>
    <n v="19"/>
    <s v="Campus Casino"/>
  </r>
  <r>
    <x v="2"/>
    <x v="15"/>
    <s v="Guitiérrez"/>
    <s v="Emmanuel Maximiliano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49918"/>
    <s v="DVH"/>
    <s v="DVH"/>
    <n v="84144"/>
    <n v="64118"/>
    <m/>
    <m/>
    <m/>
    <m/>
    <n v="36885457"/>
    <s v="20-36885457-4"/>
    <d v="2020-08-03T00:00:00"/>
    <d v="2020-08-03T00:00:00"/>
    <d v="2020-08-14T00:00:00"/>
    <n v="19"/>
    <s v="Campus Casino"/>
  </r>
  <r>
    <x v="0"/>
    <x v="17"/>
    <s v="Ibañez"/>
    <s v="Jeremias Rau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1308377"/>
    <s v="DVH"/>
    <s v="DVH"/>
    <n v="83947"/>
    <n v="74054"/>
    <m/>
    <m/>
    <m/>
    <m/>
    <n v="37916231"/>
    <s v="27-37916231-8"/>
    <d v="2020-08-03T00:00:00"/>
    <d v="2020-08-03T00:00:00"/>
    <d v="2020-08-14T00:00:00"/>
    <n v="19"/>
    <s v="Campus Casino"/>
  </r>
  <r>
    <x v="2"/>
    <x v="15"/>
    <s v="Lazarte"/>
    <s v="María Ines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929044"/>
    <s v="DVH"/>
    <s v="DVH"/>
    <n v="84144"/>
    <n v="64118"/>
    <m/>
    <m/>
    <m/>
    <m/>
    <m/>
    <m/>
    <d v="2020-08-03T00:00:00"/>
    <d v="2020-08-03T00:00:00"/>
    <d v="2020-08-14T00:00:00"/>
    <n v="19"/>
    <s v="Campus Casino"/>
  </r>
  <r>
    <x v="0"/>
    <x v="17"/>
    <s v="Ledesma"/>
    <s v="Maria Florenc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59"/>
    <s v="DVH"/>
    <s v="DVH"/>
    <n v="83947"/>
    <n v="74054"/>
    <m/>
    <m/>
    <m/>
    <m/>
    <n v="36132635"/>
    <s v="27-36132635-6"/>
    <d v="2020-08-03T00:00:00"/>
    <d v="2020-08-03T00:00:00"/>
    <d v="2020-08-14T00:00:00"/>
    <n v="19"/>
    <s v="Campus Casino"/>
  </r>
  <r>
    <x v="0"/>
    <x v="17"/>
    <s v="Lobo"/>
    <s v="Miguel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3"/>
    <s v="DVH"/>
    <s v="DVH"/>
    <n v="83947"/>
    <n v="74054"/>
    <m/>
    <m/>
    <m/>
    <m/>
    <n v="41736742"/>
    <s v="20-41736742-0"/>
    <d v="2020-08-03T00:00:00"/>
    <d v="2020-08-03T00:00:00"/>
    <d v="2020-08-14T00:00:00"/>
    <n v="19"/>
    <s v="Campus Casino"/>
  </r>
  <r>
    <x v="3"/>
    <x v="18"/>
    <s v="Lucero"/>
    <s v="Noeli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71"/>
    <s v="DVH"/>
    <s v="DVH"/>
    <n v="85988"/>
    <e v="#N/A"/>
    <m/>
    <m/>
    <m/>
    <m/>
    <n v="40089669"/>
    <s v="27-40089669-6"/>
    <d v="2020-08-03T00:00:00"/>
    <d v="2020-08-03T00:00:00"/>
    <d v="2020-08-14T00:00:00"/>
    <n v="19"/>
    <s v="Campus Casino"/>
  </r>
  <r>
    <x v="0"/>
    <x v="17"/>
    <s v="Martinez"/>
    <s v="Yahir Jesu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36"/>
    <s v="DVH"/>
    <s v="DVH"/>
    <n v="83947"/>
    <n v="74054"/>
    <m/>
    <m/>
    <m/>
    <m/>
    <n v="36347133"/>
    <s v="20-36347133-2"/>
    <d v="2020-08-03T00:00:00"/>
    <d v="2020-08-03T00:00:00"/>
    <d v="2020-08-14T00:00:00"/>
    <n v="19"/>
    <s v="Campus Casino"/>
  </r>
  <r>
    <x v="0"/>
    <x v="17"/>
    <s v="Martinez Iturbe"/>
    <s v="Santiago Isaac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64"/>
    <s v="DVH"/>
    <s v="DVH"/>
    <n v="83947"/>
    <n v="74054"/>
    <m/>
    <m/>
    <m/>
    <m/>
    <n v="43362130"/>
    <s v="20-43362130-2"/>
    <d v="2020-08-03T00:00:00"/>
    <d v="2020-08-03T00:00:00"/>
    <d v="2020-08-14T00:00:00"/>
    <n v="19"/>
    <s v="Campus Casino"/>
  </r>
  <r>
    <x v="3"/>
    <x v="18"/>
    <s v="Medina"/>
    <s v="Maria del Valle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525070"/>
    <s v="DVH"/>
    <s v="DVH"/>
    <n v="85988"/>
    <e v="#N/A"/>
    <m/>
    <m/>
    <m/>
    <m/>
    <n v="35921828"/>
    <s v="27-35921828-7"/>
    <d v="2020-08-03T00:00:00"/>
    <d v="2020-08-03T00:00:00"/>
    <d v="2020-08-14T00:00:00"/>
    <n v="19"/>
    <s v="Campus Casino"/>
  </r>
  <r>
    <x v="3"/>
    <x v="18"/>
    <s v="Mendoza"/>
    <s v="Rocío Cami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528515"/>
    <s v="DVH"/>
    <s v="DVH"/>
    <n v="85988"/>
    <e v="#N/A"/>
    <m/>
    <m/>
    <m/>
    <m/>
    <n v="40643538"/>
    <s v="27-40643538-0"/>
    <d v="2020-08-03T00:00:00"/>
    <d v="2020-08-03T00:00:00"/>
    <d v="2020-08-14T00:00:00"/>
    <n v="19"/>
    <s v="Campus Casino"/>
  </r>
  <r>
    <x v="0"/>
    <x v="17"/>
    <s v="Montenegro Mansilla"/>
    <s v="Milagros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6"/>
    <s v="DVH"/>
    <s v="DVH"/>
    <n v="83947"/>
    <n v="74054"/>
    <m/>
    <m/>
    <m/>
    <m/>
    <n v="41059241"/>
    <s v="27-41059241-5"/>
    <d v="2020-08-03T00:00:00"/>
    <d v="2020-08-03T00:00:00"/>
    <d v="2020-08-14T00:00:00"/>
    <n v="19"/>
    <s v="Campus Casino"/>
  </r>
  <r>
    <x v="3"/>
    <x v="18"/>
    <s v="Peñaloza"/>
    <s v="María Romin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87330"/>
    <s v="DVH"/>
    <s v="DVH"/>
    <n v="85988"/>
    <e v="#N/A"/>
    <m/>
    <m/>
    <m/>
    <m/>
    <n v="38185201"/>
    <s v="27-38185201-1"/>
    <d v="2020-08-03T00:00:00"/>
    <d v="2020-08-03T00:00:00"/>
    <d v="2020-08-14T00:00:00"/>
    <n v="19"/>
    <s v="Campus Casino"/>
  </r>
  <r>
    <x v="0"/>
    <x v="17"/>
    <s v="Pons Amún"/>
    <s v="Solana Agostin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77"/>
    <s v="DVH"/>
    <s v="DVH"/>
    <n v="83947"/>
    <n v="74054"/>
    <m/>
    <m/>
    <m/>
    <m/>
    <n v="41649190"/>
    <s v="27-41649190-4"/>
    <d v="2020-08-03T00:00:00"/>
    <d v="2020-08-03T00:00:00"/>
    <d v="2020-08-14T00:00:00"/>
    <n v="19"/>
    <s v="Campus Casino"/>
  </r>
  <r>
    <x v="3"/>
    <x v="18"/>
    <s v="Ribotis"/>
    <s v="Juliet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8"/>
    <s v="DVH"/>
    <s v="DVH"/>
    <n v="85988"/>
    <e v="#N/A"/>
    <m/>
    <m/>
    <m/>
    <m/>
    <n v="36182605"/>
    <s v="27-36182605-7"/>
    <d v="2020-08-03T00:00:00"/>
    <d v="2020-08-03T00:00:00"/>
    <d v="2020-08-14T00:00:00"/>
    <n v="19"/>
    <s v="Campus Casino"/>
  </r>
  <r>
    <x v="3"/>
    <x v="18"/>
    <s v="Risso"/>
    <s v="Florencia Maris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3"/>
    <s v="DVH"/>
    <s v="DVH"/>
    <n v="85988"/>
    <e v="#N/A"/>
    <m/>
    <m/>
    <m/>
    <m/>
    <n v="39359545"/>
    <s v="27-39359545-6"/>
    <d v="2020-08-03T00:00:00"/>
    <d v="2020-08-03T00:00:00"/>
    <d v="2020-08-14T00:00:00"/>
    <n v="19"/>
    <s v="Campus Casino"/>
  </r>
  <r>
    <x v="3"/>
    <x v="18"/>
    <s v="Romero"/>
    <s v="Florecia Raquel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3851219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0"/>
    <x v="17"/>
    <s v="Saavedra"/>
    <s v="Virginia Valeria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1"/>
    <s v="DVH"/>
    <s v="DVH"/>
    <n v="83947"/>
    <n v="74054"/>
    <m/>
    <m/>
    <m/>
    <m/>
    <m/>
    <m/>
    <d v="2020-08-03T00:00:00"/>
    <d v="2020-08-03T00:00:00"/>
    <d v="2020-08-14T00:00:00"/>
    <n v="19"/>
    <s v="Campus Casino"/>
  </r>
  <r>
    <x v="0"/>
    <x v="17"/>
    <s v="Sánchez"/>
    <s v="Victor Orlando"/>
    <s v="OFF"/>
    <s v="15:00 - 21:00"/>
    <s v="15:00 - 21:00"/>
    <s v="15:00 - 21:00"/>
    <s v="15:00 - 21:00"/>
    <s v="15:00 - 21:00"/>
    <s v="OFF"/>
    <m/>
    <m/>
    <s v="PT"/>
    <n v="0"/>
    <n v="6"/>
    <n v="6"/>
    <n v="6"/>
    <n v="6"/>
    <n v="6"/>
    <n v="0"/>
    <n v="30"/>
    <m/>
    <m/>
    <n v="3851225"/>
    <s v="DVH"/>
    <s v="DVH"/>
    <n v="83947"/>
    <n v="74054"/>
    <m/>
    <m/>
    <m/>
    <m/>
    <m/>
    <m/>
    <d v="2020-08-03T00:00:00"/>
    <d v="2020-08-03T00:00:00"/>
    <d v="2020-08-14T00:00:00"/>
    <n v="19"/>
    <s v="Campus Casino"/>
  </r>
  <r>
    <x v="3"/>
    <x v="18"/>
    <s v="Santucho"/>
    <s v="María Soledad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2419193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3"/>
    <x v="18"/>
    <s v="Villalba"/>
    <s v="Rocío Micaela"/>
    <s v="OFF"/>
    <s v="09:00 - 15:00"/>
    <s v="09:00 - 15:00"/>
    <s v="09:00 - 15:00"/>
    <s v="09:00 - 15:00"/>
    <s v="09:00 - 15:00"/>
    <s v="OFF"/>
    <m/>
    <m/>
    <s v="PT"/>
    <n v="0"/>
    <n v="6"/>
    <n v="6"/>
    <n v="6"/>
    <n v="6"/>
    <n v="6"/>
    <n v="0"/>
    <n v="30"/>
    <m/>
    <m/>
    <n v="1119960"/>
    <s v="DVH"/>
    <s v="DVH"/>
    <n v="85988"/>
    <e v="#N/A"/>
    <m/>
    <m/>
    <m/>
    <m/>
    <m/>
    <m/>
    <d v="2020-08-03T00:00:00"/>
    <d v="2020-08-03T00:00:00"/>
    <d v="2020-08-14T00:00:00"/>
    <n v="19"/>
    <s v="Campus Casino"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1" autoFormatId="1" applyNumberFormats="0" applyBorderFormats="0" applyFontFormats="0" applyPatternFormats="0" applyAlignmentFormats="0" applyWidthHeightFormats="1" dataCaption="Valores" updatedVersion="4" minRefreshableVersion="3" createdVersion="5" mergeItem="1" useAutoFormatting="1" compact="0" indent="0" compactData="0" showDrill="1" multipleFieldFilters="0">
  <location ref="H3:K18" firstHeaderRow="0" firstDataRow="1" firstDataCol="2"/>
  <pivotFields count="40">
    <pivotField axis="axisRow" compact="0" outline="0" showAll="0">
      <items count="11">
        <item h="1" x="4"/>
        <item x="2"/>
        <item m="1" x="7"/>
        <item m="1" x="5"/>
        <item m="1" x="9"/>
        <item x="0"/>
        <item x="3"/>
        <item m="1" x="8"/>
        <item h="1" m="1" x="6"/>
        <item h="1" x="1"/>
        <item t="default"/>
      </items>
    </pivotField>
    <pivotField axis="axisRow" compact="0" sortType="descending" outline="0" showAll="0">
      <items count="28">
        <item h="1" x="19"/>
        <item x="0"/>
        <item x="7"/>
        <item x="2"/>
        <item x="9"/>
        <item x="8"/>
        <item x="6"/>
        <item x="10"/>
        <item m="1" x="20"/>
        <item x="4"/>
        <item x="1"/>
        <item m="1" x="23"/>
        <item m="1" x="21"/>
        <item x="5"/>
        <item x="12"/>
        <item h="1" x="13"/>
        <item h="1" x="14"/>
        <item h="1" m="1" x="26"/>
        <item h="1" m="1" x="22"/>
        <item h="1" m="1" x="24"/>
        <item h="1" x="11"/>
        <item h="1" x="3"/>
        <item h="1" m="1" x="25"/>
        <item h="1" x="15"/>
        <item h="1" x="16"/>
        <item h="1" x="17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</pivotFields>
  <rowFields count="2">
    <field x="0"/>
    <field x="1"/>
  </rowFields>
  <rowItems count="15">
    <i>
      <x v="1"/>
      <x v="2"/>
    </i>
    <i r="1">
      <x v="5"/>
    </i>
    <i r="1">
      <x v="4"/>
    </i>
    <i r="1">
      <x v="7"/>
    </i>
    <i r="1">
      <x v="13"/>
    </i>
    <i t="default">
      <x v="1"/>
    </i>
    <i>
      <x v="5"/>
      <x v="6"/>
    </i>
    <i r="1">
      <x v="3"/>
    </i>
    <i r="1">
      <x v="1"/>
    </i>
    <i r="1">
      <x v="9"/>
    </i>
    <i t="default">
      <x v="5"/>
    </i>
    <i>
      <x v="6"/>
      <x v="14"/>
    </i>
    <i r="1">
      <x v="10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gentes " fld="2" subtotal="count" baseField="0" baseItem="0"/>
    <dataField name="Share" fld="2" subtotal="count" showDataAs="percentOfCol" baseField="0" baseItem="0" numFmtId="10"/>
  </dataFields>
  <formats count="2">
    <format dxfId="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">
      <pivotArea dataOnly="0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2" cacheId="0" autoFormatId="1" applyNumberFormats="0" applyBorderFormats="0" applyFontFormats="0" applyPatternFormats="0" applyAlignmentFormats="0" applyWidthHeightFormats="1" dataCaption="Valores" updatedVersion="4" minRefreshableVersion="3" createdVersion="5" mergeItem="1" useAutoFormatting="1" compact="0" indent="0" compactData="0" showDrill="1" multipleFieldFilters="0">
  <location ref="A3:D26" firstHeaderRow="0" firstDataRow="1" firstDataCol="2"/>
  <pivotFields count="25">
    <pivotField axis="axisRow" compact="0" outline="0" showAll="0">
      <items count="11">
        <item h="1" x="4"/>
        <item x="2"/>
        <item m="1" x="7"/>
        <item m="1" x="5"/>
        <item m="1" x="9"/>
        <item x="0"/>
        <item x="3"/>
        <item m="1" x="8"/>
        <item h="1" m="1" x="6"/>
        <item h="1" x="1"/>
        <item t="default"/>
      </items>
    </pivotField>
    <pivotField axis="axisRow" dataField="1" compact="0" outline="0" showAll="0">
      <items count="28">
        <item x="19"/>
        <item sd="0" x="9"/>
        <item sd="0" x="7"/>
        <item sd="0" x="8"/>
        <item sd="0" x="0"/>
        <item sd="0" x="6"/>
        <item sd="0" x="10"/>
        <item sd="0" m="1" x="20"/>
        <item sd="0" x="4"/>
        <item sd="0" x="2"/>
        <item sd="0" x="1"/>
        <item m="1" x="23"/>
        <item m="1" x="21"/>
        <item sd="0" x="5"/>
        <item sd="0" x="12"/>
        <item x="13"/>
        <item x="14"/>
        <item m="1" x="26"/>
        <item m="1" x="22"/>
        <item m="1" x="24"/>
        <item x="11"/>
        <item x="3"/>
        <item m="1" x="25"/>
        <item x="15"/>
        <item x="16"/>
        <item x="17"/>
        <item x="18"/>
        <item t="default"/>
      </items>
    </pivotField>
    <pivotField compact="0" defaultSubtotal="0" outline="0" showAll="0"/>
    <pivotField compact="0" defaultSubtotal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outline="0" showAll="0"/>
  </pivotFields>
  <rowFields count="2">
    <field x="0"/>
    <field x="1"/>
  </rowFields>
  <rowItems count="23">
    <i>
      <x v="1"/>
      <x v="1"/>
    </i>
    <i r="1">
      <x v="2"/>
    </i>
    <i r="1">
      <x v="3"/>
    </i>
    <i r="1">
      <x v="6"/>
    </i>
    <i r="1">
      <x v="13"/>
    </i>
    <i r="1">
      <x v="23"/>
    </i>
    <i t="default">
      <x v="1"/>
    </i>
    <i>
      <x v="5"/>
      <x v="4"/>
    </i>
    <i r="1">
      <x v="5"/>
    </i>
    <i r="1">
      <x v="8"/>
    </i>
    <i r="1">
      <x v="9"/>
    </i>
    <i r="1">
      <x v="21"/>
    </i>
    <i r="1">
      <x v="24"/>
    </i>
    <i r="1">
      <x v="25"/>
    </i>
    <i t="default">
      <x v="5"/>
    </i>
    <i>
      <x v="6"/>
      <x v="10"/>
    </i>
    <i r="1">
      <x v="14"/>
    </i>
    <i r="1">
      <x v="15"/>
    </i>
    <i r="1">
      <x v="16"/>
    </i>
    <i r="1">
      <x v="20"/>
    </i>
    <i r="1">
      <x v="26"/>
    </i>
    <i t="default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pervisores " fld="1" subtotal="count" baseField="0" baseItem="0"/>
    <dataField name="Share" fld="1" subtotal="count" showDataAs="percentOfCol" baseField="0" baseItem="0" numFmtId="10"/>
  </dataFields>
  <formats count="7">
    <format dxfId="2">
      <pivotArea outline="0" fieldPosition="0">
        <references count="1">
          <reference field="0" count="0" selected="0" defaultSubtotal="1"/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outline="0" fieldPosition="0">
        <references count="1">
          <reference field="0" count="0" selected="0" defaultSubtotal="1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dataOnly="0" labelOnly="1" outline="0" fieldPosition="0">
        <references count="1">
          <reference field="0" count="0"/>
        </references>
      </pivotArea>
    </format>
    <format dxfId="7">
      <pivotArea dataOnly="0" labelOnly="1" outline="0" fieldPosition="0">
        <references count="1">
          <reference field="0" count="0" defaultSubtotal="1"/>
        </references>
      </pivotArea>
    </format>
    <format dxfId="8">
      <pivotArea outline="0" collapsedLevelsAreSubtotals="1" fieldPosition="0"/>
    </format>
  </formats>
  <pivotTableStyleInfo name="PivotStyleMedium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A385"/>
  <sheetViews>
    <sheetView showGridLines="0" tabSelected="1" zoomScale="70" zoomScaleNormal="70" workbookViewId="0">
      <pane ySplit="1" topLeftCell="A2" activePane="bottomLeft" state="frozen"/>
      <selection/>
      <selection pane="bottomLeft" activeCell="E140" sqref="E140"/>
    </sheetView>
  </sheetViews>
  <sheetFormatPr defaultColWidth="0" defaultRowHeight="15" zeroHeight="1"/>
  <cols>
    <col min="1" max="1" width="33.4285714285714" style="50" customWidth="1"/>
    <col min="2" max="2" width="25.2857142857143" style="50" customWidth="1"/>
    <col min="3" max="3" width="19.2857142857143" style="50" customWidth="1"/>
    <col min="4" max="4" width="19.7142857142857" style="50" customWidth="1"/>
    <col min="5" max="6" width="15.8571428571429" style="50" customWidth="1"/>
    <col min="7" max="9" width="12.2857142857143" style="50" customWidth="1"/>
    <col min="10" max="10" width="27.8571428571429" style="50" customWidth="1"/>
    <col min="11" max="14" width="12.2857142857143" style="50" customWidth="1"/>
    <col min="15" max="15" width="15.4285714285714" style="50" customWidth="1"/>
    <col min="16" max="16" width="18.8571428571429" style="50" customWidth="1"/>
    <col min="17" max="17" width="24" style="50" customWidth="1"/>
    <col min="18" max="18" width="12.1428571428571" style="50" customWidth="1"/>
    <col min="19" max="19" width="17.1428571428571" style="50" customWidth="1"/>
    <col min="20" max="20" width="18.8571428571429" style="50" customWidth="1"/>
    <col min="21" max="22" width="14.1428571428571" style="50" customWidth="1"/>
    <col min="23" max="23" width="12.1428571428571" style="50" customWidth="1"/>
    <col min="24" max="24" width="21.4285714285714" style="50" customWidth="1"/>
    <col min="25" max="25" width="10.5714285714286" style="50" customWidth="1"/>
    <col min="26" max="26" width="12.5714285714286" style="50" customWidth="1"/>
    <col min="27" max="27" width="40.1428571428571" style="50" customWidth="1"/>
    <col min="28" max="28" width="4.42857142857143" style="50" customWidth="1"/>
    <col min="29" max="16368" width="9.14285714285714" style="50" hidden="1"/>
    <col min="16369" max="16384" width="0" style="50"/>
  </cols>
  <sheetData>
    <row r="1" customFormat="1" ht="30.75" customHeight="1" spans="1:2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110" t="s">
        <v>15</v>
      </c>
      <c r="Q1" s="36" t="s">
        <v>16</v>
      </c>
      <c r="R1" s="36" t="s">
        <v>17</v>
      </c>
      <c r="S1" s="36" t="s">
        <v>18</v>
      </c>
      <c r="T1" s="36" t="s">
        <v>19</v>
      </c>
      <c r="U1" s="36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45" t="s">
        <v>25</v>
      </c>
      <c r="AA1" s="120" t="s">
        <v>26</v>
      </c>
    </row>
    <row r="2" hidden="1" customHeight="1" spans="1:27">
      <c r="A2" s="54" t="s">
        <v>27</v>
      </c>
      <c r="B2" s="55" t="s">
        <v>28</v>
      </c>
      <c r="C2" s="55" t="s">
        <v>29</v>
      </c>
      <c r="D2" s="55" t="s">
        <v>30</v>
      </c>
      <c r="E2" s="55" t="s">
        <v>31</v>
      </c>
      <c r="F2" s="55" t="s">
        <v>31</v>
      </c>
      <c r="G2" s="55">
        <v>89206</v>
      </c>
      <c r="H2" s="55">
        <v>87043</v>
      </c>
      <c r="I2" s="55">
        <v>3409624</v>
      </c>
      <c r="J2" s="55" t="s">
        <v>32</v>
      </c>
      <c r="K2" s="111" t="s">
        <v>32</v>
      </c>
      <c r="L2" s="55">
        <v>84825</v>
      </c>
      <c r="M2" s="55">
        <v>74054</v>
      </c>
      <c r="N2" s="55" t="s">
        <v>33</v>
      </c>
      <c r="O2" s="55" t="s">
        <v>34</v>
      </c>
      <c r="P2" s="112">
        <v>43916</v>
      </c>
      <c r="Q2" s="55" t="s">
        <v>35</v>
      </c>
      <c r="R2" s="55">
        <v>35517416</v>
      </c>
      <c r="S2" s="55">
        <v>27355174161</v>
      </c>
      <c r="T2" s="115">
        <v>43668</v>
      </c>
      <c r="U2" s="115">
        <v>43669</v>
      </c>
      <c r="V2" s="116">
        <v>43678</v>
      </c>
      <c r="W2" s="117">
        <v>417</v>
      </c>
      <c r="X2" s="118" t="s">
        <v>36</v>
      </c>
      <c r="Y2" s="121">
        <v>89953</v>
      </c>
      <c r="Z2" s="122" t="s">
        <v>37</v>
      </c>
      <c r="AA2" s="123" t="s">
        <v>38</v>
      </c>
    </row>
    <row r="3" hidden="1" customHeight="1" spans="1:27">
      <c r="A3" s="52" t="s">
        <v>27</v>
      </c>
      <c r="B3" s="53" t="s">
        <v>28</v>
      </c>
      <c r="C3" s="53" t="s">
        <v>39</v>
      </c>
      <c r="D3" s="53" t="s">
        <v>40</v>
      </c>
      <c r="E3" s="53" t="s">
        <v>41</v>
      </c>
      <c r="F3" s="53" t="s">
        <v>41</v>
      </c>
      <c r="G3" s="53">
        <v>648060</v>
      </c>
      <c r="H3" s="53">
        <v>88037</v>
      </c>
      <c r="I3" s="53">
        <v>3553112</v>
      </c>
      <c r="J3" s="53" t="s">
        <v>42</v>
      </c>
      <c r="K3" s="53" t="s">
        <v>43</v>
      </c>
      <c r="L3" s="53">
        <v>84825</v>
      </c>
      <c r="M3" s="53">
        <v>74054</v>
      </c>
      <c r="N3" s="53" t="s">
        <v>44</v>
      </c>
      <c r="O3" s="53" t="s">
        <v>45</v>
      </c>
      <c r="P3" s="113">
        <v>43943</v>
      </c>
      <c r="Q3" s="53" t="s">
        <v>46</v>
      </c>
      <c r="R3" s="53">
        <v>39972625</v>
      </c>
      <c r="S3" s="53" t="s">
        <v>47</v>
      </c>
      <c r="T3" s="58">
        <v>43942</v>
      </c>
      <c r="U3" s="58">
        <v>43942</v>
      </c>
      <c r="V3" s="59">
        <v>43943</v>
      </c>
      <c r="W3" s="53">
        <v>148</v>
      </c>
      <c r="X3" s="119" t="s">
        <v>36</v>
      </c>
      <c r="Y3" s="124">
        <v>89999</v>
      </c>
      <c r="Z3" s="125" t="s">
        <v>37</v>
      </c>
      <c r="AA3" s="126" t="s">
        <v>38</v>
      </c>
    </row>
    <row r="4" hidden="1" customHeight="1" spans="1:27">
      <c r="A4" s="70" t="s">
        <v>27</v>
      </c>
      <c r="B4" s="71" t="s">
        <v>48</v>
      </c>
      <c r="C4" s="71" t="s">
        <v>49</v>
      </c>
      <c r="D4" s="71" t="s">
        <v>50</v>
      </c>
      <c r="E4" s="71" t="s">
        <v>51</v>
      </c>
      <c r="F4" s="71" t="s">
        <v>51</v>
      </c>
      <c r="G4" s="55">
        <v>648302</v>
      </c>
      <c r="H4" s="55">
        <v>87695</v>
      </c>
      <c r="I4" s="55">
        <v>3526421</v>
      </c>
      <c r="J4" s="55" t="s">
        <v>52</v>
      </c>
      <c r="K4" s="111" t="s">
        <v>43</v>
      </c>
      <c r="L4" s="55">
        <v>80740</v>
      </c>
      <c r="M4" s="55">
        <v>74054</v>
      </c>
      <c r="N4" s="55" t="s">
        <v>53</v>
      </c>
      <c r="O4" s="55" t="s">
        <v>54</v>
      </c>
      <c r="P4" s="112">
        <v>43955</v>
      </c>
      <c r="Q4" s="55" t="s">
        <v>55</v>
      </c>
      <c r="R4" s="55">
        <v>41299917</v>
      </c>
      <c r="S4" s="55">
        <v>27412999172</v>
      </c>
      <c r="T4" s="115">
        <v>43745</v>
      </c>
      <c r="U4" s="115">
        <v>43945</v>
      </c>
      <c r="V4" s="116">
        <v>43956</v>
      </c>
      <c r="W4" s="55">
        <v>342</v>
      </c>
      <c r="X4" s="118" t="s">
        <v>36</v>
      </c>
      <c r="Y4" s="127">
        <v>89987</v>
      </c>
      <c r="Z4" s="122" t="s">
        <v>37</v>
      </c>
      <c r="AA4" s="128" t="s">
        <v>56</v>
      </c>
    </row>
    <row r="5" hidden="1" customHeight="1" spans="1:27">
      <c r="A5" s="70" t="s">
        <v>27</v>
      </c>
      <c r="B5" s="71" t="s">
        <v>48</v>
      </c>
      <c r="C5" s="71" t="s">
        <v>57</v>
      </c>
      <c r="D5" s="71" t="s">
        <v>58</v>
      </c>
      <c r="E5" s="71" t="s">
        <v>59</v>
      </c>
      <c r="F5" s="71" t="s">
        <v>59</v>
      </c>
      <c r="G5" s="55">
        <v>648303</v>
      </c>
      <c r="H5" s="55">
        <v>87688</v>
      </c>
      <c r="I5" s="55">
        <v>1546296</v>
      </c>
      <c r="J5" s="55" t="s">
        <v>60</v>
      </c>
      <c r="K5" s="111" t="s">
        <v>43</v>
      </c>
      <c r="L5" s="55">
        <v>80740</v>
      </c>
      <c r="M5" s="55">
        <v>74054</v>
      </c>
      <c r="N5" s="55" t="s">
        <v>61</v>
      </c>
      <c r="O5" s="55" t="s">
        <v>62</v>
      </c>
      <c r="P5" s="112">
        <v>43955</v>
      </c>
      <c r="Q5" s="55" t="s">
        <v>63</v>
      </c>
      <c r="R5" s="55">
        <v>36231401</v>
      </c>
      <c r="S5" s="55">
        <v>27362314017</v>
      </c>
      <c r="T5" s="115">
        <v>43745</v>
      </c>
      <c r="U5" s="115">
        <v>43945</v>
      </c>
      <c r="V5" s="116">
        <v>43956</v>
      </c>
      <c r="W5" s="55">
        <v>342</v>
      </c>
      <c r="X5" s="118" t="s">
        <v>36</v>
      </c>
      <c r="Y5" s="127">
        <v>89992</v>
      </c>
      <c r="Z5" s="122" t="s">
        <v>37</v>
      </c>
      <c r="AA5" s="128" t="s">
        <v>56</v>
      </c>
    </row>
    <row r="6" hidden="1" customHeight="1" spans="1:27">
      <c r="A6" s="54" t="s">
        <v>27</v>
      </c>
      <c r="B6" s="55" t="s">
        <v>28</v>
      </c>
      <c r="C6" s="55" t="s">
        <v>64</v>
      </c>
      <c r="D6" s="55" t="s">
        <v>65</v>
      </c>
      <c r="E6" s="55" t="s">
        <v>51</v>
      </c>
      <c r="F6" s="55" t="s">
        <v>51</v>
      </c>
      <c r="G6" s="55">
        <v>89069</v>
      </c>
      <c r="H6" s="55">
        <v>82613</v>
      </c>
      <c r="I6" s="55">
        <v>2313015</v>
      </c>
      <c r="J6" s="55" t="s">
        <v>66</v>
      </c>
      <c r="K6" s="111" t="s">
        <v>66</v>
      </c>
      <c r="L6" s="55">
        <v>84825</v>
      </c>
      <c r="M6" s="55">
        <v>74054</v>
      </c>
      <c r="N6" s="55" t="s">
        <v>67</v>
      </c>
      <c r="O6" s="55" t="s">
        <v>68</v>
      </c>
      <c r="P6" s="112">
        <v>43917</v>
      </c>
      <c r="Q6" s="55" t="s">
        <v>69</v>
      </c>
      <c r="R6" s="55">
        <v>37311054</v>
      </c>
      <c r="S6" s="55">
        <v>20373110540</v>
      </c>
      <c r="T6" s="115">
        <v>42688</v>
      </c>
      <c r="U6" s="115">
        <v>43369</v>
      </c>
      <c r="V6" s="116">
        <v>43403</v>
      </c>
      <c r="W6" s="55">
        <v>1385</v>
      </c>
      <c r="X6" s="118" t="s">
        <v>36</v>
      </c>
      <c r="Y6" s="127">
        <v>89924</v>
      </c>
      <c r="Z6" s="122" t="s">
        <v>37</v>
      </c>
      <c r="AA6" s="128" t="s">
        <v>56</v>
      </c>
    </row>
    <row r="7" hidden="1" customHeight="1" spans="1:27">
      <c r="A7" s="54" t="s">
        <v>27</v>
      </c>
      <c r="B7" s="55" t="s">
        <v>28</v>
      </c>
      <c r="C7" s="55" t="s">
        <v>70</v>
      </c>
      <c r="D7" s="55" t="s">
        <v>71</v>
      </c>
      <c r="E7" s="55" t="s">
        <v>51</v>
      </c>
      <c r="F7" s="55" t="s">
        <v>51</v>
      </c>
      <c r="G7" s="55">
        <v>89118</v>
      </c>
      <c r="H7" s="55">
        <v>86145</v>
      </c>
      <c r="I7" s="55">
        <v>2358095</v>
      </c>
      <c r="J7" s="55" t="s">
        <v>66</v>
      </c>
      <c r="K7" s="111" t="s">
        <v>66</v>
      </c>
      <c r="L7" s="55">
        <v>84825</v>
      </c>
      <c r="M7" s="55">
        <v>74054</v>
      </c>
      <c r="N7" s="55" t="s">
        <v>72</v>
      </c>
      <c r="O7" s="55" t="s">
        <v>73</v>
      </c>
      <c r="P7" s="112">
        <v>43917</v>
      </c>
      <c r="Q7" s="55" t="s">
        <v>74</v>
      </c>
      <c r="R7" s="55">
        <v>39141166</v>
      </c>
      <c r="S7" s="55">
        <v>27391411668</v>
      </c>
      <c r="T7" s="115">
        <v>43437</v>
      </c>
      <c r="U7" s="115">
        <v>43437</v>
      </c>
      <c r="V7" s="116">
        <v>43448</v>
      </c>
      <c r="W7" s="55">
        <v>646</v>
      </c>
      <c r="X7" s="118" t="s">
        <v>36</v>
      </c>
      <c r="Y7" s="127">
        <v>89925</v>
      </c>
      <c r="Z7" s="122" t="s">
        <v>37</v>
      </c>
      <c r="AA7" s="128" t="s">
        <v>56</v>
      </c>
    </row>
    <row r="8" hidden="1" customHeight="1" spans="1:27">
      <c r="A8" s="54" t="s">
        <v>27</v>
      </c>
      <c r="B8" s="55" t="s">
        <v>28</v>
      </c>
      <c r="C8" s="55" t="s">
        <v>75</v>
      </c>
      <c r="D8" s="55" t="s">
        <v>76</v>
      </c>
      <c r="E8" s="55" t="s">
        <v>51</v>
      </c>
      <c r="F8" s="55" t="s">
        <v>51</v>
      </c>
      <c r="G8" s="55">
        <v>89061</v>
      </c>
      <c r="H8" s="55">
        <v>81099</v>
      </c>
      <c r="I8" s="55">
        <v>1880623</v>
      </c>
      <c r="J8" s="55" t="s">
        <v>77</v>
      </c>
      <c r="K8" s="111" t="s">
        <v>78</v>
      </c>
      <c r="L8" s="55">
        <v>84825</v>
      </c>
      <c r="M8" s="55">
        <v>74054</v>
      </c>
      <c r="N8" s="55" t="s">
        <v>79</v>
      </c>
      <c r="O8" s="55" t="s">
        <v>80</v>
      </c>
      <c r="P8" s="112">
        <v>43916</v>
      </c>
      <c r="Q8" s="55" t="s">
        <v>81</v>
      </c>
      <c r="R8" s="55">
        <v>37656704</v>
      </c>
      <c r="S8" s="55">
        <v>20376567045</v>
      </c>
      <c r="T8" s="115">
        <v>42310</v>
      </c>
      <c r="U8" s="115">
        <v>43327</v>
      </c>
      <c r="V8" s="116">
        <v>43328</v>
      </c>
      <c r="W8" s="55">
        <v>1757</v>
      </c>
      <c r="X8" s="118" t="s">
        <v>36</v>
      </c>
      <c r="Y8" s="127">
        <v>89926</v>
      </c>
      <c r="Z8" s="122" t="s">
        <v>37</v>
      </c>
      <c r="AA8" s="126" t="s">
        <v>56</v>
      </c>
    </row>
    <row r="9" hidden="1" customHeight="1" spans="1:27">
      <c r="A9" s="70" t="s">
        <v>27</v>
      </c>
      <c r="B9" s="71" t="s">
        <v>48</v>
      </c>
      <c r="C9" s="71" t="s">
        <v>82</v>
      </c>
      <c r="D9" s="71" t="s">
        <v>83</v>
      </c>
      <c r="E9" s="71" t="s">
        <v>51</v>
      </c>
      <c r="F9" s="71" t="s">
        <v>51</v>
      </c>
      <c r="G9" s="55">
        <v>648306</v>
      </c>
      <c r="H9" s="55">
        <v>87262</v>
      </c>
      <c r="I9" s="55">
        <v>2837797</v>
      </c>
      <c r="J9" s="55" t="s">
        <v>60</v>
      </c>
      <c r="K9" s="111" t="s">
        <v>43</v>
      </c>
      <c r="L9" s="55">
        <v>80740</v>
      </c>
      <c r="M9" s="55">
        <v>74054</v>
      </c>
      <c r="N9" s="55" t="s">
        <v>84</v>
      </c>
      <c r="O9" s="55" t="s">
        <v>85</v>
      </c>
      <c r="P9" s="112">
        <v>43955</v>
      </c>
      <c r="Q9" s="55" t="s">
        <v>86</v>
      </c>
      <c r="R9" s="55">
        <v>41059943</v>
      </c>
      <c r="S9" s="55">
        <v>20410599431</v>
      </c>
      <c r="T9" s="115">
        <v>43692</v>
      </c>
      <c r="U9" s="115">
        <v>43945</v>
      </c>
      <c r="V9" s="116">
        <v>43956</v>
      </c>
      <c r="W9" s="55">
        <v>394</v>
      </c>
      <c r="X9" s="118" t="s">
        <v>36</v>
      </c>
      <c r="Y9" s="127">
        <v>89989</v>
      </c>
      <c r="Z9" s="122" t="s">
        <v>37</v>
      </c>
      <c r="AA9" s="128" t="s">
        <v>56</v>
      </c>
    </row>
    <row r="10" hidden="1" customHeight="1" spans="1:27">
      <c r="A10" s="70" t="s">
        <v>27</v>
      </c>
      <c r="B10" s="71" t="s">
        <v>48</v>
      </c>
      <c r="C10" s="71" t="s">
        <v>87</v>
      </c>
      <c r="D10" s="71" t="s">
        <v>88</v>
      </c>
      <c r="E10" s="71" t="s">
        <v>51</v>
      </c>
      <c r="F10" s="71" t="s">
        <v>51</v>
      </c>
      <c r="G10" s="109">
        <v>89237</v>
      </c>
      <c r="H10" s="55">
        <v>87304</v>
      </c>
      <c r="I10" s="55">
        <v>3462502</v>
      </c>
      <c r="J10" s="55" t="s">
        <v>52</v>
      </c>
      <c r="K10" s="111" t="s">
        <v>43</v>
      </c>
      <c r="L10" s="55">
        <v>80740</v>
      </c>
      <c r="M10" s="55">
        <v>74054</v>
      </c>
      <c r="N10" s="55" t="s">
        <v>89</v>
      </c>
      <c r="O10" s="55" t="s">
        <v>90</v>
      </c>
      <c r="P10" s="112">
        <v>43915</v>
      </c>
      <c r="Q10" s="55">
        <v>3815811118</v>
      </c>
      <c r="R10" s="55">
        <v>30759743</v>
      </c>
      <c r="S10" s="55">
        <v>27307597433</v>
      </c>
      <c r="T10" s="115">
        <v>43703</v>
      </c>
      <c r="U10" s="115">
        <v>43703</v>
      </c>
      <c r="V10" s="116">
        <v>43713</v>
      </c>
      <c r="W10" s="55">
        <v>383</v>
      </c>
      <c r="X10" s="118" t="s">
        <v>36</v>
      </c>
      <c r="Y10" s="127">
        <v>89875</v>
      </c>
      <c r="Z10" s="122" t="s">
        <v>37</v>
      </c>
      <c r="AA10" s="128" t="s">
        <v>56</v>
      </c>
    </row>
    <row r="11" hidden="1" customHeight="1" spans="1:27">
      <c r="A11" s="54" t="s">
        <v>27</v>
      </c>
      <c r="B11" s="55" t="s">
        <v>28</v>
      </c>
      <c r="C11" s="55" t="s">
        <v>91</v>
      </c>
      <c r="D11" s="55" t="s">
        <v>92</v>
      </c>
      <c r="E11" s="55" t="s">
        <v>51</v>
      </c>
      <c r="F11" s="55" t="s">
        <v>51</v>
      </c>
      <c r="G11" s="109">
        <v>89227</v>
      </c>
      <c r="H11" s="55">
        <v>87314</v>
      </c>
      <c r="I11" s="55">
        <v>3462518</v>
      </c>
      <c r="J11" s="55" t="s">
        <v>32</v>
      </c>
      <c r="K11" s="111" t="s">
        <v>32</v>
      </c>
      <c r="L11" s="55">
        <v>84825</v>
      </c>
      <c r="M11" s="55">
        <v>74054</v>
      </c>
      <c r="N11" s="55" t="s">
        <v>93</v>
      </c>
      <c r="O11" s="55" t="s">
        <v>94</v>
      </c>
      <c r="P11" s="112">
        <v>43916</v>
      </c>
      <c r="Q11" s="55">
        <v>3816363464</v>
      </c>
      <c r="R11" s="55">
        <v>32200145</v>
      </c>
      <c r="S11" s="55">
        <v>27322001458</v>
      </c>
      <c r="T11" s="115">
        <v>43703</v>
      </c>
      <c r="U11" s="115">
        <v>43703</v>
      </c>
      <c r="V11" s="116">
        <v>43713</v>
      </c>
      <c r="W11" s="55">
        <v>383</v>
      </c>
      <c r="X11" s="118" t="s">
        <v>36</v>
      </c>
      <c r="Y11" s="127">
        <v>89928</v>
      </c>
      <c r="Z11" s="122" t="s">
        <v>37</v>
      </c>
      <c r="AA11" s="128" t="s">
        <v>56</v>
      </c>
    </row>
    <row r="12" hidden="1" customHeight="1" spans="1:27">
      <c r="A12" s="54" t="s">
        <v>27</v>
      </c>
      <c r="B12" s="55" t="s">
        <v>28</v>
      </c>
      <c r="C12" s="55" t="s">
        <v>95</v>
      </c>
      <c r="D12" s="55" t="s">
        <v>96</v>
      </c>
      <c r="E12" s="55" t="s">
        <v>51</v>
      </c>
      <c r="F12" s="55" t="s">
        <v>51</v>
      </c>
      <c r="G12" s="55">
        <v>89121</v>
      </c>
      <c r="H12" s="55">
        <v>86155</v>
      </c>
      <c r="I12" s="55">
        <v>2783079</v>
      </c>
      <c r="J12" s="55" t="s">
        <v>66</v>
      </c>
      <c r="K12" s="111" t="s">
        <v>66</v>
      </c>
      <c r="L12" s="55">
        <v>84825</v>
      </c>
      <c r="M12" s="55">
        <v>74054</v>
      </c>
      <c r="N12" s="55" t="s">
        <v>97</v>
      </c>
      <c r="O12" s="55" t="s">
        <v>98</v>
      </c>
      <c r="P12" s="112">
        <v>43916</v>
      </c>
      <c r="Q12" s="55" t="s">
        <v>99</v>
      </c>
      <c r="R12" s="55">
        <v>38741741</v>
      </c>
      <c r="S12" s="55">
        <v>23387417419</v>
      </c>
      <c r="T12" s="115">
        <v>43437</v>
      </c>
      <c r="U12" s="115">
        <v>43437</v>
      </c>
      <c r="V12" s="116">
        <v>43448</v>
      </c>
      <c r="W12" s="55">
        <v>646</v>
      </c>
      <c r="X12" s="118" t="s">
        <v>36</v>
      </c>
      <c r="Y12" s="127">
        <v>89930</v>
      </c>
      <c r="Z12" s="122" t="s">
        <v>37</v>
      </c>
      <c r="AA12" s="128" t="s">
        <v>56</v>
      </c>
    </row>
    <row r="13" hidden="1" customHeight="1" spans="1:27">
      <c r="A13" s="54" t="s">
        <v>27</v>
      </c>
      <c r="B13" s="55" t="s">
        <v>28</v>
      </c>
      <c r="C13" s="55" t="s">
        <v>100</v>
      </c>
      <c r="D13" s="55" t="s">
        <v>101</v>
      </c>
      <c r="E13" s="55" t="s">
        <v>51</v>
      </c>
      <c r="F13" s="55" t="s">
        <v>51</v>
      </c>
      <c r="G13" s="55">
        <v>89125</v>
      </c>
      <c r="H13" s="55">
        <v>86141</v>
      </c>
      <c r="I13" s="55">
        <v>3118306</v>
      </c>
      <c r="J13" s="55" t="s">
        <v>77</v>
      </c>
      <c r="K13" s="111" t="s">
        <v>77</v>
      </c>
      <c r="L13" s="55">
        <v>84825</v>
      </c>
      <c r="M13" s="55">
        <v>74054</v>
      </c>
      <c r="N13" s="55" t="s">
        <v>102</v>
      </c>
      <c r="O13" s="55" t="s">
        <v>103</v>
      </c>
      <c r="P13" s="112">
        <v>43945</v>
      </c>
      <c r="Q13" s="55" t="s">
        <v>104</v>
      </c>
      <c r="R13" s="55">
        <v>40437730</v>
      </c>
      <c r="S13" s="55">
        <v>20404377303</v>
      </c>
      <c r="T13" s="115">
        <v>43437</v>
      </c>
      <c r="U13" s="115">
        <v>43437</v>
      </c>
      <c r="V13" s="116">
        <v>43448</v>
      </c>
      <c r="W13" s="55">
        <v>646</v>
      </c>
      <c r="X13" s="118" t="s">
        <v>36</v>
      </c>
      <c r="Y13" s="127">
        <v>89932</v>
      </c>
      <c r="Z13" s="122" t="s">
        <v>37</v>
      </c>
      <c r="AA13" s="126" t="s">
        <v>56</v>
      </c>
    </row>
    <row r="14" hidden="1" customHeight="1" spans="1:27">
      <c r="A14" s="52" t="s">
        <v>27</v>
      </c>
      <c r="B14" s="53" t="s">
        <v>28</v>
      </c>
      <c r="C14" s="53" t="s">
        <v>105</v>
      </c>
      <c r="D14" s="53" t="s">
        <v>106</v>
      </c>
      <c r="E14" s="53" t="s">
        <v>51</v>
      </c>
      <c r="F14" s="53" t="s">
        <v>51</v>
      </c>
      <c r="G14" s="53">
        <v>89053</v>
      </c>
      <c r="H14" s="53">
        <v>82401</v>
      </c>
      <c r="I14" s="53">
        <v>1063468</v>
      </c>
      <c r="J14" s="53" t="s">
        <v>32</v>
      </c>
      <c r="K14" s="53" t="s">
        <v>32</v>
      </c>
      <c r="L14" s="53">
        <v>84825</v>
      </c>
      <c r="M14" s="53">
        <v>74054</v>
      </c>
      <c r="N14" s="53" t="s">
        <v>107</v>
      </c>
      <c r="O14" s="53" t="s">
        <v>108</v>
      </c>
      <c r="P14" s="113">
        <v>43945</v>
      </c>
      <c r="Q14" s="53" t="s">
        <v>109</v>
      </c>
      <c r="R14" s="53">
        <v>37311904</v>
      </c>
      <c r="S14" s="53">
        <v>27373119046</v>
      </c>
      <c r="T14" s="58">
        <v>42625</v>
      </c>
      <c r="U14" s="58">
        <v>43327</v>
      </c>
      <c r="V14" s="59">
        <v>43328</v>
      </c>
      <c r="W14" s="53">
        <v>1447</v>
      </c>
      <c r="X14" s="119" t="s">
        <v>36</v>
      </c>
      <c r="Y14" s="124">
        <v>89933</v>
      </c>
      <c r="Z14" s="125" t="s">
        <v>37</v>
      </c>
      <c r="AA14" s="126" t="s">
        <v>56</v>
      </c>
    </row>
    <row r="15" hidden="1" customHeight="1" spans="1:27">
      <c r="A15" s="54" t="s">
        <v>27</v>
      </c>
      <c r="B15" s="55" t="s">
        <v>28</v>
      </c>
      <c r="C15" s="55" t="s">
        <v>110</v>
      </c>
      <c r="D15" s="55" t="s">
        <v>111</v>
      </c>
      <c r="E15" s="55" t="s">
        <v>51</v>
      </c>
      <c r="F15" s="55" t="s">
        <v>51</v>
      </c>
      <c r="G15" s="55">
        <v>89164</v>
      </c>
      <c r="H15" s="55">
        <v>86296</v>
      </c>
      <c r="I15" s="55">
        <v>3133293</v>
      </c>
      <c r="J15" s="55" t="s">
        <v>77</v>
      </c>
      <c r="K15" s="111" t="s">
        <v>77</v>
      </c>
      <c r="L15" s="55">
        <v>84825</v>
      </c>
      <c r="M15" s="55">
        <v>74054</v>
      </c>
      <c r="N15" s="55" t="s">
        <v>112</v>
      </c>
      <c r="O15" s="55" t="s">
        <v>113</v>
      </c>
      <c r="P15" s="112">
        <v>43916</v>
      </c>
      <c r="Q15" s="55" t="s">
        <v>114</v>
      </c>
      <c r="R15" s="55">
        <v>42221286</v>
      </c>
      <c r="S15" s="55">
        <v>20422212869</v>
      </c>
      <c r="T15" s="115">
        <v>43451</v>
      </c>
      <c r="U15" s="115">
        <v>43451</v>
      </c>
      <c r="V15" s="116">
        <v>43467</v>
      </c>
      <c r="W15" s="55">
        <v>632</v>
      </c>
      <c r="X15" s="118" t="s">
        <v>36</v>
      </c>
      <c r="Y15" s="127">
        <v>89934</v>
      </c>
      <c r="Z15" s="122" t="s">
        <v>37</v>
      </c>
      <c r="AA15" s="126" t="s">
        <v>56</v>
      </c>
    </row>
    <row r="16" hidden="1" customHeight="1" spans="1:27">
      <c r="A16" s="54" t="s">
        <v>27</v>
      </c>
      <c r="B16" s="55" t="s">
        <v>28</v>
      </c>
      <c r="C16" s="55" t="s">
        <v>115</v>
      </c>
      <c r="D16" s="55" t="s">
        <v>116</v>
      </c>
      <c r="E16" s="55" t="s">
        <v>51</v>
      </c>
      <c r="F16" s="55" t="s">
        <v>51</v>
      </c>
      <c r="G16" s="55">
        <v>89027</v>
      </c>
      <c r="H16" s="55">
        <v>85614</v>
      </c>
      <c r="I16" s="55">
        <v>2873639</v>
      </c>
      <c r="J16" s="55" t="s">
        <v>66</v>
      </c>
      <c r="K16" s="111" t="s">
        <v>66</v>
      </c>
      <c r="L16" s="55">
        <v>84825</v>
      </c>
      <c r="M16" s="55">
        <v>74054</v>
      </c>
      <c r="N16" s="55" t="s">
        <v>117</v>
      </c>
      <c r="O16" s="55" t="s">
        <v>118</v>
      </c>
      <c r="P16" s="112">
        <v>43917</v>
      </c>
      <c r="Q16" s="55" t="s">
        <v>119</v>
      </c>
      <c r="R16" s="55">
        <v>38115785</v>
      </c>
      <c r="S16" s="55">
        <v>27381157852</v>
      </c>
      <c r="T16" s="115">
        <v>43227</v>
      </c>
      <c r="U16" s="115">
        <v>43259</v>
      </c>
      <c r="V16" s="116">
        <v>43262</v>
      </c>
      <c r="W16" s="55">
        <v>852</v>
      </c>
      <c r="X16" s="118" t="s">
        <v>36</v>
      </c>
      <c r="Y16" s="127">
        <v>89935</v>
      </c>
      <c r="Z16" s="122" t="s">
        <v>37</v>
      </c>
      <c r="AA16" s="128" t="s">
        <v>56</v>
      </c>
    </row>
    <row r="17" hidden="1" customHeight="1" spans="1:27">
      <c r="A17" s="54" t="s">
        <v>27</v>
      </c>
      <c r="B17" s="55" t="s">
        <v>28</v>
      </c>
      <c r="C17" s="55" t="s">
        <v>120</v>
      </c>
      <c r="D17" s="55" t="s">
        <v>121</v>
      </c>
      <c r="E17" s="55" t="s">
        <v>51</v>
      </c>
      <c r="F17" s="55" t="s">
        <v>51</v>
      </c>
      <c r="G17" s="55">
        <v>89024</v>
      </c>
      <c r="H17" s="55">
        <v>85621</v>
      </c>
      <c r="I17" s="55">
        <v>2873911</v>
      </c>
      <c r="J17" s="55" t="s">
        <v>122</v>
      </c>
      <c r="K17" s="111" t="s">
        <v>123</v>
      </c>
      <c r="L17" s="55">
        <v>84825</v>
      </c>
      <c r="M17" s="55">
        <v>74054</v>
      </c>
      <c r="N17" s="55" t="s">
        <v>124</v>
      </c>
      <c r="O17" s="55" t="s">
        <v>125</v>
      </c>
      <c r="P17" s="112">
        <v>43916</v>
      </c>
      <c r="Q17" s="55" t="s">
        <v>126</v>
      </c>
      <c r="R17" s="55">
        <v>38185380</v>
      </c>
      <c r="S17" s="55">
        <v>20381853803</v>
      </c>
      <c r="T17" s="115">
        <v>43227</v>
      </c>
      <c r="U17" s="115">
        <v>43259</v>
      </c>
      <c r="V17" s="116">
        <v>43262</v>
      </c>
      <c r="W17" s="55">
        <v>852</v>
      </c>
      <c r="X17" s="118" t="s">
        <v>36</v>
      </c>
      <c r="Y17" s="127">
        <v>89937</v>
      </c>
      <c r="Z17" s="122" t="s">
        <v>37</v>
      </c>
      <c r="AA17" s="128" t="s">
        <v>56</v>
      </c>
    </row>
    <row r="18" hidden="1" customHeight="1" spans="1:27">
      <c r="A18" s="70" t="s">
        <v>27</v>
      </c>
      <c r="B18" s="71" t="s">
        <v>48</v>
      </c>
      <c r="C18" s="71" t="s">
        <v>127</v>
      </c>
      <c r="D18" s="71" t="s">
        <v>128</v>
      </c>
      <c r="E18" s="71" t="s">
        <v>51</v>
      </c>
      <c r="F18" s="71" t="s">
        <v>51</v>
      </c>
      <c r="G18" s="55">
        <v>648315</v>
      </c>
      <c r="H18" s="55">
        <v>87719</v>
      </c>
      <c r="I18" s="55">
        <v>3526375</v>
      </c>
      <c r="J18" s="55" t="s">
        <v>52</v>
      </c>
      <c r="K18" s="111" t="s">
        <v>43</v>
      </c>
      <c r="L18" s="55">
        <v>80740</v>
      </c>
      <c r="M18" s="55">
        <v>74054</v>
      </c>
      <c r="N18" s="55" t="s">
        <v>129</v>
      </c>
      <c r="O18" s="55" t="s">
        <v>130</v>
      </c>
      <c r="P18" s="112">
        <v>43955</v>
      </c>
      <c r="Q18" s="55" t="s">
        <v>131</v>
      </c>
      <c r="R18" s="55">
        <v>35548816</v>
      </c>
      <c r="S18" s="55">
        <v>27355488166</v>
      </c>
      <c r="T18" s="112">
        <v>43745</v>
      </c>
      <c r="U18" s="115">
        <v>43945</v>
      </c>
      <c r="V18" s="116">
        <v>43956</v>
      </c>
      <c r="W18" s="55">
        <v>342</v>
      </c>
      <c r="X18" s="118" t="s">
        <v>36</v>
      </c>
      <c r="Y18" s="127">
        <v>89986</v>
      </c>
      <c r="Z18" s="122" t="s">
        <v>37</v>
      </c>
      <c r="AA18" s="128" t="s">
        <v>56</v>
      </c>
    </row>
    <row r="19" customHeight="1" spans="1:27">
      <c r="A19" s="54" t="s">
        <v>27</v>
      </c>
      <c r="B19" s="55" t="s">
        <v>28</v>
      </c>
      <c r="C19" s="55" t="s">
        <v>132</v>
      </c>
      <c r="D19" s="55" t="s">
        <v>133</v>
      </c>
      <c r="E19" s="55" t="s">
        <v>134</v>
      </c>
      <c r="F19" s="55" t="s">
        <v>51</v>
      </c>
      <c r="G19" s="55">
        <v>89059</v>
      </c>
      <c r="H19" s="55">
        <v>85474</v>
      </c>
      <c r="I19" s="55">
        <v>2832262</v>
      </c>
      <c r="J19" s="55" t="s">
        <v>77</v>
      </c>
      <c r="K19" s="111" t="s">
        <v>78</v>
      </c>
      <c r="L19" s="55">
        <v>84825</v>
      </c>
      <c r="M19" s="55">
        <v>74054</v>
      </c>
      <c r="N19" s="55" t="s">
        <v>135</v>
      </c>
      <c r="O19" s="114" t="s">
        <v>136</v>
      </c>
      <c r="P19" s="112">
        <v>43910</v>
      </c>
      <c r="Q19" s="55" t="s">
        <v>137</v>
      </c>
      <c r="R19" s="55">
        <v>40696111</v>
      </c>
      <c r="S19" s="55">
        <v>27406961112</v>
      </c>
      <c r="T19" s="115">
        <v>43193</v>
      </c>
      <c r="U19" s="115">
        <v>43327</v>
      </c>
      <c r="V19" s="116">
        <v>43328</v>
      </c>
      <c r="W19" s="55">
        <v>886</v>
      </c>
      <c r="X19" s="118" t="s">
        <v>36</v>
      </c>
      <c r="Y19" s="127">
        <v>89939</v>
      </c>
      <c r="Z19" s="122" t="s">
        <v>37</v>
      </c>
      <c r="AA19" s="126" t="s">
        <v>56</v>
      </c>
    </row>
    <row r="20" hidden="1" customHeight="1" spans="1:27">
      <c r="A20" s="52" t="s">
        <v>138</v>
      </c>
      <c r="B20" s="53" t="s">
        <v>139</v>
      </c>
      <c r="C20" s="53" t="s">
        <v>140</v>
      </c>
      <c r="D20" s="53" t="s">
        <v>141</v>
      </c>
      <c r="E20" s="53" t="s">
        <v>51</v>
      </c>
      <c r="F20" s="53" t="s">
        <v>51</v>
      </c>
      <c r="G20" s="53">
        <v>648408</v>
      </c>
      <c r="H20" s="53">
        <v>89161</v>
      </c>
      <c r="I20" s="53">
        <v>3436665</v>
      </c>
      <c r="J20" s="53" t="s">
        <v>142</v>
      </c>
      <c r="K20" s="53" t="s">
        <v>42</v>
      </c>
      <c r="L20" s="53">
        <v>83851</v>
      </c>
      <c r="M20" s="53">
        <v>64118</v>
      </c>
      <c r="N20" s="53" t="s">
        <v>143</v>
      </c>
      <c r="O20" s="53" t="s">
        <v>144</v>
      </c>
      <c r="P20" s="113"/>
      <c r="Q20" s="53"/>
      <c r="R20" s="53">
        <v>31354102</v>
      </c>
      <c r="S20" s="53" t="s">
        <v>145</v>
      </c>
      <c r="T20" s="58">
        <v>44046</v>
      </c>
      <c r="U20" s="58">
        <v>44046</v>
      </c>
      <c r="V20" s="59">
        <v>44057</v>
      </c>
      <c r="W20" s="53">
        <v>46</v>
      </c>
      <c r="X20" s="119" t="s">
        <v>36</v>
      </c>
      <c r="Y20" s="124"/>
      <c r="Z20" s="125" t="s">
        <v>146</v>
      </c>
      <c r="AA20" s="126" t="s">
        <v>56</v>
      </c>
    </row>
    <row r="21" hidden="1" customHeight="1" spans="1:27">
      <c r="A21" s="52" t="s">
        <v>138</v>
      </c>
      <c r="B21" s="53" t="s">
        <v>139</v>
      </c>
      <c r="C21" s="53" t="s">
        <v>147</v>
      </c>
      <c r="D21" s="53" t="s">
        <v>148</v>
      </c>
      <c r="E21" s="53" t="s">
        <v>59</v>
      </c>
      <c r="F21" s="53" t="s">
        <v>59</v>
      </c>
      <c r="G21" s="53">
        <v>648410</v>
      </c>
      <c r="H21" s="53">
        <v>89155</v>
      </c>
      <c r="I21" s="53">
        <v>3320633</v>
      </c>
      <c r="J21" s="53" t="s">
        <v>142</v>
      </c>
      <c r="K21" s="53" t="s">
        <v>42</v>
      </c>
      <c r="L21" s="53">
        <v>83851</v>
      </c>
      <c r="M21" s="53">
        <v>64118</v>
      </c>
      <c r="N21" s="53" t="s">
        <v>149</v>
      </c>
      <c r="O21" s="53" t="s">
        <v>150</v>
      </c>
      <c r="P21" s="113"/>
      <c r="Q21" s="53"/>
      <c r="R21" s="53">
        <v>42371665</v>
      </c>
      <c r="S21" s="53" t="s">
        <v>151</v>
      </c>
      <c r="T21" s="58">
        <v>44046</v>
      </c>
      <c r="U21" s="58">
        <v>44046</v>
      </c>
      <c r="V21" s="59">
        <v>44057</v>
      </c>
      <c r="W21" s="53">
        <v>46</v>
      </c>
      <c r="X21" s="119" t="s">
        <v>36</v>
      </c>
      <c r="Y21" s="124"/>
      <c r="Z21" s="125" t="s">
        <v>146</v>
      </c>
      <c r="AA21" s="126" t="s">
        <v>56</v>
      </c>
    </row>
    <row r="22" hidden="1" customHeight="1" spans="1:27">
      <c r="A22" s="52" t="s">
        <v>138</v>
      </c>
      <c r="B22" s="53" t="s">
        <v>139</v>
      </c>
      <c r="C22" s="53" t="s">
        <v>152</v>
      </c>
      <c r="D22" s="53" t="s">
        <v>153</v>
      </c>
      <c r="E22" s="53" t="s">
        <v>51</v>
      </c>
      <c r="F22" s="53" t="s">
        <v>51</v>
      </c>
      <c r="G22" s="53">
        <v>648411</v>
      </c>
      <c r="H22" s="53">
        <v>89154</v>
      </c>
      <c r="I22" s="53">
        <v>3851241</v>
      </c>
      <c r="J22" s="53" t="s">
        <v>142</v>
      </c>
      <c r="K22" s="53" t="s">
        <v>42</v>
      </c>
      <c r="L22" s="53">
        <v>83851</v>
      </c>
      <c r="M22" s="53">
        <v>64118</v>
      </c>
      <c r="N22" s="53" t="s">
        <v>154</v>
      </c>
      <c r="O22" s="53" t="s">
        <v>155</v>
      </c>
      <c r="P22" s="113"/>
      <c r="Q22" s="53"/>
      <c r="R22" s="53">
        <v>37657560</v>
      </c>
      <c r="S22" s="53" t="s">
        <v>156</v>
      </c>
      <c r="T22" s="58">
        <v>44046</v>
      </c>
      <c r="U22" s="58">
        <v>44046</v>
      </c>
      <c r="V22" s="59">
        <v>44057</v>
      </c>
      <c r="W22" s="53">
        <v>46</v>
      </c>
      <c r="X22" s="119" t="s">
        <v>36</v>
      </c>
      <c r="Y22" s="124"/>
      <c r="Z22" s="125" t="s">
        <v>146</v>
      </c>
      <c r="AA22" s="126" t="s">
        <v>56</v>
      </c>
    </row>
    <row r="23" hidden="1" customHeight="1" spans="1:27">
      <c r="A23" s="52" t="s">
        <v>138</v>
      </c>
      <c r="B23" s="53" t="s">
        <v>139</v>
      </c>
      <c r="C23" s="53" t="s">
        <v>157</v>
      </c>
      <c r="D23" s="53" t="s">
        <v>158</v>
      </c>
      <c r="E23" s="53" t="s">
        <v>51</v>
      </c>
      <c r="F23" s="53" t="s">
        <v>51</v>
      </c>
      <c r="G23" s="53">
        <v>648406</v>
      </c>
      <c r="H23" s="53">
        <v>88913</v>
      </c>
      <c r="I23" s="53">
        <v>3841619</v>
      </c>
      <c r="J23" s="53" t="s">
        <v>142</v>
      </c>
      <c r="K23" s="53" t="s">
        <v>42</v>
      </c>
      <c r="L23" s="53">
        <v>83851</v>
      </c>
      <c r="M23" s="53">
        <v>64118</v>
      </c>
      <c r="N23" s="53" t="s">
        <v>159</v>
      </c>
      <c r="O23" s="53" t="s">
        <v>160</v>
      </c>
      <c r="P23" s="113"/>
      <c r="Q23" s="53" t="s">
        <v>161</v>
      </c>
      <c r="R23" s="53">
        <v>38224052</v>
      </c>
      <c r="S23" s="53" t="s">
        <v>162</v>
      </c>
      <c r="T23" s="58">
        <v>44039</v>
      </c>
      <c r="U23" s="58">
        <v>44039</v>
      </c>
      <c r="V23" s="59">
        <v>44047</v>
      </c>
      <c r="W23" s="53">
        <v>52</v>
      </c>
      <c r="X23" s="119" t="s">
        <v>36</v>
      </c>
      <c r="Y23" s="124"/>
      <c r="Z23" s="125" t="s">
        <v>146</v>
      </c>
      <c r="AA23" s="126" t="s">
        <v>56</v>
      </c>
    </row>
    <row r="24" hidden="1" customHeight="1" spans="1:27">
      <c r="A24" s="52" t="s">
        <v>138</v>
      </c>
      <c r="B24" s="53" t="s">
        <v>139</v>
      </c>
      <c r="C24" s="53" t="s">
        <v>163</v>
      </c>
      <c r="D24" s="53" t="s">
        <v>164</v>
      </c>
      <c r="E24" s="53" t="s">
        <v>51</v>
      </c>
      <c r="F24" s="53" t="s">
        <v>51</v>
      </c>
      <c r="G24" s="53">
        <v>648412</v>
      </c>
      <c r="H24" s="53">
        <v>89153</v>
      </c>
      <c r="I24" s="53">
        <v>3851249</v>
      </c>
      <c r="J24" s="53" t="s">
        <v>52</v>
      </c>
      <c r="K24" s="53" t="s">
        <v>42</v>
      </c>
      <c r="L24" s="53">
        <v>83851</v>
      </c>
      <c r="M24" s="53">
        <v>64118</v>
      </c>
      <c r="N24" s="53" t="s">
        <v>165</v>
      </c>
      <c r="O24" s="53" t="s">
        <v>166</v>
      </c>
      <c r="P24" s="113"/>
      <c r="Q24" s="53"/>
      <c r="R24" s="53">
        <v>39142413</v>
      </c>
      <c r="S24" s="53" t="s">
        <v>167</v>
      </c>
      <c r="T24" s="58">
        <v>44046</v>
      </c>
      <c r="U24" s="58">
        <v>44046</v>
      </c>
      <c r="V24" s="59">
        <v>44057</v>
      </c>
      <c r="W24" s="53">
        <v>46</v>
      </c>
      <c r="X24" s="119" t="s">
        <v>36</v>
      </c>
      <c r="Y24" s="124"/>
      <c r="Z24" s="125" t="s">
        <v>146</v>
      </c>
      <c r="AA24" s="126" t="s">
        <v>56</v>
      </c>
    </row>
    <row r="25" hidden="1" customHeight="1" spans="1:27">
      <c r="A25" s="52" t="s">
        <v>138</v>
      </c>
      <c r="B25" s="53" t="s">
        <v>139</v>
      </c>
      <c r="C25" s="53" t="s">
        <v>168</v>
      </c>
      <c r="D25" s="53" t="s">
        <v>169</v>
      </c>
      <c r="E25" s="53" t="s">
        <v>51</v>
      </c>
      <c r="F25" s="53" t="s">
        <v>51</v>
      </c>
      <c r="G25" s="53">
        <v>648401</v>
      </c>
      <c r="H25" s="53">
        <v>88920</v>
      </c>
      <c r="I25" s="53">
        <v>3841605</v>
      </c>
      <c r="J25" s="53" t="s">
        <v>52</v>
      </c>
      <c r="K25" s="53" t="s">
        <v>42</v>
      </c>
      <c r="L25" s="53">
        <v>83851</v>
      </c>
      <c r="M25" s="53">
        <v>64118</v>
      </c>
      <c r="N25" s="53" t="s">
        <v>170</v>
      </c>
      <c r="O25" s="53" t="s">
        <v>171</v>
      </c>
      <c r="P25" s="113"/>
      <c r="Q25" s="53" t="s">
        <v>172</v>
      </c>
      <c r="R25" s="53">
        <v>39574767</v>
      </c>
      <c r="S25" s="53" t="s">
        <v>173</v>
      </c>
      <c r="T25" s="58">
        <v>44039</v>
      </c>
      <c r="U25" s="58">
        <v>44039</v>
      </c>
      <c r="V25" s="59">
        <v>44047</v>
      </c>
      <c r="W25" s="53">
        <v>52</v>
      </c>
      <c r="X25" s="119" t="s">
        <v>36</v>
      </c>
      <c r="Y25" s="124"/>
      <c r="Z25" s="125" t="s">
        <v>146</v>
      </c>
      <c r="AA25" s="126" t="s">
        <v>56</v>
      </c>
    </row>
    <row r="26" hidden="1" customHeight="1" spans="1:27">
      <c r="A26" s="52" t="s">
        <v>138</v>
      </c>
      <c r="B26" s="53" t="s">
        <v>139</v>
      </c>
      <c r="C26" s="53" t="s">
        <v>174</v>
      </c>
      <c r="D26" s="53" t="s">
        <v>175</v>
      </c>
      <c r="E26" s="53" t="s">
        <v>51</v>
      </c>
      <c r="F26" s="53" t="s">
        <v>51</v>
      </c>
      <c r="G26" s="53">
        <v>648398</v>
      </c>
      <c r="H26" s="53">
        <v>88924</v>
      </c>
      <c r="I26" s="53">
        <v>3841586</v>
      </c>
      <c r="J26" s="53" t="s">
        <v>52</v>
      </c>
      <c r="K26" s="53" t="s">
        <v>42</v>
      </c>
      <c r="L26" s="53">
        <v>83851</v>
      </c>
      <c r="M26" s="53">
        <v>64118</v>
      </c>
      <c r="N26" s="53" t="s">
        <v>176</v>
      </c>
      <c r="O26" s="53" t="s">
        <v>177</v>
      </c>
      <c r="P26" s="113"/>
      <c r="Q26" s="53" t="s">
        <v>178</v>
      </c>
      <c r="R26" s="53">
        <v>34327482</v>
      </c>
      <c r="S26" s="53" t="s">
        <v>179</v>
      </c>
      <c r="T26" s="58">
        <v>44039</v>
      </c>
      <c r="U26" s="58">
        <v>44039</v>
      </c>
      <c r="V26" s="59">
        <v>44047</v>
      </c>
      <c r="W26" s="53">
        <v>52</v>
      </c>
      <c r="X26" s="119" t="s">
        <v>36</v>
      </c>
      <c r="Y26" s="124"/>
      <c r="Z26" s="125" t="s">
        <v>146</v>
      </c>
      <c r="AA26" s="126" t="s">
        <v>56</v>
      </c>
    </row>
    <row r="27" hidden="1" customHeight="1" spans="1:27">
      <c r="A27" s="52" t="s">
        <v>138</v>
      </c>
      <c r="B27" s="53" t="s">
        <v>139</v>
      </c>
      <c r="C27" s="53" t="s">
        <v>180</v>
      </c>
      <c r="D27" s="53" t="s">
        <v>181</v>
      </c>
      <c r="E27" s="53" t="s">
        <v>51</v>
      </c>
      <c r="F27" s="53" t="s">
        <v>51</v>
      </c>
      <c r="G27" s="53">
        <v>648403</v>
      </c>
      <c r="H27" s="53">
        <v>88916</v>
      </c>
      <c r="I27" s="53">
        <v>3841614</v>
      </c>
      <c r="J27" s="53" t="s">
        <v>52</v>
      </c>
      <c r="K27" s="53" t="s">
        <v>42</v>
      </c>
      <c r="L27" s="53">
        <v>83851</v>
      </c>
      <c r="M27" s="53">
        <v>64118</v>
      </c>
      <c r="N27" s="53" t="s">
        <v>182</v>
      </c>
      <c r="O27" s="53" t="s">
        <v>183</v>
      </c>
      <c r="P27" s="113"/>
      <c r="Q27" s="53" t="s">
        <v>184</v>
      </c>
      <c r="R27" s="53">
        <v>41771566</v>
      </c>
      <c r="S27" s="53" t="s">
        <v>185</v>
      </c>
      <c r="T27" s="58">
        <v>44039</v>
      </c>
      <c r="U27" s="58">
        <v>44039</v>
      </c>
      <c r="V27" s="59">
        <v>44047</v>
      </c>
      <c r="W27" s="53">
        <v>52</v>
      </c>
      <c r="X27" s="119" t="s">
        <v>36</v>
      </c>
      <c r="Y27" s="124"/>
      <c r="Z27" s="125" t="s">
        <v>146</v>
      </c>
      <c r="AA27" s="126" t="s">
        <v>56</v>
      </c>
    </row>
    <row r="28" hidden="1" customHeight="1" spans="1:27">
      <c r="A28" s="52" t="s">
        <v>138</v>
      </c>
      <c r="B28" s="53" t="s">
        <v>139</v>
      </c>
      <c r="C28" s="53" t="s">
        <v>186</v>
      </c>
      <c r="D28" s="53" t="s">
        <v>187</v>
      </c>
      <c r="E28" s="53" t="s">
        <v>51</v>
      </c>
      <c r="F28" s="53" t="s">
        <v>51</v>
      </c>
      <c r="G28" s="53">
        <v>648407</v>
      </c>
      <c r="H28" s="53">
        <v>88917</v>
      </c>
      <c r="I28" s="53">
        <v>3841622</v>
      </c>
      <c r="J28" s="53" t="s">
        <v>52</v>
      </c>
      <c r="K28" s="53" t="s">
        <v>42</v>
      </c>
      <c r="L28" s="53">
        <v>83851</v>
      </c>
      <c r="M28" s="53">
        <v>64118</v>
      </c>
      <c r="N28" s="53" t="s">
        <v>188</v>
      </c>
      <c r="O28" s="53" t="s">
        <v>189</v>
      </c>
      <c r="P28" s="113"/>
      <c r="Q28" s="53" t="s">
        <v>190</v>
      </c>
      <c r="R28" s="53">
        <v>38244120</v>
      </c>
      <c r="S28" s="53" t="s">
        <v>191</v>
      </c>
      <c r="T28" s="58">
        <v>44039</v>
      </c>
      <c r="U28" s="58">
        <v>44039</v>
      </c>
      <c r="V28" s="59">
        <v>44047</v>
      </c>
      <c r="W28" s="53">
        <v>52</v>
      </c>
      <c r="X28" s="119" t="s">
        <v>36</v>
      </c>
      <c r="Y28" s="124"/>
      <c r="Z28" s="125" t="s">
        <v>146</v>
      </c>
      <c r="AA28" s="126" t="s">
        <v>56</v>
      </c>
    </row>
    <row r="29" hidden="1" customHeight="1" spans="1:27">
      <c r="A29" s="52" t="s">
        <v>138</v>
      </c>
      <c r="B29" s="53" t="s">
        <v>139</v>
      </c>
      <c r="C29" s="53" t="s">
        <v>192</v>
      </c>
      <c r="D29" s="53" t="s">
        <v>193</v>
      </c>
      <c r="E29" s="53" t="s">
        <v>51</v>
      </c>
      <c r="F29" s="53" t="s">
        <v>51</v>
      </c>
      <c r="G29" s="53">
        <v>648405</v>
      </c>
      <c r="H29" s="53">
        <v>88919</v>
      </c>
      <c r="I29" s="53">
        <v>3841618</v>
      </c>
      <c r="J29" s="53" t="s">
        <v>52</v>
      </c>
      <c r="K29" s="53" t="s">
        <v>42</v>
      </c>
      <c r="L29" s="53">
        <v>83851</v>
      </c>
      <c r="M29" s="53">
        <v>64118</v>
      </c>
      <c r="N29" s="53" t="s">
        <v>194</v>
      </c>
      <c r="O29" s="53" t="s">
        <v>195</v>
      </c>
      <c r="P29" s="113"/>
      <c r="Q29" s="53" t="s">
        <v>196</v>
      </c>
      <c r="R29" s="53">
        <v>36439725</v>
      </c>
      <c r="S29" s="53" t="s">
        <v>197</v>
      </c>
      <c r="T29" s="58">
        <v>44039</v>
      </c>
      <c r="U29" s="58">
        <v>44039</v>
      </c>
      <c r="V29" s="59">
        <v>44047</v>
      </c>
      <c r="W29" s="53">
        <v>52</v>
      </c>
      <c r="X29" s="119" t="s">
        <v>36</v>
      </c>
      <c r="Y29" s="124"/>
      <c r="Z29" s="125" t="s">
        <v>146</v>
      </c>
      <c r="AA29" s="126" t="s">
        <v>56</v>
      </c>
    </row>
    <row r="30" hidden="1" customHeight="1" spans="1:27">
      <c r="A30" s="52" t="s">
        <v>138</v>
      </c>
      <c r="B30" s="53" t="s">
        <v>139</v>
      </c>
      <c r="C30" s="53" t="s">
        <v>198</v>
      </c>
      <c r="D30" s="53" t="s">
        <v>199</v>
      </c>
      <c r="E30" s="53" t="s">
        <v>51</v>
      </c>
      <c r="F30" s="53" t="s">
        <v>51</v>
      </c>
      <c r="G30" s="53">
        <v>648402</v>
      </c>
      <c r="H30" s="53">
        <v>88922</v>
      </c>
      <c r="I30" s="53">
        <v>3841611</v>
      </c>
      <c r="J30" s="53" t="s">
        <v>42</v>
      </c>
      <c r="K30" s="53" t="s">
        <v>42</v>
      </c>
      <c r="L30" s="53">
        <v>83851</v>
      </c>
      <c r="M30" s="53">
        <v>64118</v>
      </c>
      <c r="N30" s="53" t="s">
        <v>200</v>
      </c>
      <c r="O30" s="53" t="s">
        <v>201</v>
      </c>
      <c r="P30" s="113"/>
      <c r="Q30" s="53" t="s">
        <v>202</v>
      </c>
      <c r="R30" s="53">
        <v>39730809</v>
      </c>
      <c r="S30" s="53" t="s">
        <v>203</v>
      </c>
      <c r="T30" s="58">
        <v>44039</v>
      </c>
      <c r="U30" s="58">
        <v>44039</v>
      </c>
      <c r="V30" s="59">
        <v>44047</v>
      </c>
      <c r="W30" s="53">
        <v>52</v>
      </c>
      <c r="X30" s="119" t="s">
        <v>36</v>
      </c>
      <c r="Y30" s="124"/>
      <c r="Z30" s="125" t="s">
        <v>146</v>
      </c>
      <c r="AA30" s="126" t="s">
        <v>56</v>
      </c>
    </row>
    <row r="31" hidden="1" customHeight="1" spans="1:27">
      <c r="A31" s="52" t="s">
        <v>138</v>
      </c>
      <c r="B31" s="53" t="s">
        <v>139</v>
      </c>
      <c r="C31" s="53" t="s">
        <v>204</v>
      </c>
      <c r="D31" s="53" t="s">
        <v>205</v>
      </c>
      <c r="E31" s="53" t="s">
        <v>51</v>
      </c>
      <c r="F31" s="53" t="s">
        <v>51</v>
      </c>
      <c r="G31" s="53">
        <v>648399</v>
      </c>
      <c r="H31" s="53">
        <v>88914</v>
      </c>
      <c r="I31" s="53">
        <v>3841590</v>
      </c>
      <c r="J31" s="53" t="s">
        <v>42</v>
      </c>
      <c r="K31" s="53" t="s">
        <v>42</v>
      </c>
      <c r="L31" s="53">
        <v>83851</v>
      </c>
      <c r="M31" s="53">
        <v>64118</v>
      </c>
      <c r="N31" s="53" t="s">
        <v>206</v>
      </c>
      <c r="O31" s="53" t="s">
        <v>207</v>
      </c>
      <c r="P31" s="113"/>
      <c r="Q31" s="53" t="s">
        <v>208</v>
      </c>
      <c r="R31" s="53">
        <v>35195568</v>
      </c>
      <c r="S31" s="53" t="s">
        <v>209</v>
      </c>
      <c r="T31" s="58">
        <v>44039</v>
      </c>
      <c r="U31" s="58">
        <v>44039</v>
      </c>
      <c r="V31" s="59">
        <v>44047</v>
      </c>
      <c r="W31" s="53">
        <v>52</v>
      </c>
      <c r="X31" s="119" t="s">
        <v>36</v>
      </c>
      <c r="Y31" s="124"/>
      <c r="Z31" s="125" t="s">
        <v>146</v>
      </c>
      <c r="AA31" s="126" t="s">
        <v>56</v>
      </c>
    </row>
    <row r="32" hidden="1" customHeight="1" spans="1:27">
      <c r="A32" s="52" t="s">
        <v>138</v>
      </c>
      <c r="B32" s="53" t="s">
        <v>139</v>
      </c>
      <c r="C32" s="53" t="s">
        <v>210</v>
      </c>
      <c r="D32" s="53" t="s">
        <v>211</v>
      </c>
      <c r="E32" s="53" t="s">
        <v>51</v>
      </c>
      <c r="F32" s="53" t="s">
        <v>51</v>
      </c>
      <c r="G32" s="53">
        <v>648400</v>
      </c>
      <c r="H32" s="53">
        <v>88921</v>
      </c>
      <c r="I32" s="53">
        <v>3557330</v>
      </c>
      <c r="J32" s="53" t="s">
        <v>42</v>
      </c>
      <c r="K32" s="53" t="s">
        <v>42</v>
      </c>
      <c r="L32" s="53">
        <v>83851</v>
      </c>
      <c r="M32" s="53">
        <v>64118</v>
      </c>
      <c r="N32" s="53" t="s">
        <v>212</v>
      </c>
      <c r="O32" s="53" t="s">
        <v>213</v>
      </c>
      <c r="P32" s="113"/>
      <c r="Q32" s="53" t="s">
        <v>214</v>
      </c>
      <c r="R32" s="53">
        <v>42548543</v>
      </c>
      <c r="S32" s="53" t="s">
        <v>215</v>
      </c>
      <c r="T32" s="58">
        <v>44039</v>
      </c>
      <c r="U32" s="58">
        <v>44039</v>
      </c>
      <c r="V32" s="59">
        <v>44047</v>
      </c>
      <c r="W32" s="53">
        <v>52</v>
      </c>
      <c r="X32" s="119" t="s">
        <v>36</v>
      </c>
      <c r="Y32" s="124"/>
      <c r="Z32" s="125" t="s">
        <v>146</v>
      </c>
      <c r="AA32" s="126" t="s">
        <v>56</v>
      </c>
    </row>
    <row r="33" hidden="1" customHeight="1" spans="1:27">
      <c r="A33" s="52" t="s">
        <v>138</v>
      </c>
      <c r="B33" s="53" t="s">
        <v>139</v>
      </c>
      <c r="C33" s="53" t="s">
        <v>216</v>
      </c>
      <c r="D33" s="53" t="s">
        <v>217</v>
      </c>
      <c r="E33" s="53" t="s">
        <v>51</v>
      </c>
      <c r="F33" s="53" t="s">
        <v>51</v>
      </c>
      <c r="G33" s="53">
        <v>648404</v>
      </c>
      <c r="H33" s="53">
        <v>88915</v>
      </c>
      <c r="I33" s="53">
        <v>3841616</v>
      </c>
      <c r="J33" s="53" t="s">
        <v>42</v>
      </c>
      <c r="K33" s="53" t="s">
        <v>42</v>
      </c>
      <c r="L33" s="53">
        <v>83851</v>
      </c>
      <c r="M33" s="53">
        <v>64118</v>
      </c>
      <c r="N33" s="53" t="s">
        <v>218</v>
      </c>
      <c r="O33" s="53" t="s">
        <v>219</v>
      </c>
      <c r="P33" s="113"/>
      <c r="Q33" s="53" t="s">
        <v>220</v>
      </c>
      <c r="R33" s="53">
        <v>42371182</v>
      </c>
      <c r="S33" s="53" t="s">
        <v>221</v>
      </c>
      <c r="T33" s="58">
        <v>44039</v>
      </c>
      <c r="U33" s="58">
        <v>44039</v>
      </c>
      <c r="V33" s="59">
        <v>44047</v>
      </c>
      <c r="W33" s="53">
        <v>52</v>
      </c>
      <c r="X33" s="119" t="s">
        <v>36</v>
      </c>
      <c r="Y33" s="124"/>
      <c r="Z33" s="125" t="s">
        <v>146</v>
      </c>
      <c r="AA33" s="126" t="s">
        <v>56</v>
      </c>
    </row>
    <row r="34" hidden="1" customHeight="1" spans="1:27">
      <c r="A34" s="52" t="s">
        <v>27</v>
      </c>
      <c r="B34" s="53" t="s">
        <v>222</v>
      </c>
      <c r="C34" s="53" t="s">
        <v>223</v>
      </c>
      <c r="D34" s="53" t="s">
        <v>224</v>
      </c>
      <c r="E34" s="53" t="s">
        <v>51</v>
      </c>
      <c r="F34" s="53" t="s">
        <v>51</v>
      </c>
      <c r="G34" s="53">
        <v>89313</v>
      </c>
      <c r="H34" s="53">
        <v>88174</v>
      </c>
      <c r="I34" s="53">
        <v>3624184</v>
      </c>
      <c r="J34" s="53" t="s">
        <v>32</v>
      </c>
      <c r="K34" s="53" t="s">
        <v>32</v>
      </c>
      <c r="L34" s="53">
        <v>81043</v>
      </c>
      <c r="M34" s="53">
        <v>74054</v>
      </c>
      <c r="N34" s="53" t="s">
        <v>225</v>
      </c>
      <c r="O34" s="53" t="s">
        <v>226</v>
      </c>
      <c r="P34" s="113">
        <v>43917</v>
      </c>
      <c r="Q34" s="53"/>
      <c r="R34" s="53">
        <v>42007693</v>
      </c>
      <c r="S34" s="53">
        <v>20420076933</v>
      </c>
      <c r="T34" s="58">
        <v>43808</v>
      </c>
      <c r="U34" s="58">
        <v>43808</v>
      </c>
      <c r="V34" s="59">
        <v>43831</v>
      </c>
      <c r="W34" s="53">
        <v>280</v>
      </c>
      <c r="X34" s="119" t="s">
        <v>36</v>
      </c>
      <c r="Y34" s="124">
        <v>89871</v>
      </c>
      <c r="Z34" s="125" t="s">
        <v>37</v>
      </c>
      <c r="AA34" s="126" t="s">
        <v>56</v>
      </c>
    </row>
    <row r="35" hidden="1" customHeight="1" spans="1:27">
      <c r="A35" s="54" t="s">
        <v>27</v>
      </c>
      <c r="B35" s="55" t="s">
        <v>222</v>
      </c>
      <c r="C35" s="55" t="s">
        <v>227</v>
      </c>
      <c r="D35" s="55" t="s">
        <v>228</v>
      </c>
      <c r="E35" s="55" t="s">
        <v>51</v>
      </c>
      <c r="F35" s="55" t="s">
        <v>51</v>
      </c>
      <c r="G35" s="55">
        <v>89057</v>
      </c>
      <c r="H35" s="55">
        <v>83603</v>
      </c>
      <c r="I35" s="55">
        <v>2523112</v>
      </c>
      <c r="J35" s="55" t="s">
        <v>32</v>
      </c>
      <c r="K35" s="111" t="s">
        <v>32</v>
      </c>
      <c r="L35" s="55">
        <v>81043</v>
      </c>
      <c r="M35" s="55">
        <v>74054</v>
      </c>
      <c r="N35" s="55" t="s">
        <v>229</v>
      </c>
      <c r="O35" s="55" t="s">
        <v>230</v>
      </c>
      <c r="P35" s="112">
        <v>43917</v>
      </c>
      <c r="Q35" s="55" t="s">
        <v>231</v>
      </c>
      <c r="R35" s="55">
        <v>39145406</v>
      </c>
      <c r="S35" s="55">
        <v>27391454065</v>
      </c>
      <c r="T35" s="115">
        <v>42891</v>
      </c>
      <c r="U35" s="115">
        <v>43327</v>
      </c>
      <c r="V35" s="116">
        <v>43328</v>
      </c>
      <c r="W35" s="55">
        <v>1184</v>
      </c>
      <c r="X35" s="118" t="s">
        <v>36</v>
      </c>
      <c r="Y35" s="127">
        <v>89940</v>
      </c>
      <c r="Z35" s="122" t="s">
        <v>37</v>
      </c>
      <c r="AA35" s="128" t="s">
        <v>56</v>
      </c>
    </row>
    <row r="36" hidden="1" customHeight="1" spans="1:27">
      <c r="A36" s="54" t="s">
        <v>27</v>
      </c>
      <c r="B36" s="55" t="s">
        <v>222</v>
      </c>
      <c r="C36" s="55" t="s">
        <v>232</v>
      </c>
      <c r="D36" s="55" t="s">
        <v>233</v>
      </c>
      <c r="E36" s="55" t="s">
        <v>51</v>
      </c>
      <c r="F36" s="55" t="s">
        <v>51</v>
      </c>
      <c r="G36" s="109">
        <v>89225</v>
      </c>
      <c r="H36" s="55">
        <v>87316</v>
      </c>
      <c r="I36" s="55">
        <v>1100247</v>
      </c>
      <c r="J36" s="55" t="s">
        <v>66</v>
      </c>
      <c r="K36" s="111" t="s">
        <v>66</v>
      </c>
      <c r="L36" s="55">
        <v>81043</v>
      </c>
      <c r="M36" s="55">
        <v>74054</v>
      </c>
      <c r="N36" s="55" t="s">
        <v>234</v>
      </c>
      <c r="O36" s="55" t="s">
        <v>235</v>
      </c>
      <c r="P36" s="112">
        <v>43916</v>
      </c>
      <c r="Q36" s="55">
        <v>3814637258</v>
      </c>
      <c r="R36" s="55">
        <v>35921500</v>
      </c>
      <c r="S36" s="55">
        <v>27359215008</v>
      </c>
      <c r="T36" s="115">
        <v>43703</v>
      </c>
      <c r="U36" s="115">
        <v>43703</v>
      </c>
      <c r="V36" s="116">
        <v>43713</v>
      </c>
      <c r="W36" s="55">
        <v>383</v>
      </c>
      <c r="X36" s="118" t="s">
        <v>36</v>
      </c>
      <c r="Y36" s="127">
        <v>89941</v>
      </c>
      <c r="Z36" s="122" t="s">
        <v>37</v>
      </c>
      <c r="AA36" s="128" t="s">
        <v>56</v>
      </c>
    </row>
    <row r="37" hidden="1" customHeight="1" spans="1:27">
      <c r="A37" s="54" t="s">
        <v>27</v>
      </c>
      <c r="B37" s="55" t="s">
        <v>222</v>
      </c>
      <c r="C37" s="55" t="s">
        <v>236</v>
      </c>
      <c r="D37" s="55" t="s">
        <v>237</v>
      </c>
      <c r="E37" s="55" t="s">
        <v>51</v>
      </c>
      <c r="F37" s="55" t="s">
        <v>51</v>
      </c>
      <c r="G37" s="109">
        <v>89236</v>
      </c>
      <c r="H37" s="55">
        <v>87308</v>
      </c>
      <c r="I37" s="55">
        <v>3462509</v>
      </c>
      <c r="J37" s="55" t="s">
        <v>66</v>
      </c>
      <c r="K37" s="111" t="s">
        <v>66</v>
      </c>
      <c r="L37" s="55">
        <v>81043</v>
      </c>
      <c r="M37" s="55">
        <v>74054</v>
      </c>
      <c r="N37" s="55" t="s">
        <v>238</v>
      </c>
      <c r="O37" s="55" t="s">
        <v>239</v>
      </c>
      <c r="P37" s="112">
        <v>43915</v>
      </c>
      <c r="Q37" s="55">
        <v>3814742874</v>
      </c>
      <c r="R37" s="55">
        <v>41650790</v>
      </c>
      <c r="S37" s="55">
        <v>20416507903</v>
      </c>
      <c r="T37" s="115">
        <v>43703</v>
      </c>
      <c r="U37" s="115">
        <v>43703</v>
      </c>
      <c r="V37" s="116">
        <v>43713</v>
      </c>
      <c r="W37" s="55">
        <v>383</v>
      </c>
      <c r="X37" s="118" t="s">
        <v>36</v>
      </c>
      <c r="Y37" s="127">
        <v>89944</v>
      </c>
      <c r="Z37" s="122" t="s">
        <v>37</v>
      </c>
      <c r="AA37" s="128" t="s">
        <v>56</v>
      </c>
    </row>
    <row r="38" hidden="1" customHeight="1" spans="1:27">
      <c r="A38" s="54" t="s">
        <v>27</v>
      </c>
      <c r="B38" s="55" t="s">
        <v>222</v>
      </c>
      <c r="C38" s="55" t="s">
        <v>240</v>
      </c>
      <c r="D38" s="55" t="s">
        <v>241</v>
      </c>
      <c r="E38" s="55" t="s">
        <v>51</v>
      </c>
      <c r="F38" s="55" t="s">
        <v>51</v>
      </c>
      <c r="G38" s="55">
        <v>89104</v>
      </c>
      <c r="H38" s="55">
        <v>85278</v>
      </c>
      <c r="I38" s="55">
        <v>2803851</v>
      </c>
      <c r="J38" s="55" t="s">
        <v>66</v>
      </c>
      <c r="K38" s="111" t="s">
        <v>66</v>
      </c>
      <c r="L38" s="55">
        <v>81043</v>
      </c>
      <c r="M38" s="55">
        <v>74054</v>
      </c>
      <c r="N38" s="55" t="s">
        <v>242</v>
      </c>
      <c r="O38" s="55" t="s">
        <v>243</v>
      </c>
      <c r="P38" s="112">
        <v>43910</v>
      </c>
      <c r="Q38" s="55">
        <v>3816509596</v>
      </c>
      <c r="R38" s="55">
        <v>37457052</v>
      </c>
      <c r="S38" s="55">
        <v>20374570529</v>
      </c>
      <c r="T38" s="115">
        <v>43164</v>
      </c>
      <c r="U38" s="115">
        <v>43409</v>
      </c>
      <c r="V38" s="116">
        <v>43423</v>
      </c>
      <c r="W38" s="55">
        <v>914</v>
      </c>
      <c r="X38" s="118" t="s">
        <v>36</v>
      </c>
      <c r="Y38" s="127">
        <v>89945</v>
      </c>
      <c r="Z38" s="122" t="s">
        <v>37</v>
      </c>
      <c r="AA38" s="128" t="s">
        <v>56</v>
      </c>
    </row>
    <row r="39" hidden="1" customHeight="1" spans="1:27">
      <c r="A39" s="54" t="s">
        <v>27</v>
      </c>
      <c r="B39" s="55" t="s">
        <v>222</v>
      </c>
      <c r="C39" s="55" t="s">
        <v>244</v>
      </c>
      <c r="D39" s="55" t="s">
        <v>245</v>
      </c>
      <c r="E39" s="55" t="s">
        <v>31</v>
      </c>
      <c r="F39" s="55" t="s">
        <v>31</v>
      </c>
      <c r="G39" s="55">
        <v>89207</v>
      </c>
      <c r="H39" s="55">
        <v>87045</v>
      </c>
      <c r="I39" s="55">
        <v>3409666</v>
      </c>
      <c r="J39" s="55" t="s">
        <v>32</v>
      </c>
      <c r="K39" s="111" t="s">
        <v>32</v>
      </c>
      <c r="L39" s="55">
        <v>81043</v>
      </c>
      <c r="M39" s="55">
        <v>74054</v>
      </c>
      <c r="N39" s="55" t="s">
        <v>246</v>
      </c>
      <c r="O39" s="55" t="s">
        <v>247</v>
      </c>
      <c r="P39" s="112">
        <v>43916</v>
      </c>
      <c r="Q39" s="55" t="s">
        <v>248</v>
      </c>
      <c r="R39" s="55">
        <v>35192091</v>
      </c>
      <c r="S39" s="55" t="s">
        <v>249</v>
      </c>
      <c r="T39" s="115">
        <v>43668</v>
      </c>
      <c r="U39" s="115">
        <v>43669</v>
      </c>
      <c r="V39" s="116">
        <v>43678</v>
      </c>
      <c r="W39" s="55">
        <v>417</v>
      </c>
      <c r="X39" s="118" t="s">
        <v>36</v>
      </c>
      <c r="Y39" s="127">
        <v>89887</v>
      </c>
      <c r="Z39" s="122" t="s">
        <v>37</v>
      </c>
      <c r="AA39" s="128" t="s">
        <v>38</v>
      </c>
    </row>
    <row r="40" hidden="1" customHeight="1" spans="1:27">
      <c r="A40" s="52" t="s">
        <v>27</v>
      </c>
      <c r="B40" s="53" t="s">
        <v>222</v>
      </c>
      <c r="C40" s="53" t="s">
        <v>250</v>
      </c>
      <c r="D40" s="53" t="s">
        <v>251</v>
      </c>
      <c r="E40" s="53" t="s">
        <v>41</v>
      </c>
      <c r="F40" s="53" t="s">
        <v>41</v>
      </c>
      <c r="G40" s="53">
        <v>89211</v>
      </c>
      <c r="H40" s="53">
        <v>87057</v>
      </c>
      <c r="I40" s="53">
        <v>3409641</v>
      </c>
      <c r="J40" s="53" t="s">
        <v>42</v>
      </c>
      <c r="K40" s="53" t="s">
        <v>43</v>
      </c>
      <c r="L40" s="53">
        <v>81043</v>
      </c>
      <c r="M40" s="53">
        <v>74054</v>
      </c>
      <c r="N40" s="53" t="s">
        <v>252</v>
      </c>
      <c r="O40" s="53" t="s">
        <v>253</v>
      </c>
      <c r="P40" s="113">
        <v>43945</v>
      </c>
      <c r="Q40" s="53" t="s">
        <v>254</v>
      </c>
      <c r="R40" s="53">
        <v>41495060</v>
      </c>
      <c r="S40" s="53">
        <v>20414950605</v>
      </c>
      <c r="T40" s="58">
        <v>43668</v>
      </c>
      <c r="U40" s="58">
        <v>43669</v>
      </c>
      <c r="V40" s="59">
        <v>43678</v>
      </c>
      <c r="W40" s="53">
        <v>417</v>
      </c>
      <c r="X40" s="119" t="s">
        <v>36</v>
      </c>
      <c r="Y40" s="124">
        <v>89876</v>
      </c>
      <c r="Z40" s="125" t="s">
        <v>37</v>
      </c>
      <c r="AA40" s="126" t="s">
        <v>255</v>
      </c>
    </row>
    <row r="41" hidden="1" customHeight="1" spans="1:27">
      <c r="A41" s="52" t="s">
        <v>27</v>
      </c>
      <c r="B41" s="53" t="s">
        <v>222</v>
      </c>
      <c r="C41" s="53" t="s">
        <v>256</v>
      </c>
      <c r="D41" s="53" t="s">
        <v>257</v>
      </c>
      <c r="E41" s="53" t="s">
        <v>51</v>
      </c>
      <c r="F41" s="53" t="s">
        <v>51</v>
      </c>
      <c r="G41" s="53">
        <v>89119</v>
      </c>
      <c r="H41" s="53">
        <v>86154</v>
      </c>
      <c r="I41" s="53">
        <v>3118300</v>
      </c>
      <c r="J41" s="53" t="s">
        <v>32</v>
      </c>
      <c r="K41" s="53" t="s">
        <v>32</v>
      </c>
      <c r="L41" s="53">
        <v>81043</v>
      </c>
      <c r="M41" s="53">
        <v>74054</v>
      </c>
      <c r="N41" s="53" t="s">
        <v>258</v>
      </c>
      <c r="O41" s="53" t="s">
        <v>259</v>
      </c>
      <c r="P41" s="113">
        <v>43934</v>
      </c>
      <c r="Q41" s="53" t="s">
        <v>260</v>
      </c>
      <c r="R41" s="53">
        <v>35822667</v>
      </c>
      <c r="S41" s="53">
        <v>20358226672</v>
      </c>
      <c r="T41" s="58">
        <v>43437</v>
      </c>
      <c r="U41" s="58">
        <v>43437</v>
      </c>
      <c r="V41" s="59">
        <v>43448</v>
      </c>
      <c r="W41" s="53">
        <v>646</v>
      </c>
      <c r="X41" s="119" t="s">
        <v>36</v>
      </c>
      <c r="Y41" s="124">
        <v>89946</v>
      </c>
      <c r="Z41" s="125" t="s">
        <v>37</v>
      </c>
      <c r="AA41" s="126" t="s">
        <v>56</v>
      </c>
    </row>
    <row r="42" hidden="1" customHeight="1" spans="1:27">
      <c r="A42" s="54" t="s">
        <v>27</v>
      </c>
      <c r="B42" s="55" t="s">
        <v>222</v>
      </c>
      <c r="C42" s="55" t="s">
        <v>261</v>
      </c>
      <c r="D42" s="55" t="s">
        <v>262</v>
      </c>
      <c r="E42" s="55" t="s">
        <v>51</v>
      </c>
      <c r="F42" s="55" t="s">
        <v>51</v>
      </c>
      <c r="G42" s="55">
        <v>89001</v>
      </c>
      <c r="H42" s="55">
        <v>83911</v>
      </c>
      <c r="I42" s="55">
        <v>2657668</v>
      </c>
      <c r="J42" s="55" t="s">
        <v>66</v>
      </c>
      <c r="K42" s="111" t="s">
        <v>66</v>
      </c>
      <c r="L42" s="55">
        <v>81043</v>
      </c>
      <c r="M42" s="55">
        <v>74054</v>
      </c>
      <c r="N42" s="55" t="s">
        <v>263</v>
      </c>
      <c r="O42" s="55" t="s">
        <v>264</v>
      </c>
      <c r="P42" s="112">
        <v>43921</v>
      </c>
      <c r="Q42" s="55" t="s">
        <v>265</v>
      </c>
      <c r="R42" s="55">
        <v>37455215</v>
      </c>
      <c r="S42" s="55">
        <v>20374552156</v>
      </c>
      <c r="T42" s="115">
        <v>43010</v>
      </c>
      <c r="U42" s="115">
        <v>43259</v>
      </c>
      <c r="V42" s="116">
        <v>43262</v>
      </c>
      <c r="W42" s="55">
        <v>1067</v>
      </c>
      <c r="X42" s="118" t="s">
        <v>36</v>
      </c>
      <c r="Y42" s="127">
        <v>89947</v>
      </c>
      <c r="Z42" s="122" t="s">
        <v>37</v>
      </c>
      <c r="AA42" s="128" t="s">
        <v>56</v>
      </c>
    </row>
    <row r="43" hidden="1" customHeight="1" spans="1:27">
      <c r="A43" s="54" t="s">
        <v>27</v>
      </c>
      <c r="B43" s="55" t="s">
        <v>222</v>
      </c>
      <c r="C43" s="55" t="s">
        <v>266</v>
      </c>
      <c r="D43" s="55" t="s">
        <v>267</v>
      </c>
      <c r="E43" s="55" t="s">
        <v>59</v>
      </c>
      <c r="F43" s="55" t="s">
        <v>59</v>
      </c>
      <c r="G43" s="109">
        <v>89229</v>
      </c>
      <c r="H43" s="55">
        <v>87310</v>
      </c>
      <c r="I43" s="55">
        <v>3462512</v>
      </c>
      <c r="J43" s="55" t="s">
        <v>66</v>
      </c>
      <c r="K43" s="111" t="s">
        <v>66</v>
      </c>
      <c r="L43" s="55">
        <v>81043</v>
      </c>
      <c r="M43" s="55">
        <v>74054</v>
      </c>
      <c r="N43" s="55" t="s">
        <v>268</v>
      </c>
      <c r="O43" s="55" t="s">
        <v>269</v>
      </c>
      <c r="P43" s="112">
        <v>43917</v>
      </c>
      <c r="Q43" s="55">
        <v>3816313769</v>
      </c>
      <c r="R43" s="55">
        <v>40532665</v>
      </c>
      <c r="S43" s="55">
        <v>27405326650</v>
      </c>
      <c r="T43" s="115">
        <v>43703</v>
      </c>
      <c r="U43" s="115">
        <v>43703</v>
      </c>
      <c r="V43" s="116">
        <v>43713</v>
      </c>
      <c r="W43" s="55">
        <v>383</v>
      </c>
      <c r="X43" s="118" t="s">
        <v>36</v>
      </c>
      <c r="Y43" s="127">
        <v>89948</v>
      </c>
      <c r="Z43" s="122" t="s">
        <v>37</v>
      </c>
      <c r="AA43" s="128" t="s">
        <v>56</v>
      </c>
    </row>
    <row r="44" hidden="1" customHeight="1" spans="1:27">
      <c r="A44" s="54" t="s">
        <v>27</v>
      </c>
      <c r="B44" s="55" t="s">
        <v>222</v>
      </c>
      <c r="C44" s="55" t="s">
        <v>270</v>
      </c>
      <c r="D44" s="55" t="s">
        <v>271</v>
      </c>
      <c r="E44" s="55" t="s">
        <v>51</v>
      </c>
      <c r="F44" s="55" t="s">
        <v>51</v>
      </c>
      <c r="G44" s="55">
        <v>89188</v>
      </c>
      <c r="H44" s="55">
        <v>86341</v>
      </c>
      <c r="I44" s="55">
        <v>3138508</v>
      </c>
      <c r="J44" s="55" t="s">
        <v>32</v>
      </c>
      <c r="K44" s="111" t="s">
        <v>32</v>
      </c>
      <c r="L44" s="55">
        <v>81043</v>
      </c>
      <c r="M44" s="55">
        <v>74054</v>
      </c>
      <c r="N44" s="55" t="s">
        <v>272</v>
      </c>
      <c r="O44" s="55" t="s">
        <v>273</v>
      </c>
      <c r="P44" s="112">
        <v>43917</v>
      </c>
      <c r="Q44" s="55" t="s">
        <v>274</v>
      </c>
      <c r="R44" s="55">
        <v>40273349</v>
      </c>
      <c r="S44" s="55">
        <v>20402733498</v>
      </c>
      <c r="T44" s="115">
        <v>43460</v>
      </c>
      <c r="U44" s="115">
        <v>43460</v>
      </c>
      <c r="V44" s="116">
        <v>43476</v>
      </c>
      <c r="W44" s="55">
        <v>623</v>
      </c>
      <c r="X44" s="118" t="s">
        <v>36</v>
      </c>
      <c r="Y44" s="127">
        <v>89975</v>
      </c>
      <c r="Z44" s="122" t="s">
        <v>37</v>
      </c>
      <c r="AA44" s="128" t="s">
        <v>275</v>
      </c>
    </row>
    <row r="45" hidden="1" customHeight="1" spans="1:27">
      <c r="A45" s="54" t="s">
        <v>27</v>
      </c>
      <c r="B45" s="55" t="s">
        <v>222</v>
      </c>
      <c r="C45" s="55" t="s">
        <v>276</v>
      </c>
      <c r="D45" s="55" t="s">
        <v>277</v>
      </c>
      <c r="E45" s="55" t="s">
        <v>51</v>
      </c>
      <c r="F45" s="55" t="s">
        <v>51</v>
      </c>
      <c r="G45" s="55">
        <v>89056</v>
      </c>
      <c r="H45" s="55">
        <v>85310</v>
      </c>
      <c r="I45" s="55">
        <v>2811372</v>
      </c>
      <c r="J45" s="55" t="s">
        <v>122</v>
      </c>
      <c r="K45" s="111" t="s">
        <v>123</v>
      </c>
      <c r="L45" s="55">
        <v>81043</v>
      </c>
      <c r="M45" s="55">
        <v>74054</v>
      </c>
      <c r="N45" s="55" t="s">
        <v>278</v>
      </c>
      <c r="O45" s="55" t="s">
        <v>279</v>
      </c>
      <c r="P45" s="112">
        <v>43917</v>
      </c>
      <c r="Q45" s="55" t="s">
        <v>280</v>
      </c>
      <c r="R45" s="55">
        <v>36865396</v>
      </c>
      <c r="S45" s="55">
        <v>27368653964</v>
      </c>
      <c r="T45" s="115">
        <v>43171</v>
      </c>
      <c r="U45" s="115">
        <v>43327</v>
      </c>
      <c r="V45" s="116">
        <v>43328</v>
      </c>
      <c r="W45" s="55">
        <v>907</v>
      </c>
      <c r="X45" s="118" t="s">
        <v>36</v>
      </c>
      <c r="Y45" s="127">
        <v>89949</v>
      </c>
      <c r="Z45" s="122" t="s">
        <v>37</v>
      </c>
      <c r="AA45" s="128" t="s">
        <v>56</v>
      </c>
    </row>
    <row r="46" hidden="1" spans="1:27">
      <c r="A46" s="54" t="s">
        <v>27</v>
      </c>
      <c r="B46" s="55" t="s">
        <v>222</v>
      </c>
      <c r="C46" s="55" t="s">
        <v>281</v>
      </c>
      <c r="D46" s="55" t="s">
        <v>282</v>
      </c>
      <c r="E46" s="55" t="s">
        <v>283</v>
      </c>
      <c r="F46" s="55" t="s">
        <v>283</v>
      </c>
      <c r="G46" s="55">
        <v>89215</v>
      </c>
      <c r="H46" s="55">
        <v>87060</v>
      </c>
      <c r="I46" s="55">
        <v>3409628</v>
      </c>
      <c r="J46" s="55" t="s">
        <v>32</v>
      </c>
      <c r="K46" s="111" t="s">
        <v>32</v>
      </c>
      <c r="L46" s="55">
        <v>81043</v>
      </c>
      <c r="M46" s="55">
        <v>74054</v>
      </c>
      <c r="N46" s="55" t="s">
        <v>284</v>
      </c>
      <c r="O46" s="55" t="s">
        <v>285</v>
      </c>
      <c r="P46" s="112">
        <v>43934</v>
      </c>
      <c r="Q46" s="55" t="s">
        <v>286</v>
      </c>
      <c r="R46" s="55">
        <v>36129883</v>
      </c>
      <c r="S46" s="55">
        <v>27361298832</v>
      </c>
      <c r="T46" s="115">
        <v>43668</v>
      </c>
      <c r="U46" s="115">
        <v>43669</v>
      </c>
      <c r="V46" s="116">
        <v>43678</v>
      </c>
      <c r="W46" s="55">
        <v>417</v>
      </c>
      <c r="X46" s="118" t="s">
        <v>36</v>
      </c>
      <c r="Y46" s="127">
        <v>89961</v>
      </c>
      <c r="Z46" s="122" t="s">
        <v>37</v>
      </c>
      <c r="AA46" s="128" t="s">
        <v>255</v>
      </c>
    </row>
    <row r="47" hidden="1" spans="1:27">
      <c r="A47" s="54" t="s">
        <v>27</v>
      </c>
      <c r="B47" s="55" t="s">
        <v>222</v>
      </c>
      <c r="C47" s="55" t="s">
        <v>287</v>
      </c>
      <c r="D47" s="55" t="s">
        <v>288</v>
      </c>
      <c r="E47" s="55" t="s">
        <v>51</v>
      </c>
      <c r="F47" s="55" t="s">
        <v>51</v>
      </c>
      <c r="G47" s="109">
        <v>89241</v>
      </c>
      <c r="H47" s="55">
        <v>87306</v>
      </c>
      <c r="I47" s="55">
        <v>1729885</v>
      </c>
      <c r="J47" s="55" t="s">
        <v>77</v>
      </c>
      <c r="K47" s="111" t="s">
        <v>78</v>
      </c>
      <c r="L47" s="55">
        <v>81043</v>
      </c>
      <c r="M47" s="55">
        <v>74054</v>
      </c>
      <c r="N47" s="55" t="s">
        <v>289</v>
      </c>
      <c r="O47" s="55" t="s">
        <v>290</v>
      </c>
      <c r="P47" s="112">
        <v>43915</v>
      </c>
      <c r="Q47" s="55">
        <v>3813545684</v>
      </c>
      <c r="R47" s="55">
        <v>36584345</v>
      </c>
      <c r="S47" s="55">
        <v>27365843452</v>
      </c>
      <c r="T47" s="115">
        <v>43703</v>
      </c>
      <c r="U47" s="115">
        <v>43703</v>
      </c>
      <c r="V47" s="116">
        <v>43713</v>
      </c>
      <c r="W47" s="55">
        <v>383</v>
      </c>
      <c r="X47" s="118" t="s">
        <v>36</v>
      </c>
      <c r="Y47" s="127">
        <v>89950</v>
      </c>
      <c r="Z47" s="122" t="s">
        <v>37</v>
      </c>
      <c r="AA47" s="126" t="s">
        <v>56</v>
      </c>
    </row>
    <row r="48" hidden="1" spans="1:27">
      <c r="A48" s="70" t="s">
        <v>27</v>
      </c>
      <c r="B48" s="71" t="s">
        <v>291</v>
      </c>
      <c r="C48" s="71" t="s">
        <v>292</v>
      </c>
      <c r="D48" s="71" t="s">
        <v>293</v>
      </c>
      <c r="E48" s="71" t="s">
        <v>51</v>
      </c>
      <c r="F48" s="71" t="s">
        <v>51</v>
      </c>
      <c r="G48" s="55">
        <v>648314</v>
      </c>
      <c r="H48" s="55">
        <v>87699</v>
      </c>
      <c r="I48" s="55">
        <v>3526445</v>
      </c>
      <c r="J48" s="55" t="s">
        <v>60</v>
      </c>
      <c r="K48" s="111" t="s">
        <v>43</v>
      </c>
      <c r="L48" s="55">
        <v>79688</v>
      </c>
      <c r="M48" s="55">
        <v>74054</v>
      </c>
      <c r="N48" s="55" t="s">
        <v>294</v>
      </c>
      <c r="O48" s="55" t="s">
        <v>295</v>
      </c>
      <c r="P48" s="112">
        <v>43955</v>
      </c>
      <c r="Q48" s="55" t="s">
        <v>296</v>
      </c>
      <c r="R48" s="55">
        <v>38246090</v>
      </c>
      <c r="S48" s="55">
        <v>20382460902</v>
      </c>
      <c r="T48" s="115">
        <v>43745</v>
      </c>
      <c r="U48" s="115">
        <v>43945</v>
      </c>
      <c r="V48" s="116">
        <v>43956</v>
      </c>
      <c r="W48" s="55">
        <v>342</v>
      </c>
      <c r="X48" s="118" t="s">
        <v>36</v>
      </c>
      <c r="Y48" s="127">
        <v>89996</v>
      </c>
      <c r="Z48" s="122" t="s">
        <v>37</v>
      </c>
      <c r="AA48" s="128" t="s">
        <v>56</v>
      </c>
    </row>
    <row r="49" hidden="1" spans="1:27">
      <c r="A49" s="54" t="s">
        <v>27</v>
      </c>
      <c r="B49" s="55" t="s">
        <v>222</v>
      </c>
      <c r="C49" s="55" t="s">
        <v>297</v>
      </c>
      <c r="D49" s="55" t="s">
        <v>298</v>
      </c>
      <c r="E49" s="55" t="s">
        <v>51</v>
      </c>
      <c r="F49" s="55" t="s">
        <v>51</v>
      </c>
      <c r="G49" s="55">
        <v>89168</v>
      </c>
      <c r="H49" s="55">
        <v>86288</v>
      </c>
      <c r="I49" s="55">
        <v>3133272</v>
      </c>
      <c r="J49" s="55" t="s">
        <v>77</v>
      </c>
      <c r="K49" s="111" t="s">
        <v>78</v>
      </c>
      <c r="L49" s="55">
        <v>81043</v>
      </c>
      <c r="M49" s="55">
        <v>74054</v>
      </c>
      <c r="N49" s="55" t="s">
        <v>299</v>
      </c>
      <c r="O49" s="55" t="s">
        <v>300</v>
      </c>
      <c r="P49" s="112">
        <v>43916</v>
      </c>
      <c r="Q49" s="55" t="s">
        <v>301</v>
      </c>
      <c r="R49" s="55">
        <v>36550805</v>
      </c>
      <c r="S49" s="55">
        <v>20365508055</v>
      </c>
      <c r="T49" s="115">
        <v>43451</v>
      </c>
      <c r="U49" s="115">
        <v>43451</v>
      </c>
      <c r="V49" s="116">
        <v>43467</v>
      </c>
      <c r="W49" s="55">
        <v>632</v>
      </c>
      <c r="X49" s="118" t="s">
        <v>36</v>
      </c>
      <c r="Y49" s="127">
        <v>89951</v>
      </c>
      <c r="Z49" s="122" t="s">
        <v>37</v>
      </c>
      <c r="AA49" s="126" t="s">
        <v>56</v>
      </c>
    </row>
    <row r="50" hidden="1" spans="1:27">
      <c r="A50" s="54" t="s">
        <v>27</v>
      </c>
      <c r="B50" s="55" t="s">
        <v>222</v>
      </c>
      <c r="C50" s="55" t="s">
        <v>302</v>
      </c>
      <c r="D50" s="55" t="s">
        <v>303</v>
      </c>
      <c r="E50" s="55" t="s">
        <v>283</v>
      </c>
      <c r="F50" s="55" t="s">
        <v>283</v>
      </c>
      <c r="G50" s="55">
        <v>89218</v>
      </c>
      <c r="H50" s="55">
        <v>87054</v>
      </c>
      <c r="I50" s="55">
        <v>3409729</v>
      </c>
      <c r="J50" s="55" t="s">
        <v>32</v>
      </c>
      <c r="K50" s="111" t="s">
        <v>32</v>
      </c>
      <c r="L50" s="55">
        <v>81043</v>
      </c>
      <c r="M50" s="55">
        <v>74054</v>
      </c>
      <c r="N50" s="55" t="s">
        <v>304</v>
      </c>
      <c r="O50" s="55" t="s">
        <v>305</v>
      </c>
      <c r="P50" s="112">
        <v>43915</v>
      </c>
      <c r="Q50" s="55" t="s">
        <v>306</v>
      </c>
      <c r="R50" s="55">
        <v>42664926</v>
      </c>
      <c r="S50" s="55">
        <v>27426649263</v>
      </c>
      <c r="T50" s="115">
        <v>43668</v>
      </c>
      <c r="U50" s="115">
        <v>43669</v>
      </c>
      <c r="V50" s="116">
        <v>43678</v>
      </c>
      <c r="W50" s="55">
        <v>417</v>
      </c>
      <c r="X50" s="118" t="s">
        <v>36</v>
      </c>
      <c r="Y50" s="127">
        <v>89981</v>
      </c>
      <c r="Z50" s="122" t="s">
        <v>37</v>
      </c>
      <c r="AA50" s="128" t="s">
        <v>255</v>
      </c>
    </row>
    <row r="51" hidden="1" spans="1:27">
      <c r="A51" s="54" t="s">
        <v>27</v>
      </c>
      <c r="B51" s="55" t="s">
        <v>222</v>
      </c>
      <c r="C51" s="55" t="s">
        <v>307</v>
      </c>
      <c r="D51" s="55" t="s">
        <v>308</v>
      </c>
      <c r="E51" s="55" t="s">
        <v>51</v>
      </c>
      <c r="F51" s="55" t="s">
        <v>51</v>
      </c>
      <c r="G51" s="109">
        <v>89246</v>
      </c>
      <c r="H51" s="55">
        <v>87302</v>
      </c>
      <c r="I51" s="55">
        <v>3462494</v>
      </c>
      <c r="J51" s="55" t="s">
        <v>32</v>
      </c>
      <c r="K51" s="111" t="s">
        <v>32</v>
      </c>
      <c r="L51" s="55">
        <v>81043</v>
      </c>
      <c r="M51" s="55">
        <v>74054</v>
      </c>
      <c r="N51" s="55" t="s">
        <v>309</v>
      </c>
      <c r="O51" s="55" t="s">
        <v>310</v>
      </c>
      <c r="P51" s="112">
        <v>43912</v>
      </c>
      <c r="Q51" s="55">
        <v>3815494273</v>
      </c>
      <c r="R51" s="55">
        <v>40697438</v>
      </c>
      <c r="S51" s="55" t="s">
        <v>311</v>
      </c>
      <c r="T51" s="115">
        <v>43703</v>
      </c>
      <c r="U51" s="115">
        <v>43703</v>
      </c>
      <c r="V51" s="116">
        <v>43713</v>
      </c>
      <c r="W51" s="55">
        <v>383</v>
      </c>
      <c r="X51" s="118" t="s">
        <v>36</v>
      </c>
      <c r="Y51" s="127">
        <v>89764</v>
      </c>
      <c r="Z51" s="122" t="s">
        <v>37</v>
      </c>
      <c r="AA51" s="128" t="s">
        <v>56</v>
      </c>
    </row>
    <row r="52" hidden="1" spans="1:27">
      <c r="A52" s="52" t="s">
        <v>27</v>
      </c>
      <c r="B52" s="53" t="s">
        <v>312</v>
      </c>
      <c r="C52" s="53" t="s">
        <v>313</v>
      </c>
      <c r="D52" s="53" t="s">
        <v>314</v>
      </c>
      <c r="E52" s="53" t="s">
        <v>51</v>
      </c>
      <c r="F52" s="53" t="s">
        <v>51</v>
      </c>
      <c r="G52" s="53">
        <v>648384</v>
      </c>
      <c r="H52" s="53">
        <v>86201</v>
      </c>
      <c r="I52" s="53">
        <v>3120478</v>
      </c>
      <c r="J52" s="53" t="s">
        <v>43</v>
      </c>
      <c r="K52" s="53" t="s">
        <v>43</v>
      </c>
      <c r="L52" s="53">
        <v>85154</v>
      </c>
      <c r="M52" s="53">
        <v>74054</v>
      </c>
      <c r="N52" s="53" t="s">
        <v>315</v>
      </c>
      <c r="O52" s="53" t="s">
        <v>316</v>
      </c>
      <c r="P52" s="113">
        <v>43969</v>
      </c>
      <c r="Q52" s="53" t="s">
        <v>317</v>
      </c>
      <c r="R52" s="53">
        <v>42007271</v>
      </c>
      <c r="S52" s="53">
        <v>27420072711</v>
      </c>
      <c r="T52" s="58">
        <v>43437</v>
      </c>
      <c r="U52" s="58">
        <v>43962</v>
      </c>
      <c r="V52" s="59">
        <v>43969</v>
      </c>
      <c r="W52" s="53">
        <v>646</v>
      </c>
      <c r="X52" s="119" t="s">
        <v>36</v>
      </c>
      <c r="Y52" s="124">
        <v>648326</v>
      </c>
      <c r="Z52" s="125" t="s">
        <v>37</v>
      </c>
      <c r="AA52" s="126" t="s">
        <v>56</v>
      </c>
    </row>
    <row r="53" hidden="1" spans="1:27">
      <c r="A53" s="52" t="s">
        <v>27</v>
      </c>
      <c r="B53" s="53" t="s">
        <v>312</v>
      </c>
      <c r="C53" s="53" t="s">
        <v>318</v>
      </c>
      <c r="D53" s="53" t="s">
        <v>319</v>
      </c>
      <c r="E53" s="53" t="s">
        <v>51</v>
      </c>
      <c r="F53" s="53" t="s">
        <v>51</v>
      </c>
      <c r="G53" s="53">
        <v>648392</v>
      </c>
      <c r="H53" s="53">
        <v>86212</v>
      </c>
      <c r="I53" s="53">
        <v>3119977</v>
      </c>
      <c r="J53" s="53" t="s">
        <v>42</v>
      </c>
      <c r="K53" s="53" t="s">
        <v>43</v>
      </c>
      <c r="L53" s="53">
        <v>85154</v>
      </c>
      <c r="M53" s="53">
        <v>74054</v>
      </c>
      <c r="N53" s="53" t="s">
        <v>320</v>
      </c>
      <c r="O53" s="53" t="s">
        <v>321</v>
      </c>
      <c r="P53" s="113">
        <v>43969</v>
      </c>
      <c r="Q53" s="53" t="s">
        <v>322</v>
      </c>
      <c r="R53" s="53">
        <v>36839830</v>
      </c>
      <c r="S53" s="53">
        <v>20368398307</v>
      </c>
      <c r="T53" s="58">
        <v>43437</v>
      </c>
      <c r="U53" s="58">
        <v>43962</v>
      </c>
      <c r="V53" s="59">
        <v>43969</v>
      </c>
      <c r="W53" s="53">
        <v>646</v>
      </c>
      <c r="X53" s="119" t="s">
        <v>36</v>
      </c>
      <c r="Y53" s="124">
        <v>648331</v>
      </c>
      <c r="Z53" s="125" t="s">
        <v>37</v>
      </c>
      <c r="AA53" s="126" t="s">
        <v>56</v>
      </c>
    </row>
    <row r="54" hidden="1" spans="1:27">
      <c r="A54" s="52" t="s">
        <v>27</v>
      </c>
      <c r="B54" s="53" t="s">
        <v>312</v>
      </c>
      <c r="C54" s="53" t="s">
        <v>323</v>
      </c>
      <c r="D54" s="53" t="s">
        <v>324</v>
      </c>
      <c r="E54" s="53" t="s">
        <v>51</v>
      </c>
      <c r="F54" s="53" t="s">
        <v>51</v>
      </c>
      <c r="G54" s="53">
        <v>648378</v>
      </c>
      <c r="H54" s="53">
        <v>86585</v>
      </c>
      <c r="I54" s="53">
        <v>3290393</v>
      </c>
      <c r="J54" s="53" t="s">
        <v>43</v>
      </c>
      <c r="K54" s="53" t="s">
        <v>43</v>
      </c>
      <c r="L54" s="53">
        <v>85154</v>
      </c>
      <c r="M54" s="53">
        <v>74054</v>
      </c>
      <c r="N54" s="53" t="s">
        <v>325</v>
      </c>
      <c r="O54" s="53" t="s">
        <v>326</v>
      </c>
      <c r="P54" s="113">
        <v>43969</v>
      </c>
      <c r="Q54" s="53">
        <v>3816761743</v>
      </c>
      <c r="R54" s="53">
        <v>37457894</v>
      </c>
      <c r="S54" s="53">
        <v>20374578945</v>
      </c>
      <c r="T54" s="58">
        <v>43594</v>
      </c>
      <c r="U54" s="58">
        <v>43962</v>
      </c>
      <c r="V54" s="59">
        <v>43969</v>
      </c>
      <c r="W54" s="53">
        <v>490</v>
      </c>
      <c r="X54" s="119" t="s">
        <v>36</v>
      </c>
      <c r="Y54" s="124">
        <v>648321</v>
      </c>
      <c r="Z54" s="125" t="s">
        <v>37</v>
      </c>
      <c r="AA54" s="126" t="s">
        <v>56</v>
      </c>
    </row>
    <row r="55" hidden="1" spans="1:27">
      <c r="A55" s="52" t="s">
        <v>27</v>
      </c>
      <c r="B55" s="53" t="s">
        <v>312</v>
      </c>
      <c r="C55" s="53" t="s">
        <v>327</v>
      </c>
      <c r="D55" s="53" t="s">
        <v>328</v>
      </c>
      <c r="E55" s="53" t="s">
        <v>329</v>
      </c>
      <c r="F55" s="53" t="s">
        <v>329</v>
      </c>
      <c r="G55" s="53">
        <v>648379</v>
      </c>
      <c r="H55" s="53">
        <v>64114</v>
      </c>
      <c r="I55" s="53">
        <v>433384</v>
      </c>
      <c r="J55" s="53" t="s">
        <v>43</v>
      </c>
      <c r="K55" s="53" t="s">
        <v>43</v>
      </c>
      <c r="L55" s="53">
        <v>85154</v>
      </c>
      <c r="M55" s="53">
        <v>74054</v>
      </c>
      <c r="N55" s="53" t="s">
        <v>330</v>
      </c>
      <c r="O55" s="53" t="s">
        <v>331</v>
      </c>
      <c r="P55" s="113">
        <v>43969</v>
      </c>
      <c r="Q55" s="53">
        <v>3814360935</v>
      </c>
      <c r="R55" s="53">
        <v>22989370</v>
      </c>
      <c r="S55" s="53">
        <v>27229893705</v>
      </c>
      <c r="T55" s="58">
        <v>39937</v>
      </c>
      <c r="U55" s="58">
        <v>43962</v>
      </c>
      <c r="V55" s="59">
        <v>43969</v>
      </c>
      <c r="W55" s="53">
        <v>4095</v>
      </c>
      <c r="X55" s="119" t="s">
        <v>36</v>
      </c>
      <c r="Y55" s="124">
        <v>648322</v>
      </c>
      <c r="Z55" s="125" t="s">
        <v>37</v>
      </c>
      <c r="AA55" s="126" t="s">
        <v>332</v>
      </c>
    </row>
    <row r="56" hidden="1" spans="1:27">
      <c r="A56" s="52" t="s">
        <v>27</v>
      </c>
      <c r="B56" s="53" t="s">
        <v>312</v>
      </c>
      <c r="C56" s="53" t="s">
        <v>333</v>
      </c>
      <c r="D56" s="53" t="s">
        <v>334</v>
      </c>
      <c r="E56" s="53" t="s">
        <v>51</v>
      </c>
      <c r="F56" s="53" t="s">
        <v>51</v>
      </c>
      <c r="G56" s="53">
        <v>648381</v>
      </c>
      <c r="H56" s="53">
        <v>82194</v>
      </c>
      <c r="I56" s="53">
        <v>2178609</v>
      </c>
      <c r="J56" s="53" t="s">
        <v>43</v>
      </c>
      <c r="K56" s="53" t="s">
        <v>43</v>
      </c>
      <c r="L56" s="53">
        <v>85154</v>
      </c>
      <c r="M56" s="53">
        <v>74054</v>
      </c>
      <c r="N56" s="53" t="s">
        <v>335</v>
      </c>
      <c r="O56" s="53" t="s">
        <v>336</v>
      </c>
      <c r="P56" s="113">
        <v>43969</v>
      </c>
      <c r="Q56" s="53" t="s">
        <v>337</v>
      </c>
      <c r="R56" s="53">
        <v>36584697</v>
      </c>
      <c r="S56" s="53">
        <v>27365846974</v>
      </c>
      <c r="T56" s="58">
        <v>42580</v>
      </c>
      <c r="U56" s="58">
        <v>43962</v>
      </c>
      <c r="V56" s="59">
        <v>43969</v>
      </c>
      <c r="W56" s="53">
        <v>1490</v>
      </c>
      <c r="X56" s="119" t="s">
        <v>36</v>
      </c>
      <c r="Y56" s="124">
        <v>648324</v>
      </c>
      <c r="Z56" s="125" t="s">
        <v>37</v>
      </c>
      <c r="AA56" s="126" t="s">
        <v>56</v>
      </c>
    </row>
    <row r="57" hidden="1" spans="1:27">
      <c r="A57" s="52" t="s">
        <v>27</v>
      </c>
      <c r="B57" s="53" t="s">
        <v>312</v>
      </c>
      <c r="C57" s="53" t="s">
        <v>338</v>
      </c>
      <c r="D57" s="53" t="s">
        <v>339</v>
      </c>
      <c r="E57" s="53" t="s">
        <v>31</v>
      </c>
      <c r="F57" s="53" t="s">
        <v>31</v>
      </c>
      <c r="G57" s="53">
        <v>648382</v>
      </c>
      <c r="H57" s="53">
        <v>87912</v>
      </c>
      <c r="I57" s="53">
        <v>3526348</v>
      </c>
      <c r="J57" s="53" t="s">
        <v>43</v>
      </c>
      <c r="K57" s="53" t="s">
        <v>43</v>
      </c>
      <c r="L57" s="53">
        <v>85154</v>
      </c>
      <c r="M57" s="53">
        <v>74054</v>
      </c>
      <c r="N57" s="53" t="s">
        <v>340</v>
      </c>
      <c r="O57" s="53" t="s">
        <v>341</v>
      </c>
      <c r="P57" s="113">
        <v>43969</v>
      </c>
      <c r="Q57" s="53" t="s">
        <v>342</v>
      </c>
      <c r="R57" s="53">
        <v>37310000</v>
      </c>
      <c r="S57" s="53">
        <v>20373100006</v>
      </c>
      <c r="T57" s="58">
        <v>43745</v>
      </c>
      <c r="U57" s="58">
        <v>43962</v>
      </c>
      <c r="V57" s="59">
        <v>43969</v>
      </c>
      <c r="W57" s="53">
        <v>342</v>
      </c>
      <c r="X57" s="119" t="s">
        <v>36</v>
      </c>
      <c r="Y57" s="124">
        <v>648325</v>
      </c>
      <c r="Z57" s="125" t="s">
        <v>37</v>
      </c>
      <c r="AA57" s="126" t="s">
        <v>38</v>
      </c>
    </row>
    <row r="58" hidden="1" spans="1:27">
      <c r="A58" s="54" t="s">
        <v>27</v>
      </c>
      <c r="B58" s="55" t="s">
        <v>312</v>
      </c>
      <c r="C58" s="55" t="s">
        <v>343</v>
      </c>
      <c r="D58" s="55" t="s">
        <v>344</v>
      </c>
      <c r="E58" s="55" t="s">
        <v>51</v>
      </c>
      <c r="F58" s="55" t="s">
        <v>51</v>
      </c>
      <c r="G58" s="55">
        <v>648310</v>
      </c>
      <c r="H58" s="55">
        <v>87705</v>
      </c>
      <c r="I58" s="55">
        <v>3526463</v>
      </c>
      <c r="J58" s="55" t="s">
        <v>52</v>
      </c>
      <c r="K58" s="111" t="s">
        <v>43</v>
      </c>
      <c r="L58" s="55">
        <v>85154</v>
      </c>
      <c r="M58" s="55">
        <v>74054</v>
      </c>
      <c r="N58" s="55" t="s">
        <v>345</v>
      </c>
      <c r="O58" s="55" t="s">
        <v>346</v>
      </c>
      <c r="P58" s="112">
        <v>43955</v>
      </c>
      <c r="Q58" s="55" t="s">
        <v>347</v>
      </c>
      <c r="R58" s="55">
        <v>39141069</v>
      </c>
      <c r="S58" s="55">
        <v>27391410696</v>
      </c>
      <c r="T58" s="115">
        <v>43745</v>
      </c>
      <c r="U58" s="115">
        <v>43945</v>
      </c>
      <c r="V58" s="116">
        <v>43956</v>
      </c>
      <c r="W58" s="55">
        <v>342</v>
      </c>
      <c r="X58" s="118" t="s">
        <v>36</v>
      </c>
      <c r="Y58" s="127">
        <v>89983</v>
      </c>
      <c r="Z58" s="122" t="s">
        <v>37</v>
      </c>
      <c r="AA58" s="128" t="s">
        <v>56</v>
      </c>
    </row>
    <row r="59" hidden="1" spans="1:27">
      <c r="A59" s="70" t="s">
        <v>27</v>
      </c>
      <c r="B59" s="71" t="s">
        <v>291</v>
      </c>
      <c r="C59" s="71" t="s">
        <v>348</v>
      </c>
      <c r="D59" s="71" t="s">
        <v>349</v>
      </c>
      <c r="E59" s="71" t="s">
        <v>51</v>
      </c>
      <c r="F59" s="71" t="s">
        <v>51</v>
      </c>
      <c r="G59" s="109">
        <v>89239</v>
      </c>
      <c r="H59" s="55">
        <v>87297</v>
      </c>
      <c r="I59" s="55">
        <v>1294127</v>
      </c>
      <c r="J59" s="55" t="s">
        <v>42</v>
      </c>
      <c r="K59" s="111" t="s">
        <v>43</v>
      </c>
      <c r="L59" s="55">
        <v>79688</v>
      </c>
      <c r="M59" s="55">
        <v>74054</v>
      </c>
      <c r="N59" s="55" t="s">
        <v>350</v>
      </c>
      <c r="O59" s="55" t="s">
        <v>351</v>
      </c>
      <c r="P59" s="112">
        <v>43945</v>
      </c>
      <c r="Q59" s="55">
        <v>3814152698</v>
      </c>
      <c r="R59" s="55">
        <v>34953742</v>
      </c>
      <c r="S59" s="55">
        <v>27349537422</v>
      </c>
      <c r="T59" s="115">
        <v>43703</v>
      </c>
      <c r="U59" s="115">
        <v>43703</v>
      </c>
      <c r="V59" s="116">
        <v>43713</v>
      </c>
      <c r="W59" s="55">
        <v>383</v>
      </c>
      <c r="X59" s="118" t="s">
        <v>36</v>
      </c>
      <c r="Y59" s="127">
        <v>89880</v>
      </c>
      <c r="Z59" s="122" t="s">
        <v>37</v>
      </c>
      <c r="AA59" s="128" t="s">
        <v>56</v>
      </c>
    </row>
    <row r="60" hidden="1" spans="1:27">
      <c r="A60" s="52" t="s">
        <v>27</v>
      </c>
      <c r="B60" s="53" t="s">
        <v>312</v>
      </c>
      <c r="C60" s="53" t="s">
        <v>352</v>
      </c>
      <c r="D60" s="53" t="s">
        <v>353</v>
      </c>
      <c r="E60" s="53" t="s">
        <v>51</v>
      </c>
      <c r="F60" s="53" t="s">
        <v>51</v>
      </c>
      <c r="G60" s="53">
        <v>648390</v>
      </c>
      <c r="H60" s="53">
        <v>83918</v>
      </c>
      <c r="I60" s="53">
        <v>2657804</v>
      </c>
      <c r="J60" s="53" t="s">
        <v>43</v>
      </c>
      <c r="K60" s="53" t="s">
        <v>43</v>
      </c>
      <c r="L60" s="53">
        <v>85154</v>
      </c>
      <c r="M60" s="53">
        <v>74054</v>
      </c>
      <c r="N60" s="53" t="s">
        <v>354</v>
      </c>
      <c r="O60" s="53" t="s">
        <v>355</v>
      </c>
      <c r="P60" s="113">
        <v>43969</v>
      </c>
      <c r="Q60" s="53" t="s">
        <v>356</v>
      </c>
      <c r="R60" s="53">
        <v>39481787</v>
      </c>
      <c r="S60" s="53">
        <v>20394817873</v>
      </c>
      <c r="T60" s="58">
        <v>43010</v>
      </c>
      <c r="U60" s="58">
        <v>43962</v>
      </c>
      <c r="V60" s="59">
        <v>43969</v>
      </c>
      <c r="W60" s="53">
        <v>1067</v>
      </c>
      <c r="X60" s="119" t="s">
        <v>36</v>
      </c>
      <c r="Y60" s="124">
        <v>648330</v>
      </c>
      <c r="Z60" s="125" t="s">
        <v>37</v>
      </c>
      <c r="AA60" s="126" t="s">
        <v>56</v>
      </c>
    </row>
    <row r="61" hidden="1" spans="1:27">
      <c r="A61" s="52" t="s">
        <v>27</v>
      </c>
      <c r="B61" s="53" t="s">
        <v>312</v>
      </c>
      <c r="C61" s="53" t="s">
        <v>357</v>
      </c>
      <c r="D61" s="53" t="s">
        <v>358</v>
      </c>
      <c r="E61" s="53" t="s">
        <v>359</v>
      </c>
      <c r="F61" s="53" t="s">
        <v>359</v>
      </c>
      <c r="G61" s="53">
        <v>648385</v>
      </c>
      <c r="H61" s="53">
        <v>81571</v>
      </c>
      <c r="I61" s="53">
        <v>1988450</v>
      </c>
      <c r="J61" s="53" t="s">
        <v>42</v>
      </c>
      <c r="K61" s="53" t="s">
        <v>43</v>
      </c>
      <c r="L61" s="53">
        <v>85154</v>
      </c>
      <c r="M61" s="53">
        <v>74054</v>
      </c>
      <c r="N61" s="53" t="s">
        <v>360</v>
      </c>
      <c r="O61" s="53" t="s">
        <v>361</v>
      </c>
      <c r="P61" s="113">
        <v>43969</v>
      </c>
      <c r="Q61" s="53" t="s">
        <v>362</v>
      </c>
      <c r="R61" s="53">
        <v>34764648</v>
      </c>
      <c r="S61" s="53">
        <v>27347646488</v>
      </c>
      <c r="T61" s="58">
        <v>42429</v>
      </c>
      <c r="U61" s="58">
        <v>43962</v>
      </c>
      <c r="V61" s="59">
        <v>43969</v>
      </c>
      <c r="W61" s="53">
        <v>1639</v>
      </c>
      <c r="X61" s="119" t="s">
        <v>36</v>
      </c>
      <c r="Y61" s="124">
        <v>648337</v>
      </c>
      <c r="Z61" s="125" t="s">
        <v>37</v>
      </c>
      <c r="AA61" s="126" t="s">
        <v>255</v>
      </c>
    </row>
    <row r="62" hidden="1" spans="1:27">
      <c r="A62" s="52" t="s">
        <v>27</v>
      </c>
      <c r="B62" s="53" t="s">
        <v>312</v>
      </c>
      <c r="C62" s="53" t="s">
        <v>363</v>
      </c>
      <c r="D62" s="53" t="s">
        <v>364</v>
      </c>
      <c r="E62" s="53" t="s">
        <v>51</v>
      </c>
      <c r="F62" s="53" t="s">
        <v>51</v>
      </c>
      <c r="G62" s="53">
        <v>648386</v>
      </c>
      <c r="H62" s="53">
        <v>86032</v>
      </c>
      <c r="I62" s="53">
        <v>3116938</v>
      </c>
      <c r="J62" s="53" t="s">
        <v>43</v>
      </c>
      <c r="K62" s="53" t="s">
        <v>43</v>
      </c>
      <c r="L62" s="53">
        <v>85154</v>
      </c>
      <c r="M62" s="53">
        <v>74054</v>
      </c>
      <c r="N62" s="53" t="s">
        <v>365</v>
      </c>
      <c r="O62" s="53" t="s">
        <v>366</v>
      </c>
      <c r="P62" s="113">
        <v>43969</v>
      </c>
      <c r="Q62" s="53" t="s">
        <v>367</v>
      </c>
      <c r="R62" s="53">
        <v>39572913</v>
      </c>
      <c r="S62" s="53">
        <v>27395729131</v>
      </c>
      <c r="T62" s="58">
        <v>43437</v>
      </c>
      <c r="U62" s="58">
        <v>43962</v>
      </c>
      <c r="V62" s="59">
        <v>43969</v>
      </c>
      <c r="W62" s="53">
        <v>646</v>
      </c>
      <c r="X62" s="119" t="s">
        <v>36</v>
      </c>
      <c r="Y62" s="124">
        <v>648327</v>
      </c>
      <c r="Z62" s="125" t="s">
        <v>37</v>
      </c>
      <c r="AA62" s="126" t="s">
        <v>56</v>
      </c>
    </row>
    <row r="63" hidden="1" spans="1:27">
      <c r="A63" s="52" t="s">
        <v>27</v>
      </c>
      <c r="B63" s="53" t="s">
        <v>312</v>
      </c>
      <c r="C63" s="53" t="s">
        <v>368</v>
      </c>
      <c r="D63" s="53" t="s">
        <v>369</v>
      </c>
      <c r="E63" s="53" t="s">
        <v>51</v>
      </c>
      <c r="F63" s="53" t="s">
        <v>51</v>
      </c>
      <c r="G63" s="53">
        <v>648352</v>
      </c>
      <c r="H63" s="53">
        <v>80131</v>
      </c>
      <c r="I63" s="53">
        <v>1567502</v>
      </c>
      <c r="J63" s="53" t="s">
        <v>43</v>
      </c>
      <c r="K63" s="53" t="s">
        <v>43</v>
      </c>
      <c r="L63" s="53">
        <v>85154</v>
      </c>
      <c r="M63" s="53">
        <v>74054</v>
      </c>
      <c r="N63" s="53" t="s">
        <v>370</v>
      </c>
      <c r="O63" s="53" t="s">
        <v>371</v>
      </c>
      <c r="P63" s="113">
        <v>43969</v>
      </c>
      <c r="Q63" s="53" t="s">
        <v>372</v>
      </c>
      <c r="R63" s="53">
        <v>38509359</v>
      </c>
      <c r="S63" s="53">
        <v>20385093595</v>
      </c>
      <c r="T63" s="58">
        <v>42037</v>
      </c>
      <c r="U63" s="58">
        <v>43962</v>
      </c>
      <c r="V63" s="59">
        <v>43969</v>
      </c>
      <c r="W63" s="53">
        <v>2027</v>
      </c>
      <c r="X63" s="119" t="s">
        <v>36</v>
      </c>
      <c r="Y63" s="124">
        <v>89982</v>
      </c>
      <c r="Z63" s="125" t="s">
        <v>37</v>
      </c>
      <c r="AA63" s="126" t="s">
        <v>56</v>
      </c>
    </row>
    <row r="64" hidden="1" spans="1:27">
      <c r="A64" s="54" t="s">
        <v>27</v>
      </c>
      <c r="B64" s="55" t="s">
        <v>312</v>
      </c>
      <c r="C64" s="55" t="s">
        <v>373</v>
      </c>
      <c r="D64" s="55" t="s">
        <v>374</v>
      </c>
      <c r="E64" s="55" t="s">
        <v>51</v>
      </c>
      <c r="F64" s="55" t="s">
        <v>51</v>
      </c>
      <c r="G64" s="55">
        <v>648311</v>
      </c>
      <c r="H64" s="55">
        <v>87722</v>
      </c>
      <c r="I64" s="55">
        <v>3526400</v>
      </c>
      <c r="J64" s="55" t="s">
        <v>60</v>
      </c>
      <c r="K64" s="111" t="s">
        <v>43</v>
      </c>
      <c r="L64" s="55">
        <v>85154</v>
      </c>
      <c r="M64" s="55">
        <v>74054</v>
      </c>
      <c r="N64" s="55" t="s">
        <v>375</v>
      </c>
      <c r="O64" s="55" t="s">
        <v>376</v>
      </c>
      <c r="P64" s="112">
        <v>43955</v>
      </c>
      <c r="Q64" s="55" t="s">
        <v>377</v>
      </c>
      <c r="R64" s="55">
        <v>33882372</v>
      </c>
      <c r="S64" s="55">
        <v>20338823720</v>
      </c>
      <c r="T64" s="115">
        <v>43745</v>
      </c>
      <c r="U64" s="115">
        <v>43945</v>
      </c>
      <c r="V64" s="116">
        <v>43956</v>
      </c>
      <c r="W64" s="55">
        <v>342</v>
      </c>
      <c r="X64" s="118" t="s">
        <v>36</v>
      </c>
      <c r="Y64" s="127">
        <v>89994</v>
      </c>
      <c r="Z64" s="122" t="s">
        <v>37</v>
      </c>
      <c r="AA64" s="128" t="s">
        <v>56</v>
      </c>
    </row>
    <row r="65" hidden="1" spans="1:27">
      <c r="A65" s="70" t="s">
        <v>27</v>
      </c>
      <c r="B65" s="71" t="s">
        <v>291</v>
      </c>
      <c r="C65" s="71" t="s">
        <v>378</v>
      </c>
      <c r="D65" s="71" t="s">
        <v>379</v>
      </c>
      <c r="E65" s="71" t="s">
        <v>283</v>
      </c>
      <c r="F65" s="71" t="s">
        <v>283</v>
      </c>
      <c r="G65" s="55">
        <v>89214</v>
      </c>
      <c r="H65" s="55">
        <v>87056</v>
      </c>
      <c r="I65" s="55">
        <v>3409650</v>
      </c>
      <c r="J65" s="55" t="s">
        <v>42</v>
      </c>
      <c r="K65" s="111" t="s">
        <v>43</v>
      </c>
      <c r="L65" s="55">
        <v>79688</v>
      </c>
      <c r="M65" s="55">
        <v>74054</v>
      </c>
      <c r="N65" s="55" t="s">
        <v>380</v>
      </c>
      <c r="O65" s="55" t="s">
        <v>381</v>
      </c>
      <c r="P65" s="112">
        <v>43915</v>
      </c>
      <c r="Q65" s="55" t="s">
        <v>382</v>
      </c>
      <c r="R65" s="55">
        <v>42523139</v>
      </c>
      <c r="S65" s="55">
        <v>27425231397</v>
      </c>
      <c r="T65" s="115">
        <v>43668</v>
      </c>
      <c r="U65" s="115">
        <v>43669</v>
      </c>
      <c r="V65" s="116">
        <v>43678</v>
      </c>
      <c r="W65" s="55">
        <v>417</v>
      </c>
      <c r="X65" s="118" t="s">
        <v>36</v>
      </c>
      <c r="Y65" s="127">
        <v>89975</v>
      </c>
      <c r="Z65" s="122" t="s">
        <v>37</v>
      </c>
      <c r="AA65" s="128" t="s">
        <v>255</v>
      </c>
    </row>
    <row r="66" hidden="1" spans="1:27">
      <c r="A66" s="54" t="s">
        <v>27</v>
      </c>
      <c r="B66" s="55" t="s">
        <v>312</v>
      </c>
      <c r="C66" s="55" t="s">
        <v>383</v>
      </c>
      <c r="D66" s="55" t="s">
        <v>384</v>
      </c>
      <c r="E66" s="55" t="s">
        <v>51</v>
      </c>
      <c r="F66" s="55" t="s">
        <v>51</v>
      </c>
      <c r="G66" s="55">
        <v>648312</v>
      </c>
      <c r="H66" s="55">
        <v>87701</v>
      </c>
      <c r="I66" s="55">
        <v>2000078</v>
      </c>
      <c r="J66" s="55" t="s">
        <v>60</v>
      </c>
      <c r="K66" s="111" t="s">
        <v>43</v>
      </c>
      <c r="L66" s="55">
        <v>85154</v>
      </c>
      <c r="M66" s="55">
        <v>74054</v>
      </c>
      <c r="N66" s="55" t="s">
        <v>385</v>
      </c>
      <c r="O66" s="55" t="s">
        <v>386</v>
      </c>
      <c r="P66" s="112">
        <v>43955</v>
      </c>
      <c r="Q66" s="55" t="s">
        <v>387</v>
      </c>
      <c r="R66" s="55">
        <v>36281639</v>
      </c>
      <c r="S66" s="55">
        <v>20362816395</v>
      </c>
      <c r="T66" s="115">
        <v>43745</v>
      </c>
      <c r="U66" s="115">
        <v>43945</v>
      </c>
      <c r="V66" s="116">
        <v>43956</v>
      </c>
      <c r="W66" s="55">
        <v>342</v>
      </c>
      <c r="X66" s="118" t="s">
        <v>36</v>
      </c>
      <c r="Y66" s="127">
        <v>89993</v>
      </c>
      <c r="Z66" s="122" t="s">
        <v>37</v>
      </c>
      <c r="AA66" s="128" t="s">
        <v>56</v>
      </c>
    </row>
    <row r="67" hidden="1" spans="1:27">
      <c r="A67" s="52" t="s">
        <v>27</v>
      </c>
      <c r="B67" s="53" t="s">
        <v>312</v>
      </c>
      <c r="C67" s="53" t="s">
        <v>388</v>
      </c>
      <c r="D67" s="53" t="s">
        <v>389</v>
      </c>
      <c r="E67" s="53" t="s">
        <v>51</v>
      </c>
      <c r="F67" s="53" t="s">
        <v>51</v>
      </c>
      <c r="G67" s="53">
        <v>648361</v>
      </c>
      <c r="H67" s="53">
        <v>85995</v>
      </c>
      <c r="I67" s="53">
        <v>3116792</v>
      </c>
      <c r="J67" s="53" t="s">
        <v>42</v>
      </c>
      <c r="K67" s="53" t="s">
        <v>43</v>
      </c>
      <c r="L67" s="53">
        <v>85154</v>
      </c>
      <c r="M67" s="53">
        <v>74054</v>
      </c>
      <c r="N67" s="53" t="s">
        <v>390</v>
      </c>
      <c r="O67" s="53" t="s">
        <v>391</v>
      </c>
      <c r="P67" s="113">
        <v>43969</v>
      </c>
      <c r="Q67" s="53" t="s">
        <v>392</v>
      </c>
      <c r="R67" s="53">
        <v>42467181</v>
      </c>
      <c r="S67" s="53">
        <v>23424671819</v>
      </c>
      <c r="T67" s="58">
        <v>43437</v>
      </c>
      <c r="U67" s="58">
        <v>43962</v>
      </c>
      <c r="V67" s="59">
        <v>43969</v>
      </c>
      <c r="W67" s="53">
        <v>646</v>
      </c>
      <c r="X67" s="119" t="s">
        <v>36</v>
      </c>
      <c r="Y67" s="124">
        <v>648334</v>
      </c>
      <c r="Z67" s="125" t="s">
        <v>37</v>
      </c>
      <c r="AA67" s="126" t="s">
        <v>56</v>
      </c>
    </row>
    <row r="68" hidden="1" spans="1:27">
      <c r="A68" s="52" t="s">
        <v>27</v>
      </c>
      <c r="B68" s="53" t="s">
        <v>312</v>
      </c>
      <c r="C68" s="53" t="s">
        <v>393</v>
      </c>
      <c r="D68" s="53" t="s">
        <v>394</v>
      </c>
      <c r="E68" s="53" t="s">
        <v>283</v>
      </c>
      <c r="F68" s="53" t="s">
        <v>283</v>
      </c>
      <c r="G68" s="53">
        <v>648383</v>
      </c>
      <c r="H68" s="53">
        <v>86015</v>
      </c>
      <c r="I68" s="53">
        <v>2765889</v>
      </c>
      <c r="J68" s="53" t="s">
        <v>42</v>
      </c>
      <c r="K68" s="53" t="s">
        <v>43</v>
      </c>
      <c r="L68" s="53">
        <v>85154</v>
      </c>
      <c r="M68" s="53">
        <v>74054</v>
      </c>
      <c r="N68" s="53" t="s">
        <v>395</v>
      </c>
      <c r="O68" s="53" t="s">
        <v>396</v>
      </c>
      <c r="P68" s="113">
        <v>43969</v>
      </c>
      <c r="Q68" s="53" t="s">
        <v>397</v>
      </c>
      <c r="R68" s="53">
        <v>40215879</v>
      </c>
      <c r="S68" s="53">
        <v>20402158795</v>
      </c>
      <c r="T68" s="58">
        <v>43437</v>
      </c>
      <c r="U68" s="58">
        <v>43962</v>
      </c>
      <c r="V68" s="59">
        <v>43969</v>
      </c>
      <c r="W68" s="53">
        <v>646</v>
      </c>
      <c r="X68" s="119" t="s">
        <v>36</v>
      </c>
      <c r="Y68" s="124">
        <v>648336</v>
      </c>
      <c r="Z68" s="125" t="s">
        <v>37</v>
      </c>
      <c r="AA68" s="126" t="s">
        <v>255</v>
      </c>
    </row>
    <row r="69" hidden="1" spans="1:27">
      <c r="A69" s="52" t="s">
        <v>27</v>
      </c>
      <c r="B69" s="53" t="s">
        <v>312</v>
      </c>
      <c r="C69" s="53" t="s">
        <v>398</v>
      </c>
      <c r="D69" s="53" t="s">
        <v>399</v>
      </c>
      <c r="E69" s="53" t="s">
        <v>400</v>
      </c>
      <c r="F69" s="53" t="s">
        <v>400</v>
      </c>
      <c r="G69" s="53">
        <v>648387</v>
      </c>
      <c r="H69" s="53">
        <v>83101</v>
      </c>
      <c r="I69" s="53">
        <v>1441889</v>
      </c>
      <c r="J69" s="53" t="s">
        <v>401</v>
      </c>
      <c r="K69" s="53" t="s">
        <v>43</v>
      </c>
      <c r="L69" s="53">
        <v>85154</v>
      </c>
      <c r="M69" s="53">
        <v>74054</v>
      </c>
      <c r="N69" s="53" t="s">
        <v>402</v>
      </c>
      <c r="O69" s="53" t="s">
        <v>403</v>
      </c>
      <c r="P69" s="113">
        <v>43969</v>
      </c>
      <c r="Q69" s="53">
        <v>3816591167</v>
      </c>
      <c r="R69" s="53">
        <v>31100304</v>
      </c>
      <c r="S69" s="53">
        <v>27311003041</v>
      </c>
      <c r="T69" s="58">
        <v>42800</v>
      </c>
      <c r="U69" s="58">
        <v>43962</v>
      </c>
      <c r="V69" s="59">
        <v>43969</v>
      </c>
      <c r="W69" s="53">
        <v>1273</v>
      </c>
      <c r="X69" s="119" t="s">
        <v>36</v>
      </c>
      <c r="Y69" s="124">
        <v>648320</v>
      </c>
      <c r="Z69" s="125" t="s">
        <v>37</v>
      </c>
      <c r="AA69" s="126" t="s">
        <v>404</v>
      </c>
    </row>
    <row r="70" hidden="1" spans="1:27">
      <c r="A70" s="54" t="s">
        <v>27</v>
      </c>
      <c r="B70" s="55" t="s">
        <v>312</v>
      </c>
      <c r="C70" s="55" t="s">
        <v>405</v>
      </c>
      <c r="D70" s="55" t="s">
        <v>406</v>
      </c>
      <c r="E70" s="55" t="s">
        <v>59</v>
      </c>
      <c r="F70" s="55" t="s">
        <v>59</v>
      </c>
      <c r="G70" s="55">
        <v>648235</v>
      </c>
      <c r="H70" s="55">
        <v>85552</v>
      </c>
      <c r="I70" s="55">
        <v>2855603</v>
      </c>
      <c r="J70" s="55" t="s">
        <v>43</v>
      </c>
      <c r="K70" s="111" t="s">
        <v>43</v>
      </c>
      <c r="L70" s="55">
        <v>85154</v>
      </c>
      <c r="M70" s="55">
        <v>74054</v>
      </c>
      <c r="N70" s="55" t="s">
        <v>407</v>
      </c>
      <c r="O70" s="55" t="s">
        <v>408</v>
      </c>
      <c r="P70" s="112">
        <v>43935</v>
      </c>
      <c r="Q70" s="55" t="s">
        <v>409</v>
      </c>
      <c r="R70" s="55">
        <v>45513329</v>
      </c>
      <c r="S70" s="55">
        <v>27455133292</v>
      </c>
      <c r="T70" s="115">
        <v>43209</v>
      </c>
      <c r="U70" s="115">
        <v>43930</v>
      </c>
      <c r="V70" s="116">
        <v>43935</v>
      </c>
      <c r="W70" s="55">
        <v>870</v>
      </c>
      <c r="X70" s="118" t="s">
        <v>36</v>
      </c>
      <c r="Y70" s="127">
        <v>89918</v>
      </c>
      <c r="Z70" s="122" t="s">
        <v>37</v>
      </c>
      <c r="AA70" s="128" t="s">
        <v>404</v>
      </c>
    </row>
    <row r="71" hidden="1" spans="1:27">
      <c r="A71" s="52" t="s">
        <v>27</v>
      </c>
      <c r="B71" s="53" t="s">
        <v>312</v>
      </c>
      <c r="C71" s="53" t="s">
        <v>410</v>
      </c>
      <c r="D71" s="53" t="s">
        <v>411</v>
      </c>
      <c r="E71" s="53" t="s">
        <v>31</v>
      </c>
      <c r="F71" s="53" t="s">
        <v>31</v>
      </c>
      <c r="G71" s="53">
        <v>648061</v>
      </c>
      <c r="H71" s="53">
        <v>88038</v>
      </c>
      <c r="I71" s="53">
        <v>3553114</v>
      </c>
      <c r="J71" s="53" t="s">
        <v>42</v>
      </c>
      <c r="K71" s="53" t="s">
        <v>43</v>
      </c>
      <c r="L71" s="53">
        <v>85154</v>
      </c>
      <c r="M71" s="53">
        <v>74054</v>
      </c>
      <c r="N71" s="53" t="s">
        <v>412</v>
      </c>
      <c r="O71" s="53" t="s">
        <v>413</v>
      </c>
      <c r="P71" s="113">
        <v>43943</v>
      </c>
      <c r="Q71" s="53" t="s">
        <v>414</v>
      </c>
      <c r="R71" s="53">
        <v>31038158</v>
      </c>
      <c r="S71" s="53" t="s">
        <v>415</v>
      </c>
      <c r="T71" s="58">
        <v>43942</v>
      </c>
      <c r="U71" s="58">
        <v>43942</v>
      </c>
      <c r="V71" s="59">
        <v>43943</v>
      </c>
      <c r="W71" s="53">
        <v>148</v>
      </c>
      <c r="X71" s="119" t="s">
        <v>36</v>
      </c>
      <c r="Y71" s="124">
        <v>89882</v>
      </c>
      <c r="Z71" s="125" t="s">
        <v>37</v>
      </c>
      <c r="AA71" s="126" t="s">
        <v>38</v>
      </c>
    </row>
    <row r="72" hidden="1" spans="1:27">
      <c r="A72" s="52" t="s">
        <v>27</v>
      </c>
      <c r="B72" s="53" t="s">
        <v>291</v>
      </c>
      <c r="C72" s="53" t="s">
        <v>416</v>
      </c>
      <c r="D72" s="53" t="s">
        <v>417</v>
      </c>
      <c r="E72" s="53" t="s">
        <v>41</v>
      </c>
      <c r="F72" s="53" t="s">
        <v>41</v>
      </c>
      <c r="G72" s="129">
        <v>89235</v>
      </c>
      <c r="H72" s="53">
        <v>87307</v>
      </c>
      <c r="I72" s="53">
        <v>3462508</v>
      </c>
      <c r="J72" s="53" t="s">
        <v>42</v>
      </c>
      <c r="K72" s="53" t="s">
        <v>43</v>
      </c>
      <c r="L72" s="53">
        <v>79688</v>
      </c>
      <c r="M72" s="53">
        <v>74054</v>
      </c>
      <c r="N72" s="53" t="s">
        <v>418</v>
      </c>
      <c r="O72" s="53" t="s">
        <v>419</v>
      </c>
      <c r="P72" s="113">
        <v>43915</v>
      </c>
      <c r="Q72" s="53" t="s">
        <v>420</v>
      </c>
      <c r="R72" s="53">
        <v>40085899</v>
      </c>
      <c r="S72" s="53">
        <v>27400858999</v>
      </c>
      <c r="T72" s="58">
        <v>43703</v>
      </c>
      <c r="U72" s="58">
        <v>43703</v>
      </c>
      <c r="V72" s="59">
        <v>43713</v>
      </c>
      <c r="W72" s="53">
        <v>383</v>
      </c>
      <c r="X72" s="119" t="s">
        <v>36</v>
      </c>
      <c r="Y72" s="124">
        <v>89954</v>
      </c>
      <c r="Z72" s="125" t="s">
        <v>37</v>
      </c>
      <c r="AA72" s="126" t="s">
        <v>56</v>
      </c>
    </row>
    <row r="73" hidden="1" spans="1:27">
      <c r="A73" s="54" t="s">
        <v>27</v>
      </c>
      <c r="B73" s="55" t="s">
        <v>291</v>
      </c>
      <c r="C73" s="55" t="s">
        <v>421</v>
      </c>
      <c r="D73" s="55" t="s">
        <v>422</v>
      </c>
      <c r="E73" s="55" t="s">
        <v>31</v>
      </c>
      <c r="F73" s="55" t="s">
        <v>31</v>
      </c>
      <c r="G73" s="55">
        <v>648058</v>
      </c>
      <c r="H73" s="55">
        <v>88048</v>
      </c>
      <c r="I73" s="55">
        <v>3553156</v>
      </c>
      <c r="J73" s="55" t="s">
        <v>32</v>
      </c>
      <c r="K73" s="111" t="s">
        <v>32</v>
      </c>
      <c r="L73" s="55">
        <v>79688</v>
      </c>
      <c r="M73" s="55">
        <v>74054</v>
      </c>
      <c r="N73" s="55" t="s">
        <v>423</v>
      </c>
      <c r="O73" s="55" t="s">
        <v>424</v>
      </c>
      <c r="P73" s="112">
        <v>43943</v>
      </c>
      <c r="Q73" s="55" t="s">
        <v>425</v>
      </c>
      <c r="R73" s="55">
        <v>41870420</v>
      </c>
      <c r="S73" s="55" t="s">
        <v>426</v>
      </c>
      <c r="T73" s="115">
        <v>43942</v>
      </c>
      <c r="U73" s="115">
        <v>43942</v>
      </c>
      <c r="V73" s="116">
        <v>43943</v>
      </c>
      <c r="W73" s="55">
        <v>148</v>
      </c>
      <c r="X73" s="118" t="s">
        <v>36</v>
      </c>
      <c r="Y73" s="127">
        <v>89955</v>
      </c>
      <c r="Z73" s="122" t="s">
        <v>37</v>
      </c>
      <c r="AA73" s="128" t="s">
        <v>38</v>
      </c>
    </row>
    <row r="74" hidden="1" spans="1:27">
      <c r="A74" s="54" t="s">
        <v>27</v>
      </c>
      <c r="B74" s="55" t="s">
        <v>291</v>
      </c>
      <c r="C74" s="55" t="s">
        <v>427</v>
      </c>
      <c r="D74" s="55" t="s">
        <v>428</v>
      </c>
      <c r="E74" s="55" t="s">
        <v>51</v>
      </c>
      <c r="F74" s="55" t="s">
        <v>51</v>
      </c>
      <c r="G74" s="55">
        <v>89157</v>
      </c>
      <c r="H74" s="55">
        <v>86290</v>
      </c>
      <c r="I74" s="55">
        <v>3133275</v>
      </c>
      <c r="J74" s="55" t="s">
        <v>32</v>
      </c>
      <c r="K74" s="111" t="s">
        <v>32</v>
      </c>
      <c r="L74" s="55">
        <v>79688</v>
      </c>
      <c r="M74" s="55">
        <v>74054</v>
      </c>
      <c r="N74" s="55" t="s">
        <v>429</v>
      </c>
      <c r="O74" s="55" t="s">
        <v>430</v>
      </c>
      <c r="P74" s="112">
        <v>43915</v>
      </c>
      <c r="Q74" s="55" t="s">
        <v>431</v>
      </c>
      <c r="R74" s="55">
        <v>41763285</v>
      </c>
      <c r="S74" s="55">
        <v>27417632854</v>
      </c>
      <c r="T74" s="115">
        <v>43451</v>
      </c>
      <c r="U74" s="115">
        <v>43451</v>
      </c>
      <c r="V74" s="116">
        <v>43467</v>
      </c>
      <c r="W74" s="55">
        <v>632</v>
      </c>
      <c r="X74" s="118" t="s">
        <v>36</v>
      </c>
      <c r="Y74" s="127">
        <v>89873</v>
      </c>
      <c r="Z74" s="122" t="s">
        <v>37</v>
      </c>
      <c r="AA74" s="128" t="s">
        <v>56</v>
      </c>
    </row>
    <row r="75" hidden="1" spans="1:27">
      <c r="A75" s="54" t="s">
        <v>27</v>
      </c>
      <c r="B75" s="55" t="s">
        <v>291</v>
      </c>
      <c r="C75" s="55" t="s">
        <v>432</v>
      </c>
      <c r="D75" s="55" t="s">
        <v>433</v>
      </c>
      <c r="E75" s="55" t="s">
        <v>51</v>
      </c>
      <c r="F75" s="55" t="s">
        <v>51</v>
      </c>
      <c r="G75" s="55">
        <v>648224</v>
      </c>
      <c r="H75" s="55">
        <v>83409</v>
      </c>
      <c r="I75" s="55">
        <v>2466183</v>
      </c>
      <c r="J75" s="55" t="s">
        <v>32</v>
      </c>
      <c r="K75" s="111" t="s">
        <v>32</v>
      </c>
      <c r="L75" s="55">
        <v>79688</v>
      </c>
      <c r="M75" s="55">
        <v>74054</v>
      </c>
      <c r="N75" s="55" t="s">
        <v>434</v>
      </c>
      <c r="O75" s="55" t="s">
        <v>435</v>
      </c>
      <c r="P75" s="112">
        <v>43935</v>
      </c>
      <c r="Q75" s="55" t="s">
        <v>436</v>
      </c>
      <c r="R75" s="55">
        <v>37996896</v>
      </c>
      <c r="S75" s="55">
        <v>20379968962</v>
      </c>
      <c r="T75" s="115">
        <v>42842</v>
      </c>
      <c r="U75" s="115">
        <v>43930</v>
      </c>
      <c r="V75" s="116">
        <v>43935</v>
      </c>
      <c r="W75" s="55">
        <v>1232</v>
      </c>
      <c r="X75" s="118" t="s">
        <v>36</v>
      </c>
      <c r="Y75" s="127">
        <v>89913</v>
      </c>
      <c r="Z75" s="122" t="s">
        <v>37</v>
      </c>
      <c r="AA75" s="128" t="s">
        <v>56</v>
      </c>
    </row>
    <row r="76" hidden="1" spans="1:27">
      <c r="A76" s="70" t="s">
        <v>27</v>
      </c>
      <c r="B76" s="71" t="s">
        <v>222</v>
      </c>
      <c r="C76" s="71" t="s">
        <v>95</v>
      </c>
      <c r="D76" s="71" t="s">
        <v>437</v>
      </c>
      <c r="E76" s="71" t="s">
        <v>51</v>
      </c>
      <c r="F76" s="71" t="s">
        <v>51</v>
      </c>
      <c r="G76" s="55">
        <v>89122</v>
      </c>
      <c r="H76" s="55">
        <v>86153</v>
      </c>
      <c r="I76" s="55">
        <v>3118303</v>
      </c>
      <c r="J76" s="55" t="s">
        <v>32</v>
      </c>
      <c r="K76" s="111" t="s">
        <v>32</v>
      </c>
      <c r="L76" s="55">
        <v>81043</v>
      </c>
      <c r="M76" s="55">
        <v>74054</v>
      </c>
      <c r="N76" s="55" t="s">
        <v>438</v>
      </c>
      <c r="O76" s="55" t="s">
        <v>439</v>
      </c>
      <c r="P76" s="112">
        <v>44011</v>
      </c>
      <c r="Q76" s="55" t="s">
        <v>440</v>
      </c>
      <c r="R76" s="55">
        <v>35921616</v>
      </c>
      <c r="S76" s="55">
        <v>27359216160</v>
      </c>
      <c r="T76" s="115">
        <v>43437</v>
      </c>
      <c r="U76" s="115">
        <v>43437</v>
      </c>
      <c r="V76" s="116">
        <v>43448</v>
      </c>
      <c r="W76" s="55">
        <v>646</v>
      </c>
      <c r="X76" s="118" t="s">
        <v>36</v>
      </c>
      <c r="Y76" s="127">
        <v>89957</v>
      </c>
      <c r="Z76" s="122" t="s">
        <v>441</v>
      </c>
      <c r="AA76" s="128" t="s">
        <v>56</v>
      </c>
    </row>
    <row r="77" hidden="1" spans="1:27">
      <c r="A77" s="54" t="s">
        <v>27</v>
      </c>
      <c r="B77" s="55" t="s">
        <v>291</v>
      </c>
      <c r="C77" s="55" t="s">
        <v>442</v>
      </c>
      <c r="D77" s="55" t="s">
        <v>443</v>
      </c>
      <c r="E77" s="55" t="s">
        <v>51</v>
      </c>
      <c r="F77" s="55" t="s">
        <v>51</v>
      </c>
      <c r="G77" s="55">
        <v>648308</v>
      </c>
      <c r="H77" s="55">
        <v>87882</v>
      </c>
      <c r="I77" s="55">
        <v>3123170</v>
      </c>
      <c r="J77" s="55" t="s">
        <v>60</v>
      </c>
      <c r="K77" s="111" t="s">
        <v>43</v>
      </c>
      <c r="L77" s="55">
        <v>79688</v>
      </c>
      <c r="M77" s="55">
        <v>74054</v>
      </c>
      <c r="N77" s="55" t="s">
        <v>444</v>
      </c>
      <c r="O77" s="55" t="s">
        <v>445</v>
      </c>
      <c r="P77" s="112">
        <v>43955</v>
      </c>
      <c r="Q77" s="55" t="s">
        <v>446</v>
      </c>
      <c r="R77" s="55">
        <v>42007193</v>
      </c>
      <c r="S77" s="55">
        <v>20420071931</v>
      </c>
      <c r="T77" s="115">
        <v>43752</v>
      </c>
      <c r="U77" s="115">
        <v>43945</v>
      </c>
      <c r="V77" s="116">
        <v>43956</v>
      </c>
      <c r="W77" s="55">
        <v>335</v>
      </c>
      <c r="X77" s="118" t="s">
        <v>36</v>
      </c>
      <c r="Y77" s="127">
        <v>89990</v>
      </c>
      <c r="Z77" s="122" t="s">
        <v>37</v>
      </c>
      <c r="AA77" s="128" t="s">
        <v>56</v>
      </c>
    </row>
    <row r="78" hidden="1" spans="1:27">
      <c r="A78" s="54" t="s">
        <v>27</v>
      </c>
      <c r="B78" s="55" t="s">
        <v>291</v>
      </c>
      <c r="C78" s="55" t="s">
        <v>447</v>
      </c>
      <c r="D78" s="55" t="s">
        <v>448</v>
      </c>
      <c r="E78" s="55" t="s">
        <v>51</v>
      </c>
      <c r="F78" s="55" t="s">
        <v>51</v>
      </c>
      <c r="G78" s="55">
        <v>89186</v>
      </c>
      <c r="H78" s="55">
        <v>86334</v>
      </c>
      <c r="I78" s="55">
        <v>3138482</v>
      </c>
      <c r="J78" s="55" t="s">
        <v>32</v>
      </c>
      <c r="K78" s="111" t="s">
        <v>32</v>
      </c>
      <c r="L78" s="55">
        <v>79688</v>
      </c>
      <c r="M78" s="55">
        <v>74054</v>
      </c>
      <c r="N78" s="55" t="s">
        <v>449</v>
      </c>
      <c r="O78" s="55" t="s">
        <v>450</v>
      </c>
      <c r="P78" s="112">
        <v>43916</v>
      </c>
      <c r="Q78" s="55" t="s">
        <v>451</v>
      </c>
      <c r="R78" s="55">
        <v>28883627</v>
      </c>
      <c r="S78" s="55">
        <v>20288836273</v>
      </c>
      <c r="T78" s="115">
        <v>43460</v>
      </c>
      <c r="U78" s="115">
        <v>43460</v>
      </c>
      <c r="V78" s="116">
        <v>43476</v>
      </c>
      <c r="W78" s="55">
        <v>623</v>
      </c>
      <c r="X78" s="118" t="s">
        <v>36</v>
      </c>
      <c r="Y78" s="127">
        <v>89958</v>
      </c>
      <c r="Z78" s="122" t="s">
        <v>37</v>
      </c>
      <c r="AA78" s="128" t="s">
        <v>56</v>
      </c>
    </row>
    <row r="79" hidden="1" spans="1:27">
      <c r="A79" s="54" t="s">
        <v>27</v>
      </c>
      <c r="B79" s="55" t="s">
        <v>291</v>
      </c>
      <c r="C79" s="55" t="s">
        <v>452</v>
      </c>
      <c r="D79" s="55" t="s">
        <v>453</v>
      </c>
      <c r="E79" s="55" t="s">
        <v>283</v>
      </c>
      <c r="F79" s="55" t="s">
        <v>283</v>
      </c>
      <c r="G79" s="55">
        <v>648062</v>
      </c>
      <c r="H79" s="55">
        <v>88050</v>
      </c>
      <c r="I79" s="55">
        <v>3553149</v>
      </c>
      <c r="J79" s="55" t="s">
        <v>32</v>
      </c>
      <c r="K79" s="111" t="s">
        <v>32</v>
      </c>
      <c r="L79" s="55">
        <v>79688</v>
      </c>
      <c r="M79" s="55">
        <v>74054</v>
      </c>
      <c r="N79" s="55" t="s">
        <v>454</v>
      </c>
      <c r="O79" s="55" t="s">
        <v>455</v>
      </c>
      <c r="P79" s="112">
        <v>43943</v>
      </c>
      <c r="Q79" s="55" t="s">
        <v>456</v>
      </c>
      <c r="R79" s="55">
        <v>41425872</v>
      </c>
      <c r="S79" s="55" t="s">
        <v>457</v>
      </c>
      <c r="T79" s="115">
        <v>43942</v>
      </c>
      <c r="U79" s="115">
        <v>43942</v>
      </c>
      <c r="V79" s="116">
        <v>43943</v>
      </c>
      <c r="W79" s="55">
        <v>148</v>
      </c>
      <c r="X79" s="118" t="s">
        <v>36</v>
      </c>
      <c r="Y79" s="127">
        <v>89959</v>
      </c>
      <c r="Z79" s="122" t="s">
        <v>37</v>
      </c>
      <c r="AA79" s="128" t="s">
        <v>255</v>
      </c>
    </row>
    <row r="80" hidden="1" spans="1:27">
      <c r="A80" s="54" t="s">
        <v>27</v>
      </c>
      <c r="B80" s="55" t="s">
        <v>291</v>
      </c>
      <c r="C80" s="55" t="s">
        <v>458</v>
      </c>
      <c r="D80" s="55" t="s">
        <v>459</v>
      </c>
      <c r="E80" s="55" t="s">
        <v>51</v>
      </c>
      <c r="F80" s="55" t="s">
        <v>51</v>
      </c>
      <c r="G80" s="55">
        <v>89312</v>
      </c>
      <c r="H80" s="55">
        <v>88173</v>
      </c>
      <c r="I80" s="55">
        <v>3624180</v>
      </c>
      <c r="J80" s="55" t="s">
        <v>32</v>
      </c>
      <c r="K80" s="111" t="s">
        <v>32</v>
      </c>
      <c r="L80" s="55">
        <v>79688</v>
      </c>
      <c r="M80" s="55">
        <v>74054</v>
      </c>
      <c r="N80" s="55" t="s">
        <v>460</v>
      </c>
      <c r="O80" s="55" t="s">
        <v>461</v>
      </c>
      <c r="P80" s="112">
        <v>43915</v>
      </c>
      <c r="Q80" s="55"/>
      <c r="R80" s="55">
        <v>37460467</v>
      </c>
      <c r="S80" s="55">
        <v>27374604673</v>
      </c>
      <c r="T80" s="115">
        <v>43808</v>
      </c>
      <c r="U80" s="115">
        <v>43808</v>
      </c>
      <c r="V80" s="116">
        <v>43831</v>
      </c>
      <c r="W80" s="55">
        <v>280</v>
      </c>
      <c r="X80" s="118" t="s">
        <v>36</v>
      </c>
      <c r="Y80" s="127">
        <v>89960</v>
      </c>
      <c r="Z80" s="122" t="s">
        <v>37</v>
      </c>
      <c r="AA80" s="128" t="s">
        <v>56</v>
      </c>
    </row>
    <row r="81" hidden="1" spans="1:27">
      <c r="A81" s="54" t="s">
        <v>27</v>
      </c>
      <c r="B81" s="55" t="s">
        <v>291</v>
      </c>
      <c r="C81" s="55" t="s">
        <v>462</v>
      </c>
      <c r="D81" s="55" t="s">
        <v>463</v>
      </c>
      <c r="E81" s="55" t="s">
        <v>51</v>
      </c>
      <c r="F81" s="55" t="s">
        <v>51</v>
      </c>
      <c r="G81" s="55">
        <v>648389</v>
      </c>
      <c r="H81" s="55">
        <v>87712</v>
      </c>
      <c r="I81" s="55">
        <v>3526355</v>
      </c>
      <c r="J81" s="55" t="s">
        <v>32</v>
      </c>
      <c r="K81" s="111" t="s">
        <v>32</v>
      </c>
      <c r="L81" s="55">
        <v>79688</v>
      </c>
      <c r="M81" s="55">
        <v>74054</v>
      </c>
      <c r="N81" s="55" t="s">
        <v>464</v>
      </c>
      <c r="O81" s="55" t="s">
        <v>465</v>
      </c>
      <c r="P81" s="112">
        <v>43969</v>
      </c>
      <c r="Q81" s="55" t="s">
        <v>466</v>
      </c>
      <c r="R81" s="55">
        <v>41060400</v>
      </c>
      <c r="S81" s="55">
        <v>20410604001</v>
      </c>
      <c r="T81" s="115">
        <v>43745</v>
      </c>
      <c r="U81" s="115">
        <v>43962</v>
      </c>
      <c r="V81" s="116">
        <v>43969</v>
      </c>
      <c r="W81" s="55">
        <v>342</v>
      </c>
      <c r="X81" s="118" t="s">
        <v>36</v>
      </c>
      <c r="Y81" s="127">
        <v>648329</v>
      </c>
      <c r="Z81" s="122" t="s">
        <v>37</v>
      </c>
      <c r="AA81" s="128" t="s">
        <v>56</v>
      </c>
    </row>
    <row r="82" hidden="1" spans="1:27">
      <c r="A82" s="54" t="s">
        <v>27</v>
      </c>
      <c r="B82" s="55" t="s">
        <v>291</v>
      </c>
      <c r="C82" s="55" t="s">
        <v>467</v>
      </c>
      <c r="D82" s="55" t="s">
        <v>468</v>
      </c>
      <c r="E82" s="55" t="s">
        <v>59</v>
      </c>
      <c r="F82" s="55" t="s">
        <v>59</v>
      </c>
      <c r="G82" s="55">
        <v>89103</v>
      </c>
      <c r="H82" s="55">
        <v>85279</v>
      </c>
      <c r="I82" s="55">
        <v>2804825</v>
      </c>
      <c r="J82" s="55" t="s">
        <v>32</v>
      </c>
      <c r="K82" s="111" t="s">
        <v>32</v>
      </c>
      <c r="L82" s="55">
        <v>79688</v>
      </c>
      <c r="M82" s="55">
        <v>74054</v>
      </c>
      <c r="N82" s="55" t="s">
        <v>469</v>
      </c>
      <c r="O82" s="55" t="s">
        <v>470</v>
      </c>
      <c r="P82" s="112">
        <v>43912</v>
      </c>
      <c r="Q82" s="55" t="s">
        <v>471</v>
      </c>
      <c r="R82" s="55">
        <v>35374408</v>
      </c>
      <c r="S82" s="55">
        <v>27353744084</v>
      </c>
      <c r="T82" s="115">
        <v>43164</v>
      </c>
      <c r="U82" s="115">
        <v>43409</v>
      </c>
      <c r="V82" s="116">
        <v>43423</v>
      </c>
      <c r="W82" s="55">
        <v>914</v>
      </c>
      <c r="X82" s="118" t="s">
        <v>36</v>
      </c>
      <c r="Y82" s="127">
        <v>89962</v>
      </c>
      <c r="Z82" s="122" t="s">
        <v>37</v>
      </c>
      <c r="AA82" s="128" t="s">
        <v>56</v>
      </c>
    </row>
    <row r="83" hidden="1" spans="1:27">
      <c r="A83" s="52" t="s">
        <v>27</v>
      </c>
      <c r="B83" s="53" t="s">
        <v>291</v>
      </c>
      <c r="C83" s="53" t="s">
        <v>472</v>
      </c>
      <c r="D83" s="53" t="s">
        <v>473</v>
      </c>
      <c r="E83" s="53" t="s">
        <v>41</v>
      </c>
      <c r="F83" s="53" t="s">
        <v>41</v>
      </c>
      <c r="G83" s="129">
        <v>89243</v>
      </c>
      <c r="H83" s="53">
        <v>87301</v>
      </c>
      <c r="I83" s="53">
        <v>3462491</v>
      </c>
      <c r="J83" s="53" t="s">
        <v>42</v>
      </c>
      <c r="K83" s="53" t="s">
        <v>43</v>
      </c>
      <c r="L83" s="53">
        <v>79688</v>
      </c>
      <c r="M83" s="53">
        <v>74054</v>
      </c>
      <c r="N83" s="53" t="s">
        <v>474</v>
      </c>
      <c r="O83" s="53" t="s">
        <v>475</v>
      </c>
      <c r="P83" s="113">
        <v>43919</v>
      </c>
      <c r="Q83" s="53">
        <v>3816470378</v>
      </c>
      <c r="R83" s="53">
        <v>37455387</v>
      </c>
      <c r="S83" s="53">
        <v>23374553879</v>
      </c>
      <c r="T83" s="58">
        <v>43703</v>
      </c>
      <c r="U83" s="58">
        <v>43703</v>
      </c>
      <c r="V83" s="59">
        <v>43713</v>
      </c>
      <c r="W83" s="53">
        <v>383</v>
      </c>
      <c r="X83" s="119" t="s">
        <v>36</v>
      </c>
      <c r="Y83" s="124">
        <v>89963</v>
      </c>
      <c r="Z83" s="125" t="s">
        <v>37</v>
      </c>
      <c r="AA83" s="126" t="s">
        <v>56</v>
      </c>
    </row>
    <row r="84" hidden="1" spans="1:27">
      <c r="A84" s="54" t="s">
        <v>27</v>
      </c>
      <c r="B84" s="55" t="s">
        <v>291</v>
      </c>
      <c r="C84" s="55" t="s">
        <v>476</v>
      </c>
      <c r="D84" s="55" t="s">
        <v>477</v>
      </c>
      <c r="E84" s="55" t="s">
        <v>31</v>
      </c>
      <c r="F84" s="55" t="s">
        <v>31</v>
      </c>
      <c r="G84" s="55">
        <v>89217</v>
      </c>
      <c r="H84" s="55">
        <v>87050</v>
      </c>
      <c r="I84" s="55">
        <v>3409733</v>
      </c>
      <c r="J84" s="55" t="s">
        <v>32</v>
      </c>
      <c r="K84" s="111" t="s">
        <v>32</v>
      </c>
      <c r="L84" s="55">
        <v>79688</v>
      </c>
      <c r="M84" s="55">
        <v>74054</v>
      </c>
      <c r="N84" s="55" t="s">
        <v>478</v>
      </c>
      <c r="O84" s="55" t="s">
        <v>479</v>
      </c>
      <c r="P84" s="112">
        <v>43916</v>
      </c>
      <c r="Q84" s="55" t="s">
        <v>480</v>
      </c>
      <c r="R84" s="55">
        <v>41126232</v>
      </c>
      <c r="S84" s="55" t="s">
        <v>481</v>
      </c>
      <c r="T84" s="115">
        <v>43668</v>
      </c>
      <c r="U84" s="115">
        <v>43669</v>
      </c>
      <c r="V84" s="116">
        <v>43678</v>
      </c>
      <c r="W84" s="55">
        <v>417</v>
      </c>
      <c r="X84" s="118" t="s">
        <v>36</v>
      </c>
      <c r="Y84" s="127">
        <v>89881</v>
      </c>
      <c r="Z84" s="122" t="s">
        <v>37</v>
      </c>
      <c r="AA84" s="128" t="s">
        <v>38</v>
      </c>
    </row>
    <row r="85" hidden="1" spans="1:27">
      <c r="A85" s="54" t="s">
        <v>27</v>
      </c>
      <c r="B85" s="55" t="s">
        <v>291</v>
      </c>
      <c r="C85" s="55" t="s">
        <v>482</v>
      </c>
      <c r="D85" s="55" t="s">
        <v>483</v>
      </c>
      <c r="E85" s="55" t="s">
        <v>283</v>
      </c>
      <c r="F85" s="55" t="s">
        <v>283</v>
      </c>
      <c r="G85" s="55">
        <v>648059</v>
      </c>
      <c r="H85" s="55">
        <v>88036</v>
      </c>
      <c r="I85" s="55">
        <v>3553110</v>
      </c>
      <c r="J85" s="55" t="s">
        <v>32</v>
      </c>
      <c r="K85" s="111" t="s">
        <v>32</v>
      </c>
      <c r="L85" s="55">
        <v>79688</v>
      </c>
      <c r="M85" s="55">
        <v>74054</v>
      </c>
      <c r="N85" s="55" t="s">
        <v>484</v>
      </c>
      <c r="O85" s="55" t="s">
        <v>485</v>
      </c>
      <c r="P85" s="112">
        <v>43943</v>
      </c>
      <c r="Q85" s="55" t="s">
        <v>486</v>
      </c>
      <c r="R85" s="55">
        <v>41345711</v>
      </c>
      <c r="S85" s="55" t="s">
        <v>487</v>
      </c>
      <c r="T85" s="115">
        <v>43942</v>
      </c>
      <c r="U85" s="115">
        <v>43942</v>
      </c>
      <c r="V85" s="116">
        <v>43943</v>
      </c>
      <c r="W85" s="55">
        <v>148</v>
      </c>
      <c r="X85" s="118" t="s">
        <v>36</v>
      </c>
      <c r="Y85" s="127">
        <v>89964</v>
      </c>
      <c r="Z85" s="122" t="s">
        <v>37</v>
      </c>
      <c r="AA85" s="128" t="s">
        <v>255</v>
      </c>
    </row>
    <row r="86" hidden="1" spans="1:27">
      <c r="A86" s="54" t="s">
        <v>27</v>
      </c>
      <c r="B86" s="55" t="s">
        <v>291</v>
      </c>
      <c r="C86" s="55" t="s">
        <v>488</v>
      </c>
      <c r="D86" s="55" t="s">
        <v>489</v>
      </c>
      <c r="E86" s="55" t="s">
        <v>51</v>
      </c>
      <c r="F86" s="55" t="s">
        <v>51</v>
      </c>
      <c r="G86" s="55">
        <v>89135</v>
      </c>
      <c r="H86" s="55">
        <v>86152</v>
      </c>
      <c r="I86" s="55">
        <v>1154505</v>
      </c>
      <c r="J86" s="55" t="s">
        <v>32</v>
      </c>
      <c r="K86" s="111" t="s">
        <v>32</v>
      </c>
      <c r="L86" s="55">
        <v>79688</v>
      </c>
      <c r="M86" s="55">
        <v>74054</v>
      </c>
      <c r="N86" s="55" t="s">
        <v>490</v>
      </c>
      <c r="O86" s="55" t="s">
        <v>491</v>
      </c>
      <c r="P86" s="112">
        <v>43917</v>
      </c>
      <c r="Q86" s="55" t="s">
        <v>492</v>
      </c>
      <c r="R86" s="55">
        <v>38045027</v>
      </c>
      <c r="S86" s="55">
        <v>27380450270</v>
      </c>
      <c r="T86" s="115">
        <v>43437</v>
      </c>
      <c r="U86" s="115">
        <v>43437</v>
      </c>
      <c r="V86" s="116">
        <v>43448</v>
      </c>
      <c r="W86" s="55">
        <v>646</v>
      </c>
      <c r="X86" s="118" t="s">
        <v>36</v>
      </c>
      <c r="Y86" s="127">
        <v>89965</v>
      </c>
      <c r="Z86" s="122" t="s">
        <v>37</v>
      </c>
      <c r="AA86" s="128" t="s">
        <v>56</v>
      </c>
    </row>
    <row r="87" hidden="1" spans="1:27">
      <c r="A87" s="52" t="s">
        <v>27</v>
      </c>
      <c r="B87" s="53" t="s">
        <v>291</v>
      </c>
      <c r="C87" s="53" t="s">
        <v>132</v>
      </c>
      <c r="D87" s="53" t="s">
        <v>493</v>
      </c>
      <c r="E87" s="53" t="s">
        <v>31</v>
      </c>
      <c r="F87" s="53" t="s">
        <v>31</v>
      </c>
      <c r="G87" s="53">
        <v>89222</v>
      </c>
      <c r="H87" s="53">
        <v>87048</v>
      </c>
      <c r="I87" s="53">
        <v>3409593</v>
      </c>
      <c r="J87" s="53" t="s">
        <v>42</v>
      </c>
      <c r="K87" s="53" t="s">
        <v>43</v>
      </c>
      <c r="L87" s="53">
        <v>79688</v>
      </c>
      <c r="M87" s="53">
        <v>74054</v>
      </c>
      <c r="N87" s="53" t="s">
        <v>494</v>
      </c>
      <c r="O87" s="53" t="s">
        <v>495</v>
      </c>
      <c r="P87" s="113">
        <v>43916</v>
      </c>
      <c r="Q87" s="53" t="s">
        <v>496</v>
      </c>
      <c r="R87" s="53">
        <v>36998015</v>
      </c>
      <c r="S87" s="53">
        <v>20369980158</v>
      </c>
      <c r="T87" s="58">
        <v>43668</v>
      </c>
      <c r="U87" s="58">
        <v>43669</v>
      </c>
      <c r="V87" s="59">
        <v>43678</v>
      </c>
      <c r="W87" s="53">
        <v>417</v>
      </c>
      <c r="X87" s="119" t="s">
        <v>36</v>
      </c>
      <c r="Y87" s="124">
        <v>89966</v>
      </c>
      <c r="Z87" s="125" t="s">
        <v>37</v>
      </c>
      <c r="AA87" s="126" t="s">
        <v>38</v>
      </c>
    </row>
    <row r="88" hidden="1" spans="1:27">
      <c r="A88" s="54" t="s">
        <v>27</v>
      </c>
      <c r="B88" s="55" t="s">
        <v>497</v>
      </c>
      <c r="C88" s="55" t="s">
        <v>498</v>
      </c>
      <c r="D88" s="55" t="s">
        <v>499</v>
      </c>
      <c r="E88" s="55" t="s">
        <v>51</v>
      </c>
      <c r="F88" s="55" t="s">
        <v>51</v>
      </c>
      <c r="G88" s="55">
        <v>648309</v>
      </c>
      <c r="H88" s="55">
        <v>87715</v>
      </c>
      <c r="I88" s="55">
        <v>2353705</v>
      </c>
      <c r="J88" s="55" t="s">
        <v>52</v>
      </c>
      <c r="K88" s="111" t="s">
        <v>43</v>
      </c>
      <c r="L88" s="55">
        <v>83947</v>
      </c>
      <c r="M88" s="55">
        <v>74054</v>
      </c>
      <c r="N88" s="55" t="s">
        <v>500</v>
      </c>
      <c r="O88" s="55" t="s">
        <v>501</v>
      </c>
      <c r="P88" s="112">
        <v>43955</v>
      </c>
      <c r="Q88" s="55" t="s">
        <v>502</v>
      </c>
      <c r="R88" s="55">
        <v>37503155</v>
      </c>
      <c r="S88" s="55">
        <v>27375031553</v>
      </c>
      <c r="T88" s="115">
        <v>43745</v>
      </c>
      <c r="U88" s="115">
        <v>43945</v>
      </c>
      <c r="V88" s="116">
        <v>43956</v>
      </c>
      <c r="W88" s="55">
        <v>342</v>
      </c>
      <c r="X88" s="118" t="s">
        <v>36</v>
      </c>
      <c r="Y88" s="127">
        <v>89997</v>
      </c>
      <c r="Z88" s="122" t="s">
        <v>37</v>
      </c>
      <c r="AA88" s="128" t="s">
        <v>56</v>
      </c>
    </row>
    <row r="89" hidden="1" spans="1:27">
      <c r="A89" s="52" t="s">
        <v>27</v>
      </c>
      <c r="B89" s="53" t="s">
        <v>497</v>
      </c>
      <c r="C89" s="53" t="s">
        <v>503</v>
      </c>
      <c r="D89" s="53" t="s">
        <v>504</v>
      </c>
      <c r="E89" s="53" t="s">
        <v>51</v>
      </c>
      <c r="F89" s="53" t="s">
        <v>51</v>
      </c>
      <c r="G89" s="53">
        <v>648414</v>
      </c>
      <c r="H89" s="53">
        <v>89162</v>
      </c>
      <c r="I89" s="53">
        <v>3851254</v>
      </c>
      <c r="J89" s="53" t="s">
        <v>42</v>
      </c>
      <c r="K89" s="53" t="s">
        <v>42</v>
      </c>
      <c r="L89" s="53">
        <v>83947</v>
      </c>
      <c r="M89" s="53">
        <v>74054</v>
      </c>
      <c r="N89" s="53" t="s">
        <v>505</v>
      </c>
      <c r="O89" s="53" t="s">
        <v>506</v>
      </c>
      <c r="P89" s="113"/>
      <c r="Q89" s="53"/>
      <c r="R89" s="53">
        <v>40437526</v>
      </c>
      <c r="S89" s="53" t="s">
        <v>507</v>
      </c>
      <c r="T89" s="58">
        <v>44046</v>
      </c>
      <c r="U89" s="58">
        <v>44046</v>
      </c>
      <c r="V89" s="59">
        <v>44057</v>
      </c>
      <c r="W89" s="53">
        <v>46</v>
      </c>
      <c r="X89" s="119" t="s">
        <v>36</v>
      </c>
      <c r="Y89" s="124"/>
      <c r="Z89" s="125" t="s">
        <v>146</v>
      </c>
      <c r="AA89" s="126" t="s">
        <v>56</v>
      </c>
    </row>
    <row r="90" hidden="1" spans="1:27">
      <c r="A90" s="52" t="s">
        <v>27</v>
      </c>
      <c r="B90" s="53" t="s">
        <v>497</v>
      </c>
      <c r="C90" s="53" t="s">
        <v>508</v>
      </c>
      <c r="D90" s="53" t="s">
        <v>509</v>
      </c>
      <c r="E90" s="53" t="s">
        <v>51</v>
      </c>
      <c r="F90" s="53" t="s">
        <v>51</v>
      </c>
      <c r="G90" s="53">
        <v>648415</v>
      </c>
      <c r="H90" s="53">
        <v>89176</v>
      </c>
      <c r="I90" s="53">
        <v>3851265</v>
      </c>
      <c r="J90" s="53" t="s">
        <v>42</v>
      </c>
      <c r="K90" s="53" t="s">
        <v>42</v>
      </c>
      <c r="L90" s="53">
        <v>83947</v>
      </c>
      <c r="M90" s="53">
        <v>74054</v>
      </c>
      <c r="N90" s="53" t="s">
        <v>510</v>
      </c>
      <c r="O90" s="53" t="s">
        <v>511</v>
      </c>
      <c r="P90" s="113"/>
      <c r="Q90" s="53"/>
      <c r="R90" s="53">
        <v>41833251</v>
      </c>
      <c r="S90" s="53" t="s">
        <v>512</v>
      </c>
      <c r="T90" s="58">
        <v>44046</v>
      </c>
      <c r="U90" s="58">
        <v>44046</v>
      </c>
      <c r="V90" s="59">
        <v>44057</v>
      </c>
      <c r="W90" s="53">
        <v>46</v>
      </c>
      <c r="X90" s="119" t="s">
        <v>36</v>
      </c>
      <c r="Y90" s="124"/>
      <c r="Z90" s="125" t="s">
        <v>146</v>
      </c>
      <c r="AA90" s="126" t="s">
        <v>56</v>
      </c>
    </row>
    <row r="91" hidden="1" spans="1:27">
      <c r="A91" s="52" t="s">
        <v>27</v>
      </c>
      <c r="B91" s="53" t="s">
        <v>497</v>
      </c>
      <c r="C91" s="53" t="s">
        <v>513</v>
      </c>
      <c r="D91" s="53" t="s">
        <v>514</v>
      </c>
      <c r="E91" s="53" t="s">
        <v>59</v>
      </c>
      <c r="F91" s="53" t="s">
        <v>59</v>
      </c>
      <c r="G91" s="53">
        <v>648416</v>
      </c>
      <c r="H91" s="53">
        <v>89152</v>
      </c>
      <c r="I91" s="53">
        <v>3851228</v>
      </c>
      <c r="J91" s="53" t="s">
        <v>42</v>
      </c>
      <c r="K91" s="53" t="s">
        <v>42</v>
      </c>
      <c r="L91" s="53">
        <v>83947</v>
      </c>
      <c r="M91" s="53">
        <v>74054</v>
      </c>
      <c r="N91" s="53" t="s">
        <v>515</v>
      </c>
      <c r="O91" s="53" t="s">
        <v>516</v>
      </c>
      <c r="P91" s="113"/>
      <c r="Q91" s="53"/>
      <c r="R91" s="53">
        <v>42269972</v>
      </c>
      <c r="S91" s="53" t="s">
        <v>517</v>
      </c>
      <c r="T91" s="58">
        <v>44046</v>
      </c>
      <c r="U91" s="58">
        <v>44046</v>
      </c>
      <c r="V91" s="59">
        <v>44057</v>
      </c>
      <c r="W91" s="53">
        <v>46</v>
      </c>
      <c r="X91" s="119" t="s">
        <v>36</v>
      </c>
      <c r="Y91" s="124"/>
      <c r="Z91" s="125" t="s">
        <v>146</v>
      </c>
      <c r="AA91" s="126" t="s">
        <v>56</v>
      </c>
    </row>
    <row r="92" hidden="1" spans="1:27">
      <c r="A92" s="52" t="s">
        <v>27</v>
      </c>
      <c r="B92" s="53" t="s">
        <v>497</v>
      </c>
      <c r="C92" s="53" t="s">
        <v>518</v>
      </c>
      <c r="D92" s="53" t="s">
        <v>519</v>
      </c>
      <c r="E92" s="53" t="s">
        <v>51</v>
      </c>
      <c r="F92" s="53" t="s">
        <v>51</v>
      </c>
      <c r="G92" s="53">
        <v>648417</v>
      </c>
      <c r="H92" s="53">
        <v>89175</v>
      </c>
      <c r="I92" s="53">
        <v>3851268</v>
      </c>
      <c r="J92" s="53" t="s">
        <v>42</v>
      </c>
      <c r="K92" s="53" t="s">
        <v>42</v>
      </c>
      <c r="L92" s="53">
        <v>83947</v>
      </c>
      <c r="M92" s="53">
        <v>74054</v>
      </c>
      <c r="N92" s="53" t="s">
        <v>520</v>
      </c>
      <c r="O92" s="53" t="s">
        <v>521</v>
      </c>
      <c r="P92" s="113"/>
      <c r="Q92" s="53"/>
      <c r="R92" s="53">
        <v>37838075</v>
      </c>
      <c r="S92" s="53" t="s">
        <v>522</v>
      </c>
      <c r="T92" s="58">
        <v>44046</v>
      </c>
      <c r="U92" s="58">
        <v>44046</v>
      </c>
      <c r="V92" s="59">
        <v>44057</v>
      </c>
      <c r="W92" s="53">
        <v>46</v>
      </c>
      <c r="X92" s="119" t="s">
        <v>36</v>
      </c>
      <c r="Y92" s="124"/>
      <c r="Z92" s="125" t="s">
        <v>146</v>
      </c>
      <c r="AA92" s="126" t="s">
        <v>56</v>
      </c>
    </row>
    <row r="93" hidden="1" spans="1:27">
      <c r="A93" s="52" t="s">
        <v>27</v>
      </c>
      <c r="B93" s="53" t="s">
        <v>497</v>
      </c>
      <c r="C93" s="53" t="s">
        <v>523</v>
      </c>
      <c r="D93" s="53" t="s">
        <v>524</v>
      </c>
      <c r="E93" s="53" t="s">
        <v>51</v>
      </c>
      <c r="F93" s="53" t="s">
        <v>51</v>
      </c>
      <c r="G93" s="53">
        <v>648419</v>
      </c>
      <c r="H93" s="53">
        <v>89167</v>
      </c>
      <c r="I93" s="53">
        <v>1308377</v>
      </c>
      <c r="J93" s="53" t="s">
        <v>42</v>
      </c>
      <c r="K93" s="53" t="s">
        <v>42</v>
      </c>
      <c r="L93" s="53">
        <v>83947</v>
      </c>
      <c r="M93" s="53">
        <v>74054</v>
      </c>
      <c r="N93" s="53" t="s">
        <v>525</v>
      </c>
      <c r="O93" s="53" t="s">
        <v>526</v>
      </c>
      <c r="P93" s="113"/>
      <c r="Q93" s="53"/>
      <c r="R93" s="53">
        <v>37916231</v>
      </c>
      <c r="S93" s="53" t="s">
        <v>527</v>
      </c>
      <c r="T93" s="58">
        <v>44046</v>
      </c>
      <c r="U93" s="58">
        <v>44046</v>
      </c>
      <c r="V93" s="59">
        <v>44057</v>
      </c>
      <c r="W93" s="53">
        <v>46</v>
      </c>
      <c r="X93" s="119" t="s">
        <v>36</v>
      </c>
      <c r="Y93" s="124"/>
      <c r="Z93" s="125" t="s">
        <v>146</v>
      </c>
      <c r="AA93" s="126" t="s">
        <v>56</v>
      </c>
    </row>
    <row r="94" hidden="1" spans="1:27">
      <c r="A94" s="52" t="s">
        <v>27</v>
      </c>
      <c r="B94" s="53" t="s">
        <v>497</v>
      </c>
      <c r="C94" s="53" t="s">
        <v>528</v>
      </c>
      <c r="D94" s="53" t="s">
        <v>529</v>
      </c>
      <c r="E94" s="53" t="s">
        <v>51</v>
      </c>
      <c r="F94" s="53" t="s">
        <v>51</v>
      </c>
      <c r="G94" s="53">
        <v>648421</v>
      </c>
      <c r="H94" s="53">
        <v>89179</v>
      </c>
      <c r="I94" s="53">
        <v>3851259</v>
      </c>
      <c r="J94" s="53" t="s">
        <v>42</v>
      </c>
      <c r="K94" s="53" t="s">
        <v>42</v>
      </c>
      <c r="L94" s="53">
        <v>83947</v>
      </c>
      <c r="M94" s="53">
        <v>74054</v>
      </c>
      <c r="N94" s="53" t="s">
        <v>530</v>
      </c>
      <c r="O94" s="53" t="s">
        <v>531</v>
      </c>
      <c r="P94" s="113"/>
      <c r="Q94" s="53"/>
      <c r="R94" s="53">
        <v>36132635</v>
      </c>
      <c r="S94" s="53" t="s">
        <v>532</v>
      </c>
      <c r="T94" s="58">
        <v>44046</v>
      </c>
      <c r="U94" s="58">
        <v>44046</v>
      </c>
      <c r="V94" s="59">
        <v>44057</v>
      </c>
      <c r="W94" s="53">
        <v>46</v>
      </c>
      <c r="X94" s="119" t="s">
        <v>36</v>
      </c>
      <c r="Y94" s="124"/>
      <c r="Z94" s="125" t="s">
        <v>146</v>
      </c>
      <c r="AA94" s="126" t="s">
        <v>56</v>
      </c>
    </row>
    <row r="95" hidden="1" spans="1:27">
      <c r="A95" s="52" t="s">
        <v>27</v>
      </c>
      <c r="B95" s="53" t="s">
        <v>497</v>
      </c>
      <c r="C95" s="53" t="s">
        <v>533</v>
      </c>
      <c r="D95" s="53" t="s">
        <v>534</v>
      </c>
      <c r="E95" s="53" t="s">
        <v>59</v>
      </c>
      <c r="F95" s="53" t="s">
        <v>59</v>
      </c>
      <c r="G95" s="53">
        <v>648422</v>
      </c>
      <c r="H95" s="53">
        <v>89178</v>
      </c>
      <c r="I95" s="53">
        <v>3851263</v>
      </c>
      <c r="J95" s="53" t="s">
        <v>42</v>
      </c>
      <c r="K95" s="53" t="s">
        <v>42</v>
      </c>
      <c r="L95" s="53">
        <v>83947</v>
      </c>
      <c r="M95" s="53">
        <v>74054</v>
      </c>
      <c r="N95" s="53" t="s">
        <v>535</v>
      </c>
      <c r="O95" s="53" t="s">
        <v>536</v>
      </c>
      <c r="P95" s="113"/>
      <c r="Q95" s="53"/>
      <c r="R95" s="53">
        <v>41736742</v>
      </c>
      <c r="S95" s="53" t="s">
        <v>537</v>
      </c>
      <c r="T95" s="58">
        <v>44046</v>
      </c>
      <c r="U95" s="58">
        <v>44046</v>
      </c>
      <c r="V95" s="59">
        <v>44057</v>
      </c>
      <c r="W95" s="53">
        <v>46</v>
      </c>
      <c r="X95" s="119" t="s">
        <v>36</v>
      </c>
      <c r="Y95" s="124"/>
      <c r="Z95" s="125" t="s">
        <v>146</v>
      </c>
      <c r="AA95" s="126" t="s">
        <v>56</v>
      </c>
    </row>
    <row r="96" hidden="1" spans="1:27">
      <c r="A96" s="52" t="s">
        <v>27</v>
      </c>
      <c r="B96" s="53" t="s">
        <v>497</v>
      </c>
      <c r="C96" s="53" t="s">
        <v>538</v>
      </c>
      <c r="D96" s="53" t="s">
        <v>539</v>
      </c>
      <c r="E96" s="53" t="s">
        <v>51</v>
      </c>
      <c r="F96" s="53" t="s">
        <v>51</v>
      </c>
      <c r="G96" s="53">
        <v>648424</v>
      </c>
      <c r="H96" s="53">
        <v>89158</v>
      </c>
      <c r="I96" s="53">
        <v>3851236</v>
      </c>
      <c r="J96" s="53" t="s">
        <v>42</v>
      </c>
      <c r="K96" s="53" t="s">
        <v>42</v>
      </c>
      <c r="L96" s="53">
        <v>83947</v>
      </c>
      <c r="M96" s="53">
        <v>74054</v>
      </c>
      <c r="N96" s="53" t="s">
        <v>540</v>
      </c>
      <c r="O96" s="53" t="s">
        <v>541</v>
      </c>
      <c r="P96" s="113"/>
      <c r="Q96" s="53"/>
      <c r="R96" s="53">
        <v>36347133</v>
      </c>
      <c r="S96" s="53" t="s">
        <v>542</v>
      </c>
      <c r="T96" s="58">
        <v>44046</v>
      </c>
      <c r="U96" s="58">
        <v>44046</v>
      </c>
      <c r="V96" s="59">
        <v>44057</v>
      </c>
      <c r="W96" s="53">
        <v>46</v>
      </c>
      <c r="X96" s="119" t="s">
        <v>36</v>
      </c>
      <c r="Y96" s="124"/>
      <c r="Z96" s="125" t="s">
        <v>146</v>
      </c>
      <c r="AA96" s="126" t="s">
        <v>56</v>
      </c>
    </row>
    <row r="97" hidden="1" spans="1:27">
      <c r="A97" s="52" t="s">
        <v>27</v>
      </c>
      <c r="B97" s="53" t="s">
        <v>497</v>
      </c>
      <c r="C97" s="53" t="s">
        <v>543</v>
      </c>
      <c r="D97" s="53" t="s">
        <v>544</v>
      </c>
      <c r="E97" s="53" t="s">
        <v>51</v>
      </c>
      <c r="F97" s="53" t="s">
        <v>51</v>
      </c>
      <c r="G97" s="53">
        <v>648425</v>
      </c>
      <c r="H97" s="53">
        <v>89177</v>
      </c>
      <c r="I97" s="53">
        <v>3851264</v>
      </c>
      <c r="J97" s="53" t="s">
        <v>42</v>
      </c>
      <c r="K97" s="53" t="s">
        <v>42</v>
      </c>
      <c r="L97" s="53">
        <v>83947</v>
      </c>
      <c r="M97" s="53">
        <v>74054</v>
      </c>
      <c r="N97" s="53" t="s">
        <v>545</v>
      </c>
      <c r="O97" s="53" t="s">
        <v>546</v>
      </c>
      <c r="P97" s="113"/>
      <c r="Q97" s="53"/>
      <c r="R97" s="53">
        <v>43362130</v>
      </c>
      <c r="S97" s="53" t="s">
        <v>547</v>
      </c>
      <c r="T97" s="58">
        <v>44046</v>
      </c>
      <c r="U97" s="58">
        <v>44046</v>
      </c>
      <c r="V97" s="59">
        <v>44057</v>
      </c>
      <c r="W97" s="53">
        <v>46</v>
      </c>
      <c r="X97" s="119" t="s">
        <v>36</v>
      </c>
      <c r="Y97" s="124"/>
      <c r="Z97" s="125" t="s">
        <v>146</v>
      </c>
      <c r="AA97" s="126" t="s">
        <v>275</v>
      </c>
    </row>
    <row r="98" hidden="1" spans="1:27">
      <c r="A98" s="52" t="s">
        <v>27</v>
      </c>
      <c r="B98" s="53" t="s">
        <v>497</v>
      </c>
      <c r="C98" s="53" t="s">
        <v>548</v>
      </c>
      <c r="D98" s="53" t="s">
        <v>549</v>
      </c>
      <c r="E98" s="53" t="s">
        <v>51</v>
      </c>
      <c r="F98" s="53" t="s">
        <v>51</v>
      </c>
      <c r="G98" s="53">
        <v>648428</v>
      </c>
      <c r="H98" s="53">
        <v>89172</v>
      </c>
      <c r="I98" s="53">
        <v>3851276</v>
      </c>
      <c r="J98" s="53" t="s">
        <v>42</v>
      </c>
      <c r="K98" s="53" t="s">
        <v>42</v>
      </c>
      <c r="L98" s="53">
        <v>83947</v>
      </c>
      <c r="M98" s="53">
        <v>74054</v>
      </c>
      <c r="N98" s="53" t="s">
        <v>550</v>
      </c>
      <c r="O98" s="53" t="s">
        <v>551</v>
      </c>
      <c r="P98" s="113"/>
      <c r="Q98" s="53"/>
      <c r="R98" s="53">
        <v>41059241</v>
      </c>
      <c r="S98" s="53" t="s">
        <v>552</v>
      </c>
      <c r="T98" s="58">
        <v>44046</v>
      </c>
      <c r="U98" s="58">
        <v>44046</v>
      </c>
      <c r="V98" s="59">
        <v>44057</v>
      </c>
      <c r="W98" s="53">
        <v>46</v>
      </c>
      <c r="X98" s="119" t="s">
        <v>36</v>
      </c>
      <c r="Y98" s="124"/>
      <c r="Z98" s="125" t="s">
        <v>146</v>
      </c>
      <c r="AA98" s="126" t="s">
        <v>275</v>
      </c>
    </row>
    <row r="99" hidden="1" spans="1:27">
      <c r="A99" s="52" t="s">
        <v>27</v>
      </c>
      <c r="B99" s="53" t="s">
        <v>497</v>
      </c>
      <c r="C99" s="53" t="s">
        <v>553</v>
      </c>
      <c r="D99" s="53" t="s">
        <v>554</v>
      </c>
      <c r="E99" s="53" t="s">
        <v>59</v>
      </c>
      <c r="F99" s="53" t="s">
        <v>59</v>
      </c>
      <c r="G99" s="53">
        <v>648430</v>
      </c>
      <c r="H99" s="53">
        <v>89170</v>
      </c>
      <c r="I99" s="53">
        <v>3851277</v>
      </c>
      <c r="J99" s="53" t="s">
        <v>42</v>
      </c>
      <c r="K99" s="53" t="s">
        <v>42</v>
      </c>
      <c r="L99" s="53">
        <v>83947</v>
      </c>
      <c r="M99" s="53">
        <v>74054</v>
      </c>
      <c r="N99" s="53" t="s">
        <v>555</v>
      </c>
      <c r="O99" s="53" t="s">
        <v>556</v>
      </c>
      <c r="P99" s="113"/>
      <c r="Q99" s="53"/>
      <c r="R99" s="53">
        <v>41649190</v>
      </c>
      <c r="S99" s="53" t="s">
        <v>557</v>
      </c>
      <c r="T99" s="58">
        <v>44046</v>
      </c>
      <c r="U99" s="58">
        <v>44046</v>
      </c>
      <c r="V99" s="59">
        <v>44057</v>
      </c>
      <c r="W99" s="53">
        <v>46</v>
      </c>
      <c r="X99" s="119" t="s">
        <v>36</v>
      </c>
      <c r="Y99" s="124"/>
      <c r="Z99" s="125" t="s">
        <v>146</v>
      </c>
      <c r="AA99" s="126" t="s">
        <v>275</v>
      </c>
    </row>
    <row r="100" hidden="1" spans="1:27">
      <c r="A100" s="52" t="s">
        <v>27</v>
      </c>
      <c r="B100" s="53" t="s">
        <v>497</v>
      </c>
      <c r="C100" s="53" t="s">
        <v>558</v>
      </c>
      <c r="D100" s="39" t="s">
        <v>559</v>
      </c>
      <c r="E100" s="53" t="s">
        <v>51</v>
      </c>
      <c r="F100" s="53" t="s">
        <v>51</v>
      </c>
      <c r="G100" s="53">
        <v>648434</v>
      </c>
      <c r="H100" s="53">
        <v>89157</v>
      </c>
      <c r="I100" s="53">
        <v>3851221</v>
      </c>
      <c r="J100" s="53" t="s">
        <v>42</v>
      </c>
      <c r="K100" s="53" t="s">
        <v>42</v>
      </c>
      <c r="L100" s="53">
        <v>83947</v>
      </c>
      <c r="M100" s="53">
        <v>74054</v>
      </c>
      <c r="N100" s="53" t="s">
        <v>560</v>
      </c>
      <c r="O100" s="53" t="s">
        <v>561</v>
      </c>
      <c r="P100" s="113"/>
      <c r="Q100" s="53"/>
      <c r="R100" s="53">
        <v>42939063</v>
      </c>
      <c r="S100" s="53"/>
      <c r="T100" s="58">
        <v>44046</v>
      </c>
      <c r="U100" s="58">
        <v>44046</v>
      </c>
      <c r="V100" s="59">
        <v>44057</v>
      </c>
      <c r="W100" s="53">
        <v>46</v>
      </c>
      <c r="X100" s="119" t="s">
        <v>36</v>
      </c>
      <c r="Y100" s="124"/>
      <c r="Z100" s="125" t="s">
        <v>146</v>
      </c>
      <c r="AA100" s="126" t="s">
        <v>56</v>
      </c>
    </row>
    <row r="101" hidden="1" spans="1:27">
      <c r="A101" s="52" t="s">
        <v>27</v>
      </c>
      <c r="B101" s="53" t="s">
        <v>497</v>
      </c>
      <c r="C101" s="53" t="s">
        <v>562</v>
      </c>
      <c r="D101" s="53" t="s">
        <v>563</v>
      </c>
      <c r="E101" s="53" t="s">
        <v>51</v>
      </c>
      <c r="F101" s="53" t="s">
        <v>51</v>
      </c>
      <c r="G101" s="53">
        <v>648435</v>
      </c>
      <c r="H101" s="53">
        <v>89164</v>
      </c>
      <c r="I101" s="53">
        <v>3851225</v>
      </c>
      <c r="J101" s="53" t="s">
        <v>42</v>
      </c>
      <c r="K101" s="53" t="s">
        <v>42</v>
      </c>
      <c r="L101" s="53">
        <v>83947</v>
      </c>
      <c r="M101" s="53">
        <v>74054</v>
      </c>
      <c r="N101" s="53" t="s">
        <v>564</v>
      </c>
      <c r="O101" s="53" t="s">
        <v>565</v>
      </c>
      <c r="P101" s="113"/>
      <c r="Q101" s="53"/>
      <c r="R101" s="53">
        <v>39571286</v>
      </c>
      <c r="S101" s="53"/>
      <c r="T101" s="58">
        <v>44046</v>
      </c>
      <c r="U101" s="58">
        <v>44046</v>
      </c>
      <c r="V101" s="59">
        <v>44057</v>
      </c>
      <c r="W101" s="53">
        <v>46</v>
      </c>
      <c r="X101" s="119" t="s">
        <v>36</v>
      </c>
      <c r="Y101" s="124"/>
      <c r="Z101" s="125" t="s">
        <v>146</v>
      </c>
      <c r="AA101" s="126" t="s">
        <v>275</v>
      </c>
    </row>
    <row r="102" hidden="1" spans="1:27">
      <c r="A102" s="52" t="s">
        <v>27</v>
      </c>
      <c r="B102" s="53" t="s">
        <v>48</v>
      </c>
      <c r="C102" s="53" t="s">
        <v>566</v>
      </c>
      <c r="D102" s="53" t="s">
        <v>567</v>
      </c>
      <c r="E102" s="53" t="s">
        <v>31</v>
      </c>
      <c r="F102" s="53" t="s">
        <v>31</v>
      </c>
      <c r="G102" s="53">
        <v>89204</v>
      </c>
      <c r="H102" s="53">
        <v>87044</v>
      </c>
      <c r="I102" s="53">
        <v>3409636</v>
      </c>
      <c r="J102" s="53" t="s">
        <v>52</v>
      </c>
      <c r="K102" s="53" t="s">
        <v>43</v>
      </c>
      <c r="L102" s="53">
        <v>80740</v>
      </c>
      <c r="M102" s="53">
        <v>74054</v>
      </c>
      <c r="N102" s="53" t="s">
        <v>568</v>
      </c>
      <c r="O102" s="53" t="s">
        <v>569</v>
      </c>
      <c r="P102" s="113">
        <v>43921</v>
      </c>
      <c r="Q102" s="53" t="s">
        <v>570</v>
      </c>
      <c r="R102" s="53">
        <v>40238197</v>
      </c>
      <c r="S102" s="53">
        <v>20402381974</v>
      </c>
      <c r="T102" s="58">
        <v>43668</v>
      </c>
      <c r="U102" s="58">
        <v>43669</v>
      </c>
      <c r="V102" s="59">
        <v>43678</v>
      </c>
      <c r="W102" s="53">
        <v>417</v>
      </c>
      <c r="X102" s="119" t="s">
        <v>36</v>
      </c>
      <c r="Y102" s="124">
        <v>89967</v>
      </c>
      <c r="Z102" s="125" t="s">
        <v>37</v>
      </c>
      <c r="AA102" s="126" t="s">
        <v>38</v>
      </c>
    </row>
    <row r="103" hidden="1" spans="1:27">
      <c r="A103" s="70" t="s">
        <v>27</v>
      </c>
      <c r="B103" s="71" t="s">
        <v>48</v>
      </c>
      <c r="C103" s="71" t="s">
        <v>571</v>
      </c>
      <c r="D103" s="71" t="s">
        <v>572</v>
      </c>
      <c r="E103" s="71" t="s">
        <v>31</v>
      </c>
      <c r="F103" s="71" t="s">
        <v>31</v>
      </c>
      <c r="G103" s="55">
        <v>89205</v>
      </c>
      <c r="H103" s="55">
        <v>87052</v>
      </c>
      <c r="I103" s="55">
        <v>2445607</v>
      </c>
      <c r="J103" s="55" t="s">
        <v>32</v>
      </c>
      <c r="K103" s="111" t="s">
        <v>32</v>
      </c>
      <c r="L103" s="55">
        <v>80740</v>
      </c>
      <c r="M103" s="55">
        <v>74054</v>
      </c>
      <c r="N103" s="55" t="s">
        <v>573</v>
      </c>
      <c r="O103" s="55" t="s">
        <v>574</v>
      </c>
      <c r="P103" s="112">
        <v>43934</v>
      </c>
      <c r="Q103" s="55" t="s">
        <v>575</v>
      </c>
      <c r="R103" s="55">
        <v>35107662</v>
      </c>
      <c r="S103" s="55">
        <v>20351076624</v>
      </c>
      <c r="T103" s="115">
        <v>43668</v>
      </c>
      <c r="U103" s="115">
        <v>43669</v>
      </c>
      <c r="V103" s="116">
        <v>43678</v>
      </c>
      <c r="W103" s="55">
        <v>417</v>
      </c>
      <c r="X103" s="118" t="s">
        <v>36</v>
      </c>
      <c r="Y103" s="127">
        <v>89968</v>
      </c>
      <c r="Z103" s="122" t="s">
        <v>37</v>
      </c>
      <c r="AA103" s="128" t="s">
        <v>38</v>
      </c>
    </row>
    <row r="104" hidden="1" spans="1:27">
      <c r="A104" s="54" t="s">
        <v>27</v>
      </c>
      <c r="B104" s="55" t="s">
        <v>48</v>
      </c>
      <c r="C104" s="55" t="s">
        <v>576</v>
      </c>
      <c r="D104" s="55" t="s">
        <v>577</v>
      </c>
      <c r="E104" s="55" t="s">
        <v>51</v>
      </c>
      <c r="F104" s="55" t="s">
        <v>51</v>
      </c>
      <c r="G104" s="55">
        <v>89311</v>
      </c>
      <c r="H104" s="55">
        <v>88172</v>
      </c>
      <c r="I104" s="55">
        <v>3624178</v>
      </c>
      <c r="J104" s="55" t="s">
        <v>401</v>
      </c>
      <c r="K104" s="111" t="s">
        <v>32</v>
      </c>
      <c r="L104" s="55">
        <v>80740</v>
      </c>
      <c r="M104" s="55">
        <v>74054</v>
      </c>
      <c r="N104" s="55" t="s">
        <v>578</v>
      </c>
      <c r="O104" s="55" t="s">
        <v>579</v>
      </c>
      <c r="P104" s="112">
        <v>43921</v>
      </c>
      <c r="Q104" s="55"/>
      <c r="R104" s="55">
        <v>40532698</v>
      </c>
      <c r="S104" s="55">
        <v>20405326982</v>
      </c>
      <c r="T104" s="115">
        <v>43808</v>
      </c>
      <c r="U104" s="115">
        <v>43808</v>
      </c>
      <c r="V104" s="116">
        <v>43831</v>
      </c>
      <c r="W104" s="55">
        <v>280</v>
      </c>
      <c r="X104" s="118" t="s">
        <v>36</v>
      </c>
      <c r="Y104" s="127">
        <v>89969</v>
      </c>
      <c r="Z104" s="122" t="s">
        <v>37</v>
      </c>
      <c r="AA104" s="128" t="s">
        <v>56</v>
      </c>
    </row>
    <row r="105" hidden="1" spans="1:27">
      <c r="A105" s="54" t="s">
        <v>27</v>
      </c>
      <c r="B105" s="55" t="s">
        <v>48</v>
      </c>
      <c r="C105" s="55" t="s">
        <v>580</v>
      </c>
      <c r="D105" s="55" t="s">
        <v>581</v>
      </c>
      <c r="E105" s="55" t="s">
        <v>51</v>
      </c>
      <c r="F105" s="55" t="s">
        <v>51</v>
      </c>
      <c r="G105" s="55">
        <v>648073</v>
      </c>
      <c r="H105" s="55">
        <v>88357</v>
      </c>
      <c r="I105" s="55">
        <v>3667098</v>
      </c>
      <c r="J105" s="55" t="s">
        <v>32</v>
      </c>
      <c r="K105" s="111" t="s">
        <v>32</v>
      </c>
      <c r="L105" s="55">
        <v>80740</v>
      </c>
      <c r="M105" s="55">
        <v>74054</v>
      </c>
      <c r="N105" s="55" t="s">
        <v>582</v>
      </c>
      <c r="O105" s="55" t="s">
        <v>583</v>
      </c>
      <c r="P105" s="112">
        <v>43943</v>
      </c>
      <c r="Q105" s="55" t="s">
        <v>584</v>
      </c>
      <c r="R105" s="55">
        <v>40086091</v>
      </c>
      <c r="S105" s="55" t="s">
        <v>585</v>
      </c>
      <c r="T105" s="115">
        <v>43942</v>
      </c>
      <c r="U105" s="115">
        <v>43942</v>
      </c>
      <c r="V105" s="116">
        <v>43943</v>
      </c>
      <c r="W105" s="55">
        <v>148</v>
      </c>
      <c r="X105" s="118" t="s">
        <v>36</v>
      </c>
      <c r="Y105" s="127">
        <v>89970</v>
      </c>
      <c r="Z105" s="122" t="s">
        <v>37</v>
      </c>
      <c r="AA105" s="128" t="s">
        <v>56</v>
      </c>
    </row>
    <row r="106" hidden="1" spans="1:27">
      <c r="A106" s="52" t="s">
        <v>27</v>
      </c>
      <c r="B106" s="53" t="s">
        <v>48</v>
      </c>
      <c r="C106" s="53" t="s">
        <v>586</v>
      </c>
      <c r="D106" s="53" t="s">
        <v>587</v>
      </c>
      <c r="E106" s="53" t="s">
        <v>41</v>
      </c>
      <c r="F106" s="53" t="s">
        <v>41</v>
      </c>
      <c r="G106" s="53">
        <v>89110</v>
      </c>
      <c r="H106" s="53">
        <v>85199</v>
      </c>
      <c r="I106" s="53">
        <v>2792749</v>
      </c>
      <c r="J106" s="53" t="s">
        <v>60</v>
      </c>
      <c r="K106" s="53" t="s">
        <v>43</v>
      </c>
      <c r="L106" s="53">
        <v>80740</v>
      </c>
      <c r="M106" s="53">
        <v>74054</v>
      </c>
      <c r="N106" s="53" t="s">
        <v>588</v>
      </c>
      <c r="O106" s="53" t="s">
        <v>589</v>
      </c>
      <c r="P106" s="113">
        <v>44018</v>
      </c>
      <c r="Q106" s="53" t="s">
        <v>590</v>
      </c>
      <c r="R106" s="53">
        <v>38250399</v>
      </c>
      <c r="S106" s="53">
        <v>27382503991</v>
      </c>
      <c r="T106" s="58">
        <v>43150</v>
      </c>
      <c r="U106" s="58">
        <v>43409</v>
      </c>
      <c r="V106" s="59">
        <v>43423</v>
      </c>
      <c r="W106" s="53">
        <v>930</v>
      </c>
      <c r="X106" s="119" t="s">
        <v>36</v>
      </c>
      <c r="Y106" s="124">
        <v>89971</v>
      </c>
      <c r="Z106" s="125" t="s">
        <v>37</v>
      </c>
      <c r="AA106" s="126" t="s">
        <v>56</v>
      </c>
    </row>
    <row r="107" hidden="1" spans="1:27">
      <c r="A107" s="54" t="s">
        <v>27</v>
      </c>
      <c r="B107" s="55" t="s">
        <v>48</v>
      </c>
      <c r="C107" s="55" t="s">
        <v>591</v>
      </c>
      <c r="D107" s="55" t="s">
        <v>592</v>
      </c>
      <c r="E107" s="55" t="s">
        <v>51</v>
      </c>
      <c r="F107" s="55" t="s">
        <v>51</v>
      </c>
      <c r="G107" s="55">
        <v>648380</v>
      </c>
      <c r="H107" s="55">
        <v>79759</v>
      </c>
      <c r="I107" s="55">
        <v>1466034</v>
      </c>
      <c r="J107" s="55" t="s">
        <v>32</v>
      </c>
      <c r="K107" s="111" t="s">
        <v>32</v>
      </c>
      <c r="L107" s="55">
        <v>80740</v>
      </c>
      <c r="M107" s="55">
        <v>74054</v>
      </c>
      <c r="N107" s="55" t="s">
        <v>593</v>
      </c>
      <c r="O107" s="55" t="s">
        <v>594</v>
      </c>
      <c r="P107" s="112">
        <v>43969</v>
      </c>
      <c r="Q107" s="55" t="s">
        <v>595</v>
      </c>
      <c r="R107" s="55">
        <v>35262083</v>
      </c>
      <c r="S107" s="55">
        <v>27352620837</v>
      </c>
      <c r="T107" s="115">
        <v>41946</v>
      </c>
      <c r="U107" s="115">
        <v>43962</v>
      </c>
      <c r="V107" s="116">
        <v>43969</v>
      </c>
      <c r="W107" s="55">
        <v>2116</v>
      </c>
      <c r="X107" s="118" t="s">
        <v>36</v>
      </c>
      <c r="Y107" s="127">
        <v>648323</v>
      </c>
      <c r="Z107" s="122" t="s">
        <v>37</v>
      </c>
      <c r="AA107" s="128" t="s">
        <v>56</v>
      </c>
    </row>
    <row r="108" hidden="1" spans="1:27">
      <c r="A108" s="70" t="s">
        <v>27</v>
      </c>
      <c r="B108" s="71" t="s">
        <v>28</v>
      </c>
      <c r="C108" s="71" t="s">
        <v>596</v>
      </c>
      <c r="D108" s="71" t="s">
        <v>597</v>
      </c>
      <c r="E108" s="71" t="s">
        <v>31</v>
      </c>
      <c r="F108" s="71" t="s">
        <v>31</v>
      </c>
      <c r="G108" s="55">
        <v>89208</v>
      </c>
      <c r="H108" s="55">
        <v>87049</v>
      </c>
      <c r="I108" s="55">
        <v>1632745</v>
      </c>
      <c r="J108" s="55" t="s">
        <v>32</v>
      </c>
      <c r="K108" s="111" t="s">
        <v>32</v>
      </c>
      <c r="L108" s="55">
        <v>84825</v>
      </c>
      <c r="M108" s="55">
        <v>74054</v>
      </c>
      <c r="N108" s="55" t="s">
        <v>598</v>
      </c>
      <c r="O108" s="55" t="s">
        <v>599</v>
      </c>
      <c r="P108" s="112">
        <v>43912</v>
      </c>
      <c r="Q108" s="55" t="s">
        <v>600</v>
      </c>
      <c r="R108" s="55">
        <v>39478154</v>
      </c>
      <c r="S108" s="55" t="s">
        <v>601</v>
      </c>
      <c r="T108" s="115">
        <v>43668</v>
      </c>
      <c r="U108" s="115">
        <v>43669</v>
      </c>
      <c r="V108" s="116">
        <v>43678</v>
      </c>
      <c r="W108" s="55">
        <v>417</v>
      </c>
      <c r="X108" s="118" t="s">
        <v>36</v>
      </c>
      <c r="Y108" s="127">
        <v>89886</v>
      </c>
      <c r="Z108" s="122" t="s">
        <v>37</v>
      </c>
      <c r="AA108" s="128" t="s">
        <v>38</v>
      </c>
    </row>
    <row r="109" hidden="1" spans="1:27">
      <c r="A109" s="70" t="s">
        <v>27</v>
      </c>
      <c r="B109" s="71" t="s">
        <v>28</v>
      </c>
      <c r="C109" s="71" t="s">
        <v>602</v>
      </c>
      <c r="D109" s="71" t="s">
        <v>603</v>
      </c>
      <c r="E109" s="71" t="s">
        <v>283</v>
      </c>
      <c r="F109" s="71" t="s">
        <v>283</v>
      </c>
      <c r="G109" s="55">
        <v>89210</v>
      </c>
      <c r="H109" s="55">
        <v>87061</v>
      </c>
      <c r="I109" s="55">
        <v>3409646</v>
      </c>
      <c r="J109" s="55" t="s">
        <v>32</v>
      </c>
      <c r="K109" s="111" t="s">
        <v>32</v>
      </c>
      <c r="L109" s="55">
        <v>84825</v>
      </c>
      <c r="M109" s="55">
        <v>74054</v>
      </c>
      <c r="N109" s="55" t="s">
        <v>604</v>
      </c>
      <c r="O109" s="55" t="s">
        <v>605</v>
      </c>
      <c r="P109" s="112">
        <v>43919</v>
      </c>
      <c r="Q109" s="55" t="s">
        <v>606</v>
      </c>
      <c r="R109" s="55">
        <v>43162247</v>
      </c>
      <c r="S109" s="55">
        <v>27431622470</v>
      </c>
      <c r="T109" s="115">
        <v>43668</v>
      </c>
      <c r="U109" s="115">
        <v>43669</v>
      </c>
      <c r="V109" s="116">
        <v>43678</v>
      </c>
      <c r="W109" s="55">
        <v>417</v>
      </c>
      <c r="X109" s="118" t="s">
        <v>36</v>
      </c>
      <c r="Y109" s="127">
        <v>89972</v>
      </c>
      <c r="Z109" s="122" t="s">
        <v>37</v>
      </c>
      <c r="AA109" s="128" t="s">
        <v>255</v>
      </c>
    </row>
    <row r="110" hidden="1" spans="1:27">
      <c r="A110" s="70" t="s">
        <v>27</v>
      </c>
      <c r="B110" s="71" t="s">
        <v>28</v>
      </c>
      <c r="C110" s="71" t="s">
        <v>607</v>
      </c>
      <c r="D110" s="71" t="s">
        <v>608</v>
      </c>
      <c r="E110" s="71" t="s">
        <v>51</v>
      </c>
      <c r="F110" s="71" t="s">
        <v>51</v>
      </c>
      <c r="G110" s="55">
        <v>89305</v>
      </c>
      <c r="H110" s="55">
        <v>88166</v>
      </c>
      <c r="I110" s="55">
        <v>3624156</v>
      </c>
      <c r="J110" s="55" t="s">
        <v>32</v>
      </c>
      <c r="K110" s="111" t="s">
        <v>32</v>
      </c>
      <c r="L110" s="55">
        <v>84825</v>
      </c>
      <c r="M110" s="55">
        <v>74054</v>
      </c>
      <c r="N110" s="55" t="s">
        <v>609</v>
      </c>
      <c r="O110" s="55" t="s">
        <v>610</v>
      </c>
      <c r="P110" s="112">
        <v>43910</v>
      </c>
      <c r="Q110" s="55"/>
      <c r="R110" s="55">
        <v>40088998</v>
      </c>
      <c r="S110" s="55">
        <v>27400889983</v>
      </c>
      <c r="T110" s="115">
        <v>43808</v>
      </c>
      <c r="U110" s="115">
        <v>43808</v>
      </c>
      <c r="V110" s="116">
        <v>43831</v>
      </c>
      <c r="W110" s="55">
        <v>280</v>
      </c>
      <c r="X110" s="118" t="s">
        <v>36</v>
      </c>
      <c r="Y110" s="127">
        <v>89973</v>
      </c>
      <c r="Z110" s="122" t="s">
        <v>37</v>
      </c>
      <c r="AA110" s="128" t="s">
        <v>56</v>
      </c>
    </row>
    <row r="111" hidden="1" spans="1:27">
      <c r="A111" s="52" t="s">
        <v>27</v>
      </c>
      <c r="B111" s="53" t="s">
        <v>48</v>
      </c>
      <c r="C111" s="53" t="s">
        <v>611</v>
      </c>
      <c r="D111" s="53" t="s">
        <v>612</v>
      </c>
      <c r="E111" s="53" t="s">
        <v>51</v>
      </c>
      <c r="F111" s="53" t="s">
        <v>51</v>
      </c>
      <c r="G111" s="53">
        <v>89124</v>
      </c>
      <c r="H111" s="53">
        <v>86148</v>
      </c>
      <c r="I111" s="53">
        <v>3118297</v>
      </c>
      <c r="J111" s="53" t="s">
        <v>52</v>
      </c>
      <c r="K111" s="53" t="s">
        <v>43</v>
      </c>
      <c r="L111" s="53">
        <v>80740</v>
      </c>
      <c r="M111" s="53">
        <v>74054</v>
      </c>
      <c r="N111" s="53" t="s">
        <v>613</v>
      </c>
      <c r="O111" s="53" t="s">
        <v>614</v>
      </c>
      <c r="P111" s="113">
        <v>43910</v>
      </c>
      <c r="Q111" s="53" t="s">
        <v>615</v>
      </c>
      <c r="R111" s="53">
        <v>39078538</v>
      </c>
      <c r="S111" s="53">
        <v>20390785381</v>
      </c>
      <c r="T111" s="58">
        <v>43437</v>
      </c>
      <c r="U111" s="58">
        <v>43437</v>
      </c>
      <c r="V111" s="59">
        <v>43448</v>
      </c>
      <c r="W111" s="53">
        <v>646</v>
      </c>
      <c r="X111" s="119" t="s">
        <v>36</v>
      </c>
      <c r="Y111" s="124">
        <v>89797</v>
      </c>
      <c r="Z111" s="125" t="s">
        <v>37</v>
      </c>
      <c r="AA111" s="126" t="s">
        <v>56</v>
      </c>
    </row>
    <row r="112" hidden="1" spans="1:27">
      <c r="A112" s="54" t="s">
        <v>27</v>
      </c>
      <c r="B112" s="55" t="s">
        <v>48</v>
      </c>
      <c r="C112" s="55" t="s">
        <v>616</v>
      </c>
      <c r="D112" s="55" t="s">
        <v>617</v>
      </c>
      <c r="E112" s="55" t="s">
        <v>283</v>
      </c>
      <c r="F112" s="55" t="s">
        <v>283</v>
      </c>
      <c r="G112" s="55">
        <v>648229</v>
      </c>
      <c r="H112" s="55">
        <v>82706</v>
      </c>
      <c r="I112" s="55">
        <v>1506174</v>
      </c>
      <c r="J112" s="55" t="s">
        <v>43</v>
      </c>
      <c r="K112" s="111" t="s">
        <v>32</v>
      </c>
      <c r="L112" s="55">
        <v>80740</v>
      </c>
      <c r="M112" s="55">
        <v>74054</v>
      </c>
      <c r="N112" s="55" t="s">
        <v>618</v>
      </c>
      <c r="O112" s="55" t="s">
        <v>619</v>
      </c>
      <c r="P112" s="112">
        <v>43935</v>
      </c>
      <c r="Q112" s="55" t="s">
        <v>620</v>
      </c>
      <c r="R112" s="55">
        <v>38488834</v>
      </c>
      <c r="S112" s="55">
        <v>20384888349</v>
      </c>
      <c r="T112" s="115">
        <v>42716</v>
      </c>
      <c r="U112" s="115">
        <v>43930</v>
      </c>
      <c r="V112" s="116">
        <v>43935</v>
      </c>
      <c r="W112" s="55">
        <v>1357</v>
      </c>
      <c r="X112" s="118" t="s">
        <v>36</v>
      </c>
      <c r="Y112" s="127">
        <v>89914</v>
      </c>
      <c r="Z112" s="122" t="s">
        <v>37</v>
      </c>
      <c r="AA112" s="128" t="s">
        <v>255</v>
      </c>
    </row>
    <row r="113" hidden="1" spans="1:27">
      <c r="A113" s="52" t="s">
        <v>27</v>
      </c>
      <c r="B113" s="53" t="s">
        <v>48</v>
      </c>
      <c r="C113" s="53" t="s">
        <v>621</v>
      </c>
      <c r="D113" s="53" t="s">
        <v>622</v>
      </c>
      <c r="E113" s="53" t="s">
        <v>283</v>
      </c>
      <c r="F113" s="53" t="s">
        <v>283</v>
      </c>
      <c r="G113" s="53">
        <v>89272</v>
      </c>
      <c r="H113" s="53">
        <v>88047</v>
      </c>
      <c r="I113" s="53">
        <v>3553144</v>
      </c>
      <c r="J113" s="53" t="s">
        <v>32</v>
      </c>
      <c r="K113" s="53" t="s">
        <v>32</v>
      </c>
      <c r="L113" s="53">
        <v>80740</v>
      </c>
      <c r="M113" s="53">
        <v>74054</v>
      </c>
      <c r="N113" s="53" t="s">
        <v>623</v>
      </c>
      <c r="O113" s="53" t="s">
        <v>624</v>
      </c>
      <c r="P113" s="113">
        <v>43912</v>
      </c>
      <c r="Q113" s="53"/>
      <c r="R113" s="53">
        <v>38060703</v>
      </c>
      <c r="S113" s="53">
        <v>20380607035</v>
      </c>
      <c r="T113" s="58">
        <v>43766</v>
      </c>
      <c r="U113" s="58">
        <v>43766</v>
      </c>
      <c r="V113" s="59">
        <v>43776</v>
      </c>
      <c r="W113" s="53">
        <v>321</v>
      </c>
      <c r="X113" s="119" t="s">
        <v>36</v>
      </c>
      <c r="Y113" s="124">
        <v>89976</v>
      </c>
      <c r="Z113" s="125" t="s">
        <v>37</v>
      </c>
      <c r="AA113" s="126" t="s">
        <v>255</v>
      </c>
    </row>
    <row r="114" hidden="1" spans="1:27">
      <c r="A114" s="54" t="s">
        <v>27</v>
      </c>
      <c r="B114" s="55" t="s">
        <v>48</v>
      </c>
      <c r="C114" s="55" t="s">
        <v>625</v>
      </c>
      <c r="D114" s="55" t="s">
        <v>626</v>
      </c>
      <c r="E114" s="55" t="s">
        <v>51</v>
      </c>
      <c r="F114" s="55" t="s">
        <v>51</v>
      </c>
      <c r="G114" s="55">
        <v>89216</v>
      </c>
      <c r="H114" s="55">
        <v>87051</v>
      </c>
      <c r="I114" s="55">
        <v>3409670</v>
      </c>
      <c r="J114" s="55" t="s">
        <v>32</v>
      </c>
      <c r="K114" s="111" t="s">
        <v>32</v>
      </c>
      <c r="L114" s="55">
        <v>80740</v>
      </c>
      <c r="M114" s="55">
        <v>74054</v>
      </c>
      <c r="N114" s="55" t="s">
        <v>627</v>
      </c>
      <c r="O114" s="55" t="s">
        <v>628</v>
      </c>
      <c r="P114" s="112">
        <v>43917</v>
      </c>
      <c r="Q114" s="55" t="s">
        <v>629</v>
      </c>
      <c r="R114" s="55">
        <v>34953151</v>
      </c>
      <c r="S114" s="55">
        <v>27349531513</v>
      </c>
      <c r="T114" s="115">
        <v>43668</v>
      </c>
      <c r="U114" s="115">
        <v>43669</v>
      </c>
      <c r="V114" s="116">
        <v>43678</v>
      </c>
      <c r="W114" s="55">
        <v>417</v>
      </c>
      <c r="X114" s="118" t="s">
        <v>36</v>
      </c>
      <c r="Y114" s="127">
        <v>89977</v>
      </c>
      <c r="Z114" s="122" t="s">
        <v>37</v>
      </c>
      <c r="AA114" s="128" t="s">
        <v>38</v>
      </c>
    </row>
    <row r="115" hidden="1" spans="1:27">
      <c r="A115" s="68" t="s">
        <v>27</v>
      </c>
      <c r="B115" s="69" t="s">
        <v>48</v>
      </c>
      <c r="C115" s="69" t="s">
        <v>630</v>
      </c>
      <c r="D115" s="69" t="s">
        <v>631</v>
      </c>
      <c r="E115" s="69" t="s">
        <v>51</v>
      </c>
      <c r="F115" s="69" t="s">
        <v>51</v>
      </c>
      <c r="G115" s="55">
        <v>648081</v>
      </c>
      <c r="H115" s="55">
        <v>88365</v>
      </c>
      <c r="I115" s="55">
        <v>3667105</v>
      </c>
      <c r="J115" s="55" t="s">
        <v>32</v>
      </c>
      <c r="K115" s="111" t="s">
        <v>32</v>
      </c>
      <c r="L115" s="55">
        <v>80740</v>
      </c>
      <c r="M115" s="55">
        <v>74054</v>
      </c>
      <c r="N115" s="55" t="s">
        <v>632</v>
      </c>
      <c r="O115" s="55" t="s">
        <v>633</v>
      </c>
      <c r="P115" s="112">
        <v>43943</v>
      </c>
      <c r="Q115" s="55">
        <v>3815426913</v>
      </c>
      <c r="R115" s="55">
        <v>32158208</v>
      </c>
      <c r="S115" s="55" t="s">
        <v>634</v>
      </c>
      <c r="T115" s="115">
        <v>43942</v>
      </c>
      <c r="U115" s="115">
        <v>43942</v>
      </c>
      <c r="V115" s="116">
        <v>43943</v>
      </c>
      <c r="W115" s="55">
        <v>148</v>
      </c>
      <c r="X115" s="118" t="s">
        <v>36</v>
      </c>
      <c r="Y115" s="127">
        <v>89979</v>
      </c>
      <c r="Z115" s="122" t="s">
        <v>37</v>
      </c>
      <c r="AA115" s="128" t="s">
        <v>56</v>
      </c>
    </row>
    <row r="116" hidden="1" spans="1:27">
      <c r="A116" s="54" t="s">
        <v>27</v>
      </c>
      <c r="B116" s="55" t="s">
        <v>48</v>
      </c>
      <c r="C116" s="55" t="s">
        <v>635</v>
      </c>
      <c r="D116" s="55" t="s">
        <v>636</v>
      </c>
      <c r="E116" s="55" t="s">
        <v>51</v>
      </c>
      <c r="F116" s="55" t="s">
        <v>51</v>
      </c>
      <c r="G116" s="55">
        <v>648316</v>
      </c>
      <c r="H116" s="55">
        <v>87724</v>
      </c>
      <c r="I116" s="55">
        <v>3526407</v>
      </c>
      <c r="J116" s="55" t="s">
        <v>60</v>
      </c>
      <c r="K116" s="111" t="s">
        <v>43</v>
      </c>
      <c r="L116" s="55">
        <v>80740</v>
      </c>
      <c r="M116" s="55">
        <v>74054</v>
      </c>
      <c r="N116" s="55" t="s">
        <v>637</v>
      </c>
      <c r="O116" s="55" t="s">
        <v>638</v>
      </c>
      <c r="P116" s="112">
        <v>43955</v>
      </c>
      <c r="Q116" s="55" t="s">
        <v>639</v>
      </c>
      <c r="R116" s="55">
        <v>40085777</v>
      </c>
      <c r="S116" s="55">
        <v>27400857771</v>
      </c>
      <c r="T116" s="115">
        <v>43745</v>
      </c>
      <c r="U116" s="115">
        <v>43945</v>
      </c>
      <c r="V116" s="116">
        <v>43956</v>
      </c>
      <c r="W116" s="55">
        <v>342</v>
      </c>
      <c r="X116" s="118" t="s">
        <v>36</v>
      </c>
      <c r="Y116" s="127">
        <v>89995</v>
      </c>
      <c r="Z116" s="122" t="s">
        <v>37</v>
      </c>
      <c r="AA116" s="128" t="s">
        <v>56</v>
      </c>
    </row>
    <row r="117" hidden="1" spans="1:27">
      <c r="A117" s="54" t="s">
        <v>27</v>
      </c>
      <c r="B117" s="55" t="s">
        <v>48</v>
      </c>
      <c r="C117" s="55" t="s">
        <v>640</v>
      </c>
      <c r="D117" s="55" t="s">
        <v>641</v>
      </c>
      <c r="E117" s="55" t="s">
        <v>59</v>
      </c>
      <c r="F117" s="55" t="s">
        <v>59</v>
      </c>
      <c r="G117" s="55">
        <v>648233</v>
      </c>
      <c r="H117" s="55">
        <v>84361</v>
      </c>
      <c r="I117" s="55">
        <v>2741853</v>
      </c>
      <c r="J117" s="55" t="s">
        <v>52</v>
      </c>
      <c r="K117" s="111" t="s">
        <v>32</v>
      </c>
      <c r="L117" s="55">
        <v>80740</v>
      </c>
      <c r="M117" s="55">
        <v>74054</v>
      </c>
      <c r="N117" s="55" t="s">
        <v>642</v>
      </c>
      <c r="O117" s="55" t="s">
        <v>643</v>
      </c>
      <c r="P117" s="112">
        <v>43935</v>
      </c>
      <c r="Q117" s="55" t="s">
        <v>644</v>
      </c>
      <c r="R117" s="55">
        <v>36948295</v>
      </c>
      <c r="S117" s="55">
        <v>20369482956</v>
      </c>
      <c r="T117" s="115">
        <v>43102</v>
      </c>
      <c r="U117" s="115">
        <v>43930</v>
      </c>
      <c r="V117" s="116">
        <v>43935</v>
      </c>
      <c r="W117" s="55">
        <v>977</v>
      </c>
      <c r="X117" s="118" t="s">
        <v>36</v>
      </c>
      <c r="Y117" s="127">
        <v>89915</v>
      </c>
      <c r="Z117" s="122" t="s">
        <v>37</v>
      </c>
      <c r="AA117" s="128" t="s">
        <v>56</v>
      </c>
    </row>
    <row r="118" hidden="1" spans="1:27">
      <c r="A118" s="52" t="s">
        <v>27</v>
      </c>
      <c r="B118" s="53" t="s">
        <v>48</v>
      </c>
      <c r="C118" s="53" t="s">
        <v>645</v>
      </c>
      <c r="D118" s="53" t="s">
        <v>646</v>
      </c>
      <c r="E118" s="53" t="s">
        <v>41</v>
      </c>
      <c r="F118" s="53" t="s">
        <v>41</v>
      </c>
      <c r="G118" s="129">
        <v>89244</v>
      </c>
      <c r="H118" s="53">
        <v>87296</v>
      </c>
      <c r="I118" s="53">
        <v>3462473</v>
      </c>
      <c r="J118" s="53" t="s">
        <v>42</v>
      </c>
      <c r="K118" s="53" t="s">
        <v>43</v>
      </c>
      <c r="L118" s="53">
        <v>80740</v>
      </c>
      <c r="M118" s="53">
        <v>74054</v>
      </c>
      <c r="N118" s="53" t="s">
        <v>647</v>
      </c>
      <c r="O118" s="53" t="s">
        <v>648</v>
      </c>
      <c r="P118" s="113">
        <v>43921</v>
      </c>
      <c r="Q118" s="53">
        <v>3813039101</v>
      </c>
      <c r="R118" s="53">
        <v>32460235</v>
      </c>
      <c r="S118" s="53" t="s">
        <v>649</v>
      </c>
      <c r="T118" s="58">
        <v>43703</v>
      </c>
      <c r="U118" s="58">
        <v>43703</v>
      </c>
      <c r="V118" s="59">
        <v>43713</v>
      </c>
      <c r="W118" s="53">
        <v>383</v>
      </c>
      <c r="X118" s="119" t="s">
        <v>36</v>
      </c>
      <c r="Y118" s="124">
        <v>648242</v>
      </c>
      <c r="Z118" s="125" t="s">
        <v>37</v>
      </c>
      <c r="AA118" s="126" t="s">
        <v>56</v>
      </c>
    </row>
    <row r="119" hidden="1" spans="1:27">
      <c r="A119" s="54" t="s">
        <v>27</v>
      </c>
      <c r="B119" s="55" t="s">
        <v>48</v>
      </c>
      <c r="C119" s="55" t="s">
        <v>650</v>
      </c>
      <c r="D119" s="55" t="s">
        <v>651</v>
      </c>
      <c r="E119" s="55" t="s">
        <v>51</v>
      </c>
      <c r="F119" s="55" t="s">
        <v>51</v>
      </c>
      <c r="G119" s="55">
        <v>89315</v>
      </c>
      <c r="H119" s="55">
        <v>88176</v>
      </c>
      <c r="I119" s="55">
        <v>3624188</v>
      </c>
      <c r="J119" s="55" t="s">
        <v>32</v>
      </c>
      <c r="K119" s="111" t="s">
        <v>32</v>
      </c>
      <c r="L119" s="55">
        <v>80740</v>
      </c>
      <c r="M119" s="55">
        <v>74054</v>
      </c>
      <c r="N119" s="55" t="s">
        <v>652</v>
      </c>
      <c r="O119" s="55" t="s">
        <v>653</v>
      </c>
      <c r="P119" s="112">
        <v>43989</v>
      </c>
      <c r="Q119" s="55"/>
      <c r="R119" s="55">
        <v>41522108</v>
      </c>
      <c r="S119" s="55">
        <v>27415221083</v>
      </c>
      <c r="T119" s="115">
        <v>43808</v>
      </c>
      <c r="U119" s="115">
        <v>43808</v>
      </c>
      <c r="V119" s="116">
        <v>43831</v>
      </c>
      <c r="W119" s="55">
        <v>280</v>
      </c>
      <c r="X119" s="118" t="s">
        <v>36</v>
      </c>
      <c r="Y119" s="127">
        <v>89980</v>
      </c>
      <c r="Z119" s="122" t="s">
        <v>37</v>
      </c>
      <c r="AA119" s="128" t="s">
        <v>56</v>
      </c>
    </row>
    <row r="120" hidden="1" spans="1:27">
      <c r="A120" s="54" t="s">
        <v>27</v>
      </c>
      <c r="B120" s="55" t="s">
        <v>48</v>
      </c>
      <c r="C120" s="55" t="s">
        <v>654</v>
      </c>
      <c r="D120" s="55" t="s">
        <v>655</v>
      </c>
      <c r="E120" s="55" t="s">
        <v>283</v>
      </c>
      <c r="F120" s="55" t="s">
        <v>283</v>
      </c>
      <c r="G120" s="55">
        <v>89219</v>
      </c>
      <c r="H120" s="55">
        <v>87059</v>
      </c>
      <c r="I120" s="55">
        <v>3267967</v>
      </c>
      <c r="J120" s="55" t="s">
        <v>32</v>
      </c>
      <c r="K120" s="111" t="s">
        <v>32</v>
      </c>
      <c r="L120" s="55">
        <v>80740</v>
      </c>
      <c r="M120" s="55">
        <v>74054</v>
      </c>
      <c r="N120" s="55" t="s">
        <v>656</v>
      </c>
      <c r="O120" s="55" t="s">
        <v>657</v>
      </c>
      <c r="P120" s="112">
        <v>43915</v>
      </c>
      <c r="Q120" s="55" t="s">
        <v>658</v>
      </c>
      <c r="R120" s="55">
        <v>38063040</v>
      </c>
      <c r="S120" s="55">
        <v>27380630406</v>
      </c>
      <c r="T120" s="115">
        <v>43668</v>
      </c>
      <c r="U120" s="115">
        <v>43669</v>
      </c>
      <c r="V120" s="116">
        <v>43678</v>
      </c>
      <c r="W120" s="55">
        <v>417</v>
      </c>
      <c r="X120" s="118" t="s">
        <v>36</v>
      </c>
      <c r="Y120" s="127">
        <v>89982</v>
      </c>
      <c r="Z120" s="122" t="s">
        <v>37</v>
      </c>
      <c r="AA120" s="128" t="s">
        <v>255</v>
      </c>
    </row>
    <row r="121" hidden="1" spans="1:27">
      <c r="A121" s="54" t="s">
        <v>138</v>
      </c>
      <c r="B121" s="55" t="s">
        <v>659</v>
      </c>
      <c r="C121" s="55" t="s">
        <v>660</v>
      </c>
      <c r="D121" s="55" t="s">
        <v>504</v>
      </c>
      <c r="E121" s="55" t="s">
        <v>134</v>
      </c>
      <c r="F121" s="55" t="s">
        <v>134</v>
      </c>
      <c r="G121" s="55">
        <v>89017</v>
      </c>
      <c r="H121" s="55">
        <v>85609</v>
      </c>
      <c r="I121" s="55">
        <v>1584478</v>
      </c>
      <c r="J121" s="55" t="s">
        <v>66</v>
      </c>
      <c r="K121" s="111" t="s">
        <v>66</v>
      </c>
      <c r="L121" s="55">
        <v>74323</v>
      </c>
      <c r="M121" s="55">
        <v>64118</v>
      </c>
      <c r="N121" s="55" t="s">
        <v>661</v>
      </c>
      <c r="O121" s="55" t="s">
        <v>662</v>
      </c>
      <c r="P121" s="112">
        <v>43945</v>
      </c>
      <c r="Q121" s="55" t="s">
        <v>663</v>
      </c>
      <c r="R121" s="55">
        <v>36350437</v>
      </c>
      <c r="S121" s="55">
        <v>20363504370</v>
      </c>
      <c r="T121" s="115">
        <v>43227</v>
      </c>
      <c r="U121" s="115">
        <v>43259</v>
      </c>
      <c r="V121" s="116">
        <v>43262</v>
      </c>
      <c r="W121" s="55">
        <v>852</v>
      </c>
      <c r="X121" s="118" t="s">
        <v>36</v>
      </c>
      <c r="Y121" s="127">
        <v>89924</v>
      </c>
      <c r="Z121" s="122" t="s">
        <v>37</v>
      </c>
      <c r="AA121" s="128" t="s">
        <v>275</v>
      </c>
    </row>
    <row r="122" hidden="1" spans="1:27">
      <c r="A122" s="54" t="s">
        <v>138</v>
      </c>
      <c r="B122" s="55" t="s">
        <v>659</v>
      </c>
      <c r="C122" s="55" t="s">
        <v>318</v>
      </c>
      <c r="D122" s="55" t="s">
        <v>664</v>
      </c>
      <c r="E122" s="55" t="s">
        <v>134</v>
      </c>
      <c r="F122" s="55" t="s">
        <v>134</v>
      </c>
      <c r="G122" s="55">
        <v>89025</v>
      </c>
      <c r="H122" s="55">
        <v>85619</v>
      </c>
      <c r="I122" s="55">
        <v>2873635</v>
      </c>
      <c r="J122" s="55" t="s">
        <v>77</v>
      </c>
      <c r="K122" s="111" t="s">
        <v>77</v>
      </c>
      <c r="L122" s="55">
        <v>74323</v>
      </c>
      <c r="M122" s="55">
        <v>64118</v>
      </c>
      <c r="N122" s="55" t="s">
        <v>665</v>
      </c>
      <c r="O122" s="55" t="s">
        <v>666</v>
      </c>
      <c r="P122" s="112">
        <v>43910</v>
      </c>
      <c r="Q122" s="55" t="s">
        <v>667</v>
      </c>
      <c r="R122" s="55">
        <v>33978353</v>
      </c>
      <c r="S122" s="55">
        <v>27339783530</v>
      </c>
      <c r="T122" s="115">
        <v>43227</v>
      </c>
      <c r="U122" s="115">
        <v>43259</v>
      </c>
      <c r="V122" s="116">
        <v>43262</v>
      </c>
      <c r="W122" s="55">
        <v>852</v>
      </c>
      <c r="X122" s="118" t="s">
        <v>36</v>
      </c>
      <c r="Y122" s="127">
        <v>89925</v>
      </c>
      <c r="Z122" s="122" t="s">
        <v>37</v>
      </c>
      <c r="AA122" s="126" t="s">
        <v>275</v>
      </c>
    </row>
    <row r="123" hidden="1" spans="1:27">
      <c r="A123" s="52" t="s">
        <v>138</v>
      </c>
      <c r="B123" s="53" t="s">
        <v>659</v>
      </c>
      <c r="C123" s="53" t="s">
        <v>668</v>
      </c>
      <c r="D123" s="53" t="s">
        <v>669</v>
      </c>
      <c r="E123" s="53" t="s">
        <v>134</v>
      </c>
      <c r="F123" s="53" t="s">
        <v>134</v>
      </c>
      <c r="G123" s="53">
        <v>89307</v>
      </c>
      <c r="H123" s="53">
        <v>88168</v>
      </c>
      <c r="I123" s="53">
        <v>3624164</v>
      </c>
      <c r="J123" s="53" t="s">
        <v>32</v>
      </c>
      <c r="K123" s="53" t="s">
        <v>32</v>
      </c>
      <c r="L123" s="53">
        <v>74323</v>
      </c>
      <c r="M123" s="53">
        <v>64118</v>
      </c>
      <c r="N123" s="53" t="s">
        <v>670</v>
      </c>
      <c r="O123" s="53" t="s">
        <v>671</v>
      </c>
      <c r="P123" s="113">
        <v>43919</v>
      </c>
      <c r="Q123" s="53"/>
      <c r="R123" s="53">
        <v>40274928</v>
      </c>
      <c r="S123" s="53">
        <v>27402749283</v>
      </c>
      <c r="T123" s="58">
        <v>43808</v>
      </c>
      <c r="U123" s="58">
        <v>43808</v>
      </c>
      <c r="V123" s="59">
        <v>43831</v>
      </c>
      <c r="W123" s="53">
        <v>280</v>
      </c>
      <c r="X123" s="119" t="s">
        <v>36</v>
      </c>
      <c r="Y123" s="124">
        <v>648241</v>
      </c>
      <c r="Z123" s="125" t="s">
        <v>37</v>
      </c>
      <c r="AA123" s="126" t="s">
        <v>275</v>
      </c>
    </row>
    <row r="124" hidden="1" spans="1:27">
      <c r="A124" s="54" t="s">
        <v>138</v>
      </c>
      <c r="B124" s="55" t="s">
        <v>659</v>
      </c>
      <c r="C124" s="55" t="s">
        <v>672</v>
      </c>
      <c r="D124" s="55" t="s">
        <v>673</v>
      </c>
      <c r="E124" s="55" t="s">
        <v>134</v>
      </c>
      <c r="F124" s="55" t="s">
        <v>134</v>
      </c>
      <c r="G124" s="55">
        <v>89009</v>
      </c>
      <c r="H124" s="55">
        <v>78561</v>
      </c>
      <c r="I124" s="55">
        <v>1159887</v>
      </c>
      <c r="J124" s="55" t="s">
        <v>77</v>
      </c>
      <c r="K124" s="111" t="s">
        <v>78</v>
      </c>
      <c r="L124" s="55">
        <v>74323</v>
      </c>
      <c r="M124" s="55">
        <v>64118</v>
      </c>
      <c r="N124" s="55" t="s">
        <v>674</v>
      </c>
      <c r="O124" s="55" t="s">
        <v>675</v>
      </c>
      <c r="P124" s="112">
        <v>43919</v>
      </c>
      <c r="Q124" s="55" t="s">
        <v>676</v>
      </c>
      <c r="R124" s="55">
        <v>37501588</v>
      </c>
      <c r="S124" s="55">
        <v>23375015889</v>
      </c>
      <c r="T124" s="115">
        <v>41643</v>
      </c>
      <c r="U124" s="115">
        <v>43259</v>
      </c>
      <c r="V124" s="116">
        <v>43262</v>
      </c>
      <c r="W124" s="55">
        <v>2415</v>
      </c>
      <c r="X124" s="118" t="s">
        <v>36</v>
      </c>
      <c r="Y124" s="127">
        <v>89926</v>
      </c>
      <c r="Z124" s="122" t="s">
        <v>37</v>
      </c>
      <c r="AA124" s="126" t="s">
        <v>275</v>
      </c>
    </row>
    <row r="125" hidden="1" spans="1:27">
      <c r="A125" s="52" t="s">
        <v>138</v>
      </c>
      <c r="B125" s="53" t="s">
        <v>659</v>
      </c>
      <c r="C125" s="53" t="s">
        <v>677</v>
      </c>
      <c r="D125" s="53" t="s">
        <v>678</v>
      </c>
      <c r="E125" s="53" t="s">
        <v>134</v>
      </c>
      <c r="F125" s="53" t="s">
        <v>134</v>
      </c>
      <c r="G125" s="53">
        <v>89181</v>
      </c>
      <c r="H125" s="53">
        <v>86326</v>
      </c>
      <c r="I125" s="53">
        <v>3138477</v>
      </c>
      <c r="J125" s="53" t="s">
        <v>66</v>
      </c>
      <c r="K125" s="53" t="s">
        <v>66</v>
      </c>
      <c r="L125" s="53">
        <v>74323</v>
      </c>
      <c r="M125" s="53">
        <v>64118</v>
      </c>
      <c r="N125" s="53" t="s">
        <v>679</v>
      </c>
      <c r="O125" s="53" t="s">
        <v>680</v>
      </c>
      <c r="P125" s="113">
        <v>43916</v>
      </c>
      <c r="Q125" s="53" t="s">
        <v>681</v>
      </c>
      <c r="R125" s="53">
        <v>35029789</v>
      </c>
      <c r="S125" s="53">
        <v>27350297893</v>
      </c>
      <c r="T125" s="58">
        <v>43460</v>
      </c>
      <c r="U125" s="58">
        <v>43460</v>
      </c>
      <c r="V125" s="59">
        <v>43476</v>
      </c>
      <c r="W125" s="53">
        <v>623</v>
      </c>
      <c r="X125" s="119" t="s">
        <v>36</v>
      </c>
      <c r="Y125" s="124">
        <v>89927</v>
      </c>
      <c r="Z125" s="125" t="s">
        <v>37</v>
      </c>
      <c r="AA125" s="126" t="s">
        <v>275</v>
      </c>
    </row>
    <row r="126" hidden="1" spans="1:27">
      <c r="A126" s="54" t="s">
        <v>138</v>
      </c>
      <c r="B126" s="55" t="s">
        <v>659</v>
      </c>
      <c r="C126" s="55" t="s">
        <v>682</v>
      </c>
      <c r="D126" s="55" t="s">
        <v>683</v>
      </c>
      <c r="E126" s="55" t="s">
        <v>134</v>
      </c>
      <c r="F126" s="55" t="s">
        <v>134</v>
      </c>
      <c r="G126" s="55">
        <v>89184</v>
      </c>
      <c r="H126" s="55">
        <v>86327</v>
      </c>
      <c r="I126" s="55">
        <v>3138516</v>
      </c>
      <c r="J126" s="55" t="s">
        <v>32</v>
      </c>
      <c r="K126" s="111" t="s">
        <v>32</v>
      </c>
      <c r="L126" s="55">
        <v>74323</v>
      </c>
      <c r="M126" s="55">
        <v>64118</v>
      </c>
      <c r="N126" s="55" t="s">
        <v>684</v>
      </c>
      <c r="O126" s="55" t="s">
        <v>685</v>
      </c>
      <c r="P126" s="112">
        <v>43916</v>
      </c>
      <c r="Q126" s="55" t="s">
        <v>686</v>
      </c>
      <c r="R126" s="55">
        <v>25502915</v>
      </c>
      <c r="S126" s="55">
        <v>27255029156</v>
      </c>
      <c r="T126" s="115">
        <v>43460</v>
      </c>
      <c r="U126" s="115">
        <v>43460</v>
      </c>
      <c r="V126" s="116">
        <v>43476</v>
      </c>
      <c r="W126" s="55">
        <v>623</v>
      </c>
      <c r="X126" s="118" t="s">
        <v>36</v>
      </c>
      <c r="Y126" s="127">
        <v>89944</v>
      </c>
      <c r="Z126" s="122" t="s">
        <v>37</v>
      </c>
      <c r="AA126" s="128" t="s">
        <v>275</v>
      </c>
    </row>
    <row r="127" hidden="1" spans="1:27">
      <c r="A127" s="52" t="s">
        <v>138</v>
      </c>
      <c r="B127" s="53" t="s">
        <v>659</v>
      </c>
      <c r="C127" s="53" t="s">
        <v>687</v>
      </c>
      <c r="D127" s="53" t="s">
        <v>688</v>
      </c>
      <c r="E127" s="53" t="s">
        <v>134</v>
      </c>
      <c r="F127" s="53" t="s">
        <v>134</v>
      </c>
      <c r="G127" s="53">
        <v>89037</v>
      </c>
      <c r="H127" s="53">
        <v>76594</v>
      </c>
      <c r="I127" s="53">
        <v>796797</v>
      </c>
      <c r="J127" s="53" t="s">
        <v>32</v>
      </c>
      <c r="K127" s="53" t="s">
        <v>32</v>
      </c>
      <c r="L127" s="53">
        <v>74323</v>
      </c>
      <c r="M127" s="53">
        <v>64118</v>
      </c>
      <c r="N127" s="53" t="s">
        <v>689</v>
      </c>
      <c r="O127" s="53" t="s">
        <v>690</v>
      </c>
      <c r="P127" s="113">
        <v>43921</v>
      </c>
      <c r="Q127" s="53" t="s">
        <v>691</v>
      </c>
      <c r="R127" s="53">
        <v>33609113</v>
      </c>
      <c r="S127" s="53">
        <v>20336091137</v>
      </c>
      <c r="T127" s="58">
        <v>41008</v>
      </c>
      <c r="U127" s="58">
        <v>43327</v>
      </c>
      <c r="V127" s="59">
        <v>43328</v>
      </c>
      <c r="W127" s="53">
        <v>3040</v>
      </c>
      <c r="X127" s="119" t="s">
        <v>36</v>
      </c>
      <c r="Y127" s="124">
        <v>89928</v>
      </c>
      <c r="Z127" s="125" t="s">
        <v>37</v>
      </c>
      <c r="AA127" s="126" t="s">
        <v>275</v>
      </c>
    </row>
    <row r="128" hidden="1" spans="1:27">
      <c r="A128" s="52" t="s">
        <v>138</v>
      </c>
      <c r="B128" s="53" t="s">
        <v>659</v>
      </c>
      <c r="C128" s="53" t="s">
        <v>692</v>
      </c>
      <c r="D128" s="53" t="s">
        <v>693</v>
      </c>
      <c r="E128" s="53" t="s">
        <v>359</v>
      </c>
      <c r="F128" s="53" t="s">
        <v>359</v>
      </c>
      <c r="G128" s="53">
        <v>89212</v>
      </c>
      <c r="H128" s="53">
        <v>87058</v>
      </c>
      <c r="I128" s="53">
        <v>2702133</v>
      </c>
      <c r="J128" s="53" t="s">
        <v>32</v>
      </c>
      <c r="K128" s="53" t="s">
        <v>32</v>
      </c>
      <c r="L128" s="53">
        <v>74323</v>
      </c>
      <c r="M128" s="53">
        <v>64118</v>
      </c>
      <c r="N128" s="53" t="s">
        <v>694</v>
      </c>
      <c r="O128" s="53" t="s">
        <v>695</v>
      </c>
      <c r="P128" s="113">
        <v>43917</v>
      </c>
      <c r="Q128" s="53" t="s">
        <v>696</v>
      </c>
      <c r="R128" s="53">
        <v>37837958</v>
      </c>
      <c r="S128" s="53">
        <v>27378379585</v>
      </c>
      <c r="T128" s="58">
        <v>43668</v>
      </c>
      <c r="U128" s="58">
        <v>43669</v>
      </c>
      <c r="V128" s="59">
        <v>43678</v>
      </c>
      <c r="W128" s="53">
        <v>417</v>
      </c>
      <c r="X128" s="119" t="s">
        <v>36</v>
      </c>
      <c r="Y128" s="124">
        <v>89872</v>
      </c>
      <c r="Z128" s="125" t="s">
        <v>37</v>
      </c>
      <c r="AA128" s="126" t="s">
        <v>38</v>
      </c>
    </row>
    <row r="129" hidden="1" spans="1:27">
      <c r="A129" s="54" t="s">
        <v>138</v>
      </c>
      <c r="B129" s="55" t="s">
        <v>659</v>
      </c>
      <c r="C129" s="55" t="s">
        <v>697</v>
      </c>
      <c r="D129" s="55" t="s">
        <v>698</v>
      </c>
      <c r="E129" s="55" t="s">
        <v>134</v>
      </c>
      <c r="F129" s="55" t="s">
        <v>134</v>
      </c>
      <c r="G129" s="55">
        <v>89126</v>
      </c>
      <c r="H129" s="55">
        <v>86147</v>
      </c>
      <c r="I129" s="55">
        <v>3118280</v>
      </c>
      <c r="J129" s="55" t="s">
        <v>32</v>
      </c>
      <c r="K129" s="111" t="s">
        <v>32</v>
      </c>
      <c r="L129" s="55">
        <v>74323</v>
      </c>
      <c r="M129" s="55">
        <v>64118</v>
      </c>
      <c r="N129" s="55" t="s">
        <v>699</v>
      </c>
      <c r="O129" s="55" t="s">
        <v>700</v>
      </c>
      <c r="P129" s="112">
        <v>43919</v>
      </c>
      <c r="Q129" s="55" t="s">
        <v>701</v>
      </c>
      <c r="R129" s="55">
        <v>37740165</v>
      </c>
      <c r="S129" s="55">
        <v>23377401654</v>
      </c>
      <c r="T129" s="115">
        <v>43437</v>
      </c>
      <c r="U129" s="115">
        <v>43437</v>
      </c>
      <c r="V129" s="116">
        <v>43448</v>
      </c>
      <c r="W129" s="55">
        <v>646</v>
      </c>
      <c r="X129" s="118" t="s">
        <v>36</v>
      </c>
      <c r="Y129" s="127">
        <v>89929</v>
      </c>
      <c r="Z129" s="122" t="s">
        <v>37</v>
      </c>
      <c r="AA129" s="128" t="s">
        <v>275</v>
      </c>
    </row>
    <row r="130" hidden="1" spans="1:27">
      <c r="A130" s="52" t="s">
        <v>138</v>
      </c>
      <c r="B130" s="53" t="s">
        <v>659</v>
      </c>
      <c r="C130" s="53" t="s">
        <v>702</v>
      </c>
      <c r="D130" s="53" t="s">
        <v>703</v>
      </c>
      <c r="E130" s="53" t="s">
        <v>59</v>
      </c>
      <c r="F130" s="53" t="s">
        <v>59</v>
      </c>
      <c r="G130" s="53">
        <v>89003</v>
      </c>
      <c r="H130" s="53">
        <v>81254</v>
      </c>
      <c r="I130" s="53">
        <v>1313201</v>
      </c>
      <c r="J130" s="53" t="s">
        <v>32</v>
      </c>
      <c r="K130" s="53" t="s">
        <v>32</v>
      </c>
      <c r="L130" s="53">
        <v>74323</v>
      </c>
      <c r="M130" s="53">
        <v>64118</v>
      </c>
      <c r="N130" s="53" t="s">
        <v>704</v>
      </c>
      <c r="O130" s="53" t="s">
        <v>705</v>
      </c>
      <c r="P130" s="113"/>
      <c r="Q130" s="53" t="s">
        <v>706</v>
      </c>
      <c r="R130" s="53">
        <v>32775545</v>
      </c>
      <c r="S130" s="53">
        <v>27327755450</v>
      </c>
      <c r="T130" s="58">
        <v>42347</v>
      </c>
      <c r="U130" s="58">
        <v>43259</v>
      </c>
      <c r="V130" s="59">
        <v>43262</v>
      </c>
      <c r="W130" s="53">
        <v>1720</v>
      </c>
      <c r="X130" s="119" t="s">
        <v>36</v>
      </c>
      <c r="Y130" s="124"/>
      <c r="Z130" s="125" t="s">
        <v>441</v>
      </c>
      <c r="AA130" s="126" t="s">
        <v>275</v>
      </c>
    </row>
    <row r="131" hidden="1" spans="1:27">
      <c r="A131" s="54" t="s">
        <v>138</v>
      </c>
      <c r="B131" s="55" t="s">
        <v>659</v>
      </c>
      <c r="C131" s="55" t="s">
        <v>707</v>
      </c>
      <c r="D131" s="55" t="s">
        <v>708</v>
      </c>
      <c r="E131" s="55" t="s">
        <v>134</v>
      </c>
      <c r="F131" s="55" t="s">
        <v>134</v>
      </c>
      <c r="G131" s="55">
        <v>89085</v>
      </c>
      <c r="H131" s="55">
        <v>82428</v>
      </c>
      <c r="I131" s="55">
        <v>1581549</v>
      </c>
      <c r="J131" s="55" t="s">
        <v>32</v>
      </c>
      <c r="K131" s="111" t="s">
        <v>32</v>
      </c>
      <c r="L131" s="55">
        <v>74323</v>
      </c>
      <c r="M131" s="55">
        <v>64118</v>
      </c>
      <c r="N131" s="55" t="s">
        <v>709</v>
      </c>
      <c r="O131" s="55" t="s">
        <v>710</v>
      </c>
      <c r="P131" s="112">
        <v>43912</v>
      </c>
      <c r="Q131" s="55" t="s">
        <v>711</v>
      </c>
      <c r="R131" s="55">
        <v>31127334</v>
      </c>
      <c r="S131" s="55">
        <v>27311273340</v>
      </c>
      <c r="T131" s="115">
        <v>42636</v>
      </c>
      <c r="U131" s="115">
        <v>43409</v>
      </c>
      <c r="V131" s="116">
        <v>43423</v>
      </c>
      <c r="W131" s="55">
        <v>1436</v>
      </c>
      <c r="X131" s="118" t="s">
        <v>36</v>
      </c>
      <c r="Y131" s="127">
        <v>89976</v>
      </c>
      <c r="Z131" s="122" t="s">
        <v>37</v>
      </c>
      <c r="AA131" s="128" t="s">
        <v>275</v>
      </c>
    </row>
    <row r="132" hidden="1" spans="1:27">
      <c r="A132" s="54" t="s">
        <v>138</v>
      </c>
      <c r="B132" s="55" t="s">
        <v>659</v>
      </c>
      <c r="C132" s="55" t="s">
        <v>378</v>
      </c>
      <c r="D132" s="55" t="s">
        <v>712</v>
      </c>
      <c r="E132" s="55" t="s">
        <v>134</v>
      </c>
      <c r="F132" s="55" t="s">
        <v>134</v>
      </c>
      <c r="G132" s="55">
        <v>89045</v>
      </c>
      <c r="H132" s="55">
        <v>83798</v>
      </c>
      <c r="I132" s="55">
        <v>2593757</v>
      </c>
      <c r="J132" s="55" t="s">
        <v>66</v>
      </c>
      <c r="K132" s="111" t="s">
        <v>123</v>
      </c>
      <c r="L132" s="55">
        <v>74323</v>
      </c>
      <c r="M132" s="55">
        <v>64118</v>
      </c>
      <c r="N132" s="55" t="s">
        <v>713</v>
      </c>
      <c r="O132" s="55" t="s">
        <v>714</v>
      </c>
      <c r="P132" s="112">
        <v>43917</v>
      </c>
      <c r="Q132" s="55" t="s">
        <v>715</v>
      </c>
      <c r="R132" s="55">
        <v>39140995</v>
      </c>
      <c r="S132" s="55">
        <v>27391409957</v>
      </c>
      <c r="T132" s="115">
        <v>42954</v>
      </c>
      <c r="U132" s="115">
        <v>43327</v>
      </c>
      <c r="V132" s="116">
        <v>43328</v>
      </c>
      <c r="W132" s="55">
        <v>1122</v>
      </c>
      <c r="X132" s="118" t="s">
        <v>36</v>
      </c>
      <c r="Y132" s="127">
        <v>89930</v>
      </c>
      <c r="Z132" s="122" t="s">
        <v>37</v>
      </c>
      <c r="AA132" s="128" t="s">
        <v>275</v>
      </c>
    </row>
    <row r="133" hidden="1" spans="1:27">
      <c r="A133" s="54" t="s">
        <v>138</v>
      </c>
      <c r="B133" s="55" t="s">
        <v>659</v>
      </c>
      <c r="C133" s="55" t="s">
        <v>538</v>
      </c>
      <c r="D133" s="55" t="s">
        <v>716</v>
      </c>
      <c r="E133" s="55" t="s">
        <v>134</v>
      </c>
      <c r="F133" s="55" t="s">
        <v>134</v>
      </c>
      <c r="G133" s="55">
        <v>89020</v>
      </c>
      <c r="H133" s="55">
        <v>85612</v>
      </c>
      <c r="I133" s="55">
        <v>2445213</v>
      </c>
      <c r="J133" s="55" t="s">
        <v>77</v>
      </c>
      <c r="K133" s="111" t="s">
        <v>77</v>
      </c>
      <c r="L133" s="55">
        <v>74323</v>
      </c>
      <c r="M133" s="55">
        <v>64118</v>
      </c>
      <c r="N133" s="55" t="s">
        <v>717</v>
      </c>
      <c r="O133" s="55" t="s">
        <v>718</v>
      </c>
      <c r="P133" s="112">
        <v>43945</v>
      </c>
      <c r="Q133" s="55" t="s">
        <v>719</v>
      </c>
      <c r="R133" s="55">
        <v>41060279</v>
      </c>
      <c r="S133" s="55">
        <v>27410602798</v>
      </c>
      <c r="T133" s="115">
        <v>43227</v>
      </c>
      <c r="U133" s="115">
        <v>43259</v>
      </c>
      <c r="V133" s="116">
        <v>43262</v>
      </c>
      <c r="W133" s="55">
        <v>852</v>
      </c>
      <c r="X133" s="118" t="s">
        <v>36</v>
      </c>
      <c r="Y133" s="127">
        <v>89796</v>
      </c>
      <c r="Z133" s="122" t="s">
        <v>37</v>
      </c>
      <c r="AA133" s="126" t="s">
        <v>275</v>
      </c>
    </row>
    <row r="134" hidden="1" spans="1:27">
      <c r="A134" s="54" t="s">
        <v>138</v>
      </c>
      <c r="B134" s="55" t="s">
        <v>659</v>
      </c>
      <c r="C134" s="55" t="s">
        <v>720</v>
      </c>
      <c r="D134" s="55" t="s">
        <v>721</v>
      </c>
      <c r="E134" s="55" t="s">
        <v>134</v>
      </c>
      <c r="F134" s="55" t="s">
        <v>134</v>
      </c>
      <c r="G134" s="55">
        <v>89000</v>
      </c>
      <c r="H134" s="55">
        <v>82330</v>
      </c>
      <c r="I134" s="55">
        <v>1704898</v>
      </c>
      <c r="J134" s="55" t="s">
        <v>122</v>
      </c>
      <c r="K134" s="111" t="s">
        <v>722</v>
      </c>
      <c r="L134" s="55">
        <v>74323</v>
      </c>
      <c r="M134" s="55">
        <v>64118</v>
      </c>
      <c r="N134" s="55" t="s">
        <v>723</v>
      </c>
      <c r="O134" s="55" t="s">
        <v>724</v>
      </c>
      <c r="P134" s="112">
        <v>43915</v>
      </c>
      <c r="Q134" s="55" t="s">
        <v>725</v>
      </c>
      <c r="R134" s="55">
        <v>39138577</v>
      </c>
      <c r="S134" s="55">
        <v>20391385778</v>
      </c>
      <c r="T134" s="115">
        <v>42613</v>
      </c>
      <c r="U134" s="115">
        <v>43259</v>
      </c>
      <c r="V134" s="116">
        <v>43262</v>
      </c>
      <c r="W134" s="55">
        <v>1459</v>
      </c>
      <c r="X134" s="118" t="s">
        <v>36</v>
      </c>
      <c r="Y134" s="127">
        <v>89931</v>
      </c>
      <c r="Z134" s="122" t="s">
        <v>37</v>
      </c>
      <c r="AA134" s="128" t="s">
        <v>275</v>
      </c>
    </row>
    <row r="135" hidden="1" spans="1:27">
      <c r="A135" s="52" t="s">
        <v>138</v>
      </c>
      <c r="B135" s="53" t="s">
        <v>659</v>
      </c>
      <c r="C135" s="53" t="s">
        <v>726</v>
      </c>
      <c r="D135" s="53" t="s">
        <v>727</v>
      </c>
      <c r="E135" s="53" t="s">
        <v>134</v>
      </c>
      <c r="F135" s="53" t="s">
        <v>134</v>
      </c>
      <c r="G135" s="53">
        <v>89011</v>
      </c>
      <c r="H135" s="53">
        <v>71634</v>
      </c>
      <c r="I135" s="53">
        <v>513017</v>
      </c>
      <c r="J135" s="53" t="s">
        <v>32</v>
      </c>
      <c r="K135" s="53" t="s">
        <v>32</v>
      </c>
      <c r="L135" s="53">
        <v>74323</v>
      </c>
      <c r="M135" s="53">
        <v>64118</v>
      </c>
      <c r="N135" s="53" t="s">
        <v>728</v>
      </c>
      <c r="O135" s="53" t="s">
        <v>729</v>
      </c>
      <c r="P135" s="113">
        <v>43945</v>
      </c>
      <c r="Q135" s="53" t="s">
        <v>730</v>
      </c>
      <c r="R135" s="53">
        <v>23931674</v>
      </c>
      <c r="S135" s="53">
        <v>27239316749</v>
      </c>
      <c r="T135" s="58">
        <v>40473</v>
      </c>
      <c r="U135" s="58">
        <v>43259</v>
      </c>
      <c r="V135" s="59">
        <v>43262</v>
      </c>
      <c r="W135" s="53">
        <v>3567</v>
      </c>
      <c r="X135" s="119" t="s">
        <v>36</v>
      </c>
      <c r="Y135" s="124">
        <v>89932</v>
      </c>
      <c r="Z135" s="125" t="s">
        <v>37</v>
      </c>
      <c r="AA135" s="126" t="s">
        <v>275</v>
      </c>
    </row>
    <row r="136" hidden="1" spans="1:27">
      <c r="A136" s="54" t="s">
        <v>138</v>
      </c>
      <c r="B136" s="55" t="s">
        <v>659</v>
      </c>
      <c r="C136" s="55" t="s">
        <v>383</v>
      </c>
      <c r="D136" s="55" t="s">
        <v>731</v>
      </c>
      <c r="E136" s="55" t="s">
        <v>134</v>
      </c>
      <c r="F136" s="55" t="s">
        <v>134</v>
      </c>
      <c r="G136" s="55">
        <v>89038</v>
      </c>
      <c r="H136" s="55">
        <v>77400</v>
      </c>
      <c r="I136" s="55">
        <v>961948</v>
      </c>
      <c r="J136" s="55" t="s">
        <v>77</v>
      </c>
      <c r="K136" s="111" t="s">
        <v>77</v>
      </c>
      <c r="L136" s="55">
        <v>74323</v>
      </c>
      <c r="M136" s="55">
        <v>64118</v>
      </c>
      <c r="N136" s="55" t="s">
        <v>732</v>
      </c>
      <c r="O136" s="55" t="s">
        <v>733</v>
      </c>
      <c r="P136" s="112">
        <v>43919</v>
      </c>
      <c r="Q136" s="55" t="s">
        <v>734</v>
      </c>
      <c r="R136" s="55">
        <v>33161905</v>
      </c>
      <c r="S136" s="55">
        <v>27331619057</v>
      </c>
      <c r="T136" s="115">
        <v>41288</v>
      </c>
      <c r="U136" s="115">
        <v>43327</v>
      </c>
      <c r="V136" s="116">
        <v>43328</v>
      </c>
      <c r="W136" s="55">
        <v>2765</v>
      </c>
      <c r="X136" s="118" t="s">
        <v>36</v>
      </c>
      <c r="Y136" s="127">
        <v>89933</v>
      </c>
      <c r="Z136" s="122" t="s">
        <v>37</v>
      </c>
      <c r="AA136" s="126" t="s">
        <v>275</v>
      </c>
    </row>
    <row r="137" hidden="1" spans="1:27">
      <c r="A137" s="52" t="s">
        <v>138</v>
      </c>
      <c r="B137" s="53" t="s">
        <v>659</v>
      </c>
      <c r="C137" s="53" t="s">
        <v>735</v>
      </c>
      <c r="D137" s="53" t="s">
        <v>736</v>
      </c>
      <c r="E137" s="53" t="s">
        <v>59</v>
      </c>
      <c r="F137" s="53" t="s">
        <v>59</v>
      </c>
      <c r="G137" s="53">
        <v>89006</v>
      </c>
      <c r="H137" s="53">
        <v>83577</v>
      </c>
      <c r="I137" s="53">
        <v>2523177</v>
      </c>
      <c r="J137" s="53" t="s">
        <v>32</v>
      </c>
      <c r="K137" s="53" t="s">
        <v>32</v>
      </c>
      <c r="L137" s="53">
        <v>74323</v>
      </c>
      <c r="M137" s="53">
        <v>64118</v>
      </c>
      <c r="N137" s="53" t="s">
        <v>737</v>
      </c>
      <c r="O137" s="53" t="s">
        <v>738</v>
      </c>
      <c r="P137" s="113"/>
      <c r="Q137" s="53" t="s">
        <v>739</v>
      </c>
      <c r="R137" s="53">
        <v>39729566</v>
      </c>
      <c r="S137" s="53">
        <v>23397295664</v>
      </c>
      <c r="T137" s="58">
        <v>42522</v>
      </c>
      <c r="U137" s="58">
        <v>43259</v>
      </c>
      <c r="V137" s="59">
        <v>43262</v>
      </c>
      <c r="W137" s="53">
        <v>1548</v>
      </c>
      <c r="X137" s="119" t="s">
        <v>36</v>
      </c>
      <c r="Y137" s="124"/>
      <c r="Z137" s="125" t="s">
        <v>441</v>
      </c>
      <c r="AA137" s="126" t="s">
        <v>275</v>
      </c>
    </row>
    <row r="138" hidden="1" spans="1:27">
      <c r="A138" s="54" t="s">
        <v>138</v>
      </c>
      <c r="B138" s="55" t="s">
        <v>659</v>
      </c>
      <c r="C138" s="55" t="s">
        <v>740</v>
      </c>
      <c r="D138" s="55" t="s">
        <v>741</v>
      </c>
      <c r="E138" s="55" t="s">
        <v>134</v>
      </c>
      <c r="F138" s="55" t="s">
        <v>134</v>
      </c>
      <c r="G138" s="55">
        <v>89193</v>
      </c>
      <c r="H138" s="55">
        <v>86339</v>
      </c>
      <c r="I138" s="55">
        <v>3138527</v>
      </c>
      <c r="J138" s="55" t="s">
        <v>77</v>
      </c>
      <c r="K138" s="111" t="s">
        <v>77</v>
      </c>
      <c r="L138" s="55">
        <v>74323</v>
      </c>
      <c r="M138" s="55">
        <v>64118</v>
      </c>
      <c r="N138" s="55" t="s">
        <v>742</v>
      </c>
      <c r="O138" s="55" t="s">
        <v>743</v>
      </c>
      <c r="P138" s="112">
        <v>43919</v>
      </c>
      <c r="Q138" s="55" t="s">
        <v>744</v>
      </c>
      <c r="R138" s="55">
        <v>40531146</v>
      </c>
      <c r="S138" s="55">
        <v>20405311462</v>
      </c>
      <c r="T138" s="115">
        <v>43460</v>
      </c>
      <c r="U138" s="115">
        <v>43460</v>
      </c>
      <c r="V138" s="116">
        <v>43476</v>
      </c>
      <c r="W138" s="55">
        <v>623</v>
      </c>
      <c r="X138" s="118" t="s">
        <v>36</v>
      </c>
      <c r="Y138" s="127">
        <v>89934</v>
      </c>
      <c r="Z138" s="122" t="s">
        <v>37</v>
      </c>
      <c r="AA138" s="126" t="s">
        <v>275</v>
      </c>
    </row>
    <row r="139" hidden="1" spans="1:27">
      <c r="A139" s="54" t="s">
        <v>138</v>
      </c>
      <c r="B139" s="55" t="s">
        <v>659</v>
      </c>
      <c r="C139" s="55" t="s">
        <v>745</v>
      </c>
      <c r="D139" s="55" t="s">
        <v>746</v>
      </c>
      <c r="E139" s="55" t="s">
        <v>134</v>
      </c>
      <c r="F139" s="55" t="s">
        <v>134</v>
      </c>
      <c r="G139" s="55">
        <v>89132</v>
      </c>
      <c r="H139" s="55">
        <v>86156</v>
      </c>
      <c r="I139" s="55">
        <v>3118290</v>
      </c>
      <c r="J139" s="55" t="s">
        <v>32</v>
      </c>
      <c r="K139" s="111" t="s">
        <v>32</v>
      </c>
      <c r="L139" s="55">
        <v>74323</v>
      </c>
      <c r="M139" s="55">
        <v>64118</v>
      </c>
      <c r="N139" s="55" t="s">
        <v>747</v>
      </c>
      <c r="O139" s="55" t="s">
        <v>748</v>
      </c>
      <c r="P139" s="112">
        <v>43919</v>
      </c>
      <c r="Q139" s="55" t="s">
        <v>749</v>
      </c>
      <c r="R139" s="55">
        <v>39574228</v>
      </c>
      <c r="S139" s="55">
        <v>27395742286</v>
      </c>
      <c r="T139" s="115">
        <v>43437</v>
      </c>
      <c r="U139" s="115">
        <v>43437</v>
      </c>
      <c r="V139" s="116">
        <v>43448</v>
      </c>
      <c r="W139" s="55">
        <v>646</v>
      </c>
      <c r="X139" s="118" t="s">
        <v>36</v>
      </c>
      <c r="Y139" s="127">
        <v>89979</v>
      </c>
      <c r="Z139" s="122" t="s">
        <v>37</v>
      </c>
      <c r="AA139" s="128" t="s">
        <v>275</v>
      </c>
    </row>
    <row r="140" spans="1:27">
      <c r="A140" s="54" t="s">
        <v>138</v>
      </c>
      <c r="B140" s="55" t="s">
        <v>659</v>
      </c>
      <c r="C140" s="55" t="s">
        <v>405</v>
      </c>
      <c r="D140" s="55" t="s">
        <v>750</v>
      </c>
      <c r="E140" s="55" t="s">
        <v>51</v>
      </c>
      <c r="F140" s="55" t="s">
        <v>134</v>
      </c>
      <c r="G140" s="55">
        <v>89035</v>
      </c>
      <c r="H140" s="55">
        <v>83852</v>
      </c>
      <c r="I140" s="55">
        <v>2592591</v>
      </c>
      <c r="J140" s="55" t="s">
        <v>77</v>
      </c>
      <c r="K140" s="111" t="s">
        <v>77</v>
      </c>
      <c r="L140" s="55">
        <v>74323</v>
      </c>
      <c r="M140" s="55">
        <v>64118</v>
      </c>
      <c r="N140" s="55" t="s">
        <v>751</v>
      </c>
      <c r="O140" s="55" t="s">
        <v>752</v>
      </c>
      <c r="P140" s="112">
        <v>43915</v>
      </c>
      <c r="Q140" s="55" t="s">
        <v>753</v>
      </c>
      <c r="R140" s="55">
        <v>38243803</v>
      </c>
      <c r="S140" s="55">
        <v>20382438036</v>
      </c>
      <c r="T140" s="115">
        <v>42954</v>
      </c>
      <c r="U140" s="115">
        <v>43327</v>
      </c>
      <c r="V140" s="116">
        <v>43328</v>
      </c>
      <c r="W140" s="55">
        <v>1122</v>
      </c>
      <c r="X140" s="118" t="s">
        <v>36</v>
      </c>
      <c r="Y140" s="127">
        <v>89935</v>
      </c>
      <c r="Z140" s="122" t="s">
        <v>37</v>
      </c>
      <c r="AA140" s="126" t="s">
        <v>275</v>
      </c>
    </row>
    <row r="141" hidden="1" spans="1:27">
      <c r="A141" s="52" t="s">
        <v>138</v>
      </c>
      <c r="B141" s="53" t="s">
        <v>659</v>
      </c>
      <c r="C141" s="53" t="s">
        <v>754</v>
      </c>
      <c r="D141" s="53" t="s">
        <v>755</v>
      </c>
      <c r="E141" s="53" t="s">
        <v>134</v>
      </c>
      <c r="F141" s="53" t="s">
        <v>134</v>
      </c>
      <c r="G141" s="53">
        <v>89175</v>
      </c>
      <c r="H141" s="53">
        <v>86285</v>
      </c>
      <c r="I141" s="53">
        <v>2831528</v>
      </c>
      <c r="J141" s="53" t="s">
        <v>32</v>
      </c>
      <c r="K141" s="53" t="s">
        <v>32</v>
      </c>
      <c r="L141" s="53">
        <v>74323</v>
      </c>
      <c r="M141" s="53">
        <v>64118</v>
      </c>
      <c r="N141" s="53" t="s">
        <v>756</v>
      </c>
      <c r="O141" s="53" t="s">
        <v>757</v>
      </c>
      <c r="P141" s="113">
        <v>43916</v>
      </c>
      <c r="Q141" s="53" t="s">
        <v>758</v>
      </c>
      <c r="R141" s="53">
        <v>39313697</v>
      </c>
      <c r="S141" s="53">
        <v>23393136979</v>
      </c>
      <c r="T141" s="58">
        <v>43451</v>
      </c>
      <c r="U141" s="58">
        <v>43451</v>
      </c>
      <c r="V141" s="59">
        <v>43467</v>
      </c>
      <c r="W141" s="53">
        <v>632</v>
      </c>
      <c r="X141" s="119" t="s">
        <v>36</v>
      </c>
      <c r="Y141" s="124">
        <v>89937</v>
      </c>
      <c r="Z141" s="125" t="s">
        <v>37</v>
      </c>
      <c r="AA141" s="126" t="s">
        <v>275</v>
      </c>
    </row>
    <row r="142" hidden="1" spans="1:27">
      <c r="A142" s="70" t="s">
        <v>138</v>
      </c>
      <c r="B142" s="71" t="s">
        <v>759</v>
      </c>
      <c r="C142" s="71" t="s">
        <v>760</v>
      </c>
      <c r="D142" s="71" t="s">
        <v>761</v>
      </c>
      <c r="E142" s="71" t="s">
        <v>134</v>
      </c>
      <c r="F142" s="71" t="s">
        <v>134</v>
      </c>
      <c r="G142" s="53">
        <v>89295</v>
      </c>
      <c r="H142" s="53">
        <v>88157</v>
      </c>
      <c r="I142" s="53">
        <v>3624105</v>
      </c>
      <c r="J142" s="53" t="s">
        <v>32</v>
      </c>
      <c r="K142" s="53" t="s">
        <v>32</v>
      </c>
      <c r="L142" s="53">
        <v>64659</v>
      </c>
      <c r="M142" s="53">
        <v>64118</v>
      </c>
      <c r="N142" s="53" t="s">
        <v>762</v>
      </c>
      <c r="O142" s="53" t="s">
        <v>763</v>
      </c>
      <c r="P142" s="113">
        <v>43921</v>
      </c>
      <c r="Q142" s="53"/>
      <c r="R142" s="53">
        <v>35816404</v>
      </c>
      <c r="S142" s="53">
        <v>27358164043</v>
      </c>
      <c r="T142" s="58">
        <v>43808</v>
      </c>
      <c r="U142" s="58">
        <v>43808</v>
      </c>
      <c r="V142" s="59">
        <v>43831</v>
      </c>
      <c r="W142" s="53">
        <v>280</v>
      </c>
      <c r="X142" s="119" t="s">
        <v>36</v>
      </c>
      <c r="Y142" s="124">
        <v>89939</v>
      </c>
      <c r="Z142" s="125" t="s">
        <v>37</v>
      </c>
      <c r="AA142" s="126" t="s">
        <v>275</v>
      </c>
    </row>
    <row r="143" hidden="1" spans="1:27">
      <c r="A143" s="52" t="s">
        <v>138</v>
      </c>
      <c r="B143" s="53" t="s">
        <v>764</v>
      </c>
      <c r="C143" s="53" t="s">
        <v>765</v>
      </c>
      <c r="D143" s="53" t="s">
        <v>766</v>
      </c>
      <c r="E143" s="53" t="s">
        <v>767</v>
      </c>
      <c r="F143" s="53" t="s">
        <v>767</v>
      </c>
      <c r="G143" s="53">
        <v>648038</v>
      </c>
      <c r="H143" s="53">
        <v>88032</v>
      </c>
      <c r="I143" s="53">
        <v>3553100</v>
      </c>
      <c r="J143" s="53" t="s">
        <v>42</v>
      </c>
      <c r="K143" s="53" t="s">
        <v>43</v>
      </c>
      <c r="L143" s="53">
        <v>70271</v>
      </c>
      <c r="M143" s="53">
        <v>64118</v>
      </c>
      <c r="N143" s="53" t="s">
        <v>768</v>
      </c>
      <c r="O143" s="53" t="s">
        <v>769</v>
      </c>
      <c r="P143" s="113">
        <v>43943</v>
      </c>
      <c r="Q143" s="53" t="s">
        <v>770</v>
      </c>
      <c r="R143" s="53">
        <v>32459324</v>
      </c>
      <c r="S143" s="53" t="s">
        <v>771</v>
      </c>
      <c r="T143" s="58">
        <v>43942</v>
      </c>
      <c r="U143" s="58">
        <v>43942</v>
      </c>
      <c r="V143" s="59">
        <v>43943</v>
      </c>
      <c r="W143" s="53">
        <v>148</v>
      </c>
      <c r="X143" s="119" t="s">
        <v>36</v>
      </c>
      <c r="Y143" s="124">
        <v>89940</v>
      </c>
      <c r="Z143" s="125" t="s">
        <v>37</v>
      </c>
      <c r="AA143" s="126" t="s">
        <v>772</v>
      </c>
    </row>
    <row r="144" hidden="1" spans="1:27">
      <c r="A144" s="70" t="s">
        <v>138</v>
      </c>
      <c r="B144" s="71" t="s">
        <v>759</v>
      </c>
      <c r="C144" s="71" t="s">
        <v>318</v>
      </c>
      <c r="D144" s="71" t="s">
        <v>773</v>
      </c>
      <c r="E144" s="71" t="s">
        <v>41</v>
      </c>
      <c r="F144" s="71" t="s">
        <v>41</v>
      </c>
      <c r="G144" s="53">
        <v>89297</v>
      </c>
      <c r="H144" s="53">
        <v>88158</v>
      </c>
      <c r="I144" s="53">
        <v>3542988</v>
      </c>
      <c r="J144" s="53" t="s">
        <v>52</v>
      </c>
      <c r="K144" s="53" t="s">
        <v>43</v>
      </c>
      <c r="L144" s="53">
        <v>64659</v>
      </c>
      <c r="M144" s="53">
        <v>64118</v>
      </c>
      <c r="N144" s="53" t="s">
        <v>774</v>
      </c>
      <c r="O144" s="53" t="s">
        <v>775</v>
      </c>
      <c r="P144" s="113">
        <v>43916</v>
      </c>
      <c r="Q144" s="53"/>
      <c r="R144" s="53">
        <v>38490162</v>
      </c>
      <c r="S144" s="53">
        <v>20384901620</v>
      </c>
      <c r="T144" s="58">
        <v>43808</v>
      </c>
      <c r="U144" s="58">
        <v>43808</v>
      </c>
      <c r="V144" s="59">
        <v>43831</v>
      </c>
      <c r="W144" s="53">
        <v>280</v>
      </c>
      <c r="X144" s="119" t="s">
        <v>36</v>
      </c>
      <c r="Y144" s="124">
        <v>89941</v>
      </c>
      <c r="Z144" s="125" t="s">
        <v>37</v>
      </c>
      <c r="AA144" s="126" t="s">
        <v>275</v>
      </c>
    </row>
    <row r="145" hidden="1" spans="1:27">
      <c r="A145" s="52" t="s">
        <v>138</v>
      </c>
      <c r="B145" s="53" t="s">
        <v>764</v>
      </c>
      <c r="C145" s="53" t="s">
        <v>776</v>
      </c>
      <c r="D145" s="53" t="s">
        <v>777</v>
      </c>
      <c r="E145" s="53" t="s">
        <v>134</v>
      </c>
      <c r="F145" s="53" t="s">
        <v>134</v>
      </c>
      <c r="G145" s="53">
        <v>89039</v>
      </c>
      <c r="H145" s="53">
        <v>85338</v>
      </c>
      <c r="I145" s="53">
        <v>2811355</v>
      </c>
      <c r="J145" s="53" t="s">
        <v>52</v>
      </c>
      <c r="K145" s="53" t="s">
        <v>43</v>
      </c>
      <c r="L145" s="53">
        <v>70271</v>
      </c>
      <c r="M145" s="53">
        <v>64118</v>
      </c>
      <c r="N145" s="53" t="s">
        <v>778</v>
      </c>
      <c r="O145" s="53" t="s">
        <v>779</v>
      </c>
      <c r="P145" s="113">
        <v>43916</v>
      </c>
      <c r="Q145" s="53" t="s">
        <v>780</v>
      </c>
      <c r="R145" s="53">
        <v>39358274</v>
      </c>
      <c r="S145" s="53">
        <v>27393582745</v>
      </c>
      <c r="T145" s="58">
        <v>43171</v>
      </c>
      <c r="U145" s="58">
        <v>43327</v>
      </c>
      <c r="V145" s="59">
        <v>43328</v>
      </c>
      <c r="W145" s="53">
        <v>907</v>
      </c>
      <c r="X145" s="119" t="s">
        <v>36</v>
      </c>
      <c r="Y145" s="124">
        <v>89972</v>
      </c>
      <c r="Z145" s="125" t="s">
        <v>37</v>
      </c>
      <c r="AA145" s="126" t="s">
        <v>275</v>
      </c>
    </row>
    <row r="146" hidden="1" spans="1:27">
      <c r="A146" s="54" t="s">
        <v>138</v>
      </c>
      <c r="B146" s="55" t="s">
        <v>764</v>
      </c>
      <c r="C146" s="55" t="s">
        <v>781</v>
      </c>
      <c r="D146" s="55" t="s">
        <v>782</v>
      </c>
      <c r="E146" s="55" t="s">
        <v>134</v>
      </c>
      <c r="F146" s="55" t="s">
        <v>134</v>
      </c>
      <c r="G146" s="55">
        <v>648225</v>
      </c>
      <c r="H146" s="55">
        <v>77345</v>
      </c>
      <c r="I146" s="55">
        <v>946453</v>
      </c>
      <c r="J146" s="55" t="s">
        <v>52</v>
      </c>
      <c r="K146" s="111" t="s">
        <v>43</v>
      </c>
      <c r="L146" s="55">
        <v>70271</v>
      </c>
      <c r="M146" s="55">
        <v>64118</v>
      </c>
      <c r="N146" s="55" t="s">
        <v>783</v>
      </c>
      <c r="O146" s="55" t="e">
        <v>#N/A</v>
      </c>
      <c r="P146" s="112">
        <v>43935</v>
      </c>
      <c r="Q146" s="55">
        <v>3814299551</v>
      </c>
      <c r="R146" s="55">
        <v>29412707</v>
      </c>
      <c r="S146" s="55">
        <v>27294127076</v>
      </c>
      <c r="T146" s="115">
        <v>41262</v>
      </c>
      <c r="U146" s="115">
        <v>43930</v>
      </c>
      <c r="V146" s="116">
        <v>43935</v>
      </c>
      <c r="W146" s="55">
        <v>2790</v>
      </c>
      <c r="X146" s="118" t="s">
        <v>36</v>
      </c>
      <c r="Y146" s="127">
        <v>89905</v>
      </c>
      <c r="Z146" s="122" t="s">
        <v>37</v>
      </c>
      <c r="AA146" s="128" t="s">
        <v>275</v>
      </c>
    </row>
    <row r="147" hidden="1" spans="1:27">
      <c r="A147" s="52" t="s">
        <v>138</v>
      </c>
      <c r="B147" s="53" t="s">
        <v>764</v>
      </c>
      <c r="C147" s="53" t="s">
        <v>784</v>
      </c>
      <c r="D147" s="53" t="s">
        <v>785</v>
      </c>
      <c r="E147" s="53" t="s">
        <v>134</v>
      </c>
      <c r="F147" s="53" t="s">
        <v>134</v>
      </c>
      <c r="G147" s="53">
        <v>89280</v>
      </c>
      <c r="H147" s="53">
        <v>88142</v>
      </c>
      <c r="I147" s="53">
        <v>3624021</v>
      </c>
      <c r="J147" s="53" t="s">
        <v>52</v>
      </c>
      <c r="K147" s="53" t="s">
        <v>43</v>
      </c>
      <c r="L147" s="53">
        <v>70271</v>
      </c>
      <c r="M147" s="53">
        <v>64118</v>
      </c>
      <c r="N147" s="53" t="s">
        <v>786</v>
      </c>
      <c r="O147" s="53" t="s">
        <v>787</v>
      </c>
      <c r="P147" s="113">
        <v>43917</v>
      </c>
      <c r="Q147" s="53"/>
      <c r="R147" s="53">
        <v>39573252</v>
      </c>
      <c r="S147" s="53">
        <v>27395732523</v>
      </c>
      <c r="T147" s="58">
        <v>43808</v>
      </c>
      <c r="U147" s="58">
        <v>43808</v>
      </c>
      <c r="V147" s="59">
        <v>43831</v>
      </c>
      <c r="W147" s="53">
        <v>280</v>
      </c>
      <c r="X147" s="119" t="s">
        <v>36</v>
      </c>
      <c r="Y147" s="124">
        <v>89973</v>
      </c>
      <c r="Z147" s="125" t="s">
        <v>37</v>
      </c>
      <c r="AA147" s="126" t="s">
        <v>275</v>
      </c>
    </row>
    <row r="148" hidden="1" spans="1:27">
      <c r="A148" s="52" t="s">
        <v>138</v>
      </c>
      <c r="B148" s="53" t="s">
        <v>764</v>
      </c>
      <c r="C148" s="53" t="s">
        <v>677</v>
      </c>
      <c r="D148" s="53" t="s">
        <v>58</v>
      </c>
      <c r="E148" s="53" t="s">
        <v>134</v>
      </c>
      <c r="F148" s="53" t="s">
        <v>134</v>
      </c>
      <c r="G148" s="53">
        <v>89278</v>
      </c>
      <c r="H148" s="53">
        <v>88140</v>
      </c>
      <c r="I148" s="53">
        <v>3623922</v>
      </c>
      <c r="J148" s="53" t="s">
        <v>42</v>
      </c>
      <c r="K148" s="53" t="s">
        <v>43</v>
      </c>
      <c r="L148" s="53">
        <v>70271</v>
      </c>
      <c r="M148" s="53">
        <v>64118</v>
      </c>
      <c r="N148" s="53" t="s">
        <v>788</v>
      </c>
      <c r="O148" s="53" t="s">
        <v>789</v>
      </c>
      <c r="P148" s="113">
        <v>43910</v>
      </c>
      <c r="Q148" s="53"/>
      <c r="R148" s="53">
        <v>41276143</v>
      </c>
      <c r="S148" s="53">
        <v>27412761435</v>
      </c>
      <c r="T148" s="58">
        <v>43808</v>
      </c>
      <c r="U148" s="58">
        <v>43808</v>
      </c>
      <c r="V148" s="59">
        <v>43831</v>
      </c>
      <c r="W148" s="53">
        <v>280</v>
      </c>
      <c r="X148" s="119" t="s">
        <v>36</v>
      </c>
      <c r="Y148" s="124">
        <v>89942</v>
      </c>
      <c r="Z148" s="125" t="s">
        <v>37</v>
      </c>
      <c r="AA148" s="126" t="s">
        <v>275</v>
      </c>
    </row>
    <row r="149" hidden="1" spans="1:27">
      <c r="A149" s="54" t="s">
        <v>138</v>
      </c>
      <c r="B149" s="55" t="s">
        <v>764</v>
      </c>
      <c r="C149" s="55" t="s">
        <v>790</v>
      </c>
      <c r="D149" s="55" t="s">
        <v>529</v>
      </c>
      <c r="E149" s="55" t="s">
        <v>134</v>
      </c>
      <c r="F149" s="55" t="s">
        <v>134</v>
      </c>
      <c r="G149" s="55">
        <v>648226</v>
      </c>
      <c r="H149" s="55">
        <v>83998</v>
      </c>
      <c r="I149" s="55">
        <v>2714192</v>
      </c>
      <c r="J149" s="55" t="s">
        <v>52</v>
      </c>
      <c r="K149" s="111" t="s">
        <v>43</v>
      </c>
      <c r="L149" s="55">
        <v>70271</v>
      </c>
      <c r="M149" s="55">
        <v>64118</v>
      </c>
      <c r="N149" s="55" t="s">
        <v>791</v>
      </c>
      <c r="O149" s="55" t="e">
        <v>#N/A</v>
      </c>
      <c r="P149" s="112">
        <v>43935</v>
      </c>
      <c r="Q149" s="55" t="s">
        <v>792</v>
      </c>
      <c r="R149" s="55">
        <v>35921164</v>
      </c>
      <c r="S149" s="55">
        <v>27359211649</v>
      </c>
      <c r="T149" s="115">
        <v>43066</v>
      </c>
      <c r="U149" s="115">
        <v>43930</v>
      </c>
      <c r="V149" s="116">
        <v>43935</v>
      </c>
      <c r="W149" s="55">
        <v>1012</v>
      </c>
      <c r="X149" s="118" t="s">
        <v>36</v>
      </c>
      <c r="Y149" s="127">
        <v>89906</v>
      </c>
      <c r="Z149" s="122" t="s">
        <v>37</v>
      </c>
      <c r="AA149" s="128" t="s">
        <v>275</v>
      </c>
    </row>
    <row r="150" hidden="1" spans="1:27">
      <c r="A150" s="52" t="s">
        <v>138</v>
      </c>
      <c r="B150" s="53" t="s">
        <v>764</v>
      </c>
      <c r="C150" s="53" t="s">
        <v>793</v>
      </c>
      <c r="D150" s="53" t="s">
        <v>794</v>
      </c>
      <c r="E150" s="53" t="s">
        <v>134</v>
      </c>
      <c r="F150" s="53" t="s">
        <v>134</v>
      </c>
      <c r="G150" s="53">
        <v>89161</v>
      </c>
      <c r="H150" s="53">
        <v>86282</v>
      </c>
      <c r="I150" s="53">
        <v>3133234</v>
      </c>
      <c r="J150" s="53" t="s">
        <v>60</v>
      </c>
      <c r="K150" s="53" t="s">
        <v>795</v>
      </c>
      <c r="L150" s="53">
        <v>70271</v>
      </c>
      <c r="M150" s="53">
        <v>64118</v>
      </c>
      <c r="N150" s="53" t="s">
        <v>796</v>
      </c>
      <c r="O150" s="53" t="s">
        <v>797</v>
      </c>
      <c r="P150" s="113">
        <v>43912</v>
      </c>
      <c r="Q150" s="53" t="s">
        <v>798</v>
      </c>
      <c r="R150" s="53">
        <v>40437969</v>
      </c>
      <c r="S150" s="53">
        <v>23404379690</v>
      </c>
      <c r="T150" s="58">
        <v>43451</v>
      </c>
      <c r="U150" s="58">
        <v>43451</v>
      </c>
      <c r="V150" s="59">
        <v>43467</v>
      </c>
      <c r="W150" s="53">
        <v>632</v>
      </c>
      <c r="X150" s="119" t="s">
        <v>36</v>
      </c>
      <c r="Y150" s="124">
        <v>89946</v>
      </c>
      <c r="Z150" s="125" t="s">
        <v>37</v>
      </c>
      <c r="AA150" s="126" t="s">
        <v>275</v>
      </c>
    </row>
    <row r="151" hidden="1" spans="1:27">
      <c r="A151" s="54" t="s">
        <v>138</v>
      </c>
      <c r="B151" s="55" t="s">
        <v>764</v>
      </c>
      <c r="C151" s="55" t="s">
        <v>100</v>
      </c>
      <c r="D151" s="55" t="s">
        <v>799</v>
      </c>
      <c r="E151" s="55" t="s">
        <v>134</v>
      </c>
      <c r="F151" s="55" t="s">
        <v>134</v>
      </c>
      <c r="G151" s="55">
        <v>648228</v>
      </c>
      <c r="H151" s="55">
        <v>81801</v>
      </c>
      <c r="I151" s="55">
        <v>2068786</v>
      </c>
      <c r="J151" s="55" t="s">
        <v>52</v>
      </c>
      <c r="K151" s="111" t="s">
        <v>43</v>
      </c>
      <c r="L151" s="55">
        <v>70271</v>
      </c>
      <c r="M151" s="55">
        <v>64118</v>
      </c>
      <c r="N151" s="55" t="s">
        <v>800</v>
      </c>
      <c r="O151" s="55" t="s">
        <v>801</v>
      </c>
      <c r="P151" s="112">
        <v>43935</v>
      </c>
      <c r="Q151" s="55">
        <v>156578456</v>
      </c>
      <c r="R151" s="55">
        <v>32630352</v>
      </c>
      <c r="S151" s="55">
        <v>27326303521</v>
      </c>
      <c r="T151" s="115">
        <v>42494</v>
      </c>
      <c r="U151" s="115">
        <v>43930</v>
      </c>
      <c r="V151" s="116">
        <v>43935</v>
      </c>
      <c r="W151" s="55">
        <v>1575</v>
      </c>
      <c r="X151" s="118" t="s">
        <v>36</v>
      </c>
      <c r="Y151" s="127">
        <v>89907</v>
      </c>
      <c r="Z151" s="122" t="s">
        <v>37</v>
      </c>
      <c r="AA151" s="128" t="s">
        <v>275</v>
      </c>
    </row>
    <row r="152" hidden="1" spans="1:27">
      <c r="A152" s="52" t="s">
        <v>138</v>
      </c>
      <c r="B152" s="53" t="s">
        <v>764</v>
      </c>
      <c r="C152" s="53" t="s">
        <v>802</v>
      </c>
      <c r="D152" s="53" t="s">
        <v>803</v>
      </c>
      <c r="E152" s="53" t="s">
        <v>767</v>
      </c>
      <c r="F152" s="53" t="s">
        <v>767</v>
      </c>
      <c r="G152" s="53">
        <v>648053</v>
      </c>
      <c r="H152" s="53">
        <v>88029</v>
      </c>
      <c r="I152" s="53">
        <v>3553091</v>
      </c>
      <c r="J152" s="53" t="s">
        <v>42</v>
      </c>
      <c r="K152" s="53" t="s">
        <v>43</v>
      </c>
      <c r="L152" s="53">
        <v>70271</v>
      </c>
      <c r="M152" s="53">
        <v>64118</v>
      </c>
      <c r="N152" s="53" t="s">
        <v>804</v>
      </c>
      <c r="O152" s="53" t="s">
        <v>805</v>
      </c>
      <c r="P152" s="113">
        <v>43943</v>
      </c>
      <c r="Q152" s="53" t="s">
        <v>806</v>
      </c>
      <c r="R152" s="53">
        <v>41950682</v>
      </c>
      <c r="S152" s="53" t="s">
        <v>807</v>
      </c>
      <c r="T152" s="58">
        <v>43942</v>
      </c>
      <c r="U152" s="58">
        <v>43942</v>
      </c>
      <c r="V152" s="59">
        <v>43943</v>
      </c>
      <c r="W152" s="53">
        <v>148</v>
      </c>
      <c r="X152" s="119" t="s">
        <v>36</v>
      </c>
      <c r="Y152" s="124">
        <v>89947</v>
      </c>
      <c r="Z152" s="125" t="s">
        <v>37</v>
      </c>
      <c r="AA152" s="126" t="s">
        <v>772</v>
      </c>
    </row>
    <row r="153" hidden="1" spans="1:27">
      <c r="A153" s="70" t="s">
        <v>138</v>
      </c>
      <c r="B153" s="71" t="s">
        <v>759</v>
      </c>
      <c r="C153" s="71" t="s">
        <v>808</v>
      </c>
      <c r="D153" s="71" t="s">
        <v>809</v>
      </c>
      <c r="E153" s="71" t="s">
        <v>41</v>
      </c>
      <c r="F153" s="71" t="s">
        <v>41</v>
      </c>
      <c r="G153" s="53">
        <v>89288</v>
      </c>
      <c r="H153" s="53">
        <v>88150</v>
      </c>
      <c r="I153" s="53">
        <v>2837489</v>
      </c>
      <c r="J153" s="53" t="s">
        <v>42</v>
      </c>
      <c r="K153" s="53" t="s">
        <v>43</v>
      </c>
      <c r="L153" s="53">
        <v>64659</v>
      </c>
      <c r="M153" s="53">
        <v>64118</v>
      </c>
      <c r="N153" s="53" t="s">
        <v>810</v>
      </c>
      <c r="O153" s="53" t="s">
        <v>811</v>
      </c>
      <c r="P153" s="113">
        <v>43912</v>
      </c>
      <c r="Q153" s="53"/>
      <c r="R153" s="53">
        <v>41950442</v>
      </c>
      <c r="S153" s="53">
        <v>20419504425</v>
      </c>
      <c r="T153" s="58">
        <v>43808</v>
      </c>
      <c r="U153" s="58">
        <v>43808</v>
      </c>
      <c r="V153" s="59">
        <v>43831</v>
      </c>
      <c r="W153" s="53">
        <v>280</v>
      </c>
      <c r="X153" s="119" t="s">
        <v>36</v>
      </c>
      <c r="Y153" s="124">
        <v>89948</v>
      </c>
      <c r="Z153" s="125" t="s">
        <v>146</v>
      </c>
      <c r="AA153" s="126" t="s">
        <v>275</v>
      </c>
    </row>
    <row r="154" hidden="1" spans="1:27">
      <c r="A154" s="52" t="s">
        <v>138</v>
      </c>
      <c r="B154" s="53" t="s">
        <v>764</v>
      </c>
      <c r="C154" s="53" t="s">
        <v>812</v>
      </c>
      <c r="D154" s="53" t="s">
        <v>813</v>
      </c>
      <c r="E154" s="53" t="s">
        <v>134</v>
      </c>
      <c r="F154" s="53" t="s">
        <v>134</v>
      </c>
      <c r="G154" s="53">
        <v>648351</v>
      </c>
      <c r="H154" s="53">
        <v>86179</v>
      </c>
      <c r="I154" s="53">
        <v>3118459</v>
      </c>
      <c r="J154" s="53" t="s">
        <v>42</v>
      </c>
      <c r="K154" s="53" t="s">
        <v>43</v>
      </c>
      <c r="L154" s="53">
        <v>70271</v>
      </c>
      <c r="M154" s="53">
        <v>64118</v>
      </c>
      <c r="N154" s="53" t="s">
        <v>814</v>
      </c>
      <c r="O154" s="53" t="s">
        <v>815</v>
      </c>
      <c r="P154" s="113">
        <v>43969</v>
      </c>
      <c r="Q154" s="53" t="s">
        <v>816</v>
      </c>
      <c r="R154" s="53">
        <v>41959700</v>
      </c>
      <c r="S154" s="53">
        <v>27419597002</v>
      </c>
      <c r="T154" s="58">
        <v>43437</v>
      </c>
      <c r="U154" s="58">
        <v>43962</v>
      </c>
      <c r="V154" s="59">
        <v>43969</v>
      </c>
      <c r="W154" s="53">
        <v>646</v>
      </c>
      <c r="X154" s="119" t="s">
        <v>36</v>
      </c>
      <c r="Y154" s="124">
        <v>648332</v>
      </c>
      <c r="Z154" s="125" t="s">
        <v>37</v>
      </c>
      <c r="AA154" s="126" t="s">
        <v>275</v>
      </c>
    </row>
    <row r="155" hidden="1" spans="1:27">
      <c r="A155" s="52" t="s">
        <v>138</v>
      </c>
      <c r="B155" s="53" t="s">
        <v>764</v>
      </c>
      <c r="C155" s="53" t="s">
        <v>817</v>
      </c>
      <c r="D155" s="53" t="s">
        <v>818</v>
      </c>
      <c r="E155" s="53" t="s">
        <v>134</v>
      </c>
      <c r="F155" s="53" t="s">
        <v>134</v>
      </c>
      <c r="G155" s="53">
        <v>89169</v>
      </c>
      <c r="H155" s="53">
        <v>86281</v>
      </c>
      <c r="I155" s="53">
        <v>2464942</v>
      </c>
      <c r="J155" s="53" t="s">
        <v>42</v>
      </c>
      <c r="K155" s="53" t="s">
        <v>43</v>
      </c>
      <c r="L155" s="53">
        <v>70271</v>
      </c>
      <c r="M155" s="53">
        <v>64118</v>
      </c>
      <c r="N155" s="53" t="s">
        <v>819</v>
      </c>
      <c r="O155" s="53" t="s">
        <v>820</v>
      </c>
      <c r="P155" s="113">
        <v>43916</v>
      </c>
      <c r="Q155" s="53" t="s">
        <v>821</v>
      </c>
      <c r="R155" s="53">
        <v>39358829</v>
      </c>
      <c r="S155" s="53">
        <v>27393588298</v>
      </c>
      <c r="T155" s="58">
        <v>43451</v>
      </c>
      <c r="U155" s="58">
        <v>43451</v>
      </c>
      <c r="V155" s="59">
        <v>43467</v>
      </c>
      <c r="W155" s="53">
        <v>632</v>
      </c>
      <c r="X155" s="119" t="s">
        <v>36</v>
      </c>
      <c r="Y155" s="124">
        <v>89949</v>
      </c>
      <c r="Z155" s="125" t="s">
        <v>37</v>
      </c>
      <c r="AA155" s="126" t="s">
        <v>275</v>
      </c>
    </row>
    <row r="156" hidden="1" spans="1:27">
      <c r="A156" s="70" t="s">
        <v>138</v>
      </c>
      <c r="B156" s="71" t="s">
        <v>759</v>
      </c>
      <c r="C156" s="71" t="s">
        <v>822</v>
      </c>
      <c r="D156" s="71" t="s">
        <v>823</v>
      </c>
      <c r="E156" s="71" t="s">
        <v>134</v>
      </c>
      <c r="F156" s="71" t="s">
        <v>134</v>
      </c>
      <c r="G156" s="53">
        <v>89282</v>
      </c>
      <c r="H156" s="53">
        <v>88144</v>
      </c>
      <c r="I156" s="53">
        <v>3624024</v>
      </c>
      <c r="J156" s="53" t="s">
        <v>32</v>
      </c>
      <c r="K156" s="53" t="s">
        <v>32</v>
      </c>
      <c r="L156" s="53">
        <v>64659</v>
      </c>
      <c r="M156" s="53">
        <v>64118</v>
      </c>
      <c r="N156" s="53" t="s">
        <v>824</v>
      </c>
      <c r="O156" s="53" t="s">
        <v>825</v>
      </c>
      <c r="P156" s="113">
        <v>43916</v>
      </c>
      <c r="Q156" s="53"/>
      <c r="R156" s="53">
        <v>40314189</v>
      </c>
      <c r="S156" s="53">
        <v>27403141890</v>
      </c>
      <c r="T156" s="58">
        <v>43808</v>
      </c>
      <c r="U156" s="58">
        <v>43808</v>
      </c>
      <c r="V156" s="59">
        <v>43831</v>
      </c>
      <c r="W156" s="53">
        <v>280</v>
      </c>
      <c r="X156" s="119" t="s">
        <v>36</v>
      </c>
      <c r="Y156" s="124">
        <v>89951</v>
      </c>
      <c r="Z156" s="125" t="s">
        <v>37</v>
      </c>
      <c r="AA156" s="126" t="s">
        <v>275</v>
      </c>
    </row>
    <row r="157" hidden="1" spans="1:27">
      <c r="A157" s="52" t="s">
        <v>138</v>
      </c>
      <c r="B157" s="53" t="s">
        <v>764</v>
      </c>
      <c r="C157" s="53" t="s">
        <v>826</v>
      </c>
      <c r="D157" s="53" t="s">
        <v>827</v>
      </c>
      <c r="E157" s="53" t="s">
        <v>134</v>
      </c>
      <c r="F157" s="53" t="s">
        <v>134</v>
      </c>
      <c r="G157" s="53">
        <v>648076</v>
      </c>
      <c r="H157" s="53">
        <v>88360</v>
      </c>
      <c r="I157" s="53">
        <v>3667100</v>
      </c>
      <c r="J157" s="53" t="s">
        <v>142</v>
      </c>
      <c r="K157" s="53" t="s">
        <v>43</v>
      </c>
      <c r="L157" s="53">
        <v>70271</v>
      </c>
      <c r="M157" s="53">
        <v>64118</v>
      </c>
      <c r="N157" s="53" t="s">
        <v>828</v>
      </c>
      <c r="O157" s="53" t="s">
        <v>829</v>
      </c>
      <c r="P157" s="113">
        <v>43943</v>
      </c>
      <c r="Q157" s="53" t="s">
        <v>830</v>
      </c>
      <c r="R157" s="53">
        <v>40089513</v>
      </c>
      <c r="S157" s="53" t="s">
        <v>831</v>
      </c>
      <c r="T157" s="58">
        <v>43942</v>
      </c>
      <c r="U157" s="58">
        <v>43942</v>
      </c>
      <c r="V157" s="59">
        <v>43943</v>
      </c>
      <c r="W157" s="53">
        <v>148</v>
      </c>
      <c r="X157" s="119" t="s">
        <v>36</v>
      </c>
      <c r="Y157" s="124">
        <v>89969</v>
      </c>
      <c r="Z157" s="125" t="s">
        <v>37</v>
      </c>
      <c r="AA157" s="126" t="s">
        <v>275</v>
      </c>
    </row>
    <row r="158" hidden="1" spans="1:27">
      <c r="A158" s="54" t="s">
        <v>832</v>
      </c>
      <c r="B158" s="55" t="s">
        <v>833</v>
      </c>
      <c r="C158" s="55" t="s">
        <v>834</v>
      </c>
      <c r="D158" s="55" t="s">
        <v>473</v>
      </c>
      <c r="E158" s="55" t="s">
        <v>134</v>
      </c>
      <c r="F158" s="55" t="s">
        <v>134</v>
      </c>
      <c r="G158" s="55">
        <v>89106</v>
      </c>
      <c r="H158" s="55">
        <v>85274</v>
      </c>
      <c r="I158" s="55">
        <v>2804853</v>
      </c>
      <c r="J158" s="55" t="s">
        <v>77</v>
      </c>
      <c r="K158" s="111" t="s">
        <v>78</v>
      </c>
      <c r="L158" s="55">
        <v>66977</v>
      </c>
      <c r="M158" s="55" t="e">
        <v>#N/A</v>
      </c>
      <c r="N158" s="55" t="s">
        <v>835</v>
      </c>
      <c r="O158" s="55" t="s">
        <v>836</v>
      </c>
      <c r="P158" s="112">
        <v>43919</v>
      </c>
      <c r="Q158" s="55" t="s">
        <v>837</v>
      </c>
      <c r="R158" s="55">
        <v>37188262</v>
      </c>
      <c r="S158" s="55">
        <v>20371882627</v>
      </c>
      <c r="T158" s="115">
        <v>43164</v>
      </c>
      <c r="U158" s="115">
        <v>43409</v>
      </c>
      <c r="V158" s="116">
        <v>43423</v>
      </c>
      <c r="W158" s="55">
        <v>914</v>
      </c>
      <c r="X158" s="118" t="s">
        <v>36</v>
      </c>
      <c r="Y158" s="127">
        <v>89952</v>
      </c>
      <c r="Z158" s="122" t="s">
        <v>37</v>
      </c>
      <c r="AA158" s="126" t="s">
        <v>275</v>
      </c>
    </row>
    <row r="159" hidden="1" spans="1:27">
      <c r="A159" s="52" t="s">
        <v>832</v>
      </c>
      <c r="B159" s="53" t="s">
        <v>833</v>
      </c>
      <c r="C159" s="53" t="s">
        <v>838</v>
      </c>
      <c r="D159" s="53" t="s">
        <v>839</v>
      </c>
      <c r="E159" s="53" t="s">
        <v>134</v>
      </c>
      <c r="F159" s="53" t="s">
        <v>134</v>
      </c>
      <c r="G159" s="53">
        <v>89117</v>
      </c>
      <c r="H159" s="53">
        <v>86142</v>
      </c>
      <c r="I159" s="53">
        <v>3118266</v>
      </c>
      <c r="J159" s="53" t="s">
        <v>66</v>
      </c>
      <c r="K159" s="53" t="s">
        <v>66</v>
      </c>
      <c r="L159" s="53">
        <v>66977</v>
      </c>
      <c r="M159" s="53" t="e">
        <v>#N/A</v>
      </c>
      <c r="N159" s="53" t="s">
        <v>840</v>
      </c>
      <c r="O159" s="53" t="s">
        <v>841</v>
      </c>
      <c r="P159" s="113">
        <v>43945</v>
      </c>
      <c r="Q159" s="53" t="s">
        <v>842</v>
      </c>
      <c r="R159" s="53">
        <v>39037592</v>
      </c>
      <c r="S159" s="53">
        <v>20390375922</v>
      </c>
      <c r="T159" s="58">
        <v>43437</v>
      </c>
      <c r="U159" s="58">
        <v>43437</v>
      </c>
      <c r="V159" s="59">
        <v>43448</v>
      </c>
      <c r="W159" s="53">
        <v>646</v>
      </c>
      <c r="X159" s="119" t="s">
        <v>36</v>
      </c>
      <c r="Y159" s="124">
        <v>89953</v>
      </c>
      <c r="Z159" s="125" t="s">
        <v>37</v>
      </c>
      <c r="AA159" s="126" t="s">
        <v>275</v>
      </c>
    </row>
    <row r="160" hidden="1" spans="1:27">
      <c r="A160" s="52" t="s">
        <v>832</v>
      </c>
      <c r="B160" s="53" t="s">
        <v>833</v>
      </c>
      <c r="C160" s="53" t="s">
        <v>672</v>
      </c>
      <c r="D160" s="53" t="s">
        <v>843</v>
      </c>
      <c r="E160" s="53" t="s">
        <v>134</v>
      </c>
      <c r="F160" s="53" t="s">
        <v>134</v>
      </c>
      <c r="G160" s="53">
        <v>89097</v>
      </c>
      <c r="H160" s="53">
        <v>83159</v>
      </c>
      <c r="I160" s="53">
        <v>2426406</v>
      </c>
      <c r="J160" s="53" t="s">
        <v>32</v>
      </c>
      <c r="K160" s="53" t="s">
        <v>32</v>
      </c>
      <c r="L160" s="53">
        <v>66977</v>
      </c>
      <c r="M160" s="53" t="e">
        <v>#N/A</v>
      </c>
      <c r="N160" s="53" t="s">
        <v>844</v>
      </c>
      <c r="O160" s="53" t="s">
        <v>845</v>
      </c>
      <c r="P160" s="113">
        <v>43915</v>
      </c>
      <c r="Q160" s="53" t="s">
        <v>846</v>
      </c>
      <c r="R160" s="53">
        <v>34064086</v>
      </c>
      <c r="S160" s="53">
        <v>27340640867</v>
      </c>
      <c r="T160" s="58">
        <v>42800</v>
      </c>
      <c r="U160" s="58">
        <v>43409</v>
      </c>
      <c r="V160" s="59">
        <v>43423</v>
      </c>
      <c r="W160" s="53">
        <v>1273</v>
      </c>
      <c r="X160" s="119" t="s">
        <v>36</v>
      </c>
      <c r="Y160" s="124">
        <v>89954</v>
      </c>
      <c r="Z160" s="125" t="s">
        <v>37</v>
      </c>
      <c r="AA160" s="126" t="s">
        <v>275</v>
      </c>
    </row>
    <row r="161" hidden="1" spans="1:27">
      <c r="A161" s="52" t="s">
        <v>832</v>
      </c>
      <c r="B161" s="53" t="s">
        <v>833</v>
      </c>
      <c r="C161" s="53" t="s">
        <v>677</v>
      </c>
      <c r="D161" s="53" t="s">
        <v>847</v>
      </c>
      <c r="E161" s="53" t="s">
        <v>134</v>
      </c>
      <c r="F161" s="53" t="s">
        <v>134</v>
      </c>
      <c r="G161" s="53">
        <v>89182</v>
      </c>
      <c r="H161" s="53">
        <v>86332</v>
      </c>
      <c r="I161" s="53">
        <v>3138445</v>
      </c>
      <c r="J161" s="53" t="s">
        <v>60</v>
      </c>
      <c r="K161" s="53" t="s">
        <v>848</v>
      </c>
      <c r="L161" s="53">
        <v>66977</v>
      </c>
      <c r="M161" s="53" t="e">
        <v>#N/A</v>
      </c>
      <c r="N161" s="53" t="s">
        <v>849</v>
      </c>
      <c r="O161" s="53" t="s">
        <v>850</v>
      </c>
      <c r="P161" s="113">
        <v>43915</v>
      </c>
      <c r="Q161" s="53" t="s">
        <v>851</v>
      </c>
      <c r="R161" s="53">
        <v>39575029</v>
      </c>
      <c r="S161" s="53">
        <v>27395750297</v>
      </c>
      <c r="T161" s="58">
        <v>43460</v>
      </c>
      <c r="U161" s="58">
        <v>43460</v>
      </c>
      <c r="V161" s="59">
        <v>43476</v>
      </c>
      <c r="W161" s="53">
        <v>623</v>
      </c>
      <c r="X161" s="119" t="s">
        <v>36</v>
      </c>
      <c r="Y161" s="124">
        <v>89955</v>
      </c>
      <c r="Z161" s="125" t="s">
        <v>37</v>
      </c>
      <c r="AA161" s="126" t="s">
        <v>275</v>
      </c>
    </row>
    <row r="162" hidden="1" spans="1:27">
      <c r="A162" s="52" t="s">
        <v>832</v>
      </c>
      <c r="B162" s="53" t="s">
        <v>833</v>
      </c>
      <c r="C162" s="53" t="s">
        <v>852</v>
      </c>
      <c r="D162" s="53" t="s">
        <v>853</v>
      </c>
      <c r="E162" s="53" t="s">
        <v>134</v>
      </c>
      <c r="F162" s="53" t="s">
        <v>134</v>
      </c>
      <c r="G162" s="53">
        <v>89008</v>
      </c>
      <c r="H162" s="53">
        <v>83111</v>
      </c>
      <c r="I162" s="53">
        <v>2426435</v>
      </c>
      <c r="J162" s="53" t="s">
        <v>32</v>
      </c>
      <c r="K162" s="53" t="s">
        <v>32</v>
      </c>
      <c r="L162" s="53">
        <v>66977</v>
      </c>
      <c r="M162" s="53" t="e">
        <v>#N/A</v>
      </c>
      <c r="N162" s="53" t="s">
        <v>854</v>
      </c>
      <c r="O162" s="53" t="s">
        <v>855</v>
      </c>
      <c r="P162" s="113">
        <v>43919</v>
      </c>
      <c r="Q162" s="53" t="s">
        <v>856</v>
      </c>
      <c r="R162" s="53">
        <v>39143903</v>
      </c>
      <c r="S162" s="53">
        <v>27391439031</v>
      </c>
      <c r="T162" s="58">
        <v>42800</v>
      </c>
      <c r="U162" s="58">
        <v>43259</v>
      </c>
      <c r="V162" s="59">
        <v>43262</v>
      </c>
      <c r="W162" s="53">
        <v>1273</v>
      </c>
      <c r="X162" s="119" t="s">
        <v>36</v>
      </c>
      <c r="Y162" s="124">
        <v>89956</v>
      </c>
      <c r="Z162" s="125" t="s">
        <v>37</v>
      </c>
      <c r="AA162" s="126" t="s">
        <v>275</v>
      </c>
    </row>
    <row r="163" hidden="1" spans="1:27">
      <c r="A163" s="52" t="s">
        <v>832</v>
      </c>
      <c r="B163" s="53" t="s">
        <v>833</v>
      </c>
      <c r="C163" s="53" t="s">
        <v>857</v>
      </c>
      <c r="D163" s="53" t="s">
        <v>858</v>
      </c>
      <c r="E163" s="53" t="s">
        <v>134</v>
      </c>
      <c r="F163" s="53" t="s">
        <v>134</v>
      </c>
      <c r="G163" s="53">
        <v>89010</v>
      </c>
      <c r="H163" s="53">
        <v>78218</v>
      </c>
      <c r="I163" s="53">
        <v>1167531</v>
      </c>
      <c r="J163" s="53" t="s">
        <v>60</v>
      </c>
      <c r="K163" s="53" t="s">
        <v>43</v>
      </c>
      <c r="L163" s="53">
        <v>66977</v>
      </c>
      <c r="M163" s="53" t="e">
        <v>#N/A</v>
      </c>
      <c r="N163" s="53" t="s">
        <v>859</v>
      </c>
      <c r="O163" s="53" t="s">
        <v>860</v>
      </c>
      <c r="P163" s="113">
        <v>43919</v>
      </c>
      <c r="Q163" s="53" t="s">
        <v>861</v>
      </c>
      <c r="R163" s="53">
        <v>29290007</v>
      </c>
      <c r="S163" s="53">
        <v>23292900074</v>
      </c>
      <c r="T163" s="58">
        <v>41582</v>
      </c>
      <c r="U163" s="58">
        <v>43259</v>
      </c>
      <c r="V163" s="59">
        <v>43262</v>
      </c>
      <c r="W163" s="53">
        <v>2475</v>
      </c>
      <c r="X163" s="119" t="s">
        <v>36</v>
      </c>
      <c r="Y163" s="124">
        <v>89957</v>
      </c>
      <c r="Z163" s="125" t="s">
        <v>37</v>
      </c>
      <c r="AA163" s="126" t="s">
        <v>275</v>
      </c>
    </row>
    <row r="164" hidden="1" spans="1:27">
      <c r="A164" s="54" t="s">
        <v>832</v>
      </c>
      <c r="B164" s="55" t="s">
        <v>833</v>
      </c>
      <c r="C164" s="55" t="s">
        <v>862</v>
      </c>
      <c r="D164" s="55" t="s">
        <v>863</v>
      </c>
      <c r="E164" s="55" t="s">
        <v>134</v>
      </c>
      <c r="F164" s="55" t="s">
        <v>134</v>
      </c>
      <c r="G164" s="55">
        <v>89004</v>
      </c>
      <c r="H164" s="55">
        <v>65030</v>
      </c>
      <c r="I164" s="55">
        <v>433692</v>
      </c>
      <c r="J164" s="55" t="s">
        <v>122</v>
      </c>
      <c r="K164" s="111" t="s">
        <v>123</v>
      </c>
      <c r="L164" s="55">
        <v>66977</v>
      </c>
      <c r="M164" s="55" t="e">
        <v>#N/A</v>
      </c>
      <c r="N164" s="55" t="s">
        <v>864</v>
      </c>
      <c r="O164" s="55" t="s">
        <v>865</v>
      </c>
      <c r="P164" s="112">
        <v>43919</v>
      </c>
      <c r="Q164" s="55" t="s">
        <v>866</v>
      </c>
      <c r="R164" s="55">
        <v>27016062</v>
      </c>
      <c r="S164" s="55">
        <v>27270160625</v>
      </c>
      <c r="T164" s="115">
        <v>40000</v>
      </c>
      <c r="U164" s="115">
        <v>43259</v>
      </c>
      <c r="V164" s="116">
        <v>43262</v>
      </c>
      <c r="W164" s="55">
        <v>4033</v>
      </c>
      <c r="X164" s="118" t="s">
        <v>36</v>
      </c>
      <c r="Y164" s="127">
        <v>89958</v>
      </c>
      <c r="Z164" s="122" t="s">
        <v>37</v>
      </c>
      <c r="AA164" s="128" t="s">
        <v>275</v>
      </c>
    </row>
    <row r="165" hidden="1" spans="1:27">
      <c r="A165" s="54" t="s">
        <v>832</v>
      </c>
      <c r="B165" s="55" t="s">
        <v>833</v>
      </c>
      <c r="C165" s="55" t="s">
        <v>697</v>
      </c>
      <c r="D165" s="55" t="s">
        <v>867</v>
      </c>
      <c r="E165" s="55" t="s">
        <v>134</v>
      </c>
      <c r="F165" s="55" t="s">
        <v>134</v>
      </c>
      <c r="G165" s="55">
        <v>89162</v>
      </c>
      <c r="H165" s="55">
        <v>86292</v>
      </c>
      <c r="I165" s="55">
        <v>3133281</v>
      </c>
      <c r="J165" s="55" t="s">
        <v>66</v>
      </c>
      <c r="K165" s="111" t="s">
        <v>66</v>
      </c>
      <c r="L165" s="55">
        <v>66977</v>
      </c>
      <c r="M165" s="55" t="e">
        <v>#N/A</v>
      </c>
      <c r="N165" s="55" t="s">
        <v>868</v>
      </c>
      <c r="O165" s="55" t="s">
        <v>869</v>
      </c>
      <c r="P165" s="112">
        <v>43917</v>
      </c>
      <c r="Q165" s="55" t="s">
        <v>870</v>
      </c>
      <c r="R165" s="55">
        <v>39357619</v>
      </c>
      <c r="S165" s="55">
        <v>27393576192</v>
      </c>
      <c r="T165" s="115">
        <v>43451</v>
      </c>
      <c r="U165" s="115">
        <v>43451</v>
      </c>
      <c r="V165" s="116">
        <v>43467</v>
      </c>
      <c r="W165" s="55">
        <v>632</v>
      </c>
      <c r="X165" s="118" t="s">
        <v>36</v>
      </c>
      <c r="Y165" s="127">
        <v>89798</v>
      </c>
      <c r="Z165" s="122" t="s">
        <v>37</v>
      </c>
      <c r="AA165" s="128" t="s">
        <v>275</v>
      </c>
    </row>
    <row r="166" hidden="1" spans="1:27">
      <c r="A166" s="54" t="s">
        <v>832</v>
      </c>
      <c r="B166" s="55" t="s">
        <v>833</v>
      </c>
      <c r="C166" s="55" t="s">
        <v>707</v>
      </c>
      <c r="D166" s="55" t="s">
        <v>871</v>
      </c>
      <c r="E166" s="55" t="s">
        <v>134</v>
      </c>
      <c r="F166" s="55" t="s">
        <v>134</v>
      </c>
      <c r="G166" s="55">
        <v>89127</v>
      </c>
      <c r="H166" s="55">
        <v>86143</v>
      </c>
      <c r="I166" s="55">
        <v>3118251</v>
      </c>
      <c r="J166" s="55" t="s">
        <v>32</v>
      </c>
      <c r="K166" s="111" t="s">
        <v>32</v>
      </c>
      <c r="L166" s="55">
        <v>66977</v>
      </c>
      <c r="M166" s="55" t="e">
        <v>#N/A</v>
      </c>
      <c r="N166" s="55" t="s">
        <v>872</v>
      </c>
      <c r="O166" s="55" t="s">
        <v>873</v>
      </c>
      <c r="P166" s="112">
        <v>43910</v>
      </c>
      <c r="Q166" s="55" t="s">
        <v>874</v>
      </c>
      <c r="R166" s="55">
        <v>33755672</v>
      </c>
      <c r="S166" s="55">
        <v>27337556723</v>
      </c>
      <c r="T166" s="115">
        <v>43437</v>
      </c>
      <c r="U166" s="115">
        <v>43437</v>
      </c>
      <c r="V166" s="116">
        <v>43448</v>
      </c>
      <c r="W166" s="55">
        <v>646</v>
      </c>
      <c r="X166" s="118" t="s">
        <v>36</v>
      </c>
      <c r="Y166" s="127">
        <v>89959</v>
      </c>
      <c r="Z166" s="122" t="s">
        <v>37</v>
      </c>
      <c r="AA166" s="128" t="s">
        <v>275</v>
      </c>
    </row>
    <row r="167" hidden="1" spans="1:27">
      <c r="A167" s="52" t="s">
        <v>832</v>
      </c>
      <c r="B167" s="53" t="s">
        <v>833</v>
      </c>
      <c r="C167" s="53" t="s">
        <v>875</v>
      </c>
      <c r="D167" s="53" t="s">
        <v>876</v>
      </c>
      <c r="E167" s="53" t="s">
        <v>134</v>
      </c>
      <c r="F167" s="53" t="s">
        <v>134</v>
      </c>
      <c r="G167" s="53">
        <v>89086</v>
      </c>
      <c r="H167" s="53">
        <v>82628</v>
      </c>
      <c r="I167" s="53">
        <v>2313063</v>
      </c>
      <c r="J167" s="53" t="s">
        <v>32</v>
      </c>
      <c r="K167" s="53" t="s">
        <v>32</v>
      </c>
      <c r="L167" s="53">
        <v>66977</v>
      </c>
      <c r="M167" s="53" t="e">
        <v>#N/A</v>
      </c>
      <c r="N167" s="53" t="s">
        <v>877</v>
      </c>
      <c r="O167" s="53" t="s">
        <v>878</v>
      </c>
      <c r="P167" s="113">
        <v>43919</v>
      </c>
      <c r="Q167" s="53" t="s">
        <v>879</v>
      </c>
      <c r="R167" s="53">
        <v>25255663</v>
      </c>
      <c r="S167" s="53">
        <v>27252556635</v>
      </c>
      <c r="T167" s="58">
        <v>42688</v>
      </c>
      <c r="U167" s="58">
        <v>43409</v>
      </c>
      <c r="V167" s="59">
        <v>43423</v>
      </c>
      <c r="W167" s="53">
        <v>1385</v>
      </c>
      <c r="X167" s="119" t="s">
        <v>36</v>
      </c>
      <c r="Y167" s="124">
        <v>89960</v>
      </c>
      <c r="Z167" s="125" t="s">
        <v>37</v>
      </c>
      <c r="AA167" s="126" t="s">
        <v>275</v>
      </c>
    </row>
    <row r="168" hidden="1" spans="1:27">
      <c r="A168" s="52" t="s">
        <v>832</v>
      </c>
      <c r="B168" s="53" t="s">
        <v>833</v>
      </c>
      <c r="C168" s="53" t="s">
        <v>880</v>
      </c>
      <c r="D168" s="53" t="s">
        <v>881</v>
      </c>
      <c r="E168" s="53" t="s">
        <v>41</v>
      </c>
      <c r="F168" s="53" t="s">
        <v>41</v>
      </c>
      <c r="G168" s="53">
        <v>89005</v>
      </c>
      <c r="H168" s="53">
        <v>80059</v>
      </c>
      <c r="I168" s="53">
        <v>1535349</v>
      </c>
      <c r="J168" s="53" t="s">
        <v>60</v>
      </c>
      <c r="K168" s="53" t="s">
        <v>43</v>
      </c>
      <c r="L168" s="53">
        <v>66977</v>
      </c>
      <c r="M168" s="53" t="e">
        <v>#N/A</v>
      </c>
      <c r="N168" s="53" t="s">
        <v>882</v>
      </c>
      <c r="O168" s="53" t="s">
        <v>883</v>
      </c>
      <c r="P168" s="113">
        <v>43945</v>
      </c>
      <c r="Q168" s="53" t="s">
        <v>884</v>
      </c>
      <c r="R168" s="53">
        <v>36583773</v>
      </c>
      <c r="S168" s="53">
        <v>27365837738</v>
      </c>
      <c r="T168" s="58">
        <v>42009</v>
      </c>
      <c r="U168" s="58">
        <v>43259</v>
      </c>
      <c r="V168" s="59">
        <v>43262</v>
      </c>
      <c r="W168" s="53">
        <v>2054</v>
      </c>
      <c r="X168" s="119" t="s">
        <v>36</v>
      </c>
      <c r="Y168" s="124">
        <v>89961</v>
      </c>
      <c r="Z168" s="125" t="s">
        <v>37</v>
      </c>
      <c r="AA168" s="126" t="s">
        <v>275</v>
      </c>
    </row>
    <row r="169" hidden="1" spans="1:27">
      <c r="A169" s="52" t="s">
        <v>832</v>
      </c>
      <c r="B169" s="53" t="s">
        <v>833</v>
      </c>
      <c r="C169" s="53" t="s">
        <v>885</v>
      </c>
      <c r="D169" s="53" t="s">
        <v>886</v>
      </c>
      <c r="E169" s="53" t="s">
        <v>134</v>
      </c>
      <c r="F169" s="53" t="s">
        <v>134</v>
      </c>
      <c r="G169" s="53">
        <v>89190</v>
      </c>
      <c r="H169" s="53">
        <v>86338</v>
      </c>
      <c r="I169" s="53">
        <v>3138452</v>
      </c>
      <c r="J169" s="53" t="s">
        <v>32</v>
      </c>
      <c r="K169" s="53" t="s">
        <v>32</v>
      </c>
      <c r="L169" s="53">
        <v>66977</v>
      </c>
      <c r="M169" s="53" t="e">
        <v>#N/A</v>
      </c>
      <c r="N169" s="53" t="s">
        <v>887</v>
      </c>
      <c r="O169" s="53" t="s">
        <v>888</v>
      </c>
      <c r="P169" s="113">
        <v>43915</v>
      </c>
      <c r="Q169" s="53" t="s">
        <v>889</v>
      </c>
      <c r="R169" s="53">
        <v>39575371</v>
      </c>
      <c r="S169" s="53">
        <v>27395753717</v>
      </c>
      <c r="T169" s="58">
        <v>43460</v>
      </c>
      <c r="U169" s="58">
        <v>43460</v>
      </c>
      <c r="V169" s="59">
        <v>43476</v>
      </c>
      <c r="W169" s="53">
        <v>623</v>
      </c>
      <c r="X169" s="119" t="s">
        <v>36</v>
      </c>
      <c r="Y169" s="124">
        <v>89962</v>
      </c>
      <c r="Z169" s="125" t="s">
        <v>37</v>
      </c>
      <c r="AA169" s="126" t="s">
        <v>275</v>
      </c>
    </row>
    <row r="170" hidden="1" spans="1:27">
      <c r="A170" s="52" t="s">
        <v>832</v>
      </c>
      <c r="B170" s="53" t="s">
        <v>833</v>
      </c>
      <c r="C170" s="53" t="s">
        <v>890</v>
      </c>
      <c r="D170" s="53" t="s">
        <v>891</v>
      </c>
      <c r="E170" s="53" t="s">
        <v>134</v>
      </c>
      <c r="F170" s="53" t="s">
        <v>134</v>
      </c>
      <c r="G170" s="53">
        <v>89093</v>
      </c>
      <c r="H170" s="53">
        <v>83709</v>
      </c>
      <c r="I170" s="53">
        <v>2557023</v>
      </c>
      <c r="J170" s="53" t="s">
        <v>66</v>
      </c>
      <c r="K170" s="53" t="s">
        <v>66</v>
      </c>
      <c r="L170" s="53">
        <v>66977</v>
      </c>
      <c r="M170" s="53" t="e">
        <v>#N/A</v>
      </c>
      <c r="N170" s="53" t="s">
        <v>892</v>
      </c>
      <c r="O170" s="53" t="s">
        <v>893</v>
      </c>
      <c r="P170" s="113">
        <v>43945</v>
      </c>
      <c r="Q170" s="53" t="s">
        <v>894</v>
      </c>
      <c r="R170" s="53">
        <v>40237972</v>
      </c>
      <c r="S170" s="53">
        <v>27402379729</v>
      </c>
      <c r="T170" s="58">
        <v>42919</v>
      </c>
      <c r="U170" s="58">
        <v>43409</v>
      </c>
      <c r="V170" s="59">
        <v>43423</v>
      </c>
      <c r="W170" s="53">
        <v>1156</v>
      </c>
      <c r="X170" s="119" t="s">
        <v>36</v>
      </c>
      <c r="Y170" s="124">
        <v>89963</v>
      </c>
      <c r="Z170" s="125" t="s">
        <v>37</v>
      </c>
      <c r="AA170" s="126" t="s">
        <v>275</v>
      </c>
    </row>
    <row r="171" hidden="1" spans="1:27">
      <c r="A171" s="54" t="s">
        <v>832</v>
      </c>
      <c r="B171" s="55" t="s">
        <v>833</v>
      </c>
      <c r="C171" s="55" t="s">
        <v>895</v>
      </c>
      <c r="D171" s="55" t="s">
        <v>896</v>
      </c>
      <c r="E171" s="55" t="s">
        <v>134</v>
      </c>
      <c r="F171" s="55" t="s">
        <v>134</v>
      </c>
      <c r="G171" s="55">
        <v>89033</v>
      </c>
      <c r="H171" s="55">
        <v>80925</v>
      </c>
      <c r="I171" s="55">
        <v>1846621</v>
      </c>
      <c r="J171" s="55" t="s">
        <v>66</v>
      </c>
      <c r="K171" s="111" t="s">
        <v>66</v>
      </c>
      <c r="L171" s="55">
        <v>66977</v>
      </c>
      <c r="M171" s="55" t="e">
        <v>#N/A</v>
      </c>
      <c r="N171" s="55" t="s">
        <v>897</v>
      </c>
      <c r="O171" s="55" t="s">
        <v>898</v>
      </c>
      <c r="P171" s="112">
        <v>43916</v>
      </c>
      <c r="Q171" s="55" t="s">
        <v>899</v>
      </c>
      <c r="R171" s="55">
        <v>38745124</v>
      </c>
      <c r="S171" s="55">
        <v>20387451243</v>
      </c>
      <c r="T171" s="115">
        <v>42282</v>
      </c>
      <c r="U171" s="115">
        <v>43327</v>
      </c>
      <c r="V171" s="116">
        <v>43328</v>
      </c>
      <c r="W171" s="55">
        <v>1784</v>
      </c>
      <c r="X171" s="118" t="s">
        <v>36</v>
      </c>
      <c r="Y171" s="127">
        <v>89964</v>
      </c>
      <c r="Z171" s="122" t="s">
        <v>37</v>
      </c>
      <c r="AA171" s="128" t="s">
        <v>275</v>
      </c>
    </row>
    <row r="172" hidden="1" spans="1:27">
      <c r="A172" s="54" t="s">
        <v>832</v>
      </c>
      <c r="B172" s="55" t="s">
        <v>833</v>
      </c>
      <c r="C172" s="55" t="s">
        <v>900</v>
      </c>
      <c r="D172" s="55" t="s">
        <v>901</v>
      </c>
      <c r="E172" s="55" t="s">
        <v>134</v>
      </c>
      <c r="F172" s="55" t="s">
        <v>134</v>
      </c>
      <c r="G172" s="55">
        <v>89130</v>
      </c>
      <c r="H172" s="55">
        <v>86149</v>
      </c>
      <c r="I172" s="55">
        <v>1947342</v>
      </c>
      <c r="J172" s="55" t="s">
        <v>66</v>
      </c>
      <c r="K172" s="111" t="s">
        <v>66</v>
      </c>
      <c r="L172" s="55">
        <v>66977</v>
      </c>
      <c r="M172" s="55" t="e">
        <v>#N/A</v>
      </c>
      <c r="N172" s="55" t="s">
        <v>902</v>
      </c>
      <c r="O172" s="55" t="s">
        <v>903</v>
      </c>
      <c r="P172" s="112">
        <v>43934</v>
      </c>
      <c r="Q172" s="55" t="s">
        <v>904</v>
      </c>
      <c r="R172" s="55">
        <v>37927030</v>
      </c>
      <c r="S172" s="55">
        <v>27379270307</v>
      </c>
      <c r="T172" s="115">
        <v>43437</v>
      </c>
      <c r="U172" s="115">
        <v>43437</v>
      </c>
      <c r="V172" s="116">
        <v>43448</v>
      </c>
      <c r="W172" s="55">
        <v>646</v>
      </c>
      <c r="X172" s="118" t="s">
        <v>36</v>
      </c>
      <c r="Y172" s="127">
        <v>89965</v>
      </c>
      <c r="Z172" s="122" t="s">
        <v>37</v>
      </c>
      <c r="AA172" s="128" t="s">
        <v>275</v>
      </c>
    </row>
    <row r="173" hidden="1" spans="1:27">
      <c r="A173" s="52" t="s">
        <v>832</v>
      </c>
      <c r="B173" s="53" t="s">
        <v>833</v>
      </c>
      <c r="C173" s="53" t="s">
        <v>905</v>
      </c>
      <c r="D173" s="53" t="s">
        <v>906</v>
      </c>
      <c r="E173" s="53" t="s">
        <v>134</v>
      </c>
      <c r="F173" s="53" t="s">
        <v>134</v>
      </c>
      <c r="G173" s="53">
        <v>89015</v>
      </c>
      <c r="H173" s="53">
        <v>85607</v>
      </c>
      <c r="I173" s="53">
        <v>2873901</v>
      </c>
      <c r="J173" s="53" t="s">
        <v>32</v>
      </c>
      <c r="K173" s="53" t="s">
        <v>32</v>
      </c>
      <c r="L173" s="53">
        <v>66977</v>
      </c>
      <c r="M173" s="53" t="e">
        <v>#N/A</v>
      </c>
      <c r="N173" s="53" t="s">
        <v>907</v>
      </c>
      <c r="O173" s="53" t="s">
        <v>908</v>
      </c>
      <c r="P173" s="113">
        <v>43945</v>
      </c>
      <c r="Q173" s="53" t="s">
        <v>909</v>
      </c>
      <c r="R173" s="53">
        <v>37728242</v>
      </c>
      <c r="S173" s="53">
        <v>27377282421</v>
      </c>
      <c r="T173" s="58">
        <v>43227</v>
      </c>
      <c r="U173" s="58">
        <v>43259</v>
      </c>
      <c r="V173" s="59">
        <v>43262</v>
      </c>
      <c r="W173" s="53">
        <v>852</v>
      </c>
      <c r="X173" s="119" t="s">
        <v>36</v>
      </c>
      <c r="Y173" s="124">
        <v>89978</v>
      </c>
      <c r="Z173" s="125" t="s">
        <v>37</v>
      </c>
      <c r="AA173" s="126" t="s">
        <v>275</v>
      </c>
    </row>
    <row r="174" hidden="1" spans="1:27">
      <c r="A174" s="54" t="s">
        <v>832</v>
      </c>
      <c r="B174" s="55" t="s">
        <v>833</v>
      </c>
      <c r="C174" s="55" t="s">
        <v>910</v>
      </c>
      <c r="D174" s="55" t="s">
        <v>911</v>
      </c>
      <c r="E174" s="55" t="s">
        <v>134</v>
      </c>
      <c r="F174" s="55" t="s">
        <v>134</v>
      </c>
      <c r="G174" s="55">
        <v>89171</v>
      </c>
      <c r="H174" s="55">
        <v>86280</v>
      </c>
      <c r="I174" s="55">
        <v>3133230</v>
      </c>
      <c r="J174" s="55" t="s">
        <v>32</v>
      </c>
      <c r="K174" s="111" t="s">
        <v>32</v>
      </c>
      <c r="L174" s="55">
        <v>66977</v>
      </c>
      <c r="M174" s="55" t="e">
        <v>#N/A</v>
      </c>
      <c r="N174" s="55" t="s">
        <v>912</v>
      </c>
      <c r="O174" s="55" t="s">
        <v>913</v>
      </c>
      <c r="P174" s="112">
        <v>43921</v>
      </c>
      <c r="Q174" s="55" t="s">
        <v>914</v>
      </c>
      <c r="R174" s="55">
        <v>39573437</v>
      </c>
      <c r="S174" s="55">
        <v>27395734372</v>
      </c>
      <c r="T174" s="115">
        <v>43451</v>
      </c>
      <c r="U174" s="115">
        <v>43451</v>
      </c>
      <c r="V174" s="116">
        <v>43467</v>
      </c>
      <c r="W174" s="55">
        <v>632</v>
      </c>
      <c r="X174" s="118" t="s">
        <v>36</v>
      </c>
      <c r="Y174" s="127">
        <v>89980</v>
      </c>
      <c r="Z174" s="122" t="s">
        <v>37</v>
      </c>
      <c r="AA174" s="128" t="s">
        <v>275</v>
      </c>
    </row>
    <row r="175" hidden="1" spans="1:27">
      <c r="A175" s="54" t="s">
        <v>832</v>
      </c>
      <c r="B175" s="55" t="s">
        <v>833</v>
      </c>
      <c r="C175" s="55" t="s">
        <v>915</v>
      </c>
      <c r="D175" s="55" t="s">
        <v>916</v>
      </c>
      <c r="E175" s="55" t="s">
        <v>134</v>
      </c>
      <c r="F175" s="55" t="s">
        <v>134</v>
      </c>
      <c r="G175" s="55">
        <v>89172</v>
      </c>
      <c r="H175" s="55">
        <v>86295</v>
      </c>
      <c r="I175" s="55">
        <v>3133292</v>
      </c>
      <c r="J175" s="55" t="s">
        <v>32</v>
      </c>
      <c r="K175" s="111" t="s">
        <v>32</v>
      </c>
      <c r="L175" s="55">
        <v>66977</v>
      </c>
      <c r="M175" s="55" t="e">
        <v>#N/A</v>
      </c>
      <c r="N175" s="55" t="s">
        <v>917</v>
      </c>
      <c r="O175" s="55" t="s">
        <v>918</v>
      </c>
      <c r="P175" s="112">
        <v>43910</v>
      </c>
      <c r="Q175" s="55" t="s">
        <v>919</v>
      </c>
      <c r="R175" s="55">
        <v>43037646</v>
      </c>
      <c r="S175" s="55">
        <v>20430376463</v>
      </c>
      <c r="T175" s="115">
        <v>43451</v>
      </c>
      <c r="U175" s="115">
        <v>43451</v>
      </c>
      <c r="V175" s="116">
        <v>43467</v>
      </c>
      <c r="W175" s="55">
        <v>632</v>
      </c>
      <c r="X175" s="118" t="s">
        <v>36</v>
      </c>
      <c r="Y175" s="127">
        <v>89966</v>
      </c>
      <c r="Z175" s="122" t="s">
        <v>37</v>
      </c>
      <c r="AA175" s="128" t="s">
        <v>275</v>
      </c>
    </row>
    <row r="176" hidden="1" spans="1:27">
      <c r="A176" s="52" t="s">
        <v>832</v>
      </c>
      <c r="B176" s="53" t="s">
        <v>833</v>
      </c>
      <c r="C176" s="53" t="s">
        <v>920</v>
      </c>
      <c r="D176" s="53" t="s">
        <v>529</v>
      </c>
      <c r="E176" s="53" t="s">
        <v>134</v>
      </c>
      <c r="F176" s="53" t="s">
        <v>134</v>
      </c>
      <c r="G176" s="53">
        <v>89034</v>
      </c>
      <c r="H176" s="53">
        <v>80985</v>
      </c>
      <c r="I176" s="53">
        <v>1880542</v>
      </c>
      <c r="J176" s="53" t="s">
        <v>66</v>
      </c>
      <c r="K176" s="53" t="s">
        <v>66</v>
      </c>
      <c r="L176" s="53">
        <v>66977</v>
      </c>
      <c r="M176" s="53" t="e">
        <v>#N/A</v>
      </c>
      <c r="N176" s="53" t="s">
        <v>921</v>
      </c>
      <c r="O176" s="53" t="s">
        <v>922</v>
      </c>
      <c r="P176" s="113">
        <v>43945</v>
      </c>
      <c r="Q176" s="53" t="s">
        <v>923</v>
      </c>
      <c r="R176" s="53">
        <v>34133058</v>
      </c>
      <c r="S176" s="53">
        <v>27341330586</v>
      </c>
      <c r="T176" s="58">
        <v>42310</v>
      </c>
      <c r="U176" s="58">
        <v>43327</v>
      </c>
      <c r="V176" s="59">
        <v>43328</v>
      </c>
      <c r="W176" s="53">
        <v>1757</v>
      </c>
      <c r="X176" s="119" t="s">
        <v>36</v>
      </c>
      <c r="Y176" s="124">
        <v>89967</v>
      </c>
      <c r="Z176" s="125" t="s">
        <v>37</v>
      </c>
      <c r="AA176" s="126" t="s">
        <v>275</v>
      </c>
    </row>
    <row r="177" hidden="1" spans="1:27">
      <c r="A177" s="52" t="s">
        <v>832</v>
      </c>
      <c r="B177" s="53" t="s">
        <v>833</v>
      </c>
      <c r="C177" s="53" t="s">
        <v>924</v>
      </c>
      <c r="D177" s="53" t="s">
        <v>925</v>
      </c>
      <c r="E177" s="53" t="s">
        <v>134</v>
      </c>
      <c r="F177" s="53" t="s">
        <v>134</v>
      </c>
      <c r="G177" s="53">
        <v>89134</v>
      </c>
      <c r="H177" s="53">
        <v>86146</v>
      </c>
      <c r="I177" s="53">
        <v>3118276</v>
      </c>
      <c r="J177" s="53" t="s">
        <v>66</v>
      </c>
      <c r="K177" s="53" t="s">
        <v>66</v>
      </c>
      <c r="L177" s="53">
        <v>66977</v>
      </c>
      <c r="M177" s="53" t="e">
        <v>#N/A</v>
      </c>
      <c r="N177" s="53" t="s">
        <v>926</v>
      </c>
      <c r="O177" s="53" t="s">
        <v>927</v>
      </c>
      <c r="P177" s="113">
        <v>43919</v>
      </c>
      <c r="Q177" s="53" t="s">
        <v>928</v>
      </c>
      <c r="R177" s="53">
        <v>41299933</v>
      </c>
      <c r="S177" s="53">
        <v>27412999334</v>
      </c>
      <c r="T177" s="58">
        <v>43437</v>
      </c>
      <c r="U177" s="58">
        <v>43437</v>
      </c>
      <c r="V177" s="59">
        <v>43448</v>
      </c>
      <c r="W177" s="53">
        <v>646</v>
      </c>
      <c r="X177" s="119" t="s">
        <v>36</v>
      </c>
      <c r="Y177" s="124">
        <v>89968</v>
      </c>
      <c r="Z177" s="125" t="s">
        <v>37</v>
      </c>
      <c r="AA177" s="126" t="s">
        <v>275</v>
      </c>
    </row>
    <row r="178" hidden="1" spans="1:27">
      <c r="A178" s="52" t="s">
        <v>138</v>
      </c>
      <c r="B178" s="53" t="s">
        <v>929</v>
      </c>
      <c r="C178" s="53" t="s">
        <v>566</v>
      </c>
      <c r="D178" s="53" t="s">
        <v>930</v>
      </c>
      <c r="E178" s="53" t="s">
        <v>41</v>
      </c>
      <c r="F178" s="53" t="s">
        <v>41</v>
      </c>
      <c r="G178" s="53">
        <v>89277</v>
      </c>
      <c r="H178" s="53">
        <v>88139</v>
      </c>
      <c r="I178" s="53">
        <v>3623919</v>
      </c>
      <c r="J178" s="53" t="s">
        <v>401</v>
      </c>
      <c r="K178" s="53" t="s">
        <v>43</v>
      </c>
      <c r="L178" s="53">
        <v>78667</v>
      </c>
      <c r="M178" s="53">
        <v>64118</v>
      </c>
      <c r="N178" s="53" t="s">
        <v>931</v>
      </c>
      <c r="O178" s="53" t="s">
        <v>932</v>
      </c>
      <c r="P178" s="113">
        <v>43916</v>
      </c>
      <c r="Q178" s="53"/>
      <c r="R178" s="53">
        <v>39138709</v>
      </c>
      <c r="S178" s="53">
        <v>20391387096</v>
      </c>
      <c r="T178" s="58">
        <v>43808</v>
      </c>
      <c r="U178" s="58">
        <v>43808</v>
      </c>
      <c r="V178" s="59">
        <v>43831</v>
      </c>
      <c r="W178" s="53">
        <v>280</v>
      </c>
      <c r="X178" s="119" t="s">
        <v>36</v>
      </c>
      <c r="Y178" s="124">
        <v>89983</v>
      </c>
      <c r="Z178" s="125" t="s">
        <v>146</v>
      </c>
      <c r="AA178" s="126" t="s">
        <v>275</v>
      </c>
    </row>
    <row r="179" hidden="1" spans="1:27">
      <c r="A179" s="52" t="s">
        <v>138</v>
      </c>
      <c r="B179" s="53" t="s">
        <v>929</v>
      </c>
      <c r="C179" s="53" t="s">
        <v>933</v>
      </c>
      <c r="D179" s="53" t="s">
        <v>934</v>
      </c>
      <c r="E179" s="53" t="s">
        <v>41</v>
      </c>
      <c r="F179" s="53" t="s">
        <v>41</v>
      </c>
      <c r="G179" s="53">
        <v>89332</v>
      </c>
      <c r="H179" s="53">
        <v>88362</v>
      </c>
      <c r="I179" s="53">
        <v>3667102</v>
      </c>
      <c r="J179" s="53" t="s">
        <v>43</v>
      </c>
      <c r="K179" s="53" t="s">
        <v>43</v>
      </c>
      <c r="L179" s="53">
        <v>78667</v>
      </c>
      <c r="M179" s="53">
        <v>64118</v>
      </c>
      <c r="N179" s="53"/>
      <c r="O179" s="53" t="s">
        <v>935</v>
      </c>
      <c r="P179" s="113"/>
      <c r="Q179" s="53"/>
      <c r="R179" s="53">
        <v>33374870</v>
      </c>
      <c r="S179" s="53" t="s">
        <v>936</v>
      </c>
      <c r="T179" s="58">
        <v>44026</v>
      </c>
      <c r="U179" s="58">
        <v>44026</v>
      </c>
      <c r="V179" s="59">
        <v>44029</v>
      </c>
      <c r="W179" s="53">
        <v>65</v>
      </c>
      <c r="X179" s="119" t="s">
        <v>36</v>
      </c>
      <c r="Y179" s="124"/>
      <c r="Z179" s="125" t="s">
        <v>146</v>
      </c>
      <c r="AA179" s="126" t="s">
        <v>772</v>
      </c>
    </row>
    <row r="180" hidden="1" spans="1:27">
      <c r="A180" s="52" t="s">
        <v>138</v>
      </c>
      <c r="B180" s="53" t="s">
        <v>929</v>
      </c>
      <c r="C180" s="53" t="s">
        <v>937</v>
      </c>
      <c r="D180" s="53" t="s">
        <v>938</v>
      </c>
      <c r="E180" s="53" t="s">
        <v>134</v>
      </c>
      <c r="F180" s="53" t="s">
        <v>134</v>
      </c>
      <c r="G180" s="53">
        <v>89177</v>
      </c>
      <c r="H180" s="53">
        <v>86333</v>
      </c>
      <c r="I180" s="53">
        <v>3138500</v>
      </c>
      <c r="J180" s="53" t="s">
        <v>32</v>
      </c>
      <c r="K180" s="53" t="s">
        <v>32</v>
      </c>
      <c r="L180" s="53">
        <v>78667</v>
      </c>
      <c r="M180" s="53">
        <v>64118</v>
      </c>
      <c r="N180" s="53" t="s">
        <v>939</v>
      </c>
      <c r="O180" s="53" t="s">
        <v>940</v>
      </c>
      <c r="P180" s="113">
        <v>44029</v>
      </c>
      <c r="Q180" s="53" t="s">
        <v>941</v>
      </c>
      <c r="R180" s="53">
        <v>37502888</v>
      </c>
      <c r="S180" s="53" t="s">
        <v>942</v>
      </c>
      <c r="T180" s="58">
        <v>43460</v>
      </c>
      <c r="U180" s="58">
        <v>43460</v>
      </c>
      <c r="V180" s="59">
        <v>43476</v>
      </c>
      <c r="W180" s="53">
        <v>623</v>
      </c>
      <c r="X180" s="119" t="s">
        <v>36</v>
      </c>
      <c r="Y180" s="124"/>
      <c r="Z180" s="125" t="s">
        <v>146</v>
      </c>
      <c r="AA180" s="126" t="s">
        <v>275</v>
      </c>
    </row>
    <row r="181" hidden="1" spans="1:27">
      <c r="A181" s="52" t="s">
        <v>138</v>
      </c>
      <c r="B181" s="53" t="s">
        <v>929</v>
      </c>
      <c r="C181" s="53" t="s">
        <v>943</v>
      </c>
      <c r="D181" s="53" t="s">
        <v>944</v>
      </c>
      <c r="E181" s="53" t="s">
        <v>41</v>
      </c>
      <c r="F181" s="53" t="s">
        <v>41</v>
      </c>
      <c r="G181" s="53">
        <v>89116</v>
      </c>
      <c r="H181" s="53">
        <v>86139</v>
      </c>
      <c r="I181" s="53">
        <v>3118248</v>
      </c>
      <c r="J181" s="53" t="s">
        <v>52</v>
      </c>
      <c r="K181" s="53" t="s">
        <v>43</v>
      </c>
      <c r="L181" s="53">
        <v>78667</v>
      </c>
      <c r="M181" s="53">
        <v>64118</v>
      </c>
      <c r="N181" s="53" t="s">
        <v>945</v>
      </c>
      <c r="O181" s="53" t="s">
        <v>946</v>
      </c>
      <c r="P181" s="113">
        <v>43915</v>
      </c>
      <c r="Q181" s="53" t="s">
        <v>947</v>
      </c>
      <c r="R181" s="53">
        <v>27017947</v>
      </c>
      <c r="S181" s="53">
        <v>27270179474</v>
      </c>
      <c r="T181" s="58">
        <v>43437</v>
      </c>
      <c r="U181" s="58">
        <v>43437</v>
      </c>
      <c r="V181" s="59">
        <v>43448</v>
      </c>
      <c r="W181" s="53">
        <v>646</v>
      </c>
      <c r="X181" s="119" t="s">
        <v>36</v>
      </c>
      <c r="Y181" s="124">
        <v>89971</v>
      </c>
      <c r="Z181" s="125" t="s">
        <v>146</v>
      </c>
      <c r="AA181" s="126" t="s">
        <v>275</v>
      </c>
    </row>
    <row r="182" hidden="1" spans="1:27">
      <c r="A182" s="52" t="s">
        <v>138</v>
      </c>
      <c r="B182" s="53" t="s">
        <v>929</v>
      </c>
      <c r="C182" s="53" t="s">
        <v>948</v>
      </c>
      <c r="D182" s="53" t="s">
        <v>949</v>
      </c>
      <c r="E182" s="53" t="s">
        <v>134</v>
      </c>
      <c r="F182" s="53" t="s">
        <v>134</v>
      </c>
      <c r="G182" s="53">
        <v>89284</v>
      </c>
      <c r="H182" s="53">
        <v>88146</v>
      </c>
      <c r="I182" s="53">
        <v>3624026</v>
      </c>
      <c r="J182" s="53" t="s">
        <v>32</v>
      </c>
      <c r="K182" s="53" t="s">
        <v>32</v>
      </c>
      <c r="L182" s="53">
        <v>78667</v>
      </c>
      <c r="M182" s="53">
        <v>64118</v>
      </c>
      <c r="N182" s="53" t="s">
        <v>950</v>
      </c>
      <c r="O182" s="53" t="s">
        <v>951</v>
      </c>
      <c r="P182" s="113">
        <v>43919</v>
      </c>
      <c r="Q182" s="53"/>
      <c r="R182" s="53">
        <v>39972866</v>
      </c>
      <c r="S182" s="53">
        <v>27399728660</v>
      </c>
      <c r="T182" s="58">
        <v>43808</v>
      </c>
      <c r="U182" s="58">
        <v>43808</v>
      </c>
      <c r="V182" s="59">
        <v>43831</v>
      </c>
      <c r="W182" s="53">
        <v>280</v>
      </c>
      <c r="X182" s="119" t="s">
        <v>36</v>
      </c>
      <c r="Y182" s="124">
        <v>89888</v>
      </c>
      <c r="Z182" s="125" t="s">
        <v>146</v>
      </c>
      <c r="AA182" s="126" t="s">
        <v>275</v>
      </c>
    </row>
    <row r="183" hidden="1" spans="1:27">
      <c r="A183" s="52" t="s">
        <v>138</v>
      </c>
      <c r="B183" s="53" t="s">
        <v>929</v>
      </c>
      <c r="C183" s="53" t="s">
        <v>952</v>
      </c>
      <c r="D183" s="53" t="s">
        <v>953</v>
      </c>
      <c r="E183" s="53" t="s">
        <v>134</v>
      </c>
      <c r="F183" s="53" t="s">
        <v>134</v>
      </c>
      <c r="G183" s="53">
        <v>89036</v>
      </c>
      <c r="H183" s="53">
        <v>73450</v>
      </c>
      <c r="I183" s="53">
        <v>567214</v>
      </c>
      <c r="J183" s="53" t="s">
        <v>32</v>
      </c>
      <c r="K183" s="53" t="s">
        <v>32</v>
      </c>
      <c r="L183" s="53">
        <v>78667</v>
      </c>
      <c r="M183" s="53">
        <v>64118</v>
      </c>
      <c r="N183" s="53" t="s">
        <v>954</v>
      </c>
      <c r="O183" s="53" t="s">
        <v>955</v>
      </c>
      <c r="P183" s="113">
        <v>44029</v>
      </c>
      <c r="Q183" s="53" t="s">
        <v>956</v>
      </c>
      <c r="R183" s="53">
        <v>29088429</v>
      </c>
      <c r="S183" s="53" t="s">
        <v>957</v>
      </c>
      <c r="T183" s="58">
        <v>40490</v>
      </c>
      <c r="U183" s="58">
        <v>43327</v>
      </c>
      <c r="V183" s="59">
        <v>43328</v>
      </c>
      <c r="W183" s="53">
        <v>3551</v>
      </c>
      <c r="X183" s="119" t="s">
        <v>36</v>
      </c>
      <c r="Y183" s="124"/>
      <c r="Z183" s="125" t="s">
        <v>146</v>
      </c>
      <c r="AA183" s="126" t="s">
        <v>275</v>
      </c>
    </row>
    <row r="184" hidden="1" spans="1:27">
      <c r="A184" s="52" t="s">
        <v>138</v>
      </c>
      <c r="B184" s="53" t="s">
        <v>929</v>
      </c>
      <c r="C184" s="53" t="s">
        <v>958</v>
      </c>
      <c r="D184" s="53" t="s">
        <v>959</v>
      </c>
      <c r="E184" s="53" t="s">
        <v>59</v>
      </c>
      <c r="F184" s="53" t="s">
        <v>59</v>
      </c>
      <c r="G184" s="53">
        <v>89159</v>
      </c>
      <c r="H184" s="53">
        <v>86277</v>
      </c>
      <c r="I184" s="53">
        <v>3133223</v>
      </c>
      <c r="J184" s="53" t="s">
        <v>42</v>
      </c>
      <c r="K184" s="53" t="s">
        <v>43</v>
      </c>
      <c r="L184" s="53">
        <v>78667</v>
      </c>
      <c r="M184" s="53">
        <v>64118</v>
      </c>
      <c r="N184" s="53" t="s">
        <v>960</v>
      </c>
      <c r="O184" s="53" t="s">
        <v>961</v>
      </c>
      <c r="P184" s="113">
        <v>44040</v>
      </c>
      <c r="Q184" s="53" t="s">
        <v>962</v>
      </c>
      <c r="R184" s="53">
        <v>34285435</v>
      </c>
      <c r="S184" s="53">
        <v>20342854355</v>
      </c>
      <c r="T184" s="58">
        <v>43451</v>
      </c>
      <c r="U184" s="58">
        <v>43451</v>
      </c>
      <c r="V184" s="59">
        <v>43467</v>
      </c>
      <c r="W184" s="53">
        <v>632</v>
      </c>
      <c r="X184" s="119" t="s">
        <v>36</v>
      </c>
      <c r="Y184" s="124"/>
      <c r="Z184" s="125" t="s">
        <v>146</v>
      </c>
      <c r="AA184" s="126" t="s">
        <v>275</v>
      </c>
    </row>
    <row r="185" hidden="1" spans="1:27">
      <c r="A185" s="52" t="s">
        <v>138</v>
      </c>
      <c r="B185" s="53" t="s">
        <v>929</v>
      </c>
      <c r="C185" s="53" t="s">
        <v>963</v>
      </c>
      <c r="D185" s="53" t="s">
        <v>964</v>
      </c>
      <c r="E185" s="53" t="s">
        <v>134</v>
      </c>
      <c r="F185" s="53" t="s">
        <v>134</v>
      </c>
      <c r="G185" s="53">
        <v>89160</v>
      </c>
      <c r="H185" s="53">
        <v>86286</v>
      </c>
      <c r="I185" s="53">
        <v>3133265</v>
      </c>
      <c r="J185" s="53" t="s">
        <v>32</v>
      </c>
      <c r="K185" s="53" t="s">
        <v>32</v>
      </c>
      <c r="L185" s="53">
        <v>78667</v>
      </c>
      <c r="M185" s="53">
        <v>64118</v>
      </c>
      <c r="N185" s="53" t="s">
        <v>965</v>
      </c>
      <c r="O185" s="53" t="s">
        <v>966</v>
      </c>
      <c r="P185" s="113">
        <v>44033</v>
      </c>
      <c r="Q185" s="53" t="s">
        <v>967</v>
      </c>
      <c r="R185" s="53">
        <v>36042494</v>
      </c>
      <c r="S185" s="53">
        <v>20360424945</v>
      </c>
      <c r="T185" s="58">
        <v>43451</v>
      </c>
      <c r="U185" s="58">
        <v>43451</v>
      </c>
      <c r="V185" s="59">
        <v>43467</v>
      </c>
      <c r="W185" s="53">
        <v>632</v>
      </c>
      <c r="X185" s="119" t="s">
        <v>36</v>
      </c>
      <c r="Y185" s="124"/>
      <c r="Z185" s="125" t="s">
        <v>146</v>
      </c>
      <c r="AA185" s="126" t="s">
        <v>275</v>
      </c>
    </row>
    <row r="186" hidden="1" spans="1:27">
      <c r="A186" s="52" t="s">
        <v>138</v>
      </c>
      <c r="B186" s="53" t="s">
        <v>929</v>
      </c>
      <c r="C186" s="53" t="s">
        <v>357</v>
      </c>
      <c r="D186" s="53" t="s">
        <v>968</v>
      </c>
      <c r="E186" s="53" t="s">
        <v>41</v>
      </c>
      <c r="F186" s="53" t="s">
        <v>41</v>
      </c>
      <c r="G186" s="53">
        <v>89333</v>
      </c>
      <c r="H186" s="53">
        <v>88363</v>
      </c>
      <c r="I186" s="53">
        <v>3667103</v>
      </c>
      <c r="J186" s="53" t="s">
        <v>43</v>
      </c>
      <c r="K186" s="53" t="s">
        <v>43</v>
      </c>
      <c r="L186" s="53">
        <v>78667</v>
      </c>
      <c r="M186" s="53">
        <v>64118</v>
      </c>
      <c r="N186" s="53"/>
      <c r="O186" s="53" t="s">
        <v>969</v>
      </c>
      <c r="P186" s="113"/>
      <c r="Q186" s="53"/>
      <c r="R186" s="53">
        <v>39356693</v>
      </c>
      <c r="S186" s="53" t="s">
        <v>970</v>
      </c>
      <c r="T186" s="58">
        <v>44026</v>
      </c>
      <c r="U186" s="58">
        <v>44026</v>
      </c>
      <c r="V186" s="59">
        <v>44029</v>
      </c>
      <c r="W186" s="53">
        <v>65</v>
      </c>
      <c r="X186" s="119" t="s">
        <v>36</v>
      </c>
      <c r="Y186" s="124"/>
      <c r="Z186" s="125" t="s">
        <v>146</v>
      </c>
      <c r="AA186" s="126" t="s">
        <v>772</v>
      </c>
    </row>
    <row r="187" hidden="1" spans="1:27">
      <c r="A187" s="52" t="s">
        <v>138</v>
      </c>
      <c r="B187" s="53" t="s">
        <v>929</v>
      </c>
      <c r="C187" s="53" t="s">
        <v>971</v>
      </c>
      <c r="D187" s="53" t="s">
        <v>972</v>
      </c>
      <c r="E187" s="53" t="s">
        <v>41</v>
      </c>
      <c r="F187" s="53" t="s">
        <v>41</v>
      </c>
      <c r="G187" s="53">
        <v>89087</v>
      </c>
      <c r="H187" s="53">
        <v>83366</v>
      </c>
      <c r="I187" s="53">
        <v>2455222</v>
      </c>
      <c r="J187" s="53" t="s">
        <v>42</v>
      </c>
      <c r="K187" s="53" t="s">
        <v>43</v>
      </c>
      <c r="L187" s="53">
        <v>78667</v>
      </c>
      <c r="M187" s="53">
        <v>64118</v>
      </c>
      <c r="N187" s="53" t="s">
        <v>973</v>
      </c>
      <c r="O187" s="53" t="s">
        <v>974</v>
      </c>
      <c r="P187" s="113">
        <v>44040</v>
      </c>
      <c r="Q187" s="53" t="s">
        <v>975</v>
      </c>
      <c r="R187" s="53">
        <v>40695733</v>
      </c>
      <c r="S187" s="53">
        <v>20406957331</v>
      </c>
      <c r="T187" s="58">
        <v>42828</v>
      </c>
      <c r="U187" s="58">
        <v>43409</v>
      </c>
      <c r="V187" s="59">
        <v>43423</v>
      </c>
      <c r="W187" s="53">
        <v>1246</v>
      </c>
      <c r="X187" s="119" t="s">
        <v>36</v>
      </c>
      <c r="Y187" s="124"/>
      <c r="Z187" s="125" t="s">
        <v>146</v>
      </c>
      <c r="AA187" s="126" t="s">
        <v>275</v>
      </c>
    </row>
    <row r="188" hidden="1" spans="1:27">
      <c r="A188" s="54" t="s">
        <v>138</v>
      </c>
      <c r="B188" s="55" t="s">
        <v>929</v>
      </c>
      <c r="C188" s="55" t="s">
        <v>697</v>
      </c>
      <c r="D188" s="55" t="s">
        <v>976</v>
      </c>
      <c r="E188" s="55" t="s">
        <v>134</v>
      </c>
      <c r="F188" s="55" t="s">
        <v>134</v>
      </c>
      <c r="G188" s="55">
        <v>648294</v>
      </c>
      <c r="H188" s="55">
        <v>87513</v>
      </c>
      <c r="I188" s="55">
        <v>3503290</v>
      </c>
      <c r="J188" s="55" t="s">
        <v>52</v>
      </c>
      <c r="K188" s="111" t="s">
        <v>43</v>
      </c>
      <c r="L188" s="55">
        <v>78667</v>
      </c>
      <c r="M188" s="55">
        <v>64118</v>
      </c>
      <c r="N188" s="55" t="s">
        <v>977</v>
      </c>
      <c r="O188" s="55" t="s">
        <v>978</v>
      </c>
      <c r="P188" s="112">
        <v>43955</v>
      </c>
      <c r="Q188" s="55"/>
      <c r="R188" s="55">
        <v>42008494</v>
      </c>
      <c r="S188" s="55">
        <v>20420084944</v>
      </c>
      <c r="T188" s="115">
        <v>43731</v>
      </c>
      <c r="U188" s="115">
        <v>43945</v>
      </c>
      <c r="V188" s="116">
        <v>43956</v>
      </c>
      <c r="W188" s="55">
        <v>356</v>
      </c>
      <c r="X188" s="118" t="s">
        <v>36</v>
      </c>
      <c r="Y188" s="127">
        <v>89873</v>
      </c>
      <c r="Z188" s="122" t="s">
        <v>146</v>
      </c>
      <c r="AA188" s="128" t="s">
        <v>275</v>
      </c>
    </row>
    <row r="189" hidden="1" spans="1:27">
      <c r="A189" s="52" t="s">
        <v>138</v>
      </c>
      <c r="B189" s="53" t="s">
        <v>929</v>
      </c>
      <c r="C189" s="53" t="s">
        <v>979</v>
      </c>
      <c r="D189" s="53" t="s">
        <v>980</v>
      </c>
      <c r="E189" s="53" t="s">
        <v>41</v>
      </c>
      <c r="F189" s="53" t="s">
        <v>41</v>
      </c>
      <c r="G189" s="53">
        <v>89319</v>
      </c>
      <c r="H189" s="53">
        <v>88349</v>
      </c>
      <c r="I189" s="53">
        <v>3667091</v>
      </c>
      <c r="J189" s="53" t="s">
        <v>43</v>
      </c>
      <c r="K189" s="53" t="s">
        <v>43</v>
      </c>
      <c r="L189" s="53">
        <v>78667</v>
      </c>
      <c r="M189" s="53">
        <v>64118</v>
      </c>
      <c r="N189" s="53"/>
      <c r="O189" s="53" t="s">
        <v>981</v>
      </c>
      <c r="P189" s="113"/>
      <c r="Q189" s="53"/>
      <c r="R189" s="53">
        <v>36668244</v>
      </c>
      <c r="S189" s="53" t="s">
        <v>982</v>
      </c>
      <c r="T189" s="58">
        <v>44026</v>
      </c>
      <c r="U189" s="58">
        <v>44026</v>
      </c>
      <c r="V189" s="59">
        <v>44029</v>
      </c>
      <c r="W189" s="53">
        <v>65</v>
      </c>
      <c r="X189" s="119" t="s">
        <v>36</v>
      </c>
      <c r="Y189" s="124"/>
      <c r="Z189" s="125" t="s">
        <v>146</v>
      </c>
      <c r="AA189" s="126" t="s">
        <v>772</v>
      </c>
    </row>
    <row r="190" hidden="1" spans="1:27">
      <c r="A190" s="52" t="s">
        <v>138</v>
      </c>
      <c r="B190" s="53" t="s">
        <v>929</v>
      </c>
      <c r="C190" s="53" t="s">
        <v>983</v>
      </c>
      <c r="D190" s="53" t="s">
        <v>984</v>
      </c>
      <c r="E190" s="53" t="s">
        <v>41</v>
      </c>
      <c r="F190" s="53" t="s">
        <v>41</v>
      </c>
      <c r="G190" s="53">
        <v>89318</v>
      </c>
      <c r="H190" s="53">
        <v>88348</v>
      </c>
      <c r="I190" s="53">
        <v>3667090</v>
      </c>
      <c r="J190" s="53" t="s">
        <v>43</v>
      </c>
      <c r="K190" s="53" t="s">
        <v>43</v>
      </c>
      <c r="L190" s="53">
        <v>78667</v>
      </c>
      <c r="M190" s="53">
        <v>64118</v>
      </c>
      <c r="N190" s="53"/>
      <c r="O190" s="53" t="s">
        <v>985</v>
      </c>
      <c r="P190" s="113"/>
      <c r="Q190" s="53"/>
      <c r="R190" s="53">
        <v>41300232</v>
      </c>
      <c r="S190" s="53" t="s">
        <v>986</v>
      </c>
      <c r="T190" s="58">
        <v>44026</v>
      </c>
      <c r="U190" s="58">
        <v>44026</v>
      </c>
      <c r="V190" s="59">
        <v>44029</v>
      </c>
      <c r="W190" s="53">
        <v>65</v>
      </c>
      <c r="X190" s="119" t="s">
        <v>36</v>
      </c>
      <c r="Y190" s="124"/>
      <c r="Z190" s="125" t="s">
        <v>146</v>
      </c>
      <c r="AA190" s="126" t="s">
        <v>772</v>
      </c>
    </row>
    <row r="191" hidden="1" spans="1:27">
      <c r="A191" s="52" t="s">
        <v>138</v>
      </c>
      <c r="B191" s="53" t="s">
        <v>929</v>
      </c>
      <c r="C191" s="53" t="s">
        <v>186</v>
      </c>
      <c r="D191" s="53" t="s">
        <v>987</v>
      </c>
      <c r="E191" s="53" t="s">
        <v>134</v>
      </c>
      <c r="F191" s="53" t="s">
        <v>134</v>
      </c>
      <c r="G191" s="53">
        <v>89163</v>
      </c>
      <c r="H191" s="53">
        <v>86291</v>
      </c>
      <c r="I191" s="53">
        <v>1823340</v>
      </c>
      <c r="J191" s="53" t="s">
        <v>32</v>
      </c>
      <c r="K191" s="53" t="s">
        <v>32</v>
      </c>
      <c r="L191" s="53">
        <v>78667</v>
      </c>
      <c r="M191" s="53">
        <v>64118</v>
      </c>
      <c r="N191" s="53" t="s">
        <v>988</v>
      </c>
      <c r="O191" s="53" t="s">
        <v>989</v>
      </c>
      <c r="P191" s="113">
        <v>44033</v>
      </c>
      <c r="Q191" s="53" t="s">
        <v>990</v>
      </c>
      <c r="R191" s="53">
        <v>39481760</v>
      </c>
      <c r="S191" s="53" t="s">
        <v>991</v>
      </c>
      <c r="T191" s="58">
        <v>43451</v>
      </c>
      <c r="U191" s="58">
        <v>43451</v>
      </c>
      <c r="V191" s="59">
        <v>43467</v>
      </c>
      <c r="W191" s="53">
        <v>632</v>
      </c>
      <c r="X191" s="119" t="s">
        <v>36</v>
      </c>
      <c r="Y191" s="124"/>
      <c r="Z191" s="125" t="s">
        <v>146</v>
      </c>
      <c r="AA191" s="126" t="s">
        <v>275</v>
      </c>
    </row>
    <row r="192" hidden="1" spans="1:27">
      <c r="A192" s="52" t="s">
        <v>138</v>
      </c>
      <c r="B192" s="53" t="s">
        <v>929</v>
      </c>
      <c r="C192" s="53" t="s">
        <v>992</v>
      </c>
      <c r="D192" s="53" t="s">
        <v>993</v>
      </c>
      <c r="E192" s="53" t="s">
        <v>41</v>
      </c>
      <c r="F192" s="53" t="s">
        <v>41</v>
      </c>
      <c r="G192" s="53">
        <v>89325</v>
      </c>
      <c r="H192" s="53">
        <v>88355</v>
      </c>
      <c r="I192" s="53">
        <v>3667096</v>
      </c>
      <c r="J192" s="53" t="s">
        <v>43</v>
      </c>
      <c r="K192" s="53" t="s">
        <v>43</v>
      </c>
      <c r="L192" s="53">
        <v>78667</v>
      </c>
      <c r="M192" s="53">
        <v>64118</v>
      </c>
      <c r="N192" s="53"/>
      <c r="O192" s="53" t="s">
        <v>994</v>
      </c>
      <c r="P192" s="113"/>
      <c r="Q192" s="53"/>
      <c r="R192" s="53">
        <v>41983179</v>
      </c>
      <c r="S192" s="53" t="s">
        <v>995</v>
      </c>
      <c r="T192" s="58">
        <v>44026</v>
      </c>
      <c r="U192" s="58">
        <v>44026</v>
      </c>
      <c r="V192" s="59">
        <v>44029</v>
      </c>
      <c r="W192" s="53">
        <v>65</v>
      </c>
      <c r="X192" s="119" t="s">
        <v>36</v>
      </c>
      <c r="Y192" s="124"/>
      <c r="Z192" s="125" t="s">
        <v>146</v>
      </c>
      <c r="AA192" s="126" t="s">
        <v>772</v>
      </c>
    </row>
    <row r="193" hidden="1" spans="1:27">
      <c r="A193" s="52" t="s">
        <v>138</v>
      </c>
      <c r="B193" s="53" t="s">
        <v>929</v>
      </c>
      <c r="C193" s="53" t="s">
        <v>996</v>
      </c>
      <c r="D193" s="53" t="s">
        <v>997</v>
      </c>
      <c r="E193" s="53" t="s">
        <v>134</v>
      </c>
      <c r="F193" s="53" t="s">
        <v>134</v>
      </c>
      <c r="G193" s="53">
        <v>89192</v>
      </c>
      <c r="H193" s="53">
        <v>86345</v>
      </c>
      <c r="I193" s="53">
        <v>3138511</v>
      </c>
      <c r="J193" s="53" t="s">
        <v>52</v>
      </c>
      <c r="K193" s="53" t="s">
        <v>43</v>
      </c>
      <c r="L193" s="53">
        <v>78667</v>
      </c>
      <c r="M193" s="53">
        <v>64118</v>
      </c>
      <c r="N193" s="53" t="s">
        <v>998</v>
      </c>
      <c r="O193" s="53" t="s">
        <v>999</v>
      </c>
      <c r="P193" s="113">
        <v>43945</v>
      </c>
      <c r="Q193" s="53" t="s">
        <v>1000</v>
      </c>
      <c r="R193" s="53">
        <v>41038574</v>
      </c>
      <c r="S193" s="53">
        <v>20410385741</v>
      </c>
      <c r="T193" s="58">
        <v>43460</v>
      </c>
      <c r="U193" s="58">
        <v>43460</v>
      </c>
      <c r="V193" s="59">
        <v>43476</v>
      </c>
      <c r="W193" s="53">
        <v>623</v>
      </c>
      <c r="X193" s="119" t="s">
        <v>36</v>
      </c>
      <c r="Y193" s="124">
        <v>89977</v>
      </c>
      <c r="Z193" s="125" t="s">
        <v>146</v>
      </c>
      <c r="AA193" s="126" t="s">
        <v>275</v>
      </c>
    </row>
    <row r="194" hidden="1" spans="1:27">
      <c r="A194" s="54" t="s">
        <v>138</v>
      </c>
      <c r="B194" s="55" t="s">
        <v>929</v>
      </c>
      <c r="C194" s="55" t="s">
        <v>817</v>
      </c>
      <c r="D194" s="55" t="s">
        <v>1001</v>
      </c>
      <c r="E194" s="55" t="s">
        <v>134</v>
      </c>
      <c r="F194" s="55" t="s">
        <v>134</v>
      </c>
      <c r="G194" s="55">
        <v>648298</v>
      </c>
      <c r="H194" s="55">
        <v>87599</v>
      </c>
      <c r="I194" s="55">
        <v>3525648</v>
      </c>
      <c r="J194" s="55" t="s">
        <v>60</v>
      </c>
      <c r="K194" s="111" t="s">
        <v>43</v>
      </c>
      <c r="L194" s="55">
        <v>78667</v>
      </c>
      <c r="M194" s="55">
        <v>64118</v>
      </c>
      <c r="N194" s="55" t="s">
        <v>1002</v>
      </c>
      <c r="O194" s="55" t="s">
        <v>1003</v>
      </c>
      <c r="P194" s="112">
        <v>43955</v>
      </c>
      <c r="Q194" s="55" t="s">
        <v>1004</v>
      </c>
      <c r="R194" s="55">
        <v>33328577</v>
      </c>
      <c r="S194" s="55">
        <v>27333285776</v>
      </c>
      <c r="T194" s="115">
        <v>43745</v>
      </c>
      <c r="U194" s="115">
        <v>43945</v>
      </c>
      <c r="V194" s="116">
        <v>43956</v>
      </c>
      <c r="W194" s="55">
        <v>342</v>
      </c>
      <c r="X194" s="118" t="s">
        <v>36</v>
      </c>
      <c r="Y194" s="127">
        <v>89884</v>
      </c>
      <c r="Z194" s="122" t="s">
        <v>146</v>
      </c>
      <c r="AA194" s="128" t="s">
        <v>275</v>
      </c>
    </row>
    <row r="195" hidden="1" spans="1:27">
      <c r="A195" s="52" t="s">
        <v>138</v>
      </c>
      <c r="B195" s="53" t="s">
        <v>929</v>
      </c>
      <c r="C195" s="53" t="s">
        <v>1005</v>
      </c>
      <c r="D195" s="53" t="s">
        <v>1006</v>
      </c>
      <c r="E195" s="53" t="s">
        <v>134</v>
      </c>
      <c r="F195" s="53" t="s">
        <v>134</v>
      </c>
      <c r="G195" s="53">
        <v>89105</v>
      </c>
      <c r="H195" s="53">
        <v>83066</v>
      </c>
      <c r="I195" s="53">
        <v>2426256</v>
      </c>
      <c r="J195" s="53" t="s">
        <v>32</v>
      </c>
      <c r="K195" s="53" t="s">
        <v>32</v>
      </c>
      <c r="L195" s="53">
        <v>78667</v>
      </c>
      <c r="M195" s="53">
        <v>64118</v>
      </c>
      <c r="N195" s="53" t="s">
        <v>1007</v>
      </c>
      <c r="O195" s="53" t="s">
        <v>1008</v>
      </c>
      <c r="P195" s="113">
        <v>44029</v>
      </c>
      <c r="Q195" s="53" t="s">
        <v>1009</v>
      </c>
      <c r="R195" s="53">
        <v>34105812</v>
      </c>
      <c r="S195" s="53">
        <v>27341058126</v>
      </c>
      <c r="T195" s="58">
        <v>42800</v>
      </c>
      <c r="U195" s="58">
        <v>43409</v>
      </c>
      <c r="V195" s="59">
        <v>43423</v>
      </c>
      <c r="W195" s="53">
        <v>1273</v>
      </c>
      <c r="X195" s="119" t="s">
        <v>36</v>
      </c>
      <c r="Y195" s="124"/>
      <c r="Z195" s="125" t="s">
        <v>146</v>
      </c>
      <c r="AA195" s="126" t="s">
        <v>275</v>
      </c>
    </row>
    <row r="196" hidden="1" spans="1:27">
      <c r="A196" s="52" t="s">
        <v>138</v>
      </c>
      <c r="B196" s="53" t="s">
        <v>929</v>
      </c>
      <c r="C196" s="53" t="s">
        <v>1010</v>
      </c>
      <c r="D196" s="53" t="s">
        <v>1011</v>
      </c>
      <c r="E196" s="53" t="s">
        <v>41</v>
      </c>
      <c r="F196" s="53" t="s">
        <v>41</v>
      </c>
      <c r="G196" s="53">
        <v>89046</v>
      </c>
      <c r="H196" s="53">
        <v>85339</v>
      </c>
      <c r="I196" s="53">
        <v>2811272</v>
      </c>
      <c r="J196" s="53" t="s">
        <v>43</v>
      </c>
      <c r="K196" s="53" t="s">
        <v>43</v>
      </c>
      <c r="L196" s="53">
        <v>78667</v>
      </c>
      <c r="M196" s="53">
        <v>64118</v>
      </c>
      <c r="N196" s="53" t="s">
        <v>1012</v>
      </c>
      <c r="O196" s="53" t="s">
        <v>1013</v>
      </c>
      <c r="P196" s="113">
        <v>44029</v>
      </c>
      <c r="Q196" s="53" t="s">
        <v>1014</v>
      </c>
      <c r="R196" s="53">
        <v>34287811</v>
      </c>
      <c r="S196" s="53">
        <v>27342878119</v>
      </c>
      <c r="T196" s="58">
        <v>43171</v>
      </c>
      <c r="U196" s="58">
        <v>43327</v>
      </c>
      <c r="V196" s="59">
        <v>43328</v>
      </c>
      <c r="W196" s="53">
        <v>907</v>
      </c>
      <c r="X196" s="119" t="s">
        <v>36</v>
      </c>
      <c r="Y196" s="124"/>
      <c r="Z196" s="125" t="s">
        <v>146</v>
      </c>
      <c r="AA196" s="126" t="s">
        <v>275</v>
      </c>
    </row>
    <row r="197" hidden="1" spans="1:27">
      <c r="A197" s="68" t="s">
        <v>138</v>
      </c>
      <c r="B197" s="69" t="s">
        <v>929</v>
      </c>
      <c r="C197" s="69" t="s">
        <v>1015</v>
      </c>
      <c r="D197" s="69" t="s">
        <v>1016</v>
      </c>
      <c r="E197" s="69" t="s">
        <v>59</v>
      </c>
      <c r="F197" s="69" t="s">
        <v>59</v>
      </c>
      <c r="G197" s="53">
        <v>89194</v>
      </c>
      <c r="H197" s="53">
        <v>86340</v>
      </c>
      <c r="I197" s="53">
        <v>3138455</v>
      </c>
      <c r="J197" s="53" t="s">
        <v>42</v>
      </c>
      <c r="K197" s="53" t="s">
        <v>43</v>
      </c>
      <c r="L197" s="53">
        <v>78667</v>
      </c>
      <c r="M197" s="53">
        <v>64118</v>
      </c>
      <c r="N197" s="53" t="s">
        <v>1017</v>
      </c>
      <c r="O197" s="53" t="s">
        <v>1018</v>
      </c>
      <c r="P197" s="113">
        <v>44011</v>
      </c>
      <c r="Q197" s="53" t="s">
        <v>1019</v>
      </c>
      <c r="R197" s="53">
        <v>41184272</v>
      </c>
      <c r="S197" s="53" t="s">
        <v>1020</v>
      </c>
      <c r="T197" s="58">
        <v>43460</v>
      </c>
      <c r="U197" s="58">
        <v>43460</v>
      </c>
      <c r="V197" s="59">
        <v>43476</v>
      </c>
      <c r="W197" s="53">
        <v>623</v>
      </c>
      <c r="X197" s="119" t="s">
        <v>36</v>
      </c>
      <c r="Y197" s="124"/>
      <c r="Z197" s="125" t="s">
        <v>146</v>
      </c>
      <c r="AA197" s="126" t="s">
        <v>275</v>
      </c>
    </row>
    <row r="198" hidden="1" spans="1:27">
      <c r="A198" s="52" t="s">
        <v>138</v>
      </c>
      <c r="B198" s="53" t="s">
        <v>929</v>
      </c>
      <c r="C198" s="53" t="s">
        <v>1021</v>
      </c>
      <c r="D198" s="53" t="s">
        <v>1022</v>
      </c>
      <c r="E198" s="53" t="s">
        <v>134</v>
      </c>
      <c r="F198" s="53" t="s">
        <v>134</v>
      </c>
      <c r="G198" s="53">
        <v>89088</v>
      </c>
      <c r="H198" s="53">
        <v>84619</v>
      </c>
      <c r="I198" s="53">
        <v>2745917</v>
      </c>
      <c r="J198" s="53" t="s">
        <v>32</v>
      </c>
      <c r="K198" s="53" t="s">
        <v>32</v>
      </c>
      <c r="L198" s="53">
        <v>78667</v>
      </c>
      <c r="M198" s="53">
        <v>64118</v>
      </c>
      <c r="N198" s="53" t="s">
        <v>1023</v>
      </c>
      <c r="O198" s="53" t="s">
        <v>1024</v>
      </c>
      <c r="P198" s="113">
        <v>44033</v>
      </c>
      <c r="Q198" s="53">
        <v>155941758</v>
      </c>
      <c r="R198" s="53">
        <v>39728877</v>
      </c>
      <c r="S198" s="53">
        <v>27397288779</v>
      </c>
      <c r="T198" s="58">
        <v>43108</v>
      </c>
      <c r="U198" s="58">
        <v>43409</v>
      </c>
      <c r="V198" s="59">
        <v>43423</v>
      </c>
      <c r="W198" s="53">
        <v>971</v>
      </c>
      <c r="X198" s="119" t="s">
        <v>36</v>
      </c>
      <c r="Y198" s="124"/>
      <c r="Z198" s="125" t="s">
        <v>146</v>
      </c>
      <c r="AA198" s="126" t="s">
        <v>275</v>
      </c>
    </row>
    <row r="199" hidden="1" spans="1:27">
      <c r="A199" s="52" t="s">
        <v>138</v>
      </c>
      <c r="B199" s="53" t="s">
        <v>759</v>
      </c>
      <c r="C199" s="53" t="s">
        <v>70</v>
      </c>
      <c r="D199" s="53" t="s">
        <v>1025</v>
      </c>
      <c r="E199" s="53" t="s">
        <v>134</v>
      </c>
      <c r="F199" s="53" t="s">
        <v>134</v>
      </c>
      <c r="G199" s="53">
        <v>648069</v>
      </c>
      <c r="H199" s="53">
        <v>88353</v>
      </c>
      <c r="I199" s="53">
        <v>3667094</v>
      </c>
      <c r="J199" s="53" t="s">
        <v>142</v>
      </c>
      <c r="K199" s="53" t="s">
        <v>43</v>
      </c>
      <c r="L199" s="53">
        <v>64659</v>
      </c>
      <c r="M199" s="53">
        <v>64118</v>
      </c>
      <c r="N199" s="53" t="s">
        <v>1026</v>
      </c>
      <c r="O199" s="53" t="s">
        <v>1027</v>
      </c>
      <c r="P199" s="113">
        <v>43943</v>
      </c>
      <c r="Q199" s="53" t="s">
        <v>1028</v>
      </c>
      <c r="R199" s="53">
        <v>41238849</v>
      </c>
      <c r="S199" s="53" t="s">
        <v>1029</v>
      </c>
      <c r="T199" s="58">
        <v>43942</v>
      </c>
      <c r="U199" s="58">
        <v>43942</v>
      </c>
      <c r="V199" s="59">
        <v>43943</v>
      </c>
      <c r="W199" s="53">
        <v>148</v>
      </c>
      <c r="X199" s="119" t="s">
        <v>36</v>
      </c>
      <c r="Y199" s="124">
        <v>89970</v>
      </c>
      <c r="Z199" s="125" t="s">
        <v>37</v>
      </c>
      <c r="AA199" s="126" t="s">
        <v>275</v>
      </c>
    </row>
    <row r="200" hidden="1" spans="1:27">
      <c r="A200" s="70" t="s">
        <v>138</v>
      </c>
      <c r="B200" s="71" t="s">
        <v>764</v>
      </c>
      <c r="C200" s="71" t="s">
        <v>1030</v>
      </c>
      <c r="D200" s="71" t="s">
        <v>1031</v>
      </c>
      <c r="E200" s="71" t="s">
        <v>767</v>
      </c>
      <c r="F200" s="71" t="s">
        <v>767</v>
      </c>
      <c r="G200" s="53">
        <v>648051</v>
      </c>
      <c r="H200" s="53">
        <v>88027</v>
      </c>
      <c r="I200" s="53">
        <v>1213197</v>
      </c>
      <c r="J200" s="53" t="s">
        <v>42</v>
      </c>
      <c r="K200" s="53" t="s">
        <v>43</v>
      </c>
      <c r="L200" s="53">
        <v>70271</v>
      </c>
      <c r="M200" s="53">
        <v>64118</v>
      </c>
      <c r="N200" s="53" t="s">
        <v>1032</v>
      </c>
      <c r="O200" s="53" t="s">
        <v>1033</v>
      </c>
      <c r="P200" s="113">
        <v>43943</v>
      </c>
      <c r="Q200" s="53" t="s">
        <v>1034</v>
      </c>
      <c r="R200" s="53">
        <v>37499087</v>
      </c>
      <c r="S200" s="53" t="s">
        <v>1035</v>
      </c>
      <c r="T200" s="58">
        <v>43942</v>
      </c>
      <c r="U200" s="58">
        <v>43942</v>
      </c>
      <c r="V200" s="59">
        <v>43943</v>
      </c>
      <c r="W200" s="53">
        <v>148</v>
      </c>
      <c r="X200" s="119" t="s">
        <v>36</v>
      </c>
      <c r="Y200" s="124">
        <v>89985</v>
      </c>
      <c r="Z200" s="125" t="s">
        <v>37</v>
      </c>
      <c r="AA200" s="126" t="s">
        <v>772</v>
      </c>
    </row>
    <row r="201" hidden="1" spans="1:27">
      <c r="A201" s="70" t="s">
        <v>138</v>
      </c>
      <c r="B201" s="71" t="s">
        <v>764</v>
      </c>
      <c r="C201" s="71" t="s">
        <v>91</v>
      </c>
      <c r="D201" s="71" t="s">
        <v>1036</v>
      </c>
      <c r="E201" s="71" t="s">
        <v>134</v>
      </c>
      <c r="F201" s="71" t="s">
        <v>134</v>
      </c>
      <c r="G201" s="53">
        <v>89091</v>
      </c>
      <c r="H201" s="53">
        <v>83571</v>
      </c>
      <c r="I201" s="53">
        <v>2523179</v>
      </c>
      <c r="J201" s="53" t="s">
        <v>52</v>
      </c>
      <c r="K201" s="53" t="s">
        <v>43</v>
      </c>
      <c r="L201" s="53">
        <v>70271</v>
      </c>
      <c r="M201" s="53">
        <v>64118</v>
      </c>
      <c r="N201" s="53" t="s">
        <v>1037</v>
      </c>
      <c r="O201" s="53" t="s">
        <v>1038</v>
      </c>
      <c r="P201" s="113">
        <v>43915</v>
      </c>
      <c r="Q201" s="53" t="s">
        <v>1039</v>
      </c>
      <c r="R201" s="53">
        <v>38488161</v>
      </c>
      <c r="S201" s="53">
        <v>27384881616</v>
      </c>
      <c r="T201" s="58">
        <v>42891</v>
      </c>
      <c r="U201" s="58">
        <v>43409</v>
      </c>
      <c r="V201" s="59">
        <v>43423</v>
      </c>
      <c r="W201" s="53">
        <v>1184</v>
      </c>
      <c r="X201" s="119" t="s">
        <v>36</v>
      </c>
      <c r="Y201" s="124">
        <v>89986</v>
      </c>
      <c r="Z201" s="125" t="s">
        <v>37</v>
      </c>
      <c r="AA201" s="126" t="s">
        <v>275</v>
      </c>
    </row>
    <row r="202" hidden="1" spans="1:27">
      <c r="A202" s="70" t="s">
        <v>138</v>
      </c>
      <c r="B202" s="71" t="s">
        <v>764</v>
      </c>
      <c r="C202" s="71" t="s">
        <v>1040</v>
      </c>
      <c r="D202" s="71" t="s">
        <v>1041</v>
      </c>
      <c r="E202" s="71" t="s">
        <v>134</v>
      </c>
      <c r="F202" s="71" t="s">
        <v>134</v>
      </c>
      <c r="G202" s="53">
        <v>89317</v>
      </c>
      <c r="H202" s="53">
        <v>88347</v>
      </c>
      <c r="I202" s="53">
        <v>3123167</v>
      </c>
      <c r="J202" s="53" t="s">
        <v>42</v>
      </c>
      <c r="K202" s="53" t="s">
        <v>43</v>
      </c>
      <c r="L202" s="53">
        <v>70271</v>
      </c>
      <c r="M202" s="53">
        <v>64118</v>
      </c>
      <c r="N202" s="53" t="s">
        <v>1042</v>
      </c>
      <c r="O202" s="53" t="s">
        <v>1043</v>
      </c>
      <c r="P202" s="113">
        <v>43910</v>
      </c>
      <c r="Q202" s="53"/>
      <c r="R202" s="53">
        <v>42277306</v>
      </c>
      <c r="S202" s="53">
        <v>20422773062</v>
      </c>
      <c r="T202" s="58">
        <v>43852</v>
      </c>
      <c r="U202" s="58">
        <v>43852</v>
      </c>
      <c r="V202" s="59">
        <v>43873</v>
      </c>
      <c r="W202" s="53">
        <v>237</v>
      </c>
      <c r="X202" s="119" t="s">
        <v>36</v>
      </c>
      <c r="Y202" s="124">
        <v>89974</v>
      </c>
      <c r="Z202" s="125" t="s">
        <v>37</v>
      </c>
      <c r="AA202" s="126" t="s">
        <v>275</v>
      </c>
    </row>
    <row r="203" hidden="1" spans="1:27">
      <c r="A203" s="52" t="s">
        <v>138</v>
      </c>
      <c r="B203" s="53" t="s">
        <v>759</v>
      </c>
      <c r="C203" s="53" t="s">
        <v>1044</v>
      </c>
      <c r="D203" s="53" t="s">
        <v>1045</v>
      </c>
      <c r="E203" s="53" t="s">
        <v>134</v>
      </c>
      <c r="F203" s="53" t="s">
        <v>134</v>
      </c>
      <c r="G203" s="53">
        <v>89287</v>
      </c>
      <c r="H203" s="53">
        <v>88149</v>
      </c>
      <c r="I203" s="53">
        <v>3624031</v>
      </c>
      <c r="J203" s="53" t="s">
        <v>52</v>
      </c>
      <c r="K203" s="53" t="s">
        <v>32</v>
      </c>
      <c r="L203" s="53">
        <v>64659</v>
      </c>
      <c r="M203" s="53">
        <v>64118</v>
      </c>
      <c r="N203" s="53" t="s">
        <v>1046</v>
      </c>
      <c r="O203" s="53" t="s">
        <v>1047</v>
      </c>
      <c r="P203" s="113">
        <v>43917</v>
      </c>
      <c r="Q203" s="53"/>
      <c r="R203" s="53">
        <v>39146028</v>
      </c>
      <c r="S203" s="53">
        <v>27391460286</v>
      </c>
      <c r="T203" s="58">
        <v>43808</v>
      </c>
      <c r="U203" s="58">
        <v>43808</v>
      </c>
      <c r="V203" s="59">
        <v>43831</v>
      </c>
      <c r="W203" s="53">
        <v>280</v>
      </c>
      <c r="X203" s="119" t="s">
        <v>36</v>
      </c>
      <c r="Y203" s="124">
        <v>89987</v>
      </c>
      <c r="Z203" s="125" t="s">
        <v>37</v>
      </c>
      <c r="AA203" s="126" t="s">
        <v>275</v>
      </c>
    </row>
    <row r="204" hidden="1" spans="1:27">
      <c r="A204" s="52" t="s">
        <v>138</v>
      </c>
      <c r="B204" s="53" t="s">
        <v>759</v>
      </c>
      <c r="C204" s="53" t="s">
        <v>1048</v>
      </c>
      <c r="D204" s="53" t="s">
        <v>1049</v>
      </c>
      <c r="E204" s="53" t="s">
        <v>134</v>
      </c>
      <c r="F204" s="53" t="s">
        <v>134</v>
      </c>
      <c r="G204" s="53">
        <v>89286</v>
      </c>
      <c r="H204" s="53">
        <v>88148</v>
      </c>
      <c r="I204" s="53">
        <v>3624029</v>
      </c>
      <c r="J204" s="53" t="s">
        <v>32</v>
      </c>
      <c r="K204" s="53" t="s">
        <v>32</v>
      </c>
      <c r="L204" s="53">
        <v>64659</v>
      </c>
      <c r="M204" s="53">
        <v>64118</v>
      </c>
      <c r="N204" s="53" t="s">
        <v>1050</v>
      </c>
      <c r="O204" s="53" t="s">
        <v>1051</v>
      </c>
      <c r="P204" s="113">
        <v>43917</v>
      </c>
      <c r="Q204" s="53"/>
      <c r="R204" s="53">
        <v>41736994</v>
      </c>
      <c r="S204" s="53">
        <v>27417369940</v>
      </c>
      <c r="T204" s="58">
        <v>43808</v>
      </c>
      <c r="U204" s="58">
        <v>43808</v>
      </c>
      <c r="V204" s="59">
        <v>43831</v>
      </c>
      <c r="W204" s="53">
        <v>280</v>
      </c>
      <c r="X204" s="119" t="s">
        <v>36</v>
      </c>
      <c r="Y204" s="124">
        <v>89988</v>
      </c>
      <c r="Z204" s="125" t="s">
        <v>37</v>
      </c>
      <c r="AA204" s="126" t="s">
        <v>275</v>
      </c>
    </row>
    <row r="205" hidden="1" spans="1:27">
      <c r="A205" s="70" t="s">
        <v>138</v>
      </c>
      <c r="B205" s="71" t="s">
        <v>764</v>
      </c>
      <c r="C205" s="71" t="s">
        <v>1052</v>
      </c>
      <c r="D205" s="71" t="s">
        <v>1053</v>
      </c>
      <c r="E205" s="71" t="s">
        <v>134</v>
      </c>
      <c r="F205" s="71" t="s">
        <v>134</v>
      </c>
      <c r="G205" s="53">
        <v>89090</v>
      </c>
      <c r="H205" s="53">
        <v>83904</v>
      </c>
      <c r="I205" s="53">
        <v>2657802</v>
      </c>
      <c r="J205" s="53" t="s">
        <v>42</v>
      </c>
      <c r="K205" s="53" t="s">
        <v>43</v>
      </c>
      <c r="L205" s="53">
        <v>70271</v>
      </c>
      <c r="M205" s="53">
        <v>64118</v>
      </c>
      <c r="N205" s="53" t="s">
        <v>1054</v>
      </c>
      <c r="O205" s="53" t="s">
        <v>1055</v>
      </c>
      <c r="P205" s="113">
        <v>43915</v>
      </c>
      <c r="Q205" s="53" t="s">
        <v>1056</v>
      </c>
      <c r="R205" s="53">
        <v>37657901</v>
      </c>
      <c r="S205" s="53">
        <v>27376579013</v>
      </c>
      <c r="T205" s="58">
        <v>43010</v>
      </c>
      <c r="U205" s="58">
        <v>43409</v>
      </c>
      <c r="V205" s="59">
        <v>43423</v>
      </c>
      <c r="W205" s="53">
        <v>1067</v>
      </c>
      <c r="X205" s="119" t="s">
        <v>36</v>
      </c>
      <c r="Y205" s="124">
        <v>89989</v>
      </c>
      <c r="Z205" s="125" t="s">
        <v>37</v>
      </c>
      <c r="AA205" s="126" t="s">
        <v>275</v>
      </c>
    </row>
    <row r="206" hidden="1" spans="1:27">
      <c r="A206" s="52" t="s">
        <v>138</v>
      </c>
      <c r="B206" s="53" t="s">
        <v>759</v>
      </c>
      <c r="C206" s="53" t="s">
        <v>1057</v>
      </c>
      <c r="D206" s="53" t="s">
        <v>1058</v>
      </c>
      <c r="E206" s="53" t="s">
        <v>41</v>
      </c>
      <c r="F206" s="53" t="s">
        <v>41</v>
      </c>
      <c r="G206" s="53">
        <v>648052</v>
      </c>
      <c r="H206" s="53">
        <v>88028</v>
      </c>
      <c r="I206" s="53">
        <v>3553088</v>
      </c>
      <c r="J206" s="53" t="s">
        <v>42</v>
      </c>
      <c r="K206" s="53" t="s">
        <v>43</v>
      </c>
      <c r="L206" s="53">
        <v>64659</v>
      </c>
      <c r="M206" s="53">
        <v>64118</v>
      </c>
      <c r="N206" s="53" t="s">
        <v>1059</v>
      </c>
      <c r="O206" s="53" t="s">
        <v>1060</v>
      </c>
      <c r="P206" s="113">
        <v>43943</v>
      </c>
      <c r="Q206" s="53" t="s">
        <v>1061</v>
      </c>
      <c r="R206" s="53">
        <v>34603002</v>
      </c>
      <c r="S206" s="53" t="s">
        <v>1062</v>
      </c>
      <c r="T206" s="58">
        <v>43942</v>
      </c>
      <c r="U206" s="58">
        <v>43942</v>
      </c>
      <c r="V206" s="59">
        <v>43943</v>
      </c>
      <c r="W206" s="53">
        <v>148</v>
      </c>
      <c r="X206" s="119" t="s">
        <v>36</v>
      </c>
      <c r="Y206" s="124">
        <v>89990</v>
      </c>
      <c r="Z206" s="125" t="s">
        <v>37</v>
      </c>
      <c r="AA206" s="126" t="s">
        <v>772</v>
      </c>
    </row>
    <row r="207" hidden="1" spans="1:27">
      <c r="A207" s="52" t="s">
        <v>138</v>
      </c>
      <c r="B207" s="53" t="s">
        <v>759</v>
      </c>
      <c r="C207" s="53" t="s">
        <v>1063</v>
      </c>
      <c r="D207" s="53" t="s">
        <v>1064</v>
      </c>
      <c r="E207" s="53" t="s">
        <v>134</v>
      </c>
      <c r="F207" s="53" t="s">
        <v>134</v>
      </c>
      <c r="G207" s="53">
        <v>89276</v>
      </c>
      <c r="H207" s="53">
        <v>88138</v>
      </c>
      <c r="I207" s="53">
        <v>3623917</v>
      </c>
      <c r="J207" s="53" t="s">
        <v>32</v>
      </c>
      <c r="K207" s="53" t="s">
        <v>32</v>
      </c>
      <c r="L207" s="53">
        <v>64659</v>
      </c>
      <c r="M207" s="53">
        <v>64118</v>
      </c>
      <c r="N207" s="53" t="s">
        <v>1065</v>
      </c>
      <c r="O207" s="53" t="s">
        <v>1066</v>
      </c>
      <c r="P207" s="113">
        <v>43919</v>
      </c>
      <c r="Q207" s="53"/>
      <c r="R207" s="53">
        <v>36998325</v>
      </c>
      <c r="S207" s="53">
        <v>27369983259</v>
      </c>
      <c r="T207" s="58">
        <v>43808</v>
      </c>
      <c r="U207" s="58">
        <v>43808</v>
      </c>
      <c r="V207" s="59">
        <v>43831</v>
      </c>
      <c r="W207" s="53">
        <v>280</v>
      </c>
      <c r="X207" s="119" t="s">
        <v>36</v>
      </c>
      <c r="Y207" s="124">
        <v>89991</v>
      </c>
      <c r="Z207" s="125" t="s">
        <v>37</v>
      </c>
      <c r="AA207" s="126" t="s">
        <v>275</v>
      </c>
    </row>
    <row r="208" hidden="1" spans="1:27">
      <c r="A208" s="54" t="s">
        <v>138</v>
      </c>
      <c r="B208" s="55" t="s">
        <v>759</v>
      </c>
      <c r="C208" s="55" t="s">
        <v>983</v>
      </c>
      <c r="D208" s="55" t="s">
        <v>1067</v>
      </c>
      <c r="E208" s="55" t="s">
        <v>134</v>
      </c>
      <c r="F208" s="55" t="s">
        <v>134</v>
      </c>
      <c r="G208" s="55">
        <v>89191</v>
      </c>
      <c r="H208" s="55">
        <v>86331</v>
      </c>
      <c r="I208" s="55">
        <v>3138494</v>
      </c>
      <c r="J208" s="55" t="s">
        <v>32</v>
      </c>
      <c r="K208" s="111" t="s">
        <v>32</v>
      </c>
      <c r="L208" s="55">
        <v>64659</v>
      </c>
      <c r="M208" s="55">
        <v>64118</v>
      </c>
      <c r="N208" s="55" t="s">
        <v>1068</v>
      </c>
      <c r="O208" s="55" t="s">
        <v>1069</v>
      </c>
      <c r="P208" s="112">
        <v>43916</v>
      </c>
      <c r="Q208" s="55" t="s">
        <v>1070</v>
      </c>
      <c r="R208" s="55">
        <v>41983155</v>
      </c>
      <c r="S208" s="55">
        <v>27419831552</v>
      </c>
      <c r="T208" s="115">
        <v>43460</v>
      </c>
      <c r="U208" s="115">
        <v>43460</v>
      </c>
      <c r="V208" s="116">
        <v>43476</v>
      </c>
      <c r="W208" s="55">
        <v>623</v>
      </c>
      <c r="X208" s="118" t="s">
        <v>36</v>
      </c>
      <c r="Y208" s="127">
        <v>89992</v>
      </c>
      <c r="Z208" s="122" t="s">
        <v>37</v>
      </c>
      <c r="AA208" s="128" t="s">
        <v>275</v>
      </c>
    </row>
    <row r="209" hidden="1" spans="1:27">
      <c r="A209" s="52" t="s">
        <v>138</v>
      </c>
      <c r="B209" s="53" t="s">
        <v>759</v>
      </c>
      <c r="C209" s="53" t="s">
        <v>1071</v>
      </c>
      <c r="D209" s="53" t="s">
        <v>1072</v>
      </c>
      <c r="E209" s="53" t="s">
        <v>767</v>
      </c>
      <c r="F209" s="53" t="s">
        <v>767</v>
      </c>
      <c r="G209" s="53">
        <v>89255</v>
      </c>
      <c r="H209" s="53">
        <v>88030</v>
      </c>
      <c r="I209" s="53">
        <v>2852874</v>
      </c>
      <c r="J209" s="53" t="s">
        <v>32</v>
      </c>
      <c r="K209" s="53" t="s">
        <v>32</v>
      </c>
      <c r="L209" s="53">
        <v>64659</v>
      </c>
      <c r="M209" s="53">
        <v>64118</v>
      </c>
      <c r="N209" s="53" t="s">
        <v>1073</v>
      </c>
      <c r="O209" s="53" t="s">
        <v>1074</v>
      </c>
      <c r="P209" s="113">
        <v>43910</v>
      </c>
      <c r="Q209" s="53" t="s">
        <v>1075</v>
      </c>
      <c r="R209" s="53">
        <v>36998204</v>
      </c>
      <c r="S209" s="53">
        <v>20369982045</v>
      </c>
      <c r="T209" s="58">
        <v>43766</v>
      </c>
      <c r="U209" s="58">
        <v>43766</v>
      </c>
      <c r="V209" s="59">
        <v>43776</v>
      </c>
      <c r="W209" s="53">
        <v>321</v>
      </c>
      <c r="X209" s="119" t="s">
        <v>36</v>
      </c>
      <c r="Y209" s="124">
        <v>89993</v>
      </c>
      <c r="Z209" s="125" t="s">
        <v>37</v>
      </c>
      <c r="AA209" s="126" t="s">
        <v>772</v>
      </c>
    </row>
    <row r="210" hidden="1" spans="1:27">
      <c r="A210" s="70" t="s">
        <v>138</v>
      </c>
      <c r="B210" s="71" t="s">
        <v>764</v>
      </c>
      <c r="C210" s="71" t="s">
        <v>482</v>
      </c>
      <c r="D210" s="71" t="s">
        <v>529</v>
      </c>
      <c r="E210" s="71" t="s">
        <v>767</v>
      </c>
      <c r="F210" s="71" t="s">
        <v>767</v>
      </c>
      <c r="G210" s="53">
        <v>648050</v>
      </c>
      <c r="H210" s="53">
        <v>88026</v>
      </c>
      <c r="I210" s="53">
        <v>3553083</v>
      </c>
      <c r="J210" s="53" t="s">
        <v>42</v>
      </c>
      <c r="K210" s="53" t="s">
        <v>43</v>
      </c>
      <c r="L210" s="53">
        <v>70271</v>
      </c>
      <c r="M210" s="53">
        <v>64118</v>
      </c>
      <c r="N210" s="53" t="s">
        <v>1076</v>
      </c>
      <c r="O210" s="53" t="s">
        <v>408</v>
      </c>
      <c r="P210" s="113">
        <v>43943</v>
      </c>
      <c r="Q210" s="53" t="s">
        <v>1077</v>
      </c>
      <c r="R210" s="53">
        <v>43202751</v>
      </c>
      <c r="S210" s="53" t="s">
        <v>1078</v>
      </c>
      <c r="T210" s="58">
        <v>43942</v>
      </c>
      <c r="U210" s="58">
        <v>43942</v>
      </c>
      <c r="V210" s="59">
        <v>43943</v>
      </c>
      <c r="W210" s="53">
        <v>148</v>
      </c>
      <c r="X210" s="119" t="s">
        <v>36</v>
      </c>
      <c r="Y210" s="124">
        <v>89995</v>
      </c>
      <c r="Z210" s="125" t="s">
        <v>37</v>
      </c>
      <c r="AA210" s="126" t="s">
        <v>772</v>
      </c>
    </row>
    <row r="211" hidden="1" spans="1:27">
      <c r="A211" s="70" t="s">
        <v>138</v>
      </c>
      <c r="B211" s="71" t="s">
        <v>764</v>
      </c>
      <c r="C211" s="71" t="s">
        <v>920</v>
      </c>
      <c r="D211" s="71" t="s">
        <v>1079</v>
      </c>
      <c r="E211" s="71" t="s">
        <v>134</v>
      </c>
      <c r="F211" s="71" t="s">
        <v>134</v>
      </c>
      <c r="G211" s="53">
        <v>648365</v>
      </c>
      <c r="H211" s="53">
        <v>76572</v>
      </c>
      <c r="I211" s="53">
        <v>796746</v>
      </c>
      <c r="J211" s="53" t="s">
        <v>52</v>
      </c>
      <c r="K211" s="53" t="s">
        <v>43</v>
      </c>
      <c r="L211" s="53">
        <v>70271</v>
      </c>
      <c r="M211" s="53">
        <v>64118</v>
      </c>
      <c r="N211" s="53" t="s">
        <v>1080</v>
      </c>
      <c r="O211" s="53" t="s">
        <v>1081</v>
      </c>
      <c r="P211" s="113">
        <v>43969</v>
      </c>
      <c r="Q211" s="53" t="s">
        <v>1082</v>
      </c>
      <c r="R211" s="53">
        <v>30835040</v>
      </c>
      <c r="S211" s="53">
        <v>27308350407</v>
      </c>
      <c r="T211" s="58">
        <v>41008</v>
      </c>
      <c r="U211" s="58">
        <v>43962</v>
      </c>
      <c r="V211" s="59">
        <v>43969</v>
      </c>
      <c r="W211" s="53">
        <v>3040</v>
      </c>
      <c r="X211" s="119" t="s">
        <v>36</v>
      </c>
      <c r="Y211" s="124">
        <v>648333</v>
      </c>
      <c r="Z211" s="125" t="s">
        <v>37</v>
      </c>
      <c r="AA211" s="126" t="s">
        <v>275</v>
      </c>
    </row>
    <row r="212" hidden="1" spans="1:27">
      <c r="A212" s="52" t="s">
        <v>138</v>
      </c>
      <c r="B212" s="53" t="s">
        <v>759</v>
      </c>
      <c r="C212" s="53" t="s">
        <v>1083</v>
      </c>
      <c r="D212" s="53" t="s">
        <v>1084</v>
      </c>
      <c r="E212" s="53" t="s">
        <v>41</v>
      </c>
      <c r="F212" s="53" t="s">
        <v>41</v>
      </c>
      <c r="G212" s="53">
        <v>89285</v>
      </c>
      <c r="H212" s="53">
        <v>88147</v>
      </c>
      <c r="I212" s="53">
        <v>3624028</v>
      </c>
      <c r="J212" s="53" t="s">
        <v>42</v>
      </c>
      <c r="K212" s="53" t="s">
        <v>43</v>
      </c>
      <c r="L212" s="53">
        <v>64659</v>
      </c>
      <c r="M212" s="53">
        <v>64118</v>
      </c>
      <c r="N212" s="53" t="s">
        <v>1085</v>
      </c>
      <c r="O212" s="53" t="s">
        <v>1086</v>
      </c>
      <c r="P212" s="113">
        <v>43917</v>
      </c>
      <c r="Q212" s="53"/>
      <c r="R212" s="53">
        <v>39078566</v>
      </c>
      <c r="S212" s="53">
        <v>27390785661</v>
      </c>
      <c r="T212" s="58">
        <v>43808</v>
      </c>
      <c r="U212" s="58">
        <v>43808</v>
      </c>
      <c r="V212" s="59">
        <v>43831</v>
      </c>
      <c r="W212" s="53">
        <v>280</v>
      </c>
      <c r="X212" s="119" t="s">
        <v>36</v>
      </c>
      <c r="Y212" s="124">
        <v>89996</v>
      </c>
      <c r="Z212" s="125" t="s">
        <v>37</v>
      </c>
      <c r="AA212" s="126" t="s">
        <v>275</v>
      </c>
    </row>
    <row r="213" hidden="1" spans="1:27">
      <c r="A213" s="52" t="s">
        <v>138</v>
      </c>
      <c r="B213" s="53" t="s">
        <v>759</v>
      </c>
      <c r="C213" s="53" t="s">
        <v>1087</v>
      </c>
      <c r="D213" s="53" t="s">
        <v>1088</v>
      </c>
      <c r="E213" s="53" t="s">
        <v>134</v>
      </c>
      <c r="F213" s="53" t="s">
        <v>134</v>
      </c>
      <c r="G213" s="53">
        <v>89279</v>
      </c>
      <c r="H213" s="53">
        <v>88141</v>
      </c>
      <c r="I213" s="53">
        <v>3623928</v>
      </c>
      <c r="J213" s="53" t="s">
        <v>32</v>
      </c>
      <c r="K213" s="53" t="s">
        <v>32</v>
      </c>
      <c r="L213" s="53">
        <v>64659</v>
      </c>
      <c r="M213" s="53">
        <v>64118</v>
      </c>
      <c r="N213" s="53" t="s">
        <v>1089</v>
      </c>
      <c r="O213" s="53" t="s">
        <v>1090</v>
      </c>
      <c r="P213" s="113">
        <v>43916</v>
      </c>
      <c r="Q213" s="53"/>
      <c r="R213" s="53">
        <v>40356540</v>
      </c>
      <c r="S213" s="53">
        <v>27403565402</v>
      </c>
      <c r="T213" s="58">
        <v>43808</v>
      </c>
      <c r="U213" s="58">
        <v>43808</v>
      </c>
      <c r="V213" s="59">
        <v>43831</v>
      </c>
      <c r="W213" s="53">
        <v>280</v>
      </c>
      <c r="X213" s="119" t="s">
        <v>36</v>
      </c>
      <c r="Y213" s="124">
        <v>89997</v>
      </c>
      <c r="Z213" s="125" t="s">
        <v>37</v>
      </c>
      <c r="AA213" s="126" t="s">
        <v>275</v>
      </c>
    </row>
    <row r="214" hidden="1" spans="1:27">
      <c r="A214" s="54" t="s">
        <v>138</v>
      </c>
      <c r="B214" s="55" t="s">
        <v>759</v>
      </c>
      <c r="C214" s="55" t="s">
        <v>1091</v>
      </c>
      <c r="D214" s="55" t="s">
        <v>1092</v>
      </c>
      <c r="E214" s="55" t="s">
        <v>1093</v>
      </c>
      <c r="F214" s="55" t="s">
        <v>1093</v>
      </c>
      <c r="G214" s="55">
        <v>648237</v>
      </c>
      <c r="H214" s="55">
        <v>78142</v>
      </c>
      <c r="I214" s="55">
        <v>1154719</v>
      </c>
      <c r="J214" s="55" t="s">
        <v>52</v>
      </c>
      <c r="K214" s="111" t="s">
        <v>43</v>
      </c>
      <c r="L214" s="55">
        <v>64659</v>
      </c>
      <c r="M214" s="55">
        <v>64118</v>
      </c>
      <c r="N214" s="55" t="s">
        <v>1094</v>
      </c>
      <c r="O214" s="55" t="s">
        <v>1095</v>
      </c>
      <c r="P214" s="112">
        <v>43935</v>
      </c>
      <c r="Q214" s="55" t="s">
        <v>1096</v>
      </c>
      <c r="R214" s="55">
        <v>37191171</v>
      </c>
      <c r="S214" s="55">
        <v>20371911716</v>
      </c>
      <c r="T214" s="115">
        <v>41568</v>
      </c>
      <c r="U214" s="115">
        <v>43930</v>
      </c>
      <c r="V214" s="116">
        <v>43935</v>
      </c>
      <c r="W214" s="55">
        <v>2488</v>
      </c>
      <c r="X214" s="118" t="s">
        <v>36</v>
      </c>
      <c r="Y214" s="127">
        <v>89911</v>
      </c>
      <c r="Z214" s="122" t="s">
        <v>37</v>
      </c>
      <c r="AA214" s="128" t="s">
        <v>275</v>
      </c>
    </row>
    <row r="215" hidden="1" spans="1:27">
      <c r="A215" s="52" t="s">
        <v>138</v>
      </c>
      <c r="B215" s="53" t="s">
        <v>759</v>
      </c>
      <c r="C215" s="53" t="s">
        <v>1097</v>
      </c>
      <c r="D215" s="53" t="s">
        <v>1098</v>
      </c>
      <c r="E215" s="53" t="s">
        <v>134</v>
      </c>
      <c r="F215" s="53" t="s">
        <v>134</v>
      </c>
      <c r="G215" s="53">
        <v>89283</v>
      </c>
      <c r="H215" s="53">
        <v>88145</v>
      </c>
      <c r="I215" s="53">
        <v>3624025</v>
      </c>
      <c r="J215" s="53" t="s">
        <v>32</v>
      </c>
      <c r="K215" s="53" t="s">
        <v>32</v>
      </c>
      <c r="L215" s="53">
        <v>64659</v>
      </c>
      <c r="M215" s="53">
        <v>64118</v>
      </c>
      <c r="N215" s="53" t="s">
        <v>1099</v>
      </c>
      <c r="O215" s="53" t="s">
        <v>1100</v>
      </c>
      <c r="P215" s="113">
        <v>43917</v>
      </c>
      <c r="Q215" s="53"/>
      <c r="R215" s="53">
        <v>42525848</v>
      </c>
      <c r="S215" s="53">
        <v>27425258481</v>
      </c>
      <c r="T215" s="58">
        <v>43808</v>
      </c>
      <c r="U215" s="58">
        <v>43808</v>
      </c>
      <c r="V215" s="59">
        <v>43831</v>
      </c>
      <c r="W215" s="53">
        <v>280</v>
      </c>
      <c r="X215" s="119" t="s">
        <v>36</v>
      </c>
      <c r="Y215" s="124">
        <v>89998</v>
      </c>
      <c r="Z215" s="125" t="s">
        <v>37</v>
      </c>
      <c r="AA215" s="126" t="s">
        <v>275</v>
      </c>
    </row>
    <row r="216" hidden="1" spans="1:27">
      <c r="A216" s="54" t="s">
        <v>138</v>
      </c>
      <c r="B216" s="55" t="s">
        <v>759</v>
      </c>
      <c r="C216" s="55" t="s">
        <v>1101</v>
      </c>
      <c r="D216" s="55" t="s">
        <v>1102</v>
      </c>
      <c r="E216" s="55" t="s">
        <v>134</v>
      </c>
      <c r="F216" s="55" t="s">
        <v>134</v>
      </c>
      <c r="G216" s="55">
        <v>648232</v>
      </c>
      <c r="H216" s="55">
        <v>81902</v>
      </c>
      <c r="I216" s="55">
        <v>2102074</v>
      </c>
      <c r="J216" s="55" t="s">
        <v>52</v>
      </c>
      <c r="K216" s="111" t="s">
        <v>43</v>
      </c>
      <c r="L216" s="55">
        <v>64659</v>
      </c>
      <c r="M216" s="55">
        <v>64118</v>
      </c>
      <c r="N216" s="55" t="s">
        <v>1103</v>
      </c>
      <c r="O216" s="55" t="s">
        <v>1104</v>
      </c>
      <c r="P216" s="112">
        <v>43935</v>
      </c>
      <c r="Q216" s="55" t="s">
        <v>1105</v>
      </c>
      <c r="R216" s="55">
        <v>37498078</v>
      </c>
      <c r="S216" s="55">
        <v>27374980780</v>
      </c>
      <c r="T216" s="115">
        <v>42520</v>
      </c>
      <c r="U216" s="115">
        <v>43930</v>
      </c>
      <c r="V216" s="116">
        <v>43935</v>
      </c>
      <c r="W216" s="55">
        <v>1549</v>
      </c>
      <c r="X216" s="118" t="s">
        <v>36</v>
      </c>
      <c r="Y216" s="127">
        <v>89912</v>
      </c>
      <c r="Z216" s="122" t="s">
        <v>37</v>
      </c>
      <c r="AA216" s="128" t="s">
        <v>275</v>
      </c>
    </row>
    <row r="217" hidden="1" spans="1:27">
      <c r="A217" s="52" t="s">
        <v>138</v>
      </c>
      <c r="B217" s="53" t="s">
        <v>759</v>
      </c>
      <c r="C217" s="53" t="s">
        <v>1106</v>
      </c>
      <c r="D217" s="53" t="s">
        <v>1107</v>
      </c>
      <c r="E217" s="53" t="s">
        <v>134</v>
      </c>
      <c r="F217" s="53" t="s">
        <v>134</v>
      </c>
      <c r="G217" s="53">
        <v>89293</v>
      </c>
      <c r="H217" s="53">
        <v>88155</v>
      </c>
      <c r="I217" s="53">
        <v>3624072</v>
      </c>
      <c r="J217" s="53" t="s">
        <v>32</v>
      </c>
      <c r="K217" s="53" t="s">
        <v>32</v>
      </c>
      <c r="L217" s="53">
        <v>64659</v>
      </c>
      <c r="M217" s="53">
        <v>64118</v>
      </c>
      <c r="N217" s="53" t="s">
        <v>1108</v>
      </c>
      <c r="O217" s="53" t="s">
        <v>1109</v>
      </c>
      <c r="P217" s="113">
        <v>43910</v>
      </c>
      <c r="Q217" s="53"/>
      <c r="R217" s="53">
        <v>33163365</v>
      </c>
      <c r="S217" s="53">
        <v>20331633659</v>
      </c>
      <c r="T217" s="58">
        <v>43808</v>
      </c>
      <c r="U217" s="58">
        <v>43808</v>
      </c>
      <c r="V217" s="59">
        <v>43831</v>
      </c>
      <c r="W217" s="53">
        <v>280</v>
      </c>
      <c r="X217" s="119" t="s">
        <v>36</v>
      </c>
      <c r="Y217" s="124">
        <v>89999</v>
      </c>
      <c r="Z217" s="125" t="s">
        <v>37</v>
      </c>
      <c r="AA217" s="126" t="s">
        <v>275</v>
      </c>
    </row>
    <row r="218" hidden="1" spans="1:27">
      <c r="A218" s="52" t="s">
        <v>138</v>
      </c>
      <c r="B218" s="53" t="s">
        <v>1110</v>
      </c>
      <c r="C218" s="53" t="s">
        <v>1111</v>
      </c>
      <c r="D218" s="53" t="s">
        <v>1112</v>
      </c>
      <c r="E218" s="53" t="s">
        <v>134</v>
      </c>
      <c r="F218" s="53" t="s">
        <v>134</v>
      </c>
      <c r="G218" s="53">
        <v>648396</v>
      </c>
      <c r="H218" s="53">
        <v>88927</v>
      </c>
      <c r="I218" s="53">
        <v>3841580</v>
      </c>
      <c r="J218" s="53" t="s">
        <v>142</v>
      </c>
      <c r="K218" s="53" t="s">
        <v>42</v>
      </c>
      <c r="L218" s="53">
        <v>84144</v>
      </c>
      <c r="M218" s="53">
        <v>64118</v>
      </c>
      <c r="N218" s="53" t="s">
        <v>1113</v>
      </c>
      <c r="O218" s="53" t="s">
        <v>1114</v>
      </c>
      <c r="P218" s="113"/>
      <c r="Q218" s="53" t="s">
        <v>1115</v>
      </c>
      <c r="R218" s="53">
        <v>41763147</v>
      </c>
      <c r="S218" s="53" t="s">
        <v>1116</v>
      </c>
      <c r="T218" s="58">
        <v>44039</v>
      </c>
      <c r="U218" s="58">
        <v>44039</v>
      </c>
      <c r="V218" s="59">
        <v>44047</v>
      </c>
      <c r="W218" s="53">
        <v>52</v>
      </c>
      <c r="X218" s="119" t="s">
        <v>36</v>
      </c>
      <c r="Y218" s="124"/>
      <c r="Z218" s="125" t="s">
        <v>146</v>
      </c>
      <c r="AA218" s="126" t="s">
        <v>275</v>
      </c>
    </row>
    <row r="219" hidden="1" spans="1:27">
      <c r="A219" s="52" t="s">
        <v>138</v>
      </c>
      <c r="B219" s="53" t="s">
        <v>1110</v>
      </c>
      <c r="C219" s="53" t="s">
        <v>1117</v>
      </c>
      <c r="D219" s="53" t="s">
        <v>1118</v>
      </c>
      <c r="E219" s="53" t="s">
        <v>134</v>
      </c>
      <c r="F219" s="53" t="s">
        <v>134</v>
      </c>
      <c r="G219" s="53">
        <v>648409</v>
      </c>
      <c r="H219" s="53">
        <v>89168</v>
      </c>
      <c r="I219" s="53">
        <v>3849916</v>
      </c>
      <c r="J219" s="53" t="s">
        <v>142</v>
      </c>
      <c r="K219" s="53" t="s">
        <v>42</v>
      </c>
      <c r="L219" s="53">
        <v>84144</v>
      </c>
      <c r="M219" s="53">
        <v>64118</v>
      </c>
      <c r="N219" s="53" t="s">
        <v>1119</v>
      </c>
      <c r="O219" s="53" t="s">
        <v>1120</v>
      </c>
      <c r="P219" s="113"/>
      <c r="Q219" s="53"/>
      <c r="R219" s="53">
        <v>39975338</v>
      </c>
      <c r="S219" s="53" t="s">
        <v>1121</v>
      </c>
      <c r="T219" s="58">
        <v>44046</v>
      </c>
      <c r="U219" s="58">
        <v>44046</v>
      </c>
      <c r="V219" s="59">
        <v>44057</v>
      </c>
      <c r="W219" s="53">
        <v>46</v>
      </c>
      <c r="X219" s="119" t="s">
        <v>36</v>
      </c>
      <c r="Y219" s="124"/>
      <c r="Z219" s="125" t="s">
        <v>146</v>
      </c>
      <c r="AA219" s="126" t="s">
        <v>275</v>
      </c>
    </row>
    <row r="220" hidden="1" spans="1:27">
      <c r="A220" s="52" t="s">
        <v>138</v>
      </c>
      <c r="B220" s="53" t="s">
        <v>1110</v>
      </c>
      <c r="C220" s="53" t="s">
        <v>1122</v>
      </c>
      <c r="D220" s="53" t="s">
        <v>1123</v>
      </c>
      <c r="E220" s="53" t="s">
        <v>134</v>
      </c>
      <c r="F220" s="53" t="s">
        <v>134</v>
      </c>
      <c r="G220" s="53">
        <v>648393</v>
      </c>
      <c r="H220" s="53">
        <v>88925</v>
      </c>
      <c r="I220" s="53">
        <v>3841572</v>
      </c>
      <c r="J220" s="53" t="s">
        <v>142</v>
      </c>
      <c r="K220" s="53" t="s">
        <v>42</v>
      </c>
      <c r="L220" s="53">
        <v>84144</v>
      </c>
      <c r="M220" s="53">
        <v>64118</v>
      </c>
      <c r="N220" s="53" t="s">
        <v>1124</v>
      </c>
      <c r="O220" s="53" t="s">
        <v>1125</v>
      </c>
      <c r="P220" s="113"/>
      <c r="Q220" s="53" t="s">
        <v>1126</v>
      </c>
      <c r="R220" s="53">
        <v>43710701</v>
      </c>
      <c r="S220" s="53" t="s">
        <v>1127</v>
      </c>
      <c r="T220" s="58">
        <v>44039</v>
      </c>
      <c r="U220" s="58">
        <v>44039</v>
      </c>
      <c r="V220" s="59">
        <v>44047</v>
      </c>
      <c r="W220" s="53">
        <v>52</v>
      </c>
      <c r="X220" s="119" t="s">
        <v>36</v>
      </c>
      <c r="Y220" s="124"/>
      <c r="Z220" s="125" t="s">
        <v>146</v>
      </c>
      <c r="AA220" s="126" t="s">
        <v>275</v>
      </c>
    </row>
    <row r="221" hidden="1" spans="1:27">
      <c r="A221" s="52" t="s">
        <v>138</v>
      </c>
      <c r="B221" s="53" t="s">
        <v>1110</v>
      </c>
      <c r="C221" s="53" t="s">
        <v>498</v>
      </c>
      <c r="D221" s="53" t="s">
        <v>1128</v>
      </c>
      <c r="E221" s="53" t="s">
        <v>134</v>
      </c>
      <c r="F221" s="53" t="s">
        <v>134</v>
      </c>
      <c r="G221" s="53">
        <v>648394</v>
      </c>
      <c r="H221" s="53">
        <v>88923</v>
      </c>
      <c r="I221" s="53">
        <v>3523021</v>
      </c>
      <c r="J221" s="53" t="s">
        <v>42</v>
      </c>
      <c r="K221" s="53" t="s">
        <v>42</v>
      </c>
      <c r="L221" s="53">
        <v>84144</v>
      </c>
      <c r="M221" s="53">
        <v>64118</v>
      </c>
      <c r="N221" s="53" t="s">
        <v>1129</v>
      </c>
      <c r="O221" s="53" t="s">
        <v>1130</v>
      </c>
      <c r="P221" s="113"/>
      <c r="Q221" s="53" t="s">
        <v>1131</v>
      </c>
      <c r="R221" s="53">
        <v>41534420</v>
      </c>
      <c r="S221" s="53" t="s">
        <v>1132</v>
      </c>
      <c r="T221" s="58">
        <v>44039</v>
      </c>
      <c r="U221" s="58">
        <v>44039</v>
      </c>
      <c r="V221" s="59">
        <v>44047</v>
      </c>
      <c r="W221" s="53">
        <v>52</v>
      </c>
      <c r="X221" s="119" t="s">
        <v>36</v>
      </c>
      <c r="Y221" s="124"/>
      <c r="Z221" s="125" t="s">
        <v>146</v>
      </c>
      <c r="AA221" s="126" t="s">
        <v>275</v>
      </c>
    </row>
    <row r="222" hidden="1" spans="1:27">
      <c r="A222" s="52" t="s">
        <v>138</v>
      </c>
      <c r="B222" s="53" t="s">
        <v>1110</v>
      </c>
      <c r="C222" s="53" t="s">
        <v>1133</v>
      </c>
      <c r="D222" s="53" t="s">
        <v>1134</v>
      </c>
      <c r="E222" s="53" t="s">
        <v>134</v>
      </c>
      <c r="F222" s="53" t="s">
        <v>134</v>
      </c>
      <c r="G222" s="53">
        <v>648413</v>
      </c>
      <c r="H222" s="53">
        <v>89159</v>
      </c>
      <c r="I222" s="53">
        <v>3851211</v>
      </c>
      <c r="J222" s="53" t="s">
        <v>42</v>
      </c>
      <c r="K222" s="53" t="s">
        <v>42</v>
      </c>
      <c r="L222" s="53">
        <v>84144</v>
      </c>
      <c r="M222" s="53">
        <v>64118</v>
      </c>
      <c r="N222" s="53" t="s">
        <v>1135</v>
      </c>
      <c r="O222" s="53" t="s">
        <v>1136</v>
      </c>
      <c r="P222" s="113"/>
      <c r="Q222" s="53"/>
      <c r="R222" s="53">
        <v>37190020</v>
      </c>
      <c r="S222" s="53" t="s">
        <v>1137</v>
      </c>
      <c r="T222" s="58">
        <v>44046</v>
      </c>
      <c r="U222" s="58">
        <v>44046</v>
      </c>
      <c r="V222" s="59">
        <v>44057</v>
      </c>
      <c r="W222" s="53">
        <v>46</v>
      </c>
      <c r="X222" s="119" t="s">
        <v>36</v>
      </c>
      <c r="Y222" s="124"/>
      <c r="Z222" s="125" t="s">
        <v>146</v>
      </c>
      <c r="AA222" s="126" t="s">
        <v>275</v>
      </c>
    </row>
    <row r="223" hidden="1" spans="1:27">
      <c r="A223" s="52" t="s">
        <v>138</v>
      </c>
      <c r="B223" s="53" t="s">
        <v>1110</v>
      </c>
      <c r="C223" s="53" t="s">
        <v>1138</v>
      </c>
      <c r="D223" s="53" t="s">
        <v>1139</v>
      </c>
      <c r="E223" s="53" t="s">
        <v>134</v>
      </c>
      <c r="F223" s="53" t="s">
        <v>134</v>
      </c>
      <c r="G223" s="53">
        <v>648418</v>
      </c>
      <c r="H223" s="53">
        <v>89151</v>
      </c>
      <c r="I223" s="53">
        <v>3849918</v>
      </c>
      <c r="J223" s="53" t="s">
        <v>42</v>
      </c>
      <c r="K223" s="53" t="s">
        <v>42</v>
      </c>
      <c r="L223" s="53">
        <v>84144</v>
      </c>
      <c r="M223" s="53">
        <v>64118</v>
      </c>
      <c r="N223" s="53" t="s">
        <v>1140</v>
      </c>
      <c r="O223" s="53" t="s">
        <v>1141</v>
      </c>
      <c r="P223" s="113"/>
      <c r="Q223" s="53"/>
      <c r="R223" s="53">
        <v>36885457</v>
      </c>
      <c r="S223" s="53" t="s">
        <v>1142</v>
      </c>
      <c r="T223" s="58">
        <v>44046</v>
      </c>
      <c r="U223" s="58">
        <v>44046</v>
      </c>
      <c r="V223" s="59">
        <v>44057</v>
      </c>
      <c r="W223" s="53">
        <v>46</v>
      </c>
      <c r="X223" s="119" t="s">
        <v>36</v>
      </c>
      <c r="Y223" s="124"/>
      <c r="Z223" s="125" t="s">
        <v>146</v>
      </c>
      <c r="AA223" s="126" t="s">
        <v>275</v>
      </c>
    </row>
    <row r="224" hidden="1" spans="1:27">
      <c r="A224" s="52" t="s">
        <v>138</v>
      </c>
      <c r="B224" s="53" t="s">
        <v>1110</v>
      </c>
      <c r="C224" s="53" t="s">
        <v>971</v>
      </c>
      <c r="D224" s="53" t="s">
        <v>1143</v>
      </c>
      <c r="E224" s="53" t="s">
        <v>134</v>
      </c>
      <c r="F224" s="53" t="s">
        <v>134</v>
      </c>
      <c r="G224" s="53">
        <v>648420</v>
      </c>
      <c r="H224" s="53">
        <v>89166</v>
      </c>
      <c r="I224" s="53">
        <v>1929044</v>
      </c>
      <c r="J224" s="53" t="s">
        <v>42</v>
      </c>
      <c r="K224" s="53" t="s">
        <v>42</v>
      </c>
      <c r="L224" s="53">
        <v>84144</v>
      </c>
      <c r="M224" s="53">
        <v>64118</v>
      </c>
      <c r="N224" s="53" t="s">
        <v>1144</v>
      </c>
      <c r="O224" s="53" t="s">
        <v>1145</v>
      </c>
      <c r="P224" s="113"/>
      <c r="Q224" s="53"/>
      <c r="R224" s="53">
        <v>33431542</v>
      </c>
      <c r="S224" s="53"/>
      <c r="T224" s="58">
        <v>44046</v>
      </c>
      <c r="U224" s="58">
        <v>44046</v>
      </c>
      <c r="V224" s="59">
        <v>44057</v>
      </c>
      <c r="W224" s="53">
        <v>46</v>
      </c>
      <c r="X224" s="119" t="s">
        <v>36</v>
      </c>
      <c r="Y224" s="124"/>
      <c r="Z224" s="125" t="s">
        <v>146</v>
      </c>
      <c r="AA224" s="126" t="s">
        <v>275</v>
      </c>
    </row>
    <row r="225" hidden="1" spans="1:27">
      <c r="A225" s="52" t="s">
        <v>138</v>
      </c>
      <c r="B225" s="53" t="s">
        <v>1110</v>
      </c>
      <c r="C225" s="53" t="s">
        <v>1146</v>
      </c>
      <c r="D225" s="53" t="s">
        <v>1147</v>
      </c>
      <c r="E225" s="53" t="s">
        <v>359</v>
      </c>
      <c r="F225" s="53" t="s">
        <v>359</v>
      </c>
      <c r="G225" s="53">
        <v>648366</v>
      </c>
      <c r="H225" s="53">
        <v>87029</v>
      </c>
      <c r="I225" s="53">
        <v>3405729</v>
      </c>
      <c r="J225" s="53" t="s">
        <v>42</v>
      </c>
      <c r="K225" s="53" t="s">
        <v>43</v>
      </c>
      <c r="L225" s="53">
        <v>84144</v>
      </c>
      <c r="M225" s="53">
        <v>64118</v>
      </c>
      <c r="N225" s="53" t="s">
        <v>420</v>
      </c>
      <c r="O225" s="53" t="s">
        <v>420</v>
      </c>
      <c r="P225" s="113">
        <v>44006</v>
      </c>
      <c r="Q225" s="53" t="s">
        <v>1148</v>
      </c>
      <c r="R225" s="53">
        <v>37658620</v>
      </c>
      <c r="S225" s="53">
        <v>27376586206</v>
      </c>
      <c r="T225" s="58">
        <v>43664</v>
      </c>
      <c r="U225" s="58">
        <v>43962</v>
      </c>
      <c r="V225" s="59">
        <v>43969</v>
      </c>
      <c r="W225" s="53">
        <v>421</v>
      </c>
      <c r="X225" s="119" t="s">
        <v>36</v>
      </c>
      <c r="Y225" s="124">
        <v>648321</v>
      </c>
      <c r="Z225" s="125" t="s">
        <v>146</v>
      </c>
      <c r="AA225" s="126" t="s">
        <v>1149</v>
      </c>
    </row>
    <row r="226" hidden="1" spans="1:27">
      <c r="A226" s="52" t="s">
        <v>138</v>
      </c>
      <c r="B226" s="53" t="s">
        <v>1110</v>
      </c>
      <c r="C226" s="53" t="s">
        <v>890</v>
      </c>
      <c r="D226" s="53" t="s">
        <v>1150</v>
      </c>
      <c r="E226" s="53" t="s">
        <v>134</v>
      </c>
      <c r="F226" s="53" t="s">
        <v>134</v>
      </c>
      <c r="G226" s="53">
        <v>648395</v>
      </c>
      <c r="H226" s="53">
        <v>88918</v>
      </c>
      <c r="I226" s="53">
        <v>3841578</v>
      </c>
      <c r="J226" s="53" t="s">
        <v>42</v>
      </c>
      <c r="K226" s="53" t="s">
        <v>42</v>
      </c>
      <c r="L226" s="53">
        <v>84144</v>
      </c>
      <c r="M226" s="53">
        <v>64118</v>
      </c>
      <c r="N226" s="53" t="s">
        <v>1151</v>
      </c>
      <c r="O226" s="53" t="s">
        <v>1152</v>
      </c>
      <c r="P226" s="113"/>
      <c r="Q226" s="53" t="s">
        <v>1153</v>
      </c>
      <c r="R226" s="53">
        <v>36867211</v>
      </c>
      <c r="S226" s="53" t="s">
        <v>1154</v>
      </c>
      <c r="T226" s="58">
        <v>44039</v>
      </c>
      <c r="U226" s="58">
        <v>44039</v>
      </c>
      <c r="V226" s="59">
        <v>44047</v>
      </c>
      <c r="W226" s="53">
        <v>52</v>
      </c>
      <c r="X226" s="119" t="s">
        <v>36</v>
      </c>
      <c r="Y226" s="124"/>
      <c r="Z226" s="125" t="s">
        <v>146</v>
      </c>
      <c r="AA226" s="126" t="s">
        <v>275</v>
      </c>
    </row>
    <row r="227" hidden="1" spans="1:27">
      <c r="A227" s="52" t="s">
        <v>138</v>
      </c>
      <c r="B227" s="53" t="s">
        <v>1110</v>
      </c>
      <c r="C227" s="53" t="s">
        <v>1155</v>
      </c>
      <c r="D227" s="53" t="s">
        <v>1156</v>
      </c>
      <c r="E227" s="53" t="s">
        <v>134</v>
      </c>
      <c r="F227" s="53" t="s">
        <v>134</v>
      </c>
      <c r="G227" s="53">
        <v>648397</v>
      </c>
      <c r="H227" s="53">
        <v>88926</v>
      </c>
      <c r="I227" s="53">
        <v>3841583</v>
      </c>
      <c r="J227" s="53" t="s">
        <v>42</v>
      </c>
      <c r="K227" s="53" t="s">
        <v>42</v>
      </c>
      <c r="L227" s="53">
        <v>84144</v>
      </c>
      <c r="M227" s="53">
        <v>64118</v>
      </c>
      <c r="N227" s="53" t="s">
        <v>1157</v>
      </c>
      <c r="O227" s="53" t="s">
        <v>1158</v>
      </c>
      <c r="P227" s="113"/>
      <c r="Q227" s="53" t="s">
        <v>1159</v>
      </c>
      <c r="R227" s="53">
        <v>36712734</v>
      </c>
      <c r="S227" s="53" t="s">
        <v>1160</v>
      </c>
      <c r="T227" s="58">
        <v>44039</v>
      </c>
      <c r="U227" s="58">
        <v>44039</v>
      </c>
      <c r="V227" s="59">
        <v>44047</v>
      </c>
      <c r="W227" s="53">
        <v>52</v>
      </c>
      <c r="X227" s="119" t="s">
        <v>36</v>
      </c>
      <c r="Y227" s="124"/>
      <c r="Z227" s="125" t="s">
        <v>146</v>
      </c>
      <c r="AA227" s="126" t="s">
        <v>275</v>
      </c>
    </row>
    <row r="228" hidden="1" spans="1:27">
      <c r="A228" s="52" t="s">
        <v>832</v>
      </c>
      <c r="B228" s="53" t="s">
        <v>1161</v>
      </c>
      <c r="C228" s="53" t="s">
        <v>1162</v>
      </c>
      <c r="D228" s="53" t="s">
        <v>1163</v>
      </c>
      <c r="E228" s="53" t="s">
        <v>134</v>
      </c>
      <c r="F228" s="53" t="s">
        <v>134</v>
      </c>
      <c r="G228" s="53">
        <v>648423</v>
      </c>
      <c r="H228" s="53">
        <v>89174</v>
      </c>
      <c r="I228" s="53">
        <v>3851271</v>
      </c>
      <c r="J228" s="53" t="s">
        <v>42</v>
      </c>
      <c r="K228" s="53" t="s">
        <v>42</v>
      </c>
      <c r="L228" s="53">
        <v>85988</v>
      </c>
      <c r="M228" s="53" t="e">
        <v>#N/A</v>
      </c>
      <c r="N228" s="53" t="s">
        <v>1164</v>
      </c>
      <c r="O228" s="53" t="s">
        <v>1165</v>
      </c>
      <c r="P228" s="113"/>
      <c r="Q228" s="53"/>
      <c r="R228" s="53">
        <v>40089669</v>
      </c>
      <c r="S228" s="53" t="s">
        <v>1166</v>
      </c>
      <c r="T228" s="58">
        <v>44046</v>
      </c>
      <c r="U228" s="58">
        <v>44046</v>
      </c>
      <c r="V228" s="59">
        <v>44057</v>
      </c>
      <c r="W228" s="53">
        <v>46</v>
      </c>
      <c r="X228" s="119" t="s">
        <v>36</v>
      </c>
      <c r="Y228" s="124"/>
      <c r="Z228" s="125" t="s">
        <v>146</v>
      </c>
      <c r="AA228" s="126" t="s">
        <v>275</v>
      </c>
    </row>
    <row r="229" hidden="1" spans="1:27">
      <c r="A229" s="52" t="s">
        <v>832</v>
      </c>
      <c r="B229" s="53" t="s">
        <v>1161</v>
      </c>
      <c r="C229" s="53" t="s">
        <v>287</v>
      </c>
      <c r="D229" s="53" t="s">
        <v>1167</v>
      </c>
      <c r="E229" s="53" t="s">
        <v>134</v>
      </c>
      <c r="F229" s="53" t="s">
        <v>134</v>
      </c>
      <c r="G229" s="53">
        <v>648426</v>
      </c>
      <c r="H229" s="53">
        <v>89173</v>
      </c>
      <c r="I229" s="53">
        <v>1525070</v>
      </c>
      <c r="J229" s="53" t="s">
        <v>42</v>
      </c>
      <c r="K229" s="53" t="s">
        <v>42</v>
      </c>
      <c r="L229" s="53">
        <v>85988</v>
      </c>
      <c r="M229" s="53" t="e">
        <v>#N/A</v>
      </c>
      <c r="N229" s="53" t="s">
        <v>1168</v>
      </c>
      <c r="O229" s="53" t="s">
        <v>1169</v>
      </c>
      <c r="P229" s="113"/>
      <c r="Q229" s="53"/>
      <c r="R229" s="53">
        <v>35921828</v>
      </c>
      <c r="S229" s="53" t="s">
        <v>1170</v>
      </c>
      <c r="T229" s="58">
        <v>44046</v>
      </c>
      <c r="U229" s="58">
        <v>44046</v>
      </c>
      <c r="V229" s="59">
        <v>44057</v>
      </c>
      <c r="W229" s="53">
        <v>46</v>
      </c>
      <c r="X229" s="119" t="s">
        <v>36</v>
      </c>
      <c r="Y229" s="124"/>
      <c r="Z229" s="125" t="s">
        <v>146</v>
      </c>
      <c r="AA229" s="126" t="s">
        <v>275</v>
      </c>
    </row>
    <row r="230" hidden="1" spans="1:27">
      <c r="A230" s="52" t="s">
        <v>832</v>
      </c>
      <c r="B230" s="53" t="s">
        <v>1161</v>
      </c>
      <c r="C230" s="53" t="s">
        <v>1171</v>
      </c>
      <c r="D230" s="53" t="s">
        <v>1172</v>
      </c>
      <c r="E230" s="53" t="s">
        <v>134</v>
      </c>
      <c r="F230" s="53" t="s">
        <v>134</v>
      </c>
      <c r="G230" s="53">
        <v>648427</v>
      </c>
      <c r="H230" s="53">
        <v>89171</v>
      </c>
      <c r="I230" s="53">
        <v>3528515</v>
      </c>
      <c r="J230" s="53" t="s">
        <v>42</v>
      </c>
      <c r="K230" s="53" t="s">
        <v>42</v>
      </c>
      <c r="L230" s="53">
        <v>85988</v>
      </c>
      <c r="M230" s="53" t="e">
        <v>#N/A</v>
      </c>
      <c r="N230" s="53" t="s">
        <v>1173</v>
      </c>
      <c r="O230" s="53" t="s">
        <v>1174</v>
      </c>
      <c r="P230" s="113"/>
      <c r="Q230" s="53"/>
      <c r="R230" s="53">
        <v>40643538</v>
      </c>
      <c r="S230" s="53" t="s">
        <v>1175</v>
      </c>
      <c r="T230" s="58">
        <v>44046</v>
      </c>
      <c r="U230" s="58">
        <v>44046</v>
      </c>
      <c r="V230" s="59">
        <v>44057</v>
      </c>
      <c r="W230" s="53">
        <v>46</v>
      </c>
      <c r="X230" s="119" t="s">
        <v>36</v>
      </c>
      <c r="Y230" s="124"/>
      <c r="Z230" s="125" t="s">
        <v>146</v>
      </c>
      <c r="AA230" s="126" t="s">
        <v>56</v>
      </c>
    </row>
    <row r="231" hidden="1" spans="1:27">
      <c r="A231" s="52" t="s">
        <v>832</v>
      </c>
      <c r="B231" s="53" t="s">
        <v>1161</v>
      </c>
      <c r="C231" s="53" t="s">
        <v>1176</v>
      </c>
      <c r="D231" s="53" t="s">
        <v>1177</v>
      </c>
      <c r="E231" s="53" t="s">
        <v>134</v>
      </c>
      <c r="F231" s="53" t="s">
        <v>134</v>
      </c>
      <c r="G231" s="53">
        <v>648429</v>
      </c>
      <c r="H231" s="53">
        <v>89165</v>
      </c>
      <c r="I231" s="53">
        <v>1187330</v>
      </c>
      <c r="J231" s="53" t="s">
        <v>42</v>
      </c>
      <c r="K231" s="53" t="s">
        <v>42</v>
      </c>
      <c r="L231" s="53">
        <v>85988</v>
      </c>
      <c r="M231" s="53" t="e">
        <v>#N/A</v>
      </c>
      <c r="N231" s="53" t="s">
        <v>1178</v>
      </c>
      <c r="O231" s="53" t="s">
        <v>1179</v>
      </c>
      <c r="P231" s="113"/>
      <c r="Q231" s="53"/>
      <c r="R231" s="53">
        <v>38185201</v>
      </c>
      <c r="S231" s="53" t="s">
        <v>1180</v>
      </c>
      <c r="T231" s="58">
        <v>44046</v>
      </c>
      <c r="U231" s="58">
        <v>44046</v>
      </c>
      <c r="V231" s="59">
        <v>44057</v>
      </c>
      <c r="W231" s="53">
        <v>46</v>
      </c>
      <c r="X231" s="119" t="s">
        <v>36</v>
      </c>
      <c r="Y231" s="124"/>
      <c r="Z231" s="125" t="s">
        <v>146</v>
      </c>
      <c r="AA231" s="126" t="s">
        <v>56</v>
      </c>
    </row>
    <row r="232" hidden="1" spans="1:27">
      <c r="A232" s="52" t="s">
        <v>832</v>
      </c>
      <c r="B232" s="53" t="s">
        <v>1161</v>
      </c>
      <c r="C232" s="53" t="s">
        <v>1181</v>
      </c>
      <c r="D232" s="53" t="s">
        <v>314</v>
      </c>
      <c r="E232" s="53" t="s">
        <v>134</v>
      </c>
      <c r="F232" s="53" t="s">
        <v>134</v>
      </c>
      <c r="G232" s="53">
        <v>648431</v>
      </c>
      <c r="H232" s="53">
        <v>89163</v>
      </c>
      <c r="I232" s="53">
        <v>3851218</v>
      </c>
      <c r="J232" s="53" t="s">
        <v>42</v>
      </c>
      <c r="K232" s="53" t="s">
        <v>42</v>
      </c>
      <c r="L232" s="53">
        <v>85988</v>
      </c>
      <c r="M232" s="53" t="e">
        <v>#N/A</v>
      </c>
      <c r="N232" s="53" t="s">
        <v>1182</v>
      </c>
      <c r="O232" s="53" t="s">
        <v>1183</v>
      </c>
      <c r="P232" s="113"/>
      <c r="Q232" s="53"/>
      <c r="R232" s="53">
        <v>36182605</v>
      </c>
      <c r="S232" s="53" t="s">
        <v>1184</v>
      </c>
      <c r="T232" s="58">
        <v>44046</v>
      </c>
      <c r="U232" s="58">
        <v>44046</v>
      </c>
      <c r="V232" s="59">
        <v>44057</v>
      </c>
      <c r="W232" s="53">
        <v>46</v>
      </c>
      <c r="X232" s="119" t="s">
        <v>36</v>
      </c>
      <c r="Y232" s="124"/>
      <c r="Z232" s="125" t="s">
        <v>146</v>
      </c>
      <c r="AA232" s="126" t="s">
        <v>275</v>
      </c>
    </row>
    <row r="233" hidden="1" spans="1:27">
      <c r="A233" s="52" t="s">
        <v>832</v>
      </c>
      <c r="B233" s="53" t="s">
        <v>1161</v>
      </c>
      <c r="C233" s="53" t="s">
        <v>1185</v>
      </c>
      <c r="D233" s="53" t="s">
        <v>1186</v>
      </c>
      <c r="E233" s="53" t="s">
        <v>134</v>
      </c>
      <c r="F233" s="53" t="s">
        <v>134</v>
      </c>
      <c r="G233" s="53">
        <v>648432</v>
      </c>
      <c r="H233" s="53">
        <v>89169</v>
      </c>
      <c r="I233" s="53">
        <v>3851213</v>
      </c>
      <c r="J233" s="53" t="s">
        <v>42</v>
      </c>
      <c r="K233" s="53" t="s">
        <v>42</v>
      </c>
      <c r="L233" s="53">
        <v>85988</v>
      </c>
      <c r="M233" s="53" t="e">
        <v>#N/A</v>
      </c>
      <c r="N233" s="53" t="s">
        <v>1187</v>
      </c>
      <c r="O233" s="53" t="s">
        <v>1188</v>
      </c>
      <c r="P233" s="113"/>
      <c r="Q233" s="53"/>
      <c r="R233" s="53">
        <v>39359545</v>
      </c>
      <c r="S233" s="53" t="s">
        <v>1189</v>
      </c>
      <c r="T233" s="58">
        <v>44046</v>
      </c>
      <c r="U233" s="58">
        <v>44046</v>
      </c>
      <c r="V233" s="59">
        <v>44057</v>
      </c>
      <c r="W233" s="53">
        <v>46</v>
      </c>
      <c r="X233" s="119" t="s">
        <v>36</v>
      </c>
      <c r="Y233" s="124"/>
      <c r="Z233" s="125" t="s">
        <v>146</v>
      </c>
      <c r="AA233" s="126" t="s">
        <v>275</v>
      </c>
    </row>
    <row r="234" hidden="1" spans="1:27">
      <c r="A234" s="52" t="s">
        <v>832</v>
      </c>
      <c r="B234" s="53" t="s">
        <v>1161</v>
      </c>
      <c r="C234" s="53" t="s">
        <v>650</v>
      </c>
      <c r="D234" s="53" t="s">
        <v>1190</v>
      </c>
      <c r="E234" s="53" t="s">
        <v>134</v>
      </c>
      <c r="F234" s="53" t="s">
        <v>134</v>
      </c>
      <c r="G234" s="53">
        <v>648433</v>
      </c>
      <c r="H234" s="53">
        <v>89160</v>
      </c>
      <c r="I234" s="53">
        <v>3851219</v>
      </c>
      <c r="J234" s="53" t="s">
        <v>42</v>
      </c>
      <c r="K234" s="53" t="s">
        <v>42</v>
      </c>
      <c r="L234" s="53">
        <v>85988</v>
      </c>
      <c r="M234" s="53" t="e">
        <v>#N/A</v>
      </c>
      <c r="N234" s="53" t="s">
        <v>1191</v>
      </c>
      <c r="O234" s="53" t="s">
        <v>1192</v>
      </c>
      <c r="P234" s="113"/>
      <c r="Q234" s="53"/>
      <c r="R234" s="53">
        <v>36668375</v>
      </c>
      <c r="S234" s="53"/>
      <c r="T234" s="58">
        <v>44046</v>
      </c>
      <c r="U234" s="58">
        <v>44046</v>
      </c>
      <c r="V234" s="59">
        <v>44057</v>
      </c>
      <c r="W234" s="53">
        <v>46</v>
      </c>
      <c r="X234" s="119" t="s">
        <v>36</v>
      </c>
      <c r="Y234" s="124"/>
      <c r="Z234" s="125" t="s">
        <v>146</v>
      </c>
      <c r="AA234" s="126" t="s">
        <v>56</v>
      </c>
    </row>
    <row r="235" hidden="1" spans="1:27">
      <c r="A235" s="52" t="s">
        <v>832</v>
      </c>
      <c r="B235" s="53" t="s">
        <v>1161</v>
      </c>
      <c r="C235" s="53" t="s">
        <v>405</v>
      </c>
      <c r="D235" s="53" t="s">
        <v>1193</v>
      </c>
      <c r="E235" s="53" t="s">
        <v>134</v>
      </c>
      <c r="F235" s="53" t="s">
        <v>134</v>
      </c>
      <c r="G235" s="53">
        <v>648436</v>
      </c>
      <c r="H235" s="53">
        <v>89150</v>
      </c>
      <c r="I235" s="53">
        <v>2419193</v>
      </c>
      <c r="J235" s="53" t="s">
        <v>42</v>
      </c>
      <c r="K235" s="53" t="s">
        <v>42</v>
      </c>
      <c r="L235" s="53">
        <v>85988</v>
      </c>
      <c r="M235" s="53" t="e">
        <v>#N/A</v>
      </c>
      <c r="N235" s="53" t="s">
        <v>1194</v>
      </c>
      <c r="O235" s="53" t="s">
        <v>1195</v>
      </c>
      <c r="P235" s="113"/>
      <c r="Q235" s="53"/>
      <c r="R235" s="53">
        <v>35816645</v>
      </c>
      <c r="S235" s="53"/>
      <c r="T235" s="58">
        <v>44046</v>
      </c>
      <c r="U235" s="58">
        <v>44046</v>
      </c>
      <c r="V235" s="59">
        <v>44057</v>
      </c>
      <c r="W235" s="53">
        <v>46</v>
      </c>
      <c r="X235" s="119" t="s">
        <v>36</v>
      </c>
      <c r="Y235" s="124"/>
      <c r="Z235" s="125" t="s">
        <v>146</v>
      </c>
      <c r="AA235" s="126" t="s">
        <v>275</v>
      </c>
    </row>
    <row r="236" hidden="1" spans="1:27">
      <c r="A236" s="52" t="s">
        <v>832</v>
      </c>
      <c r="B236" s="53" t="s">
        <v>1161</v>
      </c>
      <c r="C236" s="53" t="s">
        <v>1196</v>
      </c>
      <c r="D236" s="53" t="s">
        <v>1197</v>
      </c>
      <c r="E236" s="53" t="s">
        <v>134</v>
      </c>
      <c r="F236" s="53" t="s">
        <v>134</v>
      </c>
      <c r="G236" s="53">
        <v>648437</v>
      </c>
      <c r="H236" s="53">
        <v>89156</v>
      </c>
      <c r="I236" s="53">
        <v>1119960</v>
      </c>
      <c r="J236" s="53" t="s">
        <v>42</v>
      </c>
      <c r="K236" s="53" t="s">
        <v>42</v>
      </c>
      <c r="L236" s="53">
        <v>85988</v>
      </c>
      <c r="M236" s="53" t="e">
        <v>#N/A</v>
      </c>
      <c r="N236" s="53" t="s">
        <v>1198</v>
      </c>
      <c r="O236" s="53" t="s">
        <v>1199</v>
      </c>
      <c r="P236" s="113"/>
      <c r="Q236" s="53"/>
      <c r="R236" s="53">
        <v>37457213</v>
      </c>
      <c r="S236" s="53"/>
      <c r="T236" s="58">
        <v>44046</v>
      </c>
      <c r="U236" s="58">
        <v>44046</v>
      </c>
      <c r="V236" s="59">
        <v>44057</v>
      </c>
      <c r="W236" s="53">
        <v>46</v>
      </c>
      <c r="X236" s="119" t="s">
        <v>36</v>
      </c>
      <c r="Y236" s="124"/>
      <c r="Z236" s="125" t="s">
        <v>146</v>
      </c>
      <c r="AA236" s="126" t="s">
        <v>56</v>
      </c>
    </row>
    <row r="237" hidden="1" spans="1:27">
      <c r="A237" s="70" t="s">
        <v>832</v>
      </c>
      <c r="B237" s="71" t="s">
        <v>1200</v>
      </c>
      <c r="C237" s="71" t="s">
        <v>49</v>
      </c>
      <c r="D237" s="71" t="s">
        <v>1201</v>
      </c>
      <c r="E237" s="71" t="s">
        <v>41</v>
      </c>
      <c r="F237" s="71" t="s">
        <v>41</v>
      </c>
      <c r="G237" s="53">
        <v>89292</v>
      </c>
      <c r="H237" s="53">
        <v>88154</v>
      </c>
      <c r="I237" s="53">
        <v>3624040</v>
      </c>
      <c r="J237" s="53" t="s">
        <v>42</v>
      </c>
      <c r="K237" s="53" t="s">
        <v>43</v>
      </c>
      <c r="L237" s="53">
        <v>81755</v>
      </c>
      <c r="M237" s="53" t="e">
        <v>#N/A</v>
      </c>
      <c r="N237" s="53" t="s">
        <v>1202</v>
      </c>
      <c r="O237" s="53" t="s">
        <v>1203</v>
      </c>
      <c r="P237" s="113">
        <v>43919</v>
      </c>
      <c r="Q237" s="53"/>
      <c r="R237" s="53">
        <v>40274531</v>
      </c>
      <c r="S237" s="53">
        <v>27402745318</v>
      </c>
      <c r="T237" s="58">
        <v>43808</v>
      </c>
      <c r="U237" s="58">
        <v>43808</v>
      </c>
      <c r="V237" s="59">
        <v>43831</v>
      </c>
      <c r="W237" s="53">
        <v>280</v>
      </c>
      <c r="X237" s="119" t="s">
        <v>36</v>
      </c>
      <c r="Y237" s="124">
        <v>89984</v>
      </c>
      <c r="Z237" s="125" t="s">
        <v>37</v>
      </c>
      <c r="AA237" s="126" t="s">
        <v>275</v>
      </c>
    </row>
    <row r="238" hidden="1" spans="1:27">
      <c r="A238" s="54" t="s">
        <v>832</v>
      </c>
      <c r="B238" s="55" t="s">
        <v>1204</v>
      </c>
      <c r="C238" s="55" t="s">
        <v>147</v>
      </c>
      <c r="D238" s="55" t="s">
        <v>1205</v>
      </c>
      <c r="E238" s="55" t="s">
        <v>134</v>
      </c>
      <c r="F238" s="55" t="s">
        <v>134</v>
      </c>
      <c r="G238" s="55">
        <v>648290</v>
      </c>
      <c r="H238" s="55">
        <v>87868</v>
      </c>
      <c r="I238" s="55">
        <v>1831428</v>
      </c>
      <c r="J238" s="55" t="s">
        <v>60</v>
      </c>
      <c r="K238" s="111" t="s">
        <v>43</v>
      </c>
      <c r="L238" s="55">
        <v>79943</v>
      </c>
      <c r="M238" s="55" t="e">
        <v>#N/A</v>
      </c>
      <c r="N238" s="55" t="s">
        <v>1206</v>
      </c>
      <c r="O238" s="55" t="s">
        <v>1207</v>
      </c>
      <c r="P238" s="112">
        <v>43955</v>
      </c>
      <c r="Q238" s="55" t="s">
        <v>1208</v>
      </c>
      <c r="R238" s="55">
        <v>38248191</v>
      </c>
      <c r="S238" s="55">
        <v>20382481918</v>
      </c>
      <c r="T238" s="115">
        <v>43752</v>
      </c>
      <c r="U238" s="115">
        <v>43945</v>
      </c>
      <c r="V238" s="116">
        <v>43956</v>
      </c>
      <c r="W238" s="55">
        <v>335</v>
      </c>
      <c r="X238" s="118" t="s">
        <v>36</v>
      </c>
      <c r="Y238" s="127">
        <v>89882</v>
      </c>
      <c r="Z238" s="122" t="s">
        <v>37</v>
      </c>
      <c r="AA238" s="128" t="s">
        <v>275</v>
      </c>
    </row>
    <row r="239" hidden="1" spans="1:27">
      <c r="A239" s="52" t="s">
        <v>832</v>
      </c>
      <c r="B239" s="53" t="s">
        <v>1204</v>
      </c>
      <c r="C239" s="53" t="s">
        <v>1209</v>
      </c>
      <c r="D239" s="53" t="s">
        <v>1210</v>
      </c>
      <c r="E239" s="53" t="s">
        <v>134</v>
      </c>
      <c r="F239" s="53" t="s">
        <v>134</v>
      </c>
      <c r="G239" s="53">
        <v>648368</v>
      </c>
      <c r="H239" s="53">
        <v>76309</v>
      </c>
      <c r="I239" s="53">
        <v>765954</v>
      </c>
      <c r="J239" s="53" t="s">
        <v>52</v>
      </c>
      <c r="K239" s="53" t="s">
        <v>43</v>
      </c>
      <c r="L239" s="53">
        <v>79943</v>
      </c>
      <c r="M239" s="53" t="e">
        <v>#N/A</v>
      </c>
      <c r="N239" s="53" t="s">
        <v>1211</v>
      </c>
      <c r="O239" s="53" t="s">
        <v>1212</v>
      </c>
      <c r="P239" s="113">
        <v>43969</v>
      </c>
      <c r="Q239" s="53" t="s">
        <v>1213</v>
      </c>
      <c r="R239" s="53">
        <v>37259157</v>
      </c>
      <c r="S239" s="53">
        <v>23372591579</v>
      </c>
      <c r="T239" s="58">
        <v>40967</v>
      </c>
      <c r="U239" s="58">
        <v>43962</v>
      </c>
      <c r="V239" s="59">
        <v>43969</v>
      </c>
      <c r="W239" s="53">
        <v>3081</v>
      </c>
      <c r="X239" s="119" t="s">
        <v>36</v>
      </c>
      <c r="Y239" s="124">
        <v>648335</v>
      </c>
      <c r="Z239" s="125" t="s">
        <v>37</v>
      </c>
      <c r="AA239" s="126" t="s">
        <v>275</v>
      </c>
    </row>
    <row r="240" hidden="1" spans="1:27">
      <c r="A240" s="54" t="s">
        <v>832</v>
      </c>
      <c r="B240" s="55" t="s">
        <v>1204</v>
      </c>
      <c r="C240" s="55" t="s">
        <v>1214</v>
      </c>
      <c r="D240" s="55" t="s">
        <v>1215</v>
      </c>
      <c r="E240" s="55" t="s">
        <v>59</v>
      </c>
      <c r="F240" s="55" t="s">
        <v>59</v>
      </c>
      <c r="G240" s="55">
        <v>648291</v>
      </c>
      <c r="H240" s="55">
        <v>64167</v>
      </c>
      <c r="I240" s="55">
        <v>433490</v>
      </c>
      <c r="J240" s="55" t="s">
        <v>52</v>
      </c>
      <c r="K240" s="111" t="s">
        <v>43</v>
      </c>
      <c r="L240" s="55">
        <v>79943</v>
      </c>
      <c r="M240" s="55" t="e">
        <v>#N/A</v>
      </c>
      <c r="N240" s="55" t="s">
        <v>1216</v>
      </c>
      <c r="O240" s="55" t="s">
        <v>1217</v>
      </c>
      <c r="P240" s="112">
        <v>43955</v>
      </c>
      <c r="Q240" s="55">
        <v>3814348840</v>
      </c>
      <c r="R240" s="55">
        <v>29391113</v>
      </c>
      <c r="S240" s="55">
        <v>23293911134</v>
      </c>
      <c r="T240" s="115">
        <v>39937</v>
      </c>
      <c r="U240" s="115">
        <v>43945</v>
      </c>
      <c r="V240" s="116">
        <v>43956</v>
      </c>
      <c r="W240" s="55">
        <v>4095</v>
      </c>
      <c r="X240" s="118" t="s">
        <v>36</v>
      </c>
      <c r="Y240" s="127">
        <v>89876</v>
      </c>
      <c r="Z240" s="122" t="s">
        <v>37</v>
      </c>
      <c r="AA240" s="128" t="s">
        <v>275</v>
      </c>
    </row>
    <row r="241" hidden="1" spans="1:27">
      <c r="A241" s="70" t="s">
        <v>832</v>
      </c>
      <c r="B241" s="71" t="s">
        <v>1200</v>
      </c>
      <c r="C241" s="71" t="s">
        <v>1218</v>
      </c>
      <c r="D241" s="71" t="s">
        <v>1219</v>
      </c>
      <c r="E241" s="71" t="s">
        <v>41</v>
      </c>
      <c r="F241" s="71" t="s">
        <v>41</v>
      </c>
      <c r="G241" s="53">
        <v>648375</v>
      </c>
      <c r="H241" s="53">
        <v>76198</v>
      </c>
      <c r="I241" s="53">
        <v>765944</v>
      </c>
      <c r="J241" s="53" t="s">
        <v>42</v>
      </c>
      <c r="K241" s="53" t="s">
        <v>43</v>
      </c>
      <c r="L241" s="53">
        <v>81755</v>
      </c>
      <c r="M241" s="53" t="e">
        <v>#N/A</v>
      </c>
      <c r="N241" s="53" t="s">
        <v>1220</v>
      </c>
      <c r="O241" s="53" t="s">
        <v>1221</v>
      </c>
      <c r="P241" s="113">
        <v>43969</v>
      </c>
      <c r="Q241" s="53" t="s">
        <v>1222</v>
      </c>
      <c r="R241" s="53">
        <v>35419321</v>
      </c>
      <c r="S241" s="53">
        <v>27354193219</v>
      </c>
      <c r="T241" s="58">
        <v>40938</v>
      </c>
      <c r="U241" s="58">
        <v>43962</v>
      </c>
      <c r="V241" s="59">
        <v>43969</v>
      </c>
      <c r="W241" s="53">
        <v>3109</v>
      </c>
      <c r="X241" s="119" t="s">
        <v>36</v>
      </c>
      <c r="Y241" s="124">
        <v>648322</v>
      </c>
      <c r="Z241" s="125" t="s">
        <v>37</v>
      </c>
      <c r="AA241" s="126" t="s">
        <v>1149</v>
      </c>
    </row>
    <row r="242" hidden="1" spans="1:27">
      <c r="A242" s="54" t="s">
        <v>832</v>
      </c>
      <c r="B242" s="55" t="s">
        <v>1204</v>
      </c>
      <c r="C242" s="55" t="s">
        <v>100</v>
      </c>
      <c r="D242" s="55" t="s">
        <v>1223</v>
      </c>
      <c r="E242" s="55" t="s">
        <v>134</v>
      </c>
      <c r="F242" s="55" t="s">
        <v>134</v>
      </c>
      <c r="G242" s="55">
        <v>648292</v>
      </c>
      <c r="H242" s="55">
        <v>71798</v>
      </c>
      <c r="I242" s="55">
        <v>516965</v>
      </c>
      <c r="J242" s="55" t="s">
        <v>52</v>
      </c>
      <c r="K242" s="111" t="s">
        <v>43</v>
      </c>
      <c r="L242" s="55">
        <v>79943</v>
      </c>
      <c r="M242" s="55" t="e">
        <v>#N/A</v>
      </c>
      <c r="N242" s="55" t="s">
        <v>1224</v>
      </c>
      <c r="O242" s="55" t="s">
        <v>1225</v>
      </c>
      <c r="P242" s="112">
        <v>43955</v>
      </c>
      <c r="Q242" s="55">
        <v>381156539986</v>
      </c>
      <c r="R242" s="55">
        <v>32853762</v>
      </c>
      <c r="S242" s="55">
        <v>20328537622</v>
      </c>
      <c r="T242" s="115">
        <v>40357</v>
      </c>
      <c r="U242" s="115">
        <v>43945</v>
      </c>
      <c r="V242" s="116">
        <v>43956</v>
      </c>
      <c r="W242" s="55">
        <v>3681</v>
      </c>
      <c r="X242" s="118" t="s">
        <v>36</v>
      </c>
      <c r="Y242" s="127">
        <v>89874</v>
      </c>
      <c r="Z242" s="122" t="s">
        <v>37</v>
      </c>
      <c r="AA242" s="128" t="s">
        <v>275</v>
      </c>
    </row>
    <row r="243" hidden="1" spans="1:27">
      <c r="A243" s="54" t="s">
        <v>832</v>
      </c>
      <c r="B243" s="55" t="s">
        <v>1204</v>
      </c>
      <c r="C243" s="55" t="s">
        <v>100</v>
      </c>
      <c r="D243" s="55" t="s">
        <v>785</v>
      </c>
      <c r="E243" s="55" t="s">
        <v>134</v>
      </c>
      <c r="F243" s="55" t="s">
        <v>134</v>
      </c>
      <c r="G243" s="55">
        <v>648293</v>
      </c>
      <c r="H243" s="55">
        <v>80050</v>
      </c>
      <c r="I243" s="55">
        <v>1535101</v>
      </c>
      <c r="J243" s="55" t="s">
        <v>52</v>
      </c>
      <c r="K243" s="111" t="s">
        <v>43</v>
      </c>
      <c r="L243" s="55">
        <v>79943</v>
      </c>
      <c r="M243" s="55" t="e">
        <v>#N/A</v>
      </c>
      <c r="N243" s="55" t="s">
        <v>1226</v>
      </c>
      <c r="O243" s="55" t="s">
        <v>1227</v>
      </c>
      <c r="P243" s="112">
        <v>43955</v>
      </c>
      <c r="Q243" s="55" t="s">
        <v>1228</v>
      </c>
      <c r="R243" s="55">
        <v>34064053</v>
      </c>
      <c r="S243" s="55">
        <v>27340640530</v>
      </c>
      <c r="T243" s="115">
        <v>42009</v>
      </c>
      <c r="U243" s="115">
        <v>43945</v>
      </c>
      <c r="V243" s="116">
        <v>43956</v>
      </c>
      <c r="W243" s="55">
        <v>2054</v>
      </c>
      <c r="X243" s="118" t="s">
        <v>36</v>
      </c>
      <c r="Y243" s="127">
        <v>89875</v>
      </c>
      <c r="Z243" s="122" t="s">
        <v>37</v>
      </c>
      <c r="AA243" s="128" t="s">
        <v>275</v>
      </c>
    </row>
    <row r="244" hidden="1" spans="1:27">
      <c r="A244" s="52" t="s">
        <v>832</v>
      </c>
      <c r="B244" s="53" t="s">
        <v>1204</v>
      </c>
      <c r="C244" s="53" t="s">
        <v>1229</v>
      </c>
      <c r="D244" s="53" t="s">
        <v>1147</v>
      </c>
      <c r="E244" s="53" t="s">
        <v>134</v>
      </c>
      <c r="F244" s="53" t="s">
        <v>134</v>
      </c>
      <c r="G244" s="53">
        <v>648391</v>
      </c>
      <c r="H244" s="53">
        <v>81639</v>
      </c>
      <c r="I244" s="53">
        <v>2024635</v>
      </c>
      <c r="J244" s="53" t="s">
        <v>42</v>
      </c>
      <c r="K244" s="53" t="s">
        <v>43</v>
      </c>
      <c r="L244" s="53">
        <v>79943</v>
      </c>
      <c r="M244" s="53" t="e">
        <v>#N/A</v>
      </c>
      <c r="N244" s="53" t="s">
        <v>1230</v>
      </c>
      <c r="O244" s="53" t="s">
        <v>1231</v>
      </c>
      <c r="P244" s="113">
        <v>43969</v>
      </c>
      <c r="Q244" s="53" t="s">
        <v>1232</v>
      </c>
      <c r="R244" s="53">
        <v>37456943</v>
      </c>
      <c r="S244" s="53">
        <v>27374569436</v>
      </c>
      <c r="T244" s="58">
        <v>42460</v>
      </c>
      <c r="U244" s="58">
        <v>43962</v>
      </c>
      <c r="V244" s="59">
        <v>43969</v>
      </c>
      <c r="W244" s="53">
        <v>1609</v>
      </c>
      <c r="X244" s="119" t="s">
        <v>36</v>
      </c>
      <c r="Y244" s="124">
        <v>648323</v>
      </c>
      <c r="Z244" s="125" t="s">
        <v>37</v>
      </c>
      <c r="AA244" s="126" t="s">
        <v>275</v>
      </c>
    </row>
    <row r="245" hidden="1" spans="1:27">
      <c r="A245" s="54" t="s">
        <v>832</v>
      </c>
      <c r="B245" s="55" t="s">
        <v>1204</v>
      </c>
      <c r="C245" s="55" t="s">
        <v>979</v>
      </c>
      <c r="D245" s="55" t="s">
        <v>1233</v>
      </c>
      <c r="E245" s="55" t="s">
        <v>134</v>
      </c>
      <c r="F245" s="55" t="s">
        <v>134</v>
      </c>
      <c r="G245" s="55">
        <v>648295</v>
      </c>
      <c r="H245" s="55">
        <v>87670</v>
      </c>
      <c r="I245" s="55">
        <v>3525831</v>
      </c>
      <c r="J245" s="55" t="s">
        <v>52</v>
      </c>
      <c r="K245" s="111" t="s">
        <v>43</v>
      </c>
      <c r="L245" s="55">
        <v>79943</v>
      </c>
      <c r="M245" s="55" t="e">
        <v>#N/A</v>
      </c>
      <c r="N245" s="55" t="s">
        <v>1234</v>
      </c>
      <c r="O245" s="55" t="s">
        <v>1235</v>
      </c>
      <c r="P245" s="112">
        <v>43955</v>
      </c>
      <c r="Q245" s="55" t="s">
        <v>1236</v>
      </c>
      <c r="R245" s="55">
        <v>40273863</v>
      </c>
      <c r="S245" s="55">
        <v>20402738635</v>
      </c>
      <c r="T245" s="115">
        <v>43745</v>
      </c>
      <c r="U245" s="115">
        <v>43945</v>
      </c>
      <c r="V245" s="116">
        <v>43956</v>
      </c>
      <c r="W245" s="55">
        <v>342</v>
      </c>
      <c r="X245" s="118" t="s">
        <v>36</v>
      </c>
      <c r="Y245" s="127">
        <v>89877</v>
      </c>
      <c r="Z245" s="122" t="s">
        <v>37</v>
      </c>
      <c r="AA245" s="128" t="s">
        <v>275</v>
      </c>
    </row>
    <row r="246" hidden="1" spans="1:27">
      <c r="A246" s="54" t="s">
        <v>832</v>
      </c>
      <c r="B246" s="55" t="s">
        <v>1204</v>
      </c>
      <c r="C246" s="55" t="s">
        <v>1237</v>
      </c>
      <c r="D246" s="55" t="s">
        <v>1238</v>
      </c>
      <c r="E246" s="55" t="s">
        <v>134</v>
      </c>
      <c r="F246" s="55" t="s">
        <v>134</v>
      </c>
      <c r="G246" s="55">
        <v>648296</v>
      </c>
      <c r="H246" s="55">
        <v>60260</v>
      </c>
      <c r="I246" s="55">
        <v>433236</v>
      </c>
      <c r="J246" s="55" t="s">
        <v>52</v>
      </c>
      <c r="K246" s="111" t="s">
        <v>43</v>
      </c>
      <c r="L246" s="55">
        <v>79943</v>
      </c>
      <c r="M246" s="55" t="e">
        <v>#N/A</v>
      </c>
      <c r="N246" s="55" t="s">
        <v>1239</v>
      </c>
      <c r="O246" s="55" t="s">
        <v>1240</v>
      </c>
      <c r="P246" s="112">
        <v>43955</v>
      </c>
      <c r="Q246" s="55">
        <v>3814392233</v>
      </c>
      <c r="R246" s="55">
        <v>24982560</v>
      </c>
      <c r="S246" s="55">
        <v>27249825609</v>
      </c>
      <c r="T246" s="115">
        <v>39671</v>
      </c>
      <c r="U246" s="115">
        <v>43945</v>
      </c>
      <c r="V246" s="116">
        <v>43956</v>
      </c>
      <c r="W246" s="55">
        <v>4358</v>
      </c>
      <c r="X246" s="118" t="s">
        <v>36</v>
      </c>
      <c r="Y246" s="127">
        <v>89878</v>
      </c>
      <c r="Z246" s="122" t="s">
        <v>37</v>
      </c>
      <c r="AA246" s="128" t="s">
        <v>275</v>
      </c>
    </row>
    <row r="247" hidden="1" spans="1:27">
      <c r="A247" s="52" t="s">
        <v>832</v>
      </c>
      <c r="B247" s="53" t="s">
        <v>1204</v>
      </c>
      <c r="C247" s="53" t="s">
        <v>1241</v>
      </c>
      <c r="D247" s="53" t="s">
        <v>1242</v>
      </c>
      <c r="E247" s="53" t="s">
        <v>134</v>
      </c>
      <c r="F247" s="53" t="s">
        <v>134</v>
      </c>
      <c r="G247" s="53">
        <v>648359</v>
      </c>
      <c r="H247" s="53">
        <v>75641</v>
      </c>
      <c r="I247" s="53">
        <v>730819</v>
      </c>
      <c r="J247" s="53" t="s">
        <v>52</v>
      </c>
      <c r="K247" s="53" t="s">
        <v>43</v>
      </c>
      <c r="L247" s="53">
        <v>79943</v>
      </c>
      <c r="M247" s="53" t="e">
        <v>#N/A</v>
      </c>
      <c r="N247" s="53" t="s">
        <v>1243</v>
      </c>
      <c r="O247" s="53" t="s">
        <v>1244</v>
      </c>
      <c r="P247" s="113">
        <v>43969</v>
      </c>
      <c r="Q247" s="53">
        <v>385155980395</v>
      </c>
      <c r="R247" s="53">
        <v>31305838</v>
      </c>
      <c r="S247" s="53">
        <v>27313058382</v>
      </c>
      <c r="T247" s="58">
        <v>40854</v>
      </c>
      <c r="U247" s="58">
        <v>43962</v>
      </c>
      <c r="V247" s="59">
        <v>43969</v>
      </c>
      <c r="W247" s="53">
        <v>3192</v>
      </c>
      <c r="X247" s="119" t="s">
        <v>36</v>
      </c>
      <c r="Y247" s="124">
        <v>648327</v>
      </c>
      <c r="Z247" s="125" t="s">
        <v>37</v>
      </c>
      <c r="AA247" s="126" t="s">
        <v>275</v>
      </c>
    </row>
    <row r="248" hidden="1" spans="1:27">
      <c r="A248" s="54" t="s">
        <v>832</v>
      </c>
      <c r="B248" s="55" t="s">
        <v>1204</v>
      </c>
      <c r="C248" s="55" t="s">
        <v>1245</v>
      </c>
      <c r="D248" s="55" t="s">
        <v>1246</v>
      </c>
      <c r="E248" s="55" t="s">
        <v>134</v>
      </c>
      <c r="F248" s="55" t="s">
        <v>134</v>
      </c>
      <c r="G248" s="55">
        <v>648297</v>
      </c>
      <c r="H248" s="55">
        <v>87883</v>
      </c>
      <c r="I248" s="55">
        <v>3534209</v>
      </c>
      <c r="J248" s="55" t="s">
        <v>60</v>
      </c>
      <c r="K248" s="111" t="s">
        <v>43</v>
      </c>
      <c r="L248" s="55">
        <v>79943</v>
      </c>
      <c r="M248" s="55" t="e">
        <v>#N/A</v>
      </c>
      <c r="N248" s="55" t="s">
        <v>1247</v>
      </c>
      <c r="O248" s="55" t="s">
        <v>1248</v>
      </c>
      <c r="P248" s="112">
        <v>43955</v>
      </c>
      <c r="Q248" s="55" t="s">
        <v>1249</v>
      </c>
      <c r="R248" s="55">
        <v>40782555</v>
      </c>
      <c r="S248" s="55">
        <v>27407825557</v>
      </c>
      <c r="T248" s="115">
        <v>43752</v>
      </c>
      <c r="U248" s="115">
        <v>43945</v>
      </c>
      <c r="V248" s="116">
        <v>43956</v>
      </c>
      <c r="W248" s="55">
        <v>335</v>
      </c>
      <c r="X248" s="118" t="s">
        <v>36</v>
      </c>
      <c r="Y248" s="127">
        <v>89879</v>
      </c>
      <c r="Z248" s="122" t="s">
        <v>37</v>
      </c>
      <c r="AA248" s="128" t="s">
        <v>275</v>
      </c>
    </row>
    <row r="249" hidden="1" spans="1:27">
      <c r="A249" s="70" t="s">
        <v>832</v>
      </c>
      <c r="B249" s="71" t="s">
        <v>1200</v>
      </c>
      <c r="C249" s="71" t="s">
        <v>297</v>
      </c>
      <c r="D249" s="71" t="s">
        <v>1250</v>
      </c>
      <c r="E249" s="71" t="s">
        <v>359</v>
      </c>
      <c r="F249" s="71" t="s">
        <v>359</v>
      </c>
      <c r="G249" s="53">
        <v>648039</v>
      </c>
      <c r="H249" s="53">
        <v>88033</v>
      </c>
      <c r="I249" s="53">
        <v>3553104</v>
      </c>
      <c r="J249" s="53" t="s">
        <v>32</v>
      </c>
      <c r="K249" s="53" t="s">
        <v>32</v>
      </c>
      <c r="L249" s="53">
        <v>81755</v>
      </c>
      <c r="M249" s="53" t="e">
        <v>#N/A</v>
      </c>
      <c r="N249" s="53" t="s">
        <v>1251</v>
      </c>
      <c r="O249" s="53" t="s">
        <v>1252</v>
      </c>
      <c r="P249" s="113">
        <v>43943</v>
      </c>
      <c r="Q249" s="53" t="s">
        <v>1253</v>
      </c>
      <c r="R249" s="53">
        <v>42173457</v>
      </c>
      <c r="S249" s="53" t="s">
        <v>1254</v>
      </c>
      <c r="T249" s="58">
        <v>43942</v>
      </c>
      <c r="U249" s="58">
        <v>43942</v>
      </c>
      <c r="V249" s="59">
        <v>43943</v>
      </c>
      <c r="W249" s="53">
        <v>148</v>
      </c>
      <c r="X249" s="119" t="s">
        <v>36</v>
      </c>
      <c r="Y249" s="124">
        <v>89799</v>
      </c>
      <c r="Z249" s="125" t="s">
        <v>37</v>
      </c>
      <c r="AA249" s="126" t="s">
        <v>1149</v>
      </c>
    </row>
    <row r="250" hidden="1" spans="1:27">
      <c r="A250" s="54" t="s">
        <v>832</v>
      </c>
      <c r="B250" s="55" t="s">
        <v>1204</v>
      </c>
      <c r="C250" s="55" t="s">
        <v>1255</v>
      </c>
      <c r="D250" s="55" t="s">
        <v>1256</v>
      </c>
      <c r="E250" s="55" t="s">
        <v>134</v>
      </c>
      <c r="F250" s="55" t="s">
        <v>134</v>
      </c>
      <c r="G250" s="55">
        <v>648299</v>
      </c>
      <c r="H250" s="55">
        <v>87895</v>
      </c>
      <c r="I250" s="55">
        <v>3534360</v>
      </c>
      <c r="J250" s="55" t="s">
        <v>60</v>
      </c>
      <c r="K250" s="111" t="s">
        <v>43</v>
      </c>
      <c r="L250" s="55">
        <v>79943</v>
      </c>
      <c r="M250" s="55" t="e">
        <v>#N/A</v>
      </c>
      <c r="N250" s="55" t="s">
        <v>1257</v>
      </c>
      <c r="O250" s="55" t="s">
        <v>1258</v>
      </c>
      <c r="P250" s="112">
        <v>43955</v>
      </c>
      <c r="Q250" s="55" t="s">
        <v>1259</v>
      </c>
      <c r="R250" s="55">
        <v>31809122</v>
      </c>
      <c r="S250" s="55">
        <v>27318091221</v>
      </c>
      <c r="T250" s="115">
        <v>43752</v>
      </c>
      <c r="U250" s="115">
        <v>43945</v>
      </c>
      <c r="V250" s="116">
        <v>43956</v>
      </c>
      <c r="W250" s="55">
        <v>335</v>
      </c>
      <c r="X250" s="118" t="s">
        <v>36</v>
      </c>
      <c r="Y250" s="127">
        <v>89883</v>
      </c>
      <c r="Z250" s="122" t="s">
        <v>37</v>
      </c>
      <c r="AA250" s="128" t="s">
        <v>275</v>
      </c>
    </row>
    <row r="251" hidden="1" spans="1:27">
      <c r="A251" s="54" t="s">
        <v>832</v>
      </c>
      <c r="B251" s="55" t="s">
        <v>1204</v>
      </c>
      <c r="C251" s="55" t="s">
        <v>1260</v>
      </c>
      <c r="D251" s="55" t="s">
        <v>1261</v>
      </c>
      <c r="E251" s="55" t="s">
        <v>134</v>
      </c>
      <c r="F251" s="55" t="s">
        <v>134</v>
      </c>
      <c r="G251" s="55">
        <v>648300</v>
      </c>
      <c r="H251" s="55">
        <v>87867</v>
      </c>
      <c r="I251" s="55">
        <v>3534207</v>
      </c>
      <c r="J251" s="55" t="s">
        <v>60</v>
      </c>
      <c r="K251" s="111" t="s">
        <v>43</v>
      </c>
      <c r="L251" s="55">
        <v>79943</v>
      </c>
      <c r="M251" s="55" t="e">
        <v>#N/A</v>
      </c>
      <c r="N251" s="55" t="s">
        <v>1262</v>
      </c>
      <c r="O251" s="55" t="s">
        <v>1263</v>
      </c>
      <c r="P251" s="112">
        <v>43955</v>
      </c>
      <c r="Q251" s="55" t="s">
        <v>1264</v>
      </c>
      <c r="R251" s="55">
        <v>42371528</v>
      </c>
      <c r="S251" s="55">
        <v>20423715287</v>
      </c>
      <c r="T251" s="115">
        <v>43752</v>
      </c>
      <c r="U251" s="115">
        <v>43945</v>
      </c>
      <c r="V251" s="116">
        <v>43956</v>
      </c>
      <c r="W251" s="55">
        <v>335</v>
      </c>
      <c r="X251" s="118" t="s">
        <v>36</v>
      </c>
      <c r="Y251" s="127">
        <v>89880</v>
      </c>
      <c r="Z251" s="122" t="s">
        <v>37</v>
      </c>
      <c r="AA251" s="128" t="s">
        <v>275</v>
      </c>
    </row>
    <row r="252" hidden="1" spans="1:27">
      <c r="A252" s="70" t="s">
        <v>832</v>
      </c>
      <c r="B252" s="71" t="s">
        <v>1200</v>
      </c>
      <c r="C252" s="71" t="s">
        <v>1265</v>
      </c>
      <c r="D252" s="71" t="s">
        <v>1266</v>
      </c>
      <c r="E252" s="71" t="s">
        <v>767</v>
      </c>
      <c r="F252" s="71" t="s">
        <v>767</v>
      </c>
      <c r="G252" s="53">
        <v>648040</v>
      </c>
      <c r="H252" s="53">
        <v>88034</v>
      </c>
      <c r="I252" s="53">
        <v>3553109</v>
      </c>
      <c r="J252" s="53" t="s">
        <v>32</v>
      </c>
      <c r="K252" s="53" t="s">
        <v>32</v>
      </c>
      <c r="L252" s="53">
        <v>81755</v>
      </c>
      <c r="M252" s="53" t="e">
        <v>#N/A</v>
      </c>
      <c r="N252" s="53" t="s">
        <v>1267</v>
      </c>
      <c r="O252" s="53" t="s">
        <v>1268</v>
      </c>
      <c r="P252" s="113">
        <v>43943</v>
      </c>
      <c r="Q252" s="53" t="s">
        <v>1269</v>
      </c>
      <c r="R252" s="53">
        <v>37503426</v>
      </c>
      <c r="S252" s="53" t="s">
        <v>1270</v>
      </c>
      <c r="T252" s="58">
        <v>43942</v>
      </c>
      <c r="U252" s="58">
        <v>43942</v>
      </c>
      <c r="V252" s="59">
        <v>43943</v>
      </c>
      <c r="W252" s="53">
        <v>148</v>
      </c>
      <c r="X252" s="119" t="s">
        <v>36</v>
      </c>
      <c r="Y252" s="124">
        <v>648240</v>
      </c>
      <c r="Z252" s="125" t="s">
        <v>37</v>
      </c>
      <c r="AA252" s="126" t="s">
        <v>772</v>
      </c>
    </row>
    <row r="253" hidden="1" spans="1:27">
      <c r="A253" s="54" t="s">
        <v>832</v>
      </c>
      <c r="B253" s="55" t="s">
        <v>1204</v>
      </c>
      <c r="C253" s="55" t="s">
        <v>1271</v>
      </c>
      <c r="D253" s="55" t="s">
        <v>1272</v>
      </c>
      <c r="E253" s="55" t="s">
        <v>134</v>
      </c>
      <c r="F253" s="55" t="s">
        <v>134</v>
      </c>
      <c r="G253" s="55">
        <v>648301</v>
      </c>
      <c r="H253" s="55">
        <v>87891</v>
      </c>
      <c r="I253" s="55">
        <v>3522061</v>
      </c>
      <c r="J253" s="55" t="s">
        <v>60</v>
      </c>
      <c r="K253" s="111" t="s">
        <v>43</v>
      </c>
      <c r="L253" s="55">
        <v>79943</v>
      </c>
      <c r="M253" s="55" t="e">
        <v>#N/A</v>
      </c>
      <c r="N253" s="55" t="s">
        <v>1273</v>
      </c>
      <c r="O253" s="55" t="s">
        <v>1274</v>
      </c>
      <c r="P253" s="112">
        <v>43955</v>
      </c>
      <c r="Q253" s="55" t="s">
        <v>1275</v>
      </c>
      <c r="R253" s="55">
        <v>38023091</v>
      </c>
      <c r="S253" s="55">
        <v>20380230918</v>
      </c>
      <c r="T253" s="115">
        <v>43752</v>
      </c>
      <c r="U253" s="115">
        <v>43945</v>
      </c>
      <c r="V253" s="116">
        <v>43956</v>
      </c>
      <c r="W253" s="55">
        <v>335</v>
      </c>
      <c r="X253" s="118" t="s">
        <v>36</v>
      </c>
      <c r="Y253" s="127">
        <v>89881</v>
      </c>
      <c r="Z253" s="122" t="s">
        <v>37</v>
      </c>
      <c r="AA253" s="128" t="s">
        <v>275</v>
      </c>
    </row>
    <row r="254" hidden="1" spans="1:27">
      <c r="A254" s="54" t="s">
        <v>832</v>
      </c>
      <c r="B254" s="55" t="s">
        <v>1276</v>
      </c>
      <c r="C254" s="55" t="s">
        <v>416</v>
      </c>
      <c r="D254" s="55" t="s">
        <v>1277</v>
      </c>
      <c r="E254" s="55" t="s">
        <v>359</v>
      </c>
      <c r="F254" s="55" t="s">
        <v>359</v>
      </c>
      <c r="G254" s="55">
        <v>648220</v>
      </c>
      <c r="H254" s="55">
        <v>80879</v>
      </c>
      <c r="I254" s="55">
        <v>1833170</v>
      </c>
      <c r="J254" s="55" t="s">
        <v>43</v>
      </c>
      <c r="K254" s="111" t="s">
        <v>43</v>
      </c>
      <c r="L254" s="55">
        <v>83505</v>
      </c>
      <c r="M254" s="55" t="e">
        <v>#N/A</v>
      </c>
      <c r="N254" s="55" t="s">
        <v>1278</v>
      </c>
      <c r="O254" s="55" t="s">
        <v>1279</v>
      </c>
      <c r="P254" s="112">
        <v>43935</v>
      </c>
      <c r="Q254" s="55" t="s">
        <v>1280</v>
      </c>
      <c r="R254" s="55">
        <v>32601762</v>
      </c>
      <c r="S254" s="55">
        <v>27326017626</v>
      </c>
      <c r="T254" s="115">
        <v>42264</v>
      </c>
      <c r="U254" s="115">
        <v>43930</v>
      </c>
      <c r="V254" s="116">
        <v>43935</v>
      </c>
      <c r="W254" s="55">
        <v>1802</v>
      </c>
      <c r="X254" s="118" t="s">
        <v>36</v>
      </c>
      <c r="Y254" s="127">
        <v>89908</v>
      </c>
      <c r="Z254" s="122" t="s">
        <v>37</v>
      </c>
      <c r="AA254" s="128" t="s">
        <v>1149</v>
      </c>
    </row>
    <row r="255" hidden="1" spans="1:27">
      <c r="A255" s="52" t="s">
        <v>832</v>
      </c>
      <c r="B255" s="53" t="s">
        <v>1276</v>
      </c>
      <c r="C255" s="53" t="s">
        <v>1281</v>
      </c>
      <c r="D255" s="53" t="s">
        <v>1282</v>
      </c>
      <c r="E255" s="53" t="s">
        <v>767</v>
      </c>
      <c r="F255" s="53" t="s">
        <v>767</v>
      </c>
      <c r="G255" s="53">
        <v>648041</v>
      </c>
      <c r="H255" s="53">
        <v>88035</v>
      </c>
      <c r="I255" s="53">
        <v>3553153</v>
      </c>
      <c r="J255" s="53" t="s">
        <v>42</v>
      </c>
      <c r="K255" s="53" t="s">
        <v>43</v>
      </c>
      <c r="L255" s="53">
        <v>83505</v>
      </c>
      <c r="M255" s="53" t="e">
        <v>#N/A</v>
      </c>
      <c r="N255" s="53" t="s">
        <v>1283</v>
      </c>
      <c r="O255" s="53" t="s">
        <v>1284</v>
      </c>
      <c r="P255" s="113">
        <v>43943</v>
      </c>
      <c r="Q255" s="53" t="s">
        <v>1285</v>
      </c>
      <c r="R255" s="53">
        <v>36420663</v>
      </c>
      <c r="S255" s="53" t="s">
        <v>1286</v>
      </c>
      <c r="T255" s="58">
        <v>43942</v>
      </c>
      <c r="U255" s="58">
        <v>43942</v>
      </c>
      <c r="V255" s="59">
        <v>43943</v>
      </c>
      <c r="W255" s="53">
        <v>148</v>
      </c>
      <c r="X255" s="119" t="s">
        <v>36</v>
      </c>
      <c r="Y255" s="124">
        <v>89938</v>
      </c>
      <c r="Z255" s="125" t="s">
        <v>37</v>
      </c>
      <c r="AA255" s="126" t="s">
        <v>772</v>
      </c>
    </row>
    <row r="256" hidden="1" spans="1:27">
      <c r="A256" s="54" t="s">
        <v>832</v>
      </c>
      <c r="B256" s="55" t="s">
        <v>1276</v>
      </c>
      <c r="C256" s="55" t="s">
        <v>576</v>
      </c>
      <c r="D256" s="55" t="s">
        <v>1287</v>
      </c>
      <c r="E256" s="55" t="s">
        <v>767</v>
      </c>
      <c r="F256" s="55" t="s">
        <v>767</v>
      </c>
      <c r="G256" s="55">
        <v>648221</v>
      </c>
      <c r="H256" s="55">
        <v>85556</v>
      </c>
      <c r="I256" s="55">
        <v>2758426</v>
      </c>
      <c r="J256" s="55" t="s">
        <v>43</v>
      </c>
      <c r="K256" s="111" t="s">
        <v>43</v>
      </c>
      <c r="L256" s="55">
        <v>83505</v>
      </c>
      <c r="M256" s="55" t="e">
        <v>#N/A</v>
      </c>
      <c r="N256" s="55" t="s">
        <v>1288</v>
      </c>
      <c r="O256" s="55" t="s">
        <v>1289</v>
      </c>
      <c r="P256" s="112">
        <v>43935</v>
      </c>
      <c r="Q256" s="55" t="s">
        <v>1290</v>
      </c>
      <c r="R256" s="55">
        <v>35548085</v>
      </c>
      <c r="S256" s="55">
        <v>27355480858</v>
      </c>
      <c r="T256" s="115">
        <v>43209</v>
      </c>
      <c r="U256" s="115">
        <v>43930</v>
      </c>
      <c r="V256" s="116">
        <v>43935</v>
      </c>
      <c r="W256" s="55">
        <v>870</v>
      </c>
      <c r="X256" s="118" t="s">
        <v>36</v>
      </c>
      <c r="Y256" s="127">
        <v>89909</v>
      </c>
      <c r="Z256" s="122" t="s">
        <v>37</v>
      </c>
      <c r="AA256" s="128" t="s">
        <v>772</v>
      </c>
    </row>
    <row r="257" hidden="1" spans="1:27">
      <c r="A257" s="52" t="s">
        <v>832</v>
      </c>
      <c r="B257" s="53" t="s">
        <v>1276</v>
      </c>
      <c r="C257" s="53" t="s">
        <v>240</v>
      </c>
      <c r="D257" s="53" t="s">
        <v>1291</v>
      </c>
      <c r="E257" s="53" t="s">
        <v>134</v>
      </c>
      <c r="F257" s="53" t="s">
        <v>134</v>
      </c>
      <c r="G257" s="53">
        <v>648367</v>
      </c>
      <c r="H257" s="53">
        <v>84602</v>
      </c>
      <c r="I257" s="53">
        <v>2744900</v>
      </c>
      <c r="J257" s="53" t="s">
        <v>52</v>
      </c>
      <c r="K257" s="53" t="s">
        <v>43</v>
      </c>
      <c r="L257" s="53">
        <v>83505</v>
      </c>
      <c r="M257" s="53" t="e">
        <v>#N/A</v>
      </c>
      <c r="N257" s="53" t="s">
        <v>1292</v>
      </c>
      <c r="O257" s="53" t="s">
        <v>1293</v>
      </c>
      <c r="P257" s="113">
        <v>43969</v>
      </c>
      <c r="Q257" s="53" t="s">
        <v>1294</v>
      </c>
      <c r="R257" s="53">
        <v>41374252</v>
      </c>
      <c r="S257" s="53">
        <v>27413742523</v>
      </c>
      <c r="T257" s="58">
        <v>43108</v>
      </c>
      <c r="U257" s="58">
        <v>43962</v>
      </c>
      <c r="V257" s="59">
        <v>43969</v>
      </c>
      <c r="W257" s="53">
        <v>971</v>
      </c>
      <c r="X257" s="119" t="s">
        <v>36</v>
      </c>
      <c r="Y257" s="124">
        <v>648334</v>
      </c>
      <c r="Z257" s="125" t="s">
        <v>37</v>
      </c>
      <c r="AA257" s="126" t="s">
        <v>275</v>
      </c>
    </row>
    <row r="258" hidden="1" spans="1:27">
      <c r="A258" s="52" t="s">
        <v>832</v>
      </c>
      <c r="B258" s="53" t="s">
        <v>1276</v>
      </c>
      <c r="C258" s="53" t="s">
        <v>1295</v>
      </c>
      <c r="D258" s="53" t="s">
        <v>1296</v>
      </c>
      <c r="E258" s="53" t="s">
        <v>134</v>
      </c>
      <c r="F258" s="53" t="s">
        <v>134</v>
      </c>
      <c r="G258" s="53">
        <v>648350</v>
      </c>
      <c r="H258" s="53">
        <v>83317</v>
      </c>
      <c r="I258" s="53">
        <v>2445631</v>
      </c>
      <c r="J258" s="53" t="s">
        <v>42</v>
      </c>
      <c r="K258" s="53" t="s">
        <v>43</v>
      </c>
      <c r="L258" s="53">
        <v>83505</v>
      </c>
      <c r="M258" s="53" t="e">
        <v>#N/A</v>
      </c>
      <c r="N258" s="53" t="s">
        <v>1297</v>
      </c>
      <c r="O258" s="53" t="s">
        <v>1298</v>
      </c>
      <c r="P258" s="113">
        <v>43969</v>
      </c>
      <c r="Q258" s="53" t="s">
        <v>1299</v>
      </c>
      <c r="R258" s="53">
        <v>34911669</v>
      </c>
      <c r="S258" s="53">
        <v>27349116699</v>
      </c>
      <c r="T258" s="58">
        <v>42821</v>
      </c>
      <c r="U258" s="58">
        <v>43962</v>
      </c>
      <c r="V258" s="59">
        <v>43969</v>
      </c>
      <c r="W258" s="53">
        <v>1252</v>
      </c>
      <c r="X258" s="119" t="s">
        <v>36</v>
      </c>
      <c r="Y258" s="124">
        <v>648324</v>
      </c>
      <c r="Z258" s="125" t="s">
        <v>37</v>
      </c>
      <c r="AA258" s="126" t="s">
        <v>275</v>
      </c>
    </row>
    <row r="259" hidden="1" spans="1:27">
      <c r="A259" s="52" t="s">
        <v>832</v>
      </c>
      <c r="B259" s="53" t="s">
        <v>1276</v>
      </c>
      <c r="C259" s="53" t="s">
        <v>1300</v>
      </c>
      <c r="D259" s="53" t="s">
        <v>1301</v>
      </c>
      <c r="E259" s="53" t="s">
        <v>134</v>
      </c>
      <c r="F259" s="53" t="s">
        <v>134</v>
      </c>
      <c r="G259" s="53">
        <v>648376</v>
      </c>
      <c r="H259" s="53">
        <v>86048</v>
      </c>
      <c r="I259" s="53">
        <v>3124769</v>
      </c>
      <c r="J259" s="53" t="s">
        <v>42</v>
      </c>
      <c r="K259" s="53" t="s">
        <v>43</v>
      </c>
      <c r="L259" s="53">
        <v>83505</v>
      </c>
      <c r="M259" s="53" t="e">
        <v>#N/A</v>
      </c>
      <c r="N259" s="53" t="s">
        <v>1302</v>
      </c>
      <c r="O259" s="53" t="s">
        <v>1303</v>
      </c>
      <c r="P259" s="113">
        <v>43969</v>
      </c>
      <c r="Q259" s="53">
        <v>3816402083</v>
      </c>
      <c r="R259" s="53">
        <v>31588787</v>
      </c>
      <c r="S259" s="53">
        <v>23315887879</v>
      </c>
      <c r="T259" s="58">
        <v>43437</v>
      </c>
      <c r="U259" s="58">
        <v>43962</v>
      </c>
      <c r="V259" s="59">
        <v>43969</v>
      </c>
      <c r="W259" s="53">
        <v>646</v>
      </c>
      <c r="X259" s="119" t="s">
        <v>36</v>
      </c>
      <c r="Y259" s="124">
        <v>648340</v>
      </c>
      <c r="Z259" s="125" t="s">
        <v>37</v>
      </c>
      <c r="AA259" s="126" t="s">
        <v>275</v>
      </c>
    </row>
    <row r="260" hidden="1" spans="1:27">
      <c r="A260" s="52" t="s">
        <v>832</v>
      </c>
      <c r="B260" s="53" t="s">
        <v>1276</v>
      </c>
      <c r="C260" s="53" t="s">
        <v>508</v>
      </c>
      <c r="D260" s="53" t="s">
        <v>1304</v>
      </c>
      <c r="E260" s="53" t="s">
        <v>359</v>
      </c>
      <c r="F260" s="53" t="s">
        <v>359</v>
      </c>
      <c r="G260" s="53">
        <v>648358</v>
      </c>
      <c r="H260" s="53">
        <v>80032</v>
      </c>
      <c r="I260" s="53">
        <v>1534867</v>
      </c>
      <c r="J260" s="53" t="s">
        <v>43</v>
      </c>
      <c r="K260" s="53" t="s">
        <v>43</v>
      </c>
      <c r="L260" s="53">
        <v>83505</v>
      </c>
      <c r="M260" s="53" t="e">
        <v>#N/A</v>
      </c>
      <c r="N260" s="53" t="s">
        <v>1305</v>
      </c>
      <c r="O260" s="53" t="s">
        <v>1306</v>
      </c>
      <c r="P260" s="113">
        <v>43969</v>
      </c>
      <c r="Q260" s="53" t="s">
        <v>1307</v>
      </c>
      <c r="R260" s="53">
        <v>31443913</v>
      </c>
      <c r="S260" s="53">
        <v>27314439134</v>
      </c>
      <c r="T260" s="58">
        <v>42009</v>
      </c>
      <c r="U260" s="58">
        <v>43962</v>
      </c>
      <c r="V260" s="59">
        <v>43969</v>
      </c>
      <c r="W260" s="53">
        <v>2054</v>
      </c>
      <c r="X260" s="119" t="s">
        <v>36</v>
      </c>
      <c r="Y260" s="124">
        <v>648330</v>
      </c>
      <c r="Z260" s="125" t="s">
        <v>37</v>
      </c>
      <c r="AA260" s="126" t="s">
        <v>275</v>
      </c>
    </row>
    <row r="261" hidden="1" spans="1:27">
      <c r="A261" s="54" t="s">
        <v>832</v>
      </c>
      <c r="B261" s="55" t="s">
        <v>1276</v>
      </c>
      <c r="C261" s="55" t="s">
        <v>1308</v>
      </c>
      <c r="D261" s="55" t="s">
        <v>1309</v>
      </c>
      <c r="E261" s="55" t="s">
        <v>134</v>
      </c>
      <c r="F261" s="55" t="s">
        <v>134</v>
      </c>
      <c r="G261" s="55">
        <v>648230</v>
      </c>
      <c r="H261" s="55">
        <v>81664</v>
      </c>
      <c r="I261" s="55">
        <v>2024463</v>
      </c>
      <c r="J261" s="55" t="s">
        <v>52</v>
      </c>
      <c r="K261" s="111" t="s">
        <v>43</v>
      </c>
      <c r="L261" s="55">
        <v>83505</v>
      </c>
      <c r="M261" s="55" t="e">
        <v>#N/A</v>
      </c>
      <c r="N261" s="55" t="s">
        <v>1310</v>
      </c>
      <c r="O261" s="55" t="s">
        <v>1311</v>
      </c>
      <c r="P261" s="112">
        <v>43935</v>
      </c>
      <c r="Q261" s="55" t="s">
        <v>1312</v>
      </c>
      <c r="R261" s="55">
        <v>37502520</v>
      </c>
      <c r="S261" s="55">
        <v>27375025200</v>
      </c>
      <c r="T261" s="115">
        <v>42461</v>
      </c>
      <c r="U261" s="115">
        <v>43930</v>
      </c>
      <c r="V261" s="116">
        <v>43935</v>
      </c>
      <c r="W261" s="55">
        <v>1608</v>
      </c>
      <c r="X261" s="118" t="s">
        <v>36</v>
      </c>
      <c r="Y261" s="127">
        <v>89910</v>
      </c>
      <c r="Z261" s="122" t="s">
        <v>37</v>
      </c>
      <c r="AA261" s="128" t="s">
        <v>275</v>
      </c>
    </row>
    <row r="262" hidden="1" spans="1:27">
      <c r="A262" s="52" t="s">
        <v>832</v>
      </c>
      <c r="B262" s="53" t="s">
        <v>1276</v>
      </c>
      <c r="C262" s="53" t="s">
        <v>1313</v>
      </c>
      <c r="D262" s="53" t="s">
        <v>1314</v>
      </c>
      <c r="E262" s="53" t="s">
        <v>134</v>
      </c>
      <c r="F262" s="53" t="s">
        <v>134</v>
      </c>
      <c r="G262" s="53">
        <v>648374</v>
      </c>
      <c r="H262" s="53">
        <v>85181</v>
      </c>
      <c r="I262" s="53">
        <v>2360478</v>
      </c>
      <c r="J262" s="53" t="s">
        <v>42</v>
      </c>
      <c r="K262" s="53" t="s">
        <v>43</v>
      </c>
      <c r="L262" s="53">
        <v>83505</v>
      </c>
      <c r="M262" s="53" t="e">
        <v>#N/A</v>
      </c>
      <c r="N262" s="53" t="s">
        <v>1315</v>
      </c>
      <c r="O262" s="53" t="s">
        <v>1316</v>
      </c>
      <c r="P262" s="113">
        <v>43969</v>
      </c>
      <c r="Q262" s="53" t="s">
        <v>1317</v>
      </c>
      <c r="R262" s="53">
        <v>39359211</v>
      </c>
      <c r="S262" s="53">
        <v>27393592112</v>
      </c>
      <c r="T262" s="58">
        <v>43150</v>
      </c>
      <c r="U262" s="58">
        <v>43962</v>
      </c>
      <c r="V262" s="59">
        <v>43969</v>
      </c>
      <c r="W262" s="53">
        <v>930</v>
      </c>
      <c r="X262" s="119" t="s">
        <v>36</v>
      </c>
      <c r="Y262" s="124">
        <v>648339</v>
      </c>
      <c r="Z262" s="125" t="s">
        <v>37</v>
      </c>
      <c r="AA262" s="126" t="s">
        <v>275</v>
      </c>
    </row>
    <row r="263" hidden="1" spans="1:27">
      <c r="A263" s="52" t="s">
        <v>832</v>
      </c>
      <c r="B263" s="53" t="s">
        <v>1276</v>
      </c>
      <c r="C263" s="53" t="s">
        <v>890</v>
      </c>
      <c r="D263" s="53" t="s">
        <v>1318</v>
      </c>
      <c r="E263" s="53" t="s">
        <v>59</v>
      </c>
      <c r="F263" s="53" t="s">
        <v>59</v>
      </c>
      <c r="G263" s="53">
        <v>89018</v>
      </c>
      <c r="H263" s="53">
        <v>85610</v>
      </c>
      <c r="I263" s="53">
        <v>2873906</v>
      </c>
      <c r="J263" s="53" t="s">
        <v>52</v>
      </c>
      <c r="K263" s="53" t="s">
        <v>43</v>
      </c>
      <c r="L263" s="53">
        <v>83505</v>
      </c>
      <c r="M263" s="53" t="e">
        <v>#N/A</v>
      </c>
      <c r="N263" s="53" t="s">
        <v>1319</v>
      </c>
      <c r="O263" s="53" t="s">
        <v>1320</v>
      </c>
      <c r="P263" s="113">
        <v>43915</v>
      </c>
      <c r="Q263" s="53" t="s">
        <v>1321</v>
      </c>
      <c r="R263" s="53">
        <v>32201685</v>
      </c>
      <c r="S263" s="53">
        <v>23322016859</v>
      </c>
      <c r="T263" s="58">
        <v>43227</v>
      </c>
      <c r="U263" s="58">
        <v>43259</v>
      </c>
      <c r="V263" s="59">
        <v>43262</v>
      </c>
      <c r="W263" s="53">
        <v>852</v>
      </c>
      <c r="X263" s="119" t="s">
        <v>36</v>
      </c>
      <c r="Y263" s="124">
        <v>89994</v>
      </c>
      <c r="Z263" s="125" t="s">
        <v>37</v>
      </c>
      <c r="AA263" s="126" t="s">
        <v>275</v>
      </c>
    </row>
    <row r="264" hidden="1" spans="1:27">
      <c r="A264" s="52" t="s">
        <v>832</v>
      </c>
      <c r="B264" s="53" t="s">
        <v>1276</v>
      </c>
      <c r="C264" s="53" t="s">
        <v>1322</v>
      </c>
      <c r="D264" s="53" t="s">
        <v>1323</v>
      </c>
      <c r="E264" s="53" t="s">
        <v>134</v>
      </c>
      <c r="F264" s="53" t="s">
        <v>134</v>
      </c>
      <c r="G264" s="53">
        <v>648356</v>
      </c>
      <c r="H264" s="53">
        <v>68100</v>
      </c>
      <c r="I264" s="53">
        <v>500872</v>
      </c>
      <c r="J264" s="53" t="s">
        <v>43</v>
      </c>
      <c r="K264" s="53" t="s">
        <v>43</v>
      </c>
      <c r="L264" s="53">
        <v>83505</v>
      </c>
      <c r="M264" s="53" t="e">
        <v>#N/A</v>
      </c>
      <c r="N264" s="53" t="s">
        <v>1324</v>
      </c>
      <c r="O264" s="53" t="s">
        <v>1325</v>
      </c>
      <c r="P264" s="113">
        <v>43969</v>
      </c>
      <c r="Q264" s="53">
        <v>3814314836</v>
      </c>
      <c r="R264" s="53">
        <v>31100697</v>
      </c>
      <c r="S264" s="53">
        <v>20311006976</v>
      </c>
      <c r="T264" s="58">
        <v>40147</v>
      </c>
      <c r="U264" s="58">
        <v>43962</v>
      </c>
      <c r="V264" s="59">
        <v>43969</v>
      </c>
      <c r="W264" s="53">
        <v>3889</v>
      </c>
      <c r="X264" s="119" t="s">
        <v>36</v>
      </c>
      <c r="Y264" s="124">
        <v>648325</v>
      </c>
      <c r="Z264" s="125" t="s">
        <v>37</v>
      </c>
      <c r="AA264" s="126" t="s">
        <v>275</v>
      </c>
    </row>
    <row r="265" hidden="1" spans="1:27">
      <c r="A265" s="52" t="s">
        <v>832</v>
      </c>
      <c r="B265" s="53" t="s">
        <v>1276</v>
      </c>
      <c r="C265" s="53" t="s">
        <v>1326</v>
      </c>
      <c r="D265" s="53" t="s">
        <v>1327</v>
      </c>
      <c r="E265" s="53" t="s">
        <v>59</v>
      </c>
      <c r="F265" s="53" t="s">
        <v>59</v>
      </c>
      <c r="G265" s="53">
        <v>648362</v>
      </c>
      <c r="H265" s="53">
        <v>70186</v>
      </c>
      <c r="I265" s="53">
        <v>487637</v>
      </c>
      <c r="J265" s="53" t="s">
        <v>43</v>
      </c>
      <c r="K265" s="53" t="s">
        <v>43</v>
      </c>
      <c r="L265" s="53">
        <v>83505</v>
      </c>
      <c r="M265" s="53" t="e">
        <v>#N/A</v>
      </c>
      <c r="N265" s="53" t="s">
        <v>1328</v>
      </c>
      <c r="O265" s="53" t="s">
        <v>1329</v>
      </c>
      <c r="P265" s="113">
        <v>43969</v>
      </c>
      <c r="Q265" s="53">
        <v>381154157004</v>
      </c>
      <c r="R265" s="53">
        <v>28290663</v>
      </c>
      <c r="S265" s="53">
        <v>27282906630</v>
      </c>
      <c r="T265" s="58">
        <v>40280</v>
      </c>
      <c r="U265" s="58">
        <v>43962</v>
      </c>
      <c r="V265" s="59">
        <v>43969</v>
      </c>
      <c r="W265" s="53">
        <v>3757</v>
      </c>
      <c r="X265" s="119" t="s">
        <v>36</v>
      </c>
      <c r="Y265" s="124">
        <v>648329</v>
      </c>
      <c r="Z265" s="125" t="s">
        <v>37</v>
      </c>
      <c r="AA265" s="126" t="s">
        <v>275</v>
      </c>
    </row>
    <row r="266" hidden="1" spans="1:27">
      <c r="A266" s="52" t="s">
        <v>832</v>
      </c>
      <c r="B266" s="53" t="s">
        <v>1276</v>
      </c>
      <c r="C266" s="53" t="s">
        <v>1330</v>
      </c>
      <c r="D266" s="53" t="s">
        <v>1331</v>
      </c>
      <c r="E266" s="53" t="s">
        <v>134</v>
      </c>
      <c r="F266" s="53" t="s">
        <v>134</v>
      </c>
      <c r="G266" s="53">
        <v>648360</v>
      </c>
      <c r="H266" s="53">
        <v>81211</v>
      </c>
      <c r="I266" s="53">
        <v>1915088</v>
      </c>
      <c r="J266" s="53" t="s">
        <v>43</v>
      </c>
      <c r="K266" s="53" t="s">
        <v>43</v>
      </c>
      <c r="L266" s="53">
        <v>83505</v>
      </c>
      <c r="M266" s="53" t="e">
        <v>#N/A</v>
      </c>
      <c r="N266" s="53" t="s">
        <v>1332</v>
      </c>
      <c r="O266" s="53" t="s">
        <v>1333</v>
      </c>
      <c r="P266" s="113">
        <v>43969</v>
      </c>
      <c r="Q266" s="53">
        <v>155130505</v>
      </c>
      <c r="R266" s="53">
        <v>33161942</v>
      </c>
      <c r="S266" s="53">
        <v>27331619421</v>
      </c>
      <c r="T266" s="58">
        <v>42347</v>
      </c>
      <c r="U266" s="58">
        <v>43962</v>
      </c>
      <c r="V266" s="59">
        <v>43969</v>
      </c>
      <c r="W266" s="53">
        <v>1720</v>
      </c>
      <c r="X266" s="119" t="s">
        <v>36</v>
      </c>
      <c r="Y266" s="124">
        <v>648328</v>
      </c>
      <c r="Z266" s="125" t="s">
        <v>37</v>
      </c>
      <c r="AA266" s="126" t="s">
        <v>275</v>
      </c>
    </row>
    <row r="267" hidden="1" spans="1:27">
      <c r="A267" s="70" t="s">
        <v>832</v>
      </c>
      <c r="B267" s="71" t="s">
        <v>1200</v>
      </c>
      <c r="C267" s="71" t="s">
        <v>482</v>
      </c>
      <c r="D267" s="71" t="s">
        <v>1334</v>
      </c>
      <c r="E267" s="71" t="s">
        <v>134</v>
      </c>
      <c r="F267" s="71" t="s">
        <v>134</v>
      </c>
      <c r="G267" s="53">
        <v>89289</v>
      </c>
      <c r="H267" s="53">
        <v>88151</v>
      </c>
      <c r="I267" s="53">
        <v>1690062</v>
      </c>
      <c r="J267" s="53" t="s">
        <v>32</v>
      </c>
      <c r="K267" s="53" t="s">
        <v>32</v>
      </c>
      <c r="L267" s="53">
        <v>81755</v>
      </c>
      <c r="M267" s="53" t="e">
        <v>#N/A</v>
      </c>
      <c r="N267" s="53" t="s">
        <v>1335</v>
      </c>
      <c r="O267" s="53" t="s">
        <v>1336</v>
      </c>
      <c r="P267" s="113">
        <v>43917</v>
      </c>
      <c r="Q267" s="53"/>
      <c r="R267" s="53">
        <v>34357057</v>
      </c>
      <c r="S267" s="53">
        <v>27343570576</v>
      </c>
      <c r="T267" s="58">
        <v>43808</v>
      </c>
      <c r="U267" s="58">
        <v>43808</v>
      </c>
      <c r="V267" s="59">
        <v>43831</v>
      </c>
      <c r="W267" s="53">
        <v>280</v>
      </c>
      <c r="X267" s="119" t="s">
        <v>36</v>
      </c>
      <c r="Y267" s="124">
        <v>89950</v>
      </c>
      <c r="Z267" s="125" t="s">
        <v>37</v>
      </c>
      <c r="AA267" s="126" t="s">
        <v>275</v>
      </c>
    </row>
    <row r="268" hidden="1" spans="1:27">
      <c r="A268" s="52" t="s">
        <v>832</v>
      </c>
      <c r="B268" s="53" t="s">
        <v>1276</v>
      </c>
      <c r="C268" s="53" t="s">
        <v>482</v>
      </c>
      <c r="D268" s="53" t="s">
        <v>1337</v>
      </c>
      <c r="E268" s="53" t="s">
        <v>134</v>
      </c>
      <c r="F268" s="53" t="s">
        <v>134</v>
      </c>
      <c r="G268" s="53">
        <v>648373</v>
      </c>
      <c r="H268" s="53">
        <v>84600</v>
      </c>
      <c r="I268" s="53">
        <v>1601683</v>
      </c>
      <c r="J268" s="53" t="s">
        <v>42</v>
      </c>
      <c r="K268" s="53" t="s">
        <v>43</v>
      </c>
      <c r="L268" s="53">
        <v>83505</v>
      </c>
      <c r="M268" s="53" t="e">
        <v>#N/A</v>
      </c>
      <c r="N268" s="53" t="s">
        <v>1338</v>
      </c>
      <c r="O268" s="53" t="s">
        <v>1339</v>
      </c>
      <c r="P268" s="113">
        <v>43969</v>
      </c>
      <c r="Q268" s="53" t="s">
        <v>1340</v>
      </c>
      <c r="R268" s="53">
        <v>37456968</v>
      </c>
      <c r="S268" s="53">
        <v>27374569681</v>
      </c>
      <c r="T268" s="58">
        <v>43108</v>
      </c>
      <c r="U268" s="58">
        <v>43962</v>
      </c>
      <c r="V268" s="59">
        <v>43969</v>
      </c>
      <c r="W268" s="53">
        <v>971</v>
      </c>
      <c r="X268" s="119" t="s">
        <v>36</v>
      </c>
      <c r="Y268" s="124">
        <v>648338</v>
      </c>
      <c r="Z268" s="125" t="s">
        <v>37</v>
      </c>
      <c r="AA268" s="126" t="s">
        <v>275</v>
      </c>
    </row>
    <row r="269" hidden="1" spans="1:27">
      <c r="A269" s="52" t="s">
        <v>832</v>
      </c>
      <c r="B269" s="53" t="s">
        <v>1276</v>
      </c>
      <c r="C269" s="53" t="s">
        <v>1341</v>
      </c>
      <c r="D269" s="53" t="s">
        <v>1342</v>
      </c>
      <c r="E269" s="53" t="s">
        <v>134</v>
      </c>
      <c r="F269" s="53" t="s">
        <v>134</v>
      </c>
      <c r="G269" s="53">
        <v>648357</v>
      </c>
      <c r="H269" s="53">
        <v>59401</v>
      </c>
      <c r="I269" s="53">
        <v>432923</v>
      </c>
      <c r="J269" s="53" t="s">
        <v>43</v>
      </c>
      <c r="K269" s="53" t="s">
        <v>43</v>
      </c>
      <c r="L269" s="53">
        <v>83505</v>
      </c>
      <c r="M269" s="53" t="e">
        <v>#N/A</v>
      </c>
      <c r="N269" s="53" t="s">
        <v>1343</v>
      </c>
      <c r="O269" s="53" t="s">
        <v>1344</v>
      </c>
      <c r="P269" s="113">
        <v>43969</v>
      </c>
      <c r="Q269" s="53">
        <v>3814283174</v>
      </c>
      <c r="R269" s="53">
        <v>31030140</v>
      </c>
      <c r="S269" s="53">
        <v>20310301400</v>
      </c>
      <c r="T269" s="58">
        <v>39615</v>
      </c>
      <c r="U269" s="58">
        <v>43962</v>
      </c>
      <c r="V269" s="59">
        <v>43969</v>
      </c>
      <c r="W269" s="53">
        <v>4413</v>
      </c>
      <c r="X269" s="119" t="s">
        <v>36</v>
      </c>
      <c r="Y269" s="124">
        <v>648326</v>
      </c>
      <c r="Z269" s="125" t="s">
        <v>37</v>
      </c>
      <c r="AA269" s="126" t="s">
        <v>275</v>
      </c>
    </row>
    <row r="270" hidden="1" spans="1:27">
      <c r="A270" s="52" t="s">
        <v>832</v>
      </c>
      <c r="B270" s="53" t="s">
        <v>1276</v>
      </c>
      <c r="C270" s="53" t="s">
        <v>1345</v>
      </c>
      <c r="D270" s="53" t="s">
        <v>1346</v>
      </c>
      <c r="E270" s="53" t="s">
        <v>134</v>
      </c>
      <c r="F270" s="53" t="s">
        <v>134</v>
      </c>
      <c r="G270" s="53">
        <v>648363</v>
      </c>
      <c r="H270" s="53">
        <v>83489</v>
      </c>
      <c r="I270" s="53">
        <v>2490376</v>
      </c>
      <c r="J270" s="53" t="s">
        <v>43</v>
      </c>
      <c r="K270" s="53" t="s">
        <v>43</v>
      </c>
      <c r="L270" s="53">
        <v>83505</v>
      </c>
      <c r="M270" s="53" t="e">
        <v>#N/A</v>
      </c>
      <c r="N270" s="53" t="s">
        <v>1347</v>
      </c>
      <c r="O270" s="53" t="s">
        <v>1348</v>
      </c>
      <c r="P270" s="113">
        <v>43969</v>
      </c>
      <c r="Q270" s="53" t="s">
        <v>1349</v>
      </c>
      <c r="R270" s="53">
        <v>35578660</v>
      </c>
      <c r="S270" s="53">
        <v>27355786604</v>
      </c>
      <c r="T270" s="58">
        <v>42863</v>
      </c>
      <c r="U270" s="58">
        <v>43962</v>
      </c>
      <c r="V270" s="59">
        <v>43969</v>
      </c>
      <c r="W270" s="53">
        <v>1211</v>
      </c>
      <c r="X270" s="119" t="s">
        <v>36</v>
      </c>
      <c r="Y270" s="124">
        <v>648331</v>
      </c>
      <c r="Z270" s="125" t="s">
        <v>37</v>
      </c>
      <c r="AA270" s="126" t="s">
        <v>275</v>
      </c>
    </row>
    <row r="271" hidden="1" spans="1:27">
      <c r="A271" s="52" t="s">
        <v>832</v>
      </c>
      <c r="B271" s="53" t="s">
        <v>1276</v>
      </c>
      <c r="C271" s="53" t="s">
        <v>1350</v>
      </c>
      <c r="D271" s="53" t="s">
        <v>1351</v>
      </c>
      <c r="E271" s="53" t="s">
        <v>134</v>
      </c>
      <c r="F271" s="53" t="s">
        <v>134</v>
      </c>
      <c r="G271" s="53">
        <v>648371</v>
      </c>
      <c r="H271" s="53">
        <v>80860</v>
      </c>
      <c r="I271" s="53">
        <v>1817065</v>
      </c>
      <c r="J271" s="53" t="s">
        <v>401</v>
      </c>
      <c r="K271" s="53" t="s">
        <v>43</v>
      </c>
      <c r="L271" s="53">
        <v>83505</v>
      </c>
      <c r="M271" s="53" t="e">
        <v>#N/A</v>
      </c>
      <c r="N271" s="53" t="s">
        <v>1352</v>
      </c>
      <c r="O271" s="53" t="s">
        <v>1353</v>
      </c>
      <c r="P271" s="113">
        <v>43969</v>
      </c>
      <c r="Q271" s="53" t="s">
        <v>1354</v>
      </c>
      <c r="R271" s="53">
        <v>37457670</v>
      </c>
      <c r="S271" s="53">
        <v>23374576704</v>
      </c>
      <c r="T271" s="58">
        <v>42254</v>
      </c>
      <c r="U271" s="58">
        <v>43962</v>
      </c>
      <c r="V271" s="59">
        <v>43969</v>
      </c>
      <c r="W271" s="53">
        <v>1812</v>
      </c>
      <c r="X271" s="119" t="s">
        <v>36</v>
      </c>
      <c r="Y271" s="124">
        <v>648336</v>
      </c>
      <c r="Z271" s="125" t="s">
        <v>37</v>
      </c>
      <c r="AA271" s="126" t="s">
        <v>275</v>
      </c>
    </row>
    <row r="272" hidden="1" spans="1:27">
      <c r="A272" s="52" t="s">
        <v>832</v>
      </c>
      <c r="B272" s="53" t="s">
        <v>1276</v>
      </c>
      <c r="C272" s="53" t="s">
        <v>826</v>
      </c>
      <c r="D272" s="53" t="s">
        <v>1355</v>
      </c>
      <c r="E272" s="53" t="s">
        <v>134</v>
      </c>
      <c r="F272" s="53" t="s">
        <v>134</v>
      </c>
      <c r="G272" s="53">
        <v>648372</v>
      </c>
      <c r="H272" s="53">
        <v>81847</v>
      </c>
      <c r="I272" s="53">
        <v>2076324</v>
      </c>
      <c r="J272" s="53" t="s">
        <v>43</v>
      </c>
      <c r="K272" s="53" t="s">
        <v>43</v>
      </c>
      <c r="L272" s="53">
        <v>83505</v>
      </c>
      <c r="M272" s="53" t="e">
        <v>#N/A</v>
      </c>
      <c r="N272" s="53" t="s">
        <v>1356</v>
      </c>
      <c r="O272" s="53" t="s">
        <v>1357</v>
      </c>
      <c r="P272" s="113">
        <v>43969</v>
      </c>
      <c r="Q272" s="53" t="s">
        <v>1358</v>
      </c>
      <c r="R272" s="53">
        <v>38491058</v>
      </c>
      <c r="S272" s="53">
        <v>27384910586</v>
      </c>
      <c r="T272" s="58">
        <v>42499</v>
      </c>
      <c r="U272" s="58">
        <v>43962</v>
      </c>
      <c r="V272" s="59">
        <v>43969</v>
      </c>
      <c r="W272" s="53">
        <v>1570</v>
      </c>
      <c r="X272" s="119" t="s">
        <v>36</v>
      </c>
      <c r="Y272" s="124">
        <v>648337</v>
      </c>
      <c r="Z272" s="125" t="s">
        <v>37</v>
      </c>
      <c r="AA272" s="126" t="s">
        <v>275</v>
      </c>
    </row>
    <row r="273" hidden="1" spans="1:27">
      <c r="A273" s="70" t="s">
        <v>27</v>
      </c>
      <c r="B273" s="71" t="s">
        <v>291</v>
      </c>
      <c r="C273" s="71" t="s">
        <v>147</v>
      </c>
      <c r="D273" s="71" t="s">
        <v>1359</v>
      </c>
      <c r="E273" s="71" t="s">
        <v>51</v>
      </c>
      <c r="F273" s="71" t="s">
        <v>51</v>
      </c>
      <c r="G273" s="53">
        <v>89308</v>
      </c>
      <c r="H273" s="53">
        <v>88169</v>
      </c>
      <c r="I273" s="53">
        <v>3624172</v>
      </c>
      <c r="J273" s="53" t="s">
        <v>32</v>
      </c>
      <c r="K273" s="53" t="s">
        <v>32</v>
      </c>
      <c r="L273" s="53">
        <v>79688</v>
      </c>
      <c r="M273" s="53">
        <v>74054</v>
      </c>
      <c r="N273" s="53" t="s">
        <v>1360</v>
      </c>
      <c r="O273" s="53" t="s">
        <v>1361</v>
      </c>
      <c r="P273" s="113">
        <v>43917</v>
      </c>
      <c r="Q273" s="53"/>
      <c r="R273" s="53">
        <v>38246432</v>
      </c>
      <c r="S273" s="53">
        <v>20382464320</v>
      </c>
      <c r="T273" s="58">
        <v>43808</v>
      </c>
      <c r="U273" s="58">
        <v>43808</v>
      </c>
      <c r="V273" s="59">
        <v>43831</v>
      </c>
      <c r="W273" s="53">
        <v>280</v>
      </c>
      <c r="X273" s="119" t="s">
        <v>36</v>
      </c>
      <c r="Y273" s="124">
        <v>89883</v>
      </c>
      <c r="Z273" s="125" t="s">
        <v>37</v>
      </c>
      <c r="AA273" s="126" t="s">
        <v>56</v>
      </c>
    </row>
    <row r="274" hidden="1" spans="1:27">
      <c r="A274" s="52" t="s">
        <v>832</v>
      </c>
      <c r="B274" s="53" t="s">
        <v>1362</v>
      </c>
      <c r="C274" s="53" t="s">
        <v>1363</v>
      </c>
      <c r="D274" s="53" t="s">
        <v>1364</v>
      </c>
      <c r="E274" s="53" t="s">
        <v>31</v>
      </c>
      <c r="F274" s="53" t="s">
        <v>31</v>
      </c>
      <c r="G274" s="53">
        <v>648045</v>
      </c>
      <c r="H274" s="53">
        <v>88043</v>
      </c>
      <c r="I274" s="53">
        <v>3553124</v>
      </c>
      <c r="J274" s="53" t="s">
        <v>42</v>
      </c>
      <c r="K274" s="53" t="s">
        <v>43</v>
      </c>
      <c r="L274" s="53">
        <v>79479</v>
      </c>
      <c r="M274" s="53" t="e">
        <v>#N/A</v>
      </c>
      <c r="N274" s="53" t="s">
        <v>1365</v>
      </c>
      <c r="O274" s="53" t="s">
        <v>1366</v>
      </c>
      <c r="P274" s="113">
        <v>43943</v>
      </c>
      <c r="Q274" s="53" t="s">
        <v>1367</v>
      </c>
      <c r="R274" s="53">
        <v>38245134</v>
      </c>
      <c r="S274" s="53" t="s">
        <v>1368</v>
      </c>
      <c r="T274" s="58">
        <v>43942</v>
      </c>
      <c r="U274" s="58">
        <v>43942</v>
      </c>
      <c r="V274" s="59">
        <v>43943</v>
      </c>
      <c r="W274" s="53">
        <v>148</v>
      </c>
      <c r="X274" s="119" t="s">
        <v>36</v>
      </c>
      <c r="Y274" s="124">
        <v>89884</v>
      </c>
      <c r="Z274" s="125" t="s">
        <v>37</v>
      </c>
      <c r="AA274" s="126" t="s">
        <v>38</v>
      </c>
    </row>
    <row r="275" hidden="1" spans="1:27">
      <c r="A275" s="52" t="s">
        <v>832</v>
      </c>
      <c r="B275" s="53" t="s">
        <v>1362</v>
      </c>
      <c r="C275" s="53" t="s">
        <v>1369</v>
      </c>
      <c r="D275" s="53" t="s">
        <v>1370</v>
      </c>
      <c r="E275" s="53" t="s">
        <v>51</v>
      </c>
      <c r="F275" s="53" t="s">
        <v>51</v>
      </c>
      <c r="G275" s="53">
        <v>89102</v>
      </c>
      <c r="H275" s="53">
        <v>82973</v>
      </c>
      <c r="I275" s="53">
        <v>2397193</v>
      </c>
      <c r="J275" s="53" t="s">
        <v>60</v>
      </c>
      <c r="K275" s="53" t="s">
        <v>43</v>
      </c>
      <c r="L275" s="53">
        <v>79479</v>
      </c>
      <c r="M275" s="53" t="e">
        <v>#N/A</v>
      </c>
      <c r="N275" s="53" t="s">
        <v>1371</v>
      </c>
      <c r="O275" s="53" t="s">
        <v>1372</v>
      </c>
      <c r="P275" s="113">
        <v>43917</v>
      </c>
      <c r="Q275" s="53">
        <v>154435369</v>
      </c>
      <c r="R275" s="53">
        <v>30357462</v>
      </c>
      <c r="S275" s="53">
        <v>20303574620</v>
      </c>
      <c r="T275" s="58">
        <v>42772</v>
      </c>
      <c r="U275" s="58">
        <v>43409</v>
      </c>
      <c r="V275" s="59">
        <v>43423</v>
      </c>
      <c r="W275" s="53">
        <v>1303</v>
      </c>
      <c r="X275" s="119" t="s">
        <v>36</v>
      </c>
      <c r="Y275" s="124">
        <v>89885</v>
      </c>
      <c r="Z275" s="125" t="s">
        <v>37</v>
      </c>
      <c r="AA275" s="126" t="s">
        <v>56</v>
      </c>
    </row>
    <row r="276" hidden="1" spans="1:27">
      <c r="A276" s="52" t="s">
        <v>832</v>
      </c>
      <c r="B276" s="53" t="s">
        <v>1362</v>
      </c>
      <c r="C276" s="53" t="s">
        <v>1373</v>
      </c>
      <c r="D276" s="53" t="s">
        <v>1374</v>
      </c>
      <c r="E276" s="53" t="s">
        <v>31</v>
      </c>
      <c r="F276" s="53" t="s">
        <v>31</v>
      </c>
      <c r="G276" s="53">
        <v>89264</v>
      </c>
      <c r="H276" s="53">
        <v>88039</v>
      </c>
      <c r="I276" s="53">
        <v>3553117</v>
      </c>
      <c r="J276" s="53" t="s">
        <v>32</v>
      </c>
      <c r="K276" s="53" t="s">
        <v>42</v>
      </c>
      <c r="L276" s="53">
        <v>79479</v>
      </c>
      <c r="M276" s="53" t="e">
        <v>#N/A</v>
      </c>
      <c r="N276" s="53" t="s">
        <v>1375</v>
      </c>
      <c r="O276" s="53" t="s">
        <v>1376</v>
      </c>
      <c r="P276" s="113">
        <v>43912</v>
      </c>
      <c r="Q276" s="53"/>
      <c r="R276" s="53">
        <v>33697993</v>
      </c>
      <c r="S276" s="53" t="s">
        <v>1377</v>
      </c>
      <c r="T276" s="58">
        <v>43766</v>
      </c>
      <c r="U276" s="58">
        <v>43766</v>
      </c>
      <c r="V276" s="59">
        <v>43776</v>
      </c>
      <c r="W276" s="53">
        <v>321</v>
      </c>
      <c r="X276" s="119" t="s">
        <v>36</v>
      </c>
      <c r="Y276" s="124">
        <v>89889</v>
      </c>
      <c r="Z276" s="125" t="s">
        <v>37</v>
      </c>
      <c r="AA276" s="126" t="s">
        <v>38</v>
      </c>
    </row>
    <row r="277" hidden="1" spans="1:27">
      <c r="A277" s="52" t="s">
        <v>832</v>
      </c>
      <c r="B277" s="53" t="s">
        <v>1362</v>
      </c>
      <c r="C277" s="53" t="s">
        <v>1378</v>
      </c>
      <c r="D277" s="53" t="s">
        <v>1379</v>
      </c>
      <c r="E277" s="53" t="s">
        <v>51</v>
      </c>
      <c r="F277" s="53" t="s">
        <v>51</v>
      </c>
      <c r="G277" s="53">
        <v>89060</v>
      </c>
      <c r="H277" s="53">
        <v>84980</v>
      </c>
      <c r="I277" s="53">
        <v>2783370</v>
      </c>
      <c r="J277" s="53" t="s">
        <v>60</v>
      </c>
      <c r="K277" s="53" t="s">
        <v>43</v>
      </c>
      <c r="L277" s="53">
        <v>79479</v>
      </c>
      <c r="M277" s="53" t="e">
        <v>#N/A</v>
      </c>
      <c r="N277" s="53" t="s">
        <v>1380</v>
      </c>
      <c r="O277" s="53" t="s">
        <v>1381</v>
      </c>
      <c r="P277" s="113">
        <v>43945</v>
      </c>
      <c r="Q277" s="53" t="s">
        <v>1382</v>
      </c>
      <c r="R277" s="53">
        <v>27906244</v>
      </c>
      <c r="S277" s="53">
        <v>20279062443</v>
      </c>
      <c r="T277" s="58">
        <v>43145</v>
      </c>
      <c r="U277" s="58">
        <v>43327</v>
      </c>
      <c r="V277" s="59">
        <v>43328</v>
      </c>
      <c r="W277" s="53">
        <v>935</v>
      </c>
      <c r="X277" s="119" t="s">
        <v>36</v>
      </c>
      <c r="Y277" s="124">
        <v>89874</v>
      </c>
      <c r="Z277" s="125" t="s">
        <v>37</v>
      </c>
      <c r="AA277" s="126" t="s">
        <v>56</v>
      </c>
    </row>
    <row r="278" hidden="1" spans="1:27">
      <c r="A278" s="52" t="s">
        <v>832</v>
      </c>
      <c r="B278" s="53" t="s">
        <v>1362</v>
      </c>
      <c r="C278" s="53" t="s">
        <v>1383</v>
      </c>
      <c r="D278" s="53" t="s">
        <v>1384</v>
      </c>
      <c r="E278" s="53" t="s">
        <v>59</v>
      </c>
      <c r="F278" s="53" t="s">
        <v>59</v>
      </c>
      <c r="G278" s="53">
        <v>89303</v>
      </c>
      <c r="H278" s="53">
        <v>88164</v>
      </c>
      <c r="I278" s="53">
        <v>3624151</v>
      </c>
      <c r="J278" s="53" t="s">
        <v>142</v>
      </c>
      <c r="K278" s="53" t="s">
        <v>43</v>
      </c>
      <c r="L278" s="53">
        <v>79479</v>
      </c>
      <c r="M278" s="53" t="e">
        <v>#N/A</v>
      </c>
      <c r="N278" s="53" t="s">
        <v>1385</v>
      </c>
      <c r="O278" s="53" t="s">
        <v>1386</v>
      </c>
      <c r="P278" s="113">
        <v>43912</v>
      </c>
      <c r="Q278" s="53"/>
      <c r="R278" s="53">
        <v>40876335</v>
      </c>
      <c r="S278" s="53">
        <v>27408763350</v>
      </c>
      <c r="T278" s="58">
        <v>43808</v>
      </c>
      <c r="U278" s="58">
        <v>43808</v>
      </c>
      <c r="V278" s="59">
        <v>43831</v>
      </c>
      <c r="W278" s="53">
        <v>280</v>
      </c>
      <c r="X278" s="119" t="s">
        <v>36</v>
      </c>
      <c r="Y278" s="124">
        <v>89888</v>
      </c>
      <c r="Z278" s="125" t="s">
        <v>37</v>
      </c>
      <c r="AA278" s="126" t="s">
        <v>56</v>
      </c>
    </row>
    <row r="279" hidden="1" spans="1:27">
      <c r="A279" s="52" t="s">
        <v>832</v>
      </c>
      <c r="B279" s="53" t="s">
        <v>1362</v>
      </c>
      <c r="C279" s="53" t="s">
        <v>1387</v>
      </c>
      <c r="D279" s="53" t="s">
        <v>1388</v>
      </c>
      <c r="E279" s="53" t="s">
        <v>51</v>
      </c>
      <c r="F279" s="53" t="s">
        <v>51</v>
      </c>
      <c r="G279" s="53">
        <v>648077</v>
      </c>
      <c r="H279" s="53">
        <v>88361</v>
      </c>
      <c r="I279" s="53">
        <v>3667101</v>
      </c>
      <c r="J279" s="53" t="s">
        <v>43</v>
      </c>
      <c r="K279" s="53" t="s">
        <v>43</v>
      </c>
      <c r="L279" s="53">
        <v>79479</v>
      </c>
      <c r="M279" s="53" t="e">
        <v>#N/A</v>
      </c>
      <c r="N279" s="53" t="s">
        <v>1389</v>
      </c>
      <c r="O279" s="53" t="s">
        <v>1390</v>
      </c>
      <c r="P279" s="113">
        <v>43943</v>
      </c>
      <c r="Q279" s="53" t="s">
        <v>1391</v>
      </c>
      <c r="R279" s="53">
        <v>40698559</v>
      </c>
      <c r="S279" s="53" t="s">
        <v>1392</v>
      </c>
      <c r="T279" s="58">
        <v>43942</v>
      </c>
      <c r="U279" s="58">
        <v>43942</v>
      </c>
      <c r="V279" s="59">
        <v>43943</v>
      </c>
      <c r="W279" s="53">
        <v>148</v>
      </c>
      <c r="X279" s="119" t="s">
        <v>36</v>
      </c>
      <c r="Y279" s="124">
        <v>89879</v>
      </c>
      <c r="Z279" s="125" t="s">
        <v>37</v>
      </c>
      <c r="AA279" s="126" t="s">
        <v>56</v>
      </c>
    </row>
    <row r="280" hidden="1" spans="1:27">
      <c r="A280" s="52" t="s">
        <v>832</v>
      </c>
      <c r="B280" s="53" t="s">
        <v>1362</v>
      </c>
      <c r="C280" s="53" t="s">
        <v>682</v>
      </c>
      <c r="D280" s="53" t="s">
        <v>1393</v>
      </c>
      <c r="E280" s="53" t="s">
        <v>51</v>
      </c>
      <c r="F280" s="53" t="s">
        <v>51</v>
      </c>
      <c r="G280" s="53">
        <v>648353</v>
      </c>
      <c r="H280" s="53">
        <v>69253</v>
      </c>
      <c r="I280" s="53">
        <v>464833</v>
      </c>
      <c r="J280" s="53" t="s">
        <v>401</v>
      </c>
      <c r="K280" s="53" t="s">
        <v>43</v>
      </c>
      <c r="L280" s="53">
        <v>79479</v>
      </c>
      <c r="M280" s="53" t="e">
        <v>#N/A</v>
      </c>
      <c r="N280" s="53" t="s">
        <v>1394</v>
      </c>
      <c r="O280" s="53" t="s">
        <v>1395</v>
      </c>
      <c r="P280" s="113">
        <v>43969</v>
      </c>
      <c r="Q280" s="53">
        <v>381156284181</v>
      </c>
      <c r="R280" s="53">
        <v>34132310</v>
      </c>
      <c r="S280" s="53">
        <v>27341323105</v>
      </c>
      <c r="T280" s="58">
        <v>40217</v>
      </c>
      <c r="U280" s="58">
        <v>43962</v>
      </c>
      <c r="V280" s="59">
        <v>43969</v>
      </c>
      <c r="W280" s="53">
        <v>3821</v>
      </c>
      <c r="X280" s="119" t="s">
        <v>36</v>
      </c>
      <c r="Y280" s="124">
        <v>648335</v>
      </c>
      <c r="Z280" s="125" t="s">
        <v>37</v>
      </c>
      <c r="AA280" s="126" t="s">
        <v>56</v>
      </c>
    </row>
    <row r="281" hidden="1" spans="1:27">
      <c r="A281" s="52" t="s">
        <v>832</v>
      </c>
      <c r="B281" s="53" t="s">
        <v>1362</v>
      </c>
      <c r="C281" s="53" t="s">
        <v>508</v>
      </c>
      <c r="D281" s="53" t="s">
        <v>1396</v>
      </c>
      <c r="E281" s="53" t="s">
        <v>41</v>
      </c>
      <c r="F281" s="53" t="s">
        <v>41</v>
      </c>
      <c r="G281" s="129">
        <v>89230</v>
      </c>
      <c r="H281" s="53">
        <v>87309</v>
      </c>
      <c r="I281" s="53">
        <v>3462510</v>
      </c>
      <c r="J281" s="53" t="s">
        <v>42</v>
      </c>
      <c r="K281" s="53" t="s">
        <v>43</v>
      </c>
      <c r="L281" s="53">
        <v>79479</v>
      </c>
      <c r="M281" s="53" t="e">
        <v>#N/A</v>
      </c>
      <c r="N281" s="53" t="s">
        <v>1397</v>
      </c>
      <c r="O281" s="53" t="s">
        <v>1398</v>
      </c>
      <c r="P281" s="113">
        <v>43919</v>
      </c>
      <c r="Q281" s="53">
        <v>3813030689</v>
      </c>
      <c r="R281" s="53">
        <v>29438749</v>
      </c>
      <c r="S281" s="53" t="s">
        <v>1399</v>
      </c>
      <c r="T281" s="58">
        <v>43703</v>
      </c>
      <c r="U281" s="58">
        <v>43703</v>
      </c>
      <c r="V281" s="59">
        <v>43713</v>
      </c>
      <c r="W281" s="53">
        <v>383</v>
      </c>
      <c r="X281" s="119" t="s">
        <v>36</v>
      </c>
      <c r="Y281" s="124">
        <v>89759</v>
      </c>
      <c r="Z281" s="125" t="s">
        <v>37</v>
      </c>
      <c r="AA281" s="126" t="s">
        <v>56</v>
      </c>
    </row>
    <row r="282" hidden="1" spans="1:27">
      <c r="A282" s="52" t="s">
        <v>832</v>
      </c>
      <c r="B282" s="53" t="s">
        <v>1362</v>
      </c>
      <c r="C282" s="53" t="s">
        <v>1048</v>
      </c>
      <c r="D282" s="53" t="s">
        <v>1400</v>
      </c>
      <c r="E282" s="53" t="s">
        <v>51</v>
      </c>
      <c r="F282" s="53" t="s">
        <v>51</v>
      </c>
      <c r="G282" s="53">
        <v>89299</v>
      </c>
      <c r="H282" s="53">
        <v>88160</v>
      </c>
      <c r="I282" s="53">
        <v>2538332</v>
      </c>
      <c r="J282" s="53" t="s">
        <v>142</v>
      </c>
      <c r="K282" s="53" t="s">
        <v>43</v>
      </c>
      <c r="L282" s="53">
        <v>79479</v>
      </c>
      <c r="M282" s="53" t="e">
        <v>#N/A</v>
      </c>
      <c r="N282" s="53" t="s">
        <v>1401</v>
      </c>
      <c r="O282" s="53" t="s">
        <v>1402</v>
      </c>
      <c r="P282" s="113">
        <v>43919</v>
      </c>
      <c r="Q282" s="53"/>
      <c r="R282" s="53">
        <v>38490522</v>
      </c>
      <c r="S282" s="53">
        <v>27384905221</v>
      </c>
      <c r="T282" s="58">
        <v>43808</v>
      </c>
      <c r="U282" s="58">
        <v>43808</v>
      </c>
      <c r="V282" s="59">
        <v>43831</v>
      </c>
      <c r="W282" s="53">
        <v>280</v>
      </c>
      <c r="X282" s="119" t="s">
        <v>36</v>
      </c>
      <c r="Y282" s="124">
        <v>89760</v>
      </c>
      <c r="Z282" s="125" t="s">
        <v>37</v>
      </c>
      <c r="AA282" s="126" t="s">
        <v>56</v>
      </c>
    </row>
    <row r="283" hidden="1" spans="1:27">
      <c r="A283" s="52" t="s">
        <v>832</v>
      </c>
      <c r="B283" s="53" t="s">
        <v>1362</v>
      </c>
      <c r="C283" s="53" t="s">
        <v>1403</v>
      </c>
      <c r="D283" s="53" t="s">
        <v>389</v>
      </c>
      <c r="E283" s="53" t="s">
        <v>41</v>
      </c>
      <c r="F283" s="53" t="s">
        <v>41</v>
      </c>
      <c r="G283" s="53">
        <v>648075</v>
      </c>
      <c r="H283" s="53">
        <v>88359</v>
      </c>
      <c r="I283" s="53">
        <v>3646861</v>
      </c>
      <c r="J283" s="53" t="s">
        <v>43</v>
      </c>
      <c r="K283" s="53" t="s">
        <v>43</v>
      </c>
      <c r="L283" s="53">
        <v>79479</v>
      </c>
      <c r="M283" s="53" t="e">
        <v>#N/A</v>
      </c>
      <c r="N283" s="53" t="s">
        <v>1404</v>
      </c>
      <c r="O283" s="53" t="s">
        <v>1405</v>
      </c>
      <c r="P283" s="113">
        <v>43943</v>
      </c>
      <c r="Q283" s="53">
        <v>3814563507</v>
      </c>
      <c r="R283" s="53">
        <v>41772351</v>
      </c>
      <c r="S283" s="53" t="s">
        <v>1406</v>
      </c>
      <c r="T283" s="58">
        <v>43942</v>
      </c>
      <c r="U283" s="58">
        <v>43942</v>
      </c>
      <c r="V283" s="59">
        <v>43943</v>
      </c>
      <c r="W283" s="53">
        <v>148</v>
      </c>
      <c r="X283" s="119" t="s">
        <v>36</v>
      </c>
      <c r="Y283" s="124">
        <v>89761</v>
      </c>
      <c r="Z283" s="125" t="s">
        <v>37</v>
      </c>
      <c r="AA283" s="126" t="s">
        <v>56</v>
      </c>
    </row>
    <row r="284" hidden="1" spans="1:27">
      <c r="A284" s="54" t="s">
        <v>832</v>
      </c>
      <c r="B284" s="55" t="s">
        <v>1362</v>
      </c>
      <c r="C284" s="55" t="s">
        <v>1407</v>
      </c>
      <c r="D284" s="55" t="s">
        <v>1408</v>
      </c>
      <c r="E284" s="55" t="s">
        <v>1409</v>
      </c>
      <c r="F284" s="55" t="s">
        <v>1409</v>
      </c>
      <c r="G284" s="55">
        <v>648227</v>
      </c>
      <c r="H284" s="55">
        <v>84358</v>
      </c>
      <c r="I284" s="55">
        <v>2741865</v>
      </c>
      <c r="J284" s="55" t="s">
        <v>43</v>
      </c>
      <c r="K284" s="111" t="s">
        <v>43</v>
      </c>
      <c r="L284" s="55">
        <v>79479</v>
      </c>
      <c r="M284" s="55" t="e">
        <v>#N/A</v>
      </c>
      <c r="N284" s="55" t="s">
        <v>1410</v>
      </c>
      <c r="O284" s="55" t="s">
        <v>1411</v>
      </c>
      <c r="P284" s="112">
        <v>43935</v>
      </c>
      <c r="Q284" s="55" t="s">
        <v>1412</v>
      </c>
      <c r="R284" s="55">
        <v>39699234</v>
      </c>
      <c r="S284" s="55">
        <v>20396992346</v>
      </c>
      <c r="T284" s="115">
        <v>43102</v>
      </c>
      <c r="U284" s="115">
        <v>43930</v>
      </c>
      <c r="V284" s="116">
        <v>43935</v>
      </c>
      <c r="W284" s="55">
        <v>977</v>
      </c>
      <c r="X284" s="118" t="s">
        <v>36</v>
      </c>
      <c r="Y284" s="127">
        <v>89920</v>
      </c>
      <c r="Z284" s="122" t="s">
        <v>37</v>
      </c>
      <c r="AA284" s="128" t="s">
        <v>1413</v>
      </c>
    </row>
    <row r="285" hidden="1" spans="1:27">
      <c r="A285" s="52" t="s">
        <v>832</v>
      </c>
      <c r="B285" s="53" t="s">
        <v>1362</v>
      </c>
      <c r="C285" s="53" t="s">
        <v>1414</v>
      </c>
      <c r="D285" s="53" t="s">
        <v>1415</v>
      </c>
      <c r="E285" s="53" t="s">
        <v>51</v>
      </c>
      <c r="F285" s="53" t="s">
        <v>51</v>
      </c>
      <c r="G285" s="53">
        <v>648388</v>
      </c>
      <c r="H285" s="53">
        <v>84641</v>
      </c>
      <c r="I285" s="53">
        <v>2746225</v>
      </c>
      <c r="J285" s="53" t="s">
        <v>43</v>
      </c>
      <c r="K285" s="53" t="s">
        <v>43</v>
      </c>
      <c r="L285" s="53">
        <v>79479</v>
      </c>
      <c r="M285" s="53" t="e">
        <v>#N/A</v>
      </c>
      <c r="N285" s="53" t="s">
        <v>1416</v>
      </c>
      <c r="O285" s="53" t="s">
        <v>1417</v>
      </c>
      <c r="P285" s="113">
        <v>43969</v>
      </c>
      <c r="Q285" s="53" t="s">
        <v>1418</v>
      </c>
      <c r="R285" s="53">
        <v>39730187</v>
      </c>
      <c r="S285" s="53">
        <v>20397301878</v>
      </c>
      <c r="T285" s="58">
        <v>43108</v>
      </c>
      <c r="U285" s="58">
        <v>43962</v>
      </c>
      <c r="V285" s="59">
        <v>43969</v>
      </c>
      <c r="W285" s="53">
        <v>971</v>
      </c>
      <c r="X285" s="119" t="s">
        <v>36</v>
      </c>
      <c r="Y285" s="124">
        <v>648328</v>
      </c>
      <c r="Z285" s="125" t="s">
        <v>37</v>
      </c>
      <c r="AA285" s="126" t="s">
        <v>56</v>
      </c>
    </row>
    <row r="286" hidden="1" spans="1:27">
      <c r="A286" s="54" t="s">
        <v>832</v>
      </c>
      <c r="B286" s="55" t="s">
        <v>1362</v>
      </c>
      <c r="C286" s="55" t="s">
        <v>1419</v>
      </c>
      <c r="D286" s="55" t="s">
        <v>1420</v>
      </c>
      <c r="E286" s="55" t="s">
        <v>1409</v>
      </c>
      <c r="F286" s="55" t="s">
        <v>1409</v>
      </c>
      <c r="G286" s="55">
        <v>648239</v>
      </c>
      <c r="H286" s="55">
        <v>79828</v>
      </c>
      <c r="I286" s="55">
        <v>1496443</v>
      </c>
      <c r="J286" s="55" t="s">
        <v>43</v>
      </c>
      <c r="K286" s="111" t="s">
        <v>43</v>
      </c>
      <c r="L286" s="55">
        <v>79479</v>
      </c>
      <c r="M286" s="55" t="e">
        <v>#N/A</v>
      </c>
      <c r="N286" s="55" t="s">
        <v>1421</v>
      </c>
      <c r="O286" s="55" t="s">
        <v>1422</v>
      </c>
      <c r="P286" s="112">
        <v>43935</v>
      </c>
      <c r="Q286" s="55"/>
      <c r="R286" s="55">
        <v>31857587</v>
      </c>
      <c r="S286" s="55"/>
      <c r="T286" s="115">
        <v>42461</v>
      </c>
      <c r="U286" s="115">
        <v>43930</v>
      </c>
      <c r="V286" s="116">
        <v>43935</v>
      </c>
      <c r="W286" s="55">
        <v>1608</v>
      </c>
      <c r="X286" s="118" t="s">
        <v>36</v>
      </c>
      <c r="Y286" s="127">
        <v>89917</v>
      </c>
      <c r="Z286" s="122" t="s">
        <v>37</v>
      </c>
      <c r="AA286" s="128" t="s">
        <v>1413</v>
      </c>
    </row>
    <row r="287" hidden="1" spans="1:27">
      <c r="A287" s="54" t="s">
        <v>832</v>
      </c>
      <c r="B287" s="55" t="s">
        <v>1362</v>
      </c>
      <c r="C287" s="55" t="s">
        <v>1423</v>
      </c>
      <c r="D287" s="55" t="s">
        <v>1424</v>
      </c>
      <c r="E287" s="55" t="s">
        <v>134</v>
      </c>
      <c r="F287" s="55" t="s">
        <v>134</v>
      </c>
      <c r="G287" s="55">
        <v>648313</v>
      </c>
      <c r="H287" s="55">
        <v>87884</v>
      </c>
      <c r="I287" s="55">
        <v>3102002</v>
      </c>
      <c r="J287" s="55" t="s">
        <v>52</v>
      </c>
      <c r="K287" s="111" t="s">
        <v>43</v>
      </c>
      <c r="L287" s="55">
        <v>79479</v>
      </c>
      <c r="M287" s="55" t="e">
        <v>#N/A</v>
      </c>
      <c r="N287" s="55" t="s">
        <v>1425</v>
      </c>
      <c r="O287" s="55" t="s">
        <v>1426</v>
      </c>
      <c r="P287" s="112">
        <v>43955</v>
      </c>
      <c r="Q287" s="55" t="s">
        <v>1427</v>
      </c>
      <c r="R287" s="55">
        <v>35073705</v>
      </c>
      <c r="S287" s="55">
        <v>20350737058</v>
      </c>
      <c r="T287" s="115">
        <v>43752</v>
      </c>
      <c r="U287" s="115">
        <v>43945</v>
      </c>
      <c r="V287" s="116">
        <v>43956</v>
      </c>
      <c r="W287" s="55">
        <v>335</v>
      </c>
      <c r="X287" s="118" t="s">
        <v>36</v>
      </c>
      <c r="Y287" s="127">
        <v>89998</v>
      </c>
      <c r="Z287" s="122" t="s">
        <v>37</v>
      </c>
      <c r="AA287" s="128" t="s">
        <v>56</v>
      </c>
    </row>
    <row r="288" hidden="1" spans="1:27">
      <c r="A288" s="52" t="s">
        <v>832</v>
      </c>
      <c r="B288" s="53" t="s">
        <v>1362</v>
      </c>
      <c r="C288" s="53" t="s">
        <v>1428</v>
      </c>
      <c r="D288" s="53" t="s">
        <v>1429</v>
      </c>
      <c r="E288" s="53" t="s">
        <v>51</v>
      </c>
      <c r="F288" s="53" t="s">
        <v>51</v>
      </c>
      <c r="G288" s="53">
        <v>89167</v>
      </c>
      <c r="H288" s="53">
        <v>86287</v>
      </c>
      <c r="I288" s="53">
        <v>3133268</v>
      </c>
      <c r="J288" s="53" t="s">
        <v>60</v>
      </c>
      <c r="K288" s="53" t="s">
        <v>43</v>
      </c>
      <c r="L288" s="53">
        <v>79479</v>
      </c>
      <c r="M288" s="53" t="e">
        <v>#N/A</v>
      </c>
      <c r="N288" s="53" t="s">
        <v>1430</v>
      </c>
      <c r="O288" s="53" t="s">
        <v>1431</v>
      </c>
      <c r="P288" s="113">
        <v>43915</v>
      </c>
      <c r="Q288" s="53" t="s">
        <v>1432</v>
      </c>
      <c r="R288" s="53">
        <v>38509438</v>
      </c>
      <c r="S288" s="53" t="s">
        <v>1433</v>
      </c>
      <c r="T288" s="58">
        <v>43451</v>
      </c>
      <c r="U288" s="58">
        <v>43451</v>
      </c>
      <c r="V288" s="59">
        <v>43467</v>
      </c>
      <c r="W288" s="53">
        <v>632</v>
      </c>
      <c r="X288" s="119" t="s">
        <v>36</v>
      </c>
      <c r="Y288" s="124">
        <v>89762</v>
      </c>
      <c r="Z288" s="125" t="s">
        <v>37</v>
      </c>
      <c r="AA288" s="126" t="s">
        <v>56</v>
      </c>
    </row>
    <row r="289" hidden="1" spans="1:27">
      <c r="A289" s="52" t="s">
        <v>832</v>
      </c>
      <c r="B289" s="53" t="s">
        <v>1362</v>
      </c>
      <c r="C289" s="53" t="s">
        <v>1434</v>
      </c>
      <c r="D289" s="53" t="s">
        <v>1435</v>
      </c>
      <c r="E289" s="53" t="s">
        <v>134</v>
      </c>
      <c r="F289" s="53" t="s">
        <v>134</v>
      </c>
      <c r="G289" s="53">
        <v>89334</v>
      </c>
      <c r="H289" s="53">
        <v>88364</v>
      </c>
      <c r="I289" s="53">
        <v>3667104</v>
      </c>
      <c r="J289" s="53" t="s">
        <v>43</v>
      </c>
      <c r="K289" s="53" t="s">
        <v>43</v>
      </c>
      <c r="L289" s="53">
        <v>79479</v>
      </c>
      <c r="M289" s="53" t="e">
        <v>#N/A</v>
      </c>
      <c r="N289" s="53" t="s">
        <v>1436</v>
      </c>
      <c r="O289" s="53" t="s">
        <v>1437</v>
      </c>
      <c r="P289" s="113">
        <v>43912</v>
      </c>
      <c r="Q289" s="53"/>
      <c r="R289" s="53">
        <v>40532694</v>
      </c>
      <c r="S289" s="53" t="s">
        <v>1438</v>
      </c>
      <c r="T289" s="58">
        <v>43852</v>
      </c>
      <c r="U289" s="58">
        <v>43852</v>
      </c>
      <c r="V289" s="59">
        <v>43873</v>
      </c>
      <c r="W289" s="53">
        <v>237</v>
      </c>
      <c r="X289" s="119" t="s">
        <v>36</v>
      </c>
      <c r="Y289" s="124">
        <v>89763</v>
      </c>
      <c r="Z289" s="125" t="s">
        <v>37</v>
      </c>
      <c r="AA289" s="126" t="s">
        <v>56</v>
      </c>
    </row>
    <row r="290" hidden="1" spans="1:27">
      <c r="A290" s="54" t="s">
        <v>832</v>
      </c>
      <c r="B290" s="55" t="s">
        <v>1362</v>
      </c>
      <c r="C290" s="55" t="s">
        <v>307</v>
      </c>
      <c r="D290" s="55" t="s">
        <v>1439</v>
      </c>
      <c r="E290" s="55" t="s">
        <v>51</v>
      </c>
      <c r="F290" s="55" t="s">
        <v>51</v>
      </c>
      <c r="G290" s="55">
        <v>648236</v>
      </c>
      <c r="H290" s="55">
        <v>84355</v>
      </c>
      <c r="I290" s="55">
        <v>2741813</v>
      </c>
      <c r="J290" s="55" t="s">
        <v>43</v>
      </c>
      <c r="K290" s="111" t="s">
        <v>43</v>
      </c>
      <c r="L290" s="55">
        <v>79479</v>
      </c>
      <c r="M290" s="55" t="e">
        <v>#N/A</v>
      </c>
      <c r="N290" s="55" t="s">
        <v>1440</v>
      </c>
      <c r="O290" s="55" t="s">
        <v>1441</v>
      </c>
      <c r="P290" s="112">
        <v>43935</v>
      </c>
      <c r="Q290" s="55" t="s">
        <v>1442</v>
      </c>
      <c r="R290" s="55">
        <v>40698650</v>
      </c>
      <c r="S290" s="55">
        <v>20406986501</v>
      </c>
      <c r="T290" s="115">
        <v>43102</v>
      </c>
      <c r="U290" s="115">
        <v>43930</v>
      </c>
      <c r="V290" s="116">
        <v>43935</v>
      </c>
      <c r="W290" s="55">
        <v>977</v>
      </c>
      <c r="X290" s="118" t="s">
        <v>36</v>
      </c>
      <c r="Y290" s="127">
        <v>89923</v>
      </c>
      <c r="Z290" s="122" t="s">
        <v>37</v>
      </c>
      <c r="AA290" s="128" t="s">
        <v>275</v>
      </c>
    </row>
    <row r="291" hidden="1" spans="1:27">
      <c r="A291" s="52" t="s">
        <v>832</v>
      </c>
      <c r="B291" s="53" t="s">
        <v>1362</v>
      </c>
      <c r="C291" s="53" t="s">
        <v>1443</v>
      </c>
      <c r="D291" s="53" t="s">
        <v>1444</v>
      </c>
      <c r="E291" s="53" t="s">
        <v>283</v>
      </c>
      <c r="F291" s="53" t="s">
        <v>283</v>
      </c>
      <c r="G291" s="53">
        <v>89221</v>
      </c>
      <c r="H291" s="53">
        <v>87055</v>
      </c>
      <c r="I291" s="53">
        <v>3409601</v>
      </c>
      <c r="J291" s="53" t="s">
        <v>42</v>
      </c>
      <c r="K291" s="53" t="s">
        <v>43</v>
      </c>
      <c r="L291" s="53">
        <v>79479</v>
      </c>
      <c r="M291" s="53" t="e">
        <v>#N/A</v>
      </c>
      <c r="N291" s="53" t="s">
        <v>1445</v>
      </c>
      <c r="O291" s="53" t="s">
        <v>1446</v>
      </c>
      <c r="P291" s="113">
        <v>43917</v>
      </c>
      <c r="Q291" s="53" t="s">
        <v>1447</v>
      </c>
      <c r="R291" s="53">
        <v>41651681</v>
      </c>
      <c r="S291" s="53" t="s">
        <v>1448</v>
      </c>
      <c r="T291" s="58">
        <v>43668</v>
      </c>
      <c r="U291" s="58">
        <v>43669</v>
      </c>
      <c r="V291" s="59">
        <v>43678</v>
      </c>
      <c r="W291" s="53">
        <v>417</v>
      </c>
      <c r="X291" s="119" t="s">
        <v>36</v>
      </c>
      <c r="Y291" s="124">
        <v>89765</v>
      </c>
      <c r="Z291" s="125" t="s">
        <v>37</v>
      </c>
      <c r="AA291" s="126" t="s">
        <v>255</v>
      </c>
    </row>
    <row r="292" hidden="1" spans="1:27">
      <c r="A292" s="52" t="s">
        <v>832</v>
      </c>
      <c r="B292" s="53" t="s">
        <v>1449</v>
      </c>
      <c r="C292" s="53" t="s">
        <v>566</v>
      </c>
      <c r="D292" s="53" t="s">
        <v>1450</v>
      </c>
      <c r="E292" s="53" t="s">
        <v>31</v>
      </c>
      <c r="F292" s="53" t="s">
        <v>31</v>
      </c>
      <c r="G292" s="53">
        <v>89274</v>
      </c>
      <c r="H292" s="53">
        <v>88049</v>
      </c>
      <c r="I292" s="53">
        <v>3553148</v>
      </c>
      <c r="J292" s="53" t="s">
        <v>42</v>
      </c>
      <c r="K292" s="53" t="s">
        <v>42</v>
      </c>
      <c r="L292" s="53">
        <v>77681</v>
      </c>
      <c r="M292" s="53" t="e">
        <v>#N/A</v>
      </c>
      <c r="N292" s="53"/>
      <c r="O292" s="53" t="s">
        <v>1451</v>
      </c>
      <c r="P292" s="113"/>
      <c r="Q292" s="53"/>
      <c r="R292" s="53">
        <v>40275956</v>
      </c>
      <c r="S292" s="53" t="s">
        <v>1452</v>
      </c>
      <c r="T292" s="58">
        <v>44026</v>
      </c>
      <c r="U292" s="58">
        <v>44026</v>
      </c>
      <c r="V292" s="59">
        <v>44027</v>
      </c>
      <c r="W292" s="53">
        <v>65</v>
      </c>
      <c r="X292" s="119" t="s">
        <v>36</v>
      </c>
      <c r="Y292" s="124"/>
      <c r="Z292" s="125" t="s">
        <v>146</v>
      </c>
      <c r="AA292" s="126" t="s">
        <v>38</v>
      </c>
    </row>
    <row r="293" hidden="1" spans="1:27">
      <c r="A293" s="52" t="s">
        <v>832</v>
      </c>
      <c r="B293" s="53" t="s">
        <v>1449</v>
      </c>
      <c r="C293" s="53" t="s">
        <v>1453</v>
      </c>
      <c r="D293" s="53" t="s">
        <v>1454</v>
      </c>
      <c r="E293" s="53" t="s">
        <v>51</v>
      </c>
      <c r="F293" s="53" t="s">
        <v>51</v>
      </c>
      <c r="G293" s="129">
        <v>89224</v>
      </c>
      <c r="H293" s="53">
        <v>87317</v>
      </c>
      <c r="I293" s="53">
        <v>3462526</v>
      </c>
      <c r="J293" s="53" t="s">
        <v>52</v>
      </c>
      <c r="K293" s="53" t="s">
        <v>43</v>
      </c>
      <c r="L293" s="53">
        <v>77681</v>
      </c>
      <c r="M293" s="53" t="e">
        <v>#N/A</v>
      </c>
      <c r="N293" s="53" t="s">
        <v>1455</v>
      </c>
      <c r="O293" s="53" t="s">
        <v>1456</v>
      </c>
      <c r="P293" s="113">
        <v>43916</v>
      </c>
      <c r="Q293" s="53">
        <v>3815532654</v>
      </c>
      <c r="R293" s="53">
        <v>31870365</v>
      </c>
      <c r="S293" s="53">
        <v>27318703650</v>
      </c>
      <c r="T293" s="58">
        <v>43703</v>
      </c>
      <c r="U293" s="58">
        <v>43703</v>
      </c>
      <c r="V293" s="59">
        <v>43713</v>
      </c>
      <c r="W293" s="53">
        <v>383</v>
      </c>
      <c r="X293" s="119" t="s">
        <v>36</v>
      </c>
      <c r="Y293" s="124">
        <v>89872</v>
      </c>
      <c r="Z293" s="125" t="s">
        <v>146</v>
      </c>
      <c r="AA293" s="126" t="s">
        <v>56</v>
      </c>
    </row>
    <row r="294" hidden="1" spans="1:27">
      <c r="A294" s="52" t="s">
        <v>832</v>
      </c>
      <c r="B294" s="53" t="s">
        <v>1449</v>
      </c>
      <c r="C294" s="53" t="s">
        <v>1453</v>
      </c>
      <c r="D294" s="53" t="s">
        <v>1457</v>
      </c>
      <c r="E294" s="53" t="s">
        <v>31</v>
      </c>
      <c r="F294" s="53" t="s">
        <v>31</v>
      </c>
      <c r="G294" s="53">
        <v>648036</v>
      </c>
      <c r="H294" s="53">
        <v>88040</v>
      </c>
      <c r="I294" s="53">
        <v>1664812</v>
      </c>
      <c r="J294" s="53" t="s">
        <v>32</v>
      </c>
      <c r="K294" s="53" t="s">
        <v>32</v>
      </c>
      <c r="L294" s="53">
        <v>77681</v>
      </c>
      <c r="M294" s="53" t="e">
        <v>#N/A</v>
      </c>
      <c r="N294" s="53" t="s">
        <v>1458</v>
      </c>
      <c r="O294" s="53" t="s">
        <v>1459</v>
      </c>
      <c r="P294" s="113">
        <v>43943</v>
      </c>
      <c r="Q294" s="53" t="s">
        <v>1460</v>
      </c>
      <c r="R294" s="53">
        <v>37997844</v>
      </c>
      <c r="S294" s="53" t="s">
        <v>1461</v>
      </c>
      <c r="T294" s="58">
        <v>43942</v>
      </c>
      <c r="U294" s="58">
        <v>43942</v>
      </c>
      <c r="V294" s="59">
        <v>43943</v>
      </c>
      <c r="W294" s="53">
        <v>148</v>
      </c>
      <c r="X294" s="119" t="s">
        <v>36</v>
      </c>
      <c r="Y294" s="124">
        <v>89956</v>
      </c>
      <c r="Z294" s="125" t="s">
        <v>146</v>
      </c>
      <c r="AA294" s="126" t="s">
        <v>38</v>
      </c>
    </row>
    <row r="295" hidden="1" spans="1:27">
      <c r="A295" s="54" t="s">
        <v>832</v>
      </c>
      <c r="B295" s="55" t="s">
        <v>1449</v>
      </c>
      <c r="C295" s="55" t="s">
        <v>1462</v>
      </c>
      <c r="D295" s="55" t="s">
        <v>1463</v>
      </c>
      <c r="E295" s="55" t="s">
        <v>51</v>
      </c>
      <c r="F295" s="55" t="s">
        <v>51</v>
      </c>
      <c r="G295" s="55">
        <v>648304</v>
      </c>
      <c r="H295" s="55">
        <v>87686</v>
      </c>
      <c r="I295" s="55">
        <v>3526354</v>
      </c>
      <c r="J295" s="55" t="s">
        <v>52</v>
      </c>
      <c r="K295" s="111" t="s">
        <v>43</v>
      </c>
      <c r="L295" s="55">
        <v>77681</v>
      </c>
      <c r="M295" s="55" t="e">
        <v>#N/A</v>
      </c>
      <c r="N295" s="55" t="s">
        <v>1464</v>
      </c>
      <c r="O295" s="55" t="s">
        <v>1465</v>
      </c>
      <c r="P295" s="112">
        <v>43955</v>
      </c>
      <c r="Q295" s="55" t="s">
        <v>1466</v>
      </c>
      <c r="R295" s="55">
        <v>41950744</v>
      </c>
      <c r="S295" s="55">
        <v>27419507445</v>
      </c>
      <c r="T295" s="115">
        <v>43745</v>
      </c>
      <c r="U295" s="115">
        <v>43945</v>
      </c>
      <c r="V295" s="116">
        <v>43956</v>
      </c>
      <c r="W295" s="55">
        <v>342</v>
      </c>
      <c r="X295" s="118" t="s">
        <v>36</v>
      </c>
      <c r="Y295" s="127">
        <v>89985</v>
      </c>
      <c r="Z295" s="122" t="s">
        <v>146</v>
      </c>
      <c r="AA295" s="128" t="s">
        <v>56</v>
      </c>
    </row>
    <row r="296" hidden="1" spans="1:27">
      <c r="A296" s="52" t="s">
        <v>832</v>
      </c>
      <c r="B296" s="53" t="s">
        <v>1449</v>
      </c>
      <c r="C296" s="53" t="s">
        <v>1467</v>
      </c>
      <c r="D296" s="53" t="s">
        <v>1468</v>
      </c>
      <c r="E296" s="53" t="s">
        <v>51</v>
      </c>
      <c r="F296" s="53" t="s">
        <v>51</v>
      </c>
      <c r="G296" s="53">
        <v>89022</v>
      </c>
      <c r="H296" s="53">
        <v>85620</v>
      </c>
      <c r="I296" s="53">
        <v>2873657</v>
      </c>
      <c r="J296" s="53" t="s">
        <v>122</v>
      </c>
      <c r="K296" s="53" t="s">
        <v>1469</v>
      </c>
      <c r="L296" s="53">
        <v>77681</v>
      </c>
      <c r="M296" s="53" t="e">
        <v>#N/A</v>
      </c>
      <c r="N296" s="53" t="s">
        <v>1470</v>
      </c>
      <c r="O296" s="53" t="s">
        <v>1471</v>
      </c>
      <c r="P296" s="113">
        <v>43945</v>
      </c>
      <c r="Q296" s="53" t="s">
        <v>1472</v>
      </c>
      <c r="R296" s="53">
        <v>41694320</v>
      </c>
      <c r="S296" s="53">
        <v>20416943207</v>
      </c>
      <c r="T296" s="58">
        <v>43227</v>
      </c>
      <c r="U296" s="58">
        <v>43259</v>
      </c>
      <c r="V296" s="59">
        <v>43262</v>
      </c>
      <c r="W296" s="53">
        <v>852</v>
      </c>
      <c r="X296" s="119" t="s">
        <v>36</v>
      </c>
      <c r="Y296" s="124">
        <v>89943</v>
      </c>
      <c r="Z296" s="125" t="s">
        <v>146</v>
      </c>
      <c r="AA296" s="126" t="s">
        <v>56</v>
      </c>
    </row>
    <row r="297" hidden="1" spans="1:27">
      <c r="A297" s="52" t="s">
        <v>832</v>
      </c>
      <c r="B297" s="53" t="s">
        <v>1449</v>
      </c>
      <c r="C297" s="53" t="s">
        <v>1473</v>
      </c>
      <c r="D297" s="53" t="s">
        <v>1474</v>
      </c>
      <c r="E297" s="53" t="s">
        <v>31</v>
      </c>
      <c r="F297" s="53" t="s">
        <v>31</v>
      </c>
      <c r="G297" s="53">
        <v>89328</v>
      </c>
      <c r="H297" s="53">
        <v>88358</v>
      </c>
      <c r="I297" s="53">
        <v>3667099</v>
      </c>
      <c r="J297" s="53" t="s">
        <v>43</v>
      </c>
      <c r="K297" s="53" t="s">
        <v>43</v>
      </c>
      <c r="L297" s="53">
        <v>77681</v>
      </c>
      <c r="M297" s="53" t="e">
        <v>#N/A</v>
      </c>
      <c r="N297" s="53"/>
      <c r="O297" s="53" t="s">
        <v>1475</v>
      </c>
      <c r="P297" s="113"/>
      <c r="Q297" s="53"/>
      <c r="R297" s="53">
        <v>42467280</v>
      </c>
      <c r="S297" s="53" t="s">
        <v>1476</v>
      </c>
      <c r="T297" s="58">
        <v>44026</v>
      </c>
      <c r="U297" s="58">
        <v>44026</v>
      </c>
      <c r="V297" s="59">
        <v>44029</v>
      </c>
      <c r="W297" s="53">
        <v>65</v>
      </c>
      <c r="X297" s="119" t="s">
        <v>36</v>
      </c>
      <c r="Y297" s="124"/>
      <c r="Z297" s="125" t="s">
        <v>146</v>
      </c>
      <c r="AA297" s="126" t="s">
        <v>38</v>
      </c>
    </row>
    <row r="298" hidden="1" spans="1:27">
      <c r="A298" s="54" t="s">
        <v>832</v>
      </c>
      <c r="B298" s="55" t="s">
        <v>1449</v>
      </c>
      <c r="C298" s="55" t="s">
        <v>1477</v>
      </c>
      <c r="D298" s="55" t="s">
        <v>1478</v>
      </c>
      <c r="E298" s="55" t="s">
        <v>51</v>
      </c>
      <c r="F298" s="55" t="s">
        <v>51</v>
      </c>
      <c r="G298" s="55">
        <v>89007</v>
      </c>
      <c r="H298" s="55">
        <v>83376</v>
      </c>
      <c r="I298" s="55">
        <v>2453507</v>
      </c>
      <c r="J298" s="55" t="s">
        <v>77</v>
      </c>
      <c r="K298" s="111" t="s">
        <v>78</v>
      </c>
      <c r="L298" s="55">
        <v>77681</v>
      </c>
      <c r="M298" s="55" t="e">
        <v>#N/A</v>
      </c>
      <c r="N298" s="55" t="s">
        <v>1479</v>
      </c>
      <c r="O298" s="55" t="s">
        <v>1480</v>
      </c>
      <c r="P298" s="112">
        <v>43915</v>
      </c>
      <c r="Q298" s="55" t="s">
        <v>1481</v>
      </c>
      <c r="R298" s="55">
        <v>40533169</v>
      </c>
      <c r="S298" s="55">
        <v>27405331697</v>
      </c>
      <c r="T298" s="115">
        <v>42828</v>
      </c>
      <c r="U298" s="115">
        <v>43259</v>
      </c>
      <c r="V298" s="116">
        <v>43262</v>
      </c>
      <c r="W298" s="55">
        <v>1246</v>
      </c>
      <c r="X298" s="118" t="s">
        <v>36</v>
      </c>
      <c r="Y298" s="127">
        <v>89927</v>
      </c>
      <c r="Z298" s="122" t="s">
        <v>146</v>
      </c>
      <c r="AA298" s="126" t="s">
        <v>56</v>
      </c>
    </row>
    <row r="299" hidden="1" spans="1:27">
      <c r="A299" s="54" t="s">
        <v>832</v>
      </c>
      <c r="B299" s="55" t="s">
        <v>1449</v>
      </c>
      <c r="C299" s="55" t="s">
        <v>1482</v>
      </c>
      <c r="D299" s="55" t="s">
        <v>1483</v>
      </c>
      <c r="E299" s="55" t="s">
        <v>51</v>
      </c>
      <c r="F299" s="55" t="s">
        <v>51</v>
      </c>
      <c r="G299" s="55">
        <v>648307</v>
      </c>
      <c r="H299" s="55">
        <v>87685</v>
      </c>
      <c r="I299" s="55">
        <v>3526349</v>
      </c>
      <c r="J299" s="55" t="s">
        <v>52</v>
      </c>
      <c r="K299" s="111" t="s">
        <v>43</v>
      </c>
      <c r="L299" s="55">
        <v>77681</v>
      </c>
      <c r="M299" s="55" t="e">
        <v>#N/A</v>
      </c>
      <c r="N299" s="55" t="s">
        <v>1484</v>
      </c>
      <c r="O299" s="55" t="s">
        <v>1485</v>
      </c>
      <c r="P299" s="112">
        <v>43989</v>
      </c>
      <c r="Q299" s="55" t="s">
        <v>1486</v>
      </c>
      <c r="R299" s="55">
        <v>42467693</v>
      </c>
      <c r="S299" s="55">
        <v>20424676935</v>
      </c>
      <c r="T299" s="115">
        <v>43745</v>
      </c>
      <c r="U299" s="115">
        <v>43945</v>
      </c>
      <c r="V299" s="116">
        <v>43956</v>
      </c>
      <c r="W299" s="55">
        <v>342</v>
      </c>
      <c r="X299" s="118" t="s">
        <v>36</v>
      </c>
      <c r="Y299" s="127">
        <v>89984</v>
      </c>
      <c r="Z299" s="122" t="s">
        <v>146</v>
      </c>
      <c r="AA299" s="128" t="s">
        <v>56</v>
      </c>
    </row>
    <row r="300" hidden="1" spans="1:27">
      <c r="A300" s="52" t="s">
        <v>832</v>
      </c>
      <c r="B300" s="53" t="s">
        <v>1449</v>
      </c>
      <c r="C300" s="53" t="s">
        <v>958</v>
      </c>
      <c r="D300" s="53" t="s">
        <v>1487</v>
      </c>
      <c r="E300" s="53" t="s">
        <v>31</v>
      </c>
      <c r="F300" s="53" t="s">
        <v>31</v>
      </c>
      <c r="G300" s="53">
        <v>89209</v>
      </c>
      <c r="H300" s="53">
        <v>87053</v>
      </c>
      <c r="I300" s="53">
        <v>3409633</v>
      </c>
      <c r="J300" s="53" t="s">
        <v>52</v>
      </c>
      <c r="K300" s="53" t="s">
        <v>43</v>
      </c>
      <c r="L300" s="53">
        <v>77681</v>
      </c>
      <c r="M300" s="53" t="e">
        <v>#N/A</v>
      </c>
      <c r="N300" s="53" t="s">
        <v>1488</v>
      </c>
      <c r="O300" s="53" t="s">
        <v>1489</v>
      </c>
      <c r="P300" s="113">
        <v>44029</v>
      </c>
      <c r="Q300" s="53" t="s">
        <v>1490</v>
      </c>
      <c r="R300" s="53">
        <v>41495251</v>
      </c>
      <c r="S300" s="53" t="s">
        <v>1491</v>
      </c>
      <c r="T300" s="58">
        <v>43668</v>
      </c>
      <c r="U300" s="58">
        <v>43669</v>
      </c>
      <c r="V300" s="59">
        <v>43678</v>
      </c>
      <c r="W300" s="53">
        <v>417</v>
      </c>
      <c r="X300" s="119" t="s">
        <v>36</v>
      </c>
      <c r="Y300" s="124"/>
      <c r="Z300" s="125" t="s">
        <v>146</v>
      </c>
      <c r="AA300" s="126" t="s">
        <v>275</v>
      </c>
    </row>
    <row r="301" hidden="1" spans="1:27">
      <c r="A301" s="52" t="s">
        <v>832</v>
      </c>
      <c r="B301" s="53" t="s">
        <v>1449</v>
      </c>
      <c r="C301" s="53" t="s">
        <v>677</v>
      </c>
      <c r="D301" s="53" t="s">
        <v>1492</v>
      </c>
      <c r="E301" s="53" t="s">
        <v>51</v>
      </c>
      <c r="F301" s="53" t="s">
        <v>51</v>
      </c>
      <c r="G301" s="53">
        <v>89300</v>
      </c>
      <c r="H301" s="53">
        <v>88161</v>
      </c>
      <c r="I301" s="53">
        <v>3624113</v>
      </c>
      <c r="J301" s="53" t="s">
        <v>52</v>
      </c>
      <c r="K301" s="53" t="s">
        <v>32</v>
      </c>
      <c r="L301" s="53">
        <v>77681</v>
      </c>
      <c r="M301" s="53" t="e">
        <v>#N/A</v>
      </c>
      <c r="N301" s="53" t="s">
        <v>1493</v>
      </c>
      <c r="O301" s="53" t="s">
        <v>1494</v>
      </c>
      <c r="P301" s="113">
        <v>43919</v>
      </c>
      <c r="Q301" s="53"/>
      <c r="R301" s="53">
        <v>34285532</v>
      </c>
      <c r="S301" s="53">
        <v>27342855321</v>
      </c>
      <c r="T301" s="58">
        <v>43808</v>
      </c>
      <c r="U301" s="58">
        <v>43808</v>
      </c>
      <c r="V301" s="59">
        <v>43831</v>
      </c>
      <c r="W301" s="53">
        <v>280</v>
      </c>
      <c r="X301" s="119" t="s">
        <v>36</v>
      </c>
      <c r="Y301" s="124">
        <v>89878</v>
      </c>
      <c r="Z301" s="125" t="s">
        <v>146</v>
      </c>
      <c r="AA301" s="126" t="s">
        <v>56</v>
      </c>
    </row>
    <row r="302" hidden="1" spans="1:27">
      <c r="A302" s="52" t="s">
        <v>832</v>
      </c>
      <c r="B302" s="53" t="s">
        <v>1449</v>
      </c>
      <c r="C302" s="53" t="s">
        <v>677</v>
      </c>
      <c r="D302" s="53" t="s">
        <v>1495</v>
      </c>
      <c r="E302" s="53" t="s">
        <v>51</v>
      </c>
      <c r="F302" s="53" t="s">
        <v>51</v>
      </c>
      <c r="G302" s="129">
        <v>89238</v>
      </c>
      <c r="H302" s="53">
        <v>87299</v>
      </c>
      <c r="I302" s="53">
        <v>3295607</v>
      </c>
      <c r="J302" s="53" t="s">
        <v>52</v>
      </c>
      <c r="K302" s="53" t="s">
        <v>43</v>
      </c>
      <c r="L302" s="53">
        <v>77681</v>
      </c>
      <c r="M302" s="53" t="e">
        <v>#N/A</v>
      </c>
      <c r="N302" s="53" t="s">
        <v>1496</v>
      </c>
      <c r="O302" s="53" t="s">
        <v>1497</v>
      </c>
      <c r="P302" s="113">
        <v>43916</v>
      </c>
      <c r="Q302" s="53">
        <v>3813397461</v>
      </c>
      <c r="R302" s="53">
        <v>43002203</v>
      </c>
      <c r="S302" s="53">
        <v>27430022038</v>
      </c>
      <c r="T302" s="58">
        <v>43703</v>
      </c>
      <c r="U302" s="58">
        <v>43703</v>
      </c>
      <c r="V302" s="59">
        <v>43713</v>
      </c>
      <c r="W302" s="53">
        <v>383</v>
      </c>
      <c r="X302" s="119" t="s">
        <v>36</v>
      </c>
      <c r="Y302" s="124">
        <v>89877</v>
      </c>
      <c r="Z302" s="125" t="s">
        <v>146</v>
      </c>
      <c r="AA302" s="126" t="s">
        <v>56</v>
      </c>
    </row>
    <row r="303" hidden="1" spans="1:27">
      <c r="A303" s="52" t="s">
        <v>832</v>
      </c>
      <c r="B303" s="53" t="s">
        <v>1449</v>
      </c>
      <c r="C303" s="53" t="s">
        <v>1498</v>
      </c>
      <c r="D303" s="53" t="s">
        <v>1499</v>
      </c>
      <c r="E303" s="53" t="s">
        <v>51</v>
      </c>
      <c r="F303" s="53" t="s">
        <v>51</v>
      </c>
      <c r="G303" s="53">
        <v>89064</v>
      </c>
      <c r="H303" s="53">
        <v>85332</v>
      </c>
      <c r="I303" s="53">
        <v>2811367</v>
      </c>
      <c r="J303" s="53" t="s">
        <v>32</v>
      </c>
      <c r="K303" s="53" t="s">
        <v>32</v>
      </c>
      <c r="L303" s="53">
        <v>77681</v>
      </c>
      <c r="M303" s="53" t="e">
        <v>#N/A</v>
      </c>
      <c r="N303" s="53" t="s">
        <v>1500</v>
      </c>
      <c r="O303" s="130" t="s">
        <v>1501</v>
      </c>
      <c r="P303" s="113">
        <v>44033</v>
      </c>
      <c r="Q303" s="53" t="s">
        <v>1502</v>
      </c>
      <c r="R303" s="53">
        <v>36585224</v>
      </c>
      <c r="S303" s="53">
        <v>20365852244</v>
      </c>
      <c r="T303" s="58">
        <v>43171</v>
      </c>
      <c r="U303" s="58">
        <v>43327</v>
      </c>
      <c r="V303" s="59">
        <v>43328</v>
      </c>
      <c r="W303" s="53">
        <v>907</v>
      </c>
      <c r="X303" s="119" t="s">
        <v>36</v>
      </c>
      <c r="Y303" s="124">
        <v>89929</v>
      </c>
      <c r="Z303" s="125" t="s">
        <v>146</v>
      </c>
      <c r="AA303" s="126" t="s">
        <v>56</v>
      </c>
    </row>
    <row r="304" hidden="1" spans="1:27">
      <c r="A304" s="52" t="s">
        <v>832</v>
      </c>
      <c r="B304" s="53" t="s">
        <v>1449</v>
      </c>
      <c r="C304" s="53" t="s">
        <v>1503</v>
      </c>
      <c r="D304" s="53" t="s">
        <v>1504</v>
      </c>
      <c r="E304" s="53" t="s">
        <v>59</v>
      </c>
      <c r="F304" s="53" t="s">
        <v>59</v>
      </c>
      <c r="G304" s="53">
        <v>89187</v>
      </c>
      <c r="H304" s="53">
        <v>86336</v>
      </c>
      <c r="I304" s="53">
        <v>3138449</v>
      </c>
      <c r="J304" s="53" t="s">
        <v>32</v>
      </c>
      <c r="K304" s="53" t="s">
        <v>32</v>
      </c>
      <c r="L304" s="53">
        <v>77681</v>
      </c>
      <c r="M304" s="53" t="e">
        <v>#N/A</v>
      </c>
      <c r="N304" s="53" t="s">
        <v>1505</v>
      </c>
      <c r="O304" s="53" t="s">
        <v>1506</v>
      </c>
      <c r="P304" s="113">
        <v>43945</v>
      </c>
      <c r="Q304" s="53" t="s">
        <v>1507</v>
      </c>
      <c r="R304" s="53">
        <v>42797032</v>
      </c>
      <c r="S304" s="53">
        <v>23427970329</v>
      </c>
      <c r="T304" s="58">
        <v>43460</v>
      </c>
      <c r="U304" s="58">
        <v>43460</v>
      </c>
      <c r="V304" s="59">
        <v>43476</v>
      </c>
      <c r="W304" s="53">
        <v>623</v>
      </c>
      <c r="X304" s="119" t="s">
        <v>36</v>
      </c>
      <c r="Y304" s="124">
        <v>89931</v>
      </c>
      <c r="Z304" s="125" t="s">
        <v>146</v>
      </c>
      <c r="AA304" s="126" t="s">
        <v>56</v>
      </c>
    </row>
    <row r="305" hidden="1" spans="1:27">
      <c r="A305" s="52" t="s">
        <v>832</v>
      </c>
      <c r="B305" s="53" t="s">
        <v>1449</v>
      </c>
      <c r="C305" s="53" t="s">
        <v>1508</v>
      </c>
      <c r="D305" s="53" t="s">
        <v>1509</v>
      </c>
      <c r="E305" s="53" t="s">
        <v>31</v>
      </c>
      <c r="F305" s="53" t="s">
        <v>31</v>
      </c>
      <c r="G305" s="53">
        <v>89326</v>
      </c>
      <c r="H305" s="53">
        <v>88356</v>
      </c>
      <c r="I305" s="53">
        <v>3667097</v>
      </c>
      <c r="J305" s="53" t="s">
        <v>43</v>
      </c>
      <c r="K305" s="53" t="s">
        <v>43</v>
      </c>
      <c r="L305" s="53">
        <v>77681</v>
      </c>
      <c r="M305" s="53" t="e">
        <v>#N/A</v>
      </c>
      <c r="N305" s="53"/>
      <c r="O305" s="53" t="s">
        <v>1510</v>
      </c>
      <c r="P305" s="113"/>
      <c r="Q305" s="53"/>
      <c r="R305" s="53">
        <v>40356980</v>
      </c>
      <c r="S305" s="53" t="s">
        <v>1511</v>
      </c>
      <c r="T305" s="58">
        <v>44026</v>
      </c>
      <c r="U305" s="58">
        <v>44026</v>
      </c>
      <c r="V305" s="59">
        <v>44029</v>
      </c>
      <c r="W305" s="53">
        <v>65</v>
      </c>
      <c r="X305" s="119" t="s">
        <v>36</v>
      </c>
      <c r="Y305" s="124"/>
      <c r="Z305" s="125" t="s">
        <v>146</v>
      </c>
      <c r="AA305" s="126" t="s">
        <v>38</v>
      </c>
    </row>
    <row r="306" hidden="1" spans="1:27">
      <c r="A306" s="52" t="s">
        <v>832</v>
      </c>
      <c r="B306" s="53" t="s">
        <v>1449</v>
      </c>
      <c r="C306" s="53" t="s">
        <v>1512</v>
      </c>
      <c r="D306" s="53" t="s">
        <v>1513</v>
      </c>
      <c r="E306" s="53" t="s">
        <v>51</v>
      </c>
      <c r="F306" s="53" t="s">
        <v>51</v>
      </c>
      <c r="G306" s="53">
        <v>89101</v>
      </c>
      <c r="H306" s="53">
        <v>83362</v>
      </c>
      <c r="I306" s="53">
        <v>2178550</v>
      </c>
      <c r="J306" s="53" t="s">
        <v>66</v>
      </c>
      <c r="K306" s="53" t="s">
        <v>66</v>
      </c>
      <c r="L306" s="53">
        <v>77681</v>
      </c>
      <c r="M306" s="53" t="e">
        <v>#N/A</v>
      </c>
      <c r="N306" s="53" t="s">
        <v>1514</v>
      </c>
      <c r="O306" s="53" t="s">
        <v>1515</v>
      </c>
      <c r="P306" s="113">
        <v>43921</v>
      </c>
      <c r="Q306" s="53">
        <v>153048278</v>
      </c>
      <c r="R306" s="53">
        <v>39975325</v>
      </c>
      <c r="S306" s="53">
        <v>20399753253</v>
      </c>
      <c r="T306" s="58">
        <v>42828</v>
      </c>
      <c r="U306" s="58">
        <v>43409</v>
      </c>
      <c r="V306" s="59">
        <v>43423</v>
      </c>
      <c r="W306" s="53">
        <v>1246</v>
      </c>
      <c r="X306" s="119" t="s">
        <v>36</v>
      </c>
      <c r="Y306" s="124">
        <v>89936</v>
      </c>
      <c r="Z306" s="125" t="s">
        <v>146</v>
      </c>
      <c r="AA306" s="126" t="s">
        <v>56</v>
      </c>
    </row>
    <row r="307" hidden="1" spans="1:27">
      <c r="A307" s="54" t="s">
        <v>1516</v>
      </c>
      <c r="B307" s="55" t="s">
        <v>1449</v>
      </c>
      <c r="C307" s="55" t="s">
        <v>393</v>
      </c>
      <c r="D307" s="55" t="s">
        <v>1517</v>
      </c>
      <c r="E307" s="55" t="s">
        <v>41</v>
      </c>
      <c r="F307" s="55" t="s">
        <v>41</v>
      </c>
      <c r="G307" s="53">
        <v>89231</v>
      </c>
      <c r="H307" s="53">
        <v>87313</v>
      </c>
      <c r="I307" s="53">
        <v>2001850</v>
      </c>
      <c r="J307" s="53" t="s">
        <v>32</v>
      </c>
      <c r="K307" s="53" t="s">
        <v>32</v>
      </c>
      <c r="L307" s="53">
        <v>77681</v>
      </c>
      <c r="M307" s="53" t="e">
        <v>#N/A</v>
      </c>
      <c r="N307" s="53" t="s">
        <v>1518</v>
      </c>
      <c r="O307" s="53" t="s">
        <v>1519</v>
      </c>
      <c r="P307" s="113">
        <v>44033</v>
      </c>
      <c r="Q307" s="53">
        <v>3816699242</v>
      </c>
      <c r="R307" s="53">
        <v>37658363</v>
      </c>
      <c r="S307" s="53" t="s">
        <v>1520</v>
      </c>
      <c r="T307" s="58">
        <v>43703</v>
      </c>
      <c r="U307" s="58">
        <v>43703</v>
      </c>
      <c r="V307" s="59">
        <v>43713</v>
      </c>
      <c r="W307" s="53">
        <v>383</v>
      </c>
      <c r="X307" s="119" t="s">
        <v>36</v>
      </c>
      <c r="Y307" s="124"/>
      <c r="Z307" s="125" t="s">
        <v>146</v>
      </c>
      <c r="AA307" s="126" t="s">
        <v>275</v>
      </c>
    </row>
    <row r="308" hidden="1" spans="1:27">
      <c r="A308" s="54" t="s">
        <v>832</v>
      </c>
      <c r="B308" s="55" t="s">
        <v>1449</v>
      </c>
      <c r="C308" s="55" t="s">
        <v>1521</v>
      </c>
      <c r="D308" s="55" t="s">
        <v>993</v>
      </c>
      <c r="E308" s="55" t="s">
        <v>51</v>
      </c>
      <c r="F308" s="55" t="s">
        <v>51</v>
      </c>
      <c r="G308" s="55">
        <v>648317</v>
      </c>
      <c r="H308" s="55">
        <v>87259</v>
      </c>
      <c r="I308" s="55">
        <v>3448408</v>
      </c>
      <c r="J308" s="55" t="s">
        <v>60</v>
      </c>
      <c r="K308" s="111" t="s">
        <v>43</v>
      </c>
      <c r="L308" s="55">
        <v>77681</v>
      </c>
      <c r="M308" s="55" t="e">
        <v>#N/A</v>
      </c>
      <c r="N308" s="55" t="s">
        <v>1522</v>
      </c>
      <c r="O308" s="55" t="s">
        <v>1523</v>
      </c>
      <c r="P308" s="112">
        <v>43955</v>
      </c>
      <c r="Q308" s="55" t="s">
        <v>1524</v>
      </c>
      <c r="R308" s="55">
        <v>36690903</v>
      </c>
      <c r="S308" s="55">
        <v>27366909031</v>
      </c>
      <c r="T308" s="115">
        <v>43692</v>
      </c>
      <c r="U308" s="115">
        <v>43945</v>
      </c>
      <c r="V308" s="116">
        <v>43956</v>
      </c>
      <c r="W308" s="55">
        <v>394</v>
      </c>
      <c r="X308" s="118" t="s">
        <v>36</v>
      </c>
      <c r="Y308" s="127">
        <v>89991</v>
      </c>
      <c r="Z308" s="122" t="s">
        <v>146</v>
      </c>
      <c r="AA308" s="128" t="s">
        <v>56</v>
      </c>
    </row>
    <row r="309" hidden="1" spans="1:27">
      <c r="A309" s="52" t="s">
        <v>832</v>
      </c>
      <c r="B309" s="53" t="s">
        <v>1200</v>
      </c>
      <c r="C309" s="53" t="s">
        <v>1525</v>
      </c>
      <c r="D309" s="53" t="s">
        <v>1526</v>
      </c>
      <c r="E309" s="53" t="s">
        <v>134</v>
      </c>
      <c r="F309" s="53" t="s">
        <v>134</v>
      </c>
      <c r="G309" s="129">
        <v>89223</v>
      </c>
      <c r="H309" s="53">
        <v>87320</v>
      </c>
      <c r="I309" s="53">
        <v>3462531</v>
      </c>
      <c r="J309" s="53" t="s">
        <v>32</v>
      </c>
      <c r="K309" s="53" t="s">
        <v>32</v>
      </c>
      <c r="L309" s="53">
        <v>81755</v>
      </c>
      <c r="M309" s="53" t="e">
        <v>#N/A</v>
      </c>
      <c r="N309" s="53" t="s">
        <v>1527</v>
      </c>
      <c r="O309" s="53" t="s">
        <v>1528</v>
      </c>
      <c r="P309" s="113">
        <v>43945</v>
      </c>
      <c r="Q309" s="53">
        <v>3814735728</v>
      </c>
      <c r="R309" s="53">
        <v>39477028</v>
      </c>
      <c r="S309" s="53" t="s">
        <v>1529</v>
      </c>
      <c r="T309" s="58">
        <v>43703</v>
      </c>
      <c r="U309" s="58">
        <v>43703</v>
      </c>
      <c r="V309" s="59">
        <v>43713</v>
      </c>
      <c r="W309" s="53">
        <v>383</v>
      </c>
      <c r="X309" s="119" t="s">
        <v>36</v>
      </c>
      <c r="Y309" s="124">
        <v>89885</v>
      </c>
      <c r="Z309" s="125" t="s">
        <v>37</v>
      </c>
      <c r="AA309" s="126" t="s">
        <v>275</v>
      </c>
    </row>
    <row r="310" hidden="1" spans="1:27">
      <c r="A310" s="52" t="s">
        <v>832</v>
      </c>
      <c r="B310" s="53" t="s">
        <v>1200</v>
      </c>
      <c r="C310" s="53" t="s">
        <v>1530</v>
      </c>
      <c r="D310" s="53" t="s">
        <v>1531</v>
      </c>
      <c r="E310" s="53" t="s">
        <v>359</v>
      </c>
      <c r="F310" s="53" t="s">
        <v>359</v>
      </c>
      <c r="G310" s="53">
        <v>89023</v>
      </c>
      <c r="H310" s="53">
        <v>85615</v>
      </c>
      <c r="I310" s="53">
        <v>2646185</v>
      </c>
      <c r="J310" s="53" t="s">
        <v>60</v>
      </c>
      <c r="K310" s="53" t="s">
        <v>43</v>
      </c>
      <c r="L310" s="53">
        <v>81755</v>
      </c>
      <c r="M310" s="53" t="e">
        <v>#N/A</v>
      </c>
      <c r="N310" s="53" t="s">
        <v>1532</v>
      </c>
      <c r="O310" s="53" t="s">
        <v>1533</v>
      </c>
      <c r="P310" s="113">
        <v>43912</v>
      </c>
      <c r="Q310" s="53" t="s">
        <v>1534</v>
      </c>
      <c r="R310" s="53">
        <v>39355647</v>
      </c>
      <c r="S310" s="53" t="s">
        <v>1535</v>
      </c>
      <c r="T310" s="58">
        <v>43227</v>
      </c>
      <c r="U310" s="58">
        <v>43259</v>
      </c>
      <c r="V310" s="59">
        <v>43262</v>
      </c>
      <c r="W310" s="53">
        <v>852</v>
      </c>
      <c r="X310" s="119" t="s">
        <v>36</v>
      </c>
      <c r="Y310" s="124">
        <v>89887</v>
      </c>
      <c r="Z310" s="125" t="s">
        <v>37</v>
      </c>
      <c r="AA310" s="126" t="s">
        <v>1536</v>
      </c>
    </row>
    <row r="311" hidden="1" spans="1:27">
      <c r="A311" s="52" t="s">
        <v>832</v>
      </c>
      <c r="B311" s="53" t="s">
        <v>1200</v>
      </c>
      <c r="C311" s="53" t="s">
        <v>1537</v>
      </c>
      <c r="D311" s="53" t="s">
        <v>1538</v>
      </c>
      <c r="E311" s="53" t="s">
        <v>41</v>
      </c>
      <c r="F311" s="53" t="s">
        <v>41</v>
      </c>
      <c r="G311" s="53">
        <v>89316</v>
      </c>
      <c r="H311" s="53">
        <v>88346</v>
      </c>
      <c r="I311" s="53">
        <v>3667089</v>
      </c>
      <c r="J311" s="53" t="s">
        <v>43</v>
      </c>
      <c r="K311" s="53" t="s">
        <v>43</v>
      </c>
      <c r="L311" s="53">
        <v>81755</v>
      </c>
      <c r="M311" s="53" t="e">
        <v>#N/A</v>
      </c>
      <c r="N311" s="53" t="s">
        <v>1539</v>
      </c>
      <c r="O311" s="53" t="s">
        <v>1540</v>
      </c>
      <c r="P311" s="113">
        <v>43912</v>
      </c>
      <c r="Q311" s="53"/>
      <c r="R311" s="53">
        <v>96001421</v>
      </c>
      <c r="S311" s="53" t="s">
        <v>1541</v>
      </c>
      <c r="T311" s="58">
        <v>43852</v>
      </c>
      <c r="U311" s="58">
        <v>43852</v>
      </c>
      <c r="V311" s="59">
        <v>43873</v>
      </c>
      <c r="W311" s="53">
        <v>237</v>
      </c>
      <c r="X311" s="119" t="s">
        <v>36</v>
      </c>
      <c r="Y311" s="124">
        <v>89886</v>
      </c>
      <c r="Z311" s="125" t="s">
        <v>37</v>
      </c>
      <c r="AA311" s="126" t="s">
        <v>275</v>
      </c>
    </row>
    <row r="312" hidden="1" spans="1:27">
      <c r="A312" s="52" t="s">
        <v>832</v>
      </c>
      <c r="B312" s="53" t="s">
        <v>1200</v>
      </c>
      <c r="C312" s="53" t="s">
        <v>1542</v>
      </c>
      <c r="D312" s="53" t="s">
        <v>1543</v>
      </c>
      <c r="E312" s="53" t="s">
        <v>134</v>
      </c>
      <c r="F312" s="53" t="s">
        <v>134</v>
      </c>
      <c r="G312" s="53">
        <v>89321</v>
      </c>
      <c r="H312" s="53">
        <v>88351</v>
      </c>
      <c r="I312" s="53">
        <v>3123376</v>
      </c>
      <c r="J312" s="53" t="s">
        <v>32</v>
      </c>
      <c r="K312" s="53" t="s">
        <v>32</v>
      </c>
      <c r="L312" s="53">
        <v>81755</v>
      </c>
      <c r="M312" s="53" t="e">
        <v>#N/A</v>
      </c>
      <c r="N312" s="53" t="s">
        <v>1544</v>
      </c>
      <c r="O312" s="53" t="s">
        <v>1545</v>
      </c>
      <c r="P312" s="113">
        <v>43912</v>
      </c>
      <c r="Q312" s="53"/>
      <c r="R312" s="53">
        <v>40357988</v>
      </c>
      <c r="S312" s="53" t="s">
        <v>1546</v>
      </c>
      <c r="T312" s="58">
        <v>43852</v>
      </c>
      <c r="U312" s="58">
        <v>43852</v>
      </c>
      <c r="V312" s="59">
        <v>43873</v>
      </c>
      <c r="W312" s="53">
        <v>237</v>
      </c>
      <c r="X312" s="119" t="s">
        <v>36</v>
      </c>
      <c r="Y312" s="124">
        <v>89759</v>
      </c>
      <c r="Z312" s="125" t="s">
        <v>37</v>
      </c>
      <c r="AA312" s="126" t="s">
        <v>275</v>
      </c>
    </row>
    <row r="313" hidden="1" spans="1:27">
      <c r="A313" s="52" t="s">
        <v>832</v>
      </c>
      <c r="B313" s="53" t="s">
        <v>1200</v>
      </c>
      <c r="C313" s="53" t="s">
        <v>1547</v>
      </c>
      <c r="D313" s="53" t="s">
        <v>1548</v>
      </c>
      <c r="E313" s="53" t="s">
        <v>134</v>
      </c>
      <c r="F313" s="53" t="s">
        <v>134</v>
      </c>
      <c r="G313" s="129">
        <v>89226</v>
      </c>
      <c r="H313" s="53">
        <v>87319</v>
      </c>
      <c r="I313" s="53">
        <v>3462528</v>
      </c>
      <c r="J313" s="53" t="s">
        <v>32</v>
      </c>
      <c r="K313" s="53" t="s">
        <v>32</v>
      </c>
      <c r="L313" s="53">
        <v>81755</v>
      </c>
      <c r="M313" s="53" t="e">
        <v>#N/A</v>
      </c>
      <c r="N313" s="53" t="s">
        <v>1549</v>
      </c>
      <c r="O313" s="53" t="s">
        <v>1550</v>
      </c>
      <c r="P313" s="113">
        <v>43915</v>
      </c>
      <c r="Q313" s="53" t="s">
        <v>420</v>
      </c>
      <c r="R313" s="53">
        <v>41649361</v>
      </c>
      <c r="S313" s="53" t="s">
        <v>1551</v>
      </c>
      <c r="T313" s="58">
        <v>43703</v>
      </c>
      <c r="U313" s="58">
        <v>43703</v>
      </c>
      <c r="V313" s="59">
        <v>43713</v>
      </c>
      <c r="W313" s="53">
        <v>383</v>
      </c>
      <c r="X313" s="119" t="s">
        <v>36</v>
      </c>
      <c r="Y313" s="124">
        <v>89760</v>
      </c>
      <c r="Z313" s="125" t="s">
        <v>37</v>
      </c>
      <c r="AA313" s="126" t="s">
        <v>275</v>
      </c>
    </row>
    <row r="314" hidden="1" spans="1:27">
      <c r="A314" s="52" t="s">
        <v>832</v>
      </c>
      <c r="B314" s="53" t="s">
        <v>1200</v>
      </c>
      <c r="C314" s="53" t="s">
        <v>1552</v>
      </c>
      <c r="D314" s="53" t="s">
        <v>1553</v>
      </c>
      <c r="E314" s="53" t="s">
        <v>134</v>
      </c>
      <c r="F314" s="53" t="s">
        <v>134</v>
      </c>
      <c r="G314" s="53">
        <v>89291</v>
      </c>
      <c r="H314" s="53">
        <v>88153</v>
      </c>
      <c r="I314" s="53">
        <v>3624035</v>
      </c>
      <c r="J314" s="53" t="s">
        <v>52</v>
      </c>
      <c r="K314" s="53" t="s">
        <v>32</v>
      </c>
      <c r="L314" s="53">
        <v>81755</v>
      </c>
      <c r="M314" s="53" t="e">
        <v>#N/A</v>
      </c>
      <c r="N314" s="53" t="s">
        <v>1554</v>
      </c>
      <c r="O314" s="53" t="s">
        <v>1555</v>
      </c>
      <c r="P314" s="113">
        <v>43917</v>
      </c>
      <c r="Q314" s="53"/>
      <c r="R314" s="53">
        <v>38184629</v>
      </c>
      <c r="S314" s="53">
        <v>27381846291</v>
      </c>
      <c r="T314" s="58">
        <v>43808</v>
      </c>
      <c r="U314" s="58">
        <v>43808</v>
      </c>
      <c r="V314" s="59">
        <v>43831</v>
      </c>
      <c r="W314" s="53">
        <v>280</v>
      </c>
      <c r="X314" s="119" t="s">
        <v>36</v>
      </c>
      <c r="Y314" s="124">
        <v>89761</v>
      </c>
      <c r="Z314" s="125" t="s">
        <v>37</v>
      </c>
      <c r="AA314" s="126" t="s">
        <v>275</v>
      </c>
    </row>
    <row r="315" hidden="1" spans="1:27">
      <c r="A315" s="52" t="s">
        <v>832</v>
      </c>
      <c r="B315" s="53" t="s">
        <v>1200</v>
      </c>
      <c r="C315" s="53" t="s">
        <v>1556</v>
      </c>
      <c r="D315" s="53" t="s">
        <v>1557</v>
      </c>
      <c r="E315" s="53" t="s">
        <v>134</v>
      </c>
      <c r="F315" s="53" t="s">
        <v>134</v>
      </c>
      <c r="G315" s="53">
        <v>89183</v>
      </c>
      <c r="H315" s="53">
        <v>86343</v>
      </c>
      <c r="I315" s="53">
        <v>3138530</v>
      </c>
      <c r="J315" s="53" t="s">
        <v>32</v>
      </c>
      <c r="K315" s="53" t="s">
        <v>32</v>
      </c>
      <c r="L315" s="53">
        <v>81755</v>
      </c>
      <c r="M315" s="53" t="e">
        <v>#N/A</v>
      </c>
      <c r="N315" s="53" t="s">
        <v>1558</v>
      </c>
      <c r="O315" s="53" t="s">
        <v>1559</v>
      </c>
      <c r="P315" s="113">
        <v>43917</v>
      </c>
      <c r="Q315" s="53" t="s">
        <v>1560</v>
      </c>
      <c r="R315" s="53">
        <v>38216500</v>
      </c>
      <c r="S315" s="53">
        <v>23382165004</v>
      </c>
      <c r="T315" s="58">
        <v>43460</v>
      </c>
      <c r="U315" s="58">
        <v>43460</v>
      </c>
      <c r="V315" s="59">
        <v>43476</v>
      </c>
      <c r="W315" s="53">
        <v>623</v>
      </c>
      <c r="X315" s="119" t="s">
        <v>36</v>
      </c>
      <c r="Y315" s="124">
        <v>89943</v>
      </c>
      <c r="Z315" s="125" t="s">
        <v>37</v>
      </c>
      <c r="AA315" s="126" t="s">
        <v>275</v>
      </c>
    </row>
    <row r="316" hidden="1" spans="1:27">
      <c r="A316" s="54" t="s">
        <v>832</v>
      </c>
      <c r="B316" s="55" t="s">
        <v>1200</v>
      </c>
      <c r="C316" s="55" t="s">
        <v>1561</v>
      </c>
      <c r="D316" s="55" t="s">
        <v>1562</v>
      </c>
      <c r="E316" s="55" t="s">
        <v>134</v>
      </c>
      <c r="F316" s="55" t="s">
        <v>134</v>
      </c>
      <c r="G316" s="55">
        <v>89123</v>
      </c>
      <c r="H316" s="55">
        <v>86151</v>
      </c>
      <c r="I316" s="55">
        <v>3118301</v>
      </c>
      <c r="J316" s="55" t="s">
        <v>32</v>
      </c>
      <c r="K316" s="111" t="s">
        <v>32</v>
      </c>
      <c r="L316" s="55">
        <v>81755</v>
      </c>
      <c r="M316" s="55" t="e">
        <v>#N/A</v>
      </c>
      <c r="N316" s="55" t="s">
        <v>1563</v>
      </c>
      <c r="O316" s="55" t="s">
        <v>1564</v>
      </c>
      <c r="P316" s="112">
        <v>43912</v>
      </c>
      <c r="Q316" s="55" t="s">
        <v>1565</v>
      </c>
      <c r="R316" s="55">
        <v>38184365</v>
      </c>
      <c r="S316" s="55" t="s">
        <v>1566</v>
      </c>
      <c r="T316" s="115">
        <v>43437</v>
      </c>
      <c r="U316" s="115">
        <v>43437</v>
      </c>
      <c r="V316" s="116">
        <v>43448</v>
      </c>
      <c r="W316" s="55">
        <v>646</v>
      </c>
      <c r="X316" s="118" t="s">
        <v>36</v>
      </c>
      <c r="Y316" s="127">
        <v>89762</v>
      </c>
      <c r="Z316" s="122" t="s">
        <v>37</v>
      </c>
      <c r="AA316" s="128" t="s">
        <v>275</v>
      </c>
    </row>
    <row r="317" hidden="1" spans="1:27">
      <c r="A317" s="52" t="s">
        <v>832</v>
      </c>
      <c r="B317" s="53" t="s">
        <v>1200</v>
      </c>
      <c r="C317" s="53" t="s">
        <v>1048</v>
      </c>
      <c r="D317" s="53" t="s">
        <v>1567</v>
      </c>
      <c r="E317" s="53" t="s">
        <v>134</v>
      </c>
      <c r="F317" s="53" t="s">
        <v>134</v>
      </c>
      <c r="G317" s="53">
        <v>89094</v>
      </c>
      <c r="H317" s="53">
        <v>85804</v>
      </c>
      <c r="I317" s="53">
        <v>2911897</v>
      </c>
      <c r="J317" s="53" t="s">
        <v>32</v>
      </c>
      <c r="K317" s="53" t="s">
        <v>32</v>
      </c>
      <c r="L317" s="53">
        <v>81755</v>
      </c>
      <c r="M317" s="53" t="e">
        <v>#N/A</v>
      </c>
      <c r="N317" s="53" t="s">
        <v>1568</v>
      </c>
      <c r="O317" s="53" t="s">
        <v>1569</v>
      </c>
      <c r="P317" s="113">
        <v>43916</v>
      </c>
      <c r="Q317" s="53" t="s">
        <v>1570</v>
      </c>
      <c r="R317" s="53">
        <v>39575074</v>
      </c>
      <c r="S317" s="53">
        <v>20395750748</v>
      </c>
      <c r="T317" s="58">
        <v>43262</v>
      </c>
      <c r="U317" s="58">
        <v>43409</v>
      </c>
      <c r="V317" s="59">
        <v>43423</v>
      </c>
      <c r="W317" s="53">
        <v>818</v>
      </c>
      <c r="X317" s="119" t="s">
        <v>36</v>
      </c>
      <c r="Y317" s="124">
        <v>89945</v>
      </c>
      <c r="Z317" s="125" t="s">
        <v>37</v>
      </c>
      <c r="AA317" s="126" t="s">
        <v>275</v>
      </c>
    </row>
    <row r="318" hidden="1" spans="1:27">
      <c r="A318" s="52" t="s">
        <v>832</v>
      </c>
      <c r="B318" s="53" t="s">
        <v>1200</v>
      </c>
      <c r="C318" s="53" t="s">
        <v>1407</v>
      </c>
      <c r="D318" s="53" t="s">
        <v>1571</v>
      </c>
      <c r="E318" s="53" t="s">
        <v>134</v>
      </c>
      <c r="F318" s="53" t="s">
        <v>134</v>
      </c>
      <c r="G318" s="53">
        <v>648067</v>
      </c>
      <c r="H318" s="53">
        <v>88350</v>
      </c>
      <c r="I318" s="53">
        <v>3667092</v>
      </c>
      <c r="J318" s="53" t="s">
        <v>32</v>
      </c>
      <c r="K318" s="53" t="s">
        <v>32</v>
      </c>
      <c r="L318" s="53">
        <v>81755</v>
      </c>
      <c r="M318" s="53" t="e">
        <v>#N/A</v>
      </c>
      <c r="N318" s="53" t="s">
        <v>1572</v>
      </c>
      <c r="O318" s="53" t="s">
        <v>1573</v>
      </c>
      <c r="P318" s="113">
        <v>43943</v>
      </c>
      <c r="Q318" s="53" t="s">
        <v>1574</v>
      </c>
      <c r="R318" s="53">
        <v>37727877</v>
      </c>
      <c r="S318" s="53" t="s">
        <v>1575</v>
      </c>
      <c r="T318" s="58">
        <v>43942</v>
      </c>
      <c r="U318" s="58">
        <v>43942</v>
      </c>
      <c r="V318" s="59">
        <v>43943</v>
      </c>
      <c r="W318" s="53">
        <v>148</v>
      </c>
      <c r="X318" s="119" t="s">
        <v>36</v>
      </c>
      <c r="Y318" s="124">
        <v>89763</v>
      </c>
      <c r="Z318" s="125" t="s">
        <v>37</v>
      </c>
      <c r="AA318" s="126" t="s">
        <v>275</v>
      </c>
    </row>
    <row r="319" hidden="1" spans="1:27">
      <c r="A319" s="70" t="s">
        <v>832</v>
      </c>
      <c r="B319" s="71" t="s">
        <v>1204</v>
      </c>
      <c r="C319" s="71" t="s">
        <v>287</v>
      </c>
      <c r="D319" s="71" t="s">
        <v>1576</v>
      </c>
      <c r="E319" s="71" t="s">
        <v>134</v>
      </c>
      <c r="F319" s="71" t="s">
        <v>134</v>
      </c>
      <c r="G319" s="55">
        <v>648231</v>
      </c>
      <c r="H319" s="55">
        <v>81663</v>
      </c>
      <c r="I319" s="55">
        <v>2025854</v>
      </c>
      <c r="J319" s="55" t="s">
        <v>43</v>
      </c>
      <c r="K319" s="111" t="s">
        <v>43</v>
      </c>
      <c r="L319" s="55">
        <v>79943</v>
      </c>
      <c r="M319" s="55" t="e">
        <v>#N/A</v>
      </c>
      <c r="N319" s="55" t="s">
        <v>1577</v>
      </c>
      <c r="O319" s="55" t="s">
        <v>1578</v>
      </c>
      <c r="P319" s="112">
        <v>43935</v>
      </c>
      <c r="Q319" s="55" t="s">
        <v>1579</v>
      </c>
      <c r="R319" s="55">
        <v>39139933</v>
      </c>
      <c r="S319" s="55">
        <v>27391399331</v>
      </c>
      <c r="T319" s="115">
        <v>42461</v>
      </c>
      <c r="U319" s="115">
        <v>43930</v>
      </c>
      <c r="V319" s="116">
        <v>43935</v>
      </c>
      <c r="W319" s="55">
        <v>1608</v>
      </c>
      <c r="X319" s="118" t="s">
        <v>36</v>
      </c>
      <c r="Y319" s="127">
        <v>89921</v>
      </c>
      <c r="Z319" s="122" t="s">
        <v>37</v>
      </c>
      <c r="AA319" s="128" t="s">
        <v>275</v>
      </c>
    </row>
    <row r="320" hidden="1" spans="1:27">
      <c r="A320" s="52" t="s">
        <v>832</v>
      </c>
      <c r="B320" s="53" t="s">
        <v>1200</v>
      </c>
      <c r="C320" s="53" t="s">
        <v>186</v>
      </c>
      <c r="D320" s="53" t="s">
        <v>1580</v>
      </c>
      <c r="E320" s="53" t="s">
        <v>134</v>
      </c>
      <c r="F320" s="53" t="s">
        <v>134</v>
      </c>
      <c r="G320" s="53">
        <v>89129</v>
      </c>
      <c r="H320" s="53">
        <v>86144</v>
      </c>
      <c r="I320" s="53">
        <v>3118271</v>
      </c>
      <c r="J320" s="53" t="s">
        <v>42</v>
      </c>
      <c r="K320" s="53" t="s">
        <v>43</v>
      </c>
      <c r="L320" s="53">
        <v>81755</v>
      </c>
      <c r="M320" s="53" t="e">
        <v>#N/A</v>
      </c>
      <c r="N320" s="53" t="s">
        <v>1581</v>
      </c>
      <c r="O320" s="53" t="s">
        <v>1582</v>
      </c>
      <c r="P320" s="113">
        <v>43915</v>
      </c>
      <c r="Q320" s="53" t="s">
        <v>1583</v>
      </c>
      <c r="R320" s="53">
        <v>40217271</v>
      </c>
      <c r="S320" s="53" t="s">
        <v>1584</v>
      </c>
      <c r="T320" s="58">
        <v>43437</v>
      </c>
      <c r="U320" s="58">
        <v>43437</v>
      </c>
      <c r="V320" s="59">
        <v>43448</v>
      </c>
      <c r="W320" s="53">
        <v>646</v>
      </c>
      <c r="X320" s="119" t="s">
        <v>36</v>
      </c>
      <c r="Y320" s="124">
        <v>89764</v>
      </c>
      <c r="Z320" s="125" t="s">
        <v>37</v>
      </c>
      <c r="AA320" s="126" t="s">
        <v>275</v>
      </c>
    </row>
    <row r="321" hidden="1" spans="1:27">
      <c r="A321" s="70" t="s">
        <v>832</v>
      </c>
      <c r="B321" s="71" t="s">
        <v>1204</v>
      </c>
      <c r="C321" s="71" t="s">
        <v>383</v>
      </c>
      <c r="D321" s="71" t="s">
        <v>980</v>
      </c>
      <c r="E321" s="71" t="s">
        <v>134</v>
      </c>
      <c r="F321" s="71" t="s">
        <v>134</v>
      </c>
      <c r="G321" s="53" t="s">
        <v>1585</v>
      </c>
      <c r="H321" s="53">
        <v>88352</v>
      </c>
      <c r="I321" s="53">
        <v>3667093</v>
      </c>
      <c r="J321" s="53" t="s">
        <v>43</v>
      </c>
      <c r="K321" s="53" t="s">
        <v>43</v>
      </c>
      <c r="L321" s="53">
        <v>79943</v>
      </c>
      <c r="M321" s="53" t="e">
        <v>#N/A</v>
      </c>
      <c r="N321" s="53" t="s">
        <v>1586</v>
      </c>
      <c r="O321" s="53" t="s">
        <v>1587</v>
      </c>
      <c r="P321" s="113">
        <v>43912</v>
      </c>
      <c r="Q321" s="53"/>
      <c r="R321" s="53">
        <v>39698542</v>
      </c>
      <c r="S321" s="53" t="s">
        <v>1588</v>
      </c>
      <c r="T321" s="58">
        <v>43852</v>
      </c>
      <c r="U321" s="58">
        <v>43852</v>
      </c>
      <c r="V321" s="59">
        <v>43873</v>
      </c>
      <c r="W321" s="53">
        <v>237</v>
      </c>
      <c r="X321" s="119" t="s">
        <v>36</v>
      </c>
      <c r="Y321" s="124">
        <v>89765</v>
      </c>
      <c r="Z321" s="125" t="s">
        <v>37</v>
      </c>
      <c r="AA321" s="126" t="s">
        <v>275</v>
      </c>
    </row>
    <row r="322" hidden="1" spans="1:27">
      <c r="A322" s="70" t="s">
        <v>832</v>
      </c>
      <c r="B322" s="71" t="s">
        <v>1276</v>
      </c>
      <c r="C322" s="71" t="s">
        <v>1589</v>
      </c>
      <c r="D322" s="71" t="s">
        <v>1590</v>
      </c>
      <c r="E322" s="71" t="s">
        <v>134</v>
      </c>
      <c r="F322" s="71" t="s">
        <v>134</v>
      </c>
      <c r="G322" s="53">
        <v>89165</v>
      </c>
      <c r="H322" s="53">
        <v>86283</v>
      </c>
      <c r="I322" s="53">
        <v>3133256</v>
      </c>
      <c r="J322" s="53" t="s">
        <v>52</v>
      </c>
      <c r="K322" s="53" t="s">
        <v>795</v>
      </c>
      <c r="L322" s="53">
        <v>83505</v>
      </c>
      <c r="M322" s="53" t="e">
        <v>#N/A</v>
      </c>
      <c r="N322" s="53" t="s">
        <v>1591</v>
      </c>
      <c r="O322" s="53" t="s">
        <v>1592</v>
      </c>
      <c r="P322" s="113">
        <v>43912</v>
      </c>
      <c r="Q322" s="53" t="s">
        <v>1593</v>
      </c>
      <c r="R322" s="53">
        <v>40155412</v>
      </c>
      <c r="S322" s="53" t="s">
        <v>1594</v>
      </c>
      <c r="T322" s="58">
        <v>43451</v>
      </c>
      <c r="U322" s="58">
        <v>43451</v>
      </c>
      <c r="V322" s="59">
        <v>43467</v>
      </c>
      <c r="W322" s="53">
        <v>632</v>
      </c>
      <c r="X322" s="119" t="s">
        <v>36</v>
      </c>
      <c r="Y322" s="124">
        <v>89796</v>
      </c>
      <c r="Z322" s="125" t="s">
        <v>37</v>
      </c>
      <c r="AA322" s="126" t="s">
        <v>275</v>
      </c>
    </row>
    <row r="323" hidden="1" spans="1:27">
      <c r="A323" s="70" t="s">
        <v>832</v>
      </c>
      <c r="B323" s="71" t="s">
        <v>1204</v>
      </c>
      <c r="C323" s="71" t="s">
        <v>1595</v>
      </c>
      <c r="D323" s="71" t="s">
        <v>843</v>
      </c>
      <c r="E323" s="71" t="s">
        <v>134</v>
      </c>
      <c r="F323" s="71" t="s">
        <v>134</v>
      </c>
      <c r="G323" s="53">
        <v>648364</v>
      </c>
      <c r="H323" s="53">
        <v>75493</v>
      </c>
      <c r="I323" s="53">
        <v>717244</v>
      </c>
      <c r="J323" s="53" t="s">
        <v>43</v>
      </c>
      <c r="K323" s="53" t="s">
        <v>43</v>
      </c>
      <c r="L323" s="53">
        <v>79943</v>
      </c>
      <c r="M323" s="53" t="e">
        <v>#N/A</v>
      </c>
      <c r="N323" s="53" t="s">
        <v>1596</v>
      </c>
      <c r="O323" s="53" t="s">
        <v>1597</v>
      </c>
      <c r="P323" s="113">
        <v>43969</v>
      </c>
      <c r="Q323" s="53">
        <v>381155546584</v>
      </c>
      <c r="R323" s="53">
        <v>32132541</v>
      </c>
      <c r="S323" s="53">
        <v>27321325411</v>
      </c>
      <c r="T323" s="58">
        <v>40827</v>
      </c>
      <c r="U323" s="58">
        <v>43962</v>
      </c>
      <c r="V323" s="59">
        <v>43969</v>
      </c>
      <c r="W323" s="53">
        <v>3218</v>
      </c>
      <c r="X323" s="119" t="s">
        <v>36</v>
      </c>
      <c r="Y323" s="124">
        <v>648332</v>
      </c>
      <c r="Z323" s="125" t="s">
        <v>37</v>
      </c>
      <c r="AA323" s="126" t="s">
        <v>275</v>
      </c>
    </row>
    <row r="324" hidden="1" spans="1:27">
      <c r="A324" s="70" t="s">
        <v>832</v>
      </c>
      <c r="B324" s="71" t="s">
        <v>1204</v>
      </c>
      <c r="C324" s="71" t="s">
        <v>745</v>
      </c>
      <c r="D324" s="71" t="s">
        <v>1598</v>
      </c>
      <c r="E324" s="71" t="s">
        <v>134</v>
      </c>
      <c r="F324" s="71" t="s">
        <v>134</v>
      </c>
      <c r="G324" s="53">
        <v>89281</v>
      </c>
      <c r="H324" s="53">
        <v>88143</v>
      </c>
      <c r="I324" s="53">
        <v>3624022</v>
      </c>
      <c r="J324" s="53" t="s">
        <v>43</v>
      </c>
      <c r="K324" s="53" t="s">
        <v>43</v>
      </c>
      <c r="L324" s="53">
        <v>79943</v>
      </c>
      <c r="M324" s="53" t="e">
        <v>#N/A</v>
      </c>
      <c r="N324" s="53" t="s">
        <v>1599</v>
      </c>
      <c r="O324" s="53" t="s">
        <v>1600</v>
      </c>
      <c r="P324" s="113">
        <v>43917</v>
      </c>
      <c r="Q324" s="53"/>
      <c r="R324" s="53">
        <v>32501160</v>
      </c>
      <c r="S324" s="53">
        <v>27325011608</v>
      </c>
      <c r="T324" s="58">
        <v>43808</v>
      </c>
      <c r="U324" s="58">
        <v>43808</v>
      </c>
      <c r="V324" s="59">
        <v>43831</v>
      </c>
      <c r="W324" s="53">
        <v>280</v>
      </c>
      <c r="X324" s="119" t="s">
        <v>36</v>
      </c>
      <c r="Y324" s="124">
        <v>89797</v>
      </c>
      <c r="Z324" s="125" t="s">
        <v>37</v>
      </c>
      <c r="AA324" s="126" t="s">
        <v>275</v>
      </c>
    </row>
    <row r="325" hidden="1" spans="1:27">
      <c r="A325" s="54" t="s">
        <v>832</v>
      </c>
      <c r="B325" s="55" t="s">
        <v>1200</v>
      </c>
      <c r="C325" s="55" t="s">
        <v>562</v>
      </c>
      <c r="D325" s="55" t="s">
        <v>1601</v>
      </c>
      <c r="E325" s="55" t="s">
        <v>134</v>
      </c>
      <c r="F325" s="55" t="s">
        <v>134</v>
      </c>
      <c r="G325" s="55">
        <v>648234</v>
      </c>
      <c r="H325" s="55">
        <v>80591</v>
      </c>
      <c r="I325" s="55">
        <v>1676298</v>
      </c>
      <c r="J325" s="55" t="s">
        <v>43</v>
      </c>
      <c r="K325" s="111" t="s">
        <v>43</v>
      </c>
      <c r="L325" s="55">
        <v>81755</v>
      </c>
      <c r="M325" s="55" t="e">
        <v>#N/A</v>
      </c>
      <c r="N325" s="55" t="s">
        <v>1602</v>
      </c>
      <c r="O325" s="55" t="s">
        <v>1603</v>
      </c>
      <c r="P325" s="112">
        <v>43935</v>
      </c>
      <c r="Q325" s="55" t="s">
        <v>1604</v>
      </c>
      <c r="R325" s="55">
        <v>31253777</v>
      </c>
      <c r="S325" s="55">
        <v>20312537770</v>
      </c>
      <c r="T325" s="115">
        <v>42135</v>
      </c>
      <c r="U325" s="115">
        <v>43930</v>
      </c>
      <c r="V325" s="116">
        <v>43935</v>
      </c>
      <c r="W325" s="55">
        <v>1928</v>
      </c>
      <c r="X325" s="118" t="s">
        <v>36</v>
      </c>
      <c r="Y325" s="127">
        <v>89922</v>
      </c>
      <c r="Z325" s="122" t="s">
        <v>37</v>
      </c>
      <c r="AA325" s="128" t="s">
        <v>275</v>
      </c>
    </row>
    <row r="326" hidden="1" spans="1:27">
      <c r="A326" s="52" t="s">
        <v>832</v>
      </c>
      <c r="B326" s="53" t="s">
        <v>1200</v>
      </c>
      <c r="C326" s="53" t="s">
        <v>1605</v>
      </c>
      <c r="D326" s="53" t="s">
        <v>1606</v>
      </c>
      <c r="E326" s="53" t="s">
        <v>134</v>
      </c>
      <c r="F326" s="53" t="s">
        <v>134</v>
      </c>
      <c r="G326" s="53">
        <v>89013</v>
      </c>
      <c r="H326" s="53">
        <v>72480</v>
      </c>
      <c r="I326" s="53">
        <v>538948</v>
      </c>
      <c r="J326" s="53" t="s">
        <v>32</v>
      </c>
      <c r="K326" s="53" t="s">
        <v>32</v>
      </c>
      <c r="L326" s="53">
        <v>81755</v>
      </c>
      <c r="M326" s="53" t="e">
        <v>#N/A</v>
      </c>
      <c r="N326" s="53" t="s">
        <v>1607</v>
      </c>
      <c r="O326" s="53" t="s">
        <v>1608</v>
      </c>
      <c r="P326" s="113">
        <v>43956</v>
      </c>
      <c r="Q326" s="53" t="s">
        <v>1609</v>
      </c>
      <c r="R326" s="53">
        <v>36049213</v>
      </c>
      <c r="S326" s="53">
        <v>20360492134</v>
      </c>
      <c r="T326" s="58">
        <v>40413</v>
      </c>
      <c r="U326" s="58">
        <v>43259</v>
      </c>
      <c r="V326" s="59">
        <v>43262</v>
      </c>
      <c r="W326" s="53">
        <v>3626</v>
      </c>
      <c r="X326" s="119" t="s">
        <v>36</v>
      </c>
      <c r="Y326" s="124">
        <v>89981</v>
      </c>
      <c r="Z326" s="125" t="s">
        <v>37</v>
      </c>
      <c r="AA326" s="126" t="s">
        <v>275</v>
      </c>
    </row>
    <row r="327" hidden="1" spans="1:27">
      <c r="A327" s="52" t="s">
        <v>832</v>
      </c>
      <c r="B327" s="53" t="s">
        <v>1200</v>
      </c>
      <c r="C327" s="53" t="s">
        <v>1610</v>
      </c>
      <c r="D327" s="53" t="s">
        <v>1611</v>
      </c>
      <c r="E327" s="53" t="s">
        <v>134</v>
      </c>
      <c r="F327" s="53" t="s">
        <v>134</v>
      </c>
      <c r="G327" s="53">
        <v>89174</v>
      </c>
      <c r="H327" s="53">
        <v>86284</v>
      </c>
      <c r="I327" s="53">
        <v>1412049</v>
      </c>
      <c r="J327" s="53" t="s">
        <v>32</v>
      </c>
      <c r="K327" s="53" t="s">
        <v>32</v>
      </c>
      <c r="L327" s="53">
        <v>81755</v>
      </c>
      <c r="M327" s="53" t="e">
        <v>#N/A</v>
      </c>
      <c r="N327" s="53" t="s">
        <v>1612</v>
      </c>
      <c r="O327" s="53" t="s">
        <v>1613</v>
      </c>
      <c r="P327" s="113">
        <v>43916</v>
      </c>
      <c r="Q327" s="53" t="s">
        <v>1614</v>
      </c>
      <c r="R327" s="53">
        <v>34186702</v>
      </c>
      <c r="S327" s="53" t="s">
        <v>1615</v>
      </c>
      <c r="T327" s="58">
        <v>43451</v>
      </c>
      <c r="U327" s="58">
        <v>43451</v>
      </c>
      <c r="V327" s="59">
        <v>43467</v>
      </c>
      <c r="W327" s="53">
        <v>632</v>
      </c>
      <c r="X327" s="119" t="s">
        <v>36</v>
      </c>
      <c r="Y327" s="124">
        <v>89798</v>
      </c>
      <c r="Z327" s="125" t="s">
        <v>37</v>
      </c>
      <c r="AA327" s="126" t="s">
        <v>275</v>
      </c>
    </row>
    <row r="328" hidden="1" spans="1:27">
      <c r="A328" s="52" t="s">
        <v>138</v>
      </c>
      <c r="B328" s="53" t="s">
        <v>139</v>
      </c>
      <c r="C328" s="53" t="s">
        <v>1616</v>
      </c>
      <c r="D328" s="53" t="s">
        <v>1617</v>
      </c>
      <c r="E328" s="53" t="s">
        <v>51</v>
      </c>
      <c r="F328" s="53" t="s">
        <v>51</v>
      </c>
      <c r="G328" s="53">
        <v>648442</v>
      </c>
      <c r="H328" s="53">
        <v>89405</v>
      </c>
      <c r="I328" s="53">
        <v>3875067</v>
      </c>
      <c r="J328" s="53" t="s">
        <v>42</v>
      </c>
      <c r="K328" s="53" t="s">
        <v>42</v>
      </c>
      <c r="L328" s="53">
        <v>83851</v>
      </c>
      <c r="M328" s="53">
        <v>64118</v>
      </c>
      <c r="N328" s="53" t="s">
        <v>1618</v>
      </c>
      <c r="O328" s="53" t="s">
        <v>1619</v>
      </c>
      <c r="P328" s="113"/>
      <c r="Q328" s="53" t="s">
        <v>1620</v>
      </c>
      <c r="R328" s="53">
        <v>36838719</v>
      </c>
      <c r="S328" s="53" t="s">
        <v>1621</v>
      </c>
      <c r="T328" s="58">
        <v>44067</v>
      </c>
      <c r="U328" s="58">
        <v>44067</v>
      </c>
      <c r="V328" s="59">
        <v>44076</v>
      </c>
      <c r="W328" s="53">
        <v>25</v>
      </c>
      <c r="X328" s="119" t="s">
        <v>36</v>
      </c>
      <c r="Y328" s="124" t="s">
        <v>420</v>
      </c>
      <c r="Z328" s="125" t="s">
        <v>146</v>
      </c>
      <c r="AA328" s="126" t="s">
        <v>56</v>
      </c>
    </row>
    <row r="329" hidden="1" spans="1:27">
      <c r="A329" s="52" t="s">
        <v>138</v>
      </c>
      <c r="B329" s="53" t="s">
        <v>139</v>
      </c>
      <c r="C329" s="53" t="s">
        <v>1622</v>
      </c>
      <c r="D329" s="53" t="s">
        <v>1623</v>
      </c>
      <c r="E329" s="53" t="s">
        <v>51</v>
      </c>
      <c r="F329" s="53" t="s">
        <v>51</v>
      </c>
      <c r="G329" s="53">
        <v>648441</v>
      </c>
      <c r="H329" s="53">
        <v>89413</v>
      </c>
      <c r="I329" s="53">
        <v>3875063</v>
      </c>
      <c r="J329" s="53" t="s">
        <v>42</v>
      </c>
      <c r="K329" s="53" t="s">
        <v>42</v>
      </c>
      <c r="L329" s="53">
        <v>83851</v>
      </c>
      <c r="M329" s="53">
        <v>64118</v>
      </c>
      <c r="N329" s="53" t="s">
        <v>1624</v>
      </c>
      <c r="O329" s="53" t="s">
        <v>1625</v>
      </c>
      <c r="P329" s="113"/>
      <c r="Q329" s="53" t="s">
        <v>1626</v>
      </c>
      <c r="R329" s="53">
        <v>36839524</v>
      </c>
      <c r="S329" s="53" t="s">
        <v>1627</v>
      </c>
      <c r="T329" s="58">
        <v>44067</v>
      </c>
      <c r="U329" s="58">
        <v>44067</v>
      </c>
      <c r="V329" s="59">
        <v>44076</v>
      </c>
      <c r="W329" s="53">
        <v>25</v>
      </c>
      <c r="X329" s="119" t="s">
        <v>36</v>
      </c>
      <c r="Y329" s="124" t="s">
        <v>420</v>
      </c>
      <c r="Z329" s="125" t="s">
        <v>146</v>
      </c>
      <c r="AA329" s="126" t="s">
        <v>56</v>
      </c>
    </row>
    <row r="330" hidden="1" spans="1:27">
      <c r="A330" s="52" t="s">
        <v>138</v>
      </c>
      <c r="B330" s="53" t="s">
        <v>139</v>
      </c>
      <c r="C330" s="53" t="s">
        <v>1628</v>
      </c>
      <c r="D330" s="53" t="s">
        <v>1629</v>
      </c>
      <c r="E330" s="53" t="s">
        <v>51</v>
      </c>
      <c r="F330" s="53" t="s">
        <v>51</v>
      </c>
      <c r="G330" s="53">
        <v>648443</v>
      </c>
      <c r="H330" s="53">
        <v>89414</v>
      </c>
      <c r="I330" s="53">
        <v>3875071</v>
      </c>
      <c r="J330" s="53" t="s">
        <v>42</v>
      </c>
      <c r="K330" s="53" t="s">
        <v>42</v>
      </c>
      <c r="L330" s="53">
        <v>83851</v>
      </c>
      <c r="M330" s="53">
        <v>64118</v>
      </c>
      <c r="N330" s="53" t="s">
        <v>1630</v>
      </c>
      <c r="O330" s="53" t="s">
        <v>1631</v>
      </c>
      <c r="P330" s="113"/>
      <c r="Q330" s="53" t="s">
        <v>1632</v>
      </c>
      <c r="R330" s="53">
        <v>40087984</v>
      </c>
      <c r="S330" s="53" t="s">
        <v>1633</v>
      </c>
      <c r="T330" s="58">
        <v>44067</v>
      </c>
      <c r="U330" s="58">
        <v>44067</v>
      </c>
      <c r="V330" s="59">
        <v>44076</v>
      </c>
      <c r="W330" s="53">
        <v>25</v>
      </c>
      <c r="X330" s="119" t="s">
        <v>36</v>
      </c>
      <c r="Y330" s="124" t="s">
        <v>420</v>
      </c>
      <c r="Z330" s="125" t="s">
        <v>146</v>
      </c>
      <c r="AA330" s="126" t="s">
        <v>56</v>
      </c>
    </row>
    <row r="331" hidden="1" spans="1:27">
      <c r="A331" s="52" t="s">
        <v>138</v>
      </c>
      <c r="B331" s="53" t="s">
        <v>139</v>
      </c>
      <c r="C331" s="53" t="s">
        <v>1634</v>
      </c>
      <c r="D331" s="53" t="s">
        <v>1635</v>
      </c>
      <c r="E331" s="53" t="s">
        <v>51</v>
      </c>
      <c r="F331" s="53" t="s">
        <v>51</v>
      </c>
      <c r="G331" s="53">
        <v>648445</v>
      </c>
      <c r="H331" s="53">
        <v>89407</v>
      </c>
      <c r="I331" s="53">
        <v>3875075</v>
      </c>
      <c r="J331" s="53" t="s">
        <v>42</v>
      </c>
      <c r="K331" s="53" t="s">
        <v>42</v>
      </c>
      <c r="L331" s="53">
        <v>83851</v>
      </c>
      <c r="M331" s="53">
        <v>64118</v>
      </c>
      <c r="N331" s="53" t="s">
        <v>1636</v>
      </c>
      <c r="O331" s="53" t="s">
        <v>1637</v>
      </c>
      <c r="P331" s="113"/>
      <c r="Q331" s="53" t="s">
        <v>1638</v>
      </c>
      <c r="R331" s="53">
        <v>37457686</v>
      </c>
      <c r="S331" s="53" t="s">
        <v>1639</v>
      </c>
      <c r="T331" s="58">
        <v>44067</v>
      </c>
      <c r="U331" s="58">
        <v>44067</v>
      </c>
      <c r="V331" s="59">
        <v>44076</v>
      </c>
      <c r="W331" s="53">
        <v>25</v>
      </c>
      <c r="X331" s="119" t="s">
        <v>36</v>
      </c>
      <c r="Y331" s="124" t="s">
        <v>420</v>
      </c>
      <c r="Z331" s="125" t="s">
        <v>146</v>
      </c>
      <c r="AA331" s="126" t="s">
        <v>56</v>
      </c>
    </row>
    <row r="332" hidden="1" spans="1:27">
      <c r="A332" s="52" t="s">
        <v>138</v>
      </c>
      <c r="B332" s="53" t="s">
        <v>139</v>
      </c>
      <c r="C332" s="53" t="s">
        <v>1640</v>
      </c>
      <c r="D332" s="53" t="s">
        <v>1641</v>
      </c>
      <c r="E332" s="53" t="s">
        <v>51</v>
      </c>
      <c r="F332" s="53" t="s">
        <v>51</v>
      </c>
      <c r="G332" s="53">
        <v>648444</v>
      </c>
      <c r="H332" s="53">
        <v>89408</v>
      </c>
      <c r="I332" s="53">
        <v>3875072</v>
      </c>
      <c r="J332" s="53" t="s">
        <v>42</v>
      </c>
      <c r="K332" s="53" t="s">
        <v>42</v>
      </c>
      <c r="L332" s="53">
        <v>83851</v>
      </c>
      <c r="M332" s="53">
        <v>64118</v>
      </c>
      <c r="N332" s="53" t="s">
        <v>1642</v>
      </c>
      <c r="O332" s="53" t="s">
        <v>1643</v>
      </c>
      <c r="P332" s="113"/>
      <c r="Q332" s="53" t="s">
        <v>1644</v>
      </c>
      <c r="R332" s="53">
        <v>40902733</v>
      </c>
      <c r="S332" s="53" t="s">
        <v>1645</v>
      </c>
      <c r="T332" s="58">
        <v>44067</v>
      </c>
      <c r="U332" s="58">
        <v>44067</v>
      </c>
      <c r="V332" s="59">
        <v>44076</v>
      </c>
      <c r="W332" s="53">
        <v>25</v>
      </c>
      <c r="X332" s="119" t="s">
        <v>36</v>
      </c>
      <c r="Y332" s="124" t="s">
        <v>420</v>
      </c>
      <c r="Z332" s="125" t="s">
        <v>146</v>
      </c>
      <c r="AA332" s="126" t="s">
        <v>56</v>
      </c>
    </row>
    <row r="333" hidden="1" spans="1:27">
      <c r="A333" s="52" t="s">
        <v>27</v>
      </c>
      <c r="B333" s="53" t="s">
        <v>497</v>
      </c>
      <c r="C333" s="53" t="s">
        <v>566</v>
      </c>
      <c r="D333" s="53" t="s">
        <v>1646</v>
      </c>
      <c r="E333" s="53" t="s">
        <v>51</v>
      </c>
      <c r="F333" s="53" t="s">
        <v>51</v>
      </c>
      <c r="G333" s="53">
        <v>648449</v>
      </c>
      <c r="H333" s="53">
        <v>89409</v>
      </c>
      <c r="I333" s="53">
        <v>3875092</v>
      </c>
      <c r="J333" s="53" t="s">
        <v>42</v>
      </c>
      <c r="K333" s="53" t="s">
        <v>42</v>
      </c>
      <c r="L333" s="53">
        <v>83947</v>
      </c>
      <c r="M333" s="53">
        <v>74054</v>
      </c>
      <c r="N333" s="53" t="s">
        <v>1647</v>
      </c>
      <c r="O333" s="53" t="s">
        <v>1648</v>
      </c>
      <c r="P333" s="113"/>
      <c r="Q333" s="53" t="s">
        <v>1649</v>
      </c>
      <c r="R333" s="53">
        <v>38023289</v>
      </c>
      <c r="S333" s="53" t="s">
        <v>1650</v>
      </c>
      <c r="T333" s="58">
        <v>44067</v>
      </c>
      <c r="U333" s="58">
        <v>44067</v>
      </c>
      <c r="V333" s="59">
        <v>44076</v>
      </c>
      <c r="W333" s="53">
        <v>25</v>
      </c>
      <c r="X333" s="119" t="s">
        <v>36</v>
      </c>
      <c r="Y333" s="124" t="s">
        <v>420</v>
      </c>
      <c r="Z333" s="125" t="s">
        <v>146</v>
      </c>
      <c r="AA333" s="126" t="s">
        <v>56</v>
      </c>
    </row>
    <row r="334" hidden="1" spans="1:27">
      <c r="A334" s="52" t="s">
        <v>27</v>
      </c>
      <c r="B334" s="53" t="s">
        <v>497</v>
      </c>
      <c r="C334" s="53" t="s">
        <v>1482</v>
      </c>
      <c r="D334" s="53" t="s">
        <v>1651</v>
      </c>
      <c r="E334" s="53" t="s">
        <v>51</v>
      </c>
      <c r="F334" s="53" t="s">
        <v>51</v>
      </c>
      <c r="G334" s="53">
        <v>648450</v>
      </c>
      <c r="H334" s="53">
        <v>89410</v>
      </c>
      <c r="I334" s="53">
        <v>3875093</v>
      </c>
      <c r="J334" s="53" t="s">
        <v>42</v>
      </c>
      <c r="K334" s="53" t="s">
        <v>42</v>
      </c>
      <c r="L334" s="53">
        <v>83947</v>
      </c>
      <c r="M334" s="53">
        <v>74054</v>
      </c>
      <c r="N334" s="53" t="s">
        <v>1652</v>
      </c>
      <c r="O334" s="53" t="s">
        <v>1653</v>
      </c>
      <c r="P334" s="113"/>
      <c r="Q334" s="53" t="s">
        <v>1654</v>
      </c>
      <c r="R334" s="53">
        <v>37656622</v>
      </c>
      <c r="S334" s="53" t="s">
        <v>1655</v>
      </c>
      <c r="T334" s="58">
        <v>44067</v>
      </c>
      <c r="U334" s="58">
        <v>44067</v>
      </c>
      <c r="V334" s="59">
        <v>44076</v>
      </c>
      <c r="W334" s="53">
        <v>25</v>
      </c>
      <c r="X334" s="119" t="s">
        <v>36</v>
      </c>
      <c r="Y334" s="124" t="s">
        <v>420</v>
      </c>
      <c r="Z334" s="125" t="s">
        <v>146</v>
      </c>
      <c r="AA334" s="126" t="s">
        <v>56</v>
      </c>
    </row>
    <row r="335" hidden="1" spans="1:27">
      <c r="A335" s="52" t="s">
        <v>27</v>
      </c>
      <c r="B335" s="53" t="s">
        <v>497</v>
      </c>
      <c r="C335" s="53" t="s">
        <v>1656</v>
      </c>
      <c r="D335" s="53" t="s">
        <v>1657</v>
      </c>
      <c r="E335" s="53" t="s">
        <v>59</v>
      </c>
      <c r="F335" s="53" t="s">
        <v>59</v>
      </c>
      <c r="G335" s="53">
        <v>648446</v>
      </c>
      <c r="H335" s="53">
        <v>89406</v>
      </c>
      <c r="I335" s="53">
        <v>3875083</v>
      </c>
      <c r="J335" s="53" t="s">
        <v>42</v>
      </c>
      <c r="K335" s="53" t="s">
        <v>42</v>
      </c>
      <c r="L335" s="53">
        <v>83947</v>
      </c>
      <c r="M335" s="53">
        <v>74054</v>
      </c>
      <c r="N335" s="53" t="s">
        <v>1658</v>
      </c>
      <c r="O335" s="53" t="s">
        <v>1659</v>
      </c>
      <c r="P335" s="113"/>
      <c r="Q335" s="53" t="s">
        <v>1660</v>
      </c>
      <c r="R335" s="53">
        <v>37309000</v>
      </c>
      <c r="S335" s="53" t="s">
        <v>1661</v>
      </c>
      <c r="T335" s="58">
        <v>44067</v>
      </c>
      <c r="U335" s="58">
        <v>44067</v>
      </c>
      <c r="V335" s="59">
        <v>44076</v>
      </c>
      <c r="W335" s="53">
        <v>25</v>
      </c>
      <c r="X335" s="119" t="s">
        <v>36</v>
      </c>
      <c r="Y335" s="124" t="s">
        <v>420</v>
      </c>
      <c r="Z335" s="125" t="s">
        <v>146</v>
      </c>
      <c r="AA335" s="126" t="s">
        <v>56</v>
      </c>
    </row>
    <row r="336" hidden="1" spans="1:27">
      <c r="A336" s="52" t="s">
        <v>27</v>
      </c>
      <c r="B336" s="53" t="s">
        <v>497</v>
      </c>
      <c r="C336" s="53" t="s">
        <v>1662</v>
      </c>
      <c r="D336" s="53" t="s">
        <v>1663</v>
      </c>
      <c r="E336" s="53" t="s">
        <v>51</v>
      </c>
      <c r="F336" s="53" t="s">
        <v>51</v>
      </c>
      <c r="G336" s="53">
        <v>648458</v>
      </c>
      <c r="H336" s="53">
        <v>89442</v>
      </c>
      <c r="I336" s="53">
        <v>3875131</v>
      </c>
      <c r="J336" s="53" t="s">
        <v>42</v>
      </c>
      <c r="K336" s="53" t="s">
        <v>42</v>
      </c>
      <c r="L336" s="53">
        <v>83947</v>
      </c>
      <c r="M336" s="53">
        <v>74054</v>
      </c>
      <c r="N336" s="53" t="s">
        <v>1664</v>
      </c>
      <c r="O336" s="53" t="s">
        <v>1665</v>
      </c>
      <c r="P336" s="113"/>
      <c r="Q336" s="53" t="s">
        <v>1666</v>
      </c>
      <c r="R336" s="53">
        <v>30442830</v>
      </c>
      <c r="S336" s="53" t="s">
        <v>1667</v>
      </c>
      <c r="T336" s="58">
        <v>44067</v>
      </c>
      <c r="U336" s="58">
        <v>44067</v>
      </c>
      <c r="V336" s="59">
        <v>44076</v>
      </c>
      <c r="W336" s="53">
        <v>25</v>
      </c>
      <c r="X336" s="119" t="s">
        <v>36</v>
      </c>
      <c r="Y336" s="124" t="s">
        <v>420</v>
      </c>
      <c r="Z336" s="125" t="s">
        <v>146</v>
      </c>
      <c r="AA336" s="126" t="s">
        <v>56</v>
      </c>
    </row>
    <row r="337" hidden="1" spans="1:27">
      <c r="A337" s="52" t="s">
        <v>27</v>
      </c>
      <c r="B337" s="53" t="s">
        <v>497</v>
      </c>
      <c r="C337" s="53" t="s">
        <v>1668</v>
      </c>
      <c r="D337" s="53" t="s">
        <v>1669</v>
      </c>
      <c r="E337" s="53" t="s">
        <v>51</v>
      </c>
      <c r="F337" s="53" t="s">
        <v>51</v>
      </c>
      <c r="G337" s="53">
        <v>648447</v>
      </c>
      <c r="H337" s="53">
        <v>89411</v>
      </c>
      <c r="I337" s="53">
        <v>3875085</v>
      </c>
      <c r="J337" s="53" t="s">
        <v>42</v>
      </c>
      <c r="K337" s="53" t="s">
        <v>42</v>
      </c>
      <c r="L337" s="53">
        <v>83947</v>
      </c>
      <c r="M337" s="53">
        <v>74054</v>
      </c>
      <c r="N337" s="53" t="s">
        <v>1670</v>
      </c>
      <c r="O337" s="53" t="s">
        <v>1671</v>
      </c>
      <c r="P337" s="113"/>
      <c r="Q337" s="53" t="s">
        <v>1672</v>
      </c>
      <c r="R337" s="53">
        <v>39355697</v>
      </c>
      <c r="S337" s="53" t="s">
        <v>1673</v>
      </c>
      <c r="T337" s="58">
        <v>44067</v>
      </c>
      <c r="U337" s="58">
        <v>44067</v>
      </c>
      <c r="V337" s="59">
        <v>44076</v>
      </c>
      <c r="W337" s="53">
        <v>25</v>
      </c>
      <c r="X337" s="119" t="s">
        <v>36</v>
      </c>
      <c r="Y337" s="124" t="s">
        <v>420</v>
      </c>
      <c r="Z337" s="125" t="s">
        <v>146</v>
      </c>
      <c r="AA337" s="126" t="s">
        <v>56</v>
      </c>
    </row>
    <row r="338" hidden="1" spans="1:27">
      <c r="A338" s="41" t="s">
        <v>1674</v>
      </c>
      <c r="B338" s="131" t="s">
        <v>1161</v>
      </c>
      <c r="C338" s="131" t="s">
        <v>1675</v>
      </c>
      <c r="D338" s="131" t="s">
        <v>1676</v>
      </c>
      <c r="E338" s="131" t="s">
        <v>1677</v>
      </c>
      <c r="F338" s="131" t="s">
        <v>1677</v>
      </c>
      <c r="G338" s="53">
        <v>648451</v>
      </c>
      <c r="H338" s="53">
        <v>89435</v>
      </c>
      <c r="I338" s="53">
        <v>3495066</v>
      </c>
      <c r="J338" s="53" t="s">
        <v>43</v>
      </c>
      <c r="K338" s="53" t="s">
        <v>43</v>
      </c>
      <c r="L338" s="53">
        <v>85988</v>
      </c>
      <c r="M338" s="53">
        <v>59438</v>
      </c>
      <c r="N338" s="53" t="s">
        <v>1678</v>
      </c>
      <c r="O338" s="53" t="s">
        <v>1679</v>
      </c>
      <c r="P338" s="113"/>
      <c r="Q338" s="53"/>
      <c r="R338" s="53">
        <v>29640385</v>
      </c>
      <c r="S338" s="53" t="s">
        <v>1680</v>
      </c>
      <c r="T338" s="58">
        <v>44067</v>
      </c>
      <c r="U338" s="58">
        <v>44067</v>
      </c>
      <c r="V338" s="59">
        <v>44091</v>
      </c>
      <c r="W338" s="53">
        <v>25</v>
      </c>
      <c r="X338" s="119" t="s">
        <v>36</v>
      </c>
      <c r="Y338" s="124"/>
      <c r="Z338" s="125" t="s">
        <v>146</v>
      </c>
      <c r="AA338" s="126" t="s">
        <v>275</v>
      </c>
    </row>
    <row r="339" hidden="1" spans="1:27">
      <c r="A339" s="41" t="s">
        <v>1674</v>
      </c>
      <c r="B339" s="131" t="s">
        <v>1161</v>
      </c>
      <c r="C339" s="131" t="s">
        <v>1482</v>
      </c>
      <c r="D339" s="131" t="s">
        <v>1681</v>
      </c>
      <c r="E339" s="131" t="s">
        <v>1677</v>
      </c>
      <c r="F339" s="131" t="s">
        <v>1677</v>
      </c>
      <c r="G339" s="53">
        <v>648457</v>
      </c>
      <c r="H339" s="53">
        <v>89441</v>
      </c>
      <c r="I339" s="53">
        <v>1366523</v>
      </c>
      <c r="J339" s="53" t="s">
        <v>43</v>
      </c>
      <c r="K339" s="53" t="s">
        <v>43</v>
      </c>
      <c r="L339" s="53">
        <v>85988</v>
      </c>
      <c r="M339" s="53">
        <v>59438</v>
      </c>
      <c r="N339" s="53" t="s">
        <v>1682</v>
      </c>
      <c r="O339" s="53" t="s">
        <v>1683</v>
      </c>
      <c r="P339" s="113"/>
      <c r="Q339" s="53"/>
      <c r="R339" s="53">
        <v>38490286</v>
      </c>
      <c r="S339" s="53" t="s">
        <v>1684</v>
      </c>
      <c r="T339" s="58">
        <v>44067</v>
      </c>
      <c r="U339" s="58">
        <v>44067</v>
      </c>
      <c r="V339" s="59">
        <v>44091</v>
      </c>
      <c r="W339" s="53">
        <v>25</v>
      </c>
      <c r="X339" s="119" t="s">
        <v>36</v>
      </c>
      <c r="Y339" s="124"/>
      <c r="Z339" s="125" t="s">
        <v>146</v>
      </c>
      <c r="AA339" s="126" t="s">
        <v>275</v>
      </c>
    </row>
    <row r="340" hidden="1" spans="1:27">
      <c r="A340" s="41" t="s">
        <v>1674</v>
      </c>
      <c r="B340" s="131" t="s">
        <v>1161</v>
      </c>
      <c r="C340" s="131" t="s">
        <v>1685</v>
      </c>
      <c r="D340" s="131" t="s">
        <v>843</v>
      </c>
      <c r="E340" s="131" t="s">
        <v>1677</v>
      </c>
      <c r="F340" s="131" t="s">
        <v>1677</v>
      </c>
      <c r="G340" s="53">
        <v>648454</v>
      </c>
      <c r="H340" s="53">
        <v>89438</v>
      </c>
      <c r="I340" s="53">
        <v>3875107</v>
      </c>
      <c r="J340" s="53" t="s">
        <v>43</v>
      </c>
      <c r="K340" s="53" t="s">
        <v>43</v>
      </c>
      <c r="L340" s="53">
        <v>85988</v>
      </c>
      <c r="M340" s="53">
        <v>59438</v>
      </c>
      <c r="N340" s="53" t="s">
        <v>1686</v>
      </c>
      <c r="O340" s="53" t="s">
        <v>1687</v>
      </c>
      <c r="P340" s="113"/>
      <c r="Q340" s="53"/>
      <c r="R340" s="53">
        <v>37457019</v>
      </c>
      <c r="S340" s="53" t="s">
        <v>1688</v>
      </c>
      <c r="T340" s="58">
        <v>44067</v>
      </c>
      <c r="U340" s="58">
        <v>44067</v>
      </c>
      <c r="V340" s="59">
        <v>44091</v>
      </c>
      <c r="W340" s="53">
        <v>25</v>
      </c>
      <c r="X340" s="119" t="s">
        <v>36</v>
      </c>
      <c r="Y340" s="124"/>
      <c r="Z340" s="125" t="s">
        <v>146</v>
      </c>
      <c r="AA340" s="126" t="s">
        <v>275</v>
      </c>
    </row>
    <row r="341" hidden="1" spans="1:27">
      <c r="A341" s="41" t="s">
        <v>1674</v>
      </c>
      <c r="B341" s="131" t="s">
        <v>1161</v>
      </c>
      <c r="C341" s="131" t="s">
        <v>1689</v>
      </c>
      <c r="D341" s="131" t="s">
        <v>1690</v>
      </c>
      <c r="E341" s="131" t="s">
        <v>1677</v>
      </c>
      <c r="F341" s="131" t="s">
        <v>1677</v>
      </c>
      <c r="G341" s="53">
        <v>648456</v>
      </c>
      <c r="H341" s="53">
        <v>89440</v>
      </c>
      <c r="I341" s="53">
        <v>3875112</v>
      </c>
      <c r="J341" s="53" t="s">
        <v>43</v>
      </c>
      <c r="K341" s="53" t="s">
        <v>43</v>
      </c>
      <c r="L341" s="53">
        <v>85988</v>
      </c>
      <c r="M341" s="53">
        <v>59438</v>
      </c>
      <c r="N341" s="53" t="s">
        <v>1691</v>
      </c>
      <c r="O341" s="53" t="s">
        <v>1692</v>
      </c>
      <c r="P341" s="113"/>
      <c r="Q341" s="53"/>
      <c r="R341" s="53">
        <v>42008426</v>
      </c>
      <c r="S341" s="53" t="s">
        <v>1693</v>
      </c>
      <c r="T341" s="58">
        <v>44067</v>
      </c>
      <c r="U341" s="58">
        <v>44067</v>
      </c>
      <c r="V341" s="59">
        <v>44091</v>
      </c>
      <c r="W341" s="53">
        <v>25</v>
      </c>
      <c r="X341" s="119" t="s">
        <v>36</v>
      </c>
      <c r="Y341" s="124"/>
      <c r="Z341" s="125" t="s">
        <v>146</v>
      </c>
      <c r="AA341" s="126" t="s">
        <v>275</v>
      </c>
    </row>
    <row r="342" hidden="1" spans="1:27">
      <c r="A342" s="41" t="s">
        <v>1674</v>
      </c>
      <c r="B342" s="131" t="s">
        <v>1161</v>
      </c>
      <c r="C342" s="131" t="s">
        <v>1694</v>
      </c>
      <c r="D342" s="131" t="s">
        <v>1695</v>
      </c>
      <c r="E342" s="131" t="s">
        <v>1677</v>
      </c>
      <c r="F342" s="131" t="s">
        <v>1677</v>
      </c>
      <c r="G342" s="53">
        <v>648463</v>
      </c>
      <c r="H342" s="53">
        <v>89447</v>
      </c>
      <c r="I342" s="53">
        <v>3875157</v>
      </c>
      <c r="J342" s="53" t="s">
        <v>43</v>
      </c>
      <c r="K342" s="53" t="s">
        <v>43</v>
      </c>
      <c r="L342" s="53">
        <v>85988</v>
      </c>
      <c r="M342" s="53">
        <v>59438</v>
      </c>
      <c r="N342" s="53" t="s">
        <v>1696</v>
      </c>
      <c r="O342" s="53" t="s">
        <v>1697</v>
      </c>
      <c r="P342" s="113"/>
      <c r="Q342" s="53"/>
      <c r="R342" s="53">
        <v>42547949</v>
      </c>
      <c r="S342" s="53" t="s">
        <v>1698</v>
      </c>
      <c r="T342" s="58">
        <v>44067</v>
      </c>
      <c r="U342" s="58">
        <v>44067</v>
      </c>
      <c r="V342" s="59">
        <v>44091</v>
      </c>
      <c r="W342" s="53">
        <v>25</v>
      </c>
      <c r="X342" s="119" t="s">
        <v>36</v>
      </c>
      <c r="Y342" s="124"/>
      <c r="Z342" s="125" t="s">
        <v>146</v>
      </c>
      <c r="AA342" s="126" t="s">
        <v>1699</v>
      </c>
    </row>
    <row r="343" hidden="1" spans="1:27">
      <c r="A343" s="41" t="s">
        <v>1674</v>
      </c>
      <c r="B343" s="131" t="s">
        <v>1161</v>
      </c>
      <c r="C343" s="131" t="s">
        <v>1700</v>
      </c>
      <c r="D343" s="131" t="s">
        <v>1701</v>
      </c>
      <c r="E343" s="131" t="s">
        <v>1677</v>
      </c>
      <c r="F343" s="131" t="s">
        <v>1677</v>
      </c>
      <c r="G343" s="53">
        <v>648459</v>
      </c>
      <c r="H343" s="53">
        <v>89443</v>
      </c>
      <c r="I343" s="53">
        <v>1343302</v>
      </c>
      <c r="J343" s="53" t="s">
        <v>43</v>
      </c>
      <c r="K343" s="53" t="s">
        <v>43</v>
      </c>
      <c r="L343" s="53">
        <v>85988</v>
      </c>
      <c r="M343" s="53">
        <v>59438</v>
      </c>
      <c r="N343" s="53" t="s">
        <v>1702</v>
      </c>
      <c r="O343" s="53" t="s">
        <v>1703</v>
      </c>
      <c r="P343" s="113"/>
      <c r="Q343" s="53"/>
      <c r="R343" s="53">
        <v>29338745</v>
      </c>
      <c r="S343" s="53" t="s">
        <v>1704</v>
      </c>
      <c r="T343" s="58">
        <v>44067</v>
      </c>
      <c r="U343" s="58">
        <v>44067</v>
      </c>
      <c r="V343" s="59">
        <v>44091</v>
      </c>
      <c r="W343" s="53">
        <v>25</v>
      </c>
      <c r="X343" s="119" t="s">
        <v>36</v>
      </c>
      <c r="Y343" s="124"/>
      <c r="Z343" s="125" t="s">
        <v>146</v>
      </c>
      <c r="AA343" s="126" t="s">
        <v>1699</v>
      </c>
    </row>
    <row r="344" hidden="1" spans="1:27">
      <c r="A344" s="41" t="s">
        <v>1674</v>
      </c>
      <c r="B344" s="131" t="s">
        <v>1161</v>
      </c>
      <c r="C344" s="131" t="s">
        <v>1705</v>
      </c>
      <c r="D344" s="131" t="s">
        <v>1706</v>
      </c>
      <c r="E344" s="131" t="s">
        <v>1677</v>
      </c>
      <c r="F344" s="131" t="s">
        <v>1677</v>
      </c>
      <c r="G344" s="53">
        <v>648465</v>
      </c>
      <c r="H344" s="53">
        <v>89449</v>
      </c>
      <c r="I344" s="53">
        <v>3875166</v>
      </c>
      <c r="J344" s="53" t="s">
        <v>43</v>
      </c>
      <c r="K344" s="53" t="s">
        <v>43</v>
      </c>
      <c r="L344" s="53">
        <v>85988</v>
      </c>
      <c r="M344" s="53">
        <v>59438</v>
      </c>
      <c r="N344" s="53" t="s">
        <v>1707</v>
      </c>
      <c r="O344" s="53" t="s">
        <v>1708</v>
      </c>
      <c r="P344" s="113"/>
      <c r="Q344" s="53"/>
      <c r="R344" s="53">
        <v>37310486</v>
      </c>
      <c r="S344" s="53" t="s">
        <v>1709</v>
      </c>
      <c r="T344" s="58">
        <v>44067</v>
      </c>
      <c r="U344" s="58">
        <v>44067</v>
      </c>
      <c r="V344" s="59">
        <v>44091</v>
      </c>
      <c r="W344" s="53">
        <v>25</v>
      </c>
      <c r="X344" s="119" t="s">
        <v>36</v>
      </c>
      <c r="Y344" s="124"/>
      <c r="Z344" s="125" t="s">
        <v>146</v>
      </c>
      <c r="AA344" s="126" t="s">
        <v>1710</v>
      </c>
    </row>
    <row r="345" hidden="1" spans="1:27">
      <c r="A345" s="41" t="s">
        <v>1674</v>
      </c>
      <c r="B345" s="131" t="s">
        <v>1161</v>
      </c>
      <c r="C345" s="131" t="s">
        <v>1711</v>
      </c>
      <c r="D345" s="131" t="s">
        <v>1712</v>
      </c>
      <c r="E345" s="131" t="s">
        <v>1677</v>
      </c>
      <c r="F345" s="131" t="s">
        <v>1677</v>
      </c>
      <c r="G345" s="53">
        <v>648466</v>
      </c>
      <c r="H345" s="53">
        <v>89450</v>
      </c>
      <c r="I345" s="53">
        <v>3875170</v>
      </c>
      <c r="J345" s="53" t="s">
        <v>43</v>
      </c>
      <c r="K345" s="53" t="s">
        <v>43</v>
      </c>
      <c r="L345" s="53">
        <v>85988</v>
      </c>
      <c r="M345" s="53">
        <v>59438</v>
      </c>
      <c r="N345" s="53" t="s">
        <v>1713</v>
      </c>
      <c r="O345" s="53" t="s">
        <v>1714</v>
      </c>
      <c r="P345" s="113"/>
      <c r="Q345" s="53"/>
      <c r="R345" s="53">
        <v>39358864</v>
      </c>
      <c r="S345" s="53" t="s">
        <v>1715</v>
      </c>
      <c r="T345" s="58">
        <v>44067</v>
      </c>
      <c r="U345" s="58">
        <v>44067</v>
      </c>
      <c r="V345" s="59">
        <v>44091</v>
      </c>
      <c r="W345" s="53">
        <v>25</v>
      </c>
      <c r="X345" s="119" t="s">
        <v>36</v>
      </c>
      <c r="Y345" s="124"/>
      <c r="Z345" s="125" t="s">
        <v>146</v>
      </c>
      <c r="AA345" s="126" t="s">
        <v>1710</v>
      </c>
    </row>
    <row r="346" hidden="1" spans="1:27">
      <c r="A346" s="41" t="s">
        <v>1674</v>
      </c>
      <c r="B346" s="131" t="s">
        <v>1161</v>
      </c>
      <c r="C346" s="131" t="s">
        <v>1716</v>
      </c>
      <c r="D346" s="131" t="s">
        <v>1717</v>
      </c>
      <c r="E346" s="131" t="s">
        <v>1677</v>
      </c>
      <c r="F346" s="131" t="s">
        <v>1677</v>
      </c>
      <c r="G346" s="53">
        <v>648467</v>
      </c>
      <c r="H346" s="53">
        <v>89451</v>
      </c>
      <c r="I346" s="53">
        <v>3875172</v>
      </c>
      <c r="J346" s="53" t="s">
        <v>43</v>
      </c>
      <c r="K346" s="53" t="s">
        <v>43</v>
      </c>
      <c r="L346" s="53">
        <v>85988</v>
      </c>
      <c r="M346" s="53">
        <v>59438</v>
      </c>
      <c r="N346" s="53" t="s">
        <v>1718</v>
      </c>
      <c r="O346" s="53" t="s">
        <v>1719</v>
      </c>
      <c r="P346" s="113"/>
      <c r="Q346" s="53"/>
      <c r="R346" s="53">
        <v>38490696</v>
      </c>
      <c r="S346" s="53" t="s">
        <v>1720</v>
      </c>
      <c r="T346" s="58">
        <v>44067</v>
      </c>
      <c r="U346" s="58">
        <v>44067</v>
      </c>
      <c r="V346" s="59">
        <v>44091</v>
      </c>
      <c r="W346" s="53">
        <v>25</v>
      </c>
      <c r="X346" s="119" t="s">
        <v>36</v>
      </c>
      <c r="Y346" s="124"/>
      <c r="Z346" s="125" t="s">
        <v>146</v>
      </c>
      <c r="AA346" s="126" t="s">
        <v>1710</v>
      </c>
    </row>
    <row r="347" hidden="1" spans="1:27">
      <c r="A347" s="41" t="s">
        <v>1674</v>
      </c>
      <c r="B347" s="131" t="s">
        <v>1449</v>
      </c>
      <c r="C347" s="131" t="s">
        <v>1721</v>
      </c>
      <c r="D347" s="131" t="s">
        <v>1722</v>
      </c>
      <c r="E347" s="131" t="s">
        <v>1677</v>
      </c>
      <c r="F347" s="131" t="s">
        <v>1677</v>
      </c>
      <c r="G347" s="53">
        <v>648497</v>
      </c>
      <c r="H347" s="53">
        <v>82506</v>
      </c>
      <c r="I347" s="53">
        <v>2294966</v>
      </c>
      <c r="J347" s="53" t="s">
        <v>43</v>
      </c>
      <c r="K347" s="53" t="s">
        <v>43</v>
      </c>
      <c r="L347" s="53">
        <v>77681</v>
      </c>
      <c r="M347" s="53">
        <v>59438</v>
      </c>
      <c r="N347" s="53" t="s">
        <v>1723</v>
      </c>
      <c r="O347" s="53" t="s">
        <v>1724</v>
      </c>
      <c r="P347" s="113"/>
      <c r="Q347" s="53"/>
      <c r="R347" s="53">
        <v>40217146</v>
      </c>
      <c r="S347" s="53" t="s">
        <v>420</v>
      </c>
      <c r="T347" s="58">
        <v>44067</v>
      </c>
      <c r="U347" s="58">
        <v>44067</v>
      </c>
      <c r="V347" s="59">
        <v>44091</v>
      </c>
      <c r="W347" s="53">
        <v>25</v>
      </c>
      <c r="X347" s="119" t="s">
        <v>36</v>
      </c>
      <c r="Y347" s="124"/>
      <c r="Z347" s="125" t="s">
        <v>146</v>
      </c>
      <c r="AA347" s="126" t="s">
        <v>56</v>
      </c>
    </row>
    <row r="348" hidden="1" spans="1:27">
      <c r="A348" s="41" t="s">
        <v>138</v>
      </c>
      <c r="B348" s="131" t="s">
        <v>139</v>
      </c>
      <c r="C348" s="131" t="s">
        <v>1171</v>
      </c>
      <c r="D348" s="131" t="s">
        <v>1725</v>
      </c>
      <c r="E348" s="131" t="s">
        <v>1677</v>
      </c>
      <c r="F348" s="131" t="s">
        <v>1677</v>
      </c>
      <c r="G348" s="53">
        <v>648448</v>
      </c>
      <c r="H348" s="53">
        <v>89412</v>
      </c>
      <c r="I348" s="53">
        <v>3875089</v>
      </c>
      <c r="J348" s="53" t="s">
        <v>43</v>
      </c>
      <c r="K348" s="53" t="s">
        <v>43</v>
      </c>
      <c r="L348" s="53">
        <v>83851</v>
      </c>
      <c r="M348" s="53">
        <v>64118</v>
      </c>
      <c r="N348" s="53" t="s">
        <v>1726</v>
      </c>
      <c r="O348" s="53" t="s">
        <v>1727</v>
      </c>
      <c r="P348" s="113"/>
      <c r="Q348" s="53"/>
      <c r="R348" s="53">
        <v>39698105</v>
      </c>
      <c r="S348" s="53" t="s">
        <v>1728</v>
      </c>
      <c r="T348" s="58">
        <v>44067</v>
      </c>
      <c r="U348" s="58">
        <v>44067</v>
      </c>
      <c r="V348" s="59">
        <v>44091</v>
      </c>
      <c r="W348" s="53">
        <v>25</v>
      </c>
      <c r="X348" s="119" t="s">
        <v>36</v>
      </c>
      <c r="Y348" s="124"/>
      <c r="Z348" s="125" t="s">
        <v>146</v>
      </c>
      <c r="AA348" s="126" t="s">
        <v>56</v>
      </c>
    </row>
    <row r="349" hidden="1" spans="1:27">
      <c r="A349" s="41" t="s">
        <v>138</v>
      </c>
      <c r="B349" s="131" t="s">
        <v>139</v>
      </c>
      <c r="C349" s="131" t="s">
        <v>1729</v>
      </c>
      <c r="D349" s="131" t="s">
        <v>1730</v>
      </c>
      <c r="E349" s="131" t="s">
        <v>1677</v>
      </c>
      <c r="F349" s="131" t="s">
        <v>1677</v>
      </c>
      <c r="G349" s="53">
        <v>648489</v>
      </c>
      <c r="H349" s="53">
        <v>89427</v>
      </c>
      <c r="I349" s="53">
        <v>3875385</v>
      </c>
      <c r="J349" s="53" t="s">
        <v>43</v>
      </c>
      <c r="K349" s="53" t="s">
        <v>43</v>
      </c>
      <c r="L349" s="53">
        <v>83851</v>
      </c>
      <c r="M349" s="53">
        <v>64118</v>
      </c>
      <c r="N349" s="53" t="s">
        <v>1731</v>
      </c>
      <c r="O349" s="53" t="s">
        <v>1732</v>
      </c>
      <c r="P349" s="113"/>
      <c r="Q349" s="53"/>
      <c r="R349" s="53">
        <v>32202906</v>
      </c>
      <c r="S349" s="53" t="s">
        <v>1733</v>
      </c>
      <c r="T349" s="58">
        <v>44067</v>
      </c>
      <c r="U349" s="58">
        <v>44067</v>
      </c>
      <c r="V349" s="59">
        <v>44091</v>
      </c>
      <c r="W349" s="53">
        <v>25</v>
      </c>
      <c r="X349" s="119" t="s">
        <v>36</v>
      </c>
      <c r="Y349" s="124"/>
      <c r="Z349" s="125" t="s">
        <v>146</v>
      </c>
      <c r="AA349" s="126" t="s">
        <v>56</v>
      </c>
    </row>
    <row r="350" hidden="1" spans="1:27">
      <c r="A350" s="41" t="s">
        <v>138</v>
      </c>
      <c r="B350" s="131" t="s">
        <v>139</v>
      </c>
      <c r="C350" s="131" t="s">
        <v>1734</v>
      </c>
      <c r="D350" s="131" t="s">
        <v>1735</v>
      </c>
      <c r="E350" s="131" t="s">
        <v>1677</v>
      </c>
      <c r="F350" s="131" t="s">
        <v>1677</v>
      </c>
      <c r="G350" s="53">
        <v>648496</v>
      </c>
      <c r="H350" s="53">
        <v>89434</v>
      </c>
      <c r="I350" s="53">
        <v>3875407</v>
      </c>
      <c r="J350" s="53" t="s">
        <v>43</v>
      </c>
      <c r="K350" s="53" t="s">
        <v>43</v>
      </c>
      <c r="L350" s="53">
        <v>83851</v>
      </c>
      <c r="M350" s="53">
        <v>64118</v>
      </c>
      <c r="N350" s="53" t="s">
        <v>1736</v>
      </c>
      <c r="O350" s="53" t="s">
        <v>1737</v>
      </c>
      <c r="P350" s="113"/>
      <c r="Q350" s="53"/>
      <c r="R350" s="53">
        <v>39141415</v>
      </c>
      <c r="S350" s="53" t="s">
        <v>1738</v>
      </c>
      <c r="T350" s="58">
        <v>44067</v>
      </c>
      <c r="U350" s="58">
        <v>44067</v>
      </c>
      <c r="V350" s="59">
        <v>44091</v>
      </c>
      <c r="W350" s="53">
        <v>25</v>
      </c>
      <c r="X350" s="119" t="s">
        <v>36</v>
      </c>
      <c r="Y350" s="124"/>
      <c r="Z350" s="125" t="s">
        <v>146</v>
      </c>
      <c r="AA350" s="126" t="s">
        <v>56</v>
      </c>
    </row>
    <row r="351" hidden="1" spans="1:27">
      <c r="A351" s="41" t="s">
        <v>138</v>
      </c>
      <c r="B351" s="131" t="s">
        <v>139</v>
      </c>
      <c r="C351" s="131" t="s">
        <v>1739</v>
      </c>
      <c r="D351" s="131" t="s">
        <v>1740</v>
      </c>
      <c r="E351" s="131" t="s">
        <v>1677</v>
      </c>
      <c r="F351" s="131" t="s">
        <v>1677</v>
      </c>
      <c r="G351" s="53">
        <v>648494</v>
      </c>
      <c r="H351" s="53">
        <v>89432</v>
      </c>
      <c r="I351" s="53">
        <v>3528755</v>
      </c>
      <c r="J351" s="53" t="s">
        <v>43</v>
      </c>
      <c r="K351" s="53" t="s">
        <v>43</v>
      </c>
      <c r="L351" s="53">
        <v>83851</v>
      </c>
      <c r="M351" s="53">
        <v>64118</v>
      </c>
      <c r="N351" s="53" t="s">
        <v>1741</v>
      </c>
      <c r="O351" s="53" t="s">
        <v>1742</v>
      </c>
      <c r="P351" s="113"/>
      <c r="Q351" s="53"/>
      <c r="R351" s="53">
        <v>42007202</v>
      </c>
      <c r="S351" s="53" t="s">
        <v>1743</v>
      </c>
      <c r="T351" s="58">
        <v>44067</v>
      </c>
      <c r="U351" s="58">
        <v>44067</v>
      </c>
      <c r="V351" s="59">
        <v>44091</v>
      </c>
      <c r="W351" s="53">
        <v>25</v>
      </c>
      <c r="X351" s="119" t="s">
        <v>36</v>
      </c>
      <c r="Y351" s="124"/>
      <c r="Z351" s="125" t="s">
        <v>146</v>
      </c>
      <c r="AA351" s="126" t="s">
        <v>56</v>
      </c>
    </row>
    <row r="352" hidden="1" spans="1:27">
      <c r="A352" s="41" t="s">
        <v>138</v>
      </c>
      <c r="B352" s="131" t="s">
        <v>139</v>
      </c>
      <c r="C352" s="131" t="s">
        <v>1744</v>
      </c>
      <c r="D352" s="131" t="s">
        <v>1745</v>
      </c>
      <c r="E352" s="131" t="s">
        <v>1677</v>
      </c>
      <c r="F352" s="131" t="s">
        <v>1677</v>
      </c>
      <c r="G352" s="53">
        <v>648491</v>
      </c>
      <c r="H352" s="53">
        <v>89429</v>
      </c>
      <c r="I352" s="53">
        <v>3139232</v>
      </c>
      <c r="J352" s="53" t="s">
        <v>43</v>
      </c>
      <c r="K352" s="53" t="s">
        <v>43</v>
      </c>
      <c r="L352" s="53">
        <v>83851</v>
      </c>
      <c r="M352" s="53">
        <v>64118</v>
      </c>
      <c r="N352" s="53" t="s">
        <v>1746</v>
      </c>
      <c r="O352" s="53" t="s">
        <v>1747</v>
      </c>
      <c r="P352" s="113"/>
      <c r="Q352" s="53"/>
      <c r="R352" s="53">
        <v>40695807</v>
      </c>
      <c r="S352" s="53" t="s">
        <v>1748</v>
      </c>
      <c r="T352" s="58">
        <v>44067</v>
      </c>
      <c r="U352" s="58">
        <v>44067</v>
      </c>
      <c r="V352" s="59">
        <v>44091</v>
      </c>
      <c r="W352" s="53">
        <v>25</v>
      </c>
      <c r="X352" s="119" t="s">
        <v>36</v>
      </c>
      <c r="Y352" s="124"/>
      <c r="Z352" s="125" t="s">
        <v>146</v>
      </c>
      <c r="AA352" s="126" t="s">
        <v>56</v>
      </c>
    </row>
    <row r="353" hidden="1" spans="1:27">
      <c r="A353" s="41" t="s">
        <v>138</v>
      </c>
      <c r="B353" s="131" t="s">
        <v>139</v>
      </c>
      <c r="C353" s="131" t="s">
        <v>115</v>
      </c>
      <c r="D353" s="131" t="s">
        <v>1749</v>
      </c>
      <c r="E353" s="131" t="s">
        <v>1677</v>
      </c>
      <c r="F353" s="131" t="s">
        <v>1677</v>
      </c>
      <c r="G353" s="53">
        <v>648492</v>
      </c>
      <c r="H353" s="53">
        <v>89430</v>
      </c>
      <c r="I353" s="53">
        <v>3875394</v>
      </c>
      <c r="J353" s="53" t="s">
        <v>43</v>
      </c>
      <c r="K353" s="53" t="s">
        <v>43</v>
      </c>
      <c r="L353" s="53">
        <v>83851</v>
      </c>
      <c r="M353" s="53">
        <v>64118</v>
      </c>
      <c r="N353" s="53" t="s">
        <v>1750</v>
      </c>
      <c r="O353" s="53" t="s">
        <v>1751</v>
      </c>
      <c r="P353" s="113"/>
      <c r="Q353" s="53"/>
      <c r="R353" s="53">
        <v>43204646</v>
      </c>
      <c r="S353" s="53" t="s">
        <v>1752</v>
      </c>
      <c r="T353" s="58">
        <v>44067</v>
      </c>
      <c r="U353" s="58">
        <v>44067</v>
      </c>
      <c r="V353" s="59">
        <v>44091</v>
      </c>
      <c r="W353" s="53">
        <v>25</v>
      </c>
      <c r="X353" s="119" t="s">
        <v>36</v>
      </c>
      <c r="Y353" s="124"/>
      <c r="Z353" s="125" t="s">
        <v>146</v>
      </c>
      <c r="AA353" s="126" t="s">
        <v>56</v>
      </c>
    </row>
    <row r="354" hidden="1" spans="1:27">
      <c r="A354" s="41" t="s">
        <v>138</v>
      </c>
      <c r="B354" s="131" t="s">
        <v>139</v>
      </c>
      <c r="C354" s="131" t="s">
        <v>1753</v>
      </c>
      <c r="D354" s="131" t="s">
        <v>1754</v>
      </c>
      <c r="E354" s="131" t="s">
        <v>1677</v>
      </c>
      <c r="F354" s="131" t="s">
        <v>1677</v>
      </c>
      <c r="G354" s="53">
        <v>648490</v>
      </c>
      <c r="H354" s="53">
        <v>89428</v>
      </c>
      <c r="I354" s="53">
        <v>3875387</v>
      </c>
      <c r="J354" s="53" t="s">
        <v>43</v>
      </c>
      <c r="K354" s="53" t="s">
        <v>43</v>
      </c>
      <c r="L354" s="53">
        <v>83851</v>
      </c>
      <c r="M354" s="53">
        <v>64118</v>
      </c>
      <c r="N354" s="53" t="s">
        <v>1755</v>
      </c>
      <c r="O354" s="53" t="s">
        <v>1756</v>
      </c>
      <c r="P354" s="113"/>
      <c r="Q354" s="53"/>
      <c r="R354" s="53">
        <v>40356491</v>
      </c>
      <c r="S354" s="53" t="s">
        <v>1757</v>
      </c>
      <c r="T354" s="58">
        <v>44067</v>
      </c>
      <c r="U354" s="58">
        <v>44067</v>
      </c>
      <c r="V354" s="59">
        <v>44091</v>
      </c>
      <c r="W354" s="53">
        <v>25</v>
      </c>
      <c r="X354" s="119" t="s">
        <v>36</v>
      </c>
      <c r="Y354" s="124"/>
      <c r="Z354" s="125" t="s">
        <v>146</v>
      </c>
      <c r="AA354" s="126" t="s">
        <v>56</v>
      </c>
    </row>
    <row r="355" hidden="1" spans="1:27">
      <c r="A355" s="41" t="s">
        <v>138</v>
      </c>
      <c r="B355" s="131" t="s">
        <v>139</v>
      </c>
      <c r="C355" s="131" t="s">
        <v>1758</v>
      </c>
      <c r="D355" s="131" t="s">
        <v>1759</v>
      </c>
      <c r="E355" s="131" t="s">
        <v>1677</v>
      </c>
      <c r="F355" s="131" t="s">
        <v>1677</v>
      </c>
      <c r="G355" s="53">
        <v>648493</v>
      </c>
      <c r="H355" s="53">
        <v>89431</v>
      </c>
      <c r="I355" s="53">
        <v>3875399</v>
      </c>
      <c r="J355" s="53" t="s">
        <v>43</v>
      </c>
      <c r="K355" s="53" t="s">
        <v>43</v>
      </c>
      <c r="L355" s="53">
        <v>83851</v>
      </c>
      <c r="M355" s="53">
        <v>64118</v>
      </c>
      <c r="N355" s="53" t="s">
        <v>1760</v>
      </c>
      <c r="O355" s="53" t="s">
        <v>1761</v>
      </c>
      <c r="P355" s="113"/>
      <c r="Q355" s="53"/>
      <c r="R355" s="53">
        <v>42665072</v>
      </c>
      <c r="S355" s="53" t="s">
        <v>1762</v>
      </c>
      <c r="T355" s="58">
        <v>44067</v>
      </c>
      <c r="U355" s="58">
        <v>44067</v>
      </c>
      <c r="V355" s="59">
        <v>44091</v>
      </c>
      <c r="W355" s="53">
        <v>25</v>
      </c>
      <c r="X355" s="119" t="s">
        <v>36</v>
      </c>
      <c r="Y355" s="124"/>
      <c r="Z355" s="125" t="s">
        <v>146</v>
      </c>
      <c r="AA355" s="126" t="s">
        <v>56</v>
      </c>
    </row>
    <row r="356" hidden="1" spans="1:27">
      <c r="A356" s="41" t="s">
        <v>138</v>
      </c>
      <c r="B356" s="131" t="s">
        <v>139</v>
      </c>
      <c r="C356" s="131" t="s">
        <v>410</v>
      </c>
      <c r="D356" s="131" t="s">
        <v>1763</v>
      </c>
      <c r="E356" s="131" t="s">
        <v>1677</v>
      </c>
      <c r="F356" s="131" t="s">
        <v>1677</v>
      </c>
      <c r="G356" s="53">
        <v>648495</v>
      </c>
      <c r="H356" s="53">
        <v>89433</v>
      </c>
      <c r="I356" s="53">
        <v>3875405</v>
      </c>
      <c r="J356" s="53" t="s">
        <v>43</v>
      </c>
      <c r="K356" s="53" t="s">
        <v>43</v>
      </c>
      <c r="L356" s="53">
        <v>83851</v>
      </c>
      <c r="M356" s="53">
        <v>64118</v>
      </c>
      <c r="N356" s="53" t="s">
        <v>1764</v>
      </c>
      <c r="O356" s="53" t="s">
        <v>1765</v>
      </c>
      <c r="P356" s="113"/>
      <c r="Q356" s="53"/>
      <c r="R356" s="53">
        <v>38023833</v>
      </c>
      <c r="S356" s="53" t="s">
        <v>1766</v>
      </c>
      <c r="T356" s="58">
        <v>44067</v>
      </c>
      <c r="U356" s="58">
        <v>44067</v>
      </c>
      <c r="V356" s="59">
        <v>44091</v>
      </c>
      <c r="W356" s="53">
        <v>25</v>
      </c>
      <c r="X356" s="119" t="s">
        <v>36</v>
      </c>
      <c r="Y356" s="124"/>
      <c r="Z356" s="125" t="s">
        <v>146</v>
      </c>
      <c r="AA356" s="126" t="s">
        <v>56</v>
      </c>
    </row>
    <row r="357" hidden="1" spans="1:27">
      <c r="A357" s="41" t="s">
        <v>27</v>
      </c>
      <c r="B357" s="131" t="s">
        <v>497</v>
      </c>
      <c r="C357" s="131" t="s">
        <v>1767</v>
      </c>
      <c r="D357" s="131" t="s">
        <v>1768</v>
      </c>
      <c r="E357" s="131" t="s">
        <v>1677</v>
      </c>
      <c r="F357" s="131" t="s">
        <v>1677</v>
      </c>
      <c r="G357" s="53">
        <v>648473</v>
      </c>
      <c r="H357" s="53">
        <v>89457</v>
      </c>
      <c r="I357" s="53">
        <v>3875200</v>
      </c>
      <c r="J357" s="53" t="s">
        <v>43</v>
      </c>
      <c r="K357" s="53" t="s">
        <v>43</v>
      </c>
      <c r="L357" s="53">
        <v>83947</v>
      </c>
      <c r="M357" s="53">
        <v>74054</v>
      </c>
      <c r="N357" s="53" t="s">
        <v>1769</v>
      </c>
      <c r="O357" s="53" t="s">
        <v>1770</v>
      </c>
      <c r="P357" s="113"/>
      <c r="Q357" s="53"/>
      <c r="R357" s="53">
        <v>37455257</v>
      </c>
      <c r="S357" s="53" t="s">
        <v>1771</v>
      </c>
      <c r="T357" s="58">
        <v>44067</v>
      </c>
      <c r="U357" s="58">
        <v>44067</v>
      </c>
      <c r="V357" s="59">
        <v>44091</v>
      </c>
      <c r="W357" s="53">
        <v>25</v>
      </c>
      <c r="X357" s="119" t="s">
        <v>36</v>
      </c>
      <c r="Y357" s="124"/>
      <c r="Z357" s="125" t="s">
        <v>146</v>
      </c>
      <c r="AA357" s="126" t="s">
        <v>1772</v>
      </c>
    </row>
    <row r="358" hidden="1" spans="1:27">
      <c r="A358" s="41" t="s">
        <v>27</v>
      </c>
      <c r="B358" s="131" t="s">
        <v>497</v>
      </c>
      <c r="C358" s="131" t="s">
        <v>1403</v>
      </c>
      <c r="D358" s="131" t="s">
        <v>1773</v>
      </c>
      <c r="E358" s="131" t="s">
        <v>1677</v>
      </c>
      <c r="F358" s="131" t="s">
        <v>1677</v>
      </c>
      <c r="G358" s="53">
        <v>648471</v>
      </c>
      <c r="H358" s="53">
        <v>89455</v>
      </c>
      <c r="I358" s="53">
        <v>3875178</v>
      </c>
      <c r="J358" s="53" t="s">
        <v>43</v>
      </c>
      <c r="K358" s="53" t="s">
        <v>43</v>
      </c>
      <c r="L358" s="53">
        <v>83947</v>
      </c>
      <c r="M358" s="53">
        <v>74054</v>
      </c>
      <c r="N358" s="53" t="s">
        <v>1774</v>
      </c>
      <c r="O358" s="53" t="s">
        <v>1775</v>
      </c>
      <c r="P358" s="113"/>
      <c r="Q358" s="53"/>
      <c r="R358" s="53">
        <v>39138945</v>
      </c>
      <c r="S358" s="53" t="s">
        <v>1776</v>
      </c>
      <c r="T358" s="58">
        <v>44067</v>
      </c>
      <c r="U358" s="58">
        <v>44067</v>
      </c>
      <c r="V358" s="59">
        <v>44091</v>
      </c>
      <c r="W358" s="53">
        <v>25</v>
      </c>
      <c r="X358" s="119" t="s">
        <v>36</v>
      </c>
      <c r="Y358" s="124"/>
      <c r="Z358" s="125" t="s">
        <v>146</v>
      </c>
      <c r="AA358" s="126" t="s">
        <v>1772</v>
      </c>
    </row>
    <row r="359" hidden="1" spans="1:27">
      <c r="A359" s="41" t="s">
        <v>27</v>
      </c>
      <c r="B359" s="131" t="s">
        <v>497</v>
      </c>
      <c r="C359" s="131" t="s">
        <v>287</v>
      </c>
      <c r="D359" s="131" t="s">
        <v>1777</v>
      </c>
      <c r="E359" s="131" t="s">
        <v>1677</v>
      </c>
      <c r="F359" s="131" t="s">
        <v>1677</v>
      </c>
      <c r="G359" s="53">
        <v>648470</v>
      </c>
      <c r="H359" s="53">
        <v>89454</v>
      </c>
      <c r="I359" s="53">
        <v>3875177</v>
      </c>
      <c r="J359" s="53" t="s">
        <v>43</v>
      </c>
      <c r="K359" s="53" t="s">
        <v>43</v>
      </c>
      <c r="L359" s="53">
        <v>83947</v>
      </c>
      <c r="M359" s="53">
        <v>74054</v>
      </c>
      <c r="N359" s="53" t="s">
        <v>1778</v>
      </c>
      <c r="O359" s="53" t="s">
        <v>1779</v>
      </c>
      <c r="P359" s="113"/>
      <c r="Q359" s="53"/>
      <c r="R359" s="53">
        <v>42173495</v>
      </c>
      <c r="S359" s="53" t="s">
        <v>1780</v>
      </c>
      <c r="T359" s="58">
        <v>44067</v>
      </c>
      <c r="U359" s="58">
        <v>44067</v>
      </c>
      <c r="V359" s="59">
        <v>44091</v>
      </c>
      <c r="W359" s="53">
        <v>25</v>
      </c>
      <c r="X359" s="119" t="s">
        <v>36</v>
      </c>
      <c r="Y359" s="124"/>
      <c r="Z359" s="125" t="s">
        <v>146</v>
      </c>
      <c r="AA359" s="126" t="s">
        <v>1772</v>
      </c>
    </row>
    <row r="360" hidden="1" spans="1:27">
      <c r="A360" s="41" t="s">
        <v>27</v>
      </c>
      <c r="B360" s="131" t="s">
        <v>497</v>
      </c>
      <c r="C360" s="131" t="s">
        <v>1419</v>
      </c>
      <c r="D360" s="131" t="s">
        <v>1781</v>
      </c>
      <c r="E360" s="131" t="s">
        <v>1677</v>
      </c>
      <c r="F360" s="131" t="s">
        <v>1677</v>
      </c>
      <c r="G360" s="53">
        <v>648472</v>
      </c>
      <c r="H360" s="53">
        <v>89456</v>
      </c>
      <c r="I360" s="53">
        <v>3875197</v>
      </c>
      <c r="J360" s="53" t="s">
        <v>43</v>
      </c>
      <c r="K360" s="53" t="s">
        <v>43</v>
      </c>
      <c r="L360" s="53">
        <v>83947</v>
      </c>
      <c r="M360" s="53">
        <v>74054</v>
      </c>
      <c r="N360" s="53" t="s">
        <v>1782</v>
      </c>
      <c r="O360" s="53" t="s">
        <v>1783</v>
      </c>
      <c r="P360" s="113"/>
      <c r="Q360" s="53"/>
      <c r="R360" s="53">
        <v>39145858</v>
      </c>
      <c r="S360" s="53" t="s">
        <v>1784</v>
      </c>
      <c r="T360" s="58">
        <v>44067</v>
      </c>
      <c r="U360" s="58">
        <v>44067</v>
      </c>
      <c r="V360" s="59">
        <v>44091</v>
      </c>
      <c r="W360" s="53">
        <v>25</v>
      </c>
      <c r="X360" s="119" t="s">
        <v>36</v>
      </c>
      <c r="Y360" s="124"/>
      <c r="Z360" s="125" t="s">
        <v>146</v>
      </c>
      <c r="AA360" s="126" t="s">
        <v>1772</v>
      </c>
    </row>
    <row r="361" hidden="1" spans="1:27">
      <c r="A361" s="41" t="s">
        <v>27</v>
      </c>
      <c r="B361" s="131" t="s">
        <v>497</v>
      </c>
      <c r="C361" s="131" t="s">
        <v>1785</v>
      </c>
      <c r="D361" s="131" t="s">
        <v>1786</v>
      </c>
      <c r="E361" s="131" t="s">
        <v>1677</v>
      </c>
      <c r="F361" s="131" t="s">
        <v>1677</v>
      </c>
      <c r="G361" s="53">
        <v>648469</v>
      </c>
      <c r="H361" s="53">
        <v>89453</v>
      </c>
      <c r="I361" s="53">
        <v>1178142</v>
      </c>
      <c r="J361" s="53" t="s">
        <v>43</v>
      </c>
      <c r="K361" s="53" t="s">
        <v>43</v>
      </c>
      <c r="L361" s="53">
        <v>83947</v>
      </c>
      <c r="M361" s="53">
        <v>74054</v>
      </c>
      <c r="N361" s="53" t="s">
        <v>1787</v>
      </c>
      <c r="O361" s="53" t="s">
        <v>1788</v>
      </c>
      <c r="P361" s="113"/>
      <c r="Q361" s="53"/>
      <c r="R361" s="53">
        <v>38247812</v>
      </c>
      <c r="S361" s="53" t="s">
        <v>1789</v>
      </c>
      <c r="T361" s="58">
        <v>44067</v>
      </c>
      <c r="U361" s="58">
        <v>44067</v>
      </c>
      <c r="V361" s="59">
        <v>44091</v>
      </c>
      <c r="W361" s="53">
        <v>25</v>
      </c>
      <c r="X361" s="119" t="s">
        <v>36</v>
      </c>
      <c r="Y361" s="124"/>
      <c r="Z361" s="125" t="s">
        <v>146</v>
      </c>
      <c r="AA361" s="126" t="s">
        <v>1772</v>
      </c>
    </row>
    <row r="362" hidden="1" spans="1:27">
      <c r="A362" s="41" t="s">
        <v>27</v>
      </c>
      <c r="B362" s="131" t="s">
        <v>497</v>
      </c>
      <c r="C362" s="131" t="s">
        <v>571</v>
      </c>
      <c r="D362" s="131" t="s">
        <v>1790</v>
      </c>
      <c r="E362" s="131" t="s">
        <v>1677</v>
      </c>
      <c r="F362" s="131" t="s">
        <v>1677</v>
      </c>
      <c r="G362" s="53">
        <v>648483</v>
      </c>
      <c r="H362" s="53">
        <v>89417</v>
      </c>
      <c r="I362" s="53">
        <v>3875342</v>
      </c>
      <c r="J362" s="53" t="s">
        <v>43</v>
      </c>
      <c r="K362" s="53" t="s">
        <v>43</v>
      </c>
      <c r="L362" s="53">
        <v>83947</v>
      </c>
      <c r="M362" s="53">
        <v>74054</v>
      </c>
      <c r="N362" s="53" t="s">
        <v>1791</v>
      </c>
      <c r="O362" s="53" t="s">
        <v>1792</v>
      </c>
      <c r="P362" s="113"/>
      <c r="Q362" s="53"/>
      <c r="R362" s="53">
        <v>41238505</v>
      </c>
      <c r="S362" s="53" t="s">
        <v>1793</v>
      </c>
      <c r="T362" s="58">
        <v>44067</v>
      </c>
      <c r="U362" s="58">
        <v>44067</v>
      </c>
      <c r="V362" s="59">
        <v>44091</v>
      </c>
      <c r="W362" s="53">
        <v>25</v>
      </c>
      <c r="X362" s="119" t="s">
        <v>36</v>
      </c>
      <c r="Y362" s="124"/>
      <c r="Z362" s="125" t="s">
        <v>146</v>
      </c>
      <c r="AA362" s="126" t="s">
        <v>1794</v>
      </c>
    </row>
    <row r="363" hidden="1" spans="1:27">
      <c r="A363" s="41" t="s">
        <v>27</v>
      </c>
      <c r="B363" s="131" t="s">
        <v>497</v>
      </c>
      <c r="C363" s="131" t="s">
        <v>1363</v>
      </c>
      <c r="D363" s="131" t="s">
        <v>1795</v>
      </c>
      <c r="E363" s="131" t="s">
        <v>1677</v>
      </c>
      <c r="F363" s="131" t="s">
        <v>1677</v>
      </c>
      <c r="G363" s="53">
        <v>648476</v>
      </c>
      <c r="H363" s="53">
        <v>89460</v>
      </c>
      <c r="I363" s="53">
        <v>1357380</v>
      </c>
      <c r="J363" s="53" t="s">
        <v>43</v>
      </c>
      <c r="K363" s="53" t="s">
        <v>43</v>
      </c>
      <c r="L363" s="53">
        <v>83947</v>
      </c>
      <c r="M363" s="53">
        <v>74054</v>
      </c>
      <c r="N363" s="53" t="s">
        <v>1796</v>
      </c>
      <c r="O363" s="53" t="s">
        <v>1797</v>
      </c>
      <c r="P363" s="113"/>
      <c r="Q363" s="53"/>
      <c r="R363" s="53">
        <v>38119297</v>
      </c>
      <c r="S363" s="53" t="s">
        <v>1798</v>
      </c>
      <c r="T363" s="58">
        <v>44067</v>
      </c>
      <c r="U363" s="58">
        <v>44067</v>
      </c>
      <c r="V363" s="59">
        <v>44091</v>
      </c>
      <c r="W363" s="53">
        <v>25</v>
      </c>
      <c r="X363" s="119" t="s">
        <v>36</v>
      </c>
      <c r="Y363" s="124"/>
      <c r="Z363" s="125" t="s">
        <v>146</v>
      </c>
      <c r="AA363" s="126" t="s">
        <v>1794</v>
      </c>
    </row>
    <row r="364" hidden="1" spans="1:27">
      <c r="A364" s="41" t="s">
        <v>27</v>
      </c>
      <c r="B364" s="131" t="s">
        <v>497</v>
      </c>
      <c r="C364" s="131" t="s">
        <v>1498</v>
      </c>
      <c r="D364" s="131" t="s">
        <v>1799</v>
      </c>
      <c r="E364" s="131" t="s">
        <v>1677</v>
      </c>
      <c r="F364" s="131" t="s">
        <v>1677</v>
      </c>
      <c r="G364" s="53">
        <v>648474</v>
      </c>
      <c r="H364" s="53">
        <v>89458</v>
      </c>
      <c r="I364" s="53">
        <v>3875203</v>
      </c>
      <c r="J364" s="53" t="s">
        <v>43</v>
      </c>
      <c r="K364" s="53" t="s">
        <v>43</v>
      </c>
      <c r="L364" s="53">
        <v>83947</v>
      </c>
      <c r="M364" s="53">
        <v>74054</v>
      </c>
      <c r="N364" s="53" t="s">
        <v>1800</v>
      </c>
      <c r="O364" s="53" t="s">
        <v>1801</v>
      </c>
      <c r="P364" s="113"/>
      <c r="Q364" s="53"/>
      <c r="R364" s="53">
        <v>37457843</v>
      </c>
      <c r="S364" s="53" t="s">
        <v>1802</v>
      </c>
      <c r="T364" s="58">
        <v>44067</v>
      </c>
      <c r="U364" s="58">
        <v>44067</v>
      </c>
      <c r="V364" s="59">
        <v>44091</v>
      </c>
      <c r="W364" s="53">
        <v>25</v>
      </c>
      <c r="X364" s="119" t="s">
        <v>36</v>
      </c>
      <c r="Y364" s="124"/>
      <c r="Z364" s="125" t="s">
        <v>146</v>
      </c>
      <c r="AA364" s="126" t="s">
        <v>1794</v>
      </c>
    </row>
    <row r="365" hidden="1" spans="1:27">
      <c r="A365" s="41" t="s">
        <v>27</v>
      </c>
      <c r="B365" s="131" t="s">
        <v>497</v>
      </c>
      <c r="C365" s="131" t="s">
        <v>1803</v>
      </c>
      <c r="D365" s="131" t="s">
        <v>1804</v>
      </c>
      <c r="E365" s="131" t="s">
        <v>1677</v>
      </c>
      <c r="F365" s="131" t="s">
        <v>1677</v>
      </c>
      <c r="G365" s="53">
        <v>648488</v>
      </c>
      <c r="H365" s="53">
        <v>89426</v>
      </c>
      <c r="I365" s="53">
        <v>3875380</v>
      </c>
      <c r="J365" s="53" t="s">
        <v>43</v>
      </c>
      <c r="K365" s="53" t="s">
        <v>43</v>
      </c>
      <c r="L365" s="53">
        <v>83947</v>
      </c>
      <c r="M365" s="53">
        <v>74054</v>
      </c>
      <c r="N365" s="53" t="s">
        <v>1805</v>
      </c>
      <c r="O365" s="53" t="s">
        <v>1806</v>
      </c>
      <c r="P365" s="113"/>
      <c r="Q365" s="53"/>
      <c r="R365" s="53">
        <v>37097011</v>
      </c>
      <c r="S365" s="53" t="s">
        <v>1807</v>
      </c>
      <c r="T365" s="58">
        <v>44067</v>
      </c>
      <c r="U365" s="58">
        <v>44067</v>
      </c>
      <c r="V365" s="59">
        <v>44091</v>
      </c>
      <c r="W365" s="53">
        <v>25</v>
      </c>
      <c r="X365" s="119" t="s">
        <v>36</v>
      </c>
      <c r="Y365" s="124"/>
      <c r="Z365" s="125" t="s">
        <v>146</v>
      </c>
      <c r="AA365" s="126" t="s">
        <v>1794</v>
      </c>
    </row>
    <row r="366" hidden="1" spans="1:27">
      <c r="A366" s="41" t="s">
        <v>27</v>
      </c>
      <c r="B366" s="131" t="s">
        <v>497</v>
      </c>
      <c r="C366" s="131" t="s">
        <v>1808</v>
      </c>
      <c r="D366" s="131" t="s">
        <v>1809</v>
      </c>
      <c r="E366" s="131" t="s">
        <v>1677</v>
      </c>
      <c r="F366" s="131" t="s">
        <v>1677</v>
      </c>
      <c r="G366" s="53">
        <v>648487</v>
      </c>
      <c r="H366" s="53">
        <v>89425</v>
      </c>
      <c r="I366" s="53">
        <v>3875378</v>
      </c>
      <c r="J366" s="53" t="s">
        <v>43</v>
      </c>
      <c r="K366" s="53" t="s">
        <v>43</v>
      </c>
      <c r="L366" s="53">
        <v>83947</v>
      </c>
      <c r="M366" s="53">
        <v>74054</v>
      </c>
      <c r="N366" s="53" t="s">
        <v>1810</v>
      </c>
      <c r="O366" s="53" t="s">
        <v>1811</v>
      </c>
      <c r="P366" s="113"/>
      <c r="Q366" s="53"/>
      <c r="R366" s="53">
        <v>41817028</v>
      </c>
      <c r="S366" s="53" t="s">
        <v>1812</v>
      </c>
      <c r="T366" s="58">
        <v>44067</v>
      </c>
      <c r="U366" s="58">
        <v>44067</v>
      </c>
      <c r="V366" s="59">
        <v>44091</v>
      </c>
      <c r="W366" s="53">
        <v>25</v>
      </c>
      <c r="X366" s="119" t="s">
        <v>36</v>
      </c>
      <c r="Y366" s="124"/>
      <c r="Z366" s="125" t="s">
        <v>146</v>
      </c>
      <c r="AA366" s="126" t="s">
        <v>1794</v>
      </c>
    </row>
    <row r="367" hidden="1" spans="1:27">
      <c r="A367" s="41" t="s">
        <v>138</v>
      </c>
      <c r="B367" s="131" t="s">
        <v>1110</v>
      </c>
      <c r="C367" s="131" t="s">
        <v>1813</v>
      </c>
      <c r="D367" s="131" t="s">
        <v>976</v>
      </c>
      <c r="E367" s="131" t="s">
        <v>1677</v>
      </c>
      <c r="F367" s="131" t="s">
        <v>1677</v>
      </c>
      <c r="G367" s="53">
        <v>648452</v>
      </c>
      <c r="H367" s="53">
        <v>89436</v>
      </c>
      <c r="I367" s="53">
        <v>1293637</v>
      </c>
      <c r="J367" s="53" t="s">
        <v>43</v>
      </c>
      <c r="K367" s="53" t="s">
        <v>43</v>
      </c>
      <c r="L367" s="53">
        <v>84144</v>
      </c>
      <c r="M367" s="53">
        <v>64118</v>
      </c>
      <c r="N367" s="53" t="s">
        <v>1814</v>
      </c>
      <c r="O367" s="53" t="s">
        <v>1815</v>
      </c>
      <c r="P367" s="113"/>
      <c r="Q367" s="53"/>
      <c r="R367" s="53">
        <v>34953586</v>
      </c>
      <c r="S367" s="53" t="s">
        <v>1816</v>
      </c>
      <c r="T367" s="58">
        <v>44067</v>
      </c>
      <c r="U367" s="58">
        <v>44067</v>
      </c>
      <c r="V367" s="59">
        <v>44091</v>
      </c>
      <c r="W367" s="53">
        <v>25</v>
      </c>
      <c r="X367" s="119" t="s">
        <v>36</v>
      </c>
      <c r="Y367" s="124"/>
      <c r="Z367" s="125" t="s">
        <v>146</v>
      </c>
      <c r="AA367" s="126" t="s">
        <v>275</v>
      </c>
    </row>
    <row r="368" hidden="1" spans="1:27">
      <c r="A368" s="41" t="s">
        <v>138</v>
      </c>
      <c r="B368" s="131" t="s">
        <v>1110</v>
      </c>
      <c r="C368" s="131" t="s">
        <v>1817</v>
      </c>
      <c r="D368" s="131" t="s">
        <v>1818</v>
      </c>
      <c r="E368" s="131" t="s">
        <v>1677</v>
      </c>
      <c r="F368" s="131" t="s">
        <v>1677</v>
      </c>
      <c r="G368" s="53">
        <v>648453</v>
      </c>
      <c r="H368" s="53">
        <v>89437</v>
      </c>
      <c r="I368" s="53">
        <v>3875104</v>
      </c>
      <c r="J368" s="53" t="s">
        <v>43</v>
      </c>
      <c r="K368" s="53" t="s">
        <v>43</v>
      </c>
      <c r="L368" s="53">
        <v>84144</v>
      </c>
      <c r="M368" s="53">
        <v>64118</v>
      </c>
      <c r="N368" s="53" t="s">
        <v>1819</v>
      </c>
      <c r="O368" s="53" t="s">
        <v>1820</v>
      </c>
      <c r="P368" s="113"/>
      <c r="Q368" s="53"/>
      <c r="R368" s="53">
        <v>43002555</v>
      </c>
      <c r="S368" s="53" t="s">
        <v>1821</v>
      </c>
      <c r="T368" s="58">
        <v>44067</v>
      </c>
      <c r="U368" s="58">
        <v>44067</v>
      </c>
      <c r="V368" s="59">
        <v>44091</v>
      </c>
      <c r="W368" s="53">
        <v>25</v>
      </c>
      <c r="X368" s="119" t="s">
        <v>36</v>
      </c>
      <c r="Y368" s="124"/>
      <c r="Z368" s="125" t="s">
        <v>146</v>
      </c>
      <c r="AA368" s="126" t="s">
        <v>275</v>
      </c>
    </row>
    <row r="369" hidden="1" spans="1:27">
      <c r="A369" s="41" t="s">
        <v>138</v>
      </c>
      <c r="B369" s="131" t="s">
        <v>1110</v>
      </c>
      <c r="C369" s="131" t="s">
        <v>95</v>
      </c>
      <c r="D369" s="131" t="s">
        <v>1822</v>
      </c>
      <c r="E369" s="131" t="s">
        <v>1677</v>
      </c>
      <c r="F369" s="131" t="s">
        <v>1677</v>
      </c>
      <c r="G369" s="53">
        <v>648455</v>
      </c>
      <c r="H369" s="53">
        <v>89439</v>
      </c>
      <c r="I369" s="53">
        <v>3875109</v>
      </c>
      <c r="J369" s="53" t="s">
        <v>43</v>
      </c>
      <c r="K369" s="53" t="s">
        <v>43</v>
      </c>
      <c r="L369" s="53">
        <v>84144</v>
      </c>
      <c r="M369" s="53">
        <v>64118</v>
      </c>
      <c r="N369" s="53" t="s">
        <v>1823</v>
      </c>
      <c r="O369" s="53" t="s">
        <v>1824</v>
      </c>
      <c r="P369" s="113"/>
      <c r="Q369" s="53"/>
      <c r="R369" s="53">
        <v>40534471</v>
      </c>
      <c r="S369" s="53" t="s">
        <v>1825</v>
      </c>
      <c r="T369" s="58">
        <v>44067</v>
      </c>
      <c r="U369" s="58">
        <v>44067</v>
      </c>
      <c r="V369" s="59">
        <v>44091</v>
      </c>
      <c r="W369" s="53">
        <v>25</v>
      </c>
      <c r="X369" s="119" t="s">
        <v>36</v>
      </c>
      <c r="Y369" s="124"/>
      <c r="Z369" s="125" t="s">
        <v>146</v>
      </c>
      <c r="AA369" s="126" t="s">
        <v>275</v>
      </c>
    </row>
    <row r="370" hidden="1" spans="1:27">
      <c r="A370" s="41" t="s">
        <v>138</v>
      </c>
      <c r="B370" s="131" t="s">
        <v>1110</v>
      </c>
      <c r="C370" s="131" t="s">
        <v>1826</v>
      </c>
      <c r="D370" s="131" t="s">
        <v>1827</v>
      </c>
      <c r="E370" s="131" t="s">
        <v>1677</v>
      </c>
      <c r="F370" s="131" t="s">
        <v>1677</v>
      </c>
      <c r="G370" s="53">
        <v>648462</v>
      </c>
      <c r="H370" s="53">
        <v>89446</v>
      </c>
      <c r="I370" s="53">
        <v>3875153</v>
      </c>
      <c r="J370" s="53" t="s">
        <v>43</v>
      </c>
      <c r="K370" s="53" t="s">
        <v>43</v>
      </c>
      <c r="L370" s="53">
        <v>84144</v>
      </c>
      <c r="M370" s="53">
        <v>64118</v>
      </c>
      <c r="N370" s="53" t="s">
        <v>1828</v>
      </c>
      <c r="O370" s="53" t="s">
        <v>1829</v>
      </c>
      <c r="P370" s="113"/>
      <c r="Q370" s="53"/>
      <c r="R370" s="53">
        <v>39698401</v>
      </c>
      <c r="S370" s="53" t="s">
        <v>1830</v>
      </c>
      <c r="T370" s="58">
        <v>44067</v>
      </c>
      <c r="U370" s="58">
        <v>44067</v>
      </c>
      <c r="V370" s="59">
        <v>44091</v>
      </c>
      <c r="W370" s="53">
        <v>25</v>
      </c>
      <c r="X370" s="119" t="s">
        <v>36</v>
      </c>
      <c r="Y370" s="124"/>
      <c r="Z370" s="125" t="s">
        <v>146</v>
      </c>
      <c r="AA370" s="126" t="s">
        <v>1699</v>
      </c>
    </row>
    <row r="371" hidden="1" spans="1:27">
      <c r="A371" s="41" t="s">
        <v>138</v>
      </c>
      <c r="B371" s="131" t="s">
        <v>1110</v>
      </c>
      <c r="C371" s="131" t="s">
        <v>1831</v>
      </c>
      <c r="D371" s="131" t="s">
        <v>1832</v>
      </c>
      <c r="E371" s="131" t="s">
        <v>1677</v>
      </c>
      <c r="F371" s="131" t="s">
        <v>1677</v>
      </c>
      <c r="G371" s="53">
        <v>648460</v>
      </c>
      <c r="H371" s="53">
        <v>89444</v>
      </c>
      <c r="I371" s="53">
        <v>3520111</v>
      </c>
      <c r="J371" s="53" t="s">
        <v>43</v>
      </c>
      <c r="K371" s="53" t="s">
        <v>43</v>
      </c>
      <c r="L371" s="53">
        <v>84144</v>
      </c>
      <c r="M371" s="53">
        <v>64118</v>
      </c>
      <c r="N371" s="53" t="s">
        <v>1833</v>
      </c>
      <c r="O371" s="53" t="s">
        <v>1834</v>
      </c>
      <c r="P371" s="113"/>
      <c r="Q371" s="53"/>
      <c r="R371" s="53">
        <v>40923908</v>
      </c>
      <c r="S371" s="53" t="s">
        <v>1835</v>
      </c>
      <c r="T371" s="58">
        <v>44067</v>
      </c>
      <c r="U371" s="58">
        <v>44067</v>
      </c>
      <c r="V371" s="59">
        <v>44091</v>
      </c>
      <c r="W371" s="53">
        <v>25</v>
      </c>
      <c r="X371" s="119" t="s">
        <v>36</v>
      </c>
      <c r="Y371" s="124"/>
      <c r="Z371" s="125" t="s">
        <v>146</v>
      </c>
      <c r="AA371" s="126" t="s">
        <v>1699</v>
      </c>
    </row>
    <row r="372" hidden="1" spans="1:27">
      <c r="A372" s="41" t="s">
        <v>138</v>
      </c>
      <c r="B372" s="131" t="s">
        <v>1110</v>
      </c>
      <c r="C372" s="131" t="s">
        <v>1015</v>
      </c>
      <c r="D372" s="131" t="s">
        <v>1836</v>
      </c>
      <c r="E372" s="131" t="s">
        <v>1677</v>
      </c>
      <c r="F372" s="131" t="s">
        <v>1677</v>
      </c>
      <c r="G372" s="53">
        <v>648461</v>
      </c>
      <c r="H372" s="53">
        <v>89445</v>
      </c>
      <c r="I372" s="53">
        <v>1322439</v>
      </c>
      <c r="J372" s="53" t="s">
        <v>43</v>
      </c>
      <c r="K372" s="53" t="s">
        <v>43</v>
      </c>
      <c r="L372" s="53">
        <v>84144</v>
      </c>
      <c r="M372" s="53">
        <v>64118</v>
      </c>
      <c r="N372" s="53" t="s">
        <v>1837</v>
      </c>
      <c r="O372" s="53" t="s">
        <v>1838</v>
      </c>
      <c r="P372" s="113"/>
      <c r="Q372" s="53"/>
      <c r="R372" s="53">
        <v>37089919</v>
      </c>
      <c r="S372" s="53" t="s">
        <v>1839</v>
      </c>
      <c r="T372" s="58">
        <v>44067</v>
      </c>
      <c r="U372" s="58">
        <v>44067</v>
      </c>
      <c r="V372" s="59">
        <v>44091</v>
      </c>
      <c r="W372" s="53">
        <v>25</v>
      </c>
      <c r="X372" s="119" t="s">
        <v>36</v>
      </c>
      <c r="Y372" s="124"/>
      <c r="Z372" s="125" t="s">
        <v>146</v>
      </c>
      <c r="AA372" s="126" t="s">
        <v>1699</v>
      </c>
    </row>
    <row r="373" hidden="1" spans="1:27">
      <c r="A373" s="41" t="s">
        <v>138</v>
      </c>
      <c r="B373" s="131" t="s">
        <v>1110</v>
      </c>
      <c r="C373" s="131" t="s">
        <v>1482</v>
      </c>
      <c r="D373" s="131" t="s">
        <v>1840</v>
      </c>
      <c r="E373" s="131" t="s">
        <v>1677</v>
      </c>
      <c r="F373" s="131" t="s">
        <v>1677</v>
      </c>
      <c r="G373" s="53">
        <v>648468</v>
      </c>
      <c r="H373" s="53">
        <v>89452</v>
      </c>
      <c r="I373" s="53">
        <v>3146295</v>
      </c>
      <c r="J373" s="53" t="s">
        <v>43</v>
      </c>
      <c r="K373" s="53" t="s">
        <v>43</v>
      </c>
      <c r="L373" s="53">
        <v>84144</v>
      </c>
      <c r="M373" s="53">
        <v>64118</v>
      </c>
      <c r="N373" s="53" t="s">
        <v>1841</v>
      </c>
      <c r="O373" s="53" t="s">
        <v>1842</v>
      </c>
      <c r="P373" s="113"/>
      <c r="Q373" s="53"/>
      <c r="R373" s="53">
        <v>37457389</v>
      </c>
      <c r="S373" s="53" t="s">
        <v>1843</v>
      </c>
      <c r="T373" s="58">
        <v>44067</v>
      </c>
      <c r="U373" s="58">
        <v>44067</v>
      </c>
      <c r="V373" s="59">
        <v>44091</v>
      </c>
      <c r="W373" s="53">
        <v>25</v>
      </c>
      <c r="X373" s="119" t="s">
        <v>36</v>
      </c>
      <c r="Y373" s="124"/>
      <c r="Z373" s="125" t="s">
        <v>146</v>
      </c>
      <c r="AA373" s="126" t="s">
        <v>1710</v>
      </c>
    </row>
    <row r="374" hidden="1" spans="1:27">
      <c r="A374" s="41" t="s">
        <v>138</v>
      </c>
      <c r="B374" s="131" t="s">
        <v>1110</v>
      </c>
      <c r="C374" s="131" t="s">
        <v>1844</v>
      </c>
      <c r="D374" s="131" t="s">
        <v>1845</v>
      </c>
      <c r="E374" s="131" t="s">
        <v>1677</v>
      </c>
      <c r="F374" s="131" t="s">
        <v>1677</v>
      </c>
      <c r="G374" s="53">
        <v>648464</v>
      </c>
      <c r="H374" s="53">
        <v>89448</v>
      </c>
      <c r="I374" s="53">
        <v>3875160</v>
      </c>
      <c r="J374" s="53" t="s">
        <v>43</v>
      </c>
      <c r="K374" s="53" t="s">
        <v>43</v>
      </c>
      <c r="L374" s="53">
        <v>84144</v>
      </c>
      <c r="M374" s="53">
        <v>64118</v>
      </c>
      <c r="N374" s="53" t="s">
        <v>1846</v>
      </c>
      <c r="O374" s="53" t="s">
        <v>1847</v>
      </c>
      <c r="P374" s="113"/>
      <c r="Q374" s="53"/>
      <c r="R374" s="53">
        <v>42547180</v>
      </c>
      <c r="S374" s="53" t="s">
        <v>1848</v>
      </c>
      <c r="T374" s="58">
        <v>44067</v>
      </c>
      <c r="U374" s="58">
        <v>44067</v>
      </c>
      <c r="V374" s="59">
        <v>44091</v>
      </c>
      <c r="W374" s="53">
        <v>25</v>
      </c>
      <c r="X374" s="119" t="s">
        <v>36</v>
      </c>
      <c r="Y374" s="124"/>
      <c r="Z374" s="125" t="s">
        <v>146</v>
      </c>
      <c r="AA374" s="126" t="s">
        <v>1710</v>
      </c>
    </row>
    <row r="375" hidden="1" spans="1:27">
      <c r="A375" s="41" t="s">
        <v>1674</v>
      </c>
      <c r="B375" s="131" t="s">
        <v>1449</v>
      </c>
      <c r="C375" s="131" t="s">
        <v>533</v>
      </c>
      <c r="D375" s="131" t="s">
        <v>1849</v>
      </c>
      <c r="E375" s="131" t="s">
        <v>1677</v>
      </c>
      <c r="F375" s="131" t="s">
        <v>1677</v>
      </c>
      <c r="G375" s="53">
        <v>648484</v>
      </c>
      <c r="H375" s="53">
        <v>89423</v>
      </c>
      <c r="I375" s="53">
        <v>3875350</v>
      </c>
      <c r="J375" s="53" t="s">
        <v>43</v>
      </c>
      <c r="K375" s="53" t="s">
        <v>43</v>
      </c>
      <c r="L375" s="53">
        <v>77681</v>
      </c>
      <c r="M375" s="53">
        <v>59438</v>
      </c>
      <c r="N375" s="53" t="s">
        <v>1850</v>
      </c>
      <c r="O375" s="53" t="s">
        <v>1851</v>
      </c>
      <c r="P375" s="113"/>
      <c r="Q375" s="53"/>
      <c r="R375" s="53">
        <v>39698765</v>
      </c>
      <c r="S375" s="53" t="s">
        <v>1852</v>
      </c>
      <c r="T375" s="58">
        <v>44067</v>
      </c>
      <c r="U375" s="58">
        <v>44067</v>
      </c>
      <c r="V375" s="59">
        <v>44091</v>
      </c>
      <c r="W375" s="53">
        <v>25</v>
      </c>
      <c r="X375" s="119" t="s">
        <v>36</v>
      </c>
      <c r="Y375" s="124"/>
      <c r="Z375" s="125" t="s">
        <v>146</v>
      </c>
      <c r="AA375" s="126" t="s">
        <v>1794</v>
      </c>
    </row>
    <row r="376" hidden="1" spans="1:27">
      <c r="A376" s="41" t="s">
        <v>1674</v>
      </c>
      <c r="B376" s="131" t="s">
        <v>1449</v>
      </c>
      <c r="C376" s="131" t="s">
        <v>707</v>
      </c>
      <c r="D376" s="131" t="s">
        <v>1853</v>
      </c>
      <c r="E376" s="131" t="s">
        <v>1677</v>
      </c>
      <c r="F376" s="131" t="s">
        <v>1677</v>
      </c>
      <c r="G376" s="53">
        <v>648482</v>
      </c>
      <c r="H376" s="53">
        <v>89419</v>
      </c>
      <c r="I376" s="53">
        <v>3875336</v>
      </c>
      <c r="J376" s="53" t="s">
        <v>43</v>
      </c>
      <c r="K376" s="53" t="s">
        <v>43</v>
      </c>
      <c r="L376" s="53">
        <v>77681</v>
      </c>
      <c r="M376" s="53">
        <v>59438</v>
      </c>
      <c r="N376" s="53" t="s">
        <v>1854</v>
      </c>
      <c r="O376" s="53" t="s">
        <v>1855</v>
      </c>
      <c r="P376" s="113"/>
      <c r="Q376" s="53"/>
      <c r="R376" s="53">
        <v>36867895</v>
      </c>
      <c r="S376" s="53" t="s">
        <v>1856</v>
      </c>
      <c r="T376" s="58">
        <v>44067</v>
      </c>
      <c r="U376" s="58">
        <v>44067</v>
      </c>
      <c r="V376" s="59">
        <v>44091</v>
      </c>
      <c r="W376" s="53">
        <v>25</v>
      </c>
      <c r="X376" s="119" t="s">
        <v>36</v>
      </c>
      <c r="Y376" s="124"/>
      <c r="Z376" s="125" t="s">
        <v>146</v>
      </c>
      <c r="AA376" s="126" t="s">
        <v>1794</v>
      </c>
    </row>
    <row r="377" hidden="1" spans="1:27">
      <c r="A377" s="41" t="s">
        <v>1674</v>
      </c>
      <c r="B377" s="131" t="s">
        <v>1449</v>
      </c>
      <c r="C377" s="131" t="s">
        <v>186</v>
      </c>
      <c r="D377" s="131" t="s">
        <v>1768</v>
      </c>
      <c r="E377" s="131" t="s">
        <v>1677</v>
      </c>
      <c r="F377" s="131" t="s">
        <v>1677</v>
      </c>
      <c r="G377" s="53">
        <v>648481</v>
      </c>
      <c r="H377" s="53">
        <v>89416</v>
      </c>
      <c r="I377" s="53">
        <v>3875337</v>
      </c>
      <c r="J377" s="53" t="s">
        <v>43</v>
      </c>
      <c r="K377" s="53" t="s">
        <v>43</v>
      </c>
      <c r="L377" s="53">
        <v>77681</v>
      </c>
      <c r="M377" s="53">
        <v>59438</v>
      </c>
      <c r="N377" s="53" t="s">
        <v>1857</v>
      </c>
      <c r="O377" s="53" t="s">
        <v>1858</v>
      </c>
      <c r="P377" s="113"/>
      <c r="Q377" s="53"/>
      <c r="R377" s="53">
        <v>40533765</v>
      </c>
      <c r="S377" s="53" t="s">
        <v>1859</v>
      </c>
      <c r="T377" s="58">
        <v>44067</v>
      </c>
      <c r="U377" s="58">
        <v>44067</v>
      </c>
      <c r="V377" s="59">
        <v>44091</v>
      </c>
      <c r="W377" s="53">
        <v>25</v>
      </c>
      <c r="X377" s="119" t="s">
        <v>36</v>
      </c>
      <c r="Y377" s="124"/>
      <c r="Z377" s="125" t="s">
        <v>146</v>
      </c>
      <c r="AA377" s="126" t="s">
        <v>1794</v>
      </c>
    </row>
    <row r="378" hidden="1" spans="1:27">
      <c r="A378" s="41" t="s">
        <v>1674</v>
      </c>
      <c r="B378" s="131" t="s">
        <v>1449</v>
      </c>
      <c r="C378" s="131" t="s">
        <v>115</v>
      </c>
      <c r="D378" s="131" t="s">
        <v>1860</v>
      </c>
      <c r="E378" s="131" t="s">
        <v>1677</v>
      </c>
      <c r="F378" s="131" t="s">
        <v>1677</v>
      </c>
      <c r="G378" s="53">
        <v>648478</v>
      </c>
      <c r="H378" s="53">
        <v>89420</v>
      </c>
      <c r="I378" s="53">
        <v>3875209</v>
      </c>
      <c r="J378" s="53" t="s">
        <v>43</v>
      </c>
      <c r="K378" s="53" t="s">
        <v>43</v>
      </c>
      <c r="L378" s="53">
        <v>77681</v>
      </c>
      <c r="M378" s="53">
        <v>59438</v>
      </c>
      <c r="N378" s="53" t="s">
        <v>1861</v>
      </c>
      <c r="O378" s="53" t="s">
        <v>1862</v>
      </c>
      <c r="P378" s="113"/>
      <c r="Q378" s="53"/>
      <c r="R378" s="53">
        <v>35813319</v>
      </c>
      <c r="S378" s="53" t="s">
        <v>1863</v>
      </c>
      <c r="T378" s="58">
        <v>44067</v>
      </c>
      <c r="U378" s="58">
        <v>44067</v>
      </c>
      <c r="V378" s="59">
        <v>44091</v>
      </c>
      <c r="W378" s="53">
        <v>25</v>
      </c>
      <c r="X378" s="119" t="s">
        <v>36</v>
      </c>
      <c r="Y378" s="124"/>
      <c r="Z378" s="125" t="s">
        <v>146</v>
      </c>
      <c r="AA378" s="126" t="s">
        <v>1794</v>
      </c>
    </row>
    <row r="379" hidden="1" spans="1:27">
      <c r="A379" s="41" t="s">
        <v>1674</v>
      </c>
      <c r="B379" s="131" t="s">
        <v>1449</v>
      </c>
      <c r="C379" s="131" t="s">
        <v>1864</v>
      </c>
      <c r="D379" s="131" t="s">
        <v>1865</v>
      </c>
      <c r="E379" s="131" t="s">
        <v>1677</v>
      </c>
      <c r="F379" s="131" t="s">
        <v>1677</v>
      </c>
      <c r="G379" s="53">
        <v>648486</v>
      </c>
      <c r="H379" s="53">
        <v>89422</v>
      </c>
      <c r="I379" s="53">
        <v>3875374</v>
      </c>
      <c r="J379" s="53" t="s">
        <v>43</v>
      </c>
      <c r="K379" s="53" t="s">
        <v>43</v>
      </c>
      <c r="L379" s="53">
        <v>77681</v>
      </c>
      <c r="M379" s="53">
        <v>59438</v>
      </c>
      <c r="N379" s="53" t="s">
        <v>1866</v>
      </c>
      <c r="O379" s="53" t="s">
        <v>1867</v>
      </c>
      <c r="P379" s="113"/>
      <c r="Q379" s="53"/>
      <c r="R379" s="53">
        <v>40436518</v>
      </c>
      <c r="S379" s="53" t="s">
        <v>1868</v>
      </c>
      <c r="T379" s="58">
        <v>44067</v>
      </c>
      <c r="U379" s="58">
        <v>44067</v>
      </c>
      <c r="V379" s="59">
        <v>44091</v>
      </c>
      <c r="W379" s="53">
        <v>25</v>
      </c>
      <c r="X379" s="119" t="s">
        <v>36</v>
      </c>
      <c r="Y379" s="124"/>
      <c r="Z379" s="125" t="s">
        <v>146</v>
      </c>
      <c r="AA379" s="126" t="s">
        <v>1794</v>
      </c>
    </row>
    <row r="380" hidden="1" spans="1:27">
      <c r="A380" s="41" t="s">
        <v>1674</v>
      </c>
      <c r="B380" s="131" t="s">
        <v>1449</v>
      </c>
      <c r="C380" s="131" t="s">
        <v>1869</v>
      </c>
      <c r="D380" s="131" t="s">
        <v>1870</v>
      </c>
      <c r="E380" s="131" t="s">
        <v>1677</v>
      </c>
      <c r="F380" s="131" t="s">
        <v>1677</v>
      </c>
      <c r="G380" s="53">
        <v>648475</v>
      </c>
      <c r="H380" s="53">
        <v>89459</v>
      </c>
      <c r="I380" s="53">
        <v>3875204</v>
      </c>
      <c r="J380" s="53" t="s">
        <v>43</v>
      </c>
      <c r="K380" s="53" t="s">
        <v>43</v>
      </c>
      <c r="L380" s="53">
        <v>77681</v>
      </c>
      <c r="M380" s="53">
        <v>59438</v>
      </c>
      <c r="N380" s="53" t="s">
        <v>1871</v>
      </c>
      <c r="O380" s="53" t="s">
        <v>1872</v>
      </c>
      <c r="P380" s="113"/>
      <c r="Q380" s="53"/>
      <c r="R380" s="53">
        <v>36838717</v>
      </c>
      <c r="S380" s="53" t="s">
        <v>1873</v>
      </c>
      <c r="T380" s="58">
        <v>44067</v>
      </c>
      <c r="U380" s="58">
        <v>44067</v>
      </c>
      <c r="V380" s="59">
        <v>44091</v>
      </c>
      <c r="W380" s="53">
        <v>25</v>
      </c>
      <c r="X380" s="119" t="s">
        <v>36</v>
      </c>
      <c r="Y380" s="124"/>
      <c r="Z380" s="125" t="s">
        <v>146</v>
      </c>
      <c r="AA380" s="126" t="s">
        <v>1794</v>
      </c>
    </row>
    <row r="381" hidden="1" spans="1:27">
      <c r="A381" s="41" t="s">
        <v>1674</v>
      </c>
      <c r="B381" s="131" t="s">
        <v>1449</v>
      </c>
      <c r="C381" s="131" t="s">
        <v>1874</v>
      </c>
      <c r="D381" s="131" t="s">
        <v>1875</v>
      </c>
      <c r="E381" s="131" t="s">
        <v>1677</v>
      </c>
      <c r="F381" s="131" t="s">
        <v>1677</v>
      </c>
      <c r="G381" s="53">
        <v>648479</v>
      </c>
      <c r="H381" s="53">
        <v>89424</v>
      </c>
      <c r="I381" s="53">
        <v>3875325</v>
      </c>
      <c r="J381" s="53" t="s">
        <v>43</v>
      </c>
      <c r="K381" s="53" t="s">
        <v>43</v>
      </c>
      <c r="L381" s="53">
        <v>77681</v>
      </c>
      <c r="M381" s="53">
        <v>59438</v>
      </c>
      <c r="N381" s="53" t="s">
        <v>1876</v>
      </c>
      <c r="O381" s="53" t="s">
        <v>1877</v>
      </c>
      <c r="P381" s="113"/>
      <c r="Q381" s="53"/>
      <c r="R381" s="53">
        <v>41408431</v>
      </c>
      <c r="S381" s="53" t="s">
        <v>1878</v>
      </c>
      <c r="T381" s="58">
        <v>44067</v>
      </c>
      <c r="U381" s="58">
        <v>44067</v>
      </c>
      <c r="V381" s="59">
        <v>44091</v>
      </c>
      <c r="W381" s="53">
        <v>25</v>
      </c>
      <c r="X381" s="119" t="s">
        <v>36</v>
      </c>
      <c r="Y381" s="124"/>
      <c r="Z381" s="125" t="s">
        <v>146</v>
      </c>
      <c r="AA381" s="126" t="s">
        <v>1794</v>
      </c>
    </row>
    <row r="382" hidden="1" spans="1:27">
      <c r="A382" s="41" t="s">
        <v>1674</v>
      </c>
      <c r="B382" s="131" t="s">
        <v>1449</v>
      </c>
      <c r="C382" s="131" t="s">
        <v>1015</v>
      </c>
      <c r="D382" s="131" t="s">
        <v>1879</v>
      </c>
      <c r="E382" s="131" t="s">
        <v>1677</v>
      </c>
      <c r="F382" s="131" t="s">
        <v>1677</v>
      </c>
      <c r="G382" s="53">
        <v>648485</v>
      </c>
      <c r="H382" s="53">
        <v>89421</v>
      </c>
      <c r="I382" s="53">
        <v>1115010</v>
      </c>
      <c r="J382" s="53" t="s">
        <v>43</v>
      </c>
      <c r="K382" s="53" t="s">
        <v>43</v>
      </c>
      <c r="L382" s="53">
        <v>77681</v>
      </c>
      <c r="M382" s="53">
        <v>59438</v>
      </c>
      <c r="N382" s="53" t="s">
        <v>1880</v>
      </c>
      <c r="O382" s="53" t="s">
        <v>1881</v>
      </c>
      <c r="P382" s="113"/>
      <c r="Q382" s="53"/>
      <c r="R382" s="53">
        <v>33541052</v>
      </c>
      <c r="S382" s="53" t="s">
        <v>1882</v>
      </c>
      <c r="T382" s="58">
        <v>44067</v>
      </c>
      <c r="U382" s="58">
        <v>44067</v>
      </c>
      <c r="V382" s="59">
        <v>44091</v>
      </c>
      <c r="W382" s="53">
        <v>25</v>
      </c>
      <c r="X382" s="119" t="s">
        <v>36</v>
      </c>
      <c r="Y382" s="124"/>
      <c r="Z382" s="125" t="s">
        <v>146</v>
      </c>
      <c r="AA382" s="126" t="s">
        <v>1794</v>
      </c>
    </row>
    <row r="383" hidden="1" spans="1:27">
      <c r="A383" s="41" t="s">
        <v>1674</v>
      </c>
      <c r="B383" s="131" t="s">
        <v>1449</v>
      </c>
      <c r="C383" s="131" t="s">
        <v>1883</v>
      </c>
      <c r="D383" s="131" t="s">
        <v>1884</v>
      </c>
      <c r="E383" s="131" t="s">
        <v>1677</v>
      </c>
      <c r="F383" s="131" t="s">
        <v>1677</v>
      </c>
      <c r="G383" s="53">
        <v>648480</v>
      </c>
      <c r="H383" s="53">
        <v>89415</v>
      </c>
      <c r="I383" s="53">
        <v>3875329</v>
      </c>
      <c r="J383" s="53" t="s">
        <v>43</v>
      </c>
      <c r="K383" s="53" t="s">
        <v>43</v>
      </c>
      <c r="L383" s="53">
        <v>77681</v>
      </c>
      <c r="M383" s="53">
        <v>59438</v>
      </c>
      <c r="N383" s="53" t="s">
        <v>1885</v>
      </c>
      <c r="O383" s="53" t="s">
        <v>1886</v>
      </c>
      <c r="P383" s="113"/>
      <c r="Q383" s="53"/>
      <c r="R383" s="53">
        <v>43835572</v>
      </c>
      <c r="S383" s="53" t="s">
        <v>1887</v>
      </c>
      <c r="T383" s="58">
        <v>44067</v>
      </c>
      <c r="U383" s="58">
        <v>44067</v>
      </c>
      <c r="V383" s="59">
        <v>44091</v>
      </c>
      <c r="W383" s="53">
        <v>25</v>
      </c>
      <c r="X383" s="119" t="s">
        <v>36</v>
      </c>
      <c r="Y383" s="124"/>
      <c r="Z383" s="125" t="s">
        <v>146</v>
      </c>
      <c r="AA383" s="126" t="s">
        <v>1794</v>
      </c>
    </row>
    <row r="384" ht="15.75" hidden="1" spans="1:27">
      <c r="A384" s="43" t="s">
        <v>1674</v>
      </c>
      <c r="B384" s="132" t="s">
        <v>1449</v>
      </c>
      <c r="C384" s="132" t="s">
        <v>1888</v>
      </c>
      <c r="D384" s="132" t="s">
        <v>1889</v>
      </c>
      <c r="E384" s="132" t="s">
        <v>1677</v>
      </c>
      <c r="F384" s="132" t="s">
        <v>1677</v>
      </c>
      <c r="G384" s="82">
        <v>648477</v>
      </c>
      <c r="H384" s="82">
        <v>89418</v>
      </c>
      <c r="I384" s="82">
        <v>3875208</v>
      </c>
      <c r="J384" s="82" t="s">
        <v>43</v>
      </c>
      <c r="K384" s="82" t="s">
        <v>43</v>
      </c>
      <c r="L384" s="82">
        <v>77681</v>
      </c>
      <c r="M384" s="82">
        <v>59438</v>
      </c>
      <c r="N384" s="82" t="s">
        <v>1890</v>
      </c>
      <c r="O384" s="82" t="s">
        <v>1891</v>
      </c>
      <c r="P384" s="133"/>
      <c r="Q384" s="82"/>
      <c r="R384" s="82">
        <v>37504461</v>
      </c>
      <c r="S384" s="82" t="s">
        <v>1892</v>
      </c>
      <c r="T384" s="88">
        <v>44067</v>
      </c>
      <c r="U384" s="88">
        <v>44067</v>
      </c>
      <c r="V384" s="89">
        <v>44091</v>
      </c>
      <c r="W384" s="82">
        <v>25</v>
      </c>
      <c r="X384" s="134" t="s">
        <v>36</v>
      </c>
      <c r="Y384" s="135"/>
      <c r="Z384" s="136" t="s">
        <v>146</v>
      </c>
      <c r="AA384" s="126" t="s">
        <v>1794</v>
      </c>
    </row>
    <row r="385"/>
  </sheetData>
  <autoFilter ref="A1:AA384">
    <filterColumn colId="1">
      <customFilters>
        <customFilter operator="equal" val="Arias Juan José"/>
        <customFilter operator="equal" val="Brandan Ernesto Alejandro"/>
      </customFilters>
    </filterColumn>
    <filterColumn colId="2">
      <customFilters>
        <customFilter operator="equal" val="Santucho"/>
        <customFilter operator="equal" val="Yapura"/>
      </customFilters>
    </filterColumn>
    <extLst/>
  </autoFilter>
  <conditionalFormatting sqref="E1:F1">
    <cfRule type="cellIs" dxfId="9" priority="4607" operator="equal">
      <formula>"Pending Term"</formula>
    </cfRule>
    <cfRule type="cellIs" dxfId="9" priority="4585" operator="equal">
      <formula>"LOA"</formula>
    </cfRule>
    <cfRule type="cellIs" dxfId="10" priority="4586" operator="equal">
      <formula>"off"</formula>
    </cfRule>
  </conditionalFormatting>
  <conditionalFormatting sqref="A3">
    <cfRule type="cellIs" dxfId="9" priority="396" operator="equal">
      <formula>"LOA"</formula>
    </cfRule>
    <cfRule type="cellIs" dxfId="11" priority="397" operator="equal">
      <formula>"PENDING TERM"</formula>
    </cfRule>
    <cfRule type="cellIs" dxfId="12" priority="398" operator="equal">
      <formula>"PROMOTED"</formula>
    </cfRule>
    <cfRule type="cellIs" dxfId="13" priority="399" operator="equal">
      <formula>"REINSTATEMENT"</formula>
    </cfRule>
    <cfRule type="cellIs" dxfId="14" priority="400" operator="equal">
      <formula>"TERM"</formula>
    </cfRule>
    <cfRule type="cellIs" dxfId="9" priority="401" operator="equal">
      <formula>"TRANSFER"</formula>
    </cfRule>
  </conditionalFormatting>
  <conditionalFormatting sqref="E3:F3">
    <cfRule type="cellIs" dxfId="9" priority="402" operator="equal">
      <formula>"Approved Off"</formula>
    </cfRule>
    <cfRule type="cellIs" dxfId="9" priority="403" operator="equal">
      <formula>"LOA"</formula>
    </cfRule>
    <cfRule type="cellIs" dxfId="15" priority="404" operator="equal">
      <formula>"nesting"</formula>
    </cfRule>
    <cfRule type="cellIs" dxfId="10" priority="405" operator="equal">
      <formula>"off"</formula>
    </cfRule>
    <cfRule type="cellIs" dxfId="9" priority="406" operator="equal">
      <formula>"vac"</formula>
    </cfRule>
  </conditionalFormatting>
  <conditionalFormatting sqref="H3">
    <cfRule type="duplicateValues" dxfId="16" priority="420"/>
  </conditionalFormatting>
  <conditionalFormatting sqref="I3">
    <cfRule type="duplicateValues" dxfId="16" priority="421"/>
  </conditionalFormatting>
  <conditionalFormatting sqref="R3">
    <cfRule type="duplicateValues" dxfId="16" priority="422"/>
  </conditionalFormatting>
  <conditionalFormatting sqref="S3">
    <cfRule type="duplicateValues" dxfId="16" priority="423"/>
  </conditionalFormatting>
  <conditionalFormatting sqref="G7">
    <cfRule type="duplicateValues" dxfId="16" priority="428"/>
  </conditionalFormatting>
  <conditionalFormatting sqref="H7">
    <cfRule type="duplicateValues" dxfId="16" priority="424"/>
  </conditionalFormatting>
  <conditionalFormatting sqref="I7">
    <cfRule type="duplicateValues" dxfId="16" priority="425"/>
  </conditionalFormatting>
  <conditionalFormatting sqref="R7">
    <cfRule type="duplicateValues" dxfId="16" priority="426"/>
  </conditionalFormatting>
  <conditionalFormatting sqref="S7">
    <cfRule type="duplicateValues" dxfId="16" priority="427"/>
  </conditionalFormatting>
  <conditionalFormatting sqref="E19">
    <cfRule type="cellIs" dxfId="9" priority="6" operator="equal">
      <formula>"TRANSFER"</formula>
    </cfRule>
    <cfRule type="cellIs" dxfId="14" priority="5" operator="equal">
      <formula>"TERM"</formula>
    </cfRule>
    <cfRule type="cellIs" dxfId="13" priority="4" operator="equal">
      <formula>"REINSTATEMENT"</formula>
    </cfRule>
    <cfRule type="cellIs" dxfId="12" priority="3" operator="equal">
      <formula>"PROMOTED"</formula>
    </cfRule>
    <cfRule type="cellIs" dxfId="11" priority="2" operator="equal">
      <formula>"PENDING TERM"</formula>
    </cfRule>
    <cfRule type="cellIs" dxfId="9" priority="1" operator="equal">
      <formula>"LOA"</formula>
    </cfRule>
  </conditionalFormatting>
  <conditionalFormatting sqref="G19">
    <cfRule type="duplicateValues" dxfId="16" priority="527"/>
  </conditionalFormatting>
  <conditionalFormatting sqref="H19">
    <cfRule type="duplicateValues" dxfId="16" priority="523"/>
  </conditionalFormatting>
  <conditionalFormatting sqref="I19">
    <cfRule type="duplicateValues" dxfId="16" priority="524"/>
  </conditionalFormatting>
  <conditionalFormatting sqref="R19">
    <cfRule type="duplicateValues" dxfId="16" priority="525"/>
  </conditionalFormatting>
  <conditionalFormatting sqref="S19">
    <cfRule type="duplicateValues" dxfId="16" priority="526"/>
  </conditionalFormatting>
  <conditionalFormatting sqref="G27">
    <cfRule type="duplicateValues" dxfId="16" priority="448"/>
  </conditionalFormatting>
  <conditionalFormatting sqref="H27">
    <cfRule type="duplicateValues" dxfId="16" priority="444"/>
  </conditionalFormatting>
  <conditionalFormatting sqref="I27">
    <cfRule type="duplicateValues" dxfId="16" priority="445"/>
  </conditionalFormatting>
  <conditionalFormatting sqref="R27">
    <cfRule type="duplicateValues" dxfId="16" priority="446"/>
  </conditionalFormatting>
  <conditionalFormatting sqref="S27">
    <cfRule type="duplicateValues" dxfId="16" priority="447"/>
  </conditionalFormatting>
  <conditionalFormatting sqref="G28">
    <cfRule type="duplicateValues" dxfId="16" priority="433"/>
  </conditionalFormatting>
  <conditionalFormatting sqref="H28">
    <cfRule type="duplicateValues" dxfId="16" priority="429"/>
  </conditionalFormatting>
  <conditionalFormatting sqref="I28">
    <cfRule type="duplicateValues" dxfId="16" priority="430"/>
  </conditionalFormatting>
  <conditionalFormatting sqref="R28">
    <cfRule type="duplicateValues" dxfId="16" priority="431"/>
  </conditionalFormatting>
  <conditionalFormatting sqref="S28">
    <cfRule type="duplicateValues" dxfId="16" priority="432"/>
  </conditionalFormatting>
  <conditionalFormatting sqref="G29">
    <cfRule type="duplicateValues" dxfId="16" priority="462"/>
  </conditionalFormatting>
  <conditionalFormatting sqref="H29">
    <cfRule type="duplicateValues" dxfId="16" priority="458"/>
  </conditionalFormatting>
  <conditionalFormatting sqref="I29">
    <cfRule type="duplicateValues" dxfId="16" priority="459"/>
  </conditionalFormatting>
  <conditionalFormatting sqref="R29">
    <cfRule type="duplicateValues" dxfId="16" priority="460"/>
  </conditionalFormatting>
  <conditionalFormatting sqref="S29">
    <cfRule type="duplicateValues" dxfId="16" priority="461"/>
  </conditionalFormatting>
  <conditionalFormatting sqref="A30">
    <cfRule type="cellIs" dxfId="9" priority="377" operator="equal">
      <formula>"LOA"</formula>
    </cfRule>
    <cfRule type="cellIs" dxfId="11" priority="378" operator="equal">
      <formula>"PENDING TERM"</formula>
    </cfRule>
    <cfRule type="cellIs" dxfId="12" priority="379" operator="equal">
      <formula>"PROMOTED"</formula>
    </cfRule>
    <cfRule type="cellIs" dxfId="13" priority="380" operator="equal">
      <formula>"REINSTATEMENT"</formula>
    </cfRule>
    <cfRule type="cellIs" dxfId="14" priority="381" operator="equal">
      <formula>"TERM"</formula>
    </cfRule>
    <cfRule type="cellIs" dxfId="9" priority="382" operator="equal">
      <formula>"TRANSFER"</formula>
    </cfRule>
  </conditionalFormatting>
  <conditionalFormatting sqref="E30:F30">
    <cfRule type="cellIs" dxfId="9" priority="375" operator="equal">
      <formula>"FER"</formula>
    </cfRule>
    <cfRule type="cellIs" dxfId="9" priority="376" operator="equal">
      <formula>"Study Day"</formula>
    </cfRule>
    <cfRule type="cellIs" dxfId="9" priority="383" operator="equal">
      <formula>"Approved Off"</formula>
    </cfRule>
    <cfRule type="cellIs" dxfId="9" priority="384" operator="equal">
      <formula>"LOA"</formula>
    </cfRule>
    <cfRule type="cellIs" dxfId="15" priority="385" operator="equal">
      <formula>"nesting"</formula>
    </cfRule>
    <cfRule type="cellIs" dxfId="10" priority="386" operator="equal">
      <formula>"off"</formula>
    </cfRule>
    <cfRule type="cellIs" dxfId="9" priority="387" operator="equal">
      <formula>"vac"</formula>
    </cfRule>
  </conditionalFormatting>
  <conditionalFormatting sqref="G30">
    <cfRule type="duplicateValues" dxfId="16" priority="393"/>
  </conditionalFormatting>
  <conditionalFormatting sqref="H30">
    <cfRule type="duplicateValues" dxfId="16" priority="389"/>
  </conditionalFormatting>
  <conditionalFormatting sqref="I30">
    <cfRule type="duplicateValues" dxfId="16" priority="390"/>
  </conditionalFormatting>
  <conditionalFormatting sqref="R30">
    <cfRule type="duplicateValues" dxfId="16" priority="391"/>
  </conditionalFormatting>
  <conditionalFormatting sqref="S30">
    <cfRule type="duplicateValues" dxfId="16" priority="392"/>
  </conditionalFormatting>
  <conditionalFormatting sqref="A40">
    <cfRule type="cellIs" dxfId="9" priority="357" operator="equal">
      <formula>"LOA"</formula>
    </cfRule>
    <cfRule type="cellIs" dxfId="11" priority="358" operator="equal">
      <formula>"PENDING TERM"</formula>
    </cfRule>
    <cfRule type="cellIs" dxfId="12" priority="359" operator="equal">
      <formula>"PROMOTED"</formula>
    </cfRule>
    <cfRule type="cellIs" dxfId="13" priority="360" operator="equal">
      <formula>"REINSTATEMENT"</formula>
    </cfRule>
    <cfRule type="cellIs" dxfId="14" priority="361" operator="equal">
      <formula>"TERM"</formula>
    </cfRule>
    <cfRule type="cellIs" dxfId="9" priority="362" operator="equal">
      <formula>"TRANSFER"</formula>
    </cfRule>
  </conditionalFormatting>
  <conditionalFormatting sqref="E40:F40">
    <cfRule type="cellIs" dxfId="9" priority="354" operator="equal">
      <formula>"Pending Term"</formula>
    </cfRule>
    <cfRule type="cellIs" dxfId="9" priority="355" operator="equal">
      <formula>"FER"</formula>
    </cfRule>
    <cfRule type="cellIs" dxfId="9" priority="356" operator="equal">
      <formula>"Study Day"</formula>
    </cfRule>
    <cfRule type="cellIs" dxfId="9" priority="363" operator="equal">
      <formula>"Approved Off"</formula>
    </cfRule>
    <cfRule type="cellIs" dxfId="9" priority="364" operator="equal">
      <formula>"LOA"</formula>
    </cfRule>
    <cfRule type="cellIs" dxfId="15" priority="365" operator="equal">
      <formula>"nesting"</formula>
    </cfRule>
    <cfRule type="cellIs" dxfId="10" priority="366" operator="equal">
      <formula>"off"</formula>
    </cfRule>
    <cfRule type="cellIs" dxfId="9" priority="367" operator="equal">
      <formula>"vac"</formula>
    </cfRule>
  </conditionalFormatting>
  <conditionalFormatting sqref="G40">
    <cfRule type="duplicateValues" dxfId="16" priority="373"/>
  </conditionalFormatting>
  <conditionalFormatting sqref="H40">
    <cfRule type="duplicateValues" dxfId="16" priority="369"/>
  </conditionalFormatting>
  <conditionalFormatting sqref="I40">
    <cfRule type="duplicateValues" dxfId="16" priority="370"/>
  </conditionalFormatting>
  <conditionalFormatting sqref="R40">
    <cfRule type="duplicateValues" dxfId="16" priority="371"/>
  </conditionalFormatting>
  <conditionalFormatting sqref="S40">
    <cfRule type="duplicateValues" dxfId="16" priority="372"/>
  </conditionalFormatting>
  <conditionalFormatting sqref="E43:F43">
    <cfRule type="cellIs" dxfId="9" priority="137" operator="equal">
      <formula>"LOA"</formula>
    </cfRule>
    <cfRule type="cellIs" dxfId="10" priority="138" operator="equal">
      <formula>"off"</formula>
    </cfRule>
    <cfRule type="cellIs" dxfId="9" priority="139" operator="equal">
      <formula>"Pending Term"</formula>
    </cfRule>
    <cfRule type="cellIs" dxfId="9" priority="140" operator="equal">
      <formula>"FER"</formula>
    </cfRule>
    <cfRule type="cellIs" dxfId="9" priority="141" operator="equal">
      <formula>"Study Day"</formula>
    </cfRule>
    <cfRule type="cellIs" dxfId="9" priority="142" operator="equal">
      <formula>"Approved Off"</formula>
    </cfRule>
    <cfRule type="cellIs" dxfId="9" priority="143" operator="equal">
      <formula>"LOA"</formula>
    </cfRule>
    <cfRule type="cellIs" dxfId="15" priority="144" operator="equal">
      <formula>"nesting"</formula>
    </cfRule>
    <cfRule type="cellIs" dxfId="10" priority="145" operator="equal">
      <formula>"off"</formula>
    </cfRule>
    <cfRule type="cellIs" dxfId="9" priority="146" operator="equal">
      <formula>"vac"</formula>
    </cfRule>
  </conditionalFormatting>
  <conditionalFormatting sqref="E56">
    <cfRule type="cellIs" dxfId="9" priority="337" operator="equal">
      <formula>"LOA"</formula>
    </cfRule>
    <cfRule type="cellIs" dxfId="10" priority="338" operator="equal">
      <formula>"off"</formula>
    </cfRule>
    <cfRule type="cellIs" dxfId="9" priority="339" operator="equal">
      <formula>"Pending Term"</formula>
    </cfRule>
    <cfRule type="cellIs" dxfId="9" priority="340" operator="equal">
      <formula>"FER"</formula>
    </cfRule>
    <cfRule type="cellIs" dxfId="9" priority="341" operator="equal">
      <formula>"Study Day"</formula>
    </cfRule>
    <cfRule type="cellIs" dxfId="9" priority="342" operator="equal">
      <formula>"Approved Off"</formula>
    </cfRule>
    <cfRule type="cellIs" dxfId="9" priority="343" operator="equal">
      <formula>"LOA"</formula>
    </cfRule>
    <cfRule type="cellIs" dxfId="15" priority="344" operator="equal">
      <formula>"nesting"</formula>
    </cfRule>
    <cfRule type="cellIs" dxfId="10" priority="345" operator="equal">
      <formula>"off"</formula>
    </cfRule>
    <cfRule type="cellIs" dxfId="9" priority="346" operator="equal">
      <formula>"vac"</formula>
    </cfRule>
  </conditionalFormatting>
  <conditionalFormatting sqref="F56">
    <cfRule type="cellIs" dxfId="9" priority="327" operator="equal">
      <formula>"LOA"</formula>
    </cfRule>
    <cfRule type="cellIs" dxfId="10" priority="328" operator="equal">
      <formula>"off"</formula>
    </cfRule>
    <cfRule type="cellIs" dxfId="9" priority="329" operator="equal">
      <formula>"Pending Term"</formula>
    </cfRule>
    <cfRule type="cellIs" dxfId="9" priority="330" operator="equal">
      <formula>"FER"</formula>
    </cfRule>
    <cfRule type="cellIs" dxfId="9" priority="331" operator="equal">
      <formula>"Study Day"</formula>
    </cfRule>
    <cfRule type="cellIs" dxfId="9" priority="332" operator="equal">
      <formula>"Approved Off"</formula>
    </cfRule>
    <cfRule type="cellIs" dxfId="9" priority="333" operator="equal">
      <formula>"LOA"</formula>
    </cfRule>
    <cfRule type="cellIs" dxfId="15" priority="334" operator="equal">
      <formula>"nesting"</formula>
    </cfRule>
    <cfRule type="cellIs" dxfId="10" priority="335" operator="equal">
      <formula>"off"</formula>
    </cfRule>
    <cfRule type="cellIs" dxfId="9" priority="336" operator="equal">
      <formula>"vac"</formula>
    </cfRule>
  </conditionalFormatting>
  <conditionalFormatting sqref="E60">
    <cfRule type="cellIs" dxfId="9" priority="287" operator="equal">
      <formula>"LOA"</formula>
    </cfRule>
    <cfRule type="cellIs" dxfId="10" priority="288" operator="equal">
      <formula>"off"</formula>
    </cfRule>
    <cfRule type="cellIs" dxfId="9" priority="289" operator="equal">
      <formula>"Pending Term"</formula>
    </cfRule>
    <cfRule type="cellIs" dxfId="9" priority="290" operator="equal">
      <formula>"FER"</formula>
    </cfRule>
    <cfRule type="cellIs" dxfId="9" priority="291" operator="equal">
      <formula>"Study Day"</formula>
    </cfRule>
    <cfRule type="cellIs" dxfId="9" priority="292" operator="equal">
      <formula>"Approved Off"</formula>
    </cfRule>
    <cfRule type="cellIs" dxfId="9" priority="293" operator="equal">
      <formula>"LOA"</formula>
    </cfRule>
    <cfRule type="cellIs" dxfId="15" priority="294" operator="equal">
      <formula>"nesting"</formula>
    </cfRule>
    <cfRule type="cellIs" dxfId="10" priority="295" operator="equal">
      <formula>"off"</formula>
    </cfRule>
    <cfRule type="cellIs" dxfId="9" priority="296" operator="equal">
      <formula>"vac"</formula>
    </cfRule>
  </conditionalFormatting>
  <conditionalFormatting sqref="F60">
    <cfRule type="cellIs" dxfId="9" priority="277" operator="equal">
      <formula>"LOA"</formula>
    </cfRule>
    <cfRule type="cellIs" dxfId="10" priority="278" operator="equal">
      <formula>"off"</formula>
    </cfRule>
    <cfRule type="cellIs" dxfId="9" priority="279" operator="equal">
      <formula>"Pending Term"</formula>
    </cfRule>
    <cfRule type="cellIs" dxfId="9" priority="280" operator="equal">
      <formula>"FER"</formula>
    </cfRule>
    <cfRule type="cellIs" dxfId="9" priority="281" operator="equal">
      <formula>"Study Day"</formula>
    </cfRule>
    <cfRule type="cellIs" dxfId="9" priority="282" operator="equal">
      <formula>"Approved Off"</formula>
    </cfRule>
    <cfRule type="cellIs" dxfId="9" priority="283" operator="equal">
      <formula>"LOA"</formula>
    </cfRule>
    <cfRule type="cellIs" dxfId="15" priority="284" operator="equal">
      <formula>"nesting"</formula>
    </cfRule>
    <cfRule type="cellIs" dxfId="10" priority="285" operator="equal">
      <formula>"off"</formula>
    </cfRule>
    <cfRule type="cellIs" dxfId="9" priority="286" operator="equal">
      <formula>"vac"</formula>
    </cfRule>
  </conditionalFormatting>
  <conditionalFormatting sqref="E77">
    <cfRule type="cellIs" dxfId="9" priority="197" operator="equal">
      <formula>"LOA"</formula>
    </cfRule>
    <cfRule type="cellIs" dxfId="10" priority="198" operator="equal">
      <formula>"off"</formula>
    </cfRule>
    <cfRule type="cellIs" dxfId="9" priority="199" operator="equal">
      <formula>"Pending Term"</formula>
    </cfRule>
    <cfRule type="cellIs" dxfId="9" priority="200" operator="equal">
      <formula>"FER"</formula>
    </cfRule>
    <cfRule type="cellIs" dxfId="9" priority="201" operator="equal">
      <formula>"Study Day"</formula>
    </cfRule>
    <cfRule type="cellIs" dxfId="9" priority="202" operator="equal">
      <formula>"Approved Off"</formula>
    </cfRule>
    <cfRule type="cellIs" dxfId="9" priority="203" operator="equal">
      <formula>"LOA"</formula>
    </cfRule>
    <cfRule type="cellIs" dxfId="15" priority="204" operator="equal">
      <formula>"nesting"</formula>
    </cfRule>
    <cfRule type="cellIs" dxfId="10" priority="205" operator="equal">
      <formula>"off"</formula>
    </cfRule>
    <cfRule type="cellIs" dxfId="9" priority="206" operator="equal">
      <formula>"vac"</formula>
    </cfRule>
  </conditionalFormatting>
  <conditionalFormatting sqref="F77">
    <cfRule type="cellIs" dxfId="9" priority="207" operator="equal">
      <formula>"LOA"</formula>
    </cfRule>
    <cfRule type="cellIs" dxfId="10" priority="208" operator="equal">
      <formula>"off"</formula>
    </cfRule>
    <cfRule type="cellIs" dxfId="9" priority="209" operator="equal">
      <formula>"Pending Term"</formula>
    </cfRule>
    <cfRule type="cellIs" dxfId="9" priority="210" operator="equal">
      <formula>"FER"</formula>
    </cfRule>
    <cfRule type="cellIs" dxfId="9" priority="211" operator="equal">
      <formula>"Study Day"</formula>
    </cfRule>
    <cfRule type="cellIs" dxfId="9" priority="212" operator="equal">
      <formula>"Approved Off"</formula>
    </cfRule>
    <cfRule type="cellIs" dxfId="9" priority="213" operator="equal">
      <formula>"LOA"</formula>
    </cfRule>
    <cfRule type="cellIs" dxfId="15" priority="214" operator="equal">
      <formula>"nesting"</formula>
    </cfRule>
    <cfRule type="cellIs" dxfId="10" priority="215" operator="equal">
      <formula>"off"</formula>
    </cfRule>
    <cfRule type="cellIs" dxfId="9" priority="216" operator="equal">
      <formula>"vac"</formula>
    </cfRule>
  </conditionalFormatting>
  <conditionalFormatting sqref="E82">
    <cfRule type="cellIs" dxfId="9" priority="187" operator="equal">
      <formula>"LOA"</formula>
    </cfRule>
    <cfRule type="cellIs" dxfId="10" priority="188" operator="equal">
      <formula>"off"</formula>
    </cfRule>
    <cfRule type="cellIs" dxfId="9" priority="189" operator="equal">
      <formula>"Pending Term"</formula>
    </cfRule>
    <cfRule type="cellIs" dxfId="9" priority="190" operator="equal">
      <formula>"FER"</formula>
    </cfRule>
    <cfRule type="cellIs" dxfId="9" priority="191" operator="equal">
      <formula>"Study Day"</formula>
    </cfRule>
    <cfRule type="cellIs" dxfId="9" priority="192" operator="equal">
      <formula>"Approved Off"</formula>
    </cfRule>
    <cfRule type="cellIs" dxfId="9" priority="193" operator="equal">
      <formula>"LOA"</formula>
    </cfRule>
    <cfRule type="cellIs" dxfId="15" priority="194" operator="equal">
      <formula>"nesting"</formula>
    </cfRule>
    <cfRule type="cellIs" dxfId="10" priority="195" operator="equal">
      <formula>"off"</formula>
    </cfRule>
    <cfRule type="cellIs" dxfId="9" priority="196" operator="equal">
      <formula>"vac"</formula>
    </cfRule>
  </conditionalFormatting>
  <conditionalFormatting sqref="F82">
    <cfRule type="cellIs" dxfId="9" priority="177" operator="equal">
      <formula>"LOA"</formula>
    </cfRule>
    <cfRule type="cellIs" dxfId="10" priority="178" operator="equal">
      <formula>"off"</formula>
    </cfRule>
    <cfRule type="cellIs" dxfId="9" priority="179" operator="equal">
      <formula>"Pending Term"</formula>
    </cfRule>
    <cfRule type="cellIs" dxfId="9" priority="180" operator="equal">
      <formula>"FER"</formula>
    </cfRule>
    <cfRule type="cellIs" dxfId="9" priority="181" operator="equal">
      <formula>"Study Day"</formula>
    </cfRule>
    <cfRule type="cellIs" dxfId="9" priority="182" operator="equal">
      <formula>"Approved Off"</formula>
    </cfRule>
    <cfRule type="cellIs" dxfId="9" priority="183" operator="equal">
      <formula>"LOA"</formula>
    </cfRule>
    <cfRule type="cellIs" dxfId="15" priority="184" operator="equal">
      <formula>"nesting"</formula>
    </cfRule>
    <cfRule type="cellIs" dxfId="10" priority="185" operator="equal">
      <formula>"off"</formula>
    </cfRule>
    <cfRule type="cellIs" dxfId="9" priority="186" operator="equal">
      <formula>"vac"</formula>
    </cfRule>
  </conditionalFormatting>
  <conditionalFormatting sqref="F190">
    <cfRule type="cellIs" dxfId="9" priority="88" operator="equal">
      <formula>"LOA"</formula>
    </cfRule>
    <cfRule type="cellIs" dxfId="10" priority="89" operator="equal">
      <formula>"off"</formula>
    </cfRule>
    <cfRule type="cellIs" dxfId="9" priority="90" operator="equal">
      <formula>"Pending Term"</formula>
    </cfRule>
    <cfRule type="cellIs" dxfId="9" priority="91" operator="equal">
      <formula>"FER"</formula>
    </cfRule>
    <cfRule type="cellIs" dxfId="9" priority="92" operator="equal">
      <formula>"Study Day"</formula>
    </cfRule>
    <cfRule type="cellIs" dxfId="9" priority="93" operator="equal">
      <formula>"LOA"</formula>
    </cfRule>
    <cfRule type="cellIs" dxfId="11" priority="94" operator="equal">
      <formula>"PENDING TERM"</formula>
    </cfRule>
    <cfRule type="cellIs" dxfId="12" priority="95" operator="equal">
      <formula>"PROMOTED"</formula>
    </cfRule>
    <cfRule type="cellIs" dxfId="13" priority="96" operator="equal">
      <formula>"REINSTATEMENT"</formula>
    </cfRule>
    <cfRule type="cellIs" dxfId="14" priority="97" operator="equal">
      <formula>"TERM"</formula>
    </cfRule>
    <cfRule type="cellIs" dxfId="9" priority="98" operator="equal">
      <formula>"TRANSFER"</formula>
    </cfRule>
    <cfRule type="cellIs" dxfId="9" priority="99" operator="equal">
      <formula>"Approved Off"</formula>
    </cfRule>
    <cfRule type="cellIs" dxfId="9" priority="100" operator="equal">
      <formula>"LOA"</formula>
    </cfRule>
    <cfRule type="cellIs" dxfId="15" priority="101" operator="equal">
      <formula>"nesting"</formula>
    </cfRule>
    <cfRule type="cellIs" dxfId="10" priority="102" operator="equal">
      <formula>"off"</formula>
    </cfRule>
    <cfRule type="cellIs" dxfId="9" priority="103" operator="equal">
      <formula>"vac"</formula>
    </cfRule>
  </conditionalFormatting>
  <conditionalFormatting sqref="T209">
    <cfRule type="duplicateValues" dxfId="16" priority="105"/>
  </conditionalFormatting>
  <conditionalFormatting sqref="T211">
    <cfRule type="duplicateValues" dxfId="16" priority="104"/>
  </conditionalFormatting>
  <conditionalFormatting sqref="G8:G12">
    <cfRule type="duplicateValues" dxfId="16" priority="438"/>
  </conditionalFormatting>
  <conditionalFormatting sqref="G13:G18">
    <cfRule type="duplicateValues" dxfId="16" priority="502"/>
  </conditionalFormatting>
  <conditionalFormatting sqref="G20:G24">
    <cfRule type="duplicateValues" dxfId="16" priority="467"/>
  </conditionalFormatting>
  <conditionalFormatting sqref="G25:G26">
    <cfRule type="duplicateValues" dxfId="16" priority="457"/>
  </conditionalFormatting>
  <conditionalFormatting sqref="G31:G34">
    <cfRule type="duplicateValues" dxfId="16" priority="497"/>
  </conditionalFormatting>
  <conditionalFormatting sqref="G35:G39">
    <cfRule type="duplicateValues" dxfId="16" priority="477"/>
  </conditionalFormatting>
  <conditionalFormatting sqref="G41:G46">
    <cfRule type="duplicateValues" dxfId="16" priority="443"/>
  </conditionalFormatting>
  <conditionalFormatting sqref="G99:G129">
    <cfRule type="duplicateValues" dxfId="16" priority="492"/>
  </conditionalFormatting>
  <conditionalFormatting sqref="G130:G158">
    <cfRule type="duplicateValues" dxfId="16" priority="517"/>
  </conditionalFormatting>
  <conditionalFormatting sqref="G159:G164">
    <cfRule type="duplicateValues" dxfId="16" priority="472"/>
  </conditionalFormatting>
  <conditionalFormatting sqref="G165:G183">
    <cfRule type="duplicateValues" dxfId="16" priority="131"/>
    <cfRule type="duplicateValues" dxfId="16" priority="136"/>
  </conditionalFormatting>
  <conditionalFormatting sqref="G184:G205">
    <cfRule type="duplicateValues" dxfId="16" priority="507"/>
  </conditionalFormatting>
  <conditionalFormatting sqref="G206:G270">
    <cfRule type="duplicateValues" dxfId="16" priority="512"/>
  </conditionalFormatting>
  <conditionalFormatting sqref="G271:G274">
    <cfRule type="duplicateValues" dxfId="16" priority="532"/>
  </conditionalFormatting>
  <conditionalFormatting sqref="G275:G282">
    <cfRule type="duplicateValues" dxfId="16" priority="522"/>
  </conditionalFormatting>
  <conditionalFormatting sqref="G283:G297">
    <cfRule type="duplicateValues" dxfId="16" priority="86"/>
  </conditionalFormatting>
  <conditionalFormatting sqref="G298:G327">
    <cfRule type="duplicateValues" dxfId="16" priority="59"/>
  </conditionalFormatting>
  <conditionalFormatting sqref="G328:G384">
    <cfRule type="duplicateValues" dxfId="16" priority="32"/>
  </conditionalFormatting>
  <conditionalFormatting sqref="H4:H6">
    <cfRule type="duplicateValues" dxfId="16" priority="449"/>
  </conditionalFormatting>
  <conditionalFormatting sqref="H8:H12">
    <cfRule type="duplicateValues" dxfId="16" priority="434"/>
  </conditionalFormatting>
  <conditionalFormatting sqref="H13:H18">
    <cfRule type="duplicateValues" dxfId="16" priority="498"/>
  </conditionalFormatting>
  <conditionalFormatting sqref="H20:H24">
    <cfRule type="duplicateValues" dxfId="16" priority="463"/>
  </conditionalFormatting>
  <conditionalFormatting sqref="H25:H26">
    <cfRule type="duplicateValues" dxfId="16" priority="453"/>
  </conditionalFormatting>
  <conditionalFormatting sqref="H31:H34">
    <cfRule type="duplicateValues" dxfId="16" priority="493"/>
  </conditionalFormatting>
  <conditionalFormatting sqref="H35:H39">
    <cfRule type="duplicateValues" dxfId="16" priority="473"/>
  </conditionalFormatting>
  <conditionalFormatting sqref="H41:H46">
    <cfRule type="duplicateValues" dxfId="16" priority="439"/>
  </conditionalFormatting>
  <conditionalFormatting sqref="H99:H129">
    <cfRule type="duplicateValues" dxfId="16" priority="488"/>
  </conditionalFormatting>
  <conditionalFormatting sqref="H130:H158">
    <cfRule type="duplicateValues" dxfId="16" priority="513"/>
  </conditionalFormatting>
  <conditionalFormatting sqref="H159:H164">
    <cfRule type="duplicateValues" dxfId="16" priority="468"/>
  </conditionalFormatting>
  <conditionalFormatting sqref="H165:H183">
    <cfRule type="duplicateValues" dxfId="16" priority="123"/>
    <cfRule type="duplicateValues" dxfId="16" priority="127"/>
    <cfRule type="duplicateValues" dxfId="16" priority="132"/>
  </conditionalFormatting>
  <conditionalFormatting sqref="H184:H205">
    <cfRule type="duplicateValues" dxfId="16" priority="503"/>
  </conditionalFormatting>
  <conditionalFormatting sqref="H206:H270">
    <cfRule type="duplicateValues" dxfId="16" priority="508"/>
  </conditionalFormatting>
  <conditionalFormatting sqref="H271:H274">
    <cfRule type="duplicateValues" dxfId="16" priority="528"/>
  </conditionalFormatting>
  <conditionalFormatting sqref="H275:H282">
    <cfRule type="duplicateValues" dxfId="16" priority="518"/>
  </conditionalFormatting>
  <conditionalFormatting sqref="H283:H297">
    <cfRule type="duplicateValues" dxfId="16" priority="78"/>
    <cfRule type="duplicateValues" dxfId="16" priority="82"/>
  </conditionalFormatting>
  <conditionalFormatting sqref="H298:H327">
    <cfRule type="duplicateValues" dxfId="16" priority="51"/>
    <cfRule type="duplicateValues" dxfId="16" priority="55"/>
  </conditionalFormatting>
  <conditionalFormatting sqref="H328:H384">
    <cfRule type="duplicateValues" dxfId="16" priority="24"/>
    <cfRule type="duplicateValues" dxfId="16" priority="28"/>
  </conditionalFormatting>
  <conditionalFormatting sqref="I2:I282">
    <cfRule type="duplicateValues" dxfId="17" priority="533"/>
  </conditionalFormatting>
  <conditionalFormatting sqref="I4:I6">
    <cfRule type="duplicateValues" dxfId="16" priority="450"/>
  </conditionalFormatting>
  <conditionalFormatting sqref="I8:I12">
    <cfRule type="duplicateValues" dxfId="16" priority="435"/>
  </conditionalFormatting>
  <conditionalFormatting sqref="I13:I18">
    <cfRule type="duplicateValues" dxfId="16" priority="499"/>
  </conditionalFormatting>
  <conditionalFormatting sqref="I20:I24">
    <cfRule type="duplicateValues" dxfId="16" priority="464"/>
  </conditionalFormatting>
  <conditionalFormatting sqref="I25:I26">
    <cfRule type="duplicateValues" dxfId="16" priority="454"/>
  </conditionalFormatting>
  <conditionalFormatting sqref="I31:I34">
    <cfRule type="duplicateValues" dxfId="16" priority="494"/>
  </conditionalFormatting>
  <conditionalFormatting sqref="I35:I39">
    <cfRule type="duplicateValues" dxfId="16" priority="474"/>
  </conditionalFormatting>
  <conditionalFormatting sqref="I41:I46">
    <cfRule type="duplicateValues" dxfId="16" priority="440"/>
  </conditionalFormatting>
  <conditionalFormatting sqref="I99:I129">
    <cfRule type="duplicateValues" dxfId="16" priority="489"/>
  </conditionalFormatting>
  <conditionalFormatting sqref="I130:I158">
    <cfRule type="duplicateValues" dxfId="16" priority="514"/>
  </conditionalFormatting>
  <conditionalFormatting sqref="I159:I164">
    <cfRule type="duplicateValues" dxfId="16" priority="469"/>
  </conditionalFormatting>
  <conditionalFormatting sqref="I165:I183">
    <cfRule type="duplicateValues" dxfId="16" priority="124"/>
    <cfRule type="duplicateValues" dxfId="16" priority="128"/>
    <cfRule type="duplicateValues" dxfId="16" priority="133"/>
  </conditionalFormatting>
  <conditionalFormatting sqref="I184:I205">
    <cfRule type="duplicateValues" dxfId="16" priority="504"/>
  </conditionalFormatting>
  <conditionalFormatting sqref="I206:I270">
    <cfRule type="duplicateValues" dxfId="16" priority="509"/>
  </conditionalFormatting>
  <conditionalFormatting sqref="I271:I274">
    <cfRule type="duplicateValues" dxfId="16" priority="529"/>
  </conditionalFormatting>
  <conditionalFormatting sqref="I275:I282">
    <cfRule type="duplicateValues" dxfId="16" priority="519"/>
  </conditionalFormatting>
  <conditionalFormatting sqref="I283:I297">
    <cfRule type="duplicateValues" dxfId="16" priority="79"/>
    <cfRule type="duplicateValues" dxfId="16" priority="83"/>
    <cfRule type="duplicateValues" dxfId="17" priority="87"/>
  </conditionalFormatting>
  <conditionalFormatting sqref="I298:I327">
    <cfRule type="duplicateValues" dxfId="16" priority="52"/>
    <cfRule type="duplicateValues" dxfId="16" priority="56"/>
    <cfRule type="duplicateValues" dxfId="17" priority="60"/>
  </conditionalFormatting>
  <conditionalFormatting sqref="I328:I384">
    <cfRule type="duplicateValues" dxfId="16" priority="25"/>
    <cfRule type="duplicateValues" dxfId="16" priority="29"/>
    <cfRule type="duplicateValues" dxfId="17" priority="33"/>
  </conditionalFormatting>
  <conditionalFormatting sqref="R4:R6">
    <cfRule type="duplicateValues" dxfId="16" priority="451"/>
  </conditionalFormatting>
  <conditionalFormatting sqref="R8:R12">
    <cfRule type="duplicateValues" dxfId="16" priority="436"/>
  </conditionalFormatting>
  <conditionalFormatting sqref="R13:R18">
    <cfRule type="duplicateValues" dxfId="16" priority="500"/>
  </conditionalFormatting>
  <conditionalFormatting sqref="R20:R24">
    <cfRule type="duplicateValues" dxfId="16" priority="465"/>
  </conditionalFormatting>
  <conditionalFormatting sqref="R25:R26">
    <cfRule type="duplicateValues" dxfId="16" priority="455"/>
  </conditionalFormatting>
  <conditionalFormatting sqref="R31:R34">
    <cfRule type="duplicateValues" dxfId="16" priority="495"/>
  </conditionalFormatting>
  <conditionalFormatting sqref="R35:R39">
    <cfRule type="duplicateValues" dxfId="16" priority="475"/>
  </conditionalFormatting>
  <conditionalFormatting sqref="R41:R46">
    <cfRule type="duplicateValues" dxfId="16" priority="441"/>
  </conditionalFormatting>
  <conditionalFormatting sqref="R99:R129">
    <cfRule type="duplicateValues" dxfId="16" priority="490"/>
  </conditionalFormatting>
  <conditionalFormatting sqref="R130:R158">
    <cfRule type="duplicateValues" dxfId="16" priority="515"/>
  </conditionalFormatting>
  <conditionalFormatting sqref="R159:R164">
    <cfRule type="duplicateValues" dxfId="16" priority="470"/>
  </conditionalFormatting>
  <conditionalFormatting sqref="R165:R183">
    <cfRule type="duplicateValues" dxfId="16" priority="125"/>
    <cfRule type="duplicateValues" dxfId="16" priority="129"/>
    <cfRule type="duplicateValues" dxfId="16" priority="134"/>
  </conditionalFormatting>
  <conditionalFormatting sqref="R184:R205">
    <cfRule type="duplicateValues" dxfId="16" priority="505"/>
  </conditionalFormatting>
  <conditionalFormatting sqref="R206:R270">
    <cfRule type="duplicateValues" dxfId="16" priority="510"/>
  </conditionalFormatting>
  <conditionalFormatting sqref="R271:R274">
    <cfRule type="duplicateValues" dxfId="16" priority="530"/>
  </conditionalFormatting>
  <conditionalFormatting sqref="R275:R282">
    <cfRule type="duplicateValues" dxfId="16" priority="520"/>
  </conditionalFormatting>
  <conditionalFormatting sqref="R283:R297">
    <cfRule type="duplicateValues" dxfId="16" priority="80"/>
    <cfRule type="duplicateValues" dxfId="16" priority="84"/>
  </conditionalFormatting>
  <conditionalFormatting sqref="R298:R327">
    <cfRule type="duplicateValues" dxfId="16" priority="53"/>
    <cfRule type="duplicateValues" dxfId="16" priority="57"/>
  </conditionalFormatting>
  <conditionalFormatting sqref="R328:R384">
    <cfRule type="duplicateValues" dxfId="16" priority="26"/>
    <cfRule type="duplicateValues" dxfId="16" priority="30"/>
  </conditionalFormatting>
  <conditionalFormatting sqref="S4:S6">
    <cfRule type="duplicateValues" dxfId="16" priority="452"/>
  </conditionalFormatting>
  <conditionalFormatting sqref="S8:S12">
    <cfRule type="duplicateValues" dxfId="16" priority="437"/>
  </conditionalFormatting>
  <conditionalFormatting sqref="S13:S18">
    <cfRule type="duplicateValues" dxfId="16" priority="501"/>
  </conditionalFormatting>
  <conditionalFormatting sqref="S20:S24">
    <cfRule type="duplicateValues" dxfId="16" priority="466"/>
  </conditionalFormatting>
  <conditionalFormatting sqref="S25:S26">
    <cfRule type="duplicateValues" dxfId="16" priority="456"/>
  </conditionalFormatting>
  <conditionalFormatting sqref="S31:S34">
    <cfRule type="duplicateValues" dxfId="16" priority="496"/>
  </conditionalFormatting>
  <conditionalFormatting sqref="S35:S39">
    <cfRule type="duplicateValues" dxfId="16" priority="476"/>
  </conditionalFormatting>
  <conditionalFormatting sqref="S41:S46">
    <cfRule type="duplicateValues" dxfId="16" priority="442"/>
  </conditionalFormatting>
  <conditionalFormatting sqref="S99:S129">
    <cfRule type="duplicateValues" dxfId="16" priority="491"/>
  </conditionalFormatting>
  <conditionalFormatting sqref="S130:S158">
    <cfRule type="duplicateValues" dxfId="16" priority="516"/>
  </conditionalFormatting>
  <conditionalFormatting sqref="S159:S164">
    <cfRule type="duplicateValues" dxfId="16" priority="471"/>
  </conditionalFormatting>
  <conditionalFormatting sqref="S165:S183">
    <cfRule type="duplicateValues" dxfId="16" priority="126"/>
    <cfRule type="duplicateValues" dxfId="16" priority="130"/>
    <cfRule type="duplicateValues" dxfId="16" priority="135"/>
  </conditionalFormatting>
  <conditionalFormatting sqref="S184:S205">
    <cfRule type="duplicateValues" dxfId="16" priority="506"/>
  </conditionalFormatting>
  <conditionalFormatting sqref="S206:S270">
    <cfRule type="duplicateValues" dxfId="16" priority="511"/>
  </conditionalFormatting>
  <conditionalFormatting sqref="S271:S274">
    <cfRule type="duplicateValues" dxfId="16" priority="531"/>
  </conditionalFormatting>
  <conditionalFormatting sqref="S275:S282">
    <cfRule type="duplicateValues" dxfId="16" priority="521"/>
  </conditionalFormatting>
  <conditionalFormatting sqref="S283:S297">
    <cfRule type="duplicateValues" dxfId="16" priority="81"/>
    <cfRule type="duplicateValues" dxfId="16" priority="85"/>
  </conditionalFormatting>
  <conditionalFormatting sqref="S298:S327">
    <cfRule type="duplicateValues" dxfId="16" priority="54"/>
    <cfRule type="duplicateValues" dxfId="16" priority="58"/>
  </conditionalFormatting>
  <conditionalFormatting sqref="S328:S384">
    <cfRule type="duplicateValues" dxfId="16" priority="27"/>
    <cfRule type="duplicateValues" dxfId="16" priority="31"/>
  </conditionalFormatting>
  <conditionalFormatting sqref="A2;A31:A39;A338:A384;A184:D190;A191:F282;A41:A98;A99:Z139;A140:D140;F140:Z140;A141:Z164;E190;A4:A29;E184:F189;G184:Z194;G195:N195;P195:Z195;G196:Z282">
    <cfRule type="cellIs" dxfId="9" priority="408" operator="equal">
      <formula>"LOA"</formula>
    </cfRule>
    <cfRule type="cellIs" dxfId="11" priority="409" operator="equal">
      <formula>"PENDING TERM"</formula>
    </cfRule>
    <cfRule type="cellIs" dxfId="12" priority="410" operator="equal">
      <formula>"PROMOTED"</formula>
    </cfRule>
    <cfRule type="cellIs" dxfId="13" priority="411" operator="equal">
      <formula>"REINSTATEMENT"</formula>
    </cfRule>
    <cfRule type="cellIs" dxfId="14" priority="412" operator="equal">
      <formula>"TERM"</formula>
    </cfRule>
    <cfRule type="cellIs" dxfId="9" priority="413" operator="equal">
      <formula>"TRANSFER"</formula>
    </cfRule>
  </conditionalFormatting>
  <conditionalFormatting sqref="F40:F42;E338:F384;E41:E42;E191:F282;E2:F2;E44:F55;E31:F39;E57:F59;E184:F189;E61:F76;F3:F30;E4:E29;E78:F81;E190;E83:F164">
    <cfRule type="cellIs" dxfId="9" priority="414" operator="equal">
      <formula>"Approved Off"</formula>
    </cfRule>
    <cfRule type="cellIs" dxfId="9" priority="415" operator="equal">
      <formula>"LOA"</formula>
    </cfRule>
    <cfRule type="cellIs" dxfId="15" priority="416" operator="equal">
      <formula>"nesting"</formula>
    </cfRule>
    <cfRule type="cellIs" dxfId="10" priority="417" operator="equal">
      <formula>"off"</formula>
    </cfRule>
    <cfRule type="cellIs" dxfId="9" priority="418" operator="equal">
      <formula>"vac"</formula>
    </cfRule>
  </conditionalFormatting>
  <conditionalFormatting sqref="E191:F282;E41:E42;E44:F55;E2:F13;E57:F59;F14:F42;E14:E39;E184:F189;E61:F76;E190;E83:F164;E78:F81">
    <cfRule type="cellIs" dxfId="9" priority="374" operator="equal">
      <formula>"Pending Term"</formula>
    </cfRule>
  </conditionalFormatting>
  <conditionalFormatting sqref="F30;E191:F282;F40:F42;E44:F55;E41:E42;E57:F59;E31:F39;E2:F29;E184:F189;E61:F76;E190;E83:F164;E78:F81">
    <cfRule type="cellIs" dxfId="9" priority="394" operator="equal">
      <formula>"FER"</formula>
    </cfRule>
    <cfRule type="cellIs" dxfId="9" priority="395" operator="equal">
      <formula>"Study Day"</formula>
    </cfRule>
  </conditionalFormatting>
  <conditionalFormatting sqref="E83:F164;E338:F384;E191:F282;E184:F189;E44:F55;E61:F76;E57:F59;E78:F81;E2:F42;E190">
    <cfRule type="cellIs" dxfId="9" priority="352" operator="equal">
      <formula>"LOA"</formula>
    </cfRule>
    <cfRule type="cellIs" dxfId="10" priority="353" operator="equal">
      <formula>"off"</formula>
    </cfRule>
  </conditionalFormatting>
  <conditionalFormatting sqref="G110:G129;G51:G98;G12;G2:G6">
    <cfRule type="duplicateValues" dxfId="16" priority="483"/>
  </conditionalFormatting>
  <conditionalFormatting sqref="H338:H384;H222:H270;H110:H129;H51:H98;H12;H2">
    <cfRule type="duplicateValues" dxfId="16" priority="484"/>
  </conditionalFormatting>
  <conditionalFormatting sqref="I338:I384;I222:I270;I110:I129;I51:I98;I12;I2">
    <cfRule type="duplicateValues" dxfId="16" priority="485"/>
  </conditionalFormatting>
  <conditionalFormatting sqref="R338:R384;R222:R270;R110:R129;R51:R98;R12;R2">
    <cfRule type="duplicateValues" dxfId="16" priority="486"/>
  </conditionalFormatting>
  <conditionalFormatting sqref="S338:S384;S222:S270;S110:S129;S51:S98;S12;S2">
    <cfRule type="duplicateValues" dxfId="16" priority="487"/>
  </conditionalFormatting>
  <conditionalFormatting sqref="G110:G129;G47:G98">
    <cfRule type="duplicateValues" dxfId="16" priority="482"/>
  </conditionalFormatting>
  <conditionalFormatting sqref="H110:H129;H47:H98">
    <cfRule type="duplicateValues" dxfId="16" priority="478"/>
  </conditionalFormatting>
  <conditionalFormatting sqref="I110:I129;I47:I98">
    <cfRule type="duplicateValues" dxfId="16" priority="479"/>
  </conditionalFormatting>
  <conditionalFormatting sqref="R110:R129;R47:R98">
    <cfRule type="duplicateValues" dxfId="16" priority="480"/>
  </conditionalFormatting>
  <conditionalFormatting sqref="S110:S129;S47:S98">
    <cfRule type="duplicateValues" dxfId="16" priority="481"/>
  </conditionalFormatting>
  <conditionalFormatting sqref="E71:E73;E69">
    <cfRule type="cellIs" dxfId="9" priority="347" operator="equal">
      <formula>"Approved Off"</formula>
    </cfRule>
    <cfRule type="cellIs" dxfId="9" priority="348" operator="equal">
      <formula>"LOA"</formula>
    </cfRule>
    <cfRule type="cellIs" dxfId="15" priority="349" operator="equal">
      <formula>"nesting"</formula>
    </cfRule>
    <cfRule type="cellIs" dxfId="10" priority="350" operator="equal">
      <formula>"off"</formula>
    </cfRule>
    <cfRule type="cellIs" dxfId="9" priority="351" operator="equal">
      <formula>"vac"</formula>
    </cfRule>
  </conditionalFormatting>
  <conditionalFormatting sqref="A165:Z183">
    <cfRule type="cellIs" dxfId="9" priority="111" operator="equal">
      <formula>"LOA"</formula>
    </cfRule>
    <cfRule type="cellIs" dxfId="11" priority="112" operator="equal">
      <formula>"PENDING TERM"</formula>
    </cfRule>
    <cfRule type="cellIs" dxfId="12" priority="113" operator="equal">
      <formula>"PROMOTED"</formula>
    </cfRule>
    <cfRule type="cellIs" dxfId="13" priority="114" operator="equal">
      <formula>"REINSTATEMENT"</formula>
    </cfRule>
    <cfRule type="cellIs" dxfId="14" priority="115" operator="equal">
      <formula>"TERM"</formula>
    </cfRule>
    <cfRule type="cellIs" dxfId="9" priority="116" operator="equal">
      <formula>"TRANSFER"</formula>
    </cfRule>
  </conditionalFormatting>
  <conditionalFormatting sqref="E165:F183">
    <cfRule type="cellIs" dxfId="9" priority="108" operator="equal">
      <formula>"Pending Term"</formula>
    </cfRule>
    <cfRule type="cellIs" dxfId="9" priority="109" operator="equal">
      <formula>"FER"</formula>
    </cfRule>
    <cfRule type="cellIs" dxfId="9" priority="110" operator="equal">
      <formula>"Study Day"</formula>
    </cfRule>
    <cfRule type="cellIs" dxfId="9" priority="117" operator="equal">
      <formula>"Approved Off"</formula>
    </cfRule>
    <cfRule type="cellIs" dxfId="9" priority="118" operator="equal">
      <formula>"LOA"</formula>
    </cfRule>
    <cfRule type="cellIs" dxfId="15" priority="119" operator="equal">
      <formula>"nesting"</formula>
    </cfRule>
    <cfRule type="cellIs" dxfId="10" priority="120" operator="equal">
      <formula>"off"</formula>
    </cfRule>
    <cfRule type="cellIs" dxfId="9" priority="121" operator="equal">
      <formula>"vac"</formula>
    </cfRule>
    <cfRule type="cellIs" dxfId="9" priority="106" operator="equal">
      <formula>"LOA"</formula>
    </cfRule>
    <cfRule type="cellIs" dxfId="10" priority="107" operator="equal">
      <formula>"off"</formula>
    </cfRule>
  </conditionalFormatting>
  <conditionalFormatting sqref="A283:Z297">
    <cfRule type="cellIs" dxfId="9" priority="66" operator="equal">
      <formula>"LOA"</formula>
    </cfRule>
    <cfRule type="cellIs" dxfId="11" priority="67" operator="equal">
      <formula>"PENDING TERM"</formula>
    </cfRule>
    <cfRule type="cellIs" dxfId="12" priority="68" operator="equal">
      <formula>"PROMOTED"</formula>
    </cfRule>
    <cfRule type="cellIs" dxfId="13" priority="69" operator="equal">
      <formula>"REINSTATEMENT"</formula>
    </cfRule>
    <cfRule type="cellIs" dxfId="14" priority="70" operator="equal">
      <formula>"TERM"</formula>
    </cfRule>
    <cfRule type="cellIs" dxfId="9" priority="71" operator="equal">
      <formula>"TRANSFER"</formula>
    </cfRule>
  </conditionalFormatting>
  <conditionalFormatting sqref="E283:F297">
    <cfRule type="cellIs" dxfId="9" priority="63" operator="equal">
      <formula>"Pending Term"</formula>
    </cfRule>
    <cfRule type="cellIs" dxfId="9" priority="64" operator="equal">
      <formula>"FER"</formula>
    </cfRule>
    <cfRule type="cellIs" dxfId="9" priority="65" operator="equal">
      <formula>"Study Day"</formula>
    </cfRule>
    <cfRule type="cellIs" dxfId="9" priority="72" operator="equal">
      <formula>"Approved Off"</formula>
    </cfRule>
    <cfRule type="cellIs" dxfId="9" priority="73" operator="equal">
      <formula>"LOA"</formula>
    </cfRule>
    <cfRule type="cellIs" dxfId="15" priority="74" operator="equal">
      <formula>"nesting"</formula>
    </cfRule>
    <cfRule type="cellIs" dxfId="10" priority="75" operator="equal">
      <formula>"off"</formula>
    </cfRule>
    <cfRule type="cellIs" dxfId="9" priority="76" operator="equal">
      <formula>"vac"</formula>
    </cfRule>
    <cfRule type="cellIs" dxfId="9" priority="61" operator="equal">
      <formula>"LOA"</formula>
    </cfRule>
    <cfRule type="cellIs" dxfId="10" priority="62" operator="equal">
      <formula>"off"</formula>
    </cfRule>
  </conditionalFormatting>
  <conditionalFormatting sqref="A298:Z327">
    <cfRule type="cellIs" dxfId="9" priority="39" operator="equal">
      <formula>"LOA"</formula>
    </cfRule>
    <cfRule type="cellIs" dxfId="11" priority="40" operator="equal">
      <formula>"PENDING TERM"</formula>
    </cfRule>
    <cfRule type="cellIs" dxfId="12" priority="41" operator="equal">
      <formula>"PROMOTED"</formula>
    </cfRule>
    <cfRule type="cellIs" dxfId="13" priority="42" operator="equal">
      <formula>"REINSTATEMENT"</formula>
    </cfRule>
    <cfRule type="cellIs" dxfId="14" priority="43" operator="equal">
      <formula>"TERM"</formula>
    </cfRule>
    <cfRule type="cellIs" dxfId="9" priority="44" operator="equal">
      <formula>"TRANSFER"</formula>
    </cfRule>
  </conditionalFormatting>
  <conditionalFormatting sqref="E298:F327">
    <cfRule type="cellIs" dxfId="9" priority="36" operator="equal">
      <formula>"Pending Term"</formula>
    </cfRule>
    <cfRule type="cellIs" dxfId="9" priority="37" operator="equal">
      <formula>"FER"</formula>
    </cfRule>
    <cfRule type="cellIs" dxfId="9" priority="38" operator="equal">
      <formula>"Study Day"</formula>
    </cfRule>
    <cfRule type="cellIs" dxfId="9" priority="45" operator="equal">
      <formula>"Approved Off"</formula>
    </cfRule>
    <cfRule type="cellIs" dxfId="9" priority="46" operator="equal">
      <formula>"LOA"</formula>
    </cfRule>
    <cfRule type="cellIs" dxfId="15" priority="47" operator="equal">
      <formula>"nesting"</formula>
    </cfRule>
    <cfRule type="cellIs" dxfId="10" priority="48" operator="equal">
      <formula>"off"</formula>
    </cfRule>
    <cfRule type="cellIs" dxfId="9" priority="49" operator="equal">
      <formula>"vac"</formula>
    </cfRule>
    <cfRule type="cellIs" dxfId="9" priority="34" operator="equal">
      <formula>"LOA"</formula>
    </cfRule>
    <cfRule type="cellIs" dxfId="10" priority="35" operator="equal">
      <formula>"off"</formula>
    </cfRule>
  </conditionalFormatting>
  <conditionalFormatting sqref="A328:Z384">
    <cfRule type="cellIs" dxfId="9" priority="12" operator="equal">
      <formula>"LOA"</formula>
    </cfRule>
    <cfRule type="cellIs" dxfId="11" priority="13" operator="equal">
      <formula>"PENDING TERM"</formula>
    </cfRule>
    <cfRule type="cellIs" dxfId="12" priority="14" operator="equal">
      <formula>"PROMOTED"</formula>
    </cfRule>
    <cfRule type="cellIs" dxfId="13" priority="15" operator="equal">
      <formula>"REINSTATEMENT"</formula>
    </cfRule>
    <cfRule type="cellIs" dxfId="14" priority="16" operator="equal">
      <formula>"TERM"</formula>
    </cfRule>
    <cfRule type="cellIs" dxfId="9" priority="17" operator="equal">
      <formula>"TRANSFER"</formula>
    </cfRule>
  </conditionalFormatting>
  <conditionalFormatting sqref="E328:F384">
    <cfRule type="cellIs" dxfId="9" priority="9" operator="equal">
      <formula>"Pending Term"</formula>
    </cfRule>
    <cfRule type="cellIs" dxfId="9" priority="10" operator="equal">
      <formula>"FER"</formula>
    </cfRule>
    <cfRule type="cellIs" dxfId="9" priority="11" operator="equal">
      <formula>"Study Day"</formula>
    </cfRule>
    <cfRule type="cellIs" dxfId="9" priority="18" operator="equal">
      <formula>"Approved Off"</formula>
    </cfRule>
    <cfRule type="cellIs" dxfId="9" priority="19" operator="equal">
      <formula>"LOA"</formula>
    </cfRule>
    <cfRule type="cellIs" dxfId="15" priority="20" operator="equal">
      <formula>"nesting"</formula>
    </cfRule>
    <cfRule type="cellIs" dxfId="10" priority="21" operator="equal">
      <formula>"off"</formula>
    </cfRule>
    <cfRule type="cellIs" dxfId="9" priority="22" operator="equal">
      <formula>"vac"</formula>
    </cfRule>
    <cfRule type="cellIs" dxfId="9" priority="7" operator="equal">
      <formula>"LOA"</formula>
    </cfRule>
    <cfRule type="cellIs" dxfId="10" priority="8" operator="equal">
      <formula>"off"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0" defaultRowHeight="15" customHeight="1" zeroHeight="1"/>
  <cols>
    <col min="1" max="1" width="32.5714285714286" customWidth="1"/>
    <col min="2" max="2" width="25.2857142857143" customWidth="1"/>
    <col min="3" max="3" width="15" customWidth="1"/>
    <col min="4" max="4" width="17.1428571428571" customWidth="1"/>
    <col min="5" max="5" width="17.8571428571429" customWidth="1"/>
    <col min="6" max="6" width="18.1428571428571" customWidth="1"/>
    <col min="7" max="7" width="16.4285714285714" customWidth="1"/>
    <col min="8" max="8" width="16.5714285714286" customWidth="1"/>
    <col min="9" max="9" width="15" customWidth="1"/>
    <col min="10" max="10" width="14.8571428571429" customWidth="1"/>
    <col min="11" max="11" width="16.8571428571429" customWidth="1"/>
    <col min="12" max="12" width="3.42857142857143" customWidth="1"/>
    <col min="13" max="16384" width="9.14285714285714" hidden="1"/>
  </cols>
  <sheetData>
    <row r="1" ht="30.75" customHeight="1" spans="1:11">
      <c r="A1" s="35" t="s">
        <v>0</v>
      </c>
      <c r="B1" s="36" t="s">
        <v>1</v>
      </c>
      <c r="C1" s="36" t="s">
        <v>1893</v>
      </c>
      <c r="D1" s="36" t="s">
        <v>1894</v>
      </c>
      <c r="E1" s="36" t="s">
        <v>5</v>
      </c>
      <c r="F1" s="36" t="s">
        <v>1895</v>
      </c>
      <c r="G1" s="36" t="s">
        <v>1896</v>
      </c>
      <c r="H1" s="36" t="s">
        <v>1897</v>
      </c>
      <c r="I1" s="36" t="s">
        <v>1898</v>
      </c>
      <c r="J1" s="36" t="s">
        <v>1899</v>
      </c>
      <c r="K1" s="45" t="s">
        <v>8</v>
      </c>
    </row>
    <row r="2" customHeight="1" spans="1:11">
      <c r="A2" s="52" t="s">
        <v>27</v>
      </c>
      <c r="B2" s="38" t="s">
        <v>28</v>
      </c>
      <c r="C2" s="53" t="s">
        <v>1900</v>
      </c>
      <c r="D2" s="53" t="s">
        <v>1901</v>
      </c>
      <c r="E2" s="53" t="s">
        <v>1901</v>
      </c>
      <c r="F2" s="53" t="s">
        <v>1901</v>
      </c>
      <c r="G2" s="53" t="s">
        <v>1901</v>
      </c>
      <c r="H2" s="53" t="s">
        <v>1901</v>
      </c>
      <c r="I2" s="53" t="s">
        <v>1900</v>
      </c>
      <c r="J2" s="39">
        <v>84825</v>
      </c>
      <c r="K2" s="39">
        <v>2770365</v>
      </c>
    </row>
    <row r="3" customHeight="1" spans="1:11">
      <c r="A3" s="52" t="s">
        <v>27</v>
      </c>
      <c r="B3" s="38" t="s">
        <v>222</v>
      </c>
      <c r="C3" s="53" t="s">
        <v>1900</v>
      </c>
      <c r="D3" s="53" t="s">
        <v>1901</v>
      </c>
      <c r="E3" s="53" t="s">
        <v>1901</v>
      </c>
      <c r="F3" s="53" t="s">
        <v>1901</v>
      </c>
      <c r="G3" s="53" t="s">
        <v>1901</v>
      </c>
      <c r="H3" s="53" t="s">
        <v>1901</v>
      </c>
      <c r="I3" s="53" t="s">
        <v>1900</v>
      </c>
      <c r="J3" s="39">
        <v>81043</v>
      </c>
      <c r="K3" s="39">
        <v>1880608</v>
      </c>
    </row>
    <row r="4" customHeight="1" spans="1:11">
      <c r="A4" s="52" t="s">
        <v>27</v>
      </c>
      <c r="B4" s="39" t="s">
        <v>48</v>
      </c>
      <c r="C4" s="53" t="s">
        <v>1900</v>
      </c>
      <c r="D4" s="53" t="s">
        <v>1901</v>
      </c>
      <c r="E4" s="53" t="s">
        <v>1901</v>
      </c>
      <c r="F4" s="53" t="s">
        <v>1901</v>
      </c>
      <c r="G4" s="53" t="s">
        <v>1901</v>
      </c>
      <c r="H4" s="53" t="s">
        <v>1901</v>
      </c>
      <c r="I4" s="53" t="s">
        <v>1900</v>
      </c>
      <c r="J4" s="39">
        <v>80740</v>
      </c>
      <c r="K4" s="39">
        <v>1793255</v>
      </c>
    </row>
    <row r="5" customHeight="1" spans="1:11">
      <c r="A5" s="52" t="s">
        <v>27</v>
      </c>
      <c r="B5" s="39" t="s">
        <v>291</v>
      </c>
      <c r="C5" s="53" t="s">
        <v>1900</v>
      </c>
      <c r="D5" s="53" t="s">
        <v>1901</v>
      </c>
      <c r="E5" s="53" t="s">
        <v>1901</v>
      </c>
      <c r="F5" s="53" t="s">
        <v>1901</v>
      </c>
      <c r="G5" s="53" t="s">
        <v>1901</v>
      </c>
      <c r="H5" s="53" t="s">
        <v>1901</v>
      </c>
      <c r="I5" s="53" t="s">
        <v>1900</v>
      </c>
      <c r="J5" s="39">
        <v>79688</v>
      </c>
      <c r="K5" s="39">
        <v>1453697</v>
      </c>
    </row>
    <row r="6" customHeight="1" spans="1:11">
      <c r="A6" s="52" t="s">
        <v>1674</v>
      </c>
      <c r="B6" s="39" t="s">
        <v>1449</v>
      </c>
      <c r="C6" s="53" t="s">
        <v>1900</v>
      </c>
      <c r="D6" s="53" t="s">
        <v>1901</v>
      </c>
      <c r="E6" s="53" t="s">
        <v>1901</v>
      </c>
      <c r="F6" s="53" t="s">
        <v>1901</v>
      </c>
      <c r="G6" s="53" t="s">
        <v>1901</v>
      </c>
      <c r="H6" s="53" t="s">
        <v>1901</v>
      </c>
      <c r="I6" s="53" t="s">
        <v>1900</v>
      </c>
      <c r="J6" s="39">
        <v>77681</v>
      </c>
      <c r="K6" s="39">
        <v>1077981</v>
      </c>
    </row>
    <row r="7" customHeight="1" spans="1:11">
      <c r="A7" s="52" t="s">
        <v>1674</v>
      </c>
      <c r="B7" s="39" t="s">
        <v>1362</v>
      </c>
      <c r="C7" s="53" t="s">
        <v>1900</v>
      </c>
      <c r="D7" s="53" t="s">
        <v>1901</v>
      </c>
      <c r="E7" s="53" t="s">
        <v>1901</v>
      </c>
      <c r="F7" s="53" t="s">
        <v>1901</v>
      </c>
      <c r="G7" s="53" t="s">
        <v>1901</v>
      </c>
      <c r="H7" s="53" t="s">
        <v>1901</v>
      </c>
      <c r="I7" s="53" t="s">
        <v>1900</v>
      </c>
      <c r="J7" s="39">
        <v>79479</v>
      </c>
      <c r="K7" s="39">
        <v>1407265</v>
      </c>
    </row>
    <row r="8" customHeight="1" spans="1:11">
      <c r="A8" s="52" t="s">
        <v>27</v>
      </c>
      <c r="B8" s="39" t="s">
        <v>312</v>
      </c>
      <c r="C8" s="53" t="s">
        <v>1900</v>
      </c>
      <c r="D8" s="53" t="s">
        <v>1901</v>
      </c>
      <c r="E8" s="53" t="s">
        <v>1901</v>
      </c>
      <c r="F8" s="53" t="s">
        <v>1901</v>
      </c>
      <c r="G8" s="53" t="s">
        <v>1901</v>
      </c>
      <c r="H8" s="53" t="s">
        <v>1901</v>
      </c>
      <c r="I8" s="53" t="s">
        <v>1900</v>
      </c>
      <c r="J8" s="39">
        <v>85154</v>
      </c>
      <c r="K8" s="39">
        <v>1815266</v>
      </c>
    </row>
    <row r="9" customHeight="1" spans="1:11">
      <c r="A9" s="52" t="s">
        <v>138</v>
      </c>
      <c r="B9" s="39" t="s">
        <v>833</v>
      </c>
      <c r="C9" s="53" t="s">
        <v>1900</v>
      </c>
      <c r="D9" s="53" t="s">
        <v>1902</v>
      </c>
      <c r="E9" s="53" t="s">
        <v>1902</v>
      </c>
      <c r="F9" s="53" t="s">
        <v>1902</v>
      </c>
      <c r="G9" s="53" t="s">
        <v>1902</v>
      </c>
      <c r="H9" s="53" t="s">
        <v>1902</v>
      </c>
      <c r="I9" s="53" t="s">
        <v>1900</v>
      </c>
      <c r="J9" s="39">
        <v>66977</v>
      </c>
      <c r="K9" s="39">
        <v>500642</v>
      </c>
    </row>
    <row r="10" customHeight="1" spans="1:11">
      <c r="A10" s="52" t="s">
        <v>1674</v>
      </c>
      <c r="B10" s="39" t="s">
        <v>1200</v>
      </c>
      <c r="C10" s="53" t="s">
        <v>1900</v>
      </c>
      <c r="D10" s="53" t="s">
        <v>1903</v>
      </c>
      <c r="E10" s="53" t="s">
        <v>1903</v>
      </c>
      <c r="F10" s="53" t="s">
        <v>1903</v>
      </c>
      <c r="G10" s="53" t="s">
        <v>1903</v>
      </c>
      <c r="H10" s="53" t="s">
        <v>1903</v>
      </c>
      <c r="I10" s="53" t="s">
        <v>1900</v>
      </c>
      <c r="J10" s="39">
        <v>81755</v>
      </c>
      <c r="K10" s="39">
        <v>2052783</v>
      </c>
    </row>
    <row r="11" customHeight="1" spans="1:11">
      <c r="A11" s="52" t="s">
        <v>138</v>
      </c>
      <c r="B11" s="39" t="s">
        <v>659</v>
      </c>
      <c r="C11" s="53" t="s">
        <v>1900</v>
      </c>
      <c r="D11" s="53" t="s">
        <v>1903</v>
      </c>
      <c r="E11" s="53" t="s">
        <v>1903</v>
      </c>
      <c r="F11" s="53" t="s">
        <v>1903</v>
      </c>
      <c r="G11" s="53" t="s">
        <v>1903</v>
      </c>
      <c r="H11" s="53" t="s">
        <v>1903</v>
      </c>
      <c r="I11" s="53" t="s">
        <v>1900</v>
      </c>
      <c r="J11" s="39">
        <v>74323</v>
      </c>
      <c r="K11" s="39">
        <v>595902</v>
      </c>
    </row>
    <row r="12" customHeight="1" spans="1:12">
      <c r="A12" s="52" t="s">
        <v>138</v>
      </c>
      <c r="B12" s="39" t="s">
        <v>764</v>
      </c>
      <c r="C12" s="53" t="s">
        <v>1900</v>
      </c>
      <c r="D12" s="53" t="s">
        <v>1903</v>
      </c>
      <c r="E12" s="53" t="s">
        <v>1903</v>
      </c>
      <c r="F12" s="53" t="s">
        <v>1903</v>
      </c>
      <c r="G12" s="53" t="s">
        <v>1903</v>
      </c>
      <c r="H12" s="53" t="s">
        <v>1903</v>
      </c>
      <c r="I12" s="53" t="s">
        <v>1900</v>
      </c>
      <c r="J12" s="39">
        <v>70271</v>
      </c>
      <c r="K12" s="39">
        <v>490014</v>
      </c>
      <c r="L12" s="51"/>
    </row>
    <row r="13" customHeight="1" spans="1:11">
      <c r="A13" s="52" t="s">
        <v>138</v>
      </c>
      <c r="B13" s="39" t="s">
        <v>929</v>
      </c>
      <c r="C13" s="53" t="s">
        <v>1900</v>
      </c>
      <c r="D13" s="53" t="s">
        <v>1903</v>
      </c>
      <c r="E13" s="53" t="s">
        <v>1903</v>
      </c>
      <c r="F13" s="53" t="s">
        <v>1903</v>
      </c>
      <c r="G13" s="53" t="s">
        <v>1903</v>
      </c>
      <c r="H13" s="53" t="s">
        <v>1903</v>
      </c>
      <c r="I13" s="53" t="s">
        <v>1900</v>
      </c>
      <c r="J13" s="39">
        <v>78667</v>
      </c>
      <c r="K13" s="39">
        <v>1244026</v>
      </c>
    </row>
    <row r="14" customHeight="1" spans="1:11">
      <c r="A14" s="52" t="s">
        <v>138</v>
      </c>
      <c r="B14" s="39" t="s">
        <v>759</v>
      </c>
      <c r="C14" s="53" t="s">
        <v>1900</v>
      </c>
      <c r="D14" s="53" t="s">
        <v>1904</v>
      </c>
      <c r="E14" s="53" t="s">
        <v>1904</v>
      </c>
      <c r="F14" s="53" t="s">
        <v>1904</v>
      </c>
      <c r="G14" s="53" t="s">
        <v>1904</v>
      </c>
      <c r="H14" s="53" t="s">
        <v>1904</v>
      </c>
      <c r="I14" s="53" t="s">
        <v>1900</v>
      </c>
      <c r="J14" s="39">
        <v>64659</v>
      </c>
      <c r="K14" s="39">
        <v>433331</v>
      </c>
    </row>
    <row r="15" customHeight="1" spans="1:11">
      <c r="A15" s="52" t="s">
        <v>1674</v>
      </c>
      <c r="B15" s="39" t="s">
        <v>1204</v>
      </c>
      <c r="C15" s="53" t="s">
        <v>1900</v>
      </c>
      <c r="D15" s="53" t="s">
        <v>1903</v>
      </c>
      <c r="E15" s="53" t="s">
        <v>1903</v>
      </c>
      <c r="F15" s="53" t="s">
        <v>1903</v>
      </c>
      <c r="G15" s="53" t="s">
        <v>1903</v>
      </c>
      <c r="H15" s="53" t="s">
        <v>1903</v>
      </c>
      <c r="I15" s="53" t="s">
        <v>1900</v>
      </c>
      <c r="J15" s="39">
        <v>79943</v>
      </c>
      <c r="K15" s="39">
        <v>1509262</v>
      </c>
    </row>
    <row r="16" customHeight="1" spans="1:11">
      <c r="A16" s="52" t="s">
        <v>1674</v>
      </c>
      <c r="B16" s="39" t="s">
        <v>1276</v>
      </c>
      <c r="C16" s="53" t="s">
        <v>1900</v>
      </c>
      <c r="D16" s="53" t="s">
        <v>1903</v>
      </c>
      <c r="E16" s="53" t="s">
        <v>1903</v>
      </c>
      <c r="F16" s="53" t="s">
        <v>1903</v>
      </c>
      <c r="G16" s="53" t="s">
        <v>1903</v>
      </c>
      <c r="H16" s="53" t="s">
        <v>1903</v>
      </c>
      <c r="I16" s="53" t="s">
        <v>1900</v>
      </c>
      <c r="J16" s="39">
        <v>83505</v>
      </c>
      <c r="K16" s="39">
        <v>2432304</v>
      </c>
    </row>
    <row r="17" customHeight="1" spans="1:11">
      <c r="A17" s="52" t="s">
        <v>27</v>
      </c>
      <c r="B17" s="39" t="s">
        <v>139</v>
      </c>
      <c r="C17" s="39" t="s">
        <v>1900</v>
      </c>
      <c r="D17" s="39" t="s">
        <v>1901</v>
      </c>
      <c r="E17" s="39" t="s">
        <v>1901</v>
      </c>
      <c r="F17" s="39" t="s">
        <v>1901</v>
      </c>
      <c r="G17" s="39" t="s">
        <v>1901</v>
      </c>
      <c r="H17" s="39" t="s">
        <v>1901</v>
      </c>
      <c r="I17" s="39" t="s">
        <v>1900</v>
      </c>
      <c r="J17" s="39">
        <v>83851</v>
      </c>
      <c r="K17" s="39">
        <v>2592570</v>
      </c>
    </row>
    <row r="18" customHeight="1" spans="1:11">
      <c r="A18" s="52" t="s">
        <v>27</v>
      </c>
      <c r="B18" s="39" t="s">
        <v>497</v>
      </c>
      <c r="C18" s="39" t="s">
        <v>1900</v>
      </c>
      <c r="D18" s="39" t="s">
        <v>1901</v>
      </c>
      <c r="E18" s="39" t="s">
        <v>1901</v>
      </c>
      <c r="F18" s="39" t="s">
        <v>1901</v>
      </c>
      <c r="G18" s="39" t="s">
        <v>1901</v>
      </c>
      <c r="H18" s="39" t="s">
        <v>1901</v>
      </c>
      <c r="I18" s="39" t="s">
        <v>1900</v>
      </c>
      <c r="J18" s="39">
        <v>83947</v>
      </c>
      <c r="K18" s="39">
        <v>2679645</v>
      </c>
    </row>
    <row r="19" customHeight="1" spans="1:11">
      <c r="A19" s="52" t="s">
        <v>1674</v>
      </c>
      <c r="B19" s="39" t="s">
        <v>1161</v>
      </c>
      <c r="C19" s="39" t="s">
        <v>1900</v>
      </c>
      <c r="D19" s="39" t="s">
        <v>1903</v>
      </c>
      <c r="E19" s="39" t="s">
        <v>1903</v>
      </c>
      <c r="F19" s="39" t="s">
        <v>1903</v>
      </c>
      <c r="G19" s="39" t="s">
        <v>1903</v>
      </c>
      <c r="H19" s="39" t="s">
        <v>1903</v>
      </c>
      <c r="I19" s="39" t="s">
        <v>1900</v>
      </c>
      <c r="J19" s="39">
        <v>85988</v>
      </c>
      <c r="K19" s="39">
        <v>3116873</v>
      </c>
    </row>
    <row r="20" customHeight="1" spans="1:11">
      <c r="A20" s="81" t="s">
        <v>138</v>
      </c>
      <c r="B20" s="48" t="s">
        <v>1110</v>
      </c>
      <c r="C20" s="48" t="s">
        <v>1900</v>
      </c>
      <c r="D20" s="48" t="s">
        <v>1903</v>
      </c>
      <c r="E20" s="48" t="s">
        <v>1903</v>
      </c>
      <c r="F20" s="48" t="s">
        <v>1903</v>
      </c>
      <c r="G20" s="48" t="s">
        <v>1903</v>
      </c>
      <c r="H20" s="48" t="s">
        <v>1903</v>
      </c>
      <c r="I20" s="48" t="s">
        <v>1900</v>
      </c>
      <c r="J20" s="48">
        <v>84144</v>
      </c>
      <c r="K20" s="48">
        <v>2714348</v>
      </c>
    </row>
    <row r="21" customHeight="1"/>
  </sheetData>
  <autoFilter ref="A1:K20">
    <extLst/>
  </autoFilter>
  <conditionalFormatting sqref="A1">
    <cfRule type="cellIs" dxfId="9" priority="2148" operator="equal">
      <formula>"TRANSFER"</formula>
    </cfRule>
  </conditionalFormatting>
  <conditionalFormatting sqref="B2">
    <cfRule type="duplicateValues" dxfId="16" priority="54"/>
  </conditionalFormatting>
  <conditionalFormatting sqref="B3">
    <cfRule type="duplicateValues" dxfId="16" priority="42"/>
  </conditionalFormatting>
  <conditionalFormatting sqref="B4">
    <cfRule type="duplicateValues" dxfId="16" priority="41"/>
    <cfRule type="duplicateValues" dxfId="16" priority="40"/>
  </conditionalFormatting>
  <conditionalFormatting sqref="B5">
    <cfRule type="duplicateValues" dxfId="16" priority="39"/>
    <cfRule type="duplicateValues" dxfId="16" priority="38"/>
    <cfRule type="duplicateValues" dxfId="16" priority="37"/>
    <cfRule type="duplicateValues" dxfId="16" priority="36"/>
    <cfRule type="duplicateValues" dxfId="16" priority="35"/>
    <cfRule type="duplicateValues" dxfId="16" priority="34"/>
    <cfRule type="duplicateValues" dxfId="16" priority="33"/>
    <cfRule type="duplicateValues" dxfId="16" priority="31"/>
    <cfRule type="duplicateValues" dxfId="16" priority="30"/>
  </conditionalFormatting>
  <conditionalFormatting sqref="B6">
    <cfRule type="duplicateValues" dxfId="16" priority="32"/>
    <cfRule type="duplicateValues" dxfId="16" priority="29"/>
    <cfRule type="duplicateValues" dxfId="16" priority="28"/>
    <cfRule type="duplicateValues" dxfId="16" priority="27"/>
    <cfRule type="duplicateValues" dxfId="16" priority="26"/>
    <cfRule type="duplicateValues" dxfId="16" priority="25"/>
    <cfRule type="duplicateValues" dxfId="16" priority="24"/>
    <cfRule type="duplicateValues" dxfId="16" priority="23"/>
    <cfRule type="duplicateValues" dxfId="16" priority="22"/>
    <cfRule type="duplicateValues" dxfId="16" priority="21"/>
    <cfRule type="duplicateValues" dxfId="16" priority="20"/>
    <cfRule type="duplicateValues" dxfId="16" priority="19"/>
    <cfRule type="duplicateValues" dxfId="16" priority="18"/>
    <cfRule type="duplicateValues" dxfId="16" priority="17"/>
    <cfRule type="duplicateValues" dxfId="16" priority="16"/>
    <cfRule type="duplicateValues" dxfId="16" priority="15"/>
    <cfRule type="duplicateValues" dxfId="16" priority="14"/>
    <cfRule type="duplicateValues" dxfId="16" priority="13"/>
    <cfRule type="duplicateValues" dxfId="16" priority="12"/>
    <cfRule type="duplicateValues" dxfId="16" priority="11"/>
    <cfRule type="duplicateValues" dxfId="16" priority="10"/>
    <cfRule type="duplicateValues" dxfId="16" priority="9"/>
  </conditionalFormatting>
  <conditionalFormatting sqref="B10">
    <cfRule type="duplicateValues" dxfId="16" priority="2"/>
  </conditionalFormatting>
  <conditionalFormatting sqref="K10">
    <cfRule type="duplicateValues" dxfId="18" priority="1"/>
  </conditionalFormatting>
  <conditionalFormatting sqref="A2:A20">
    <cfRule type="cellIs" dxfId="9" priority="43" operator="equal">
      <formula>"LOA"</formula>
    </cfRule>
    <cfRule type="cellIs" dxfId="11" priority="44" operator="equal">
      <formula>"PENDING TERM"</formula>
    </cfRule>
    <cfRule type="cellIs" dxfId="12" priority="45" operator="equal">
      <formula>"PROMOTED"</formula>
    </cfRule>
    <cfRule type="cellIs" dxfId="13" priority="46" operator="equal">
      <formula>"REINSTATEMENT"</formula>
    </cfRule>
    <cfRule type="cellIs" dxfId="14" priority="47" operator="equal">
      <formula>"TERM"</formula>
    </cfRule>
    <cfRule type="cellIs" dxfId="9" priority="48" operator="equal">
      <formula>"TRANSFER"</formula>
    </cfRule>
  </conditionalFormatting>
  <conditionalFormatting sqref="K2:K9">
    <cfRule type="duplicateValues" dxfId="18" priority="55"/>
  </conditionalFormatting>
  <conditionalFormatting sqref="C2:I16">
    <cfRule type="cellIs" dxfId="9" priority="49" operator="equal">
      <formula>"Approved Off"</formula>
    </cfRule>
    <cfRule type="cellIs" dxfId="9" priority="50" operator="equal">
      <formula>"LOA"</formula>
    </cfRule>
    <cfRule type="cellIs" dxfId="15" priority="51" operator="equal">
      <formula>"nesting"</formula>
    </cfRule>
    <cfRule type="cellIs" dxfId="10" priority="52" operator="equal">
      <formula>"off"</formula>
    </cfRule>
    <cfRule type="cellIs" dxfId="9" priority="53" operator="equal">
      <formula>"vac"</formula>
    </cfRule>
    <cfRule type="cellIs" dxfId="9" priority="8" operator="equal">
      <formula>"Study Day"</formula>
    </cfRule>
    <cfRule type="cellIs" dxfId="9" priority="7" operator="equal">
      <formula>"FER"</formula>
    </cfRule>
    <cfRule type="cellIs" dxfId="9" priority="6" operator="equal">
      <formula>"Pending Term"</formula>
    </cfRule>
  </conditionalFormatting>
  <conditionalFormatting sqref="C17:I20;D2:I16">
    <cfRule type="cellIs" dxfId="10" priority="5" operator="equal">
      <formula>"off"</formula>
    </cfRule>
    <cfRule type="cellIs" dxfId="9" priority="4" operator="equal">
      <formula>"LOA"</formula>
    </cfRule>
  </conditionalFormatting>
  <conditionalFormatting sqref="B11:B20;B5:B9">
    <cfRule type="duplicateValues" dxfId="16" priority="56"/>
  </conditionalFormatting>
  <conditionalFormatting sqref="C17:I20">
    <cfRule type="cellIs" dxfId="9" priority="3" operator="equal">
      <formula>"vac"</formula>
    </cfRule>
  </conditionalFormatting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51"/>
  <sheetViews>
    <sheetView showGridLines="0" zoomScale="70" zoomScaleNormal="70" workbookViewId="0">
      <pane ySplit="1" topLeftCell="A2" activePane="bottomLeft" state="frozen"/>
      <selection/>
      <selection pane="bottomLeft" activeCell="A1" sqref="A1"/>
    </sheetView>
  </sheetViews>
  <sheetFormatPr defaultColWidth="0" defaultRowHeight="15" customHeight="1" zeroHeight="1"/>
  <cols>
    <col min="1" max="1" width="24.8571428571429" customWidth="1"/>
    <col min="2" max="2" width="32.5714285714286" customWidth="1"/>
    <col min="3" max="9" width="15" customWidth="1"/>
    <col min="10" max="10" width="14.8571428571429" customWidth="1"/>
    <col min="11" max="11" width="16.8571428571429" customWidth="1"/>
    <col min="12" max="12" width="3.42857142857143" customWidth="1"/>
    <col min="13" max="16384" width="9.14285714285714" hidden="1"/>
  </cols>
  <sheetData>
    <row r="1" ht="30.75" customHeight="1" spans="1:11">
      <c r="A1" s="35" t="s">
        <v>1905</v>
      </c>
      <c r="B1" s="36" t="s">
        <v>0</v>
      </c>
      <c r="C1" s="36" t="s">
        <v>1893</v>
      </c>
      <c r="D1" s="36" t="s">
        <v>1894</v>
      </c>
      <c r="E1" s="36" t="s">
        <v>5</v>
      </c>
      <c r="F1" s="36" t="s">
        <v>1895</v>
      </c>
      <c r="G1" s="36" t="s">
        <v>1896</v>
      </c>
      <c r="H1" s="36" t="s">
        <v>1897</v>
      </c>
      <c r="I1" s="36" t="s">
        <v>1898</v>
      </c>
      <c r="J1" s="36" t="s">
        <v>1899</v>
      </c>
      <c r="K1" s="45" t="s">
        <v>8</v>
      </c>
    </row>
    <row r="2" spans="1:11">
      <c r="A2" s="104" t="s">
        <v>1906</v>
      </c>
      <c r="B2" s="105" t="s">
        <v>138</v>
      </c>
      <c r="C2" s="105" t="s">
        <v>1900</v>
      </c>
      <c r="D2" s="106" t="s">
        <v>1907</v>
      </c>
      <c r="E2" s="105" t="s">
        <v>1907</v>
      </c>
      <c r="F2" s="105" t="s">
        <v>1907</v>
      </c>
      <c r="G2" s="105" t="s">
        <v>1907</v>
      </c>
      <c r="H2" s="106" t="s">
        <v>1907</v>
      </c>
      <c r="I2" s="105" t="s">
        <v>1900</v>
      </c>
      <c r="J2" s="105">
        <v>64118</v>
      </c>
      <c r="K2" s="108">
        <v>433569</v>
      </c>
    </row>
    <row r="3" spans="1:11">
      <c r="A3" s="40" t="s">
        <v>1906</v>
      </c>
      <c r="B3" s="39" t="s">
        <v>27</v>
      </c>
      <c r="C3" s="39" t="s">
        <v>1900</v>
      </c>
      <c r="D3" s="39" t="s">
        <v>1908</v>
      </c>
      <c r="E3" s="39" t="s">
        <v>1908</v>
      </c>
      <c r="F3" s="39" t="s">
        <v>1908</v>
      </c>
      <c r="G3" s="39" t="s">
        <v>1908</v>
      </c>
      <c r="H3" s="39" t="s">
        <v>1908</v>
      </c>
      <c r="I3" s="39" t="s">
        <v>1900</v>
      </c>
      <c r="J3" s="39">
        <v>74054</v>
      </c>
      <c r="K3" s="46">
        <v>590259</v>
      </c>
    </row>
    <row r="4" ht="15.75" spans="1:11">
      <c r="A4" s="107" t="s">
        <v>1906</v>
      </c>
      <c r="B4" s="48" t="s">
        <v>1674</v>
      </c>
      <c r="C4" s="48" t="s">
        <v>1900</v>
      </c>
      <c r="D4" s="48" t="s">
        <v>1907</v>
      </c>
      <c r="E4" s="48" t="s">
        <v>1907</v>
      </c>
      <c r="F4" s="48" t="s">
        <v>1907</v>
      </c>
      <c r="G4" s="48" t="s">
        <v>1907</v>
      </c>
      <c r="H4" s="48" t="s">
        <v>1907</v>
      </c>
      <c r="I4" s="48" t="s">
        <v>1900</v>
      </c>
      <c r="J4" s="48">
        <v>59438</v>
      </c>
      <c r="K4" s="49">
        <v>433173</v>
      </c>
    </row>
    <row r="5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  <row r="1042" hidden="1"/>
    <row r="1043" hidden="1"/>
    <row r="1044" hidden="1"/>
    <row r="1045" hidden="1"/>
    <row r="1046" hidden="1"/>
    <row r="1047" hidden="1"/>
    <row r="1048" hidden="1"/>
    <row r="1049" hidden="1"/>
    <row r="1050" hidden="1"/>
    <row r="1051" hidden="1"/>
    <row r="1052" hidden="1"/>
    <row r="1053" hidden="1"/>
    <row r="1054" hidden="1"/>
    <row r="1055" hidden="1"/>
    <row r="1056" hidden="1"/>
    <row r="1057" hidden="1"/>
    <row r="1058" hidden="1"/>
    <row r="1059" hidden="1"/>
    <row r="1060" hidden="1"/>
    <row r="1061" hidden="1"/>
    <row r="1062" hidden="1"/>
    <row r="1063" hidden="1"/>
    <row r="1064" hidden="1"/>
    <row r="1065" hidden="1"/>
    <row r="1066" hidden="1"/>
    <row r="1067" hidden="1"/>
    <row r="1068" hidden="1"/>
    <row r="1069" hidden="1"/>
    <row r="1070" hidden="1"/>
    <row r="1071" hidden="1"/>
    <row r="1072" hidden="1"/>
    <row r="1073" hidden="1"/>
    <row r="1074" hidden="1"/>
    <row r="1075" hidden="1"/>
    <row r="1076" hidden="1"/>
    <row r="1077" hidden="1"/>
    <row r="1078" hidden="1"/>
    <row r="1079" hidden="1"/>
    <row r="1080" hidden="1"/>
    <row r="1081" hidden="1"/>
    <row r="1082" hidden="1"/>
    <row r="1083" hidden="1"/>
    <row r="1084" hidden="1"/>
    <row r="1085" hidden="1"/>
    <row r="1086" hidden="1"/>
    <row r="1087" hidden="1"/>
    <row r="1088" hidden="1"/>
    <row r="1089" hidden="1"/>
    <row r="1090" hidden="1"/>
    <row r="1091" hidden="1"/>
    <row r="1092" hidden="1"/>
    <row r="1093" hidden="1"/>
    <row r="1094" hidden="1"/>
    <row r="1095" hidden="1"/>
    <row r="1096" hidden="1"/>
    <row r="1097" hidden="1"/>
    <row r="1098" hidden="1"/>
    <row r="1099" hidden="1"/>
    <row r="1100" hidden="1"/>
    <row r="1101" hidden="1"/>
    <row r="1102" hidden="1"/>
    <row r="1103" hidden="1"/>
    <row r="1104" hidden="1"/>
    <row r="1105" hidden="1"/>
    <row r="1106" hidden="1"/>
    <row r="1107" hidden="1"/>
    <row r="1108" hidden="1"/>
    <row r="1109" hidden="1"/>
    <row r="1110" hidden="1"/>
    <row r="1111" hidden="1"/>
    <row r="1112" hidden="1"/>
    <row r="1113" hidden="1"/>
    <row r="1114" hidden="1"/>
    <row r="1115" hidden="1"/>
    <row r="1116" hidden="1"/>
    <row r="1117" hidden="1"/>
    <row r="1118" hidden="1"/>
    <row r="1119" hidden="1"/>
    <row r="1120" hidden="1"/>
    <row r="1121" hidden="1"/>
    <row r="1122" hidden="1"/>
    <row r="1123" hidden="1"/>
    <row r="1124" hidden="1"/>
    <row r="1125" hidden="1"/>
    <row r="1126" hidden="1"/>
    <row r="1127" hidden="1"/>
    <row r="1128" hidden="1"/>
    <row r="1129" hidden="1"/>
    <row r="1130" hidden="1"/>
    <row r="1131" hidden="1"/>
    <row r="1132" hidden="1"/>
    <row r="1133" hidden="1"/>
    <row r="1134" hidden="1"/>
    <row r="1135" hidden="1"/>
    <row r="1136" hidden="1"/>
    <row r="1137" hidden="1"/>
    <row r="1138" hidden="1"/>
    <row r="1139" hidden="1"/>
    <row r="1140" hidden="1"/>
    <row r="1141" hidden="1"/>
    <row r="1142" hidden="1"/>
    <row r="1143" hidden="1"/>
    <row r="1144" hidden="1"/>
    <row r="1145" hidden="1"/>
    <row r="1146" hidden="1"/>
    <row r="1147" hidden="1"/>
    <row r="1148" hidden="1"/>
    <row r="1149" hidden="1"/>
    <row r="1150" hidden="1"/>
    <row r="1151" hidden="1"/>
    <row r="1152" hidden="1"/>
    <row r="1153" hidden="1"/>
    <row r="1154" hidden="1"/>
    <row r="1155" hidden="1"/>
    <row r="1156" hidden="1"/>
    <row r="1157" hidden="1"/>
    <row r="1158" hidden="1"/>
    <row r="1159" hidden="1"/>
    <row r="1160" hidden="1"/>
    <row r="1161" hidden="1"/>
    <row r="1162" hidden="1"/>
    <row r="1163" hidden="1"/>
    <row r="1164" hidden="1"/>
    <row r="1165" hidden="1"/>
    <row r="1166" hidden="1"/>
    <row r="1167" hidden="1"/>
    <row r="1168" hidden="1"/>
    <row r="1169" hidden="1"/>
    <row r="1170" hidden="1"/>
    <row r="1171" hidden="1"/>
    <row r="1172" hidden="1"/>
    <row r="1173" hidden="1"/>
    <row r="1174" hidden="1"/>
    <row r="1175" hidden="1"/>
    <row r="1176" hidden="1"/>
    <row r="1177" hidden="1"/>
    <row r="1178" hidden="1"/>
    <row r="1179" hidden="1"/>
    <row r="1180" hidden="1"/>
    <row r="1181" hidden="1"/>
    <row r="1182" hidden="1"/>
    <row r="1183" hidden="1"/>
    <row r="1184" hidden="1"/>
    <row r="1185" hidden="1"/>
    <row r="1186" hidden="1"/>
    <row r="1187" hidden="1"/>
    <row r="1188" hidden="1"/>
    <row r="1189" hidden="1"/>
    <row r="1190" hidden="1"/>
    <row r="1191" hidden="1"/>
    <row r="1192" hidden="1"/>
    <row r="1193" hidden="1"/>
    <row r="1194" hidden="1"/>
    <row r="1195" hidden="1"/>
    <row r="1196" hidden="1"/>
    <row r="1197" hidden="1"/>
    <row r="1198" hidden="1"/>
    <row r="1199" hidden="1"/>
    <row r="1200" hidden="1"/>
    <row r="1201" hidden="1"/>
    <row r="1202" hidden="1"/>
    <row r="1203" hidden="1"/>
    <row r="1204" hidden="1"/>
    <row r="1205" hidden="1"/>
    <row r="1206" hidden="1"/>
    <row r="1207" hidden="1"/>
    <row r="1208" hidden="1"/>
    <row r="1209" hidden="1"/>
    <row r="1210" hidden="1"/>
    <row r="1211" hidden="1"/>
    <row r="1212" hidden="1"/>
    <row r="1213" hidden="1"/>
    <row r="1214" hidden="1"/>
    <row r="1215" hidden="1"/>
    <row r="1216" hidden="1"/>
    <row r="1217" hidden="1"/>
    <row r="1218" hidden="1"/>
    <row r="1219" hidden="1"/>
    <row r="1220" hidden="1"/>
    <row r="1221" hidden="1"/>
    <row r="1222" hidden="1"/>
    <row r="1223" hidden="1"/>
    <row r="1224" hidden="1"/>
    <row r="1225" hidden="1"/>
    <row r="1226" hidden="1"/>
    <row r="1227" hidden="1"/>
    <row r="1228" hidden="1"/>
    <row r="1229" hidden="1"/>
    <row r="1230" hidden="1"/>
    <row r="1231" hidden="1"/>
    <row r="1232" hidden="1"/>
    <row r="1233" hidden="1"/>
    <row r="1234" hidden="1"/>
    <row r="1235" hidden="1"/>
    <row r="1236" hidden="1"/>
    <row r="1237" hidden="1"/>
    <row r="1238" hidden="1"/>
    <row r="1239" hidden="1"/>
    <row r="1240" hidden="1"/>
    <row r="1241" hidden="1"/>
    <row r="1242" hidden="1"/>
    <row r="1243" hidden="1"/>
    <row r="1244" hidden="1"/>
    <row r="1245" hidden="1"/>
    <row r="1246" hidden="1"/>
    <row r="1247" hidden="1"/>
    <row r="1248" hidden="1"/>
    <row r="1249" hidden="1"/>
    <row r="1250" hidden="1"/>
    <row r="1251" hidden="1"/>
    <row r="1252" hidden="1"/>
    <row r="1253" hidden="1"/>
    <row r="1254" hidden="1"/>
    <row r="1255" hidden="1"/>
    <row r="1256" hidden="1"/>
    <row r="1257" hidden="1"/>
    <row r="1258" hidden="1"/>
    <row r="1259" hidden="1"/>
    <row r="1260" hidden="1"/>
    <row r="1261" hidden="1"/>
    <row r="1262" hidden="1"/>
    <row r="1263" hidden="1"/>
    <row r="1264" hidden="1"/>
    <row r="1265" hidden="1"/>
    <row r="1266" hidden="1"/>
    <row r="1267" hidden="1"/>
    <row r="1268" hidden="1"/>
    <row r="1269" hidden="1"/>
    <row r="1270" hidden="1"/>
    <row r="1271" hidden="1"/>
    <row r="1272" hidden="1"/>
    <row r="1273" hidden="1"/>
    <row r="1274" hidden="1"/>
    <row r="1275" hidden="1"/>
    <row r="1276" hidden="1"/>
    <row r="1277" hidden="1"/>
    <row r="1278" hidden="1"/>
    <row r="1279" hidden="1"/>
    <row r="1280" hidden="1"/>
    <row r="1281" hidden="1"/>
    <row r="1282" hidden="1"/>
    <row r="1283" hidden="1"/>
    <row r="1284" hidden="1"/>
    <row r="1285" hidden="1"/>
    <row r="1286" hidden="1"/>
    <row r="1287" hidden="1"/>
    <row r="1288" hidden="1"/>
    <row r="1289" hidden="1"/>
    <row r="1290" hidden="1"/>
    <row r="1291" hidden="1"/>
    <row r="1292" hidden="1"/>
    <row r="1293" hidden="1"/>
    <row r="1294" hidden="1"/>
    <row r="1295" hidden="1"/>
    <row r="1296" hidden="1"/>
    <row r="1297" hidden="1"/>
    <row r="1298" hidden="1"/>
    <row r="1299" hidden="1"/>
    <row r="1300" hidden="1"/>
    <row r="1301" hidden="1"/>
    <row r="1302" hidden="1"/>
    <row r="1303" hidden="1"/>
    <row r="1304" hidden="1"/>
    <row r="1305" hidden="1"/>
    <row r="1306" hidden="1"/>
    <row r="1307" hidden="1"/>
    <row r="1308" hidden="1"/>
    <row r="1309" hidden="1"/>
    <row r="1310" hidden="1"/>
    <row r="1311" hidden="1"/>
    <row r="1312" hidden="1"/>
    <row r="1313" hidden="1"/>
    <row r="1314" hidden="1"/>
    <row r="1315" hidden="1"/>
    <row r="1316" hidden="1"/>
    <row r="1317" hidden="1"/>
    <row r="1318" hidden="1"/>
    <row r="1319" hidden="1"/>
    <row r="1320" hidden="1"/>
    <row r="1321" hidden="1"/>
    <row r="1322" hidden="1"/>
    <row r="1323" hidden="1"/>
    <row r="1324" hidden="1"/>
    <row r="1325" hidden="1"/>
    <row r="1326" hidden="1"/>
    <row r="1327" hidden="1"/>
    <row r="1328" hidden="1"/>
    <row r="1329" hidden="1"/>
    <row r="1330" hidden="1"/>
    <row r="1331" hidden="1"/>
    <row r="1332" hidden="1"/>
    <row r="1333" hidden="1"/>
    <row r="1334" hidden="1"/>
    <row r="1335" hidden="1"/>
    <row r="1336" hidden="1"/>
    <row r="1337" hidden="1"/>
    <row r="1338" hidden="1"/>
    <row r="1339" hidden="1"/>
    <row r="1340" hidden="1"/>
    <row r="1341" hidden="1"/>
    <row r="1342" hidden="1"/>
    <row r="1343" hidden="1"/>
    <row r="1344" hidden="1"/>
    <row r="1345" hidden="1"/>
    <row r="1346" hidden="1"/>
    <row r="1347" hidden="1"/>
    <row r="1348" hidden="1"/>
    <row r="1349" hidden="1"/>
    <row r="1350" hidden="1"/>
    <row r="1351" hidden="1"/>
    <row r="1352" hidden="1"/>
    <row r="1353" hidden="1"/>
    <row r="1354" hidden="1"/>
    <row r="1355" hidden="1"/>
    <row r="1356" hidden="1"/>
    <row r="1357" hidden="1"/>
    <row r="1358" hidden="1"/>
    <row r="1359" hidden="1"/>
    <row r="1360" hidden="1"/>
    <row r="1361" hidden="1"/>
    <row r="1362" hidden="1"/>
    <row r="1363" hidden="1"/>
    <row r="1364" hidden="1"/>
    <row r="1365" hidden="1"/>
    <row r="1366" hidden="1"/>
    <row r="1367" hidden="1"/>
    <row r="1368" hidden="1"/>
    <row r="1369" hidden="1"/>
    <row r="1370" hidden="1"/>
    <row r="1371" hidden="1"/>
    <row r="1372" hidden="1"/>
    <row r="1373" hidden="1"/>
    <row r="1374" hidden="1"/>
    <row r="1375" hidden="1"/>
    <row r="1376" hidden="1"/>
    <row r="1377" hidden="1"/>
    <row r="1378" hidden="1"/>
    <row r="1379" hidden="1"/>
    <row r="1380" hidden="1"/>
    <row r="1381" hidden="1"/>
    <row r="1382" hidden="1"/>
    <row r="1383" hidden="1"/>
    <row r="1384" hidden="1"/>
    <row r="1385" hidden="1"/>
    <row r="1386" hidden="1"/>
    <row r="1387" hidden="1"/>
    <row r="1388" hidden="1"/>
    <row r="1389" hidden="1"/>
    <row r="1390" hidden="1"/>
    <row r="1391" hidden="1"/>
    <row r="1392" hidden="1"/>
    <row r="1393" hidden="1"/>
    <row r="1394" hidden="1"/>
    <row r="1395" hidden="1"/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/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/>
    <row r="1453" hidden="1"/>
    <row r="1454" hidden="1"/>
    <row r="1455" hidden="1"/>
    <row r="1456" hidden="1"/>
    <row r="1457" hidden="1"/>
    <row r="1458" hidden="1"/>
    <row r="1459" hidden="1"/>
    <row r="1460" hidden="1"/>
    <row r="1461" hidden="1"/>
    <row r="1462" hidden="1"/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/>
    <row r="1516" hidden="1"/>
    <row r="1517" hidden="1"/>
    <row r="1518" hidden="1"/>
    <row r="1519" hidden="1"/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/>
    <row r="1543" hidden="1"/>
    <row r="1544" hidden="1"/>
    <row r="1545" hidden="1"/>
    <row r="1546" hidden="1"/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/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/>
    <row r="1573" hidden="1"/>
    <row r="1574" hidden="1"/>
    <row r="1575" hidden="1"/>
    <row r="1576" hidden="1"/>
    <row r="1577" hidden="1"/>
    <row r="1578" hidden="1"/>
    <row r="1579" hidden="1"/>
    <row r="1580" hidden="1"/>
    <row r="1581" hidden="1"/>
    <row r="1582" hidden="1"/>
    <row r="1583" hidden="1"/>
    <row r="1584" hidden="1"/>
    <row r="1585" hidden="1"/>
    <row r="1586" hidden="1"/>
    <row r="1587" hidden="1"/>
    <row r="1588" hidden="1"/>
    <row r="1589" hidden="1"/>
    <row r="1590" hidden="1"/>
    <row r="1591" hidden="1"/>
    <row r="1592" hidden="1"/>
    <row r="1593" hidden="1"/>
    <row r="1594" hidden="1"/>
    <row r="1595" hidden="1"/>
    <row r="1596" hidden="1"/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/>
    <row r="1607" hidden="1"/>
    <row r="1608" hidden="1"/>
    <row r="1609" hidden="1"/>
    <row r="1610" hidden="1"/>
    <row r="1611" hidden="1"/>
    <row r="1612" hidden="1"/>
    <row r="1613" hidden="1"/>
    <row r="1614" hidden="1"/>
    <row r="1615" hidden="1"/>
    <row r="1616" hidden="1"/>
    <row r="1617" hidden="1"/>
    <row r="1618" hidden="1"/>
    <row r="1619" hidden="1"/>
    <row r="1620" hidden="1"/>
    <row r="1621" hidden="1"/>
    <row r="1622" hidden="1"/>
    <row r="1623" hidden="1"/>
    <row r="1624" hidden="1"/>
    <row r="1625" hidden="1"/>
    <row r="1626" hidden="1"/>
    <row r="1627" hidden="1"/>
    <row r="1628" hidden="1"/>
    <row r="1629" hidden="1"/>
    <row r="1630" hidden="1"/>
    <row r="1631" hidden="1"/>
    <row r="1632" hidden="1"/>
    <row r="1633" hidden="1"/>
    <row r="1634" hidden="1"/>
    <row r="1635" hidden="1"/>
    <row r="1636" hidden="1"/>
    <row r="1637" hidden="1"/>
    <row r="1638" hidden="1"/>
    <row r="1639" hidden="1"/>
    <row r="1640" hidden="1"/>
    <row r="1641" hidden="1"/>
    <row r="1642" hidden="1"/>
    <row r="1643" hidden="1"/>
    <row r="1644" hidden="1"/>
    <row r="1645" hidden="1"/>
    <row r="1646" hidden="1"/>
    <row r="1647" hidden="1"/>
    <row r="1648" hidden="1"/>
    <row r="1649" hidden="1"/>
    <row r="1650" hidden="1"/>
    <row r="1651" hidden="1"/>
    <row r="1652" hidden="1"/>
    <row r="1653" hidden="1"/>
    <row r="1654" hidden="1"/>
    <row r="1655" hidden="1"/>
    <row r="1656" hidden="1"/>
    <row r="1657" hidden="1"/>
    <row r="1658" hidden="1"/>
    <row r="1659" hidden="1"/>
    <row r="1660" hidden="1"/>
    <row r="1661" hidden="1"/>
    <row r="1662" hidden="1"/>
    <row r="1663" hidden="1"/>
    <row r="1664" hidden="1"/>
    <row r="1665" hidden="1"/>
    <row r="1666" hidden="1"/>
    <row r="1667" hidden="1"/>
    <row r="1668" hidden="1"/>
    <row r="1669" hidden="1"/>
    <row r="1670" hidden="1"/>
    <row r="1671" hidden="1"/>
    <row r="1672" hidden="1"/>
    <row r="1673" hidden="1"/>
    <row r="1674" hidden="1"/>
    <row r="1675" hidden="1"/>
    <row r="1676" hidden="1"/>
    <row r="1677" hidden="1"/>
    <row r="1678" hidden="1"/>
    <row r="1679" hidden="1"/>
    <row r="1680" hidden="1"/>
    <row r="1681" hidden="1"/>
    <row r="1682" hidden="1"/>
    <row r="1683" hidden="1"/>
    <row r="1684" hidden="1"/>
    <row r="1685" hidden="1"/>
    <row r="1686" hidden="1"/>
    <row r="1687" hidden="1"/>
    <row r="1688" hidden="1"/>
    <row r="1689" hidden="1"/>
    <row r="1690" hidden="1"/>
    <row r="1691" hidden="1"/>
    <row r="1692" hidden="1"/>
    <row r="1693" hidden="1"/>
    <row r="1694" hidden="1"/>
    <row r="1695" hidden="1"/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/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/>
    <row r="1735" hidden="1"/>
    <row r="1736" hidden="1"/>
    <row r="1737" hidden="1"/>
    <row r="1738" hidden="1"/>
    <row r="1739" hidden="1"/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/>
    <row r="1750" hidden="1"/>
    <row r="1751" hidden="1"/>
    <row r="1752" hidden="1"/>
    <row r="1753" hidden="1"/>
    <row r="1754" hidden="1"/>
    <row r="1755" hidden="1"/>
    <row r="1756" hidden="1"/>
    <row r="1757" hidden="1"/>
    <row r="1758" hidden="1"/>
    <row r="1759" hidden="1"/>
    <row r="1760" hidden="1"/>
    <row r="1761" hidden="1"/>
    <row r="1762" hidden="1"/>
    <row r="1763" hidden="1"/>
    <row r="1764" hidden="1"/>
    <row r="1765" hidden="1"/>
    <row r="1766" hidden="1"/>
    <row r="1767" hidden="1"/>
    <row r="1768" hidden="1"/>
    <row r="1769" hidden="1"/>
    <row r="1770" hidden="1"/>
    <row r="1771" hidden="1"/>
    <row r="1772" hidden="1"/>
    <row r="1773" hidden="1"/>
    <row r="1774" hidden="1"/>
    <row r="1775" hidden="1"/>
    <row r="1776" hidden="1"/>
    <row r="1777" hidden="1"/>
    <row r="1778" hidden="1"/>
    <row r="1779" hidden="1"/>
    <row r="1780" hidden="1"/>
    <row r="1781" hidden="1"/>
    <row r="1782" hidden="1"/>
    <row r="1783" hidden="1"/>
    <row r="1784" hidden="1"/>
    <row r="1785" hidden="1"/>
    <row r="1786" hidden="1"/>
    <row r="1787" hidden="1"/>
    <row r="1788" hidden="1"/>
    <row r="1789" hidden="1"/>
    <row r="1790" hidden="1"/>
    <row r="1791" hidden="1"/>
    <row r="1792" hidden="1"/>
    <row r="1793" hidden="1"/>
    <row r="1794" hidden="1"/>
    <row r="1795" hidden="1"/>
    <row r="1796" hidden="1"/>
    <row r="1797" hidden="1"/>
    <row r="1798" hidden="1"/>
    <row r="1799" hidden="1"/>
    <row r="1800" hidden="1"/>
    <row r="1801" hidden="1"/>
    <row r="1802" hidden="1"/>
    <row r="1803" hidden="1"/>
    <row r="1804" hidden="1"/>
    <row r="1805" hidden="1"/>
    <row r="1806" hidden="1"/>
    <row r="1807" hidden="1"/>
    <row r="1808" hidden="1"/>
    <row r="1809" hidden="1"/>
    <row r="1810" hidden="1"/>
    <row r="1811" hidden="1"/>
    <row r="1812" hidden="1"/>
    <row r="1813" hidden="1"/>
    <row r="1814" hidden="1"/>
    <row r="1815" hidden="1"/>
    <row r="1816" hidden="1"/>
    <row r="1817" hidden="1"/>
    <row r="1818" hidden="1"/>
    <row r="1819" hidden="1"/>
    <row r="1820" hidden="1"/>
    <row r="1821" hidden="1"/>
    <row r="1822" hidden="1"/>
    <row r="1823" hidden="1"/>
    <row r="1824" hidden="1"/>
    <row r="1825" hidden="1"/>
    <row r="1826" hidden="1"/>
    <row r="1827" hidden="1"/>
    <row r="1828" hidden="1"/>
    <row r="1829" hidden="1"/>
    <row r="1830" hidden="1"/>
    <row r="1831" hidden="1"/>
    <row r="1832" hidden="1"/>
    <row r="1833" hidden="1"/>
    <row r="1834" hidden="1"/>
    <row r="1835" hidden="1"/>
    <row r="1836" hidden="1"/>
    <row r="1837" hidden="1"/>
    <row r="1838" hidden="1"/>
    <row r="1839" hidden="1"/>
    <row r="1840" hidden="1"/>
    <row r="1841" hidden="1"/>
    <row r="1842" hidden="1"/>
    <row r="1843" hidden="1"/>
    <row r="1844" hidden="1"/>
    <row r="1845" hidden="1"/>
    <row r="1846" hidden="1"/>
    <row r="1847" hidden="1"/>
    <row r="1848" hidden="1"/>
    <row r="1849" hidden="1"/>
    <row r="1850" hidden="1"/>
    <row r="1851" hidden="1"/>
    <row r="1852" hidden="1"/>
    <row r="1853" hidden="1"/>
    <row r="1854" hidden="1"/>
    <row r="1855" hidden="1"/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/>
    <row r="1866" hidden="1"/>
    <row r="1867" hidden="1"/>
    <row r="1868" hidden="1"/>
    <row r="1869" hidden="1"/>
    <row r="1870" hidden="1"/>
    <row r="1871" hidden="1"/>
    <row r="1872" hidden="1"/>
    <row r="1873" hidden="1"/>
    <row r="1874" hidden="1"/>
    <row r="1875" hidden="1"/>
    <row r="1876" hidden="1"/>
    <row r="1877" hidden="1"/>
    <row r="1878" hidden="1"/>
    <row r="1879" hidden="1"/>
    <row r="1880" hidden="1"/>
    <row r="1881" hidden="1"/>
    <row r="1882" hidden="1"/>
    <row r="1883" hidden="1"/>
    <row r="1884" hidden="1"/>
    <row r="1885" hidden="1"/>
    <row r="1886" hidden="1"/>
    <row r="1887" hidden="1"/>
    <row r="1888" hidden="1"/>
    <row r="1889" hidden="1"/>
    <row r="1890" hidden="1"/>
    <row r="1891" hidden="1"/>
    <row r="1892" hidden="1"/>
    <row r="1893" hidden="1"/>
    <row r="1894" hidden="1"/>
    <row r="1895" hidden="1"/>
    <row r="1896" hidden="1"/>
    <row r="1897" hidden="1"/>
    <row r="1898" hidden="1"/>
    <row r="1899" hidden="1"/>
    <row r="1900" hidden="1"/>
    <row r="1901" hidden="1"/>
    <row r="1902" hidden="1"/>
    <row r="1903" hidden="1"/>
    <row r="1904" hidden="1"/>
    <row r="1905" hidden="1"/>
    <row r="1906" hidden="1"/>
    <row r="1907" hidden="1"/>
    <row r="1908" hidden="1"/>
    <row r="1909" hidden="1"/>
    <row r="1910" hidden="1"/>
    <row r="1911" hidden="1"/>
    <row r="1912" hidden="1"/>
    <row r="1913" hidden="1"/>
    <row r="1914" hidden="1"/>
    <row r="1915" hidden="1"/>
    <row r="1916" hidden="1"/>
    <row r="1917" hidden="1"/>
    <row r="1918" hidden="1"/>
    <row r="1919" hidden="1"/>
    <row r="1920" hidden="1"/>
    <row r="1921" hidden="1"/>
    <row r="1922" hidden="1"/>
    <row r="1923" hidden="1"/>
    <row r="1924" hidden="1"/>
    <row r="1925" hidden="1"/>
    <row r="1926" hidden="1"/>
    <row r="1927" hidden="1"/>
    <row r="1928" hidden="1"/>
    <row r="1929" hidden="1"/>
    <row r="1930" hidden="1"/>
    <row r="1931" hidden="1"/>
    <row r="1932" hidden="1"/>
    <row r="1933" hidden="1"/>
    <row r="1934" hidden="1"/>
    <row r="1935" hidden="1"/>
    <row r="1936" hidden="1"/>
    <row r="1937" hidden="1"/>
    <row r="1938" hidden="1"/>
    <row r="1939" hidden="1"/>
    <row r="1940" hidden="1"/>
    <row r="1941" hidden="1"/>
    <row r="1942" hidden="1"/>
    <row r="1943" hidden="1"/>
    <row r="1944" hidden="1"/>
    <row r="1945" hidden="1"/>
    <row r="1946" hidden="1"/>
    <row r="1947" hidden="1"/>
    <row r="1948" hidden="1"/>
    <row r="1949" hidden="1"/>
    <row r="1950" hidden="1"/>
    <row r="1951" hidden="1"/>
    <row r="1952" hidden="1"/>
    <row r="1953" hidden="1"/>
    <row r="1954" hidden="1"/>
    <row r="1955" hidden="1"/>
    <row r="1956" hidden="1"/>
    <row r="1957" hidden="1"/>
    <row r="1958" hidden="1"/>
    <row r="1959" hidden="1"/>
    <row r="1960" hidden="1"/>
    <row r="1961" hidden="1"/>
    <row r="1962" hidden="1"/>
    <row r="1963" hidden="1"/>
    <row r="1964" hidden="1"/>
    <row r="1965" hidden="1"/>
    <row r="1966" hidden="1"/>
    <row r="1967" hidden="1"/>
    <row r="1968" hidden="1"/>
    <row r="1969" hidden="1"/>
    <row r="1970" hidden="1"/>
    <row r="1971" hidden="1"/>
    <row r="1972" hidden="1"/>
    <row r="1973" hidden="1"/>
    <row r="1974" hidden="1"/>
    <row r="1975" hidden="1"/>
    <row r="1976" hidden="1"/>
    <row r="1977" hidden="1"/>
    <row r="1978" hidden="1"/>
    <row r="1979" hidden="1"/>
    <row r="1980" hidden="1"/>
    <row r="1981" hidden="1"/>
    <row r="1982" hidden="1"/>
    <row r="1983" hidden="1"/>
    <row r="1984" hidden="1"/>
    <row r="1985" hidden="1"/>
    <row r="1986" hidden="1"/>
    <row r="1987" hidden="1"/>
    <row r="1988" hidden="1"/>
    <row r="1989" hidden="1"/>
    <row r="1990" hidden="1"/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/>
    <row r="2004" hidden="1"/>
    <row r="2005" hidden="1"/>
    <row r="2006" hidden="1"/>
    <row r="2007" hidden="1"/>
    <row r="2008" hidden="1"/>
    <row r="2009" hidden="1"/>
    <row r="2010" hidden="1"/>
    <row r="2011" hidden="1"/>
    <row r="2012" hidden="1"/>
    <row r="2013" hidden="1"/>
    <row r="2014" hidden="1"/>
    <row r="2015" hidden="1"/>
    <row r="2016" hidden="1"/>
    <row r="2017" hidden="1"/>
    <row r="2018" hidden="1"/>
    <row r="2019" hidden="1"/>
    <row r="2020" hidden="1"/>
    <row r="2021" hidden="1"/>
    <row r="2022" hidden="1"/>
    <row r="2023" hidden="1"/>
    <row r="2024" hidden="1"/>
    <row r="2025" hidden="1"/>
    <row r="2026" hidden="1"/>
    <row r="2027" hidden="1"/>
    <row r="2028" hidden="1"/>
    <row r="2029" hidden="1"/>
    <row r="2030" hidden="1"/>
    <row r="2031" hidden="1"/>
    <row r="2032" hidden="1"/>
    <row r="2033" hidden="1"/>
    <row r="2034" hidden="1"/>
    <row r="2035" hidden="1"/>
    <row r="2036" hidden="1"/>
    <row r="2037" hidden="1"/>
    <row r="2038" hidden="1"/>
    <row r="2039" hidden="1"/>
    <row r="2040" hidden="1"/>
    <row r="2041" hidden="1"/>
    <row r="2042" hidden="1"/>
    <row r="2043" hidden="1"/>
    <row r="2044" hidden="1"/>
    <row r="2045" hidden="1"/>
    <row r="2046" hidden="1"/>
    <row r="2047" hidden="1"/>
    <row r="2048" hidden="1"/>
    <row r="2049" hidden="1"/>
    <row r="2050" hidden="1"/>
    <row r="2051" hidden="1"/>
  </sheetData>
  <autoFilter ref="A1:K4">
    <extLst/>
  </autoFilter>
  <conditionalFormatting sqref="D2">
    <cfRule type="cellIs" dxfId="9" priority="6" operator="equal">
      <formula>"Approved Off"</formula>
    </cfRule>
    <cfRule type="cellIs" dxfId="9" priority="7" operator="equal">
      <formula>"LOA"</formula>
    </cfRule>
    <cfRule type="cellIs" dxfId="15" priority="8" operator="equal">
      <formula>"nesting"</formula>
    </cfRule>
    <cfRule type="cellIs" dxfId="10" priority="9" operator="equal">
      <formula>"off"</formula>
    </cfRule>
    <cfRule type="cellIs" dxfId="9" priority="10" operator="equal">
      <formula>"vac"</formula>
    </cfRule>
    <cfRule type="cellIs" dxfId="9" priority="5" operator="equal">
      <formula>"Study Day"</formula>
    </cfRule>
    <cfRule type="cellIs" dxfId="9" priority="4" operator="equal">
      <formula>"FER"</formula>
    </cfRule>
    <cfRule type="cellIs" dxfId="9" priority="3" operator="equal">
      <formula>"Pending Term"</formula>
    </cfRule>
    <cfRule type="cellIs" dxfId="10" priority="2" operator="equal">
      <formula>"off"</formula>
    </cfRule>
    <cfRule type="cellIs" dxfId="9" priority="1" operator="equal">
      <formula>"LOA"</formula>
    </cfRule>
  </conditionalFormatting>
  <conditionalFormatting sqref="H2">
    <cfRule type="cellIs" dxfId="10" priority="21" operator="equal">
      <formula>"off"</formula>
    </cfRule>
    <cfRule type="cellIs" dxfId="9" priority="19" operator="equal">
      <formula>"vac"</formula>
    </cfRule>
    <cfRule type="cellIs" dxfId="9" priority="20" operator="equal">
      <formula>"LOA"</formula>
    </cfRule>
    <cfRule type="cellIs" dxfId="9" priority="14" operator="equal">
      <formula>"Approved Off"</formula>
    </cfRule>
    <cfRule type="cellIs" dxfId="9" priority="15" operator="equal">
      <formula>"LOA"</formula>
    </cfRule>
    <cfRule type="cellIs" dxfId="15" priority="16" operator="equal">
      <formula>"nesting"</formula>
    </cfRule>
    <cfRule type="cellIs" dxfId="10" priority="17" operator="equal">
      <formula>"off"</formula>
    </cfRule>
    <cfRule type="cellIs" dxfId="9" priority="18" operator="equal">
      <formula>"vac"</formula>
    </cfRule>
    <cfRule type="cellIs" dxfId="9" priority="13" operator="equal">
      <formula>"Study Day"</formula>
    </cfRule>
    <cfRule type="cellIs" dxfId="9" priority="12" operator="equal">
      <formula>"FER"</formula>
    </cfRule>
    <cfRule type="cellIs" dxfId="9" priority="11" operator="equal">
      <formula>"Pending Term"</formula>
    </cfRule>
  </conditionalFormatting>
  <conditionalFormatting sqref="B2:B4">
    <cfRule type="duplicateValues" dxfId="16" priority="22"/>
  </conditionalFormatting>
  <conditionalFormatting sqref="C3:I4;C2;I2;E2:G2">
    <cfRule type="cellIs" dxfId="9" priority="23" operator="equal">
      <formula>"LOA"</formula>
    </cfRule>
    <cfRule type="cellIs" dxfId="10" priority="24" operator="equal">
      <formula>"off"</formula>
    </cfRule>
    <cfRule type="cellIs" dxfId="9" priority="25" operator="equal">
      <formula>"vac"</formula>
    </cfRule>
  </conditionalFormatting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showGridLines="0" zoomScale="70" zoomScaleNormal="70" workbookViewId="0">
      <selection activeCell="A1" sqref="A1:O1"/>
    </sheetView>
  </sheetViews>
  <sheetFormatPr defaultColWidth="0" defaultRowHeight="15"/>
  <cols>
    <col min="1" max="1" width="33.5714285714286" customWidth="1"/>
    <col min="2" max="2" width="38.8571428571429" customWidth="1"/>
    <col min="3" max="3" width="14" customWidth="1"/>
    <col min="4" max="4" width="11.4285714285714" customWidth="1"/>
    <col min="5" max="7" width="21" hidden="1" customWidth="1"/>
    <col min="8" max="8" width="33.5714285714286" customWidth="1"/>
    <col min="9" max="9" width="38.8571428571429" customWidth="1"/>
    <col min="10" max="10" width="9.71428571428571" customWidth="1"/>
    <col min="11" max="11" width="11.4285714285714" customWidth="1"/>
    <col min="12" max="13" width="15" customWidth="1"/>
    <col min="14" max="14" width="14.8571428571429" customWidth="1"/>
    <col min="15" max="15" width="12.1428571428571" customWidth="1"/>
    <col min="16" max="27" width="19.2857142857143" customWidth="1"/>
    <col min="28" max="28" width="14.8571428571429" customWidth="1"/>
    <col min="29" max="29" width="12.1428571428571" customWidth="1"/>
    <col min="30" max="31" width="11.4285714285714" customWidth="1"/>
    <col min="32" max="32" width="3.71428571428571" customWidth="1"/>
    <col min="33" max="16384" width="11.4285714285714" hidden="1"/>
  </cols>
  <sheetData>
    <row r="1" spans="1:15">
      <c r="A1" s="93" t="s">
        <v>1909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</row>
    <row r="3" spans="1:11">
      <c r="A3" s="94" t="s">
        <v>0</v>
      </c>
      <c r="B3" s="94" t="s">
        <v>1</v>
      </c>
      <c r="C3" s="95" t="s">
        <v>1910</v>
      </c>
      <c r="D3" s="95" t="s">
        <v>1911</v>
      </c>
      <c r="E3" s="94"/>
      <c r="F3" s="94"/>
      <c r="G3" s="94"/>
      <c r="H3" s="94" t="s">
        <v>0</v>
      </c>
      <c r="I3" s="94" t="s">
        <v>1</v>
      </c>
      <c r="J3" s="95" t="s">
        <v>1912</v>
      </c>
      <c r="K3" s="95" t="s">
        <v>1911</v>
      </c>
    </row>
    <row r="4" spans="1:11">
      <c r="A4" s="96" t="s">
        <v>138</v>
      </c>
      <c r="B4" s="97" t="s">
        <v>833</v>
      </c>
      <c r="C4" s="98">
        <v>20</v>
      </c>
      <c r="D4" s="99">
        <v>0.0611620795107034</v>
      </c>
      <c r="E4" s="100"/>
      <c r="F4" s="100"/>
      <c r="G4" s="100"/>
      <c r="H4" s="97" t="s">
        <v>138</v>
      </c>
      <c r="I4" s="97" t="s">
        <v>659</v>
      </c>
      <c r="J4" s="102">
        <v>21</v>
      </c>
      <c r="K4" s="103">
        <v>0.101449275362319</v>
      </c>
    </row>
    <row r="5" spans="1:11">
      <c r="A5" s="101"/>
      <c r="B5" s="97" t="s">
        <v>659</v>
      </c>
      <c r="C5" s="98">
        <v>21</v>
      </c>
      <c r="D5" s="99">
        <v>0.0642201834862385</v>
      </c>
      <c r="E5" s="100"/>
      <c r="F5" s="100"/>
      <c r="G5" s="100"/>
      <c r="H5" s="94"/>
      <c r="I5" s="97" t="s">
        <v>929</v>
      </c>
      <c r="J5" s="102">
        <v>21</v>
      </c>
      <c r="K5" s="103">
        <v>0.101449275362319</v>
      </c>
    </row>
    <row r="6" spans="1:11">
      <c r="A6" s="101"/>
      <c r="B6" s="97" t="s">
        <v>929</v>
      </c>
      <c r="C6" s="98">
        <v>21</v>
      </c>
      <c r="D6" s="99">
        <v>0.0642201834862385</v>
      </c>
      <c r="E6" s="100"/>
      <c r="F6" s="100"/>
      <c r="G6" s="100"/>
      <c r="H6" s="94"/>
      <c r="I6" s="97" t="s">
        <v>833</v>
      </c>
      <c r="J6" s="102">
        <v>20</v>
      </c>
      <c r="K6" s="103">
        <v>0.0966183574879227</v>
      </c>
    </row>
    <row r="7" spans="1:11">
      <c r="A7" s="101"/>
      <c r="B7" s="97" t="s">
        <v>759</v>
      </c>
      <c r="C7" s="98">
        <v>19</v>
      </c>
      <c r="D7" s="99">
        <v>0.0581039755351682</v>
      </c>
      <c r="E7" s="100"/>
      <c r="F7" s="100"/>
      <c r="G7" s="100"/>
      <c r="H7" s="94"/>
      <c r="I7" s="97" t="s">
        <v>759</v>
      </c>
      <c r="J7" s="102">
        <v>19</v>
      </c>
      <c r="K7" s="103">
        <v>0.0917874396135266</v>
      </c>
    </row>
    <row r="8" spans="1:11">
      <c r="A8" s="101"/>
      <c r="B8" s="97" t="s">
        <v>764</v>
      </c>
      <c r="C8" s="98">
        <v>16</v>
      </c>
      <c r="D8" s="99">
        <v>0.0489296636085627</v>
      </c>
      <c r="E8" s="100"/>
      <c r="F8" s="100"/>
      <c r="G8" s="100"/>
      <c r="H8" s="94"/>
      <c r="I8" s="97" t="s">
        <v>764</v>
      </c>
      <c r="J8" s="102">
        <v>16</v>
      </c>
      <c r="K8" s="103">
        <v>0.0772946859903382</v>
      </c>
    </row>
    <row r="9" spans="1:11">
      <c r="A9" s="101"/>
      <c r="B9" s="97" t="s">
        <v>1110</v>
      </c>
      <c r="C9" s="98">
        <v>9</v>
      </c>
      <c r="D9" s="99">
        <v>0.0275229357798165</v>
      </c>
      <c r="E9" s="100"/>
      <c r="F9" s="100"/>
      <c r="G9" s="100"/>
      <c r="H9" s="97" t="s">
        <v>1913</v>
      </c>
      <c r="I9" s="94"/>
      <c r="J9" s="102">
        <v>97</v>
      </c>
      <c r="K9" s="103">
        <v>0.468599033816425</v>
      </c>
    </row>
    <row r="10" spans="1:11">
      <c r="A10" s="96" t="s">
        <v>1913</v>
      </c>
      <c r="B10" s="101"/>
      <c r="C10" s="102">
        <v>106</v>
      </c>
      <c r="D10" s="103">
        <v>0.324159021406728</v>
      </c>
      <c r="E10" s="100"/>
      <c r="F10" s="100"/>
      <c r="G10" s="100"/>
      <c r="H10" s="97" t="s">
        <v>27</v>
      </c>
      <c r="I10" s="97" t="s">
        <v>48</v>
      </c>
      <c r="J10" s="102">
        <v>19</v>
      </c>
      <c r="K10" s="103">
        <v>0.0917874396135266</v>
      </c>
    </row>
    <row r="11" spans="1:11">
      <c r="A11" s="96" t="s">
        <v>27</v>
      </c>
      <c r="B11" s="97" t="s">
        <v>28</v>
      </c>
      <c r="C11" s="98">
        <v>18</v>
      </c>
      <c r="D11" s="99">
        <v>0.055045871559633</v>
      </c>
      <c r="E11" s="100"/>
      <c r="F11" s="100"/>
      <c r="G11" s="100"/>
      <c r="H11" s="94"/>
      <c r="I11" s="97" t="s">
        <v>222</v>
      </c>
      <c r="J11" s="102">
        <v>19</v>
      </c>
      <c r="K11" s="103">
        <v>0.0917874396135266</v>
      </c>
    </row>
    <row r="12" spans="1:11">
      <c r="A12" s="101"/>
      <c r="B12" s="97" t="s">
        <v>48</v>
      </c>
      <c r="C12" s="98">
        <v>19</v>
      </c>
      <c r="D12" s="99">
        <v>0.0581039755351682</v>
      </c>
      <c r="E12" s="100"/>
      <c r="F12" s="100"/>
      <c r="G12" s="100"/>
      <c r="H12" s="94"/>
      <c r="I12" s="97" t="s">
        <v>28</v>
      </c>
      <c r="J12" s="102">
        <v>18</v>
      </c>
      <c r="K12" s="103">
        <v>0.0869565217391304</v>
      </c>
    </row>
    <row r="13" spans="1:11">
      <c r="A13" s="101"/>
      <c r="B13" s="97" t="s">
        <v>291</v>
      </c>
      <c r="C13" s="98">
        <v>17</v>
      </c>
      <c r="D13" s="99">
        <v>0.0519877675840979</v>
      </c>
      <c r="E13" s="100"/>
      <c r="F13" s="100"/>
      <c r="G13" s="100"/>
      <c r="H13" s="94"/>
      <c r="I13" s="97" t="s">
        <v>291</v>
      </c>
      <c r="J13" s="102">
        <v>17</v>
      </c>
      <c r="K13" s="103">
        <v>0.0821256038647343</v>
      </c>
    </row>
    <row r="14" spans="1:11">
      <c r="A14" s="101"/>
      <c r="B14" s="97" t="s">
        <v>222</v>
      </c>
      <c r="C14" s="98">
        <v>19</v>
      </c>
      <c r="D14" s="99">
        <v>0.0581039755351682</v>
      </c>
      <c r="E14" s="100"/>
      <c r="F14" s="100"/>
      <c r="G14" s="100"/>
      <c r="H14" s="97" t="s">
        <v>1914</v>
      </c>
      <c r="I14" s="94"/>
      <c r="J14" s="102">
        <v>73</v>
      </c>
      <c r="K14" s="103">
        <v>0.352657004830918</v>
      </c>
    </row>
    <row r="15" spans="1:11">
      <c r="A15" s="101"/>
      <c r="B15" s="97" t="s">
        <v>312</v>
      </c>
      <c r="C15" s="98">
        <v>20</v>
      </c>
      <c r="D15" s="99">
        <v>0.0611620795107034</v>
      </c>
      <c r="E15" s="100"/>
      <c r="F15" s="100"/>
      <c r="G15" s="100"/>
      <c r="H15" s="97" t="s">
        <v>832</v>
      </c>
      <c r="I15" s="97" t="s">
        <v>1200</v>
      </c>
      <c r="J15" s="102">
        <v>21</v>
      </c>
      <c r="K15" s="103">
        <v>0.101449275362319</v>
      </c>
    </row>
    <row r="16" spans="1:11">
      <c r="A16" s="101"/>
      <c r="B16" s="97" t="s">
        <v>139</v>
      </c>
      <c r="C16" s="98">
        <v>14</v>
      </c>
      <c r="D16" s="99">
        <v>0.0428134556574924</v>
      </c>
      <c r="E16" s="100"/>
      <c r="F16" s="100"/>
      <c r="G16" s="100"/>
      <c r="H16" s="94"/>
      <c r="I16" s="97" t="s">
        <v>1449</v>
      </c>
      <c r="J16" s="102">
        <v>16</v>
      </c>
      <c r="K16" s="103">
        <v>0.0772946859903382</v>
      </c>
    </row>
    <row r="17" spans="1:11">
      <c r="A17" s="101"/>
      <c r="B17" s="97" t="s">
        <v>497</v>
      </c>
      <c r="C17" s="98">
        <v>13</v>
      </c>
      <c r="D17" s="99">
        <v>0.0397553516819572</v>
      </c>
      <c r="E17" s="100"/>
      <c r="F17" s="100"/>
      <c r="G17" s="100"/>
      <c r="H17" s="97" t="s">
        <v>1915</v>
      </c>
      <c r="I17" s="94"/>
      <c r="J17" s="102">
        <v>37</v>
      </c>
      <c r="K17" s="103">
        <v>0.178743961352657</v>
      </c>
    </row>
    <row r="18" spans="1:11">
      <c r="A18" s="96" t="s">
        <v>1914</v>
      </c>
      <c r="B18" s="101"/>
      <c r="C18" s="102">
        <v>120</v>
      </c>
      <c r="D18" s="103">
        <v>0.36697247706422</v>
      </c>
      <c r="E18" s="100"/>
      <c r="F18" s="100"/>
      <c r="G18" s="100"/>
      <c r="H18" s="97" t="s">
        <v>1916</v>
      </c>
      <c r="I18" s="94"/>
      <c r="J18" s="102">
        <v>207</v>
      </c>
      <c r="K18" s="103">
        <v>1</v>
      </c>
    </row>
    <row r="19" spans="1:7">
      <c r="A19" s="96" t="s">
        <v>832</v>
      </c>
      <c r="B19" s="97" t="s">
        <v>1449</v>
      </c>
      <c r="C19" s="98">
        <v>16</v>
      </c>
      <c r="D19" s="99">
        <v>0.0489296636085627</v>
      </c>
      <c r="E19" s="100"/>
      <c r="F19" s="100"/>
      <c r="G19" s="100"/>
    </row>
    <row r="20" spans="1:7">
      <c r="A20" s="101"/>
      <c r="B20" s="97" t="s">
        <v>1200</v>
      </c>
      <c r="C20" s="98">
        <v>21</v>
      </c>
      <c r="D20" s="99">
        <v>0.0642201834862385</v>
      </c>
      <c r="E20" s="100"/>
      <c r="F20" s="100"/>
      <c r="G20" s="100"/>
    </row>
    <row r="21" spans="1:7">
      <c r="A21" s="101"/>
      <c r="B21" s="97" t="s">
        <v>1204</v>
      </c>
      <c r="C21" s="98">
        <v>17</v>
      </c>
      <c r="D21" s="99">
        <v>0.0519877675840979</v>
      </c>
      <c r="E21" s="100"/>
      <c r="F21" s="100"/>
      <c r="G21" s="100"/>
    </row>
    <row r="22" spans="1:7">
      <c r="A22" s="101"/>
      <c r="B22" s="97" t="s">
        <v>1362</v>
      </c>
      <c r="C22" s="98">
        <v>19</v>
      </c>
      <c r="D22" s="99">
        <v>0.0581039755351682</v>
      </c>
      <c r="E22" s="100"/>
      <c r="F22" s="100"/>
      <c r="G22" s="100"/>
    </row>
    <row r="23" spans="1:4">
      <c r="A23" s="101"/>
      <c r="B23" s="97" t="s">
        <v>1276</v>
      </c>
      <c r="C23" s="98">
        <v>19</v>
      </c>
      <c r="D23" s="99">
        <v>0.0581039755351682</v>
      </c>
    </row>
    <row r="24" spans="1:4">
      <c r="A24" s="101"/>
      <c r="B24" s="97" t="s">
        <v>1161</v>
      </c>
      <c r="C24" s="98">
        <v>9</v>
      </c>
      <c r="D24" s="99">
        <v>0.0275229357798165</v>
      </c>
    </row>
    <row r="25" spans="1:4">
      <c r="A25" s="96" t="s">
        <v>1915</v>
      </c>
      <c r="B25" s="101"/>
      <c r="C25" s="102">
        <v>101</v>
      </c>
      <c r="D25" s="103">
        <v>0.308868501529052</v>
      </c>
    </row>
    <row r="26" spans="1:4">
      <c r="A26" s="97" t="s">
        <v>1916</v>
      </c>
      <c r="B26" s="94"/>
      <c r="C26" s="98">
        <v>327</v>
      </c>
      <c r="D26" s="99">
        <v>1</v>
      </c>
    </row>
  </sheetData>
  <mergeCells count="15">
    <mergeCell ref="A1:O1"/>
    <mergeCell ref="H9:I9"/>
    <mergeCell ref="A10:B10"/>
    <mergeCell ref="H14:I14"/>
    <mergeCell ref="H17:I17"/>
    <mergeCell ref="A18:B18"/>
    <mergeCell ref="H18:I18"/>
    <mergeCell ref="A25:B25"/>
    <mergeCell ref="A26:B26"/>
    <mergeCell ref="A4:A9"/>
    <mergeCell ref="A11:A17"/>
    <mergeCell ref="A19:A24"/>
    <mergeCell ref="H4:H8"/>
    <mergeCell ref="H10:H13"/>
    <mergeCell ref="H15:H16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303"/>
  <sheetViews>
    <sheetView showGridLines="0" zoomScale="70" zoomScaleNormal="70" workbookViewId="0">
      <pane ySplit="1" topLeftCell="A2" activePane="bottomLeft" state="frozen"/>
      <selection/>
      <selection pane="bottomLeft" activeCell="A2" sqref="A2"/>
    </sheetView>
  </sheetViews>
  <sheetFormatPr defaultColWidth="0" defaultRowHeight="15"/>
  <cols>
    <col min="1" max="1" width="28.8571428571429" style="50" customWidth="1"/>
    <col min="2" max="2" width="34.8571428571429" style="50" customWidth="1"/>
    <col min="3" max="4" width="23.5714285714286" style="50" customWidth="1"/>
    <col min="5" max="11" width="15.8571428571429" style="50" customWidth="1"/>
    <col min="12" max="12" width="40" style="50" customWidth="1"/>
    <col min="13" max="22" width="15.8571428571429" style="50" customWidth="1"/>
    <col min="23" max="25" width="12.2857142857143" style="50" customWidth="1"/>
    <col min="26" max="26" width="13.7142857142857" style="50" customWidth="1"/>
    <col min="27" max="27" width="16" style="50" customWidth="1"/>
    <col min="28" max="28" width="16.4285714285714" style="50" customWidth="1"/>
    <col min="29" max="30" width="12.2857142857143" style="50" customWidth="1"/>
    <col min="31" max="32" width="18.8571428571429" style="50" customWidth="1"/>
    <col min="33" max="33" width="16.7142857142857" style="50" customWidth="1"/>
    <col min="34" max="34" width="12.2857142857143" style="50" customWidth="1"/>
    <col min="35" max="36" width="18.8571428571429" style="50" customWidth="1"/>
    <col min="37" max="39" width="14.1428571428571" style="50" customWidth="1"/>
    <col min="40" max="40" width="15.2857142857143" style="50" customWidth="1"/>
    <col min="41" max="41" width="22" style="50" customWidth="1"/>
    <col min="42" max="42" width="6.71428571428571" style="50" hidden="1" customWidth="1"/>
    <col min="43" max="43" width="4" style="51" customWidth="1"/>
    <col min="44" max="44" width="6.71428571428571" style="51" hidden="1" customWidth="1"/>
    <col min="45" max="53" width="0" style="51" hidden="1" customWidth="1"/>
    <col min="54" max="16384" width="5.57142857142857" style="51" hidden="1"/>
  </cols>
  <sheetData>
    <row r="1" customFormat="1" ht="39" customHeight="1" spans="1:42">
      <c r="A1" s="35" t="s">
        <v>0</v>
      </c>
      <c r="B1" s="36" t="s">
        <v>1</v>
      </c>
      <c r="C1" s="36" t="s">
        <v>2</v>
      </c>
      <c r="D1" s="36" t="s">
        <v>3</v>
      </c>
      <c r="E1" s="36" t="s">
        <v>1893</v>
      </c>
      <c r="F1" s="36" t="s">
        <v>1894</v>
      </c>
      <c r="G1" s="36" t="s">
        <v>5</v>
      </c>
      <c r="H1" s="36" t="s">
        <v>1895</v>
      </c>
      <c r="I1" s="36" t="s">
        <v>1896</v>
      </c>
      <c r="J1" s="36" t="s">
        <v>1897</v>
      </c>
      <c r="K1" s="36" t="s">
        <v>1898</v>
      </c>
      <c r="L1" s="36" t="s">
        <v>1917</v>
      </c>
      <c r="M1" s="36" t="s">
        <v>1918</v>
      </c>
      <c r="N1" s="36" t="s">
        <v>1919</v>
      </c>
      <c r="O1" s="36" t="s">
        <v>1920</v>
      </c>
      <c r="P1" s="36" t="s">
        <v>1921</v>
      </c>
      <c r="Q1" s="36" t="s">
        <v>1922</v>
      </c>
      <c r="R1" s="36" t="s">
        <v>1923</v>
      </c>
      <c r="S1" s="36" t="s">
        <v>1924</v>
      </c>
      <c r="T1" s="36" t="s">
        <v>1925</v>
      </c>
      <c r="U1" s="36" t="s">
        <v>1926</v>
      </c>
      <c r="V1" s="36" t="s">
        <v>1927</v>
      </c>
      <c r="W1" s="36" t="s">
        <v>6</v>
      </c>
      <c r="X1" s="36" t="s">
        <v>7</v>
      </c>
      <c r="Y1" s="36" t="s">
        <v>8</v>
      </c>
      <c r="Z1" s="36" t="s">
        <v>9</v>
      </c>
      <c r="AA1" s="36" t="s">
        <v>10</v>
      </c>
      <c r="AB1" s="36" t="s">
        <v>11</v>
      </c>
      <c r="AC1" s="36" t="s">
        <v>12</v>
      </c>
      <c r="AD1" s="36" t="s">
        <v>13</v>
      </c>
      <c r="AE1" s="36" t="s">
        <v>14</v>
      </c>
      <c r="AF1" s="36" t="s">
        <v>1928</v>
      </c>
      <c r="AG1" s="36" t="s">
        <v>16</v>
      </c>
      <c r="AH1" s="36" t="s">
        <v>17</v>
      </c>
      <c r="AI1" s="36" t="s">
        <v>18</v>
      </c>
      <c r="AJ1" s="36" t="s">
        <v>19</v>
      </c>
      <c r="AK1" s="36" t="s">
        <v>20</v>
      </c>
      <c r="AL1" s="57" t="s">
        <v>21</v>
      </c>
      <c r="AM1" s="57" t="s">
        <v>22</v>
      </c>
      <c r="AN1" s="57" t="s">
        <v>23</v>
      </c>
      <c r="AO1" s="45" t="s">
        <v>1929</v>
      </c>
      <c r="AP1" s="63" t="s">
        <v>59</v>
      </c>
    </row>
    <row r="2" spans="1:42">
      <c r="A2" s="52" t="str">
        <f>'Agents'' Final Roster 0913-0919'!A2</f>
        <v>Campero Juarez Maria Guadalupe</v>
      </c>
      <c r="B2" s="53" t="str">
        <f>'Agents'' Final Roster 0913-0919'!B2</f>
        <v>Arias Juan José</v>
      </c>
      <c r="C2" s="53" t="str">
        <f>'Agents'' Final Roster 0913-0919'!C2</f>
        <v>Bautista Boloña</v>
      </c>
      <c r="D2" s="53" t="str">
        <f>'Agents'' Final Roster 0913-0919'!D2</f>
        <v>Luciana Florencia</v>
      </c>
      <c r="E2" s="53"/>
      <c r="F2" s="53"/>
      <c r="G2" s="53"/>
      <c r="H2" s="53"/>
      <c r="I2" s="53"/>
      <c r="J2" s="53"/>
      <c r="K2" s="53"/>
      <c r="L2" s="56"/>
      <c r="M2" s="56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 t="str">
        <f>'Agents'' Final Roster 0913-0919'!J2</f>
        <v>CSV2</v>
      </c>
      <c r="AA2" s="53"/>
      <c r="AB2" s="53"/>
      <c r="AC2" s="53"/>
      <c r="AD2" s="53"/>
      <c r="AE2" s="53"/>
      <c r="AF2" s="53"/>
      <c r="AG2" s="53"/>
      <c r="AH2" s="53"/>
      <c r="AI2" s="53"/>
      <c r="AJ2" s="58"/>
      <c r="AK2" s="58"/>
      <c r="AL2" s="59"/>
      <c r="AM2" s="60"/>
      <c r="AN2" s="61"/>
      <c r="AO2" s="64"/>
      <c r="AP2" s="65"/>
    </row>
    <row r="3" customHeight="1" spans="1:42">
      <c r="A3" s="52" t="str">
        <f>'Agents'' Final Roster 0913-0919'!A3</f>
        <v>Campero Juarez Maria Guadalupe</v>
      </c>
      <c r="B3" s="53" t="str">
        <f>'Agents'' Final Roster 0913-0919'!B3</f>
        <v>Arias Juan José</v>
      </c>
      <c r="C3" s="53" t="str">
        <f>'Agents'' Final Roster 0913-0919'!C3</f>
        <v>Albornoz Perez</v>
      </c>
      <c r="D3" s="53" t="str">
        <f>'Agents'' Final Roster 0913-0919'!D3</f>
        <v>Jose Ezequiel</v>
      </c>
      <c r="E3" s="53"/>
      <c r="F3" s="53"/>
      <c r="G3" s="53"/>
      <c r="H3" s="53"/>
      <c r="I3" s="53"/>
      <c r="J3" s="53"/>
      <c r="K3" s="53"/>
      <c r="L3" s="56"/>
      <c r="M3" s="56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 t="str">
        <f>'Agents'' Final Roster 0913-0919'!J3</f>
        <v>DVH</v>
      </c>
      <c r="AA3" s="53"/>
      <c r="AB3" s="53"/>
      <c r="AC3" s="53"/>
      <c r="AD3" s="53"/>
      <c r="AE3" s="53"/>
      <c r="AF3" s="53"/>
      <c r="AG3" s="53"/>
      <c r="AH3" s="53"/>
      <c r="AI3" s="53"/>
      <c r="AJ3" s="58"/>
      <c r="AK3" s="58"/>
      <c r="AL3" s="59"/>
      <c r="AM3" s="60"/>
      <c r="AN3" s="62"/>
      <c r="AO3" s="66"/>
      <c r="AP3" s="67"/>
    </row>
    <row r="4" customHeight="1" spans="1:42">
      <c r="A4" s="52" t="str">
        <f>'Agents'' Final Roster 0913-0919'!A4</f>
        <v>Campero Juarez Maria Guadalupe</v>
      </c>
      <c r="B4" s="53" t="str">
        <f>'Agents'' Final Roster 0913-0919'!B4</f>
        <v>Podazza Villagra Daniel Matias</v>
      </c>
      <c r="C4" s="53" t="str">
        <f>'Agents'' Final Roster 0913-0919'!C4</f>
        <v>Ale</v>
      </c>
      <c r="D4" s="53" t="str">
        <f>'Agents'' Final Roster 0913-0919'!D4</f>
        <v> Rocío Agustina</v>
      </c>
      <c r="E4" s="53"/>
      <c r="F4" s="53"/>
      <c r="G4" s="53"/>
      <c r="H4" s="53"/>
      <c r="I4" s="53"/>
      <c r="J4" s="53"/>
      <c r="K4" s="53"/>
      <c r="L4" s="56"/>
      <c r="M4" s="56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 t="str">
        <f>'Agents'' Final Roster 0913-0919'!J4</f>
        <v>Servicios web</v>
      </c>
      <c r="AA4" s="53"/>
      <c r="AB4" s="53"/>
      <c r="AC4" s="53"/>
      <c r="AD4" s="53"/>
      <c r="AE4" s="53"/>
      <c r="AF4" s="53"/>
      <c r="AG4" s="53"/>
      <c r="AH4" s="53"/>
      <c r="AI4" s="53"/>
      <c r="AJ4" s="58"/>
      <c r="AK4" s="58"/>
      <c r="AL4" s="59"/>
      <c r="AM4" s="60"/>
      <c r="AN4" s="62"/>
      <c r="AO4" s="66"/>
      <c r="AP4" s="67"/>
    </row>
    <row r="5" customHeight="1" spans="1:42">
      <c r="A5" s="52" t="str">
        <f>'Agents'' Final Roster 0913-0919'!A5</f>
        <v>Campero Juarez Maria Guadalupe</v>
      </c>
      <c r="B5" s="53" t="str">
        <f>'Agents'' Final Roster 0913-0919'!B5</f>
        <v>Podazza Villagra Daniel Matias</v>
      </c>
      <c r="C5" s="53" t="str">
        <f>'Agents'' Final Roster 0913-0919'!C5</f>
        <v>Aragón</v>
      </c>
      <c r="D5" s="53" t="str">
        <f>'Agents'' Final Roster 0913-0919'!D5</f>
        <v>Maria Celeste</v>
      </c>
      <c r="E5" s="53"/>
      <c r="F5" s="53"/>
      <c r="G5" s="53"/>
      <c r="H5" s="53"/>
      <c r="I5" s="53"/>
      <c r="J5" s="53"/>
      <c r="K5" s="53"/>
      <c r="L5" s="56"/>
      <c r="M5" s="56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 t="str">
        <f>'Agents'' Final Roster 0913-0919'!J5</f>
        <v>Compras Referidas</v>
      </c>
      <c r="AA5" s="53"/>
      <c r="AB5" s="53"/>
      <c r="AC5" s="53"/>
      <c r="AD5" s="53"/>
      <c r="AE5" s="53"/>
      <c r="AF5" s="53"/>
      <c r="AG5" s="53"/>
      <c r="AH5" s="53"/>
      <c r="AI5" s="53"/>
      <c r="AJ5" s="58"/>
      <c r="AK5" s="58"/>
      <c r="AL5" s="59"/>
      <c r="AM5" s="60"/>
      <c r="AN5" s="62"/>
      <c r="AO5" s="66"/>
      <c r="AP5" s="67"/>
    </row>
    <row r="6" customHeight="1" spans="1:42">
      <c r="A6" s="52" t="str">
        <f>'Agents'' Final Roster 0913-0919'!A6</f>
        <v>Campero Juarez Maria Guadalupe</v>
      </c>
      <c r="B6" s="53" t="str">
        <f>'Agents'' Final Roster 0913-0919'!B6</f>
        <v>Arias Juan José</v>
      </c>
      <c r="C6" s="53" t="str">
        <f>'Agents'' Final Roster 0913-0919'!C6</f>
        <v>Brito</v>
      </c>
      <c r="D6" s="53" t="str">
        <f>'Agents'' Final Roster 0913-0919'!D6</f>
        <v>Jesus Exequiel</v>
      </c>
      <c r="E6" s="53"/>
      <c r="F6" s="53"/>
      <c r="G6" s="53"/>
      <c r="H6" s="53"/>
      <c r="I6" s="53"/>
      <c r="J6" s="53"/>
      <c r="K6" s="53"/>
      <c r="L6" s="56"/>
      <c r="M6" s="56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 t="str">
        <f>'Agents'' Final Roster 0913-0919'!J6</f>
        <v>CSV3</v>
      </c>
      <c r="AA6" s="53"/>
      <c r="AB6" s="53"/>
      <c r="AC6" s="53"/>
      <c r="AD6" s="53"/>
      <c r="AE6" s="53"/>
      <c r="AF6" s="53"/>
      <c r="AG6" s="53"/>
      <c r="AH6" s="53"/>
      <c r="AI6" s="53"/>
      <c r="AJ6" s="58"/>
      <c r="AK6" s="58"/>
      <c r="AL6" s="59"/>
      <c r="AM6" s="60"/>
      <c r="AN6" s="62"/>
      <c r="AO6" s="66"/>
      <c r="AP6" s="67"/>
    </row>
    <row r="7" customHeight="1" spans="1:42">
      <c r="A7" s="52" t="str">
        <f>'Agents'' Final Roster 0913-0919'!A7</f>
        <v>Campero Juarez Maria Guadalupe</v>
      </c>
      <c r="B7" s="53" t="str">
        <f>'Agents'' Final Roster 0913-0919'!B7</f>
        <v>Arias Juan José</v>
      </c>
      <c r="C7" s="53" t="str">
        <f>'Agents'' Final Roster 0913-0919'!C7</f>
        <v>Carabajal</v>
      </c>
      <c r="D7" s="53" t="str">
        <f>'Agents'' Final Roster 0913-0919'!D7</f>
        <v>Priscila Daiana</v>
      </c>
      <c r="E7" s="53"/>
      <c r="F7" s="53"/>
      <c r="G7" s="53"/>
      <c r="H7" s="53"/>
      <c r="I7" s="53"/>
      <c r="J7" s="53"/>
      <c r="K7" s="53"/>
      <c r="L7" s="56"/>
      <c r="M7" s="56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 t="str">
        <f>'Agents'' Final Roster 0913-0919'!J7</f>
        <v>CSV3</v>
      </c>
      <c r="AA7" s="53"/>
      <c r="AB7" s="53"/>
      <c r="AC7" s="53"/>
      <c r="AD7" s="53"/>
      <c r="AE7" s="53"/>
      <c r="AF7" s="53"/>
      <c r="AG7" s="53"/>
      <c r="AH7" s="53"/>
      <c r="AI7" s="53"/>
      <c r="AJ7" s="58"/>
      <c r="AK7" s="58"/>
      <c r="AL7" s="59"/>
      <c r="AM7" s="60"/>
      <c r="AN7" s="62"/>
      <c r="AO7" s="66"/>
      <c r="AP7" s="67"/>
    </row>
    <row r="8" customHeight="1" spans="1:42">
      <c r="A8" s="52" t="str">
        <f>'Agents'' Final Roster 0913-0919'!A8</f>
        <v>Campero Juarez Maria Guadalupe</v>
      </c>
      <c r="B8" s="53" t="str">
        <f>'Agents'' Final Roster 0913-0919'!B8</f>
        <v>Arias Juan José</v>
      </c>
      <c r="C8" s="53" t="str">
        <f>'Agents'' Final Roster 0913-0919'!C8</f>
        <v>Casares</v>
      </c>
      <c r="D8" s="53" t="str">
        <f>'Agents'' Final Roster 0913-0919'!D8</f>
        <v>Diego Jesus</v>
      </c>
      <c r="E8" s="53"/>
      <c r="F8" s="53"/>
      <c r="G8" s="53"/>
      <c r="H8" s="53"/>
      <c r="I8" s="53"/>
      <c r="J8" s="53"/>
      <c r="K8" s="53"/>
      <c r="L8" s="56"/>
      <c r="M8" s="56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 t="str">
        <f>'Agents'' Final Roster 0913-0919'!J8</f>
        <v>VIP</v>
      </c>
      <c r="AA8" s="53"/>
      <c r="AB8" s="53"/>
      <c r="AC8" s="53"/>
      <c r="AD8" s="53"/>
      <c r="AE8" s="53"/>
      <c r="AF8" s="53"/>
      <c r="AG8" s="53"/>
      <c r="AH8" s="53"/>
      <c r="AI8" s="53"/>
      <c r="AJ8" s="58"/>
      <c r="AK8" s="58"/>
      <c r="AL8" s="59"/>
      <c r="AM8" s="60"/>
      <c r="AN8" s="62"/>
      <c r="AO8" s="66"/>
      <c r="AP8" s="67"/>
    </row>
    <row r="9" customHeight="1" spans="1:42">
      <c r="A9" s="52" t="str">
        <f>'Agents'' Final Roster 0913-0919'!A9</f>
        <v>Campero Juarez Maria Guadalupe</v>
      </c>
      <c r="B9" s="53" t="str">
        <f>'Agents'' Final Roster 0913-0919'!B9</f>
        <v>Podazza Villagra Daniel Matias</v>
      </c>
      <c r="C9" s="53" t="str">
        <f>'Agents'' Final Roster 0913-0919'!C9</f>
        <v>Cejas</v>
      </c>
      <c r="D9" s="53" t="str">
        <f>'Agents'' Final Roster 0913-0919'!D9</f>
        <v>Ignacio Martin</v>
      </c>
      <c r="E9" s="53"/>
      <c r="F9" s="53"/>
      <c r="G9" s="53"/>
      <c r="H9" s="53"/>
      <c r="I9" s="53"/>
      <c r="J9" s="53"/>
      <c r="K9" s="53"/>
      <c r="L9" s="56"/>
      <c r="M9" s="56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 t="str">
        <f>'Agents'' Final Roster 0913-0919'!J9</f>
        <v>Compras Referidas</v>
      </c>
      <c r="AA9" s="53"/>
      <c r="AB9" s="53"/>
      <c r="AC9" s="53"/>
      <c r="AD9" s="53"/>
      <c r="AE9" s="53"/>
      <c r="AF9" s="53"/>
      <c r="AG9" s="53"/>
      <c r="AH9" s="53"/>
      <c r="AI9" s="53"/>
      <c r="AJ9" s="58"/>
      <c r="AK9" s="58"/>
      <c r="AL9" s="59"/>
      <c r="AM9" s="60"/>
      <c r="AN9" s="62"/>
      <c r="AO9" s="66"/>
      <c r="AP9" s="67"/>
    </row>
    <row r="10" customHeight="1" spans="1:42">
      <c r="A10" s="54" t="str">
        <f>'Agents'' Final Roster 0913-0919'!A10</f>
        <v>Campero Juarez Maria Guadalupe</v>
      </c>
      <c r="B10" s="55" t="str">
        <f>'Agents'' Final Roster 0913-0919'!B10</f>
        <v>Podazza Villagra Daniel Matias</v>
      </c>
      <c r="C10" s="55" t="str">
        <f>'Agents'' Final Roster 0913-0919'!C10</f>
        <v>Cisneros</v>
      </c>
      <c r="D10" s="55" t="str">
        <f>'Agents'' Final Roster 0913-0919'!D10</f>
        <v>Roxana Natalia</v>
      </c>
      <c r="E10" s="55"/>
      <c r="F10" s="55"/>
      <c r="G10" s="55"/>
      <c r="H10" s="55"/>
      <c r="I10" s="55"/>
      <c r="J10" s="55"/>
      <c r="K10" s="55"/>
      <c r="L10" s="56"/>
      <c r="M10" s="56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 t="str">
        <f>'Agents'' Final Roster 0913-0919'!J10</f>
        <v>Servicios web</v>
      </c>
      <c r="AA10" s="53"/>
      <c r="AB10" s="53"/>
      <c r="AC10" s="53"/>
      <c r="AD10" s="53"/>
      <c r="AE10" s="53"/>
      <c r="AF10" s="53"/>
      <c r="AG10" s="53"/>
      <c r="AH10" s="53"/>
      <c r="AI10" s="53"/>
      <c r="AJ10" s="58"/>
      <c r="AK10" s="58"/>
      <c r="AL10" s="59"/>
      <c r="AM10" s="60"/>
      <c r="AN10" s="62"/>
      <c r="AO10" s="66"/>
      <c r="AP10" s="67"/>
    </row>
    <row r="11" customHeight="1" spans="1:42">
      <c r="A11" s="52" t="str">
        <f>'Agents'' Final Roster 0913-0919'!A11</f>
        <v>Campero Juarez Maria Guadalupe</v>
      </c>
      <c r="B11" s="53" t="str">
        <f>'Agents'' Final Roster 0913-0919'!B11</f>
        <v>Arias Juan José</v>
      </c>
      <c r="C11" s="53" t="str">
        <f>'Agents'' Final Roster 0913-0919'!C11</f>
        <v>Corbera</v>
      </c>
      <c r="D11" s="53" t="str">
        <f>'Agents'' Final Roster 0913-0919'!D11</f>
        <v>Elena Beatriz</v>
      </c>
      <c r="E11" s="53"/>
      <c r="F11" s="53"/>
      <c r="G11" s="53"/>
      <c r="H11" s="53"/>
      <c r="I11" s="53"/>
      <c r="J11" s="53"/>
      <c r="K11" s="53"/>
      <c r="L11" s="56"/>
      <c r="M11" s="56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 t="str">
        <f>'Agents'' Final Roster 0913-0919'!J11</f>
        <v>CSV2</v>
      </c>
      <c r="AA11" s="53"/>
      <c r="AB11" s="53"/>
      <c r="AC11" s="53"/>
      <c r="AD11" s="53"/>
      <c r="AE11" s="53"/>
      <c r="AF11" s="53"/>
      <c r="AG11" s="53"/>
      <c r="AH11" s="53"/>
      <c r="AI11" s="53"/>
      <c r="AJ11" s="58"/>
      <c r="AK11" s="58"/>
      <c r="AL11" s="59"/>
      <c r="AM11" s="60"/>
      <c r="AN11" s="62"/>
      <c r="AO11" s="66"/>
      <c r="AP11" s="67"/>
    </row>
    <row r="12" customHeight="1" spans="1:42">
      <c r="A12" s="52" t="str">
        <f>'Agents'' Final Roster 0913-0919'!A12</f>
        <v>Campero Juarez Maria Guadalupe</v>
      </c>
      <c r="B12" s="53" t="str">
        <f>'Agents'' Final Roster 0913-0919'!B12</f>
        <v>Arias Juan José</v>
      </c>
      <c r="C12" s="53" t="str">
        <f>'Agents'' Final Roster 0913-0919'!C12</f>
        <v>Escobar</v>
      </c>
      <c r="D12" s="53" t="str">
        <f>'Agents'' Final Roster 0913-0919'!D12</f>
        <v>Marcos Nahuel</v>
      </c>
      <c r="E12" s="53"/>
      <c r="F12" s="53"/>
      <c r="G12" s="53"/>
      <c r="H12" s="53"/>
      <c r="I12" s="53"/>
      <c r="J12" s="53"/>
      <c r="K12" s="53"/>
      <c r="L12" s="56"/>
      <c r="M12" s="56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 t="str">
        <f>'Agents'' Final Roster 0913-0919'!J12</f>
        <v>CSV3</v>
      </c>
      <c r="AA12" s="53"/>
      <c r="AB12" s="53"/>
      <c r="AC12" s="53"/>
      <c r="AD12" s="53"/>
      <c r="AE12" s="53"/>
      <c r="AF12" s="53"/>
      <c r="AG12" s="53"/>
      <c r="AH12" s="53"/>
      <c r="AI12" s="53"/>
      <c r="AJ12" s="58"/>
      <c r="AK12" s="58"/>
      <c r="AL12" s="59"/>
      <c r="AM12" s="60"/>
      <c r="AN12" s="62"/>
      <c r="AO12" s="66"/>
      <c r="AP12" s="67"/>
    </row>
    <row r="13" customHeight="1" spans="1:42">
      <c r="A13" s="54" t="str">
        <f>'Agents'' Final Roster 0913-0919'!A13</f>
        <v>Campero Juarez Maria Guadalupe</v>
      </c>
      <c r="B13" s="55" t="str">
        <f>'Agents'' Final Roster 0913-0919'!B13</f>
        <v>Arias Juan José</v>
      </c>
      <c r="C13" s="55" t="str">
        <f>'Agents'' Final Roster 0913-0919'!C13</f>
        <v>Juarez</v>
      </c>
      <c r="D13" s="55" t="str">
        <f>'Agents'' Final Roster 0913-0919'!D13</f>
        <v>Carlos Luciano</v>
      </c>
      <c r="E13" s="55"/>
      <c r="F13" s="55"/>
      <c r="G13" s="55"/>
      <c r="H13" s="55"/>
      <c r="I13" s="55"/>
      <c r="J13" s="55"/>
      <c r="K13" s="55"/>
      <c r="L13" s="56"/>
      <c r="M13" s="56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 t="str">
        <f>'Agents'' Final Roster 0913-0919'!J13</f>
        <v>VIP</v>
      </c>
      <c r="AA13" s="53"/>
      <c r="AB13" s="53"/>
      <c r="AC13" s="53"/>
      <c r="AD13" s="53"/>
      <c r="AE13" s="53"/>
      <c r="AF13" s="53"/>
      <c r="AG13" s="53"/>
      <c r="AH13" s="53"/>
      <c r="AI13" s="53"/>
      <c r="AJ13" s="58"/>
      <c r="AK13" s="58"/>
      <c r="AL13" s="59"/>
      <c r="AM13" s="60"/>
      <c r="AN13" s="62"/>
      <c r="AO13" s="66"/>
      <c r="AP13" s="67"/>
    </row>
    <row r="14" customHeight="1" spans="1:42">
      <c r="A14" s="52" t="str">
        <f>'Agents'' Final Roster 0913-0919'!A14</f>
        <v>Campero Juarez Maria Guadalupe</v>
      </c>
      <c r="B14" s="53" t="str">
        <f>'Agents'' Final Roster 0913-0919'!B14</f>
        <v>Arias Juan José</v>
      </c>
      <c r="C14" s="53" t="str">
        <f>'Agents'' Final Roster 0913-0919'!C14</f>
        <v>Muratore</v>
      </c>
      <c r="D14" s="53" t="str">
        <f>'Agents'' Final Roster 0913-0919'!D14</f>
        <v>Daiana Gabriela</v>
      </c>
      <c r="E14" s="53"/>
      <c r="F14" s="53"/>
      <c r="G14" s="53"/>
      <c r="H14" s="53"/>
      <c r="I14" s="53"/>
      <c r="J14" s="53"/>
      <c r="K14" s="53"/>
      <c r="L14" s="56"/>
      <c r="M14" s="56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 t="str">
        <f>'Agents'' Final Roster 0913-0919'!J14</f>
        <v>CSV2</v>
      </c>
      <c r="AA14" s="53"/>
      <c r="AB14" s="53"/>
      <c r="AC14" s="53"/>
      <c r="AD14" s="53"/>
      <c r="AE14" s="53"/>
      <c r="AF14" s="53"/>
      <c r="AG14" s="53"/>
      <c r="AH14" s="53"/>
      <c r="AI14" s="53"/>
      <c r="AJ14" s="58"/>
      <c r="AK14" s="58"/>
      <c r="AL14" s="59"/>
      <c r="AM14" s="60"/>
      <c r="AN14" s="62"/>
      <c r="AO14" s="66"/>
      <c r="AP14" s="67"/>
    </row>
    <row r="15" customHeight="1" spans="1:42">
      <c r="A15" s="52" t="str">
        <f>'Agents'' Final Roster 0913-0919'!A15</f>
        <v>Campero Juarez Maria Guadalupe</v>
      </c>
      <c r="B15" s="53" t="str">
        <f>'Agents'' Final Roster 0913-0919'!B15</f>
        <v>Arias Juan José</v>
      </c>
      <c r="C15" s="53" t="str">
        <f>'Agents'' Final Roster 0913-0919'!C15</f>
        <v>Nunez</v>
      </c>
      <c r="D15" s="53" t="str">
        <f>'Agents'' Final Roster 0913-0919'!D15</f>
        <v>Marcelo Nahuel</v>
      </c>
      <c r="E15" s="53"/>
      <c r="F15" s="53"/>
      <c r="G15" s="53"/>
      <c r="H15" s="53"/>
      <c r="I15" s="53"/>
      <c r="J15" s="53"/>
      <c r="K15" s="53"/>
      <c r="L15" s="56"/>
      <c r="M15" s="56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 t="str">
        <f>'Agents'' Final Roster 0913-0919'!J15</f>
        <v>VIP</v>
      </c>
      <c r="AA15" s="53"/>
      <c r="AB15" s="53"/>
      <c r="AC15" s="53"/>
      <c r="AD15" s="53"/>
      <c r="AE15" s="53"/>
      <c r="AF15" s="53"/>
      <c r="AG15" s="53"/>
      <c r="AH15" s="53"/>
      <c r="AI15" s="53"/>
      <c r="AJ15" s="58"/>
      <c r="AK15" s="58"/>
      <c r="AL15" s="59"/>
      <c r="AM15" s="60"/>
      <c r="AN15" s="62"/>
      <c r="AO15" s="66"/>
      <c r="AP15" s="67"/>
    </row>
    <row r="16" customHeight="1" spans="1:42">
      <c r="A16" s="52" t="str">
        <f>'Agents'' Final Roster 0913-0919'!A16</f>
        <v>Campero Juarez Maria Guadalupe</v>
      </c>
      <c r="B16" s="53" t="str">
        <f>'Agents'' Final Roster 0913-0919'!B16</f>
        <v>Arias Juan José</v>
      </c>
      <c r="C16" s="53" t="str">
        <f>'Agents'' Final Roster 0913-0919'!C16</f>
        <v>Ortiz</v>
      </c>
      <c r="D16" s="53" t="str">
        <f>'Agents'' Final Roster 0913-0919'!D16</f>
        <v>Silvina Gabriela</v>
      </c>
      <c r="E16" s="53"/>
      <c r="F16" s="53"/>
      <c r="G16" s="53"/>
      <c r="H16" s="53"/>
      <c r="I16" s="53"/>
      <c r="J16" s="53"/>
      <c r="K16" s="53"/>
      <c r="L16" s="56"/>
      <c r="M16" s="56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 t="str">
        <f>'Agents'' Final Roster 0913-0919'!J16</f>
        <v>CSV3</v>
      </c>
      <c r="AA16" s="53"/>
      <c r="AB16" s="53"/>
      <c r="AC16" s="53"/>
      <c r="AD16" s="53"/>
      <c r="AE16" s="53"/>
      <c r="AF16" s="53"/>
      <c r="AG16" s="53"/>
      <c r="AH16" s="53"/>
      <c r="AI16" s="53"/>
      <c r="AJ16" s="58"/>
      <c r="AK16" s="58"/>
      <c r="AL16" s="59"/>
      <c r="AM16" s="60"/>
      <c r="AN16" s="62"/>
      <c r="AO16" s="66"/>
      <c r="AP16" s="67"/>
    </row>
    <row r="17" customHeight="1" spans="1:42">
      <c r="A17" s="52" t="str">
        <f>'Agents'' Final Roster 0913-0919'!A17</f>
        <v>Campero Juarez Maria Guadalupe</v>
      </c>
      <c r="B17" s="53" t="str">
        <f>'Agents'' Final Roster 0913-0919'!B17</f>
        <v>Arias Juan José</v>
      </c>
      <c r="C17" s="53" t="str">
        <f>'Agents'' Final Roster 0913-0919'!C17</f>
        <v>Pockorny</v>
      </c>
      <c r="D17" s="53" t="str">
        <f>'Agents'' Final Roster 0913-0919'!D17</f>
        <v>Tomás Agustín</v>
      </c>
      <c r="E17" s="53"/>
      <c r="F17" s="53"/>
      <c r="G17" s="53"/>
      <c r="H17" s="53"/>
      <c r="I17" s="53"/>
      <c r="J17" s="53"/>
      <c r="K17" s="53"/>
      <c r="L17" s="56"/>
      <c r="M17" s="56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 t="str">
        <f>'Agents'' Final Roster 0913-0919'!J17</f>
        <v>HD</v>
      </c>
      <c r="AA17" s="53"/>
      <c r="AB17" s="53"/>
      <c r="AC17" s="53"/>
      <c r="AD17" s="53"/>
      <c r="AE17" s="53"/>
      <c r="AF17" s="53"/>
      <c r="AG17" s="53"/>
      <c r="AH17" s="53"/>
      <c r="AI17" s="53"/>
      <c r="AJ17" s="58"/>
      <c r="AK17" s="58"/>
      <c r="AL17" s="59"/>
      <c r="AM17" s="60"/>
      <c r="AN17" s="62"/>
      <c r="AO17" s="66"/>
      <c r="AP17" s="67"/>
    </row>
    <row r="18" customHeight="1" spans="1:42">
      <c r="A18" s="52" t="str">
        <f>'Agents'' Final Roster 0913-0919'!A18</f>
        <v>Campero Juarez Maria Guadalupe</v>
      </c>
      <c r="B18" s="53" t="str">
        <f>'Agents'' Final Roster 0913-0919'!B18</f>
        <v>Podazza Villagra Daniel Matias</v>
      </c>
      <c r="C18" s="53" t="str">
        <f>'Agents'' Final Roster 0913-0919'!C18</f>
        <v>Quiroga</v>
      </c>
      <c r="D18" s="53" t="str">
        <f>'Agents'' Final Roster 0913-0919'!D18</f>
        <v> Marianella Stefania</v>
      </c>
      <c r="E18" s="53"/>
      <c r="F18" s="53"/>
      <c r="G18" s="53"/>
      <c r="H18" s="53"/>
      <c r="I18" s="53"/>
      <c r="J18" s="53"/>
      <c r="K18" s="53"/>
      <c r="L18" s="56"/>
      <c r="M18" s="56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 t="str">
        <f>'Agents'' Final Roster 0913-0919'!J18</f>
        <v>Servicios web</v>
      </c>
      <c r="AA18" s="53"/>
      <c r="AB18" s="53"/>
      <c r="AC18" s="53"/>
      <c r="AD18" s="53"/>
      <c r="AE18" s="53"/>
      <c r="AF18" s="53"/>
      <c r="AG18" s="53"/>
      <c r="AH18" s="53"/>
      <c r="AI18" s="53"/>
      <c r="AJ18" s="58"/>
      <c r="AK18" s="58"/>
      <c r="AL18" s="59"/>
      <c r="AM18" s="60"/>
      <c r="AN18" s="62"/>
      <c r="AO18" s="66"/>
      <c r="AP18" s="67"/>
    </row>
    <row r="19" customHeight="1" spans="1:42">
      <c r="A19" s="52" t="str">
        <f>'Agents'' Final Roster 0913-0919'!A19</f>
        <v>Campero Juarez Maria Guadalupe</v>
      </c>
      <c r="B19" s="53" t="str">
        <f>'Agents'' Final Roster 0913-0919'!B19</f>
        <v>Arias Juan José</v>
      </c>
      <c r="C19" s="53" t="str">
        <f>'Agents'' Final Roster 0913-0919'!C19</f>
        <v>Yapura</v>
      </c>
      <c r="D19" s="53" t="str">
        <f>'Agents'' Final Roster 0913-0919'!D19</f>
        <v>Cintia Elena del Valle</v>
      </c>
      <c r="E19" s="53"/>
      <c r="F19" s="53"/>
      <c r="G19" s="53"/>
      <c r="H19" s="53"/>
      <c r="I19" s="53"/>
      <c r="J19" s="53"/>
      <c r="K19" s="53"/>
      <c r="L19" s="56"/>
      <c r="M19" s="56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 t="str">
        <f>'Agents'' Final Roster 0913-0919'!J19</f>
        <v>VIP</v>
      </c>
      <c r="AA19" s="53"/>
      <c r="AB19" s="53"/>
      <c r="AC19" s="53"/>
      <c r="AD19" s="53"/>
      <c r="AE19" s="53"/>
      <c r="AF19" s="53"/>
      <c r="AG19" s="53"/>
      <c r="AH19" s="53"/>
      <c r="AI19" s="53"/>
      <c r="AJ19" s="58"/>
      <c r="AK19" s="58"/>
      <c r="AL19" s="59"/>
      <c r="AM19" s="60"/>
      <c r="AN19" s="62"/>
      <c r="AO19" s="66"/>
      <c r="AP19" s="67"/>
    </row>
    <row r="20" customHeight="1" spans="1:42">
      <c r="A20" s="52" t="str">
        <f>'Agents'' Final Roster 0913-0919'!A20</f>
        <v>Ortiz Jose María</v>
      </c>
      <c r="B20" s="53" t="str">
        <f>'Agents'' Final Roster 0913-0919'!B20</f>
        <v>Bachur Karim</v>
      </c>
      <c r="C20" s="53" t="str">
        <f>'Agents'' Final Roster 0913-0919'!C20</f>
        <v>Albornoz</v>
      </c>
      <c r="D20" s="53" t="str">
        <f>'Agents'' Final Roster 0913-0919'!D20</f>
        <v>Luciana de los Angeles</v>
      </c>
      <c r="E20" s="53"/>
      <c r="F20" s="53"/>
      <c r="G20" s="53"/>
      <c r="H20" s="53"/>
      <c r="I20" s="53"/>
      <c r="J20" s="53"/>
      <c r="K20" s="53"/>
      <c r="L20" s="56"/>
      <c r="M20" s="56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 t="str">
        <f>'Agents'' Final Roster 0913-0919'!J20</f>
        <v>TLMK</v>
      </c>
      <c r="AA20" s="53"/>
      <c r="AB20" s="53"/>
      <c r="AC20" s="53"/>
      <c r="AD20" s="53"/>
      <c r="AE20" s="53"/>
      <c r="AF20" s="53"/>
      <c r="AG20" s="53"/>
      <c r="AH20" s="53"/>
      <c r="AI20" s="53"/>
      <c r="AJ20" s="58"/>
      <c r="AK20" s="58"/>
      <c r="AL20" s="59"/>
      <c r="AM20" s="60"/>
      <c r="AN20" s="62"/>
      <c r="AO20" s="66"/>
      <c r="AP20" s="67"/>
    </row>
    <row r="21" customHeight="1" spans="1:42">
      <c r="A21" s="52" t="str">
        <f>'Agents'' Final Roster 0913-0919'!A21</f>
        <v>Ortiz Jose María</v>
      </c>
      <c r="B21" s="53" t="str">
        <f>'Agents'' Final Roster 0913-0919'!B21</f>
        <v>Bachur Karim</v>
      </c>
      <c r="C21" s="53" t="str">
        <f>'Agents'' Final Roster 0913-0919'!C21</f>
        <v>Avellaneda</v>
      </c>
      <c r="D21" s="53" t="str">
        <f>'Agents'' Final Roster 0913-0919'!D21</f>
        <v>Rocío Mariel</v>
      </c>
      <c r="E21" s="53"/>
      <c r="F21" s="53"/>
      <c r="G21" s="53"/>
      <c r="H21" s="53"/>
      <c r="I21" s="53"/>
      <c r="J21" s="53"/>
      <c r="K21" s="53"/>
      <c r="L21" s="56"/>
      <c r="M21" s="56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 t="str">
        <f>'Agents'' Final Roster 0913-0919'!J21</f>
        <v>TLMK</v>
      </c>
      <c r="AA21" s="53"/>
      <c r="AB21" s="53"/>
      <c r="AC21" s="53"/>
      <c r="AD21" s="53"/>
      <c r="AE21" s="53"/>
      <c r="AF21" s="53"/>
      <c r="AG21" s="53"/>
      <c r="AH21" s="53"/>
      <c r="AI21" s="53"/>
      <c r="AJ21" s="58"/>
      <c r="AK21" s="58"/>
      <c r="AL21" s="59"/>
      <c r="AM21" s="60"/>
      <c r="AN21" s="62"/>
      <c r="AO21" s="66"/>
      <c r="AP21" s="67"/>
    </row>
    <row r="22" customHeight="1" spans="1:42">
      <c r="A22" s="52" t="str">
        <f>'Agents'' Final Roster 0913-0919'!A22</f>
        <v>Ortiz Jose María</v>
      </c>
      <c r="B22" s="53" t="str">
        <f>'Agents'' Final Roster 0913-0919'!B22</f>
        <v>Bachur Karim</v>
      </c>
      <c r="C22" s="53" t="str">
        <f>'Agents'' Final Roster 0913-0919'!C22</f>
        <v>Baez Silberstein</v>
      </c>
      <c r="D22" s="53" t="str">
        <f>'Agents'' Final Roster 0913-0919'!D22</f>
        <v>Santiago</v>
      </c>
      <c r="E22" s="53"/>
      <c r="F22" s="53"/>
      <c r="G22" s="53"/>
      <c r="H22" s="53"/>
      <c r="I22" s="53"/>
      <c r="J22" s="53"/>
      <c r="K22" s="53"/>
      <c r="L22" s="56"/>
      <c r="M22" s="56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 t="str">
        <f>'Agents'' Final Roster 0913-0919'!J22</f>
        <v>TLMK</v>
      </c>
      <c r="AA22" s="53"/>
      <c r="AB22" s="53"/>
      <c r="AC22" s="53"/>
      <c r="AD22" s="53"/>
      <c r="AE22" s="53"/>
      <c r="AF22" s="53"/>
      <c r="AG22" s="53"/>
      <c r="AH22" s="53"/>
      <c r="AI22" s="53"/>
      <c r="AJ22" s="58"/>
      <c r="AK22" s="58"/>
      <c r="AL22" s="59"/>
      <c r="AM22" s="60"/>
      <c r="AN22" s="62"/>
      <c r="AO22" s="66"/>
      <c r="AP22" s="67"/>
    </row>
    <row r="23" customHeight="1" spans="1:42">
      <c r="A23" s="52" t="str">
        <f>'Agents'' Final Roster 0913-0919'!A23</f>
        <v>Ortiz Jose María</v>
      </c>
      <c r="B23" s="53" t="str">
        <f>'Agents'' Final Roster 0913-0919'!B23</f>
        <v>Bachur Karim</v>
      </c>
      <c r="C23" s="53" t="str">
        <f>'Agents'' Final Roster 0913-0919'!C23</f>
        <v>Contreras</v>
      </c>
      <c r="D23" s="53" t="str">
        <f>'Agents'' Final Roster 0913-0919'!D23</f>
        <v>Fernando Gonzalo</v>
      </c>
      <c r="E23" s="53"/>
      <c r="F23" s="53"/>
      <c r="G23" s="53"/>
      <c r="H23" s="53"/>
      <c r="I23" s="53"/>
      <c r="J23" s="53"/>
      <c r="K23" s="53"/>
      <c r="L23" s="56"/>
      <c r="M23" s="56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 t="str">
        <f>'Agents'' Final Roster 0913-0919'!J23</f>
        <v>TLMK</v>
      </c>
      <c r="AA23" s="53"/>
      <c r="AB23" s="53"/>
      <c r="AC23" s="53"/>
      <c r="AD23" s="53"/>
      <c r="AE23" s="53"/>
      <c r="AF23" s="53"/>
      <c r="AG23" s="53"/>
      <c r="AH23" s="53"/>
      <c r="AI23" s="53"/>
      <c r="AJ23" s="58"/>
      <c r="AK23" s="58"/>
      <c r="AL23" s="59"/>
      <c r="AM23" s="60"/>
      <c r="AN23" s="62"/>
      <c r="AO23" s="66"/>
      <c r="AP23" s="67"/>
    </row>
    <row r="24" customHeight="1" spans="1:42">
      <c r="A24" s="52" t="str">
        <f>'Agents'' Final Roster 0913-0919'!A24</f>
        <v>Ortiz Jose María</v>
      </c>
      <c r="B24" s="53" t="str">
        <f>'Agents'' Final Roster 0913-0919'!B24</f>
        <v>Bachur Karim</v>
      </c>
      <c r="C24" s="53" t="str">
        <f>'Agents'' Final Roster 0913-0919'!C24</f>
        <v>Coria</v>
      </c>
      <c r="D24" s="53" t="str">
        <f>'Agents'' Final Roster 0913-0919'!D24</f>
        <v>Ana</v>
      </c>
      <c r="E24" s="53"/>
      <c r="F24" s="53"/>
      <c r="G24" s="53"/>
      <c r="H24" s="53"/>
      <c r="I24" s="53"/>
      <c r="J24" s="53"/>
      <c r="K24" s="53"/>
      <c r="L24" s="56"/>
      <c r="M24" s="56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 t="str">
        <f>'Agents'' Final Roster 0913-0919'!J24</f>
        <v>Servicios web</v>
      </c>
      <c r="AA24" s="53"/>
      <c r="AB24" s="53"/>
      <c r="AC24" s="53"/>
      <c r="AD24" s="53"/>
      <c r="AE24" s="53"/>
      <c r="AF24" s="53"/>
      <c r="AG24" s="53"/>
      <c r="AH24" s="53"/>
      <c r="AI24" s="53"/>
      <c r="AJ24" s="58"/>
      <c r="AK24" s="58"/>
      <c r="AL24" s="59"/>
      <c r="AM24" s="60"/>
      <c r="AN24" s="62"/>
      <c r="AO24" s="66"/>
      <c r="AP24" s="67"/>
    </row>
    <row r="25" customHeight="1" spans="1:42">
      <c r="A25" s="52" t="str">
        <f>'Agents'' Final Roster 0913-0919'!A25</f>
        <v>Ortiz Jose María</v>
      </c>
      <c r="B25" s="53" t="str">
        <f>'Agents'' Final Roster 0913-0919'!B25</f>
        <v>Bachur Karim</v>
      </c>
      <c r="C25" s="53" t="str">
        <f>'Agents'' Final Roster 0913-0919'!C25</f>
        <v>Dilascio</v>
      </c>
      <c r="D25" s="53" t="str">
        <f>'Agents'' Final Roster 0913-0919'!D25</f>
        <v>Miguel Angel</v>
      </c>
      <c r="E25" s="53"/>
      <c r="F25" s="53"/>
      <c r="G25" s="53"/>
      <c r="H25" s="53"/>
      <c r="I25" s="53"/>
      <c r="J25" s="53"/>
      <c r="K25" s="53"/>
      <c r="L25" s="56"/>
      <c r="M25" s="56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 t="str">
        <f>'Agents'' Final Roster 0913-0919'!J25</f>
        <v>Servicios web</v>
      </c>
      <c r="AA25" s="53"/>
      <c r="AB25" s="53"/>
      <c r="AC25" s="53"/>
      <c r="AD25" s="53"/>
      <c r="AE25" s="53"/>
      <c r="AF25" s="53"/>
      <c r="AG25" s="53"/>
      <c r="AH25" s="53"/>
      <c r="AI25" s="53"/>
      <c r="AJ25" s="58"/>
      <c r="AK25" s="58"/>
      <c r="AL25" s="59"/>
      <c r="AM25" s="60"/>
      <c r="AN25" s="62"/>
      <c r="AO25" s="66"/>
      <c r="AP25" s="67"/>
    </row>
    <row r="26" customHeight="1" spans="1:42">
      <c r="A26" s="52" t="str">
        <f>'Agents'' Final Roster 0913-0919'!A26</f>
        <v>Ortiz Jose María</v>
      </c>
      <c r="B26" s="53" t="str">
        <f>'Agents'' Final Roster 0913-0919'!B26</f>
        <v>Bachur Karim</v>
      </c>
      <c r="C26" s="53" t="str">
        <f>'Agents'' Final Roster 0913-0919'!C26</f>
        <v>Mercado</v>
      </c>
      <c r="D26" s="53" t="str">
        <f>'Agents'' Final Roster 0913-0919'!D26</f>
        <v>Mikaela Sabrina</v>
      </c>
      <c r="E26" s="53"/>
      <c r="F26" s="53"/>
      <c r="G26" s="53"/>
      <c r="H26" s="53"/>
      <c r="I26" s="53"/>
      <c r="J26" s="53"/>
      <c r="K26" s="53"/>
      <c r="L26" s="56"/>
      <c r="M26" s="56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 t="str">
        <f>'Agents'' Final Roster 0913-0919'!J26</f>
        <v>Servicios web</v>
      </c>
      <c r="AA26" s="53"/>
      <c r="AB26" s="53"/>
      <c r="AC26" s="53"/>
      <c r="AD26" s="53"/>
      <c r="AE26" s="53"/>
      <c r="AF26" s="53"/>
      <c r="AG26" s="53"/>
      <c r="AH26" s="53"/>
      <c r="AI26" s="53"/>
      <c r="AJ26" s="58"/>
      <c r="AK26" s="58"/>
      <c r="AL26" s="59"/>
      <c r="AM26" s="60"/>
      <c r="AN26" s="62"/>
      <c r="AO26" s="66"/>
      <c r="AP26" s="67"/>
    </row>
    <row r="27" customHeight="1" spans="1:42">
      <c r="A27" s="54" t="str">
        <f>'Agents'' Final Roster 0913-0919'!A27</f>
        <v>Ortiz Jose María</v>
      </c>
      <c r="B27" s="55" t="str">
        <f>'Agents'' Final Roster 0913-0919'!B27</f>
        <v>Bachur Karim</v>
      </c>
      <c r="C27" s="55" t="str">
        <f>'Agents'' Final Roster 0913-0919'!C27</f>
        <v>Montaldo</v>
      </c>
      <c r="D27" s="55" t="str">
        <f>'Agents'' Final Roster 0913-0919'!D27</f>
        <v>Sol Agustina</v>
      </c>
      <c r="E27" s="55"/>
      <c r="F27" s="55"/>
      <c r="G27" s="55"/>
      <c r="H27" s="55"/>
      <c r="I27" s="55"/>
      <c r="J27" s="55"/>
      <c r="K27" s="55"/>
      <c r="L27" s="56"/>
      <c r="M27" s="56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 t="str">
        <f>'Agents'' Final Roster 0913-0919'!J27</f>
        <v>Servicios web</v>
      </c>
      <c r="AA27" s="53"/>
      <c r="AB27" s="53"/>
      <c r="AC27" s="53"/>
      <c r="AD27" s="53"/>
      <c r="AE27" s="53"/>
      <c r="AF27" s="53"/>
      <c r="AG27" s="53"/>
      <c r="AH27" s="53"/>
      <c r="AI27" s="53"/>
      <c r="AJ27" s="58"/>
      <c r="AK27" s="58"/>
      <c r="AL27" s="59"/>
      <c r="AM27" s="60"/>
      <c r="AN27" s="62"/>
      <c r="AO27" s="66"/>
      <c r="AP27" s="67"/>
    </row>
    <row r="28" s="50" customFormat="1" customHeight="1" spans="1:42">
      <c r="A28" s="52" t="str">
        <f>'Agents'' Final Roster 0913-0919'!A28</f>
        <v>Ortiz Jose María</v>
      </c>
      <c r="B28" s="53" t="str">
        <f>'Agents'' Final Roster 0913-0919'!B28</f>
        <v>Bachur Karim</v>
      </c>
      <c r="C28" s="53" t="str">
        <f>'Agents'' Final Roster 0913-0919'!C28</f>
        <v>Navarro</v>
      </c>
      <c r="D28" s="53" t="str">
        <f>'Agents'' Final Roster 0913-0919'!D28</f>
        <v>Luciana Antonella</v>
      </c>
      <c r="E28" s="53"/>
      <c r="F28" s="53"/>
      <c r="G28" s="53"/>
      <c r="H28" s="53"/>
      <c r="I28" s="53"/>
      <c r="J28" s="53"/>
      <c r="K28" s="53"/>
      <c r="L28" s="56"/>
      <c r="M28" s="56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 t="str">
        <f>'Agents'' Final Roster 0913-0919'!J28</f>
        <v>Servicios web</v>
      </c>
      <c r="AA28" s="53"/>
      <c r="AB28" s="53"/>
      <c r="AC28" s="53"/>
      <c r="AD28" s="53"/>
      <c r="AE28" s="53"/>
      <c r="AF28" s="53"/>
      <c r="AG28" s="53"/>
      <c r="AH28" s="53"/>
      <c r="AI28" s="53"/>
      <c r="AJ28" s="58"/>
      <c r="AK28" s="58"/>
      <c r="AL28" s="59"/>
      <c r="AM28" s="60"/>
      <c r="AN28" s="62"/>
      <c r="AO28" s="66"/>
      <c r="AP28" s="67"/>
    </row>
    <row r="29" s="50" customFormat="1" customHeight="1" spans="1:42">
      <c r="A29" s="52" t="str">
        <f>'Agents'' Final Roster 0913-0919'!A29</f>
        <v>Ortiz Jose María</v>
      </c>
      <c r="B29" s="53" t="str">
        <f>'Agents'' Final Roster 0913-0919'!B29</f>
        <v>Bachur Karim</v>
      </c>
      <c r="C29" s="53" t="str">
        <f>'Agents'' Final Roster 0913-0919'!C29</f>
        <v>Pascual</v>
      </c>
      <c r="D29" s="53" t="str">
        <f>'Agents'' Final Roster 0913-0919'!D29</f>
        <v>Silvio Daniel</v>
      </c>
      <c r="E29" s="53"/>
      <c r="F29" s="53"/>
      <c r="G29" s="53"/>
      <c r="H29" s="53"/>
      <c r="I29" s="53"/>
      <c r="J29" s="53"/>
      <c r="K29" s="53"/>
      <c r="L29" s="56"/>
      <c r="M29" s="56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 t="str">
        <f>'Agents'' Final Roster 0913-0919'!J29</f>
        <v>Servicios web</v>
      </c>
      <c r="AA29" s="53"/>
      <c r="AB29" s="53"/>
      <c r="AC29" s="53"/>
      <c r="AD29" s="53"/>
      <c r="AE29" s="53"/>
      <c r="AF29" s="53"/>
      <c r="AG29" s="53"/>
      <c r="AH29" s="53"/>
      <c r="AI29" s="53"/>
      <c r="AJ29" s="58"/>
      <c r="AK29" s="58"/>
      <c r="AL29" s="59"/>
      <c r="AM29" s="60"/>
      <c r="AN29" s="62"/>
      <c r="AO29" s="66"/>
      <c r="AP29" s="67"/>
    </row>
    <row r="30" s="50" customFormat="1" customHeight="1" spans="1:42">
      <c r="A30" s="52" t="str">
        <f>'Agents'' Final Roster 0913-0919'!A30</f>
        <v>Ortiz Jose María</v>
      </c>
      <c r="B30" s="53" t="str">
        <f>'Agents'' Final Roster 0913-0919'!B30</f>
        <v>Bachur Karim</v>
      </c>
      <c r="C30" s="53" t="str">
        <f>'Agents'' Final Roster 0913-0919'!C30</f>
        <v>Rodríguez</v>
      </c>
      <c r="D30" s="53" t="str">
        <f>'Agents'' Final Roster 0913-0919'!D30</f>
        <v>Brenda Agostina</v>
      </c>
      <c r="E30" s="53"/>
      <c r="F30" s="53"/>
      <c r="G30" s="53"/>
      <c r="H30" s="53"/>
      <c r="I30" s="53"/>
      <c r="J30" s="53"/>
      <c r="K30" s="53"/>
      <c r="L30" s="56"/>
      <c r="M30" s="56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 t="str">
        <f>'Agents'' Final Roster 0913-0919'!J30</f>
        <v>DVH</v>
      </c>
      <c r="AA30" s="53"/>
      <c r="AB30" s="53"/>
      <c r="AC30" s="53"/>
      <c r="AD30" s="53"/>
      <c r="AE30" s="53"/>
      <c r="AF30" s="53"/>
      <c r="AG30" s="53"/>
      <c r="AH30" s="53"/>
      <c r="AI30" s="53"/>
      <c r="AJ30" s="58"/>
      <c r="AK30" s="58"/>
      <c r="AL30" s="59"/>
      <c r="AM30" s="60"/>
      <c r="AN30" s="62"/>
      <c r="AO30" s="66"/>
      <c r="AP30" s="67"/>
    </row>
    <row r="31" s="50" customFormat="1" customHeight="1" spans="1:42">
      <c r="A31" s="52" t="str">
        <f>'Agents'' Final Roster 0913-0919'!A31</f>
        <v>Ortiz Jose María</v>
      </c>
      <c r="B31" s="53" t="str">
        <f>'Agents'' Final Roster 0913-0919'!B31</f>
        <v>Bachur Karim</v>
      </c>
      <c r="C31" s="53" t="str">
        <f>'Agents'' Final Roster 0913-0919'!C31</f>
        <v>Terriaca Lemme</v>
      </c>
      <c r="D31" s="53" t="str">
        <f>'Agents'' Final Roster 0913-0919'!D31</f>
        <v>Flavia Solaina</v>
      </c>
      <c r="E31" s="53"/>
      <c r="F31" s="53"/>
      <c r="G31" s="53"/>
      <c r="H31" s="53"/>
      <c r="I31" s="53"/>
      <c r="J31" s="53"/>
      <c r="K31" s="53"/>
      <c r="L31" s="56"/>
      <c r="M31" s="56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 t="str">
        <f>'Agents'' Final Roster 0913-0919'!J31</f>
        <v>DVH</v>
      </c>
      <c r="AA31" s="53"/>
      <c r="AB31" s="53"/>
      <c r="AC31" s="53"/>
      <c r="AD31" s="53"/>
      <c r="AE31" s="53"/>
      <c r="AF31" s="53"/>
      <c r="AG31" s="53"/>
      <c r="AH31" s="53"/>
      <c r="AI31" s="53"/>
      <c r="AJ31" s="58"/>
      <c r="AK31" s="58"/>
      <c r="AL31" s="59"/>
      <c r="AM31" s="60"/>
      <c r="AN31" s="62"/>
      <c r="AO31" s="66"/>
      <c r="AP31" s="67"/>
    </row>
    <row r="32" s="50" customFormat="1" customHeight="1" spans="1:42">
      <c r="A32" s="54" t="str">
        <f>'Agents'' Final Roster 0913-0919'!A32</f>
        <v>Ortiz Jose María</v>
      </c>
      <c r="B32" s="55" t="str">
        <f>'Agents'' Final Roster 0913-0919'!B32</f>
        <v>Bachur Karim</v>
      </c>
      <c r="C32" s="55" t="str">
        <f>'Agents'' Final Roster 0913-0919'!C32</f>
        <v>Ucciardello</v>
      </c>
      <c r="D32" s="55" t="str">
        <f>'Agents'' Final Roster 0913-0919'!D32</f>
        <v>Luciana Daniza</v>
      </c>
      <c r="E32" s="55"/>
      <c r="F32" s="55"/>
      <c r="G32" s="55"/>
      <c r="H32" s="55"/>
      <c r="I32" s="55"/>
      <c r="J32" s="55"/>
      <c r="K32" s="55"/>
      <c r="L32" s="56"/>
      <c r="M32" s="56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 t="str">
        <f>'Agents'' Final Roster 0913-0919'!J32</f>
        <v>DVH</v>
      </c>
      <c r="AA32" s="53"/>
      <c r="AB32" s="53"/>
      <c r="AC32" s="53"/>
      <c r="AD32" s="53"/>
      <c r="AE32" s="53"/>
      <c r="AF32" s="53"/>
      <c r="AG32" s="53"/>
      <c r="AH32" s="53"/>
      <c r="AI32" s="53"/>
      <c r="AJ32" s="58"/>
      <c r="AK32" s="58"/>
      <c r="AL32" s="59"/>
      <c r="AM32" s="60"/>
      <c r="AN32" s="62"/>
      <c r="AO32" s="66"/>
      <c r="AP32" s="67"/>
    </row>
    <row r="33" s="50" customFormat="1" customHeight="1" spans="1:42">
      <c r="A33" s="52" t="str">
        <f>'Agents'' Final Roster 0913-0919'!A33</f>
        <v>Ortiz Jose María</v>
      </c>
      <c r="B33" s="53" t="str">
        <f>'Agents'' Final Roster 0913-0919'!B33</f>
        <v>Bachur Karim</v>
      </c>
      <c r="C33" s="53" t="str">
        <f>'Agents'' Final Roster 0913-0919'!C33</f>
        <v>Yanelli</v>
      </c>
      <c r="D33" s="53" t="str">
        <f>'Agents'' Final Roster 0913-0919'!D33</f>
        <v>Aníbal Hector Francisco</v>
      </c>
      <c r="E33" s="53"/>
      <c r="F33" s="53"/>
      <c r="G33" s="53"/>
      <c r="H33" s="53"/>
      <c r="I33" s="53"/>
      <c r="J33" s="53"/>
      <c r="K33" s="53"/>
      <c r="L33" s="56"/>
      <c r="M33" s="56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 t="str">
        <f>'Agents'' Final Roster 0913-0919'!J33</f>
        <v>DVH</v>
      </c>
      <c r="AA33" s="53"/>
      <c r="AB33" s="53"/>
      <c r="AC33" s="53"/>
      <c r="AD33" s="53"/>
      <c r="AE33" s="53"/>
      <c r="AF33" s="53"/>
      <c r="AG33" s="53"/>
      <c r="AH33" s="53"/>
      <c r="AI33" s="53"/>
      <c r="AJ33" s="58"/>
      <c r="AK33" s="58"/>
      <c r="AL33" s="59"/>
      <c r="AM33" s="60"/>
      <c r="AN33" s="62"/>
      <c r="AO33" s="66"/>
      <c r="AP33" s="67"/>
    </row>
    <row r="34" s="50" customFormat="1" customHeight="1" spans="1:42">
      <c r="A34" s="52" t="str">
        <f>'Agents'' Final Roster 0913-0919'!A34</f>
        <v>Campero Juarez Maria Guadalupe</v>
      </c>
      <c r="B34" s="53" t="str">
        <f>'Agents'' Final Roster 0913-0919'!B34</f>
        <v>Corbera Susana Sofía</v>
      </c>
      <c r="C34" s="53" t="str">
        <f>'Agents'' Final Roster 0913-0919'!C34</f>
        <v>Alonso</v>
      </c>
      <c r="D34" s="53" t="str">
        <f>'Agents'' Final Roster 0913-0919'!D34</f>
        <v>Facundo ismael</v>
      </c>
      <c r="E34" s="53"/>
      <c r="F34" s="53"/>
      <c r="G34" s="53"/>
      <c r="H34" s="53"/>
      <c r="I34" s="53"/>
      <c r="J34" s="53"/>
      <c r="K34" s="53"/>
      <c r="L34" s="56"/>
      <c r="M34" s="56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 t="str">
        <f>'Agents'' Final Roster 0913-0919'!J34</f>
        <v>CSV2</v>
      </c>
      <c r="AA34" s="53"/>
      <c r="AB34" s="53"/>
      <c r="AC34" s="53"/>
      <c r="AD34" s="53"/>
      <c r="AE34" s="53"/>
      <c r="AF34" s="53"/>
      <c r="AG34" s="53"/>
      <c r="AH34" s="53"/>
      <c r="AI34" s="53"/>
      <c r="AJ34" s="58"/>
      <c r="AK34" s="58"/>
      <c r="AL34" s="59"/>
      <c r="AM34" s="60"/>
      <c r="AN34" s="62"/>
      <c r="AO34" s="66"/>
      <c r="AP34" s="67"/>
    </row>
    <row r="35" s="50" customFormat="1" customHeight="1" spans="1:42">
      <c r="A35" s="52" t="str">
        <f>'Agents'' Final Roster 0913-0919'!A35</f>
        <v>Campero Juarez Maria Guadalupe</v>
      </c>
      <c r="B35" s="53" t="str">
        <f>'Agents'' Final Roster 0913-0919'!B35</f>
        <v>Corbera Susana Sofía</v>
      </c>
      <c r="C35" s="53" t="str">
        <f>'Agents'' Final Roster 0913-0919'!C35</f>
        <v>Alvarez Maziad</v>
      </c>
      <c r="D35" s="53" t="str">
        <f>'Agents'' Final Roster 0913-0919'!D35</f>
        <v>Monica Carolina</v>
      </c>
      <c r="E35" s="53"/>
      <c r="F35" s="53"/>
      <c r="G35" s="53"/>
      <c r="H35" s="53"/>
      <c r="I35" s="53"/>
      <c r="J35" s="53"/>
      <c r="K35" s="53"/>
      <c r="L35" s="56"/>
      <c r="M35" s="56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 t="str">
        <f>'Agents'' Final Roster 0913-0919'!J35</f>
        <v>CSV2</v>
      </c>
      <c r="AA35" s="53"/>
      <c r="AB35" s="53"/>
      <c r="AC35" s="53"/>
      <c r="AD35" s="53"/>
      <c r="AE35" s="53"/>
      <c r="AF35" s="53"/>
      <c r="AG35" s="53"/>
      <c r="AH35" s="53"/>
      <c r="AI35" s="53"/>
      <c r="AJ35" s="58"/>
      <c r="AK35" s="58"/>
      <c r="AL35" s="59"/>
      <c r="AM35" s="60"/>
      <c r="AN35" s="62"/>
      <c r="AO35" s="66"/>
      <c r="AP35" s="67"/>
    </row>
    <row r="36" s="50" customFormat="1" customHeight="1" spans="1:42">
      <c r="A36" s="52" t="str">
        <f>'Agents'' Final Roster 0913-0919'!A36</f>
        <v>Campero Juarez Maria Guadalupe</v>
      </c>
      <c r="B36" s="53" t="str">
        <f>'Agents'' Final Roster 0913-0919'!B36</f>
        <v>Corbera Susana Sofía</v>
      </c>
      <c r="C36" s="53" t="str">
        <f>'Agents'' Final Roster 0913-0919'!C36</f>
        <v>Azubel</v>
      </c>
      <c r="D36" s="53" t="str">
        <f>'Agents'' Final Roster 0913-0919'!D36</f>
        <v>Solange </v>
      </c>
      <c r="E36" s="53"/>
      <c r="F36" s="53"/>
      <c r="G36" s="53"/>
      <c r="H36" s="53"/>
      <c r="I36" s="53"/>
      <c r="J36" s="53"/>
      <c r="K36" s="53"/>
      <c r="L36" s="56"/>
      <c r="M36" s="56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 t="str">
        <f>'Agents'' Final Roster 0913-0919'!J36</f>
        <v>CSV3</v>
      </c>
      <c r="AA36" s="53"/>
      <c r="AB36" s="53"/>
      <c r="AC36" s="53"/>
      <c r="AD36" s="53"/>
      <c r="AE36" s="53"/>
      <c r="AF36" s="53"/>
      <c r="AG36" s="53"/>
      <c r="AH36" s="53"/>
      <c r="AI36" s="53"/>
      <c r="AJ36" s="58"/>
      <c r="AK36" s="58"/>
      <c r="AL36" s="59"/>
      <c r="AM36" s="60"/>
      <c r="AN36" s="62"/>
      <c r="AO36" s="66"/>
      <c r="AP36" s="67"/>
    </row>
    <row r="37" s="50" customFormat="1" customHeight="1" spans="1:42">
      <c r="A37" s="52" t="str">
        <f>'Agents'' Final Roster 0913-0919'!A37</f>
        <v>Campero Juarez Maria Guadalupe</v>
      </c>
      <c r="B37" s="53" t="str">
        <f>'Agents'' Final Roster 0913-0919'!B37</f>
        <v>Corbera Susana Sofía</v>
      </c>
      <c r="C37" s="53" t="str">
        <f>'Agents'' Final Roster 0913-0919'!C37</f>
        <v>Cantos</v>
      </c>
      <c r="D37" s="53" t="str">
        <f>'Agents'' Final Roster 0913-0919'!D37</f>
        <v>Horacio Nicolas </v>
      </c>
      <c r="E37" s="53"/>
      <c r="F37" s="53"/>
      <c r="G37" s="53"/>
      <c r="H37" s="53"/>
      <c r="I37" s="53"/>
      <c r="J37" s="53"/>
      <c r="K37" s="53"/>
      <c r="L37" s="56"/>
      <c r="M37" s="56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 t="str">
        <f>'Agents'' Final Roster 0913-0919'!J37</f>
        <v>CSV3</v>
      </c>
      <c r="AA37" s="53"/>
      <c r="AB37" s="53"/>
      <c r="AC37" s="53"/>
      <c r="AD37" s="53"/>
      <c r="AE37" s="53"/>
      <c r="AF37" s="53"/>
      <c r="AG37" s="53"/>
      <c r="AH37" s="53"/>
      <c r="AI37" s="53"/>
      <c r="AJ37" s="58"/>
      <c r="AK37" s="58"/>
      <c r="AL37" s="59"/>
      <c r="AM37" s="60"/>
      <c r="AN37" s="62"/>
      <c r="AO37" s="66"/>
      <c r="AP37" s="67"/>
    </row>
    <row r="38" s="50" customFormat="1" customHeight="1" spans="1:42">
      <c r="A38" s="52" t="str">
        <f>'Agents'' Final Roster 0913-0919'!A38</f>
        <v>Campero Juarez Maria Guadalupe</v>
      </c>
      <c r="B38" s="53" t="str">
        <f>'Agents'' Final Roster 0913-0919'!B38</f>
        <v>Corbera Susana Sofía</v>
      </c>
      <c r="C38" s="53" t="str">
        <f>'Agents'' Final Roster 0913-0919'!C38</f>
        <v>Castillo</v>
      </c>
      <c r="D38" s="53" t="str">
        <f>'Agents'' Final Roster 0913-0919'!D38</f>
        <v>Angel Alberto </v>
      </c>
      <c r="E38" s="53"/>
      <c r="F38" s="53"/>
      <c r="G38" s="53"/>
      <c r="H38" s="53"/>
      <c r="I38" s="53"/>
      <c r="J38" s="53"/>
      <c r="K38" s="53"/>
      <c r="L38" s="56"/>
      <c r="M38" s="56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 t="str">
        <f>'Agents'' Final Roster 0913-0919'!J38</f>
        <v>CSV3</v>
      </c>
      <c r="AA38" s="53"/>
      <c r="AB38" s="53"/>
      <c r="AC38" s="53"/>
      <c r="AD38" s="53"/>
      <c r="AE38" s="53"/>
      <c r="AF38" s="53"/>
      <c r="AG38" s="53"/>
      <c r="AH38" s="53"/>
      <c r="AI38" s="53"/>
      <c r="AJ38" s="58"/>
      <c r="AK38" s="58"/>
      <c r="AL38" s="59"/>
      <c r="AM38" s="60"/>
      <c r="AN38" s="62"/>
      <c r="AO38" s="66"/>
      <c r="AP38" s="67"/>
    </row>
    <row r="39" s="50" customFormat="1" customHeight="1" spans="1:42">
      <c r="A39" s="52" t="str">
        <f>'Agents'' Final Roster 0913-0919'!A39</f>
        <v>Campero Juarez Maria Guadalupe</v>
      </c>
      <c r="B39" s="53" t="str">
        <f>'Agents'' Final Roster 0913-0919'!B39</f>
        <v>Corbera Susana Sofía</v>
      </c>
      <c r="C39" s="53" t="str">
        <f>'Agents'' Final Roster 0913-0919'!C39</f>
        <v>Chavarria Bevacqua</v>
      </c>
      <c r="D39" s="53" t="str">
        <f>'Agents'' Final Roster 0913-0919'!D39</f>
        <v>Silvana Carolina</v>
      </c>
      <c r="E39" s="53"/>
      <c r="F39" s="53"/>
      <c r="G39" s="53"/>
      <c r="H39" s="53"/>
      <c r="I39" s="53"/>
      <c r="J39" s="53"/>
      <c r="K39" s="53"/>
      <c r="L39" s="56"/>
      <c r="M39" s="56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 t="str">
        <f>'Agents'' Final Roster 0913-0919'!J39</f>
        <v>CSV2</v>
      </c>
      <c r="AA39" s="53"/>
      <c r="AB39" s="53"/>
      <c r="AC39" s="53"/>
      <c r="AD39" s="53"/>
      <c r="AE39" s="53"/>
      <c r="AF39" s="53"/>
      <c r="AG39" s="53"/>
      <c r="AH39" s="53"/>
      <c r="AI39" s="53"/>
      <c r="AJ39" s="58"/>
      <c r="AK39" s="58"/>
      <c r="AL39" s="59"/>
      <c r="AM39" s="60"/>
      <c r="AN39" s="62"/>
      <c r="AO39" s="66"/>
      <c r="AP39" s="67"/>
    </row>
    <row r="40" s="50" customFormat="1" customHeight="1" spans="1:42">
      <c r="A40" s="52" t="str">
        <f>'Agents'' Final Roster 0913-0919'!A40</f>
        <v>Campero Juarez Maria Guadalupe</v>
      </c>
      <c r="B40" s="53" t="str">
        <f>'Agents'' Final Roster 0913-0919'!B40</f>
        <v>Corbera Susana Sofía</v>
      </c>
      <c r="C40" s="53" t="str">
        <f>'Agents'' Final Roster 0913-0919'!C40</f>
        <v>Del Pino</v>
      </c>
      <c r="D40" s="53" t="str">
        <f>'Agents'' Final Roster 0913-0919'!D40</f>
        <v>Agustin Alejandro</v>
      </c>
      <c r="E40" s="53"/>
      <c r="F40" s="53"/>
      <c r="G40" s="53"/>
      <c r="H40" s="53"/>
      <c r="I40" s="53"/>
      <c r="J40" s="53"/>
      <c r="K40" s="53"/>
      <c r="L40" s="56"/>
      <c r="M40" s="56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 t="str">
        <f>'Agents'' Final Roster 0913-0919'!J40</f>
        <v>DVH</v>
      </c>
      <c r="AA40" s="53"/>
      <c r="AB40" s="53"/>
      <c r="AC40" s="53"/>
      <c r="AD40" s="53"/>
      <c r="AE40" s="53"/>
      <c r="AF40" s="53"/>
      <c r="AG40" s="53"/>
      <c r="AH40" s="53"/>
      <c r="AI40" s="53"/>
      <c r="AJ40" s="58"/>
      <c r="AK40" s="58"/>
      <c r="AL40" s="59"/>
      <c r="AM40" s="60"/>
      <c r="AN40" s="62"/>
      <c r="AO40" s="66"/>
      <c r="AP40" s="67"/>
    </row>
    <row r="41" s="50" customFormat="1" customHeight="1" spans="1:42">
      <c r="A41" s="52" t="str">
        <f>'Agents'' Final Roster 0913-0919'!A41</f>
        <v>Campero Juarez Maria Guadalupe</v>
      </c>
      <c r="B41" s="53" t="str">
        <f>'Agents'' Final Roster 0913-0919'!B41</f>
        <v>Corbera Susana Sofía</v>
      </c>
      <c r="C41" s="53" t="str">
        <f>'Agents'' Final Roster 0913-0919'!C41</f>
        <v>Elias</v>
      </c>
      <c r="D41" s="53" t="str">
        <f>'Agents'' Final Roster 0913-0919'!D41</f>
        <v>Mario Jorge</v>
      </c>
      <c r="E41" s="53"/>
      <c r="F41" s="53"/>
      <c r="G41" s="53"/>
      <c r="H41" s="53"/>
      <c r="I41" s="53"/>
      <c r="J41" s="53"/>
      <c r="K41" s="53"/>
      <c r="L41" s="56"/>
      <c r="M41" s="56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 t="str">
        <f>'Agents'' Final Roster 0913-0919'!J41</f>
        <v>CSV2</v>
      </c>
      <c r="AA41" s="53"/>
      <c r="AB41" s="53"/>
      <c r="AC41" s="53"/>
      <c r="AD41" s="53"/>
      <c r="AE41" s="53"/>
      <c r="AF41" s="53"/>
      <c r="AG41" s="53"/>
      <c r="AH41" s="53"/>
      <c r="AI41" s="53"/>
      <c r="AJ41" s="58"/>
      <c r="AK41" s="58"/>
      <c r="AL41" s="59"/>
      <c r="AM41" s="60"/>
      <c r="AN41" s="62"/>
      <c r="AO41" s="66"/>
      <c r="AP41" s="67"/>
    </row>
    <row r="42" s="50" customFormat="1" customHeight="1" spans="1:42">
      <c r="A42" s="52" t="str">
        <f>'Agents'' Final Roster 0913-0919'!A42</f>
        <v>Campero Juarez Maria Guadalupe</v>
      </c>
      <c r="B42" s="53" t="str">
        <f>'Agents'' Final Roster 0913-0919'!B42</f>
        <v>Corbera Susana Sofía</v>
      </c>
      <c r="C42" s="53" t="str">
        <f>'Agents'' Final Roster 0913-0919'!C42</f>
        <v>Garcia </v>
      </c>
      <c r="D42" s="53" t="str">
        <f>'Agents'' Final Roster 0913-0919'!D42</f>
        <v>Guillermo Eduardo</v>
      </c>
      <c r="E42" s="53"/>
      <c r="F42" s="53"/>
      <c r="G42" s="53"/>
      <c r="H42" s="53"/>
      <c r="I42" s="53"/>
      <c r="J42" s="53"/>
      <c r="K42" s="53"/>
      <c r="L42" s="56"/>
      <c r="M42" s="56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 t="str">
        <f>'Agents'' Final Roster 0913-0919'!J42</f>
        <v>CSV3</v>
      </c>
      <c r="AA42" s="53"/>
      <c r="AB42" s="53"/>
      <c r="AC42" s="53"/>
      <c r="AD42" s="53"/>
      <c r="AE42" s="53"/>
      <c r="AF42" s="53"/>
      <c r="AG42" s="53"/>
      <c r="AH42" s="53"/>
      <c r="AI42" s="53"/>
      <c r="AJ42" s="58"/>
      <c r="AK42" s="58"/>
      <c r="AL42" s="59"/>
      <c r="AM42" s="60"/>
      <c r="AN42" s="62"/>
      <c r="AO42" s="66"/>
      <c r="AP42" s="67"/>
    </row>
    <row r="43" s="50" customFormat="1" customHeight="1" spans="1:42">
      <c r="A43" s="52" t="str">
        <f>'Agents'' Final Roster 0913-0919'!A43</f>
        <v>Campero Juarez Maria Guadalupe</v>
      </c>
      <c r="B43" s="53" t="str">
        <f>'Agents'' Final Roster 0913-0919'!B43</f>
        <v>Corbera Susana Sofía</v>
      </c>
      <c r="C43" s="53" t="str">
        <f>'Agents'' Final Roster 0913-0919'!C43</f>
        <v>Gjugum</v>
      </c>
      <c r="D43" s="53" t="str">
        <f>'Agents'' Final Roster 0913-0919'!D43</f>
        <v>Sofia Denise</v>
      </c>
      <c r="E43" s="53"/>
      <c r="F43" s="53"/>
      <c r="G43" s="53"/>
      <c r="H43" s="53"/>
      <c r="I43" s="53"/>
      <c r="J43" s="53"/>
      <c r="K43" s="53"/>
      <c r="L43" s="56"/>
      <c r="M43" s="56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 t="str">
        <f>'Agents'' Final Roster 0913-0919'!J43</f>
        <v>CSV3</v>
      </c>
      <c r="AA43" s="53"/>
      <c r="AB43" s="53"/>
      <c r="AC43" s="53"/>
      <c r="AD43" s="53"/>
      <c r="AE43" s="53"/>
      <c r="AF43" s="53"/>
      <c r="AG43" s="53"/>
      <c r="AH43" s="53"/>
      <c r="AI43" s="53"/>
      <c r="AJ43" s="58"/>
      <c r="AK43" s="58"/>
      <c r="AL43" s="59"/>
      <c r="AM43" s="60"/>
      <c r="AN43" s="62"/>
      <c r="AO43" s="66"/>
      <c r="AP43" s="67"/>
    </row>
    <row r="44" s="50" customFormat="1" customHeight="1" spans="1:42">
      <c r="A44" s="52" t="str">
        <f>'Agents'' Final Roster 0913-0919'!A44</f>
        <v>Campero Juarez Maria Guadalupe</v>
      </c>
      <c r="B44" s="53" t="str">
        <f>'Agents'' Final Roster 0913-0919'!B44</f>
        <v>Corbera Susana Sofía</v>
      </c>
      <c r="C44" s="53" t="str">
        <f>'Agents'' Final Roster 0913-0919'!C44</f>
        <v>Guzman</v>
      </c>
      <c r="D44" s="53" t="str">
        <f>'Agents'' Final Roster 0913-0919'!D44</f>
        <v>Nahuel Maximiliano</v>
      </c>
      <c r="E44" s="53"/>
      <c r="F44" s="53"/>
      <c r="G44" s="53"/>
      <c r="H44" s="53"/>
      <c r="I44" s="53"/>
      <c r="J44" s="53"/>
      <c r="K44" s="53"/>
      <c r="L44" s="56"/>
      <c r="M44" s="56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 t="str">
        <f>'Agents'' Final Roster 0913-0919'!J44</f>
        <v>CSV2</v>
      </c>
      <c r="AA44" s="53"/>
      <c r="AB44" s="53"/>
      <c r="AC44" s="53"/>
      <c r="AD44" s="53"/>
      <c r="AE44" s="53"/>
      <c r="AF44" s="53"/>
      <c r="AG44" s="53"/>
      <c r="AH44" s="53"/>
      <c r="AI44" s="53"/>
      <c r="AJ44" s="58"/>
      <c r="AK44" s="58"/>
      <c r="AL44" s="59"/>
      <c r="AM44" s="60"/>
      <c r="AN44" s="62"/>
      <c r="AO44" s="66"/>
      <c r="AP44" s="67"/>
    </row>
    <row r="45" s="50" customFormat="1" customHeight="1" spans="1:42">
      <c r="A45" s="52" t="str">
        <f>'Agents'' Final Roster 0913-0919'!A45</f>
        <v>Campero Juarez Maria Guadalupe</v>
      </c>
      <c r="B45" s="53" t="str">
        <f>'Agents'' Final Roster 0913-0919'!B45</f>
        <v>Corbera Susana Sofía</v>
      </c>
      <c r="C45" s="53" t="str">
        <f>'Agents'' Final Roster 0913-0919'!C45</f>
        <v>Laitán Landro</v>
      </c>
      <c r="D45" s="53" t="str">
        <f>'Agents'' Final Roster 0913-0919'!D45</f>
        <v>Gimena María</v>
      </c>
      <c r="E45" s="53"/>
      <c r="F45" s="53"/>
      <c r="G45" s="53"/>
      <c r="H45" s="53"/>
      <c r="I45" s="53"/>
      <c r="J45" s="53"/>
      <c r="K45" s="53"/>
      <c r="L45" s="56"/>
      <c r="M45" s="56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 t="str">
        <f>'Agents'' Final Roster 0913-0919'!J45</f>
        <v>HD</v>
      </c>
      <c r="AA45" s="53"/>
      <c r="AB45" s="53"/>
      <c r="AC45" s="53"/>
      <c r="AD45" s="53"/>
      <c r="AE45" s="53"/>
      <c r="AF45" s="53"/>
      <c r="AG45" s="53"/>
      <c r="AH45" s="53"/>
      <c r="AI45" s="53"/>
      <c r="AJ45" s="58"/>
      <c r="AK45" s="58"/>
      <c r="AL45" s="59"/>
      <c r="AM45" s="60"/>
      <c r="AN45" s="62"/>
      <c r="AO45" s="66"/>
      <c r="AP45" s="67"/>
    </row>
    <row r="46" s="50" customFormat="1" customHeight="1" spans="1:42">
      <c r="A46" s="52" t="str">
        <f>'Agents'' Final Roster 0913-0919'!A46</f>
        <v>Campero Juarez Maria Guadalupe</v>
      </c>
      <c r="B46" s="53" t="str">
        <f>'Agents'' Final Roster 0913-0919'!B46</f>
        <v>Corbera Susana Sofía</v>
      </c>
      <c r="C46" s="53" t="str">
        <f>'Agents'' Final Roster 0913-0919'!C46</f>
        <v>Martinez Teseyra</v>
      </c>
      <c r="D46" s="53" t="str">
        <f>'Agents'' Final Roster 0913-0919'!D46</f>
        <v>Mayra Belen</v>
      </c>
      <c r="E46" s="53"/>
      <c r="F46" s="53"/>
      <c r="G46" s="53"/>
      <c r="H46" s="53"/>
      <c r="I46" s="53"/>
      <c r="J46" s="53"/>
      <c r="K46" s="53"/>
      <c r="L46" s="56"/>
      <c r="M46" s="56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 t="str">
        <f>'Agents'' Final Roster 0913-0919'!J46</f>
        <v>CSV2</v>
      </c>
      <c r="AA46" s="53"/>
      <c r="AB46" s="53"/>
      <c r="AC46" s="53"/>
      <c r="AD46" s="53"/>
      <c r="AE46" s="53"/>
      <c r="AF46" s="53"/>
      <c r="AG46" s="53"/>
      <c r="AH46" s="53"/>
      <c r="AI46" s="53"/>
      <c r="AJ46" s="58"/>
      <c r="AK46" s="58"/>
      <c r="AL46" s="59"/>
      <c r="AM46" s="60"/>
      <c r="AN46" s="62"/>
      <c r="AO46" s="66"/>
      <c r="AP46" s="67"/>
    </row>
    <row r="47" s="50" customFormat="1" customHeight="1" spans="1:42">
      <c r="A47" s="54" t="str">
        <f>'Agents'' Final Roster 0913-0919'!A47</f>
        <v>Campero Juarez Maria Guadalupe</v>
      </c>
      <c r="B47" s="55" t="str">
        <f>'Agents'' Final Roster 0913-0919'!B47</f>
        <v>Corbera Susana Sofía</v>
      </c>
      <c r="C47" s="55" t="str">
        <f>'Agents'' Final Roster 0913-0919'!C47</f>
        <v>Medina</v>
      </c>
      <c r="D47" s="55" t="str">
        <f>'Agents'' Final Roster 0913-0919'!D47</f>
        <v>Leyla Maria</v>
      </c>
      <c r="E47" s="55"/>
      <c r="F47" s="55"/>
      <c r="G47" s="55"/>
      <c r="H47" s="55"/>
      <c r="I47" s="55"/>
      <c r="J47" s="55"/>
      <c r="K47" s="55"/>
      <c r="L47" s="56"/>
      <c r="M47" s="56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 t="str">
        <f>'Agents'' Final Roster 0913-0919'!J47</f>
        <v>VIP</v>
      </c>
      <c r="AA47" s="53"/>
      <c r="AB47" s="53"/>
      <c r="AC47" s="53"/>
      <c r="AD47" s="53"/>
      <c r="AE47" s="53"/>
      <c r="AF47" s="53"/>
      <c r="AG47" s="53"/>
      <c r="AH47" s="53"/>
      <c r="AI47" s="53"/>
      <c r="AJ47" s="58"/>
      <c r="AK47" s="58"/>
      <c r="AL47" s="59"/>
      <c r="AM47" s="60"/>
      <c r="AN47" s="62"/>
      <c r="AO47" s="66"/>
      <c r="AP47" s="67"/>
    </row>
    <row r="48" s="50" customFormat="1" customHeight="1" spans="1:42">
      <c r="A48" s="54" t="str">
        <f>'Agents'' Final Roster 0913-0919'!A48</f>
        <v>Campero Juarez Maria Guadalupe</v>
      </c>
      <c r="B48" s="55" t="str">
        <f>'Agents'' Final Roster 0913-0919'!B48</f>
        <v>Gregoratti Juan Carlos</v>
      </c>
      <c r="C48" s="55" t="str">
        <f>'Agents'' Final Roster 0913-0919'!C48</f>
        <v>Pomo</v>
      </c>
      <c r="D48" s="55" t="str">
        <f>'Agents'' Final Roster 0913-0919'!D48</f>
        <v> Daniel Nicolas</v>
      </c>
      <c r="E48" s="55"/>
      <c r="F48" s="55"/>
      <c r="G48" s="55"/>
      <c r="H48" s="55"/>
      <c r="I48" s="55"/>
      <c r="J48" s="55"/>
      <c r="K48" s="55"/>
      <c r="L48" s="56"/>
      <c r="M48" s="56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 t="str">
        <f>'Agents'' Final Roster 0913-0919'!J48</f>
        <v>Compras Referidas</v>
      </c>
      <c r="AA48" s="53"/>
      <c r="AB48" s="53"/>
      <c r="AC48" s="53"/>
      <c r="AD48" s="53"/>
      <c r="AE48" s="53"/>
      <c r="AF48" s="53"/>
      <c r="AG48" s="53"/>
      <c r="AH48" s="53"/>
      <c r="AI48" s="53"/>
      <c r="AJ48" s="58"/>
      <c r="AK48" s="58"/>
      <c r="AL48" s="59"/>
      <c r="AM48" s="60"/>
      <c r="AN48" s="62"/>
      <c r="AO48" s="66"/>
      <c r="AP48" s="67"/>
    </row>
    <row r="49" s="50" customFormat="1" customHeight="1" spans="1:42">
      <c r="A49" s="52" t="str">
        <f>'Agents'' Final Roster 0913-0919'!A49</f>
        <v>Campero Juarez Maria Guadalupe</v>
      </c>
      <c r="B49" s="53" t="str">
        <f>'Agents'' Final Roster 0913-0919'!B49</f>
        <v>Corbera Susana Sofía</v>
      </c>
      <c r="C49" s="53" t="str">
        <f>'Agents'' Final Roster 0913-0919'!C49</f>
        <v>Ricci</v>
      </c>
      <c r="D49" s="53" t="str">
        <f>'Agents'' Final Roster 0913-0919'!D49</f>
        <v>Marcos Jose</v>
      </c>
      <c r="E49" s="53"/>
      <c r="F49" s="53"/>
      <c r="G49" s="53"/>
      <c r="H49" s="53"/>
      <c r="I49" s="53"/>
      <c r="J49" s="53"/>
      <c r="K49" s="53"/>
      <c r="L49" s="56"/>
      <c r="M49" s="56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 t="str">
        <f>'Agents'' Final Roster 0913-0919'!J49</f>
        <v>VIP</v>
      </c>
      <c r="AA49" s="53"/>
      <c r="AB49" s="53"/>
      <c r="AC49" s="53"/>
      <c r="AD49" s="53"/>
      <c r="AE49" s="53"/>
      <c r="AF49" s="53"/>
      <c r="AG49" s="53"/>
      <c r="AH49" s="53"/>
      <c r="AI49" s="53"/>
      <c r="AJ49" s="58"/>
      <c r="AK49" s="58"/>
      <c r="AL49" s="59"/>
      <c r="AM49" s="60"/>
      <c r="AN49" s="62"/>
      <c r="AO49" s="66"/>
      <c r="AP49" s="67"/>
    </row>
    <row r="50" s="50" customFormat="1" customHeight="1" spans="1:42">
      <c r="A50" s="54" t="str">
        <f>'Agents'' Final Roster 0913-0919'!A50</f>
        <v>Campero Juarez Maria Guadalupe</v>
      </c>
      <c r="B50" s="55" t="str">
        <f>'Agents'' Final Roster 0913-0919'!B50</f>
        <v>Corbera Susana Sofía</v>
      </c>
      <c r="C50" s="55" t="str">
        <f>'Agents'' Final Roster 0913-0919'!C50</f>
        <v>Ruiz Barrionuevo</v>
      </c>
      <c r="D50" s="55" t="str">
        <f>'Agents'' Final Roster 0913-0919'!D50</f>
        <v>Isabella Catalina </v>
      </c>
      <c r="E50" s="55"/>
      <c r="F50" s="55"/>
      <c r="G50" s="55"/>
      <c r="H50" s="55"/>
      <c r="I50" s="55"/>
      <c r="J50" s="55"/>
      <c r="K50" s="55"/>
      <c r="L50" s="56"/>
      <c r="M50" s="56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 t="str">
        <f>'Agents'' Final Roster 0913-0919'!J50</f>
        <v>CSV2</v>
      </c>
      <c r="AA50" s="53"/>
      <c r="AB50" s="53"/>
      <c r="AC50" s="53"/>
      <c r="AD50" s="53"/>
      <c r="AE50" s="53"/>
      <c r="AF50" s="53"/>
      <c r="AG50" s="53"/>
      <c r="AH50" s="53"/>
      <c r="AI50" s="53"/>
      <c r="AJ50" s="58"/>
      <c r="AK50" s="58"/>
      <c r="AL50" s="59"/>
      <c r="AM50" s="60"/>
      <c r="AN50" s="62"/>
      <c r="AO50" s="66"/>
      <c r="AP50" s="67"/>
    </row>
    <row r="51" s="50" customFormat="1" customHeight="1" spans="1:42">
      <c r="A51" s="52" t="str">
        <f>'Agents'' Final Roster 0913-0919'!A51</f>
        <v>Campero Juarez Maria Guadalupe</v>
      </c>
      <c r="B51" s="53" t="str">
        <f>'Agents'' Final Roster 0913-0919'!B51</f>
        <v>Corbera Susana Sofía</v>
      </c>
      <c r="C51" s="53" t="str">
        <f>'Agents'' Final Roster 0913-0919'!C51</f>
        <v>Soto</v>
      </c>
      <c r="D51" s="53" t="str">
        <f>'Agents'' Final Roster 0913-0919'!D51</f>
        <v>Fatima Belen</v>
      </c>
      <c r="E51" s="53"/>
      <c r="F51" s="53"/>
      <c r="G51" s="53"/>
      <c r="H51" s="53"/>
      <c r="I51" s="53"/>
      <c r="J51" s="53"/>
      <c r="K51" s="53"/>
      <c r="L51" s="56"/>
      <c r="M51" s="56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 t="str">
        <f>'Agents'' Final Roster 0913-0919'!J51</f>
        <v>CSV2</v>
      </c>
      <c r="AA51" s="53"/>
      <c r="AB51" s="53"/>
      <c r="AC51" s="53"/>
      <c r="AD51" s="53"/>
      <c r="AE51" s="53"/>
      <c r="AF51" s="53"/>
      <c r="AG51" s="53"/>
      <c r="AH51" s="53"/>
      <c r="AI51" s="53"/>
      <c r="AJ51" s="58"/>
      <c r="AK51" s="58"/>
      <c r="AL51" s="59"/>
      <c r="AM51" s="60"/>
      <c r="AN51" s="62"/>
      <c r="AO51" s="66"/>
      <c r="AP51" s="67"/>
    </row>
    <row r="52" s="50" customFormat="1" customHeight="1" spans="1:42">
      <c r="A52" s="52" t="str">
        <f>'Agents'' Final Roster 0913-0919'!A52</f>
        <v>Campero Juarez Maria Guadalupe</v>
      </c>
      <c r="B52" s="53" t="str">
        <f>'Agents'' Final Roster 0913-0919'!B52</f>
        <v>Criado Esteban</v>
      </c>
      <c r="C52" s="53" t="str">
        <f>'Agents'' Final Roster 0913-0919'!C52</f>
        <v>Amicone</v>
      </c>
      <c r="D52" s="53" t="str">
        <f>'Agents'' Final Roster 0913-0919'!D52</f>
        <v>Julieta</v>
      </c>
      <c r="E52" s="53"/>
      <c r="F52" s="53"/>
      <c r="G52" s="53"/>
      <c r="H52" s="53"/>
      <c r="I52" s="53"/>
      <c r="J52" s="53"/>
      <c r="K52" s="53"/>
      <c r="L52" s="56"/>
      <c r="M52" s="56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 t="str">
        <f>'Agents'' Final Roster 0913-0919'!J52</f>
        <v>CSV1</v>
      </c>
      <c r="AA52" s="53"/>
      <c r="AB52" s="53"/>
      <c r="AC52" s="53"/>
      <c r="AD52" s="53"/>
      <c r="AE52" s="53"/>
      <c r="AF52" s="53"/>
      <c r="AG52" s="53"/>
      <c r="AH52" s="53"/>
      <c r="AI52" s="53"/>
      <c r="AJ52" s="58"/>
      <c r="AK52" s="58"/>
      <c r="AL52" s="59"/>
      <c r="AM52" s="60"/>
      <c r="AN52" s="62"/>
      <c r="AO52" s="66"/>
      <c r="AP52" s="67"/>
    </row>
    <row r="53" s="50" customFormat="1" customHeight="1" spans="1:42">
      <c r="A53" s="52" t="str">
        <f>'Agents'' Final Roster 0913-0919'!A53</f>
        <v>Campero Juarez Maria Guadalupe</v>
      </c>
      <c r="B53" s="53" t="str">
        <f>'Agents'' Final Roster 0913-0919'!B53</f>
        <v>Criado Esteban</v>
      </c>
      <c r="C53" s="53" t="str">
        <f>'Agents'' Final Roster 0913-0919'!C53</f>
        <v>Arias</v>
      </c>
      <c r="D53" s="53" t="str">
        <f>'Agents'' Final Roster 0913-0919'!D53</f>
        <v>Ivan Santiago</v>
      </c>
      <c r="E53" s="53"/>
      <c r="F53" s="53"/>
      <c r="G53" s="53"/>
      <c r="H53" s="53"/>
      <c r="I53" s="53"/>
      <c r="J53" s="53"/>
      <c r="K53" s="53"/>
      <c r="L53" s="56"/>
      <c r="M53" s="56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 t="str">
        <f>'Agents'' Final Roster 0913-0919'!J53</f>
        <v>DVH</v>
      </c>
      <c r="AA53" s="53"/>
      <c r="AB53" s="53"/>
      <c r="AC53" s="53"/>
      <c r="AD53" s="53"/>
      <c r="AE53" s="53"/>
      <c r="AF53" s="53"/>
      <c r="AG53" s="53"/>
      <c r="AH53" s="53"/>
      <c r="AI53" s="53"/>
      <c r="AJ53" s="58"/>
      <c r="AK53" s="58"/>
      <c r="AL53" s="59"/>
      <c r="AM53" s="60"/>
      <c r="AN53" s="62"/>
      <c r="AO53" s="66"/>
      <c r="AP53" s="67"/>
    </row>
    <row r="54" s="50" customFormat="1" customHeight="1" spans="1:42">
      <c r="A54" s="52" t="str">
        <f>'Agents'' Final Roster 0913-0919'!A54</f>
        <v>Campero Juarez Maria Guadalupe</v>
      </c>
      <c r="B54" s="53" t="str">
        <f>'Agents'' Final Roster 0913-0919'!B54</f>
        <v>Criado Esteban</v>
      </c>
      <c r="C54" s="53" t="str">
        <f>'Agents'' Final Roster 0913-0919'!C54</f>
        <v>Bernard</v>
      </c>
      <c r="D54" s="53" t="str">
        <f>'Agents'' Final Roster 0913-0919'!D54</f>
        <v>Mariano</v>
      </c>
      <c r="E54" s="53"/>
      <c r="F54" s="53"/>
      <c r="G54" s="53"/>
      <c r="H54" s="53"/>
      <c r="I54" s="53"/>
      <c r="J54" s="53"/>
      <c r="K54" s="53"/>
      <c r="L54" s="56"/>
      <c r="M54" s="56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 t="str">
        <f>'Agents'' Final Roster 0913-0919'!J54</f>
        <v>CSV1</v>
      </c>
      <c r="AA54" s="53"/>
      <c r="AB54" s="53"/>
      <c r="AC54" s="53"/>
      <c r="AD54" s="53"/>
      <c r="AE54" s="53"/>
      <c r="AF54" s="53"/>
      <c r="AG54" s="53"/>
      <c r="AH54" s="53"/>
      <c r="AI54" s="53"/>
      <c r="AJ54" s="58"/>
      <c r="AK54" s="58"/>
      <c r="AL54" s="59"/>
      <c r="AM54" s="60"/>
      <c r="AN54" s="62"/>
      <c r="AO54" s="66"/>
      <c r="AP54" s="67"/>
    </row>
    <row r="55" s="50" customFormat="1" customHeight="1" spans="1:42">
      <c r="A55" s="52" t="str">
        <f>'Agents'' Final Roster 0913-0919'!A55</f>
        <v>Campero Juarez Maria Guadalupe</v>
      </c>
      <c r="B55" s="53" t="str">
        <f>'Agents'' Final Roster 0913-0919'!B55</f>
        <v>Criado Esteban</v>
      </c>
      <c r="C55" s="53" t="str">
        <f>'Agents'' Final Roster 0913-0919'!C55</f>
        <v>Blacut</v>
      </c>
      <c r="D55" s="53" t="str">
        <f>'Agents'' Final Roster 0913-0919'!D55</f>
        <v>Carolina Concepcion</v>
      </c>
      <c r="E55" s="53"/>
      <c r="F55" s="53"/>
      <c r="G55" s="53"/>
      <c r="H55" s="53"/>
      <c r="I55" s="53"/>
      <c r="J55" s="53"/>
      <c r="K55" s="53"/>
      <c r="L55" s="56"/>
      <c r="M55" s="56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 t="str">
        <f>'Agents'' Final Roster 0913-0919'!J55</f>
        <v>CSV1</v>
      </c>
      <c r="AA55" s="53"/>
      <c r="AB55" s="53"/>
      <c r="AC55" s="53"/>
      <c r="AD55" s="53"/>
      <c r="AE55" s="53"/>
      <c r="AF55" s="53"/>
      <c r="AG55" s="53"/>
      <c r="AH55" s="53"/>
      <c r="AI55" s="53"/>
      <c r="AJ55" s="58"/>
      <c r="AK55" s="58"/>
      <c r="AL55" s="59"/>
      <c r="AM55" s="60"/>
      <c r="AN55" s="62"/>
      <c r="AO55" s="66"/>
      <c r="AP55" s="67"/>
    </row>
    <row r="56" s="50" customFormat="1" customHeight="1" spans="1:42">
      <c r="A56" s="52" t="str">
        <f>'Agents'' Final Roster 0913-0919'!A56</f>
        <v>Campero Juarez Maria Guadalupe</v>
      </c>
      <c r="B56" s="53" t="str">
        <f>'Agents'' Final Roster 0913-0919'!B56</f>
        <v>Criado Esteban</v>
      </c>
      <c r="C56" s="53" t="str">
        <f>'Agents'' Final Roster 0913-0919'!C56</f>
        <v>Chico</v>
      </c>
      <c r="D56" s="53" t="str">
        <f>'Agents'' Final Roster 0913-0919'!D56</f>
        <v>Jessica Liliana</v>
      </c>
      <c r="E56" s="53"/>
      <c r="F56" s="53"/>
      <c r="G56" s="53"/>
      <c r="H56" s="53"/>
      <c r="I56" s="53"/>
      <c r="J56" s="53"/>
      <c r="K56" s="53"/>
      <c r="L56" s="56"/>
      <c r="M56" s="56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 t="str">
        <f>'Agents'' Final Roster 0913-0919'!J56</f>
        <v>CSV1</v>
      </c>
      <c r="AA56" s="53"/>
      <c r="AB56" s="53"/>
      <c r="AC56" s="53"/>
      <c r="AD56" s="53"/>
      <c r="AE56" s="53"/>
      <c r="AF56" s="53"/>
      <c r="AG56" s="53"/>
      <c r="AH56" s="53"/>
      <c r="AI56" s="53"/>
      <c r="AJ56" s="58"/>
      <c r="AK56" s="58"/>
      <c r="AL56" s="59"/>
      <c r="AM56" s="60"/>
      <c r="AN56" s="62"/>
      <c r="AO56" s="66"/>
      <c r="AP56" s="67"/>
    </row>
    <row r="57" s="50" customFormat="1" customHeight="1" spans="1:42">
      <c r="A57" s="52" t="str">
        <f>'Agents'' Final Roster 0913-0919'!A57</f>
        <v>Campero Juarez Maria Guadalupe</v>
      </c>
      <c r="B57" s="53" t="str">
        <f>'Agents'' Final Roster 0913-0919'!B57</f>
        <v>Criado Esteban</v>
      </c>
      <c r="C57" s="53" t="str">
        <f>'Agents'' Final Roster 0913-0919'!C57</f>
        <v>Ferraro</v>
      </c>
      <c r="D57" s="53" t="str">
        <f>'Agents'' Final Roster 0913-0919'!D57</f>
        <v>David Franco Ramón</v>
      </c>
      <c r="E57" s="53"/>
      <c r="F57" s="53"/>
      <c r="G57" s="53"/>
      <c r="H57" s="53"/>
      <c r="I57" s="53"/>
      <c r="J57" s="53"/>
      <c r="K57" s="53"/>
      <c r="L57" s="56"/>
      <c r="M57" s="56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 t="str">
        <f>'Agents'' Final Roster 0913-0919'!J57</f>
        <v>CSV1</v>
      </c>
      <c r="AA57" s="53"/>
      <c r="AB57" s="53"/>
      <c r="AC57" s="53"/>
      <c r="AD57" s="53"/>
      <c r="AE57" s="53"/>
      <c r="AF57" s="53"/>
      <c r="AG57" s="53"/>
      <c r="AH57" s="53"/>
      <c r="AI57" s="53"/>
      <c r="AJ57" s="58"/>
      <c r="AK57" s="58"/>
      <c r="AL57" s="59"/>
      <c r="AM57" s="60"/>
      <c r="AN57" s="62"/>
      <c r="AO57" s="66"/>
      <c r="AP57" s="67"/>
    </row>
    <row r="58" s="50" customFormat="1" customHeight="1" spans="1:42">
      <c r="A58" s="52" t="str">
        <f>'Agents'' Final Roster 0913-0919'!A58</f>
        <v>Campero Juarez Maria Guadalupe</v>
      </c>
      <c r="B58" s="53" t="str">
        <f>'Agents'' Final Roster 0913-0919'!B58</f>
        <v>Criado Esteban</v>
      </c>
      <c r="C58" s="53" t="str">
        <f>'Agents'' Final Roster 0913-0919'!C58</f>
        <v>Formoselle</v>
      </c>
      <c r="D58" s="53" t="str">
        <f>'Agents'' Final Roster 0913-0919'!D58</f>
        <v>Ivana Veronica</v>
      </c>
      <c r="E58" s="53"/>
      <c r="F58" s="53"/>
      <c r="G58" s="53"/>
      <c r="H58" s="53"/>
      <c r="I58" s="53"/>
      <c r="J58" s="53"/>
      <c r="K58" s="53"/>
      <c r="L58" s="56"/>
      <c r="M58" s="56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 t="str">
        <f>'Agents'' Final Roster 0913-0919'!J58</f>
        <v>Servicios web</v>
      </c>
      <c r="AA58" s="53"/>
      <c r="AB58" s="53"/>
      <c r="AC58" s="53"/>
      <c r="AD58" s="53"/>
      <c r="AE58" s="53"/>
      <c r="AF58" s="53"/>
      <c r="AG58" s="53"/>
      <c r="AH58" s="53"/>
      <c r="AI58" s="53"/>
      <c r="AJ58" s="58"/>
      <c r="AK58" s="58"/>
      <c r="AL58" s="59"/>
      <c r="AM58" s="60"/>
      <c r="AN58" s="62"/>
      <c r="AO58" s="66"/>
      <c r="AP58" s="67"/>
    </row>
    <row r="59" s="50" customFormat="1" customHeight="1" spans="1:42">
      <c r="A59" s="52" t="str">
        <f>'Agents'' Final Roster 0913-0919'!A59</f>
        <v>Campero Juarez Maria Guadalupe</v>
      </c>
      <c r="B59" s="53" t="str">
        <f>'Agents'' Final Roster 0913-0919'!B59</f>
        <v>Gregoratti Juan Carlos</v>
      </c>
      <c r="C59" s="53" t="str">
        <f>'Agents'' Final Roster 0913-0919'!C59</f>
        <v>Giolito</v>
      </c>
      <c r="D59" s="53" t="str">
        <f>'Agents'' Final Roster 0913-0919'!D59</f>
        <v>Maira Elizabeth</v>
      </c>
      <c r="E59" s="53"/>
      <c r="F59" s="53"/>
      <c r="G59" s="53"/>
      <c r="H59" s="53"/>
      <c r="I59" s="53"/>
      <c r="J59" s="53"/>
      <c r="K59" s="53"/>
      <c r="L59" s="56"/>
      <c r="M59" s="56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 t="str">
        <f>'Agents'' Final Roster 0913-0919'!J59</f>
        <v>DVH</v>
      </c>
      <c r="AA59" s="53"/>
      <c r="AB59" s="53"/>
      <c r="AC59" s="53"/>
      <c r="AD59" s="53"/>
      <c r="AE59" s="53"/>
      <c r="AF59" s="53"/>
      <c r="AG59" s="53"/>
      <c r="AH59" s="53"/>
      <c r="AI59" s="53"/>
      <c r="AJ59" s="58"/>
      <c r="AK59" s="58"/>
      <c r="AL59" s="59"/>
      <c r="AM59" s="60"/>
      <c r="AN59" s="62"/>
      <c r="AO59" s="66"/>
      <c r="AP59" s="67"/>
    </row>
    <row r="60" s="50" customFormat="1" customHeight="1" spans="1:42">
      <c r="A60" s="52" t="str">
        <f>'Agents'' Final Roster 0913-0919'!A60</f>
        <v>Campero Juarez Maria Guadalupe</v>
      </c>
      <c r="B60" s="53" t="str">
        <f>'Agents'' Final Roster 0913-0919'!B60</f>
        <v>Criado Esteban</v>
      </c>
      <c r="C60" s="53" t="str">
        <f>'Agents'' Final Roster 0913-0919'!C60</f>
        <v>Jandar</v>
      </c>
      <c r="D60" s="53" t="str">
        <f>'Agents'' Final Roster 0913-0919'!D60</f>
        <v>Fabio Nicolás</v>
      </c>
      <c r="E60" s="53"/>
      <c r="F60" s="53"/>
      <c r="G60" s="53"/>
      <c r="H60" s="53"/>
      <c r="I60" s="53"/>
      <c r="J60" s="53"/>
      <c r="K60" s="53"/>
      <c r="L60" s="56"/>
      <c r="M60" s="56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 t="str">
        <f>'Agents'' Final Roster 0913-0919'!J60</f>
        <v>CSV1</v>
      </c>
      <c r="AA60" s="53"/>
      <c r="AB60" s="53"/>
      <c r="AC60" s="53"/>
      <c r="AD60" s="53"/>
      <c r="AE60" s="53"/>
      <c r="AF60" s="53"/>
      <c r="AG60" s="53"/>
      <c r="AH60" s="53"/>
      <c r="AI60" s="53"/>
      <c r="AJ60" s="58"/>
      <c r="AK60" s="58"/>
      <c r="AL60" s="59"/>
      <c r="AM60" s="60"/>
      <c r="AN60" s="62"/>
      <c r="AO60" s="66"/>
      <c r="AP60" s="67"/>
    </row>
    <row r="61" s="50" customFormat="1" customHeight="1" spans="1:42">
      <c r="A61" s="52" t="str">
        <f>'Agents'' Final Roster 0913-0919'!A61</f>
        <v>Campero Juarez Maria Guadalupe</v>
      </c>
      <c r="B61" s="53" t="str">
        <f>'Agents'' Final Roster 0913-0919'!B61</f>
        <v>Criado Esteban</v>
      </c>
      <c r="C61" s="53" t="str">
        <f>'Agents'' Final Roster 0913-0919'!C61</f>
        <v>Jerez</v>
      </c>
      <c r="D61" s="53" t="str">
        <f>'Agents'' Final Roster 0913-0919'!D61</f>
        <v>María Celeste</v>
      </c>
      <c r="E61" s="53"/>
      <c r="F61" s="53"/>
      <c r="G61" s="53"/>
      <c r="H61" s="53"/>
      <c r="I61" s="53"/>
      <c r="J61" s="53"/>
      <c r="K61" s="53"/>
      <c r="L61" s="56"/>
      <c r="M61" s="56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 t="str">
        <f>'Agents'' Final Roster 0913-0919'!J61</f>
        <v>DVH</v>
      </c>
      <c r="AA61" s="53"/>
      <c r="AB61" s="53"/>
      <c r="AC61" s="53"/>
      <c r="AD61" s="53"/>
      <c r="AE61" s="53"/>
      <c r="AF61" s="53"/>
      <c r="AG61" s="53"/>
      <c r="AH61" s="53"/>
      <c r="AI61" s="53"/>
      <c r="AJ61" s="58"/>
      <c r="AK61" s="58"/>
      <c r="AL61" s="59"/>
      <c r="AM61" s="60"/>
      <c r="AN61" s="62"/>
      <c r="AO61" s="66"/>
      <c r="AP61" s="67"/>
    </row>
    <row r="62" s="50" customFormat="1" customHeight="1" spans="1:42">
      <c r="A62" s="52" t="str">
        <f>'Agents'' Final Roster 0913-0919'!A62</f>
        <v>Campero Juarez Maria Guadalupe</v>
      </c>
      <c r="B62" s="53" t="str">
        <f>'Agents'' Final Roster 0913-0919'!B62</f>
        <v>Criado Esteban</v>
      </c>
      <c r="C62" s="53" t="str">
        <f>'Agents'' Final Roster 0913-0919'!C62</f>
        <v>Juri</v>
      </c>
      <c r="D62" s="53" t="str">
        <f>'Agents'' Final Roster 0913-0919'!D62</f>
        <v>Aida Del Valle</v>
      </c>
      <c r="E62" s="53"/>
      <c r="F62" s="53"/>
      <c r="G62" s="53"/>
      <c r="H62" s="53"/>
      <c r="I62" s="53"/>
      <c r="J62" s="53"/>
      <c r="K62" s="53"/>
      <c r="L62" s="56"/>
      <c r="M62" s="56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 t="str">
        <f>'Agents'' Final Roster 0913-0919'!J62</f>
        <v>CSV1</v>
      </c>
      <c r="AA62" s="53"/>
      <c r="AB62" s="53"/>
      <c r="AC62" s="53"/>
      <c r="AD62" s="53"/>
      <c r="AE62" s="53"/>
      <c r="AF62" s="53"/>
      <c r="AG62" s="53"/>
      <c r="AH62" s="53"/>
      <c r="AI62" s="53"/>
      <c r="AJ62" s="58"/>
      <c r="AK62" s="58"/>
      <c r="AL62" s="59"/>
      <c r="AM62" s="60"/>
      <c r="AN62" s="62"/>
      <c r="AO62" s="66"/>
      <c r="AP62" s="67"/>
    </row>
    <row r="63" s="50" customFormat="1" customHeight="1" spans="1:42">
      <c r="A63" s="52" t="str">
        <f>'Agents'' Final Roster 0913-0919'!A63</f>
        <v>Campero Juarez Maria Guadalupe</v>
      </c>
      <c r="B63" s="53" t="str">
        <f>'Agents'' Final Roster 0913-0919'!B63</f>
        <v>Criado Esteban</v>
      </c>
      <c r="C63" s="53" t="str">
        <f>'Agents'' Final Roster 0913-0919'!C63</f>
        <v>Leal Martinez</v>
      </c>
      <c r="D63" s="53" t="str">
        <f>'Agents'' Final Roster 0913-0919'!D63</f>
        <v>Matias Emanuel</v>
      </c>
      <c r="E63" s="53"/>
      <c r="F63" s="53"/>
      <c r="G63" s="53"/>
      <c r="H63" s="53"/>
      <c r="I63" s="53"/>
      <c r="J63" s="53"/>
      <c r="K63" s="53"/>
      <c r="L63" s="56"/>
      <c r="M63" s="56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 t="str">
        <f>'Agents'' Final Roster 0913-0919'!J63</f>
        <v>CSV1</v>
      </c>
      <c r="AA63" s="53"/>
      <c r="AB63" s="53"/>
      <c r="AC63" s="53"/>
      <c r="AD63" s="53"/>
      <c r="AE63" s="53"/>
      <c r="AF63" s="53"/>
      <c r="AG63" s="53"/>
      <c r="AH63" s="53"/>
      <c r="AI63" s="53"/>
      <c r="AJ63" s="58"/>
      <c r="AK63" s="58"/>
      <c r="AL63" s="59"/>
      <c r="AM63" s="60"/>
      <c r="AN63" s="62"/>
      <c r="AO63" s="66"/>
      <c r="AP63" s="67"/>
    </row>
    <row r="64" s="50" customFormat="1" customHeight="1" spans="1:42">
      <c r="A64" s="52" t="str">
        <f>'Agents'' Final Roster 0913-0919'!A64</f>
        <v>Campero Juarez Maria Guadalupe</v>
      </c>
      <c r="B64" s="53" t="str">
        <f>'Agents'' Final Roster 0913-0919'!B64</f>
        <v>Criado Esteban</v>
      </c>
      <c r="C64" s="53" t="str">
        <f>'Agents'' Final Roster 0913-0919'!C64</f>
        <v>López</v>
      </c>
      <c r="D64" s="53" t="str">
        <f>'Agents'' Final Roster 0913-0919'!D64</f>
        <v> Matias Gonzalo</v>
      </c>
      <c r="E64" s="53"/>
      <c r="F64" s="53"/>
      <c r="G64" s="53"/>
      <c r="H64" s="53"/>
      <c r="I64" s="53"/>
      <c r="J64" s="53"/>
      <c r="K64" s="53"/>
      <c r="L64" s="56"/>
      <c r="M64" s="56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 t="str">
        <f>'Agents'' Final Roster 0913-0919'!J64</f>
        <v>Compras Referidas</v>
      </c>
      <c r="AA64" s="53"/>
      <c r="AB64" s="53"/>
      <c r="AC64" s="53"/>
      <c r="AD64" s="53"/>
      <c r="AE64" s="53"/>
      <c r="AF64" s="53"/>
      <c r="AG64" s="53"/>
      <c r="AH64" s="53"/>
      <c r="AI64" s="53"/>
      <c r="AJ64" s="58"/>
      <c r="AK64" s="58"/>
      <c r="AL64" s="59"/>
      <c r="AM64" s="60"/>
      <c r="AN64" s="62"/>
      <c r="AO64" s="66"/>
      <c r="AP64" s="67"/>
    </row>
    <row r="65" s="50" customFormat="1" customHeight="1" spans="1:42">
      <c r="A65" s="52" t="str">
        <f>'Agents'' Final Roster 0913-0919'!A65</f>
        <v>Campero Juarez Maria Guadalupe</v>
      </c>
      <c r="B65" s="53" t="str">
        <f>'Agents'' Final Roster 0913-0919'!B65</f>
        <v>Gregoratti Juan Carlos</v>
      </c>
      <c r="C65" s="53" t="str">
        <f>'Agents'' Final Roster 0913-0919'!C65</f>
        <v>Mansilla</v>
      </c>
      <c r="D65" s="53" t="str">
        <f>'Agents'' Final Roster 0913-0919'!D65</f>
        <v>Karen Nicole</v>
      </c>
      <c r="E65" s="53"/>
      <c r="F65" s="53"/>
      <c r="G65" s="53"/>
      <c r="H65" s="53"/>
      <c r="I65" s="53"/>
      <c r="J65" s="53"/>
      <c r="K65" s="53"/>
      <c r="L65" s="56"/>
      <c r="M65" s="56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 t="str">
        <f>'Agents'' Final Roster 0913-0919'!J65</f>
        <v>DVH</v>
      </c>
      <c r="AA65" s="53"/>
      <c r="AB65" s="53"/>
      <c r="AC65" s="53"/>
      <c r="AD65" s="53"/>
      <c r="AE65" s="53"/>
      <c r="AF65" s="53"/>
      <c r="AG65" s="53"/>
      <c r="AH65" s="53"/>
      <c r="AI65" s="53"/>
      <c r="AJ65" s="58"/>
      <c r="AK65" s="58"/>
      <c r="AL65" s="59"/>
      <c r="AM65" s="60"/>
      <c r="AN65" s="62"/>
      <c r="AO65" s="66"/>
      <c r="AP65" s="67"/>
    </row>
    <row r="66" s="50" customFormat="1" customHeight="1" spans="1:42">
      <c r="A66" s="68" t="str">
        <f>'Agents'' Final Roster 0913-0919'!A66</f>
        <v>Campero Juarez Maria Guadalupe</v>
      </c>
      <c r="B66" s="69" t="str">
        <f>'Agents'' Final Roster 0913-0919'!B66</f>
        <v>Criado Esteban</v>
      </c>
      <c r="C66" s="69" t="str">
        <f>'Agents'' Final Roster 0913-0919'!C66</f>
        <v>Palavecino</v>
      </c>
      <c r="D66" s="69" t="str">
        <f>'Agents'' Final Roster 0913-0919'!D66</f>
        <v> Pablo Mauricio</v>
      </c>
      <c r="E66" s="69"/>
      <c r="F66" s="69"/>
      <c r="G66" s="69"/>
      <c r="H66" s="69"/>
      <c r="I66" s="69"/>
      <c r="J66" s="69"/>
      <c r="K66" s="69"/>
      <c r="L66" s="56"/>
      <c r="M66" s="56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 t="str">
        <f>'Agents'' Final Roster 0913-0919'!J66</f>
        <v>Compras Referidas</v>
      </c>
      <c r="AA66" s="53"/>
      <c r="AB66" s="53"/>
      <c r="AC66" s="53"/>
      <c r="AD66" s="53"/>
      <c r="AE66" s="53"/>
      <c r="AF66" s="53"/>
      <c r="AG66" s="53"/>
      <c r="AH66" s="53"/>
      <c r="AI66" s="53"/>
      <c r="AJ66" s="58"/>
      <c r="AK66" s="58"/>
      <c r="AL66" s="59"/>
      <c r="AM66" s="60"/>
      <c r="AN66" s="62"/>
      <c r="AO66" s="66"/>
      <c r="AP66" s="67"/>
    </row>
    <row r="67" s="50" customFormat="1" customHeight="1" spans="1:42">
      <c r="A67" s="52" t="str">
        <f>'Agents'' Final Roster 0913-0919'!A67</f>
        <v>Campero Juarez Maria Guadalupe</v>
      </c>
      <c r="B67" s="53" t="str">
        <f>'Agents'' Final Roster 0913-0919'!B67</f>
        <v>Criado Esteban</v>
      </c>
      <c r="C67" s="53" t="str">
        <f>'Agents'' Final Roster 0913-0919'!C67</f>
        <v>Paz</v>
      </c>
      <c r="D67" s="53" t="str">
        <f>'Agents'' Final Roster 0913-0919'!D67</f>
        <v>Enzo Javier</v>
      </c>
      <c r="E67" s="53"/>
      <c r="F67" s="53"/>
      <c r="G67" s="53"/>
      <c r="H67" s="53"/>
      <c r="I67" s="53"/>
      <c r="J67" s="53"/>
      <c r="K67" s="53"/>
      <c r="L67" s="56"/>
      <c r="M67" s="56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 t="str">
        <f>'Agents'' Final Roster 0913-0919'!J67</f>
        <v>DVH</v>
      </c>
      <c r="AA67" s="53"/>
      <c r="AB67" s="53"/>
      <c r="AC67" s="53"/>
      <c r="AD67" s="53"/>
      <c r="AE67" s="53"/>
      <c r="AF67" s="53"/>
      <c r="AG67" s="53"/>
      <c r="AH67" s="53"/>
      <c r="AI67" s="53"/>
      <c r="AJ67" s="58"/>
      <c r="AK67" s="58"/>
      <c r="AL67" s="59"/>
      <c r="AM67" s="60"/>
      <c r="AN67" s="62"/>
      <c r="AO67" s="66"/>
      <c r="AP67" s="67"/>
    </row>
    <row r="68" s="50" customFormat="1" customHeight="1" spans="1:42">
      <c r="A68" s="52" t="str">
        <f>'Agents'' Final Roster 0913-0919'!A68</f>
        <v>Campero Juarez Maria Guadalupe</v>
      </c>
      <c r="B68" s="53" t="str">
        <f>'Agents'' Final Roster 0913-0919'!B68</f>
        <v>Criado Esteban</v>
      </c>
      <c r="C68" s="53" t="str">
        <f>'Agents'' Final Roster 0913-0919'!C68</f>
        <v>Ruiz</v>
      </c>
      <c r="D68" s="53" t="str">
        <f>'Agents'' Final Roster 0913-0919'!D68</f>
        <v>Daniel Antonio</v>
      </c>
      <c r="E68" s="53"/>
      <c r="F68" s="53"/>
      <c r="G68" s="53"/>
      <c r="H68" s="53"/>
      <c r="I68" s="53"/>
      <c r="J68" s="53"/>
      <c r="K68" s="53"/>
      <c r="L68" s="56"/>
      <c r="M68" s="56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 t="str">
        <f>'Agents'' Final Roster 0913-0919'!J68</f>
        <v>DVH</v>
      </c>
      <c r="AA68" s="53"/>
      <c r="AB68" s="53"/>
      <c r="AC68" s="53"/>
      <c r="AD68" s="53"/>
      <c r="AE68" s="53"/>
      <c r="AF68" s="53"/>
      <c r="AG68" s="53"/>
      <c r="AH68" s="53"/>
      <c r="AI68" s="53"/>
      <c r="AJ68" s="58"/>
      <c r="AK68" s="58"/>
      <c r="AL68" s="59"/>
      <c r="AM68" s="60"/>
      <c r="AN68" s="62"/>
      <c r="AO68" s="66"/>
      <c r="AP68" s="67"/>
    </row>
    <row r="69" s="50" customFormat="1" customHeight="1" spans="1:42">
      <c r="A69" s="54" t="str">
        <f>'Agents'' Final Roster 0913-0919'!A69</f>
        <v>Campero Juarez Maria Guadalupe</v>
      </c>
      <c r="B69" s="55" t="str">
        <f>'Agents'' Final Roster 0913-0919'!B69</f>
        <v>Criado Esteban</v>
      </c>
      <c r="C69" s="55" t="str">
        <f>'Agents'' Final Roster 0913-0919'!C69</f>
        <v>Salinas</v>
      </c>
      <c r="D69" s="55" t="str">
        <f>'Agents'' Final Roster 0913-0919'!D69</f>
        <v>Mariana Josefina</v>
      </c>
      <c r="E69" s="55"/>
      <c r="F69" s="55"/>
      <c r="G69" s="55"/>
      <c r="H69" s="55"/>
      <c r="I69" s="55"/>
      <c r="J69" s="55"/>
      <c r="K69" s="55"/>
      <c r="L69" s="56"/>
      <c r="M69" s="56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 t="str">
        <f>'Agents'' Final Roster 0913-0919'!J69</f>
        <v>Habilitaciones</v>
      </c>
      <c r="AA69" s="53"/>
      <c r="AB69" s="53"/>
      <c r="AC69" s="53"/>
      <c r="AD69" s="53"/>
      <c r="AE69" s="53"/>
      <c r="AF69" s="53"/>
      <c r="AG69" s="53"/>
      <c r="AH69" s="53"/>
      <c r="AI69" s="53"/>
      <c r="AJ69" s="58"/>
      <c r="AK69" s="58"/>
      <c r="AL69" s="59"/>
      <c r="AM69" s="60"/>
      <c r="AN69" s="62"/>
      <c r="AO69" s="66"/>
      <c r="AP69" s="67"/>
    </row>
    <row r="70" s="50" customFormat="1" customHeight="1" spans="1:42">
      <c r="A70" s="52" t="str">
        <f>'Agents'' Final Roster 0913-0919'!A70</f>
        <v>Campero Juarez Maria Guadalupe</v>
      </c>
      <c r="B70" s="53" t="str">
        <f>'Agents'' Final Roster 0913-0919'!B70</f>
        <v>Criado Esteban</v>
      </c>
      <c r="C70" s="53" t="str">
        <f>'Agents'' Final Roster 0913-0919'!C70</f>
        <v>Santucho</v>
      </c>
      <c r="D70" s="53" t="str">
        <f>'Agents'' Final Roster 0913-0919'!D70</f>
        <v>María del Rosario</v>
      </c>
      <c r="E70" s="53"/>
      <c r="F70" s="53"/>
      <c r="G70" s="53"/>
      <c r="H70" s="53"/>
      <c r="I70" s="53"/>
      <c r="J70" s="53"/>
      <c r="K70" s="53"/>
      <c r="L70" s="56"/>
      <c r="M70" s="56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 t="str">
        <f>'Agents'' Final Roster 0913-0919'!J70</f>
        <v>CSV1</v>
      </c>
      <c r="AA70" s="53"/>
      <c r="AB70" s="53"/>
      <c r="AC70" s="53"/>
      <c r="AD70" s="53"/>
      <c r="AE70" s="53"/>
      <c r="AF70" s="53"/>
      <c r="AG70" s="53"/>
      <c r="AH70" s="53"/>
      <c r="AI70" s="53"/>
      <c r="AJ70" s="58"/>
      <c r="AK70" s="58"/>
      <c r="AL70" s="59"/>
      <c r="AM70" s="60"/>
      <c r="AN70" s="62"/>
      <c r="AO70" s="66"/>
      <c r="AP70" s="67"/>
    </row>
    <row r="71" s="50" customFormat="1" customHeight="1" spans="1:42">
      <c r="A71" s="52" t="str">
        <f>'Agents'' Final Roster 0913-0919'!A71</f>
        <v>Campero Juarez Maria Guadalupe</v>
      </c>
      <c r="B71" s="53" t="str">
        <f>'Agents'' Final Roster 0913-0919'!B71</f>
        <v>Criado Esteban</v>
      </c>
      <c r="C71" s="53" t="str">
        <f>'Agents'' Final Roster 0913-0919'!C71</f>
        <v>Villagra</v>
      </c>
      <c r="D71" s="53" t="str">
        <f>'Agents'' Final Roster 0913-0919'!D71</f>
        <v>Daniela Alejandra </v>
      </c>
      <c r="E71" s="53"/>
      <c r="F71" s="53"/>
      <c r="G71" s="53"/>
      <c r="H71" s="53"/>
      <c r="I71" s="53"/>
      <c r="J71" s="53"/>
      <c r="K71" s="53"/>
      <c r="L71" s="56"/>
      <c r="M71" s="56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 t="str">
        <f>'Agents'' Final Roster 0913-0919'!J71</f>
        <v>DVH</v>
      </c>
      <c r="AA71" s="53"/>
      <c r="AB71" s="53"/>
      <c r="AC71" s="53"/>
      <c r="AD71" s="53"/>
      <c r="AE71" s="53"/>
      <c r="AF71" s="53"/>
      <c r="AG71" s="53"/>
      <c r="AH71" s="53"/>
      <c r="AI71" s="53"/>
      <c r="AJ71" s="58"/>
      <c r="AK71" s="58"/>
      <c r="AL71" s="59"/>
      <c r="AM71" s="60"/>
      <c r="AN71" s="62"/>
      <c r="AO71" s="66"/>
      <c r="AP71" s="67"/>
    </row>
    <row r="72" s="50" customFormat="1" customHeight="1" spans="1:42">
      <c r="A72" s="52" t="str">
        <f>'Agents'' Final Roster 0913-0919'!A72</f>
        <v>Campero Juarez Maria Guadalupe</v>
      </c>
      <c r="B72" s="53" t="str">
        <f>'Agents'' Final Roster 0913-0919'!B72</f>
        <v>Gregoratti Juan Carlos</v>
      </c>
      <c r="C72" s="53" t="str">
        <f>'Agents'' Final Roster 0913-0919'!C72</f>
        <v>Agüero</v>
      </c>
      <c r="D72" s="53" t="str">
        <f>'Agents'' Final Roster 0913-0919'!D72</f>
        <v>Maria Micaela</v>
      </c>
      <c r="E72" s="53"/>
      <c r="F72" s="53"/>
      <c r="G72" s="53"/>
      <c r="H72" s="53"/>
      <c r="I72" s="53"/>
      <c r="J72" s="53"/>
      <c r="K72" s="53"/>
      <c r="L72" s="56"/>
      <c r="M72" s="56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 t="str">
        <f>'Agents'' Final Roster 0913-0919'!J72</f>
        <v>DVH</v>
      </c>
      <c r="AA72" s="53"/>
      <c r="AB72" s="53"/>
      <c r="AC72" s="53"/>
      <c r="AD72" s="53"/>
      <c r="AE72" s="53"/>
      <c r="AF72" s="53"/>
      <c r="AG72" s="53"/>
      <c r="AH72" s="53"/>
      <c r="AI72" s="53"/>
      <c r="AJ72" s="58"/>
      <c r="AK72" s="58"/>
      <c r="AL72" s="59"/>
      <c r="AM72" s="60"/>
      <c r="AN72" s="62"/>
      <c r="AO72" s="66"/>
      <c r="AP72" s="67"/>
    </row>
    <row r="73" s="50" customFormat="1" customHeight="1" spans="1:42">
      <c r="A73" s="52" t="str">
        <f>'Agents'' Final Roster 0913-0919'!A73</f>
        <v>Campero Juarez Maria Guadalupe</v>
      </c>
      <c r="B73" s="53" t="str">
        <f>'Agents'' Final Roster 0913-0919'!B73</f>
        <v>Gregoratti Juan Carlos</v>
      </c>
      <c r="C73" s="53" t="str">
        <f>'Agents'' Final Roster 0913-0919'!C73</f>
        <v>Alarcon </v>
      </c>
      <c r="D73" s="53" t="str">
        <f>'Agents'' Final Roster 0913-0919'!D73</f>
        <v>Yanet Micaela</v>
      </c>
      <c r="E73" s="53"/>
      <c r="F73" s="53"/>
      <c r="G73" s="53"/>
      <c r="H73" s="53"/>
      <c r="I73" s="53"/>
      <c r="J73" s="53"/>
      <c r="K73" s="53"/>
      <c r="L73" s="56"/>
      <c r="M73" s="56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 t="str">
        <f>'Agents'' Final Roster 0913-0919'!J73</f>
        <v>CSV2</v>
      </c>
      <c r="AA73" s="53"/>
      <c r="AB73" s="53"/>
      <c r="AC73" s="53"/>
      <c r="AD73" s="53"/>
      <c r="AE73" s="53"/>
      <c r="AF73" s="53"/>
      <c r="AG73" s="53"/>
      <c r="AH73" s="53"/>
      <c r="AI73" s="53"/>
      <c r="AJ73" s="58"/>
      <c r="AK73" s="58"/>
      <c r="AL73" s="59"/>
      <c r="AM73" s="60"/>
      <c r="AN73" s="62"/>
      <c r="AO73" s="66"/>
      <c r="AP73" s="67"/>
    </row>
    <row r="74" s="50" customFormat="1" customHeight="1" spans="1:42">
      <c r="A74" s="52" t="str">
        <f>'Agents'' Final Roster 0913-0919'!A74</f>
        <v>Campero Juarez Maria Guadalupe</v>
      </c>
      <c r="B74" s="53" t="str">
        <f>'Agents'' Final Roster 0913-0919'!B74</f>
        <v>Gregoratti Juan Carlos</v>
      </c>
      <c r="C74" s="53" t="str">
        <f>'Agents'' Final Roster 0913-0919'!C74</f>
        <v>Blanco Brandan</v>
      </c>
      <c r="D74" s="53" t="str">
        <f>'Agents'' Final Roster 0913-0919'!D74</f>
        <v>Bianca Abigail</v>
      </c>
      <c r="E74" s="53"/>
      <c r="F74" s="53"/>
      <c r="G74" s="53"/>
      <c r="H74" s="53"/>
      <c r="I74" s="53"/>
      <c r="J74" s="53"/>
      <c r="K74" s="53"/>
      <c r="L74" s="56"/>
      <c r="M74" s="56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 t="str">
        <f>'Agents'' Final Roster 0913-0919'!J74</f>
        <v>CSV2</v>
      </c>
      <c r="AA74" s="53"/>
      <c r="AB74" s="53"/>
      <c r="AC74" s="53"/>
      <c r="AD74" s="53"/>
      <c r="AE74" s="53"/>
      <c r="AF74" s="53"/>
      <c r="AG74" s="53"/>
      <c r="AH74" s="53"/>
      <c r="AI74" s="53"/>
      <c r="AJ74" s="58"/>
      <c r="AK74" s="58"/>
      <c r="AL74" s="59"/>
      <c r="AM74" s="60"/>
      <c r="AN74" s="62"/>
      <c r="AO74" s="66"/>
      <c r="AP74" s="67"/>
    </row>
    <row r="75" s="50" customFormat="1" customHeight="1" spans="1:42">
      <c r="A75" s="52" t="str">
        <f>'Agents'' Final Roster 0913-0919'!A75</f>
        <v>Campero Juarez Maria Guadalupe</v>
      </c>
      <c r="B75" s="53" t="str">
        <f>'Agents'' Final Roster 0913-0919'!B75</f>
        <v>Gregoratti Juan Carlos</v>
      </c>
      <c r="C75" s="53" t="str">
        <f>'Agents'' Final Roster 0913-0919'!C75</f>
        <v>Carrizo</v>
      </c>
      <c r="D75" s="53" t="str">
        <f>'Agents'' Final Roster 0913-0919'!D75</f>
        <v>Ulises Joel</v>
      </c>
      <c r="E75" s="53"/>
      <c r="F75" s="53"/>
      <c r="G75" s="53"/>
      <c r="H75" s="53"/>
      <c r="I75" s="53"/>
      <c r="J75" s="53"/>
      <c r="K75" s="53"/>
      <c r="L75" s="56"/>
      <c r="M75" s="56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 t="str">
        <f>'Agents'' Final Roster 0913-0919'!J75</f>
        <v>CSV2</v>
      </c>
      <c r="AA75" s="53"/>
      <c r="AB75" s="53"/>
      <c r="AC75" s="53"/>
      <c r="AD75" s="53"/>
      <c r="AE75" s="53"/>
      <c r="AF75" s="53"/>
      <c r="AG75" s="53"/>
      <c r="AH75" s="53"/>
      <c r="AI75" s="53"/>
      <c r="AJ75" s="58"/>
      <c r="AK75" s="58"/>
      <c r="AL75" s="59"/>
      <c r="AM75" s="60"/>
      <c r="AN75" s="62"/>
      <c r="AO75" s="66"/>
      <c r="AP75" s="67"/>
    </row>
    <row r="76" s="50" customFormat="1" customHeight="1" spans="1:42">
      <c r="A76" s="52" t="str">
        <f>'Agents'' Final Roster 0913-0919'!A76</f>
        <v>Campero Juarez Maria Guadalupe</v>
      </c>
      <c r="B76" s="53" t="str">
        <f>'Agents'' Final Roster 0913-0919'!B76</f>
        <v>Corbera Susana Sofía</v>
      </c>
      <c r="C76" s="53" t="str">
        <f>'Agents'' Final Roster 0913-0919'!C76</f>
        <v>Escobar</v>
      </c>
      <c r="D76" s="53" t="str">
        <f>'Agents'' Final Roster 0913-0919'!D76</f>
        <v>Carolina del Valle</v>
      </c>
      <c r="E76" s="53"/>
      <c r="F76" s="53"/>
      <c r="G76" s="53"/>
      <c r="H76" s="53"/>
      <c r="I76" s="53"/>
      <c r="J76" s="53"/>
      <c r="K76" s="53"/>
      <c r="L76" s="56"/>
      <c r="M76" s="56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 t="str">
        <f>'Agents'' Final Roster 0913-0919'!J76</f>
        <v>CSV2</v>
      </c>
      <c r="AA76" s="53"/>
      <c r="AB76" s="53"/>
      <c r="AC76" s="53"/>
      <c r="AD76" s="53"/>
      <c r="AE76" s="53"/>
      <c r="AF76" s="53"/>
      <c r="AG76" s="53"/>
      <c r="AH76" s="53"/>
      <c r="AI76" s="53"/>
      <c r="AJ76" s="58"/>
      <c r="AK76" s="58"/>
      <c r="AL76" s="59"/>
      <c r="AM76" s="60"/>
      <c r="AN76" s="62"/>
      <c r="AO76" s="66"/>
      <c r="AP76" s="67"/>
    </row>
    <row r="77" s="50" customFormat="1" customHeight="1" spans="1:42">
      <c r="A77" s="52" t="str">
        <f>'Agents'' Final Roster 0913-0919'!A77</f>
        <v>Campero Juarez Maria Guadalupe</v>
      </c>
      <c r="B77" s="53" t="str">
        <f>'Agents'' Final Roster 0913-0919'!B77</f>
        <v>Gregoratti Juan Carlos</v>
      </c>
      <c r="C77" s="53" t="str">
        <f>'Agents'' Final Roster 0913-0919'!C77</f>
        <v>Ferroni</v>
      </c>
      <c r="D77" s="53" t="str">
        <f>'Agents'' Final Roster 0913-0919'!D77</f>
        <v>Carlos Agustin</v>
      </c>
      <c r="E77" s="53"/>
      <c r="F77" s="53"/>
      <c r="G77" s="53"/>
      <c r="H77" s="53"/>
      <c r="I77" s="53"/>
      <c r="J77" s="53"/>
      <c r="K77" s="53"/>
      <c r="L77" s="56"/>
      <c r="M77" s="56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 t="str">
        <f>'Agents'' Final Roster 0913-0919'!J77</f>
        <v>Compras Referidas</v>
      </c>
      <c r="AA77" s="53"/>
      <c r="AB77" s="53"/>
      <c r="AC77" s="53"/>
      <c r="AD77" s="53"/>
      <c r="AE77" s="53"/>
      <c r="AF77" s="53"/>
      <c r="AG77" s="53"/>
      <c r="AH77" s="53"/>
      <c r="AI77" s="53"/>
      <c r="AJ77" s="58"/>
      <c r="AK77" s="58"/>
      <c r="AL77" s="59"/>
      <c r="AM77" s="60"/>
      <c r="AN77" s="62"/>
      <c r="AO77" s="66"/>
      <c r="AP77" s="67"/>
    </row>
    <row r="78" s="50" customFormat="1" customHeight="1" spans="1:42">
      <c r="A78" s="52" t="str">
        <f>'Agents'' Final Roster 0913-0919'!A78</f>
        <v>Campero Juarez Maria Guadalupe</v>
      </c>
      <c r="B78" s="53" t="str">
        <f>'Agents'' Final Roster 0913-0919'!B78</f>
        <v>Gregoratti Juan Carlos</v>
      </c>
      <c r="C78" s="53" t="str">
        <f>'Agents'' Final Roster 0913-0919'!C78</f>
        <v>Garcia Jerez</v>
      </c>
      <c r="D78" s="53" t="str">
        <f>'Agents'' Final Roster 0913-0919'!D78</f>
        <v>Matias Agustin </v>
      </c>
      <c r="E78" s="53"/>
      <c r="F78" s="53"/>
      <c r="G78" s="53"/>
      <c r="H78" s="53"/>
      <c r="I78" s="53"/>
      <c r="J78" s="53"/>
      <c r="K78" s="53"/>
      <c r="L78" s="56"/>
      <c r="M78" s="56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 t="str">
        <f>'Agents'' Final Roster 0913-0919'!J78</f>
        <v>CSV2</v>
      </c>
      <c r="AA78" s="53"/>
      <c r="AB78" s="53"/>
      <c r="AC78" s="53"/>
      <c r="AD78" s="53"/>
      <c r="AE78" s="53"/>
      <c r="AF78" s="53"/>
      <c r="AG78" s="53"/>
      <c r="AH78" s="53"/>
      <c r="AI78" s="53"/>
      <c r="AJ78" s="58"/>
      <c r="AK78" s="58"/>
      <c r="AL78" s="59"/>
      <c r="AM78" s="60"/>
      <c r="AN78" s="62"/>
      <c r="AO78" s="66"/>
      <c r="AP78" s="67"/>
    </row>
    <row r="79" s="50" customFormat="1" customHeight="1" spans="1:42">
      <c r="A79" s="52" t="str">
        <f>'Agents'' Final Roster 0913-0919'!A79</f>
        <v>Campero Juarez Maria Guadalupe</v>
      </c>
      <c r="B79" s="53" t="str">
        <f>'Agents'' Final Roster 0913-0919'!B79</f>
        <v>Gregoratti Juan Carlos</v>
      </c>
      <c r="C79" s="53" t="str">
        <f>'Agents'' Final Roster 0913-0919'!C79</f>
        <v>Lafuente</v>
      </c>
      <c r="D79" s="53" t="str">
        <f>'Agents'' Final Roster 0913-0919'!D79</f>
        <v>Facundo Edel</v>
      </c>
      <c r="E79" s="53"/>
      <c r="F79" s="53"/>
      <c r="G79" s="53"/>
      <c r="H79" s="53"/>
      <c r="I79" s="53"/>
      <c r="J79" s="53"/>
      <c r="K79" s="53"/>
      <c r="L79" s="56"/>
      <c r="M79" s="56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 t="str">
        <f>'Agents'' Final Roster 0913-0919'!J79</f>
        <v>CSV2</v>
      </c>
      <c r="AA79" s="53"/>
      <c r="AB79" s="53"/>
      <c r="AC79" s="53"/>
      <c r="AD79" s="53"/>
      <c r="AE79" s="53"/>
      <c r="AF79" s="53"/>
      <c r="AG79" s="53"/>
      <c r="AH79" s="53"/>
      <c r="AI79" s="53"/>
      <c r="AJ79" s="58"/>
      <c r="AK79" s="58"/>
      <c r="AL79" s="59"/>
      <c r="AM79" s="60"/>
      <c r="AN79" s="62"/>
      <c r="AO79" s="66"/>
      <c r="AP79" s="67"/>
    </row>
    <row r="80" s="50" customFormat="1" customHeight="1" spans="1:42">
      <c r="A80" s="52" t="str">
        <f>'Agents'' Final Roster 0913-0919'!A80</f>
        <v>Campero Juarez Maria Guadalupe</v>
      </c>
      <c r="B80" s="53" t="str">
        <f>'Agents'' Final Roster 0913-0919'!B80</f>
        <v>Gregoratti Juan Carlos</v>
      </c>
      <c r="C80" s="53" t="str">
        <f>'Agents'' Final Roster 0913-0919'!C80</f>
        <v>Lescano</v>
      </c>
      <c r="D80" s="53" t="str">
        <f>'Agents'' Final Roster 0913-0919'!D80</f>
        <v>Daiana Gissel</v>
      </c>
      <c r="E80" s="53"/>
      <c r="F80" s="53"/>
      <c r="G80" s="53"/>
      <c r="H80" s="53"/>
      <c r="I80" s="53"/>
      <c r="J80" s="53"/>
      <c r="K80" s="53"/>
      <c r="L80" s="56"/>
      <c r="M80" s="56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 t="str">
        <f>'Agents'' Final Roster 0913-0919'!J80</f>
        <v>CSV2</v>
      </c>
      <c r="AA80" s="53"/>
      <c r="AB80" s="53"/>
      <c r="AC80" s="53"/>
      <c r="AD80" s="53"/>
      <c r="AE80" s="53"/>
      <c r="AF80" s="53"/>
      <c r="AG80" s="53"/>
      <c r="AH80" s="53"/>
      <c r="AI80" s="53"/>
      <c r="AJ80" s="58"/>
      <c r="AK80" s="58"/>
      <c r="AL80" s="59"/>
      <c r="AM80" s="60"/>
      <c r="AN80" s="62"/>
      <c r="AO80" s="66"/>
      <c r="AP80" s="67"/>
    </row>
    <row r="81" s="50" customFormat="1" customHeight="1" spans="1:42">
      <c r="A81" s="52" t="str">
        <f>'Agents'' Final Roster 0913-0919'!A81</f>
        <v>Campero Juarez Maria Guadalupe</v>
      </c>
      <c r="B81" s="53" t="str">
        <f>'Agents'' Final Roster 0913-0919'!B81</f>
        <v>Gregoratti Juan Carlos</v>
      </c>
      <c r="C81" s="53" t="str">
        <f>'Agents'' Final Roster 0913-0919'!C81</f>
        <v>Lizárraga</v>
      </c>
      <c r="D81" s="53" t="str">
        <f>'Agents'' Final Roster 0913-0919'!D81</f>
        <v>Lucas Iván</v>
      </c>
      <c r="E81" s="53"/>
      <c r="F81" s="53"/>
      <c r="G81" s="53"/>
      <c r="H81" s="53"/>
      <c r="I81" s="53"/>
      <c r="J81" s="53"/>
      <c r="K81" s="53"/>
      <c r="L81" s="56"/>
      <c r="M81" s="56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 t="str">
        <f>'Agents'' Final Roster 0913-0919'!J81</f>
        <v>CSV2</v>
      </c>
      <c r="AA81" s="53"/>
      <c r="AB81" s="53"/>
      <c r="AC81" s="53"/>
      <c r="AD81" s="53"/>
      <c r="AE81" s="53"/>
      <c r="AF81" s="53"/>
      <c r="AG81" s="53"/>
      <c r="AH81" s="53"/>
      <c r="AI81" s="53"/>
      <c r="AJ81" s="58"/>
      <c r="AK81" s="58"/>
      <c r="AL81" s="59"/>
      <c r="AM81" s="60"/>
      <c r="AN81" s="62"/>
      <c r="AO81" s="66"/>
      <c r="AP81" s="67"/>
    </row>
    <row r="82" s="50" customFormat="1" customHeight="1" spans="1:42">
      <c r="A82" s="54" t="str">
        <f>'Agents'' Final Roster 0913-0919'!A82</f>
        <v>Campero Juarez Maria Guadalupe</v>
      </c>
      <c r="B82" s="55" t="str">
        <f>'Agents'' Final Roster 0913-0919'!B82</f>
        <v>Gregoratti Juan Carlos</v>
      </c>
      <c r="C82" s="55" t="str">
        <f>'Agents'' Final Roster 0913-0919'!C82</f>
        <v>Ochoa</v>
      </c>
      <c r="D82" s="55" t="str">
        <f>'Agents'' Final Roster 0913-0919'!D82</f>
        <v>Florencia Belen</v>
      </c>
      <c r="E82" s="55"/>
      <c r="F82" s="55"/>
      <c r="G82" s="55"/>
      <c r="H82" s="55"/>
      <c r="I82" s="55"/>
      <c r="J82" s="55"/>
      <c r="K82" s="55"/>
      <c r="L82" s="56"/>
      <c r="M82" s="56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 t="str">
        <f>'Agents'' Final Roster 0913-0919'!J82</f>
        <v>CSV2</v>
      </c>
      <c r="AA82" s="53"/>
      <c r="AB82" s="53"/>
      <c r="AC82" s="53"/>
      <c r="AD82" s="53"/>
      <c r="AE82" s="53"/>
      <c r="AF82" s="53"/>
      <c r="AG82" s="53"/>
      <c r="AH82" s="53"/>
      <c r="AI82" s="53"/>
      <c r="AJ82" s="58"/>
      <c r="AK82" s="58"/>
      <c r="AL82" s="59"/>
      <c r="AM82" s="60"/>
      <c r="AN82" s="62"/>
      <c r="AO82" s="66"/>
      <c r="AP82" s="67"/>
    </row>
    <row r="83" s="50" customFormat="1" customHeight="1" spans="1:42">
      <c r="A83" s="52" t="str">
        <f>'Agents'' Final Roster 0913-0919'!A83</f>
        <v>Campero Juarez Maria Guadalupe</v>
      </c>
      <c r="B83" s="53" t="str">
        <f>'Agents'' Final Roster 0913-0919'!B83</f>
        <v>Gregoratti Juan Carlos</v>
      </c>
      <c r="C83" s="53" t="str">
        <f>'Agents'' Final Roster 0913-0919'!C83</f>
        <v>Pachao Medina</v>
      </c>
      <c r="D83" s="53" t="str">
        <f>'Agents'' Final Roster 0913-0919'!D83</f>
        <v>Juan Carlos</v>
      </c>
      <c r="E83" s="53"/>
      <c r="F83" s="53"/>
      <c r="G83" s="53"/>
      <c r="H83" s="53"/>
      <c r="I83" s="53"/>
      <c r="J83" s="53"/>
      <c r="K83" s="53"/>
      <c r="L83" s="56"/>
      <c r="M83" s="56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 t="str">
        <f>'Agents'' Final Roster 0913-0919'!J83</f>
        <v>DVH</v>
      </c>
      <c r="AA83" s="53"/>
      <c r="AB83" s="53"/>
      <c r="AC83" s="53"/>
      <c r="AD83" s="53"/>
      <c r="AE83" s="53"/>
      <c r="AF83" s="53"/>
      <c r="AG83" s="53"/>
      <c r="AH83" s="53"/>
      <c r="AI83" s="53"/>
      <c r="AJ83" s="58"/>
      <c r="AK83" s="58"/>
      <c r="AL83" s="59"/>
      <c r="AM83" s="60"/>
      <c r="AN83" s="62"/>
      <c r="AO83" s="66"/>
      <c r="AP83" s="67"/>
    </row>
    <row r="84" s="50" customFormat="1" customHeight="1" spans="1:42">
      <c r="A84" s="52" t="str">
        <f>'Agents'' Final Roster 0913-0919'!A84</f>
        <v>Campero Juarez Maria Guadalupe</v>
      </c>
      <c r="B84" s="53" t="str">
        <f>'Agents'' Final Roster 0913-0919'!B84</f>
        <v>Gregoratti Juan Carlos</v>
      </c>
      <c r="C84" s="53" t="str">
        <f>'Agents'' Final Roster 0913-0919'!C84</f>
        <v>Quiroga Castro</v>
      </c>
      <c r="D84" s="53" t="str">
        <f>'Agents'' Final Roster 0913-0919'!D84</f>
        <v>Franco Nicolas</v>
      </c>
      <c r="E84" s="53"/>
      <c r="F84" s="53"/>
      <c r="G84" s="53"/>
      <c r="H84" s="53"/>
      <c r="I84" s="53"/>
      <c r="J84" s="53"/>
      <c r="K84" s="53"/>
      <c r="L84" s="56"/>
      <c r="M84" s="56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 t="str">
        <f>'Agents'' Final Roster 0913-0919'!J84</f>
        <v>CSV2</v>
      </c>
      <c r="AA84" s="53"/>
      <c r="AB84" s="53"/>
      <c r="AC84" s="53"/>
      <c r="AD84" s="53"/>
      <c r="AE84" s="53"/>
      <c r="AF84" s="53"/>
      <c r="AG84" s="53"/>
      <c r="AH84" s="53"/>
      <c r="AI84" s="53"/>
      <c r="AJ84" s="58"/>
      <c r="AK84" s="58"/>
      <c r="AL84" s="59"/>
      <c r="AM84" s="60"/>
      <c r="AN84" s="62"/>
      <c r="AO84" s="66"/>
      <c r="AP84" s="67"/>
    </row>
    <row r="85" s="50" customFormat="1" customHeight="1" spans="1:42">
      <c r="A85" s="52" t="str">
        <f>'Agents'' Final Roster 0913-0919'!A85</f>
        <v>Campero Juarez Maria Guadalupe</v>
      </c>
      <c r="B85" s="53" t="str">
        <f>'Agents'' Final Roster 0913-0919'!B85</f>
        <v>Gregoratti Juan Carlos</v>
      </c>
      <c r="C85" s="53" t="str">
        <f>'Agents'' Final Roster 0913-0919'!C85</f>
        <v>Sanchez</v>
      </c>
      <c r="D85" s="53" t="str">
        <f>'Agents'' Final Roster 0913-0919'!D85</f>
        <v>Juan Jorge Augusto</v>
      </c>
      <c r="E85" s="53"/>
      <c r="F85" s="53"/>
      <c r="G85" s="53"/>
      <c r="H85" s="53"/>
      <c r="I85" s="53"/>
      <c r="J85" s="53"/>
      <c r="K85" s="53"/>
      <c r="L85" s="56"/>
      <c r="M85" s="56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 t="str">
        <f>'Agents'' Final Roster 0913-0919'!J85</f>
        <v>CSV2</v>
      </c>
      <c r="AA85" s="53"/>
      <c r="AB85" s="53"/>
      <c r="AC85" s="53"/>
      <c r="AD85" s="53"/>
      <c r="AE85" s="53"/>
      <c r="AF85" s="53"/>
      <c r="AG85" s="53"/>
      <c r="AH85" s="53"/>
      <c r="AI85" s="53"/>
      <c r="AJ85" s="58"/>
      <c r="AK85" s="58"/>
      <c r="AL85" s="59"/>
      <c r="AM85" s="60"/>
      <c r="AN85" s="62"/>
      <c r="AO85" s="66"/>
      <c r="AP85" s="67"/>
    </row>
    <row r="86" s="50" customFormat="1" customHeight="1" spans="1:42">
      <c r="A86" s="52" t="str">
        <f>'Agents'' Final Roster 0913-0919'!A86</f>
        <v>Campero Juarez Maria Guadalupe</v>
      </c>
      <c r="B86" s="53" t="str">
        <f>'Agents'' Final Roster 0913-0919'!B86</f>
        <v>Gregoratti Juan Carlos</v>
      </c>
      <c r="C86" s="53" t="str">
        <f>'Agents'' Final Roster 0913-0919'!C86</f>
        <v>Vitar</v>
      </c>
      <c r="D86" s="53" t="str">
        <f>'Agents'' Final Roster 0913-0919'!D86</f>
        <v>Nuria Mariel</v>
      </c>
      <c r="E86" s="53"/>
      <c r="F86" s="53"/>
      <c r="G86" s="53"/>
      <c r="H86" s="53"/>
      <c r="I86" s="53"/>
      <c r="J86" s="53"/>
      <c r="K86" s="53"/>
      <c r="L86" s="56"/>
      <c r="M86" s="56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 t="str">
        <f>'Agents'' Final Roster 0913-0919'!J86</f>
        <v>CSV2</v>
      </c>
      <c r="AA86" s="53"/>
      <c r="AB86" s="53"/>
      <c r="AC86" s="53"/>
      <c r="AD86" s="53"/>
      <c r="AE86" s="53"/>
      <c r="AF86" s="53"/>
      <c r="AG86" s="53"/>
      <c r="AH86" s="53"/>
      <c r="AI86" s="53"/>
      <c r="AJ86" s="58"/>
      <c r="AK86" s="58"/>
      <c r="AL86" s="59"/>
      <c r="AM86" s="60"/>
      <c r="AN86" s="62"/>
      <c r="AO86" s="66"/>
      <c r="AP86" s="67"/>
    </row>
    <row r="87" s="50" customFormat="1" customHeight="1" spans="1:42">
      <c r="A87" s="54" t="str">
        <f>'Agents'' Final Roster 0913-0919'!A87</f>
        <v>Campero Juarez Maria Guadalupe</v>
      </c>
      <c r="B87" s="55" t="str">
        <f>'Agents'' Final Roster 0913-0919'!B87</f>
        <v>Gregoratti Juan Carlos</v>
      </c>
      <c r="C87" s="55" t="str">
        <f>'Agents'' Final Roster 0913-0919'!C87</f>
        <v>Yapura</v>
      </c>
      <c r="D87" s="55" t="str">
        <f>'Agents'' Final Roster 0913-0919'!D87</f>
        <v>Benito Javier</v>
      </c>
      <c r="E87" s="55"/>
      <c r="F87" s="55"/>
      <c r="G87" s="55"/>
      <c r="H87" s="55"/>
      <c r="I87" s="55"/>
      <c r="J87" s="55"/>
      <c r="K87" s="55"/>
      <c r="L87" s="56"/>
      <c r="M87" s="56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 t="str">
        <f>'Agents'' Final Roster 0913-0919'!J87</f>
        <v>DVH</v>
      </c>
      <c r="AA87" s="53"/>
      <c r="AB87" s="53"/>
      <c r="AC87" s="53"/>
      <c r="AD87" s="53"/>
      <c r="AE87" s="53"/>
      <c r="AF87" s="53"/>
      <c r="AG87" s="53"/>
      <c r="AH87" s="53"/>
      <c r="AI87" s="53"/>
      <c r="AJ87" s="58"/>
      <c r="AK87" s="58"/>
      <c r="AL87" s="59"/>
      <c r="AM87" s="60"/>
      <c r="AN87" s="62"/>
      <c r="AO87" s="66"/>
      <c r="AP87" s="67"/>
    </row>
    <row r="88" s="50" customFormat="1" customHeight="1" spans="1:42">
      <c r="A88" s="52" t="str">
        <f>'Agents'' Final Roster 0913-0919'!A88</f>
        <v>Campero Juarez Maria Guadalupe</v>
      </c>
      <c r="B88" s="53" t="str">
        <f>'Agents'' Final Roster 0913-0919'!B88</f>
        <v>Mendoza Norma Mercedes</v>
      </c>
      <c r="C88" s="53" t="str">
        <f>'Agents'' Final Roster 0913-0919'!C88</f>
        <v>Figueroa</v>
      </c>
      <c r="D88" s="53" t="str">
        <f>'Agents'' Final Roster 0913-0919'!D88</f>
        <v>Aranda María</v>
      </c>
      <c r="E88" s="53"/>
      <c r="F88" s="53"/>
      <c r="G88" s="53"/>
      <c r="H88" s="53"/>
      <c r="I88" s="53"/>
      <c r="J88" s="53"/>
      <c r="K88" s="53"/>
      <c r="L88" s="56"/>
      <c r="M88" s="56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 t="str">
        <f>'Agents'' Final Roster 0913-0919'!J88</f>
        <v>Servicios web</v>
      </c>
      <c r="AA88" s="53"/>
      <c r="AB88" s="53"/>
      <c r="AC88" s="53"/>
      <c r="AD88" s="53"/>
      <c r="AE88" s="53"/>
      <c r="AF88" s="53"/>
      <c r="AG88" s="53"/>
      <c r="AH88" s="53"/>
      <c r="AI88" s="53"/>
      <c r="AJ88" s="58"/>
      <c r="AK88" s="58"/>
      <c r="AL88" s="59"/>
      <c r="AM88" s="60"/>
      <c r="AN88" s="62"/>
      <c r="AO88" s="66"/>
      <c r="AP88" s="67"/>
    </row>
    <row r="89" s="50" customFormat="1" customHeight="1" spans="1:42">
      <c r="A89" s="52" t="str">
        <f>'Agents'' Final Roster 0913-0919'!A89</f>
        <v>Campero Juarez Maria Guadalupe</v>
      </c>
      <c r="B89" s="53" t="str">
        <f>'Agents'' Final Roster 0913-0919'!B89</f>
        <v>Mendoza Norma Mercedes</v>
      </c>
      <c r="C89" s="53" t="str">
        <f>'Agents'' Final Roster 0913-0919'!C89</f>
        <v>Garcia Bulacio</v>
      </c>
      <c r="D89" s="53" t="str">
        <f>'Agents'' Final Roster 0913-0919'!D89</f>
        <v>Luciano</v>
      </c>
      <c r="E89" s="53"/>
      <c r="F89" s="53"/>
      <c r="G89" s="53"/>
      <c r="H89" s="53"/>
      <c r="I89" s="53"/>
      <c r="J89" s="53"/>
      <c r="K89" s="53"/>
      <c r="L89" s="56"/>
      <c r="M89" s="56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 t="str">
        <f>'Agents'' Final Roster 0913-0919'!J89</f>
        <v>DVH</v>
      </c>
      <c r="AA89" s="53"/>
      <c r="AB89" s="53"/>
      <c r="AC89" s="53"/>
      <c r="AD89" s="53"/>
      <c r="AE89" s="53"/>
      <c r="AF89" s="53"/>
      <c r="AG89" s="53"/>
      <c r="AH89" s="53"/>
      <c r="AI89" s="53"/>
      <c r="AJ89" s="58"/>
      <c r="AK89" s="58"/>
      <c r="AL89" s="59"/>
      <c r="AM89" s="60"/>
      <c r="AN89" s="62"/>
      <c r="AO89" s="66"/>
      <c r="AP89" s="67"/>
    </row>
    <row r="90" s="50" customFormat="1" customHeight="1" spans="1:42">
      <c r="A90" s="52" t="str">
        <f>'Agents'' Final Roster 0913-0919'!A90</f>
        <v>Campero Juarez Maria Guadalupe</v>
      </c>
      <c r="B90" s="53" t="str">
        <f>'Agents'' Final Roster 0913-0919'!B90</f>
        <v>Mendoza Norma Mercedes</v>
      </c>
      <c r="C90" s="53" t="str">
        <f>'Agents'' Final Roster 0913-0919'!C90</f>
        <v>Gomez</v>
      </c>
      <c r="D90" s="53" t="str">
        <f>'Agents'' Final Roster 0913-0919'!D90</f>
        <v>Lourdes María</v>
      </c>
      <c r="E90" s="53"/>
      <c r="F90" s="53"/>
      <c r="G90" s="53"/>
      <c r="H90" s="53"/>
      <c r="I90" s="53"/>
      <c r="J90" s="53"/>
      <c r="K90" s="53"/>
      <c r="L90" s="56"/>
      <c r="M90" s="56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 t="str">
        <f>'Agents'' Final Roster 0913-0919'!J90</f>
        <v>DVH</v>
      </c>
      <c r="AA90" s="53"/>
      <c r="AB90" s="53"/>
      <c r="AC90" s="53"/>
      <c r="AD90" s="53"/>
      <c r="AE90" s="53"/>
      <c r="AF90" s="53"/>
      <c r="AG90" s="53"/>
      <c r="AH90" s="53"/>
      <c r="AI90" s="53"/>
      <c r="AJ90" s="58"/>
      <c r="AK90" s="58"/>
      <c r="AL90" s="59"/>
      <c r="AM90" s="60"/>
      <c r="AN90" s="62"/>
      <c r="AO90" s="66"/>
      <c r="AP90" s="67"/>
    </row>
    <row r="91" s="50" customFormat="1" customHeight="1" spans="1:42">
      <c r="A91" s="52" t="str">
        <f>'Agents'' Final Roster 0913-0919'!A91</f>
        <v>Campero Juarez Maria Guadalupe</v>
      </c>
      <c r="B91" s="53" t="str">
        <f>'Agents'' Final Roster 0913-0919'!B91</f>
        <v>Mendoza Norma Mercedes</v>
      </c>
      <c r="C91" s="53" t="str">
        <f>'Agents'' Final Roster 0913-0919'!C91</f>
        <v>Gonzalez Conidares</v>
      </c>
      <c r="D91" s="53" t="str">
        <f>'Agents'' Final Roster 0913-0919'!D91</f>
        <v>Enzo Micael</v>
      </c>
      <c r="E91" s="53"/>
      <c r="F91" s="53"/>
      <c r="G91" s="53"/>
      <c r="H91" s="53"/>
      <c r="I91" s="53"/>
      <c r="J91" s="53"/>
      <c r="K91" s="53"/>
      <c r="L91" s="56"/>
      <c r="M91" s="56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 t="str">
        <f>'Agents'' Final Roster 0913-0919'!J91</f>
        <v>DVH</v>
      </c>
      <c r="AA91" s="53"/>
      <c r="AB91" s="53"/>
      <c r="AC91" s="53"/>
      <c r="AD91" s="53"/>
      <c r="AE91" s="53"/>
      <c r="AF91" s="53"/>
      <c r="AG91" s="53"/>
      <c r="AH91" s="53"/>
      <c r="AI91" s="53"/>
      <c r="AJ91" s="58"/>
      <c r="AK91" s="58"/>
      <c r="AL91" s="59"/>
      <c r="AM91" s="60"/>
      <c r="AN91" s="62"/>
      <c r="AO91" s="66"/>
      <c r="AP91" s="67"/>
    </row>
    <row r="92" s="50" customFormat="1" customHeight="1" spans="1:42">
      <c r="A92" s="54" t="str">
        <f>'Agents'' Final Roster 0913-0919'!A92</f>
        <v>Campero Juarez Maria Guadalupe</v>
      </c>
      <c r="B92" s="55" t="str">
        <f>'Agents'' Final Roster 0913-0919'!B92</f>
        <v>Mendoza Norma Mercedes</v>
      </c>
      <c r="C92" s="55" t="str">
        <f>'Agents'' Final Roster 0913-0919'!C92</f>
        <v>González Jiménez</v>
      </c>
      <c r="D92" s="55" t="str">
        <f>'Agents'' Final Roster 0913-0919'!D92</f>
        <v>Jorge Iván</v>
      </c>
      <c r="E92" s="55"/>
      <c r="F92" s="55"/>
      <c r="G92" s="55"/>
      <c r="H92" s="55"/>
      <c r="I92" s="55"/>
      <c r="J92" s="55"/>
      <c r="K92" s="55"/>
      <c r="L92" s="56"/>
      <c r="M92" s="56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 t="str">
        <f>'Agents'' Final Roster 0913-0919'!J92</f>
        <v>DVH</v>
      </c>
      <c r="AA92" s="53"/>
      <c r="AB92" s="53"/>
      <c r="AC92" s="53"/>
      <c r="AD92" s="53"/>
      <c r="AE92" s="53"/>
      <c r="AF92" s="53"/>
      <c r="AG92" s="53"/>
      <c r="AH92" s="53"/>
      <c r="AI92" s="53"/>
      <c r="AJ92" s="58"/>
      <c r="AK92" s="58"/>
      <c r="AL92" s="59"/>
      <c r="AM92" s="60"/>
      <c r="AN92" s="62"/>
      <c r="AO92" s="66"/>
      <c r="AP92" s="67"/>
    </row>
    <row r="93" s="50" customFormat="1" customHeight="1" spans="1:42">
      <c r="A93" s="52" t="str">
        <f>'Agents'' Final Roster 0913-0919'!A93</f>
        <v>Campero Juarez Maria Guadalupe</v>
      </c>
      <c r="B93" s="53" t="str">
        <f>'Agents'' Final Roster 0913-0919'!B93</f>
        <v>Mendoza Norma Mercedes</v>
      </c>
      <c r="C93" s="53" t="str">
        <f>'Agents'' Final Roster 0913-0919'!C93</f>
        <v>Ibañez</v>
      </c>
      <c r="D93" s="53" t="str">
        <f>'Agents'' Final Roster 0913-0919'!D93</f>
        <v>Jeremias Raul</v>
      </c>
      <c r="E93" s="53"/>
      <c r="F93" s="53"/>
      <c r="G93" s="53"/>
      <c r="H93" s="53"/>
      <c r="I93" s="53"/>
      <c r="J93" s="53"/>
      <c r="K93" s="53"/>
      <c r="L93" s="56"/>
      <c r="M93" s="56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 t="str">
        <f>'Agents'' Final Roster 0913-0919'!J93</f>
        <v>DVH</v>
      </c>
      <c r="AA93" s="53"/>
      <c r="AB93" s="53"/>
      <c r="AC93" s="53"/>
      <c r="AD93" s="53"/>
      <c r="AE93" s="53"/>
      <c r="AF93" s="53"/>
      <c r="AG93" s="53"/>
      <c r="AH93" s="53"/>
      <c r="AI93" s="53"/>
      <c r="AJ93" s="58"/>
      <c r="AK93" s="58"/>
      <c r="AL93" s="59"/>
      <c r="AM93" s="60"/>
      <c r="AN93" s="62"/>
      <c r="AO93" s="66"/>
      <c r="AP93" s="67"/>
    </row>
    <row r="94" s="50" customFormat="1" customHeight="1" spans="1:42">
      <c r="A94" s="52" t="str">
        <f>'Agents'' Final Roster 0913-0919'!A94</f>
        <v>Campero Juarez Maria Guadalupe</v>
      </c>
      <c r="B94" s="53" t="str">
        <f>'Agents'' Final Roster 0913-0919'!B94</f>
        <v>Mendoza Norma Mercedes</v>
      </c>
      <c r="C94" s="53" t="str">
        <f>'Agents'' Final Roster 0913-0919'!C94</f>
        <v>Ledesma</v>
      </c>
      <c r="D94" s="53" t="str">
        <f>'Agents'' Final Roster 0913-0919'!D94</f>
        <v>Maria Florencia</v>
      </c>
      <c r="E94" s="53"/>
      <c r="F94" s="53"/>
      <c r="G94" s="53"/>
      <c r="H94" s="53"/>
      <c r="I94" s="53"/>
      <c r="J94" s="53"/>
      <c r="K94" s="53"/>
      <c r="L94" s="56"/>
      <c r="M94" s="56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 t="str">
        <f>'Agents'' Final Roster 0913-0919'!J94</f>
        <v>DVH</v>
      </c>
      <c r="AA94" s="53"/>
      <c r="AB94" s="53"/>
      <c r="AC94" s="53"/>
      <c r="AD94" s="53"/>
      <c r="AE94" s="53"/>
      <c r="AF94" s="53"/>
      <c r="AG94" s="53"/>
      <c r="AH94" s="53"/>
      <c r="AI94" s="53"/>
      <c r="AJ94" s="58"/>
      <c r="AK94" s="58"/>
      <c r="AL94" s="59"/>
      <c r="AM94" s="60"/>
      <c r="AN94" s="62"/>
      <c r="AO94" s="66"/>
      <c r="AP94" s="67"/>
    </row>
    <row r="95" s="50" customFormat="1" customHeight="1" spans="1:42">
      <c r="A95" s="52" t="str">
        <f>'Agents'' Final Roster 0913-0919'!A95</f>
        <v>Campero Juarez Maria Guadalupe</v>
      </c>
      <c r="B95" s="53" t="str">
        <f>'Agents'' Final Roster 0913-0919'!B95</f>
        <v>Mendoza Norma Mercedes</v>
      </c>
      <c r="C95" s="53" t="str">
        <f>'Agents'' Final Roster 0913-0919'!C95</f>
        <v>Lobo</v>
      </c>
      <c r="D95" s="53" t="str">
        <f>'Agents'' Final Roster 0913-0919'!D95</f>
        <v>Miguel</v>
      </c>
      <c r="E95" s="53"/>
      <c r="F95" s="53"/>
      <c r="G95" s="53"/>
      <c r="H95" s="53"/>
      <c r="I95" s="53"/>
      <c r="J95" s="53"/>
      <c r="K95" s="53"/>
      <c r="L95" s="56"/>
      <c r="M95" s="56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 t="str">
        <f>'Agents'' Final Roster 0913-0919'!J95</f>
        <v>DVH</v>
      </c>
      <c r="AA95" s="53"/>
      <c r="AB95" s="53"/>
      <c r="AC95" s="53"/>
      <c r="AD95" s="53"/>
      <c r="AE95" s="53"/>
      <c r="AF95" s="53"/>
      <c r="AG95" s="53"/>
      <c r="AH95" s="53"/>
      <c r="AI95" s="53"/>
      <c r="AJ95" s="58"/>
      <c r="AK95" s="58"/>
      <c r="AL95" s="59"/>
      <c r="AM95" s="60"/>
      <c r="AN95" s="62"/>
      <c r="AO95" s="66"/>
      <c r="AP95" s="67"/>
    </row>
    <row r="96" s="50" customFormat="1" customHeight="1" spans="1:42">
      <c r="A96" s="52" t="str">
        <f>'Agents'' Final Roster 0913-0919'!A96</f>
        <v>Campero Juarez Maria Guadalupe</v>
      </c>
      <c r="B96" s="53" t="str">
        <f>'Agents'' Final Roster 0913-0919'!B96</f>
        <v>Mendoza Norma Mercedes</v>
      </c>
      <c r="C96" s="53" t="str">
        <f>'Agents'' Final Roster 0913-0919'!C96</f>
        <v>Martinez</v>
      </c>
      <c r="D96" s="53" t="str">
        <f>'Agents'' Final Roster 0913-0919'!D96</f>
        <v>Yahir Jesus</v>
      </c>
      <c r="E96" s="53"/>
      <c r="F96" s="53"/>
      <c r="G96" s="53"/>
      <c r="H96" s="53"/>
      <c r="I96" s="53"/>
      <c r="J96" s="53"/>
      <c r="K96" s="53"/>
      <c r="L96" s="56"/>
      <c r="M96" s="56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 t="str">
        <f>'Agents'' Final Roster 0913-0919'!J96</f>
        <v>DVH</v>
      </c>
      <c r="AA96" s="53"/>
      <c r="AB96" s="53"/>
      <c r="AC96" s="53"/>
      <c r="AD96" s="53"/>
      <c r="AE96" s="53"/>
      <c r="AF96" s="53"/>
      <c r="AG96" s="53"/>
      <c r="AH96" s="53"/>
      <c r="AI96" s="53"/>
      <c r="AJ96" s="58"/>
      <c r="AK96" s="58"/>
      <c r="AL96" s="59"/>
      <c r="AM96" s="60"/>
      <c r="AN96" s="62"/>
      <c r="AO96" s="66"/>
      <c r="AP96" s="67"/>
    </row>
    <row r="97" s="50" customFormat="1" customHeight="1" spans="1:42">
      <c r="A97" s="52" t="str">
        <f>'Agents'' Final Roster 0913-0919'!A97</f>
        <v>Campero Juarez Maria Guadalupe</v>
      </c>
      <c r="B97" s="53" t="str">
        <f>'Agents'' Final Roster 0913-0919'!B97</f>
        <v>Mendoza Norma Mercedes</v>
      </c>
      <c r="C97" s="53" t="str">
        <f>'Agents'' Final Roster 0913-0919'!C97</f>
        <v>Martinez Iturbe</v>
      </c>
      <c r="D97" s="53" t="str">
        <f>'Agents'' Final Roster 0913-0919'!D97</f>
        <v>Santiago Isaac</v>
      </c>
      <c r="E97" s="53"/>
      <c r="F97" s="53"/>
      <c r="G97" s="53"/>
      <c r="H97" s="53"/>
      <c r="I97" s="53"/>
      <c r="J97" s="53"/>
      <c r="K97" s="53"/>
      <c r="L97" s="56"/>
      <c r="M97" s="56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 t="str">
        <f>'Agents'' Final Roster 0913-0919'!J97</f>
        <v>DVH</v>
      </c>
      <c r="AA97" s="53"/>
      <c r="AB97" s="53"/>
      <c r="AC97" s="53"/>
      <c r="AD97" s="53"/>
      <c r="AE97" s="53"/>
      <c r="AF97" s="53"/>
      <c r="AG97" s="53"/>
      <c r="AH97" s="53"/>
      <c r="AI97" s="53"/>
      <c r="AJ97" s="58"/>
      <c r="AK97" s="58"/>
      <c r="AL97" s="59"/>
      <c r="AM97" s="60"/>
      <c r="AN97" s="62"/>
      <c r="AO97" s="66"/>
      <c r="AP97" s="67"/>
    </row>
    <row r="98" s="50" customFormat="1" customHeight="1" spans="1:42">
      <c r="A98" s="52" t="str">
        <f>'Agents'' Final Roster 0913-0919'!A98</f>
        <v>Campero Juarez Maria Guadalupe</v>
      </c>
      <c r="B98" s="53" t="str">
        <f>'Agents'' Final Roster 0913-0919'!B98</f>
        <v>Mendoza Norma Mercedes</v>
      </c>
      <c r="C98" s="53" t="str">
        <f>'Agents'' Final Roster 0913-0919'!C98</f>
        <v>Montenegro Mansilla</v>
      </c>
      <c r="D98" s="53" t="str">
        <f>'Agents'' Final Roster 0913-0919'!D98</f>
        <v>Milagros</v>
      </c>
      <c r="E98" s="53"/>
      <c r="F98" s="53"/>
      <c r="G98" s="53"/>
      <c r="H98" s="53"/>
      <c r="I98" s="53"/>
      <c r="J98" s="53"/>
      <c r="K98" s="53"/>
      <c r="L98" s="56"/>
      <c r="M98" s="56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 t="str">
        <f>'Agents'' Final Roster 0913-0919'!J98</f>
        <v>DVH</v>
      </c>
      <c r="AA98" s="53"/>
      <c r="AB98" s="53"/>
      <c r="AC98" s="53"/>
      <c r="AD98" s="53"/>
      <c r="AE98" s="53"/>
      <c r="AF98" s="53"/>
      <c r="AG98" s="53"/>
      <c r="AH98" s="53"/>
      <c r="AI98" s="53"/>
      <c r="AJ98" s="58"/>
      <c r="AK98" s="58"/>
      <c r="AL98" s="59"/>
      <c r="AM98" s="60"/>
      <c r="AN98" s="62"/>
      <c r="AO98" s="66"/>
      <c r="AP98" s="67"/>
    </row>
    <row r="99" s="50" customFormat="1" customHeight="1" spans="1:42">
      <c r="A99" s="52" t="str">
        <f>'Agents'' Final Roster 0913-0919'!A99</f>
        <v>Campero Juarez Maria Guadalupe</v>
      </c>
      <c r="B99" s="53" t="str">
        <f>'Agents'' Final Roster 0913-0919'!B99</f>
        <v>Mendoza Norma Mercedes</v>
      </c>
      <c r="C99" s="53" t="str">
        <f>'Agents'' Final Roster 0913-0919'!C99</f>
        <v>Pons Amún</v>
      </c>
      <c r="D99" s="53" t="str">
        <f>'Agents'' Final Roster 0913-0919'!D99</f>
        <v>Solana Agostina</v>
      </c>
      <c r="E99" s="53"/>
      <c r="F99" s="53"/>
      <c r="G99" s="53"/>
      <c r="H99" s="53"/>
      <c r="I99" s="53"/>
      <c r="J99" s="53"/>
      <c r="K99" s="53"/>
      <c r="L99" s="56"/>
      <c r="M99" s="56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 t="str">
        <f>'Agents'' Final Roster 0913-0919'!J99</f>
        <v>DVH</v>
      </c>
      <c r="AA99" s="53"/>
      <c r="AB99" s="53"/>
      <c r="AC99" s="53"/>
      <c r="AD99" s="53"/>
      <c r="AE99" s="53"/>
      <c r="AF99" s="53"/>
      <c r="AG99" s="53"/>
      <c r="AH99" s="53"/>
      <c r="AI99" s="53"/>
      <c r="AJ99" s="58"/>
      <c r="AK99" s="58"/>
      <c r="AL99" s="59"/>
      <c r="AM99" s="60"/>
      <c r="AN99" s="62"/>
      <c r="AO99" s="66"/>
      <c r="AP99" s="67"/>
    </row>
    <row r="100" s="50" customFormat="1" customHeight="1" spans="1:42">
      <c r="A100" s="52" t="str">
        <f>'Agents'' Final Roster 0913-0919'!A100</f>
        <v>Campero Juarez Maria Guadalupe</v>
      </c>
      <c r="B100" s="53" t="str">
        <f>'Agents'' Final Roster 0913-0919'!B100</f>
        <v>Mendoza Norma Mercedes</v>
      </c>
      <c r="C100" s="53" t="str">
        <f>'Agents'' Final Roster 0913-0919'!C100</f>
        <v>Saavedra</v>
      </c>
      <c r="D100" s="53" t="str">
        <f>'Agents'' Final Roster 0913-0919'!D100</f>
        <v>Virginia Valeria</v>
      </c>
      <c r="E100" s="53"/>
      <c r="F100" s="53"/>
      <c r="G100" s="53"/>
      <c r="H100" s="53"/>
      <c r="I100" s="53"/>
      <c r="J100" s="53"/>
      <c r="K100" s="53"/>
      <c r="L100" s="56"/>
      <c r="M100" s="56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 t="str">
        <f>'Agents'' Final Roster 0913-0919'!J100</f>
        <v>DVH</v>
      </c>
      <c r="AA100" s="53"/>
      <c r="AB100" s="53"/>
      <c r="AC100" s="53"/>
      <c r="AD100" s="53"/>
      <c r="AE100" s="53"/>
      <c r="AF100" s="53"/>
      <c r="AG100" s="53"/>
      <c r="AH100" s="53"/>
      <c r="AI100" s="53"/>
      <c r="AJ100" s="58"/>
      <c r="AK100" s="58"/>
      <c r="AL100" s="59"/>
      <c r="AM100" s="60"/>
      <c r="AN100" s="62"/>
      <c r="AO100" s="66"/>
      <c r="AP100" s="67"/>
    </row>
    <row r="101" s="50" customFormat="1" customHeight="1" spans="1:42">
      <c r="A101" s="54" t="str">
        <f>'Agents'' Final Roster 0913-0919'!A101</f>
        <v>Campero Juarez Maria Guadalupe</v>
      </c>
      <c r="B101" s="55" t="str">
        <f>'Agents'' Final Roster 0913-0919'!B101</f>
        <v>Mendoza Norma Mercedes</v>
      </c>
      <c r="C101" s="55" t="str">
        <f>'Agents'' Final Roster 0913-0919'!C101</f>
        <v>Sánchez</v>
      </c>
      <c r="D101" s="55" t="str">
        <f>'Agents'' Final Roster 0913-0919'!D101</f>
        <v>Victor Orlando</v>
      </c>
      <c r="E101" s="55"/>
      <c r="F101" s="55"/>
      <c r="G101" s="55"/>
      <c r="H101" s="55"/>
      <c r="I101" s="55"/>
      <c r="J101" s="55"/>
      <c r="K101" s="55"/>
      <c r="L101" s="56"/>
      <c r="M101" s="56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 t="str">
        <f>'Agents'' Final Roster 0913-0919'!J101</f>
        <v>DVH</v>
      </c>
      <c r="AA101" s="53"/>
      <c r="AB101" s="53"/>
      <c r="AC101" s="53"/>
      <c r="AD101" s="53"/>
      <c r="AE101" s="53"/>
      <c r="AF101" s="53"/>
      <c r="AG101" s="53"/>
      <c r="AH101" s="53"/>
      <c r="AI101" s="53"/>
      <c r="AJ101" s="58"/>
      <c r="AK101" s="58"/>
      <c r="AL101" s="59"/>
      <c r="AM101" s="60"/>
      <c r="AN101" s="62"/>
      <c r="AO101" s="66"/>
      <c r="AP101" s="67"/>
    </row>
    <row r="102" s="50" customFormat="1" customHeight="1" spans="1:42">
      <c r="A102" s="52" t="str">
        <f>'Agents'' Final Roster 0913-0919'!A102</f>
        <v>Campero Juarez Maria Guadalupe</v>
      </c>
      <c r="B102" s="53" t="str">
        <f>'Agents'' Final Roster 0913-0919'!B102</f>
        <v>Podazza Villagra Daniel Matias</v>
      </c>
      <c r="C102" s="53" t="str">
        <f>'Agents'' Final Roster 0913-0919'!C102</f>
        <v>Acosta</v>
      </c>
      <c r="D102" s="53" t="str">
        <f>'Agents'' Final Roster 0913-0919'!D102</f>
        <v>Ignacio Matias </v>
      </c>
      <c r="E102" s="53"/>
      <c r="F102" s="53"/>
      <c r="G102" s="53"/>
      <c r="H102" s="53"/>
      <c r="I102" s="53"/>
      <c r="J102" s="53"/>
      <c r="K102" s="53"/>
      <c r="L102" s="56"/>
      <c r="M102" s="56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 t="str">
        <f>'Agents'' Final Roster 0913-0919'!J102</f>
        <v>Servicios web</v>
      </c>
      <c r="AA102" s="53"/>
      <c r="AB102" s="53"/>
      <c r="AC102" s="53"/>
      <c r="AD102" s="53"/>
      <c r="AE102" s="53"/>
      <c r="AF102" s="53"/>
      <c r="AG102" s="53"/>
      <c r="AH102" s="53"/>
      <c r="AI102" s="53"/>
      <c r="AJ102" s="58"/>
      <c r="AK102" s="58"/>
      <c r="AL102" s="59"/>
      <c r="AM102" s="60"/>
      <c r="AN102" s="62"/>
      <c r="AO102" s="66"/>
      <c r="AP102" s="67"/>
    </row>
    <row r="103" s="50" customFormat="1" customHeight="1" spans="1:42">
      <c r="A103" s="52" t="str">
        <f>'Agents'' Final Roster 0913-0919'!A103</f>
        <v>Campero Juarez Maria Guadalupe</v>
      </c>
      <c r="B103" s="53" t="str">
        <f>'Agents'' Final Roster 0913-0919'!B103</f>
        <v>Podazza Villagra Daniel Matias</v>
      </c>
      <c r="C103" s="53" t="str">
        <f>'Agents'' Final Roster 0913-0919'!C103</f>
        <v>Albarracin</v>
      </c>
      <c r="D103" s="53" t="str">
        <f>'Agents'' Final Roster 0913-0919'!D103</f>
        <v>Heber Wilson </v>
      </c>
      <c r="E103" s="53"/>
      <c r="F103" s="53"/>
      <c r="G103" s="53"/>
      <c r="H103" s="53"/>
      <c r="I103" s="53"/>
      <c r="J103" s="53"/>
      <c r="K103" s="53"/>
      <c r="L103" s="56"/>
      <c r="M103" s="56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 t="str">
        <f>'Agents'' Final Roster 0913-0919'!J103</f>
        <v>CSV2</v>
      </c>
      <c r="AA103" s="53"/>
      <c r="AB103" s="53"/>
      <c r="AC103" s="53"/>
      <c r="AD103" s="53"/>
      <c r="AE103" s="53"/>
      <c r="AF103" s="53"/>
      <c r="AG103" s="53"/>
      <c r="AH103" s="53"/>
      <c r="AI103" s="53"/>
      <c r="AJ103" s="58"/>
      <c r="AK103" s="58"/>
      <c r="AL103" s="59"/>
      <c r="AM103" s="60"/>
      <c r="AN103" s="62"/>
      <c r="AO103" s="66"/>
      <c r="AP103" s="67"/>
    </row>
    <row r="104" s="50" customFormat="1" customHeight="1" spans="1:42">
      <c r="A104" s="52" t="str">
        <f>'Agents'' Final Roster 0913-0919'!A104</f>
        <v>Campero Juarez Maria Guadalupe</v>
      </c>
      <c r="B104" s="53" t="str">
        <f>'Agents'' Final Roster 0913-0919'!B104</f>
        <v>Podazza Villagra Daniel Matias</v>
      </c>
      <c r="C104" s="53" t="str">
        <f>'Agents'' Final Roster 0913-0919'!C104</f>
        <v>Almaraz</v>
      </c>
      <c r="D104" s="53" t="str">
        <f>'Agents'' Final Roster 0913-0919'!D104</f>
        <v>Julio Cesar</v>
      </c>
      <c r="E104" s="53"/>
      <c r="F104" s="53"/>
      <c r="G104" s="53"/>
      <c r="H104" s="53"/>
      <c r="I104" s="53"/>
      <c r="J104" s="53"/>
      <c r="K104" s="53"/>
      <c r="L104" s="56"/>
      <c r="M104" s="56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 t="str">
        <f>'Agents'' Final Roster 0913-0919'!J104</f>
        <v>Habilitaciones</v>
      </c>
      <c r="AA104" s="53"/>
      <c r="AB104" s="53"/>
      <c r="AC104" s="53"/>
      <c r="AD104" s="53"/>
      <c r="AE104" s="53"/>
      <c r="AF104" s="53"/>
      <c r="AG104" s="53"/>
      <c r="AH104" s="53"/>
      <c r="AI104" s="53"/>
      <c r="AJ104" s="58"/>
      <c r="AK104" s="58"/>
      <c r="AL104" s="59"/>
      <c r="AM104" s="60"/>
      <c r="AN104" s="62"/>
      <c r="AO104" s="66"/>
      <c r="AP104" s="67"/>
    </row>
    <row r="105" s="50" customFormat="1" customHeight="1" spans="1:42">
      <c r="A105" s="52" t="str">
        <f>'Agents'' Final Roster 0913-0919'!A105</f>
        <v>Campero Juarez Maria Guadalupe</v>
      </c>
      <c r="B105" s="53" t="str">
        <f>'Agents'' Final Roster 0913-0919'!B105</f>
        <v>Podazza Villagra Daniel Matias</v>
      </c>
      <c r="C105" s="53" t="str">
        <f>'Agents'' Final Roster 0913-0919'!C105</f>
        <v>Antenucci</v>
      </c>
      <c r="D105" s="53" t="str">
        <f>'Agents'' Final Roster 0913-0919'!D105</f>
        <v>Aldana Belén</v>
      </c>
      <c r="E105" s="53"/>
      <c r="F105" s="53"/>
      <c r="G105" s="53"/>
      <c r="H105" s="53"/>
      <c r="I105" s="53"/>
      <c r="J105" s="53"/>
      <c r="K105" s="53"/>
      <c r="L105" s="56"/>
      <c r="M105" s="56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 t="str">
        <f>'Agents'' Final Roster 0913-0919'!J105</f>
        <v>CSV2</v>
      </c>
      <c r="AA105" s="53"/>
      <c r="AB105" s="53"/>
      <c r="AC105" s="53"/>
      <c r="AD105" s="53"/>
      <c r="AE105" s="53"/>
      <c r="AF105" s="53"/>
      <c r="AG105" s="53"/>
      <c r="AH105" s="53"/>
      <c r="AI105" s="53"/>
      <c r="AJ105" s="58"/>
      <c r="AK105" s="58"/>
      <c r="AL105" s="59"/>
      <c r="AM105" s="60"/>
      <c r="AN105" s="62"/>
      <c r="AO105" s="66"/>
      <c r="AP105" s="67"/>
    </row>
    <row r="106" s="50" customFormat="1" customHeight="1" spans="1:42">
      <c r="A106" s="54" t="str">
        <f>'Agents'' Final Roster 0913-0919'!A106</f>
        <v>Campero Juarez Maria Guadalupe</v>
      </c>
      <c r="B106" s="55" t="str">
        <f>'Agents'' Final Roster 0913-0919'!B106</f>
        <v>Podazza Villagra Daniel Matias</v>
      </c>
      <c r="C106" s="55" t="str">
        <f>'Agents'' Final Roster 0913-0919'!C106</f>
        <v>Bustos</v>
      </c>
      <c r="D106" s="55" t="str">
        <f>'Agents'' Final Roster 0913-0919'!D106</f>
        <v>Cecilia Leonor</v>
      </c>
      <c r="E106" s="55"/>
      <c r="F106" s="55"/>
      <c r="G106" s="55"/>
      <c r="H106" s="55"/>
      <c r="I106" s="55"/>
      <c r="J106" s="55"/>
      <c r="K106" s="55"/>
      <c r="L106" s="56"/>
      <c r="M106" s="56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 t="str">
        <f>'Agents'' Final Roster 0913-0919'!J106</f>
        <v>Compras Referidas</v>
      </c>
      <c r="AA106" s="53"/>
      <c r="AB106" s="53"/>
      <c r="AC106" s="53"/>
      <c r="AD106" s="53"/>
      <c r="AE106" s="53"/>
      <c r="AF106" s="53"/>
      <c r="AG106" s="53"/>
      <c r="AH106" s="53"/>
      <c r="AI106" s="53"/>
      <c r="AJ106" s="58"/>
      <c r="AK106" s="58"/>
      <c r="AL106" s="59"/>
      <c r="AM106" s="60"/>
      <c r="AN106" s="62"/>
      <c r="AO106" s="66"/>
      <c r="AP106" s="67"/>
    </row>
    <row r="107" s="50" customFormat="1" customHeight="1" spans="1:42">
      <c r="A107" s="54" t="str">
        <f>'Agents'' Final Roster 0913-0919'!A107</f>
        <v>Campero Juarez Maria Guadalupe</v>
      </c>
      <c r="B107" s="55" t="str">
        <f>'Agents'' Final Roster 0913-0919'!B107</f>
        <v>Podazza Villagra Daniel Matias</v>
      </c>
      <c r="C107" s="55" t="str">
        <f>'Agents'' Final Roster 0913-0919'!C107</f>
        <v>Caro</v>
      </c>
      <c r="D107" s="55" t="str">
        <f>'Agents'' Final Roster 0913-0919'!D107</f>
        <v>Carolina Analia</v>
      </c>
      <c r="E107" s="55"/>
      <c r="F107" s="55"/>
      <c r="G107" s="55"/>
      <c r="H107" s="55"/>
      <c r="I107" s="55"/>
      <c r="J107" s="55"/>
      <c r="K107" s="55"/>
      <c r="L107" s="56"/>
      <c r="M107" s="56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 t="str">
        <f>'Agents'' Final Roster 0913-0919'!J107</f>
        <v>CSV2</v>
      </c>
      <c r="AA107" s="53"/>
      <c r="AB107" s="53"/>
      <c r="AC107" s="53"/>
      <c r="AD107" s="53"/>
      <c r="AE107" s="53"/>
      <c r="AF107" s="53"/>
      <c r="AG107" s="53"/>
      <c r="AH107" s="53"/>
      <c r="AI107" s="53"/>
      <c r="AJ107" s="58"/>
      <c r="AK107" s="58"/>
      <c r="AL107" s="59"/>
      <c r="AM107" s="60"/>
      <c r="AN107" s="62"/>
      <c r="AO107" s="66"/>
      <c r="AP107" s="67"/>
    </row>
    <row r="108" s="50" customFormat="1" customHeight="1" spans="1:42">
      <c r="A108" s="52" t="str">
        <f>'Agents'' Final Roster 0913-0919'!A108</f>
        <v>Campero Juarez Maria Guadalupe</v>
      </c>
      <c r="B108" s="53" t="str">
        <f>'Agents'' Final Roster 0913-0919'!B108</f>
        <v>Arias Juan José</v>
      </c>
      <c r="C108" s="53" t="str">
        <f>'Agents'' Final Roster 0913-0919'!C108</f>
        <v>Ciccarelli</v>
      </c>
      <c r="D108" s="53" t="str">
        <f>'Agents'' Final Roster 0913-0919'!D108</f>
        <v>Marycel Rocio</v>
      </c>
      <c r="E108" s="53"/>
      <c r="F108" s="53"/>
      <c r="G108" s="53"/>
      <c r="H108" s="53"/>
      <c r="I108" s="53"/>
      <c r="J108" s="53"/>
      <c r="K108" s="53"/>
      <c r="L108" s="56"/>
      <c r="M108" s="56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 t="str">
        <f>'Agents'' Final Roster 0913-0919'!J108</f>
        <v>CSV2</v>
      </c>
      <c r="AA108" s="53"/>
      <c r="AB108" s="53"/>
      <c r="AC108" s="53"/>
      <c r="AD108" s="53"/>
      <c r="AE108" s="53"/>
      <c r="AF108" s="53"/>
      <c r="AG108" s="53"/>
      <c r="AH108" s="53"/>
      <c r="AI108" s="53"/>
      <c r="AJ108" s="58"/>
      <c r="AK108" s="58"/>
      <c r="AL108" s="59"/>
      <c r="AM108" s="60"/>
      <c r="AN108" s="62"/>
      <c r="AO108" s="66"/>
      <c r="AP108" s="67"/>
    </row>
    <row r="109" s="50" customFormat="1" customHeight="1" spans="1:42">
      <c r="A109" s="68" t="str">
        <f>'Agents'' Final Roster 0913-0919'!A109</f>
        <v>Campero Juarez Maria Guadalupe</v>
      </c>
      <c r="B109" s="69" t="str">
        <f>'Agents'' Final Roster 0913-0919'!B109</f>
        <v>Arias Juan José</v>
      </c>
      <c r="C109" s="69" t="str">
        <f>'Agents'' Final Roster 0913-0919'!C109</f>
        <v>De la Rosa</v>
      </c>
      <c r="D109" s="69" t="str">
        <f>'Agents'' Final Roster 0913-0919'!D109</f>
        <v>Solana</v>
      </c>
      <c r="E109" s="69"/>
      <c r="F109" s="69"/>
      <c r="G109" s="69"/>
      <c r="H109" s="69"/>
      <c r="I109" s="69"/>
      <c r="J109" s="69"/>
      <c r="K109" s="69"/>
      <c r="L109" s="56"/>
      <c r="M109" s="56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 t="str">
        <f>'Agents'' Final Roster 0913-0919'!J109</f>
        <v>CSV2</v>
      </c>
      <c r="AA109" s="53"/>
      <c r="AB109" s="53"/>
      <c r="AC109" s="53"/>
      <c r="AD109" s="53"/>
      <c r="AE109" s="53"/>
      <c r="AF109" s="53"/>
      <c r="AG109" s="53"/>
      <c r="AH109" s="53"/>
      <c r="AI109" s="53"/>
      <c r="AJ109" s="58"/>
      <c r="AK109" s="58"/>
      <c r="AL109" s="59"/>
      <c r="AM109" s="60"/>
      <c r="AN109" s="62"/>
      <c r="AO109" s="66"/>
      <c r="AP109" s="67"/>
    </row>
    <row r="110" s="50" customFormat="1" customHeight="1" spans="1:42">
      <c r="A110" s="52" t="str">
        <f>'Agents'' Final Roster 0913-0919'!A110</f>
        <v>Campero Juarez Maria Guadalupe</v>
      </c>
      <c r="B110" s="53" t="str">
        <f>'Agents'' Final Roster 0913-0919'!B110</f>
        <v>Arias Juan José</v>
      </c>
      <c r="C110" s="53" t="str">
        <f>'Agents'' Final Roster 0913-0919'!C110</f>
        <v>Del Rio</v>
      </c>
      <c r="D110" s="53" t="str">
        <f>'Agents'' Final Roster 0913-0919'!D110</f>
        <v>Virginia Natalia</v>
      </c>
      <c r="E110" s="53"/>
      <c r="F110" s="53"/>
      <c r="G110" s="53"/>
      <c r="H110" s="53"/>
      <c r="I110" s="53"/>
      <c r="J110" s="53"/>
      <c r="K110" s="53"/>
      <c r="L110" s="56"/>
      <c r="M110" s="56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 t="str">
        <f>'Agents'' Final Roster 0913-0919'!J110</f>
        <v>CSV2</v>
      </c>
      <c r="AA110" s="53"/>
      <c r="AB110" s="53"/>
      <c r="AC110" s="53"/>
      <c r="AD110" s="53"/>
      <c r="AE110" s="53"/>
      <c r="AF110" s="53"/>
      <c r="AG110" s="53"/>
      <c r="AH110" s="53"/>
      <c r="AI110" s="53"/>
      <c r="AJ110" s="58"/>
      <c r="AK110" s="58"/>
      <c r="AL110" s="59"/>
      <c r="AM110" s="60"/>
      <c r="AN110" s="62"/>
      <c r="AO110" s="66"/>
      <c r="AP110" s="67"/>
    </row>
    <row r="111" s="50" customFormat="1" customHeight="1" spans="1:42">
      <c r="A111" s="52" t="str">
        <f>'Agents'' Final Roster 0913-0919'!A111</f>
        <v>Campero Juarez Maria Guadalupe</v>
      </c>
      <c r="B111" s="53" t="str">
        <f>'Agents'' Final Roster 0913-0919'!B111</f>
        <v>Podazza Villagra Daniel Matias</v>
      </c>
      <c r="C111" s="53" t="str">
        <f>'Agents'' Final Roster 0913-0919'!C111</f>
        <v>Jorge</v>
      </c>
      <c r="D111" s="53" t="str">
        <f>'Agents'' Final Roster 0913-0919'!D111</f>
        <v>German Omar</v>
      </c>
      <c r="E111" s="53"/>
      <c r="F111" s="53"/>
      <c r="G111" s="53"/>
      <c r="H111" s="53"/>
      <c r="I111" s="53"/>
      <c r="J111" s="53"/>
      <c r="K111" s="53"/>
      <c r="L111" s="56"/>
      <c r="M111" s="56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 t="str">
        <f>'Agents'' Final Roster 0913-0919'!J111</f>
        <v>Servicios web</v>
      </c>
      <c r="AA111" s="53"/>
      <c r="AB111" s="53"/>
      <c r="AC111" s="53"/>
      <c r="AD111" s="53"/>
      <c r="AE111" s="53"/>
      <c r="AF111" s="53"/>
      <c r="AG111" s="53"/>
      <c r="AH111" s="53"/>
      <c r="AI111" s="53"/>
      <c r="AJ111" s="58"/>
      <c r="AK111" s="58"/>
      <c r="AL111" s="59"/>
      <c r="AM111" s="60"/>
      <c r="AN111" s="62"/>
      <c r="AO111" s="66"/>
      <c r="AP111" s="67"/>
    </row>
    <row r="112" s="50" customFormat="1" customHeight="1" spans="1:42">
      <c r="A112" s="52" t="str">
        <f>'Agents'' Final Roster 0913-0919'!A112</f>
        <v>Campero Juarez Maria Guadalupe</v>
      </c>
      <c r="B112" s="53" t="str">
        <f>'Agents'' Final Roster 0913-0919'!B112</f>
        <v>Podazza Villagra Daniel Matias</v>
      </c>
      <c r="C112" s="53" t="str">
        <f>'Agents'' Final Roster 0913-0919'!C112</f>
        <v>Latina</v>
      </c>
      <c r="D112" s="53" t="str">
        <f>'Agents'' Final Roster 0913-0919'!D112</f>
        <v>Walter Fabian</v>
      </c>
      <c r="E112" s="53"/>
      <c r="F112" s="53"/>
      <c r="G112" s="53"/>
      <c r="H112" s="53"/>
      <c r="I112" s="53"/>
      <c r="J112" s="53"/>
      <c r="K112" s="53"/>
      <c r="L112" s="56"/>
      <c r="M112" s="56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 t="str">
        <f>'Agents'' Final Roster 0913-0919'!J112</f>
        <v>CSV1</v>
      </c>
      <c r="AA112" s="53"/>
      <c r="AB112" s="53"/>
      <c r="AC112" s="53"/>
      <c r="AD112" s="53"/>
      <c r="AE112" s="53"/>
      <c r="AF112" s="53"/>
      <c r="AG112" s="53"/>
      <c r="AH112" s="53"/>
      <c r="AI112" s="53"/>
      <c r="AJ112" s="58"/>
      <c r="AK112" s="58"/>
      <c r="AL112" s="59"/>
      <c r="AM112" s="60"/>
      <c r="AN112" s="62"/>
      <c r="AO112" s="66"/>
      <c r="AP112" s="67"/>
    </row>
    <row r="113" s="50" customFormat="1" customHeight="1" spans="1:42">
      <c r="A113" s="54" t="str">
        <f>'Agents'' Final Roster 0913-0919'!A113</f>
        <v>Campero Juarez Maria Guadalupe</v>
      </c>
      <c r="B113" s="55" t="str">
        <f>'Agents'' Final Roster 0913-0919'!B113</f>
        <v>Podazza Villagra Daniel Matias</v>
      </c>
      <c r="C113" s="55" t="str">
        <f>'Agents'' Final Roster 0913-0919'!C113</f>
        <v>Monteros</v>
      </c>
      <c r="D113" s="55" t="str">
        <f>'Agents'' Final Roster 0913-0919'!D113</f>
        <v>Maximiliano Leopoldo</v>
      </c>
      <c r="E113" s="55"/>
      <c r="F113" s="55"/>
      <c r="G113" s="55"/>
      <c r="H113" s="55"/>
      <c r="I113" s="55"/>
      <c r="J113" s="55"/>
      <c r="K113" s="55"/>
      <c r="L113" s="56"/>
      <c r="M113" s="56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 t="str">
        <f>'Agents'' Final Roster 0913-0919'!J113</f>
        <v>CSV2</v>
      </c>
      <c r="AA113" s="53"/>
      <c r="AB113" s="53"/>
      <c r="AC113" s="53"/>
      <c r="AD113" s="53"/>
      <c r="AE113" s="53"/>
      <c r="AF113" s="53"/>
      <c r="AG113" s="53"/>
      <c r="AH113" s="53"/>
      <c r="AI113" s="53"/>
      <c r="AJ113" s="58"/>
      <c r="AK113" s="58"/>
      <c r="AL113" s="59"/>
      <c r="AM113" s="60"/>
      <c r="AN113" s="62"/>
      <c r="AO113" s="66"/>
      <c r="AP113" s="67"/>
    </row>
    <row r="114" s="50" customFormat="1" customHeight="1" spans="1:42">
      <c r="A114" s="52" t="str">
        <f>'Agents'' Final Roster 0913-0919'!A114</f>
        <v>Campero Juarez Maria Guadalupe</v>
      </c>
      <c r="B114" s="53" t="str">
        <f>'Agents'' Final Roster 0913-0919'!B114</f>
        <v>Podazza Villagra Daniel Matias</v>
      </c>
      <c r="C114" s="53" t="str">
        <f>'Agents'' Final Roster 0913-0919'!C114</f>
        <v>Nieva del Rio</v>
      </c>
      <c r="D114" s="53" t="str">
        <f>'Agents'' Final Roster 0913-0919'!D114</f>
        <v>Micaela Anabel</v>
      </c>
      <c r="E114" s="53"/>
      <c r="F114" s="53"/>
      <c r="G114" s="53"/>
      <c r="H114" s="53"/>
      <c r="I114" s="53"/>
      <c r="J114" s="53"/>
      <c r="K114" s="53"/>
      <c r="L114" s="56"/>
      <c r="M114" s="56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 t="str">
        <f>'Agents'' Final Roster 0913-0919'!J114</f>
        <v>CSV2</v>
      </c>
      <c r="AA114" s="53"/>
      <c r="AB114" s="53"/>
      <c r="AC114" s="53"/>
      <c r="AD114" s="53"/>
      <c r="AE114" s="53"/>
      <c r="AF114" s="53"/>
      <c r="AG114" s="53"/>
      <c r="AH114" s="53"/>
      <c r="AI114" s="53"/>
      <c r="AJ114" s="58"/>
      <c r="AK114" s="58"/>
      <c r="AL114" s="59"/>
      <c r="AM114" s="60"/>
      <c r="AN114" s="62"/>
      <c r="AO114" s="66"/>
      <c r="AP114" s="67"/>
    </row>
    <row r="115" s="50" customFormat="1" customHeight="1" spans="1:42">
      <c r="A115" s="52" t="str">
        <f>'Agents'' Final Roster 0913-0919'!A115</f>
        <v>Campero Juarez Maria Guadalupe</v>
      </c>
      <c r="B115" s="53" t="str">
        <f>'Agents'' Final Roster 0913-0919'!B115</f>
        <v>Podazza Villagra Daniel Matias</v>
      </c>
      <c r="C115" s="53" t="str">
        <f>'Agents'' Final Roster 0913-0919'!C115</f>
        <v>Perez Aguirre</v>
      </c>
      <c r="D115" s="53" t="str">
        <f>'Agents'' Final Roster 0913-0919'!D115</f>
        <v>Luis Alejandro</v>
      </c>
      <c r="E115" s="53"/>
      <c r="F115" s="53"/>
      <c r="G115" s="53"/>
      <c r="H115" s="53"/>
      <c r="I115" s="53"/>
      <c r="J115" s="53"/>
      <c r="K115" s="53"/>
      <c r="L115" s="56"/>
      <c r="M115" s="56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 t="str">
        <f>'Agents'' Final Roster 0913-0919'!J115</f>
        <v>CSV2</v>
      </c>
      <c r="AA115" s="53"/>
      <c r="AB115" s="53"/>
      <c r="AC115" s="53"/>
      <c r="AD115" s="53"/>
      <c r="AE115" s="53"/>
      <c r="AF115" s="53"/>
      <c r="AG115" s="53"/>
      <c r="AH115" s="53"/>
      <c r="AI115" s="53"/>
      <c r="AJ115" s="58"/>
      <c r="AK115" s="58"/>
      <c r="AL115" s="59"/>
      <c r="AM115" s="60"/>
      <c r="AN115" s="62"/>
      <c r="AO115" s="66"/>
      <c r="AP115" s="67"/>
    </row>
    <row r="116" s="50" customFormat="1" customHeight="1" spans="1:42">
      <c r="A116" s="70" t="str">
        <f>'Agents'' Final Roster 0913-0919'!A116</f>
        <v>Campero Juarez Maria Guadalupe</v>
      </c>
      <c r="B116" s="71" t="str">
        <f>'Agents'' Final Roster 0913-0919'!B116</f>
        <v>Podazza Villagra Daniel Matias</v>
      </c>
      <c r="C116" s="71" t="str">
        <f>'Agents'' Final Roster 0913-0919'!C116</f>
        <v>Ríos Yeser</v>
      </c>
      <c r="D116" s="71" t="str">
        <f>'Agents'' Final Roster 0913-0919'!D116</f>
        <v> María Florencia</v>
      </c>
      <c r="E116" s="71"/>
      <c r="F116" s="71"/>
      <c r="G116" s="71"/>
      <c r="H116" s="71"/>
      <c r="I116" s="71"/>
      <c r="J116" s="71"/>
      <c r="K116" s="71"/>
      <c r="L116" s="56"/>
      <c r="M116" s="56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 t="str">
        <f>'Agents'' Final Roster 0913-0919'!J116</f>
        <v>Compras Referidas</v>
      </c>
      <c r="AA116" s="53"/>
      <c r="AB116" s="53"/>
      <c r="AC116" s="53"/>
      <c r="AD116" s="53"/>
      <c r="AE116" s="53"/>
      <c r="AF116" s="53"/>
      <c r="AG116" s="53"/>
      <c r="AH116" s="53"/>
      <c r="AI116" s="53"/>
      <c r="AJ116" s="58"/>
      <c r="AK116" s="58"/>
      <c r="AL116" s="59"/>
      <c r="AM116" s="60"/>
      <c r="AN116" s="62"/>
      <c r="AO116" s="66"/>
      <c r="AP116" s="67"/>
    </row>
    <row r="117" s="50" customFormat="1" customHeight="1" spans="1:42">
      <c r="A117" s="70" t="str">
        <f>'Agents'' Final Roster 0913-0919'!A117</f>
        <v>Campero Juarez Maria Guadalupe</v>
      </c>
      <c r="B117" s="71" t="str">
        <f>'Agents'' Final Roster 0913-0919'!B117</f>
        <v>Podazza Villagra Daniel Matias</v>
      </c>
      <c r="C117" s="71" t="str">
        <f>'Agents'' Final Roster 0913-0919'!C117</f>
        <v>Roibon Mesias</v>
      </c>
      <c r="D117" s="71" t="str">
        <f>'Agents'' Final Roster 0913-0919'!D117</f>
        <v>Tomas</v>
      </c>
      <c r="E117" s="71"/>
      <c r="F117" s="71"/>
      <c r="G117" s="71"/>
      <c r="H117" s="71"/>
      <c r="I117" s="71"/>
      <c r="J117" s="71"/>
      <c r="K117" s="71"/>
      <c r="L117" s="56"/>
      <c r="M117" s="56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 t="str">
        <f>'Agents'' Final Roster 0913-0919'!J117</f>
        <v>Servicios web</v>
      </c>
      <c r="AA117" s="53"/>
      <c r="AB117" s="53"/>
      <c r="AC117" s="53"/>
      <c r="AD117" s="53"/>
      <c r="AE117" s="53"/>
      <c r="AF117" s="53"/>
      <c r="AG117" s="53"/>
      <c r="AH117" s="53"/>
      <c r="AI117" s="53"/>
      <c r="AJ117" s="58"/>
      <c r="AK117" s="58"/>
      <c r="AL117" s="59"/>
      <c r="AM117" s="60"/>
      <c r="AN117" s="62"/>
      <c r="AO117" s="66"/>
      <c r="AP117" s="67"/>
    </row>
    <row r="118" s="50" customFormat="1" customHeight="1" spans="1:42">
      <c r="A118" s="70" t="str">
        <f>'Agents'' Final Roster 0913-0919'!A118</f>
        <v>Campero Juarez Maria Guadalupe</v>
      </c>
      <c r="B118" s="71" t="str">
        <f>'Agents'' Final Roster 0913-0919'!B118</f>
        <v>Podazza Villagra Daniel Matias</v>
      </c>
      <c r="C118" s="71" t="str">
        <f>'Agents'' Final Roster 0913-0919'!C118</f>
        <v>Romano</v>
      </c>
      <c r="D118" s="71" t="str">
        <f>'Agents'' Final Roster 0913-0919'!D118</f>
        <v>Juan Pablo </v>
      </c>
      <c r="E118" s="71"/>
      <c r="F118" s="71"/>
      <c r="G118" s="71"/>
      <c r="H118" s="71"/>
      <c r="I118" s="71"/>
      <c r="J118" s="71"/>
      <c r="K118" s="71"/>
      <c r="L118" s="56"/>
      <c r="M118" s="56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 t="str">
        <f>'Agents'' Final Roster 0913-0919'!J118</f>
        <v>DVH</v>
      </c>
      <c r="AA118" s="53"/>
      <c r="AB118" s="53"/>
      <c r="AC118" s="53"/>
      <c r="AD118" s="53"/>
      <c r="AE118" s="53"/>
      <c r="AF118" s="53"/>
      <c r="AG118" s="53"/>
      <c r="AH118" s="53"/>
      <c r="AI118" s="53"/>
      <c r="AJ118" s="58"/>
      <c r="AK118" s="58"/>
      <c r="AL118" s="59"/>
      <c r="AM118" s="60"/>
      <c r="AN118" s="62"/>
      <c r="AO118" s="66"/>
      <c r="AP118" s="67"/>
    </row>
    <row r="119" s="50" customFormat="1" customHeight="1" spans="1:42">
      <c r="A119" s="70" t="str">
        <f>'Agents'' Final Roster 0913-0919'!A119</f>
        <v>Campero Juarez Maria Guadalupe</v>
      </c>
      <c r="B119" s="71" t="str">
        <f>'Agents'' Final Roster 0913-0919'!B119</f>
        <v>Podazza Villagra Daniel Matias</v>
      </c>
      <c r="C119" s="71" t="str">
        <f>'Agents'' Final Roster 0913-0919'!C119</f>
        <v>Romero</v>
      </c>
      <c r="D119" s="71" t="str">
        <f>'Agents'' Final Roster 0913-0919'!D119</f>
        <v>Romina Ailen</v>
      </c>
      <c r="E119" s="71"/>
      <c r="F119" s="71"/>
      <c r="G119" s="71"/>
      <c r="H119" s="71"/>
      <c r="I119" s="71"/>
      <c r="J119" s="71"/>
      <c r="K119" s="71"/>
      <c r="L119" s="56"/>
      <c r="M119" s="56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 t="str">
        <f>'Agents'' Final Roster 0913-0919'!J119</f>
        <v>CSV2</v>
      </c>
      <c r="AA119" s="53"/>
      <c r="AB119" s="53"/>
      <c r="AC119" s="53"/>
      <c r="AD119" s="53"/>
      <c r="AE119" s="53"/>
      <c r="AF119" s="53"/>
      <c r="AG119" s="53"/>
      <c r="AH119" s="53"/>
      <c r="AI119" s="53"/>
      <c r="AJ119" s="58"/>
      <c r="AK119" s="58"/>
      <c r="AL119" s="59"/>
      <c r="AM119" s="60"/>
      <c r="AN119" s="62"/>
      <c r="AO119" s="66"/>
      <c r="AP119" s="67"/>
    </row>
    <row r="120" s="50" customFormat="1" customHeight="1" spans="1:42">
      <c r="A120" s="70" t="str">
        <f>'Agents'' Final Roster 0913-0919'!A120</f>
        <v>Campero Juarez Maria Guadalupe</v>
      </c>
      <c r="B120" s="71" t="str">
        <f>'Agents'' Final Roster 0913-0919'!B120</f>
        <v>Podazza Villagra Daniel Matias</v>
      </c>
      <c r="C120" s="71" t="str">
        <f>'Agents'' Final Roster 0913-0919'!C120</f>
        <v>Serrano</v>
      </c>
      <c r="D120" s="71" t="str">
        <f>'Agents'' Final Roster 0913-0919'!D120</f>
        <v>Maria Catalina</v>
      </c>
      <c r="E120" s="71"/>
      <c r="F120" s="71"/>
      <c r="G120" s="71"/>
      <c r="H120" s="71"/>
      <c r="I120" s="71"/>
      <c r="J120" s="71"/>
      <c r="K120" s="71"/>
      <c r="L120" s="56"/>
      <c r="M120" s="56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 t="str">
        <f>'Agents'' Final Roster 0913-0919'!J120</f>
        <v>CSV2</v>
      </c>
      <c r="AA120" s="53"/>
      <c r="AB120" s="53"/>
      <c r="AC120" s="53"/>
      <c r="AD120" s="53"/>
      <c r="AE120" s="53"/>
      <c r="AF120" s="53"/>
      <c r="AG120" s="53"/>
      <c r="AH120" s="53"/>
      <c r="AI120" s="53"/>
      <c r="AJ120" s="58"/>
      <c r="AK120" s="58"/>
      <c r="AL120" s="59"/>
      <c r="AM120" s="60"/>
      <c r="AN120" s="62"/>
      <c r="AO120" s="66"/>
      <c r="AP120" s="67"/>
    </row>
    <row r="121" s="50" customFormat="1" customHeight="1" spans="1:42">
      <c r="A121" s="70" t="str">
        <f>'Agents'' Final Roster 0913-0919'!A121</f>
        <v>Ortiz Jose María</v>
      </c>
      <c r="B121" s="71" t="str">
        <f>'Agents'' Final Roster 0913-0919'!B121</f>
        <v>Brandan Ernesto Alejandro</v>
      </c>
      <c r="C121" s="71" t="str">
        <f>'Agents'' Final Roster 0913-0919'!C121</f>
        <v>Argañaráz</v>
      </c>
      <c r="D121" s="71" t="str">
        <f>'Agents'' Final Roster 0913-0919'!D121</f>
        <v>Luciano</v>
      </c>
      <c r="E121" s="71"/>
      <c r="F121" s="71"/>
      <c r="G121" s="71"/>
      <c r="H121" s="71"/>
      <c r="I121" s="71"/>
      <c r="J121" s="71"/>
      <c r="K121" s="71"/>
      <c r="L121" s="56"/>
      <c r="M121" s="56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 t="str">
        <f>'Agents'' Final Roster 0913-0919'!J121</f>
        <v>CSV3</v>
      </c>
      <c r="AA121" s="53"/>
      <c r="AB121" s="53"/>
      <c r="AC121" s="53"/>
      <c r="AD121" s="53"/>
      <c r="AE121" s="53"/>
      <c r="AF121" s="53"/>
      <c r="AG121" s="53"/>
      <c r="AH121" s="53"/>
      <c r="AI121" s="53"/>
      <c r="AJ121" s="58"/>
      <c r="AK121" s="58"/>
      <c r="AL121" s="59"/>
      <c r="AM121" s="60"/>
      <c r="AN121" s="62"/>
      <c r="AO121" s="66"/>
      <c r="AP121" s="67"/>
    </row>
    <row r="122" s="50" customFormat="1" customHeight="1" spans="1:42">
      <c r="A122" s="70" t="str">
        <f>'Agents'' Final Roster 0913-0919'!A122</f>
        <v>Ortiz Jose María</v>
      </c>
      <c r="B122" s="71" t="str">
        <f>'Agents'' Final Roster 0913-0919'!B122</f>
        <v>Brandan Ernesto Alejandro</v>
      </c>
      <c r="C122" s="71" t="str">
        <f>'Agents'' Final Roster 0913-0919'!C122</f>
        <v>Arias</v>
      </c>
      <c r="D122" s="71" t="str">
        <f>'Agents'' Final Roster 0913-0919'!D122</f>
        <v>Daniela Beatriz</v>
      </c>
      <c r="E122" s="71"/>
      <c r="F122" s="71"/>
      <c r="G122" s="71"/>
      <c r="H122" s="71"/>
      <c r="I122" s="71"/>
      <c r="J122" s="71"/>
      <c r="K122" s="71"/>
      <c r="L122" s="56"/>
      <c r="M122" s="56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 t="str">
        <f>'Agents'' Final Roster 0913-0919'!J122</f>
        <v>VIP</v>
      </c>
      <c r="AA122" s="53"/>
      <c r="AB122" s="53"/>
      <c r="AC122" s="53"/>
      <c r="AD122" s="53"/>
      <c r="AE122" s="53"/>
      <c r="AF122" s="53"/>
      <c r="AG122" s="53"/>
      <c r="AH122" s="53"/>
      <c r="AI122" s="53"/>
      <c r="AJ122" s="58"/>
      <c r="AK122" s="58"/>
      <c r="AL122" s="59"/>
      <c r="AM122" s="60"/>
      <c r="AN122" s="62"/>
      <c r="AO122" s="66"/>
      <c r="AP122" s="67"/>
    </row>
    <row r="123" s="50" customFormat="1" customHeight="1" spans="1:42">
      <c r="A123" s="70" t="str">
        <f>'Agents'' Final Roster 0913-0919'!A123</f>
        <v>Ortiz Jose María</v>
      </c>
      <c r="B123" s="71" t="str">
        <f>'Agents'' Final Roster 0913-0919'!B123</f>
        <v>Brandan Ernesto Alejandro</v>
      </c>
      <c r="C123" s="71" t="str">
        <f>'Agents'' Final Roster 0913-0919'!C123</f>
        <v>Burgos</v>
      </c>
      <c r="D123" s="71" t="str">
        <f>'Agents'' Final Roster 0913-0919'!D123</f>
        <v>Damaris Nahir</v>
      </c>
      <c r="E123" s="71"/>
      <c r="F123" s="71"/>
      <c r="G123" s="71"/>
      <c r="H123" s="71"/>
      <c r="I123" s="71"/>
      <c r="J123" s="71"/>
      <c r="K123" s="71"/>
      <c r="L123" s="56"/>
      <c r="M123" s="56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 t="str">
        <f>'Agents'' Final Roster 0913-0919'!J123</f>
        <v>CSV2</v>
      </c>
      <c r="AA123" s="53"/>
      <c r="AB123" s="53"/>
      <c r="AC123" s="53"/>
      <c r="AD123" s="53"/>
      <c r="AE123" s="53"/>
      <c r="AF123" s="53"/>
      <c r="AG123" s="53"/>
      <c r="AH123" s="53"/>
      <c r="AI123" s="53"/>
      <c r="AJ123" s="58"/>
      <c r="AK123" s="58"/>
      <c r="AL123" s="59"/>
      <c r="AM123" s="60"/>
      <c r="AN123" s="62"/>
      <c r="AO123" s="66"/>
      <c r="AP123" s="67"/>
    </row>
    <row r="124" s="50" customFormat="1" customHeight="1" spans="1:42">
      <c r="A124" s="70" t="str">
        <f>'Agents'' Final Roster 0913-0919'!A124</f>
        <v>Ortiz Jose María</v>
      </c>
      <c r="B124" s="71" t="str">
        <f>'Agents'' Final Roster 0913-0919'!B124</f>
        <v>Brandan Ernesto Alejandro</v>
      </c>
      <c r="C124" s="71" t="str">
        <f>'Agents'' Final Roster 0913-0919'!C124</f>
        <v>Campos</v>
      </c>
      <c r="D124" s="71" t="str">
        <f>'Agents'' Final Roster 0913-0919'!D124</f>
        <v>Rodrigo Federico</v>
      </c>
      <c r="E124" s="71"/>
      <c r="F124" s="71"/>
      <c r="G124" s="71"/>
      <c r="H124" s="71"/>
      <c r="I124" s="71"/>
      <c r="J124" s="71"/>
      <c r="K124" s="71"/>
      <c r="L124" s="56"/>
      <c r="M124" s="56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 t="str">
        <f>'Agents'' Final Roster 0913-0919'!J124</f>
        <v>VIP</v>
      </c>
      <c r="AA124" s="53"/>
      <c r="AB124" s="53"/>
      <c r="AC124" s="53"/>
      <c r="AD124" s="53"/>
      <c r="AE124" s="53"/>
      <c r="AF124" s="53"/>
      <c r="AG124" s="53"/>
      <c r="AH124" s="53"/>
      <c r="AI124" s="53"/>
      <c r="AJ124" s="58"/>
      <c r="AK124" s="58"/>
      <c r="AL124" s="59"/>
      <c r="AM124" s="60"/>
      <c r="AN124" s="62"/>
      <c r="AO124" s="66"/>
      <c r="AP124" s="67"/>
    </row>
    <row r="125" s="50" customFormat="1" customHeight="1" spans="1:42">
      <c r="A125" s="70" t="str">
        <f>'Agents'' Final Roster 0913-0919'!A125</f>
        <v>Ortiz Jose María</v>
      </c>
      <c r="B125" s="71" t="str">
        <f>'Agents'' Final Roster 0913-0919'!B125</f>
        <v>Brandan Ernesto Alejandro</v>
      </c>
      <c r="C125" s="71" t="str">
        <f>'Agents'' Final Roster 0913-0919'!C125</f>
        <v>Delgado</v>
      </c>
      <c r="D125" s="71" t="str">
        <f>'Agents'' Final Roster 0913-0919'!D125</f>
        <v>Jessica Elizabeth</v>
      </c>
      <c r="E125" s="71"/>
      <c r="F125" s="71"/>
      <c r="G125" s="71"/>
      <c r="H125" s="71"/>
      <c r="I125" s="71"/>
      <c r="J125" s="71"/>
      <c r="K125" s="71"/>
      <c r="L125" s="56"/>
      <c r="M125" s="56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 t="str">
        <f>'Agents'' Final Roster 0913-0919'!J125</f>
        <v>CSV3</v>
      </c>
      <c r="AA125" s="53"/>
      <c r="AB125" s="53"/>
      <c r="AC125" s="53"/>
      <c r="AD125" s="53"/>
      <c r="AE125" s="53"/>
      <c r="AF125" s="53"/>
      <c r="AG125" s="53"/>
      <c r="AH125" s="53"/>
      <c r="AI125" s="53"/>
      <c r="AJ125" s="58"/>
      <c r="AK125" s="58"/>
      <c r="AL125" s="59"/>
      <c r="AM125" s="60"/>
      <c r="AN125" s="62"/>
      <c r="AO125" s="66"/>
      <c r="AP125" s="67"/>
    </row>
    <row r="126" s="50" customFormat="1" customHeight="1" spans="1:42">
      <c r="A126" s="70" t="str">
        <f>'Agents'' Final Roster 0913-0919'!A126</f>
        <v>Ortiz Jose María</v>
      </c>
      <c r="B126" s="71" t="str">
        <f>'Agents'' Final Roster 0913-0919'!B126</f>
        <v>Brandan Ernesto Alejandro</v>
      </c>
      <c r="C126" s="71" t="str">
        <f>'Agents'' Final Roster 0913-0919'!C126</f>
        <v>Fernandez</v>
      </c>
      <c r="D126" s="71" t="str">
        <f>'Agents'' Final Roster 0913-0919'!D126</f>
        <v>Carolina del Valle </v>
      </c>
      <c r="E126" s="71"/>
      <c r="F126" s="71"/>
      <c r="G126" s="71"/>
      <c r="H126" s="71"/>
      <c r="I126" s="71"/>
      <c r="J126" s="71"/>
      <c r="K126" s="71"/>
      <c r="L126" s="56"/>
      <c r="M126" s="56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 t="str">
        <f>'Agents'' Final Roster 0913-0919'!J126</f>
        <v>CSV2</v>
      </c>
      <c r="AA126" s="53"/>
      <c r="AB126" s="53"/>
      <c r="AC126" s="53"/>
      <c r="AD126" s="53"/>
      <c r="AE126" s="53"/>
      <c r="AF126" s="53"/>
      <c r="AG126" s="53"/>
      <c r="AH126" s="53"/>
      <c r="AI126" s="53"/>
      <c r="AJ126" s="58"/>
      <c r="AK126" s="58"/>
      <c r="AL126" s="59"/>
      <c r="AM126" s="60"/>
      <c r="AN126" s="62"/>
      <c r="AO126" s="66"/>
      <c r="AP126" s="67"/>
    </row>
    <row r="127" s="50" customFormat="1" customHeight="1" spans="1:42">
      <c r="A127" s="70" t="str">
        <f>'Agents'' Final Roster 0913-0919'!A127</f>
        <v>Ortiz Jose María</v>
      </c>
      <c r="B127" s="71" t="str">
        <f>'Agents'' Final Roster 0913-0919'!B127</f>
        <v>Brandan Ernesto Alejandro</v>
      </c>
      <c r="C127" s="71" t="str">
        <f>'Agents'' Final Roster 0913-0919'!C127</f>
        <v>Galarce</v>
      </c>
      <c r="D127" s="71" t="str">
        <f>'Agents'' Final Roster 0913-0919'!D127</f>
        <v>Diego Jose</v>
      </c>
      <c r="E127" s="71"/>
      <c r="F127" s="71"/>
      <c r="G127" s="71"/>
      <c r="H127" s="71"/>
      <c r="I127" s="71"/>
      <c r="J127" s="71"/>
      <c r="K127" s="71"/>
      <c r="L127" s="56"/>
      <c r="M127" s="56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 t="str">
        <f>'Agents'' Final Roster 0913-0919'!J127</f>
        <v>CSV2</v>
      </c>
      <c r="AA127" s="53"/>
      <c r="AB127" s="53"/>
      <c r="AC127" s="53"/>
      <c r="AD127" s="53"/>
      <c r="AE127" s="53"/>
      <c r="AF127" s="53"/>
      <c r="AG127" s="53"/>
      <c r="AH127" s="53"/>
      <c r="AI127" s="53"/>
      <c r="AJ127" s="58"/>
      <c r="AK127" s="58"/>
      <c r="AL127" s="59"/>
      <c r="AM127" s="60"/>
      <c r="AN127" s="62"/>
      <c r="AO127" s="66"/>
      <c r="AP127" s="67"/>
    </row>
    <row r="128" s="50" customFormat="1" customHeight="1" spans="1:42">
      <c r="A128" s="70" t="str">
        <f>'Agents'' Final Roster 0913-0919'!A128</f>
        <v>Ortiz Jose María</v>
      </c>
      <c r="B128" s="71" t="str">
        <f>'Agents'' Final Roster 0913-0919'!B128</f>
        <v>Brandan Ernesto Alejandro</v>
      </c>
      <c r="C128" s="71" t="str">
        <f>'Agents'' Final Roster 0913-0919'!C128</f>
        <v>Galindez</v>
      </c>
      <c r="D128" s="71" t="str">
        <f>'Agents'' Final Roster 0913-0919'!D128</f>
        <v>Yuliana Lilia Denis</v>
      </c>
      <c r="E128" s="71"/>
      <c r="F128" s="71"/>
      <c r="G128" s="71"/>
      <c r="H128" s="71"/>
      <c r="I128" s="71"/>
      <c r="J128" s="71"/>
      <c r="K128" s="71"/>
      <c r="L128" s="56"/>
      <c r="M128" s="56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 t="str">
        <f>'Agents'' Final Roster 0913-0919'!J128</f>
        <v>CSV2</v>
      </c>
      <c r="AA128" s="53"/>
      <c r="AB128" s="53"/>
      <c r="AC128" s="53"/>
      <c r="AD128" s="53"/>
      <c r="AE128" s="53"/>
      <c r="AF128" s="53"/>
      <c r="AG128" s="53"/>
      <c r="AH128" s="53"/>
      <c r="AI128" s="53"/>
      <c r="AJ128" s="58"/>
      <c r="AK128" s="58"/>
      <c r="AL128" s="59"/>
      <c r="AM128" s="60"/>
      <c r="AN128" s="62"/>
      <c r="AO128" s="66"/>
      <c r="AP128" s="67"/>
    </row>
    <row r="129" s="50" customFormat="1" customHeight="1" spans="1:42">
      <c r="A129" s="70" t="str">
        <f>'Agents'' Final Roster 0913-0919'!A129</f>
        <v>Ortiz Jose María</v>
      </c>
      <c r="B129" s="71" t="str">
        <f>'Agents'' Final Roster 0913-0919'!B129</f>
        <v>Brandan Ernesto Alejandro</v>
      </c>
      <c r="C129" s="71" t="str">
        <f>'Agents'' Final Roster 0913-0919'!C129</f>
        <v>Lopez</v>
      </c>
      <c r="D129" s="71" t="str">
        <f>'Agents'' Final Roster 0913-0919'!D129</f>
        <v>Ana Valentina</v>
      </c>
      <c r="E129" s="71"/>
      <c r="F129" s="71"/>
      <c r="G129" s="71"/>
      <c r="H129" s="71"/>
      <c r="I129" s="71"/>
      <c r="J129" s="71"/>
      <c r="K129" s="71"/>
      <c r="L129" s="56"/>
      <c r="M129" s="56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 t="str">
        <f>'Agents'' Final Roster 0913-0919'!J129</f>
        <v>CSV2</v>
      </c>
      <c r="AA129" s="53"/>
      <c r="AB129" s="53"/>
      <c r="AC129" s="53"/>
      <c r="AD129" s="53"/>
      <c r="AE129" s="53"/>
      <c r="AF129" s="53"/>
      <c r="AG129" s="53"/>
      <c r="AH129" s="53"/>
      <c r="AI129" s="53"/>
      <c r="AJ129" s="58"/>
      <c r="AK129" s="58"/>
      <c r="AL129" s="59"/>
      <c r="AM129" s="60"/>
      <c r="AN129" s="62"/>
      <c r="AO129" s="66"/>
      <c r="AP129" s="67"/>
    </row>
    <row r="130" s="50" customFormat="1" customHeight="1" spans="1:42">
      <c r="A130" s="70" t="str">
        <f>'Agents'' Final Roster 0913-0919'!A130</f>
        <v>Ortiz Jose María</v>
      </c>
      <c r="B130" s="71" t="str">
        <f>'Agents'' Final Roster 0913-0919'!B130</f>
        <v>Brandan Ernesto Alejandro</v>
      </c>
      <c r="C130" s="71" t="str">
        <f>'Agents'' Final Roster 0913-0919'!C130</f>
        <v>Loto </v>
      </c>
      <c r="D130" s="71" t="str">
        <f>'Agents'' Final Roster 0913-0919'!D130</f>
        <v>Fernanda</v>
      </c>
      <c r="E130" s="71"/>
      <c r="F130" s="71"/>
      <c r="G130" s="71"/>
      <c r="H130" s="71"/>
      <c r="I130" s="71"/>
      <c r="J130" s="71"/>
      <c r="K130" s="71"/>
      <c r="L130" s="56"/>
      <c r="M130" s="56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 t="str">
        <f>'Agents'' Final Roster 0913-0919'!J130</f>
        <v>CSV2</v>
      </c>
      <c r="AA130" s="53"/>
      <c r="AB130" s="53"/>
      <c r="AC130" s="53"/>
      <c r="AD130" s="53"/>
      <c r="AE130" s="53"/>
      <c r="AF130" s="53"/>
      <c r="AG130" s="53"/>
      <c r="AH130" s="53"/>
      <c r="AI130" s="53"/>
      <c r="AJ130" s="58"/>
      <c r="AK130" s="58"/>
      <c r="AL130" s="59"/>
      <c r="AM130" s="60"/>
      <c r="AN130" s="62"/>
      <c r="AO130" s="66"/>
      <c r="AP130" s="67"/>
    </row>
    <row r="131" s="50" customFormat="1" customHeight="1" spans="1:42">
      <c r="A131" s="52" t="str">
        <f>'Agents'' Final Roster 0913-0919'!A131</f>
        <v>Ortiz Jose María</v>
      </c>
      <c r="B131" s="53" t="str">
        <f>'Agents'' Final Roster 0913-0919'!B131</f>
        <v>Brandan Ernesto Alejandro</v>
      </c>
      <c r="C131" s="53" t="str">
        <f>'Agents'' Final Roster 0913-0919'!C131</f>
        <v>Luna</v>
      </c>
      <c r="D131" s="53" t="str">
        <f>'Agents'' Final Roster 0913-0919'!D131</f>
        <v>Maria De Los Angeles</v>
      </c>
      <c r="E131" s="53"/>
      <c r="F131" s="53"/>
      <c r="G131" s="53"/>
      <c r="H131" s="53"/>
      <c r="I131" s="53"/>
      <c r="J131" s="53"/>
      <c r="K131" s="53"/>
      <c r="L131" s="56"/>
      <c r="M131" s="56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 t="str">
        <f>'Agents'' Final Roster 0913-0919'!J131</f>
        <v>CSV2</v>
      </c>
      <c r="AA131" s="53"/>
      <c r="AB131" s="53"/>
      <c r="AC131" s="53"/>
      <c r="AD131" s="53"/>
      <c r="AE131" s="53"/>
      <c r="AF131" s="53"/>
      <c r="AG131" s="53"/>
      <c r="AH131" s="53"/>
      <c r="AI131" s="53"/>
      <c r="AJ131" s="58"/>
      <c r="AK131" s="58"/>
      <c r="AL131" s="59"/>
      <c r="AM131" s="60"/>
      <c r="AN131" s="62"/>
      <c r="AO131" s="66"/>
      <c r="AP131" s="67"/>
    </row>
    <row r="132" s="50" customFormat="1" customHeight="1" spans="1:42">
      <c r="A132" s="52" t="str">
        <f>'Agents'' Final Roster 0913-0919'!A132</f>
        <v>Ortiz Jose María</v>
      </c>
      <c r="B132" s="53" t="str">
        <f>'Agents'' Final Roster 0913-0919'!B132</f>
        <v>Brandan Ernesto Alejandro</v>
      </c>
      <c r="C132" s="53" t="str">
        <f>'Agents'' Final Roster 0913-0919'!C132</f>
        <v>Mansilla</v>
      </c>
      <c r="D132" s="53" t="str">
        <f>'Agents'' Final Roster 0913-0919'!D132</f>
        <v>Micaela Belen</v>
      </c>
      <c r="E132" s="53"/>
      <c r="F132" s="53"/>
      <c r="G132" s="53"/>
      <c r="H132" s="53"/>
      <c r="I132" s="53"/>
      <c r="J132" s="53"/>
      <c r="K132" s="53"/>
      <c r="L132" s="56"/>
      <c r="M132" s="56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 t="str">
        <f>'Agents'' Final Roster 0913-0919'!J132</f>
        <v>CSV3</v>
      </c>
      <c r="AA132" s="53"/>
      <c r="AB132" s="53"/>
      <c r="AC132" s="53"/>
      <c r="AD132" s="53"/>
      <c r="AE132" s="53"/>
      <c r="AF132" s="53"/>
      <c r="AG132" s="53"/>
      <c r="AH132" s="53"/>
      <c r="AI132" s="53"/>
      <c r="AJ132" s="58"/>
      <c r="AK132" s="58"/>
      <c r="AL132" s="59"/>
      <c r="AM132" s="60"/>
      <c r="AN132" s="62"/>
      <c r="AO132" s="66"/>
      <c r="AP132" s="67"/>
    </row>
    <row r="133" s="50" customFormat="1" customHeight="1" spans="1:42">
      <c r="A133" s="52" t="str">
        <f>'Agents'' Final Roster 0913-0919'!A133</f>
        <v>Ortiz Jose María</v>
      </c>
      <c r="B133" s="53" t="str">
        <f>'Agents'' Final Roster 0913-0919'!B133</f>
        <v>Brandan Ernesto Alejandro</v>
      </c>
      <c r="C133" s="53" t="str">
        <f>'Agents'' Final Roster 0913-0919'!C133</f>
        <v>Martinez</v>
      </c>
      <c r="D133" s="53" t="str">
        <f>'Agents'' Final Roster 0913-0919'!D133</f>
        <v>Lorena Macarena</v>
      </c>
      <c r="E133" s="53"/>
      <c r="F133" s="53"/>
      <c r="G133" s="53"/>
      <c r="H133" s="53"/>
      <c r="I133" s="53"/>
      <c r="J133" s="53"/>
      <c r="K133" s="53"/>
      <c r="L133" s="56"/>
      <c r="M133" s="56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 t="str">
        <f>'Agents'' Final Roster 0913-0919'!J133</f>
        <v>VIP</v>
      </c>
      <c r="AA133" s="53"/>
      <c r="AB133" s="53"/>
      <c r="AC133" s="53"/>
      <c r="AD133" s="53"/>
      <c r="AE133" s="53"/>
      <c r="AF133" s="53"/>
      <c r="AG133" s="53"/>
      <c r="AH133" s="53"/>
      <c r="AI133" s="53"/>
      <c r="AJ133" s="58"/>
      <c r="AK133" s="58"/>
      <c r="AL133" s="59"/>
      <c r="AM133" s="60"/>
      <c r="AN133" s="62"/>
      <c r="AO133" s="66"/>
      <c r="AP133" s="67"/>
    </row>
    <row r="134" s="50" customFormat="1" customHeight="1" spans="1:42">
      <c r="A134" s="52" t="str">
        <f>'Agents'' Final Roster 0913-0919'!A134</f>
        <v>Ortiz Jose María</v>
      </c>
      <c r="B134" s="53" t="str">
        <f>'Agents'' Final Roster 0913-0919'!B134</f>
        <v>Brandan Ernesto Alejandro</v>
      </c>
      <c r="C134" s="53" t="str">
        <f>'Agents'' Final Roster 0913-0919'!C134</f>
        <v>Morales</v>
      </c>
      <c r="D134" s="53" t="str">
        <f>'Agents'' Final Roster 0913-0919'!D134</f>
        <v>Lucas Santiago</v>
      </c>
      <c r="E134" s="53"/>
      <c r="F134" s="53"/>
      <c r="G134" s="53"/>
      <c r="H134" s="53"/>
      <c r="I134" s="53"/>
      <c r="J134" s="53"/>
      <c r="K134" s="53"/>
      <c r="L134" s="56"/>
      <c r="M134" s="56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 t="str">
        <f>'Agents'' Final Roster 0913-0919'!J134</f>
        <v>HD</v>
      </c>
      <c r="AA134" s="53"/>
      <c r="AB134" s="53"/>
      <c r="AC134" s="53"/>
      <c r="AD134" s="53"/>
      <c r="AE134" s="53"/>
      <c r="AF134" s="53"/>
      <c r="AG134" s="53"/>
      <c r="AH134" s="53"/>
      <c r="AI134" s="53"/>
      <c r="AJ134" s="58"/>
      <c r="AK134" s="58"/>
      <c r="AL134" s="59"/>
      <c r="AM134" s="60"/>
      <c r="AN134" s="62"/>
      <c r="AO134" s="66"/>
      <c r="AP134" s="67"/>
    </row>
    <row r="135" s="50" customFormat="1" customHeight="1" spans="1:42">
      <c r="A135" s="52" t="str">
        <f>'Agents'' Final Roster 0913-0919'!A135</f>
        <v>Ortiz Jose María</v>
      </c>
      <c r="B135" s="53" t="str">
        <f>'Agents'' Final Roster 0913-0919'!B135</f>
        <v>Brandan Ernesto Alejandro</v>
      </c>
      <c r="C135" s="53" t="str">
        <f>'Agents'' Final Roster 0913-0919'!C135</f>
        <v>Nuñez</v>
      </c>
      <c r="D135" s="53" t="str">
        <f>'Agents'' Final Roster 0913-0919'!D135</f>
        <v>Roxana Marcela</v>
      </c>
      <c r="E135" s="53"/>
      <c r="F135" s="53"/>
      <c r="G135" s="53"/>
      <c r="H135" s="53"/>
      <c r="I135" s="53"/>
      <c r="J135" s="53"/>
      <c r="K135" s="53"/>
      <c r="L135" s="56"/>
      <c r="M135" s="56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 t="str">
        <f>'Agents'' Final Roster 0913-0919'!J135</f>
        <v>CSV2</v>
      </c>
      <c r="AA135" s="53"/>
      <c r="AB135" s="53"/>
      <c r="AC135" s="53"/>
      <c r="AD135" s="53"/>
      <c r="AE135" s="53"/>
      <c r="AF135" s="53"/>
      <c r="AG135" s="53"/>
      <c r="AH135" s="53"/>
      <c r="AI135" s="53"/>
      <c r="AJ135" s="58"/>
      <c r="AK135" s="58"/>
      <c r="AL135" s="59"/>
      <c r="AM135" s="60"/>
      <c r="AN135" s="62"/>
      <c r="AO135" s="66"/>
      <c r="AP135" s="67"/>
    </row>
    <row r="136" s="50" customFormat="1" customHeight="1" spans="1:42">
      <c r="A136" s="52" t="str">
        <f>'Agents'' Final Roster 0913-0919'!A136</f>
        <v>Ortiz Jose María</v>
      </c>
      <c r="B136" s="53" t="str">
        <f>'Agents'' Final Roster 0913-0919'!B136</f>
        <v>Brandan Ernesto Alejandro</v>
      </c>
      <c r="C136" s="53" t="str">
        <f>'Agents'' Final Roster 0913-0919'!C136</f>
        <v>Palavecino</v>
      </c>
      <c r="D136" s="53" t="str">
        <f>'Agents'' Final Roster 0913-0919'!D136</f>
        <v>Marta Erika del Valle</v>
      </c>
      <c r="E136" s="53"/>
      <c r="F136" s="53"/>
      <c r="G136" s="53"/>
      <c r="H136" s="53"/>
      <c r="I136" s="53"/>
      <c r="J136" s="53"/>
      <c r="K136" s="53"/>
      <c r="L136" s="56"/>
      <c r="M136" s="56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 t="str">
        <f>'Agents'' Final Roster 0913-0919'!J136</f>
        <v>VIP</v>
      </c>
      <c r="AA136" s="53"/>
      <c r="AB136" s="53"/>
      <c r="AC136" s="53"/>
      <c r="AD136" s="53"/>
      <c r="AE136" s="53"/>
      <c r="AF136" s="53"/>
      <c r="AG136" s="53"/>
      <c r="AH136" s="53"/>
      <c r="AI136" s="53"/>
      <c r="AJ136" s="58"/>
      <c r="AK136" s="58"/>
      <c r="AL136" s="59"/>
      <c r="AM136" s="60"/>
      <c r="AN136" s="62"/>
      <c r="AO136" s="66"/>
      <c r="AP136" s="67"/>
    </row>
    <row r="137" s="50" customFormat="1" customHeight="1" spans="1:42">
      <c r="A137" s="52" t="str">
        <f>'Agents'' Final Roster 0913-0919'!A137</f>
        <v>Ortiz Jose María</v>
      </c>
      <c r="B137" s="53" t="str">
        <f>'Agents'' Final Roster 0913-0919'!B137</f>
        <v>Brandan Ernesto Alejandro</v>
      </c>
      <c r="C137" s="53" t="str">
        <f>'Agents'' Final Roster 0913-0919'!C137</f>
        <v>Rivadeneira</v>
      </c>
      <c r="D137" s="53" t="str">
        <f>'Agents'' Final Roster 0913-0919'!D137</f>
        <v>Maira Belén</v>
      </c>
      <c r="E137" s="53"/>
      <c r="F137" s="53"/>
      <c r="G137" s="53"/>
      <c r="H137" s="53"/>
      <c r="I137" s="53"/>
      <c r="J137" s="53"/>
      <c r="K137" s="53"/>
      <c r="L137" s="56"/>
      <c r="M137" s="56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 t="str">
        <f>'Agents'' Final Roster 0913-0919'!J137</f>
        <v>CSV2</v>
      </c>
      <c r="AA137" s="53"/>
      <c r="AB137" s="53"/>
      <c r="AC137" s="53"/>
      <c r="AD137" s="53"/>
      <c r="AE137" s="53"/>
      <c r="AF137" s="53"/>
      <c r="AG137" s="53"/>
      <c r="AH137" s="53"/>
      <c r="AI137" s="53"/>
      <c r="AJ137" s="58"/>
      <c r="AK137" s="58"/>
      <c r="AL137" s="59"/>
      <c r="AM137" s="60"/>
      <c r="AN137" s="62"/>
      <c r="AO137" s="66"/>
      <c r="AP137" s="67"/>
    </row>
    <row r="138" s="50" customFormat="1" customHeight="1" spans="1:42">
      <c r="A138" s="52" t="str">
        <f>'Agents'' Final Roster 0913-0919'!A138</f>
        <v>Ortiz Jose María</v>
      </c>
      <c r="B138" s="53" t="str">
        <f>'Agents'' Final Roster 0913-0919'!B138</f>
        <v>Brandan Ernesto Alejandro</v>
      </c>
      <c r="C138" s="53" t="str">
        <f>'Agents'' Final Roster 0913-0919'!C138</f>
        <v>Rodriguez Ciccio</v>
      </c>
      <c r="D138" s="53" t="str">
        <f>'Agents'' Final Roster 0913-0919'!D138</f>
        <v>Nicolas Exequiel</v>
      </c>
      <c r="E138" s="53"/>
      <c r="F138" s="53"/>
      <c r="G138" s="53"/>
      <c r="H138" s="53"/>
      <c r="I138" s="53"/>
      <c r="J138" s="53"/>
      <c r="K138" s="53"/>
      <c r="L138" s="56"/>
      <c r="M138" s="56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 t="str">
        <f>'Agents'' Final Roster 0913-0919'!J138</f>
        <v>VIP</v>
      </c>
      <c r="AA138" s="53"/>
      <c r="AB138" s="53"/>
      <c r="AC138" s="53"/>
      <c r="AD138" s="53"/>
      <c r="AE138" s="53"/>
      <c r="AF138" s="53"/>
      <c r="AG138" s="53"/>
      <c r="AH138" s="53"/>
      <c r="AI138" s="53"/>
      <c r="AJ138" s="58"/>
      <c r="AK138" s="58"/>
      <c r="AL138" s="59"/>
      <c r="AM138" s="60"/>
      <c r="AN138" s="62"/>
      <c r="AO138" s="66"/>
      <c r="AP138" s="67"/>
    </row>
    <row r="139" s="50" customFormat="1" customHeight="1" spans="1:42">
      <c r="A139" s="54" t="str">
        <f>'Agents'' Final Roster 0913-0919'!A139</f>
        <v>Ortiz Jose María</v>
      </c>
      <c r="B139" s="55" t="str">
        <f>'Agents'' Final Roster 0913-0919'!B139</f>
        <v>Brandan Ernesto Alejandro</v>
      </c>
      <c r="C139" s="55" t="str">
        <f>'Agents'' Final Roster 0913-0919'!C139</f>
        <v>Salas</v>
      </c>
      <c r="D139" s="55" t="str">
        <f>'Agents'' Final Roster 0913-0919'!D139</f>
        <v>Melina del Carmen</v>
      </c>
      <c r="E139" s="55"/>
      <c r="F139" s="55"/>
      <c r="G139" s="55"/>
      <c r="H139" s="55"/>
      <c r="I139" s="55"/>
      <c r="J139" s="55"/>
      <c r="K139" s="55"/>
      <c r="L139" s="56"/>
      <c r="M139" s="56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 t="str">
        <f>'Agents'' Final Roster 0913-0919'!J139</f>
        <v>CSV2</v>
      </c>
      <c r="AA139" s="53"/>
      <c r="AB139" s="53"/>
      <c r="AC139" s="53"/>
      <c r="AD139" s="53"/>
      <c r="AE139" s="53"/>
      <c r="AF139" s="53"/>
      <c r="AG139" s="53"/>
      <c r="AH139" s="53"/>
      <c r="AI139" s="53"/>
      <c r="AJ139" s="58"/>
      <c r="AK139" s="58"/>
      <c r="AL139" s="59"/>
      <c r="AM139" s="60"/>
      <c r="AN139" s="62"/>
      <c r="AO139" s="66"/>
      <c r="AP139" s="67"/>
    </row>
    <row r="140" s="50" customFormat="1" customHeight="1" spans="1:42">
      <c r="A140" s="52" t="str">
        <f>'Agents'' Final Roster 0913-0919'!A140</f>
        <v>Ortiz Jose María</v>
      </c>
      <c r="B140" s="53" t="str">
        <f>'Agents'' Final Roster 0913-0919'!B140</f>
        <v>Brandan Ernesto Alejandro</v>
      </c>
      <c r="C140" s="53" t="str">
        <f>'Agents'' Final Roster 0913-0919'!C140</f>
        <v>Santucho</v>
      </c>
      <c r="D140" s="53" t="str">
        <f>'Agents'' Final Roster 0913-0919'!D140</f>
        <v>Ramon Eduardo</v>
      </c>
      <c r="E140" s="53"/>
      <c r="F140" s="53"/>
      <c r="G140" s="53"/>
      <c r="H140" s="53"/>
      <c r="I140" s="53"/>
      <c r="J140" s="53"/>
      <c r="K140" s="53"/>
      <c r="L140" s="56"/>
      <c r="M140" s="56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 t="str">
        <f>'Agents'' Final Roster 0913-0919'!J140</f>
        <v>VIP</v>
      </c>
      <c r="AA140" s="53"/>
      <c r="AB140" s="53"/>
      <c r="AC140" s="53"/>
      <c r="AD140" s="53"/>
      <c r="AE140" s="53"/>
      <c r="AF140" s="53"/>
      <c r="AG140" s="53"/>
      <c r="AH140" s="53"/>
      <c r="AI140" s="53"/>
      <c r="AJ140" s="58"/>
      <c r="AK140" s="58"/>
      <c r="AL140" s="59"/>
      <c r="AM140" s="60"/>
      <c r="AN140" s="62"/>
      <c r="AO140" s="66"/>
      <c r="AP140" s="67"/>
    </row>
    <row r="141" s="50" customFormat="1" customHeight="1" spans="1:42">
      <c r="A141" s="52" t="str">
        <f>'Agents'' Final Roster 0913-0919'!A141</f>
        <v>Ortiz Jose María</v>
      </c>
      <c r="B141" s="53" t="str">
        <f>'Agents'' Final Roster 0913-0919'!B141</f>
        <v>Brandan Ernesto Alejandro</v>
      </c>
      <c r="C141" s="53" t="str">
        <f>'Agents'' Final Roster 0913-0919'!C141</f>
        <v>Vargas</v>
      </c>
      <c r="D141" s="53" t="str">
        <f>'Agents'' Final Roster 0913-0919'!D141</f>
        <v>Ivan Xavier</v>
      </c>
      <c r="E141" s="53"/>
      <c r="F141" s="53"/>
      <c r="G141" s="53"/>
      <c r="H141" s="53"/>
      <c r="I141" s="53"/>
      <c r="J141" s="53"/>
      <c r="K141" s="53"/>
      <c r="L141" s="56"/>
      <c r="M141" s="56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 t="str">
        <f>'Agents'' Final Roster 0913-0919'!J141</f>
        <v>CSV2</v>
      </c>
      <c r="AA141" s="53"/>
      <c r="AB141" s="53"/>
      <c r="AC141" s="53"/>
      <c r="AD141" s="53"/>
      <c r="AE141" s="53"/>
      <c r="AF141" s="53"/>
      <c r="AG141" s="53"/>
      <c r="AH141" s="53"/>
      <c r="AI141" s="53"/>
      <c r="AJ141" s="58"/>
      <c r="AK141" s="58"/>
      <c r="AL141" s="59"/>
      <c r="AM141" s="60"/>
      <c r="AN141" s="62"/>
      <c r="AO141" s="66"/>
      <c r="AP141" s="67"/>
    </row>
    <row r="142" s="50" customFormat="1" customHeight="1" spans="1:42">
      <c r="A142" s="52" t="str">
        <f>'Agents'' Final Roster 0913-0919'!A142</f>
        <v>Ortiz Jose María</v>
      </c>
      <c r="B142" s="53" t="str">
        <f>'Agents'' Final Roster 0913-0919'!B142</f>
        <v>Gerez Andrea Soledad</v>
      </c>
      <c r="C142" s="53" t="str">
        <f>'Agents'' Final Roster 0913-0919'!C142</f>
        <v>Alcaraz</v>
      </c>
      <c r="D142" s="53" t="str">
        <f>'Agents'' Final Roster 0913-0919'!D142</f>
        <v>Maria Gabriela</v>
      </c>
      <c r="E142" s="53"/>
      <c r="F142" s="53"/>
      <c r="G142" s="53"/>
      <c r="H142" s="53"/>
      <c r="I142" s="53"/>
      <c r="J142" s="53"/>
      <c r="K142" s="53"/>
      <c r="L142" s="56"/>
      <c r="M142" s="56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 t="str">
        <f>'Agents'' Final Roster 0913-0919'!J142</f>
        <v>CSV2</v>
      </c>
      <c r="AA142" s="53"/>
      <c r="AB142" s="53"/>
      <c r="AC142" s="53"/>
      <c r="AD142" s="53"/>
      <c r="AE142" s="53"/>
      <c r="AF142" s="53"/>
      <c r="AG142" s="53"/>
      <c r="AH142" s="53"/>
      <c r="AI142" s="53"/>
      <c r="AJ142" s="58"/>
      <c r="AK142" s="58"/>
      <c r="AL142" s="59"/>
      <c r="AM142" s="60"/>
      <c r="AN142" s="62"/>
      <c r="AO142" s="66"/>
      <c r="AP142" s="67"/>
    </row>
    <row r="143" s="50" customFormat="1" customHeight="1" spans="1:42">
      <c r="A143" s="52" t="str">
        <f>'Agents'' Final Roster 0913-0919'!A143</f>
        <v>Ortiz Jose María</v>
      </c>
      <c r="B143" s="53" t="str">
        <f>'Agents'' Final Roster 0913-0919'!B143</f>
        <v>Britos Fernando José</v>
      </c>
      <c r="C143" s="53" t="str">
        <f>'Agents'' Final Roster 0913-0919'!C143</f>
        <v>Almada</v>
      </c>
      <c r="D143" s="53" t="str">
        <f>'Agents'' Final Roster 0913-0919'!D143</f>
        <v>Nancy Alejandra</v>
      </c>
      <c r="E143" s="53"/>
      <c r="F143" s="53"/>
      <c r="G143" s="53"/>
      <c r="H143" s="53"/>
      <c r="I143" s="53"/>
      <c r="J143" s="53"/>
      <c r="K143" s="53"/>
      <c r="L143" s="56"/>
      <c r="M143" s="56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 t="str">
        <f>'Agents'' Final Roster 0913-0919'!J143</f>
        <v>DVH</v>
      </c>
      <c r="AA143" s="53"/>
      <c r="AB143" s="53"/>
      <c r="AC143" s="53"/>
      <c r="AD143" s="53"/>
      <c r="AE143" s="53"/>
      <c r="AF143" s="53"/>
      <c r="AG143" s="53"/>
      <c r="AH143" s="53"/>
      <c r="AI143" s="53"/>
      <c r="AJ143" s="58"/>
      <c r="AK143" s="58"/>
      <c r="AL143" s="59"/>
      <c r="AM143" s="60"/>
      <c r="AN143" s="62"/>
      <c r="AO143" s="66"/>
      <c r="AP143" s="67"/>
    </row>
    <row r="144" s="50" customFormat="1" customHeight="1" spans="1:42">
      <c r="A144" s="52" t="str">
        <f>'Agents'' Final Roster 0913-0919'!A144</f>
        <v>Ortiz Jose María</v>
      </c>
      <c r="B144" s="53" t="str">
        <f>'Agents'' Final Roster 0913-0919'!B144</f>
        <v>Gerez Andrea Soledad</v>
      </c>
      <c r="C144" s="53" t="str">
        <f>'Agents'' Final Roster 0913-0919'!C144</f>
        <v>Arias</v>
      </c>
      <c r="D144" s="53" t="str">
        <f>'Agents'' Final Roster 0913-0919'!D144</f>
        <v>Alvaro Rodrigo</v>
      </c>
      <c r="E144" s="53"/>
      <c r="F144" s="53"/>
      <c r="G144" s="53"/>
      <c r="H144" s="53"/>
      <c r="I144" s="53"/>
      <c r="J144" s="53"/>
      <c r="K144" s="53"/>
      <c r="L144" s="56"/>
      <c r="M144" s="56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 t="str">
        <f>'Agents'' Final Roster 0913-0919'!J144</f>
        <v>Servicios web</v>
      </c>
      <c r="AA144" s="53"/>
      <c r="AB144" s="53"/>
      <c r="AC144" s="53"/>
      <c r="AD144" s="53"/>
      <c r="AE144" s="53"/>
      <c r="AF144" s="53"/>
      <c r="AG144" s="53"/>
      <c r="AH144" s="53"/>
      <c r="AI144" s="53"/>
      <c r="AJ144" s="58"/>
      <c r="AK144" s="58"/>
      <c r="AL144" s="59"/>
      <c r="AM144" s="60"/>
      <c r="AN144" s="62"/>
      <c r="AO144" s="66"/>
      <c r="AP144" s="67"/>
    </row>
    <row r="145" s="50" customFormat="1" customHeight="1" spans="1:42">
      <c r="A145" s="68" t="str">
        <f>'Agents'' Final Roster 0913-0919'!A145</f>
        <v>Ortiz Jose María</v>
      </c>
      <c r="B145" s="69" t="str">
        <f>'Agents'' Final Roster 0913-0919'!B145</f>
        <v>Britos Fernando José</v>
      </c>
      <c r="C145" s="69" t="str">
        <f>'Agents'' Final Roster 0913-0919'!C145</f>
        <v>Boffa</v>
      </c>
      <c r="D145" s="69" t="str">
        <f>'Agents'' Final Roster 0913-0919'!D145</f>
        <v>Maria de Los Angeles</v>
      </c>
      <c r="E145" s="69"/>
      <c r="F145" s="69"/>
      <c r="G145" s="69"/>
      <c r="H145" s="69"/>
      <c r="I145" s="69"/>
      <c r="J145" s="69"/>
      <c r="K145" s="69"/>
      <c r="L145" s="56"/>
      <c r="M145" s="56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 t="str">
        <f>'Agents'' Final Roster 0913-0919'!J145</f>
        <v>Servicios web</v>
      </c>
      <c r="AA145" s="53"/>
      <c r="AB145" s="53"/>
      <c r="AC145" s="53"/>
      <c r="AD145" s="53"/>
      <c r="AE145" s="53"/>
      <c r="AF145" s="53"/>
      <c r="AG145" s="53"/>
      <c r="AH145" s="53"/>
      <c r="AI145" s="53"/>
      <c r="AJ145" s="58"/>
      <c r="AK145" s="58"/>
      <c r="AL145" s="59"/>
      <c r="AM145" s="60"/>
      <c r="AN145" s="62"/>
      <c r="AO145" s="66"/>
      <c r="AP145" s="67"/>
    </row>
    <row r="146" s="50" customFormat="1" customHeight="1" spans="1:42">
      <c r="A146" s="52" t="str">
        <f>'Agents'' Final Roster 0913-0919'!A146</f>
        <v>Ortiz Jose María</v>
      </c>
      <c r="B146" s="53" t="str">
        <f>'Agents'' Final Roster 0913-0919'!B146</f>
        <v>Britos Fernando José</v>
      </c>
      <c r="C146" s="53" t="str">
        <f>'Agents'' Final Roster 0913-0919'!C146</f>
        <v>Cerdeira</v>
      </c>
      <c r="D146" s="53" t="str">
        <f>'Agents'' Final Roster 0913-0919'!D146</f>
        <v>Rosana Valeria</v>
      </c>
      <c r="E146" s="53"/>
      <c r="F146" s="53"/>
      <c r="G146" s="53"/>
      <c r="H146" s="53"/>
      <c r="I146" s="53"/>
      <c r="J146" s="53"/>
      <c r="K146" s="53"/>
      <c r="L146" s="56"/>
      <c r="M146" s="56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 t="str">
        <f>'Agents'' Final Roster 0913-0919'!J146</f>
        <v>Servicios web</v>
      </c>
      <c r="AA146" s="53"/>
      <c r="AB146" s="53"/>
      <c r="AC146" s="53"/>
      <c r="AD146" s="53"/>
      <c r="AE146" s="53"/>
      <c r="AF146" s="53"/>
      <c r="AG146" s="53"/>
      <c r="AH146" s="53"/>
      <c r="AI146" s="53"/>
      <c r="AJ146" s="58"/>
      <c r="AK146" s="58"/>
      <c r="AL146" s="59"/>
      <c r="AM146" s="60"/>
      <c r="AN146" s="62"/>
      <c r="AO146" s="66"/>
      <c r="AP146" s="67"/>
    </row>
    <row r="147" s="50" customFormat="1" customHeight="1" spans="1:42">
      <c r="A147" s="52" t="str">
        <f>'Agents'' Final Roster 0913-0919'!A147</f>
        <v>Ortiz Jose María</v>
      </c>
      <c r="B147" s="53" t="str">
        <f>'Agents'' Final Roster 0913-0919'!B147</f>
        <v>Britos Fernando José</v>
      </c>
      <c r="C147" s="53" t="str">
        <f>'Agents'' Final Roster 0913-0919'!C147</f>
        <v>Cortes Jozami</v>
      </c>
      <c r="D147" s="53" t="str">
        <f>'Agents'' Final Roster 0913-0919'!D147</f>
        <v>Ana Sofia</v>
      </c>
      <c r="E147" s="53"/>
      <c r="F147" s="53"/>
      <c r="G147" s="53"/>
      <c r="H147" s="53"/>
      <c r="I147" s="53"/>
      <c r="J147" s="53"/>
      <c r="K147" s="53"/>
      <c r="L147" s="56"/>
      <c r="M147" s="56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 t="str">
        <f>'Agents'' Final Roster 0913-0919'!J147</f>
        <v>Servicios web</v>
      </c>
      <c r="AA147" s="53"/>
      <c r="AB147" s="53"/>
      <c r="AC147" s="53"/>
      <c r="AD147" s="53"/>
      <c r="AE147" s="53"/>
      <c r="AF147" s="53"/>
      <c r="AG147" s="53"/>
      <c r="AH147" s="53"/>
      <c r="AI147" s="53"/>
      <c r="AJ147" s="58"/>
      <c r="AK147" s="58"/>
      <c r="AL147" s="59"/>
      <c r="AM147" s="60"/>
      <c r="AN147" s="62"/>
      <c r="AO147" s="66"/>
      <c r="AP147" s="67"/>
    </row>
    <row r="148" s="50" customFormat="1" customHeight="1" spans="1:42">
      <c r="A148" s="52" t="str">
        <f>'Agents'' Final Roster 0913-0919'!A148</f>
        <v>Ortiz Jose María</v>
      </c>
      <c r="B148" s="53" t="str">
        <f>'Agents'' Final Roster 0913-0919'!B148</f>
        <v>Britos Fernando José</v>
      </c>
      <c r="C148" s="53" t="str">
        <f>'Agents'' Final Roster 0913-0919'!C148</f>
        <v>Delgado</v>
      </c>
      <c r="D148" s="53" t="str">
        <f>'Agents'' Final Roster 0913-0919'!D148</f>
        <v>Maria Celeste</v>
      </c>
      <c r="E148" s="53"/>
      <c r="F148" s="53"/>
      <c r="G148" s="53"/>
      <c r="H148" s="53"/>
      <c r="I148" s="53"/>
      <c r="J148" s="53"/>
      <c r="K148" s="53"/>
      <c r="L148" s="56"/>
      <c r="M148" s="56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 t="str">
        <f>'Agents'' Final Roster 0913-0919'!J148</f>
        <v>DVH</v>
      </c>
      <c r="AA148" s="53"/>
      <c r="AB148" s="53"/>
      <c r="AC148" s="53"/>
      <c r="AD148" s="53"/>
      <c r="AE148" s="53"/>
      <c r="AF148" s="53"/>
      <c r="AG148" s="53"/>
      <c r="AH148" s="53"/>
      <c r="AI148" s="53"/>
      <c r="AJ148" s="58"/>
      <c r="AK148" s="58"/>
      <c r="AL148" s="59"/>
      <c r="AM148" s="60"/>
      <c r="AN148" s="62"/>
      <c r="AO148" s="66"/>
      <c r="AP148" s="67"/>
    </row>
    <row r="149" s="50" customFormat="1" customHeight="1" spans="1:42">
      <c r="A149" s="52" t="str">
        <f>'Agents'' Final Roster 0913-0919'!A149</f>
        <v>Ortiz Jose María</v>
      </c>
      <c r="B149" s="53" t="str">
        <f>'Agents'' Final Roster 0913-0919'!B149</f>
        <v>Britos Fernando José</v>
      </c>
      <c r="C149" s="53" t="str">
        <f>'Agents'' Final Roster 0913-0919'!C149</f>
        <v>Dilodovico</v>
      </c>
      <c r="D149" s="53" t="str">
        <f>'Agents'' Final Roster 0913-0919'!D149</f>
        <v>Maria Florencia</v>
      </c>
      <c r="E149" s="53"/>
      <c r="F149" s="53"/>
      <c r="G149" s="53"/>
      <c r="H149" s="53"/>
      <c r="I149" s="53"/>
      <c r="J149" s="53"/>
      <c r="K149" s="53"/>
      <c r="L149" s="56"/>
      <c r="M149" s="56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 t="str">
        <f>'Agents'' Final Roster 0913-0919'!J149</f>
        <v>Servicios web</v>
      </c>
      <c r="AA149" s="53"/>
      <c r="AB149" s="53"/>
      <c r="AC149" s="53"/>
      <c r="AD149" s="53"/>
      <c r="AE149" s="53"/>
      <c r="AF149" s="53"/>
      <c r="AG149" s="53"/>
      <c r="AH149" s="53"/>
      <c r="AI149" s="53"/>
      <c r="AJ149" s="58"/>
      <c r="AK149" s="58"/>
      <c r="AL149" s="59"/>
      <c r="AM149" s="60"/>
      <c r="AN149" s="62"/>
      <c r="AO149" s="66"/>
      <c r="AP149" s="67"/>
    </row>
    <row r="150" spans="1:41">
      <c r="A150" s="52" t="str">
        <f>'Agents'' Final Roster 0913-0919'!A150</f>
        <v>Ortiz Jose María</v>
      </c>
      <c r="B150" s="53" t="str">
        <f>'Agents'' Final Roster 0913-0919'!B150</f>
        <v>Britos Fernando José</v>
      </c>
      <c r="C150" s="53" t="str">
        <f>'Agents'' Final Roster 0913-0919'!C150</f>
        <v>Infante Marcello</v>
      </c>
      <c r="D150" s="53" t="str">
        <f>'Agents'' Final Roster 0913-0919'!D150</f>
        <v>Christian Sebastian</v>
      </c>
      <c r="E150" s="53"/>
      <c r="F150" s="53"/>
      <c r="G150" s="53"/>
      <c r="H150" s="53"/>
      <c r="I150" s="53"/>
      <c r="J150" s="53"/>
      <c r="K150" s="53"/>
      <c r="L150" s="56"/>
      <c r="M150" s="56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 t="str">
        <f>'Agents'' Final Roster 0913-0919'!J150</f>
        <v>Compras Referidas</v>
      </c>
      <c r="AA150" s="53"/>
      <c r="AB150" s="53"/>
      <c r="AC150" s="53"/>
      <c r="AD150" s="53"/>
      <c r="AE150" s="53"/>
      <c r="AF150" s="53"/>
      <c r="AG150" s="53"/>
      <c r="AH150" s="53"/>
      <c r="AI150" s="53"/>
      <c r="AJ150" s="58"/>
      <c r="AK150" s="58"/>
      <c r="AL150" s="59"/>
      <c r="AM150" s="60"/>
      <c r="AN150" s="62"/>
      <c r="AO150" s="66"/>
    </row>
    <row r="151" spans="1:41">
      <c r="A151" s="54" t="str">
        <f>'Agents'' Final Roster 0913-0919'!A151</f>
        <v>Ortiz Jose María</v>
      </c>
      <c r="B151" s="55" t="str">
        <f>'Agents'' Final Roster 0913-0919'!B151</f>
        <v>Britos Fernando José</v>
      </c>
      <c r="C151" s="55" t="str">
        <f>'Agents'' Final Roster 0913-0919'!C151</f>
        <v>Juarez</v>
      </c>
      <c r="D151" s="55" t="str">
        <f>'Agents'' Final Roster 0913-0919'!D151</f>
        <v>Patricia Isabel</v>
      </c>
      <c r="E151" s="55"/>
      <c r="F151" s="55"/>
      <c r="G151" s="55"/>
      <c r="H151" s="55"/>
      <c r="I151" s="55"/>
      <c r="J151" s="55"/>
      <c r="K151" s="55"/>
      <c r="L151" s="56"/>
      <c r="M151" s="56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 t="str">
        <f>'Agents'' Final Roster 0913-0919'!J151</f>
        <v>Servicios web</v>
      </c>
      <c r="AA151" s="53"/>
      <c r="AB151" s="53"/>
      <c r="AC151" s="53"/>
      <c r="AD151" s="53"/>
      <c r="AE151" s="53"/>
      <c r="AF151" s="53"/>
      <c r="AG151" s="53"/>
      <c r="AH151" s="53"/>
      <c r="AI151" s="53"/>
      <c r="AJ151" s="58"/>
      <c r="AK151" s="58"/>
      <c r="AL151" s="59"/>
      <c r="AM151" s="60"/>
      <c r="AN151" s="62"/>
      <c r="AO151" s="66"/>
    </row>
    <row r="152" spans="1:41">
      <c r="A152" s="52" t="str">
        <f>'Agents'' Final Roster 0913-0919'!A152</f>
        <v>Ortiz Jose María</v>
      </c>
      <c r="B152" s="53" t="str">
        <f>'Agents'' Final Roster 0913-0919'!B152</f>
        <v>Britos Fernando José</v>
      </c>
      <c r="C152" s="53" t="str">
        <f>'Agents'' Final Roster 0913-0919'!C152</f>
        <v>Merlo</v>
      </c>
      <c r="D152" s="53" t="str">
        <f>'Agents'' Final Roster 0913-0919'!D152</f>
        <v>Rocio Agustina</v>
      </c>
      <c r="E152" s="53"/>
      <c r="F152" s="53"/>
      <c r="G152" s="53"/>
      <c r="H152" s="53"/>
      <c r="I152" s="53"/>
      <c r="J152" s="53"/>
      <c r="K152" s="53"/>
      <c r="L152" s="56"/>
      <c r="M152" s="56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 t="str">
        <f>'Agents'' Final Roster 0913-0919'!J152</f>
        <v>DVH</v>
      </c>
      <c r="AA152" s="53"/>
      <c r="AB152" s="53"/>
      <c r="AC152" s="53"/>
      <c r="AD152" s="53"/>
      <c r="AE152" s="53"/>
      <c r="AF152" s="53"/>
      <c r="AG152" s="53"/>
      <c r="AH152" s="53"/>
      <c r="AI152" s="53"/>
      <c r="AJ152" s="58"/>
      <c r="AK152" s="58"/>
      <c r="AL152" s="59"/>
      <c r="AM152" s="60"/>
      <c r="AN152" s="62"/>
      <c r="AO152" s="66"/>
    </row>
    <row r="153" spans="1:41">
      <c r="A153" s="52" t="str">
        <f>'Agents'' Final Roster 0913-0919'!A153</f>
        <v>Ortiz Jose María</v>
      </c>
      <c r="B153" s="53" t="str">
        <f>'Agents'' Final Roster 0913-0919'!B153</f>
        <v>Gerez Andrea Soledad</v>
      </c>
      <c r="C153" s="53" t="str">
        <f>'Agents'' Final Roster 0913-0919'!C153</f>
        <v>Moreira</v>
      </c>
      <c r="D153" s="53" t="str">
        <f>'Agents'' Final Roster 0913-0919'!D153</f>
        <v>Fernando Ezequiel</v>
      </c>
      <c r="E153" s="53"/>
      <c r="F153" s="53"/>
      <c r="G153" s="53"/>
      <c r="H153" s="53"/>
      <c r="I153" s="53"/>
      <c r="J153" s="53"/>
      <c r="K153" s="53"/>
      <c r="L153" s="56"/>
      <c r="M153" s="56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 t="str">
        <f>'Agents'' Final Roster 0913-0919'!J153</f>
        <v>DVH</v>
      </c>
      <c r="AA153" s="53"/>
      <c r="AB153" s="53"/>
      <c r="AC153" s="53"/>
      <c r="AD153" s="53"/>
      <c r="AE153" s="53"/>
      <c r="AF153" s="53"/>
      <c r="AG153" s="53"/>
      <c r="AH153" s="53"/>
      <c r="AI153" s="53"/>
      <c r="AJ153" s="58"/>
      <c r="AK153" s="58"/>
      <c r="AL153" s="59"/>
      <c r="AM153" s="60"/>
      <c r="AN153" s="62"/>
      <c r="AO153" s="66"/>
    </row>
    <row r="154" spans="1:41">
      <c r="A154" s="52" t="str">
        <f>'Agents'' Final Roster 0913-0919'!A154</f>
        <v>Ortiz Jose María</v>
      </c>
      <c r="B154" s="53" t="str">
        <f>'Agents'' Final Roster 0913-0919'!B154</f>
        <v>Britos Fernando José</v>
      </c>
      <c r="C154" s="53" t="str">
        <f>'Agents'' Final Roster 0913-0919'!C154</f>
        <v>Robles Marquez</v>
      </c>
      <c r="D154" s="53" t="str">
        <f>'Agents'' Final Roster 0913-0919'!D154</f>
        <v>Emilse Nahir</v>
      </c>
      <c r="E154" s="53"/>
      <c r="F154" s="53"/>
      <c r="G154" s="53"/>
      <c r="H154" s="53"/>
      <c r="I154" s="53"/>
      <c r="J154" s="53"/>
      <c r="K154" s="53"/>
      <c r="L154" s="56"/>
      <c r="M154" s="56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 t="str">
        <f>'Agents'' Final Roster 0913-0919'!J154</f>
        <v>DVH</v>
      </c>
      <c r="AA154" s="53"/>
      <c r="AB154" s="53"/>
      <c r="AC154" s="53"/>
      <c r="AD154" s="53"/>
      <c r="AE154" s="53"/>
      <c r="AF154" s="53"/>
      <c r="AG154" s="53"/>
      <c r="AH154" s="53"/>
      <c r="AI154" s="53"/>
      <c r="AJ154" s="58"/>
      <c r="AK154" s="58"/>
      <c r="AL154" s="59"/>
      <c r="AM154" s="60"/>
      <c r="AN154" s="62"/>
      <c r="AO154" s="66"/>
    </row>
    <row r="155" spans="1:41">
      <c r="A155" s="52" t="str">
        <f>'Agents'' Final Roster 0913-0919'!A155</f>
        <v>Ortiz Jose María</v>
      </c>
      <c r="B155" s="53" t="str">
        <f>'Agents'' Final Roster 0913-0919'!B155</f>
        <v>Britos Fernando José</v>
      </c>
      <c r="C155" s="53" t="str">
        <f>'Agents'' Final Roster 0913-0919'!C155</f>
        <v>Rodriguez</v>
      </c>
      <c r="D155" s="53" t="str">
        <f>'Agents'' Final Roster 0913-0919'!D155</f>
        <v>Maria Florencia </v>
      </c>
      <c r="E155" s="53"/>
      <c r="F155" s="53"/>
      <c r="G155" s="53"/>
      <c r="H155" s="53"/>
      <c r="I155" s="53"/>
      <c r="J155" s="53"/>
      <c r="K155" s="53"/>
      <c r="L155" s="56"/>
      <c r="M155" s="56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 t="str">
        <f>'Agents'' Final Roster 0913-0919'!J155</f>
        <v>DVH</v>
      </c>
      <c r="AA155" s="53"/>
      <c r="AB155" s="53"/>
      <c r="AC155" s="53"/>
      <c r="AD155" s="53"/>
      <c r="AE155" s="53"/>
      <c r="AF155" s="53"/>
      <c r="AG155" s="53"/>
      <c r="AH155" s="53"/>
      <c r="AI155" s="53"/>
      <c r="AJ155" s="58"/>
      <c r="AK155" s="58"/>
      <c r="AL155" s="59"/>
      <c r="AM155" s="60"/>
      <c r="AN155" s="62"/>
      <c r="AO155" s="66"/>
    </row>
    <row r="156" spans="1:41">
      <c r="A156" s="52" t="str">
        <f>'Agents'' Final Roster 0913-0919'!A156</f>
        <v>Ortiz Jose María</v>
      </c>
      <c r="B156" s="53" t="str">
        <f>'Agents'' Final Roster 0913-0919'!B156</f>
        <v>Gerez Andrea Soledad</v>
      </c>
      <c r="C156" s="53" t="str">
        <f>'Agents'' Final Roster 0913-0919'!C156</f>
        <v>Vidal</v>
      </c>
      <c r="D156" s="53" t="str">
        <f>'Agents'' Final Roster 0913-0919'!D156</f>
        <v>Maria Elisa</v>
      </c>
      <c r="E156" s="53"/>
      <c r="F156" s="53"/>
      <c r="G156" s="53"/>
      <c r="H156" s="53"/>
      <c r="I156" s="53"/>
      <c r="J156" s="53"/>
      <c r="K156" s="53"/>
      <c r="L156" s="56"/>
      <c r="M156" s="56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 t="str">
        <f>'Agents'' Final Roster 0913-0919'!J156</f>
        <v>CSV2</v>
      </c>
      <c r="AA156" s="53"/>
      <c r="AB156" s="53"/>
      <c r="AC156" s="53"/>
      <c r="AD156" s="53"/>
      <c r="AE156" s="53"/>
      <c r="AF156" s="53"/>
      <c r="AG156" s="53"/>
      <c r="AH156" s="53"/>
      <c r="AI156" s="53"/>
      <c r="AJ156" s="58"/>
      <c r="AK156" s="58"/>
      <c r="AL156" s="59"/>
      <c r="AM156" s="60"/>
      <c r="AN156" s="62"/>
      <c r="AO156" s="66"/>
    </row>
    <row r="157" spans="1:41">
      <c r="A157" s="52" t="str">
        <f>'Agents'' Final Roster 0913-0919'!A157</f>
        <v>Ortiz Jose María</v>
      </c>
      <c r="B157" s="53" t="str">
        <f>'Agents'' Final Roster 0913-0919'!B157</f>
        <v>Britos Fernando José</v>
      </c>
      <c r="C157" s="53" t="str">
        <f>'Agents'' Final Roster 0913-0919'!C157</f>
        <v>Vizcarra</v>
      </c>
      <c r="D157" s="53" t="str">
        <f>'Agents'' Final Roster 0913-0919'!D157</f>
        <v>Ayelén Magalí del Valle</v>
      </c>
      <c r="E157" s="53"/>
      <c r="F157" s="53"/>
      <c r="G157" s="53"/>
      <c r="H157" s="53"/>
      <c r="I157" s="53"/>
      <c r="J157" s="53"/>
      <c r="K157" s="53"/>
      <c r="L157" s="56"/>
      <c r="M157" s="56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 t="str">
        <f>'Agents'' Final Roster 0913-0919'!J157</f>
        <v>TLMK</v>
      </c>
      <c r="AA157" s="53"/>
      <c r="AB157" s="53"/>
      <c r="AC157" s="53"/>
      <c r="AD157" s="53"/>
      <c r="AE157" s="53"/>
      <c r="AF157" s="53"/>
      <c r="AG157" s="53"/>
      <c r="AH157" s="53"/>
      <c r="AI157" s="53"/>
      <c r="AJ157" s="58"/>
      <c r="AK157" s="58"/>
      <c r="AL157" s="59"/>
      <c r="AM157" s="60"/>
      <c r="AN157" s="62"/>
      <c r="AO157" s="66"/>
    </row>
    <row r="158" spans="1:41">
      <c r="A158" s="52" t="str">
        <f>'Agents'' Final Roster 0913-0919'!A158</f>
        <v>Perez Zitzke Agustina</v>
      </c>
      <c r="B158" s="53" t="str">
        <f>'Agents'' Final Roster 0913-0919'!B158</f>
        <v>Diaz Jesica Luciana</v>
      </c>
      <c r="C158" s="53" t="str">
        <f>'Agents'' Final Roster 0913-0919'!C158</f>
        <v>Barros</v>
      </c>
      <c r="D158" s="53" t="str">
        <f>'Agents'' Final Roster 0913-0919'!D158</f>
        <v>Juan Carlos</v>
      </c>
      <c r="E158" s="53"/>
      <c r="F158" s="53"/>
      <c r="G158" s="53"/>
      <c r="H158" s="53"/>
      <c r="I158" s="53"/>
      <c r="J158" s="53"/>
      <c r="K158" s="53"/>
      <c r="L158" s="56"/>
      <c r="M158" s="56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 t="str">
        <f>'Agents'' Final Roster 0913-0919'!J158</f>
        <v>VIP</v>
      </c>
      <c r="AA158" s="53"/>
      <c r="AB158" s="53"/>
      <c r="AC158" s="53"/>
      <c r="AD158" s="53"/>
      <c r="AE158" s="53"/>
      <c r="AF158" s="53"/>
      <c r="AG158" s="53"/>
      <c r="AH158" s="53"/>
      <c r="AI158" s="53"/>
      <c r="AJ158" s="58"/>
      <c r="AK158" s="58"/>
      <c r="AL158" s="59"/>
      <c r="AM158" s="60"/>
      <c r="AN158" s="62"/>
      <c r="AO158" s="66"/>
    </row>
    <row r="159" spans="1:41">
      <c r="A159" s="52" t="str">
        <f>'Agents'' Final Roster 0913-0919'!A159</f>
        <v>Perez Zitzke Agustina</v>
      </c>
      <c r="B159" s="53" t="str">
        <f>'Agents'' Final Roster 0913-0919'!B159</f>
        <v>Diaz Jesica Luciana</v>
      </c>
      <c r="C159" s="53" t="str">
        <f>'Agents'' Final Roster 0913-0919'!C159</f>
        <v>Bulacio Pereyra</v>
      </c>
      <c r="D159" s="53" t="str">
        <f>'Agents'' Final Roster 0913-0919'!D159</f>
        <v>Leandro Emiliano</v>
      </c>
      <c r="E159" s="53"/>
      <c r="F159" s="53"/>
      <c r="G159" s="53"/>
      <c r="H159" s="53"/>
      <c r="I159" s="53"/>
      <c r="J159" s="53"/>
      <c r="K159" s="53"/>
      <c r="L159" s="56"/>
      <c r="M159" s="56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 t="str">
        <f>'Agents'' Final Roster 0913-0919'!J159</f>
        <v>CSV3</v>
      </c>
      <c r="AA159" s="53"/>
      <c r="AB159" s="53"/>
      <c r="AC159" s="53"/>
      <c r="AD159" s="53"/>
      <c r="AE159" s="53"/>
      <c r="AF159" s="53"/>
      <c r="AG159" s="53"/>
      <c r="AH159" s="53"/>
      <c r="AI159" s="53"/>
      <c r="AJ159" s="58"/>
      <c r="AK159" s="58"/>
      <c r="AL159" s="59"/>
      <c r="AM159" s="60"/>
      <c r="AN159" s="62"/>
      <c r="AO159" s="66"/>
    </row>
    <row r="160" spans="1:41">
      <c r="A160" s="52" t="str">
        <f>'Agents'' Final Roster 0913-0919'!A160</f>
        <v>Perez Zitzke Agustina</v>
      </c>
      <c r="B160" s="53" t="str">
        <f>'Agents'' Final Roster 0913-0919'!B160</f>
        <v>Diaz Jesica Luciana</v>
      </c>
      <c r="C160" s="53" t="str">
        <f>'Agents'' Final Roster 0913-0919'!C160</f>
        <v>Campos</v>
      </c>
      <c r="D160" s="53" t="str">
        <f>'Agents'' Final Roster 0913-0919'!D160</f>
        <v>Maria Belen</v>
      </c>
      <c r="E160" s="53"/>
      <c r="F160" s="53"/>
      <c r="G160" s="53"/>
      <c r="H160" s="53"/>
      <c r="I160" s="53"/>
      <c r="J160" s="53"/>
      <c r="K160" s="53"/>
      <c r="L160" s="56"/>
      <c r="M160" s="56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 t="str">
        <f>'Agents'' Final Roster 0913-0919'!J160</f>
        <v>CSV2</v>
      </c>
      <c r="AA160" s="53"/>
      <c r="AB160" s="53"/>
      <c r="AC160" s="53"/>
      <c r="AD160" s="53"/>
      <c r="AE160" s="53"/>
      <c r="AF160" s="53"/>
      <c r="AG160" s="53"/>
      <c r="AH160" s="53"/>
      <c r="AI160" s="53"/>
      <c r="AJ160" s="58"/>
      <c r="AK160" s="58"/>
      <c r="AL160" s="59"/>
      <c r="AM160" s="60"/>
      <c r="AN160" s="62"/>
      <c r="AO160" s="66"/>
    </row>
    <row r="161" spans="1:41">
      <c r="A161" s="52" t="str">
        <f>'Agents'' Final Roster 0913-0919'!A161</f>
        <v>Perez Zitzke Agustina</v>
      </c>
      <c r="B161" s="53" t="str">
        <f>'Agents'' Final Roster 0913-0919'!B161</f>
        <v>Diaz Jesica Luciana</v>
      </c>
      <c r="C161" s="53" t="str">
        <f>'Agents'' Final Roster 0913-0919'!C161</f>
        <v>Delgado</v>
      </c>
      <c r="D161" s="53" t="str">
        <f>'Agents'' Final Roster 0913-0919'!D161</f>
        <v>Daiana Melina</v>
      </c>
      <c r="E161" s="53"/>
      <c r="F161" s="53"/>
      <c r="G161" s="53"/>
      <c r="H161" s="53"/>
      <c r="I161" s="53"/>
      <c r="J161" s="53"/>
      <c r="K161" s="53"/>
      <c r="L161" s="56"/>
      <c r="M161" s="56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 t="str">
        <f>'Agents'' Final Roster 0913-0919'!J161</f>
        <v>Compras Referidas</v>
      </c>
      <c r="AA161" s="53"/>
      <c r="AB161" s="53"/>
      <c r="AC161" s="53"/>
      <c r="AD161" s="53"/>
      <c r="AE161" s="53"/>
      <c r="AF161" s="53"/>
      <c r="AG161" s="53"/>
      <c r="AH161" s="53"/>
      <c r="AI161" s="53"/>
      <c r="AJ161" s="58"/>
      <c r="AK161" s="58"/>
      <c r="AL161" s="59"/>
      <c r="AM161" s="60"/>
      <c r="AN161" s="62"/>
      <c r="AO161" s="66"/>
    </row>
    <row r="162" spans="1:41">
      <c r="A162" s="52" t="str">
        <f>'Agents'' Final Roster 0913-0919'!A162</f>
        <v>Perez Zitzke Agustina</v>
      </c>
      <c r="B162" s="53" t="str">
        <f>'Agents'' Final Roster 0913-0919'!B162</f>
        <v>Diaz Jesica Luciana</v>
      </c>
      <c r="C162" s="53" t="str">
        <f>'Agents'' Final Roster 0913-0919'!C162</f>
        <v>Felipe </v>
      </c>
      <c r="D162" s="53" t="str">
        <f>'Agents'' Final Roster 0913-0919'!D162</f>
        <v>Erika Tamara</v>
      </c>
      <c r="E162" s="53"/>
      <c r="F162" s="53"/>
      <c r="G162" s="53"/>
      <c r="H162" s="53"/>
      <c r="I162" s="53"/>
      <c r="J162" s="53"/>
      <c r="K162" s="53"/>
      <c r="L162" s="56"/>
      <c r="M162" s="56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 t="str">
        <f>'Agents'' Final Roster 0913-0919'!J162</f>
        <v>CSV2</v>
      </c>
      <c r="AA162" s="53"/>
      <c r="AB162" s="53"/>
      <c r="AC162" s="53"/>
      <c r="AD162" s="53"/>
      <c r="AE162" s="53"/>
      <c r="AF162" s="53"/>
      <c r="AG162" s="53"/>
      <c r="AH162" s="53"/>
      <c r="AI162" s="53"/>
      <c r="AJ162" s="58"/>
      <c r="AK162" s="58"/>
      <c r="AL162" s="59"/>
      <c r="AM162" s="60"/>
      <c r="AN162" s="62"/>
      <c r="AO162" s="66"/>
    </row>
    <row r="163" spans="1:41">
      <c r="A163" s="54" t="str">
        <f>'Agents'' Final Roster 0913-0919'!A163</f>
        <v>Perez Zitzke Agustina</v>
      </c>
      <c r="B163" s="55" t="str">
        <f>'Agents'' Final Roster 0913-0919'!B163</f>
        <v>Diaz Jesica Luciana</v>
      </c>
      <c r="C163" s="55" t="str">
        <f>'Agents'' Final Roster 0913-0919'!C163</f>
        <v>Isa Massa </v>
      </c>
      <c r="D163" s="55" t="str">
        <f>'Agents'' Final Roster 0913-0919'!D163</f>
        <v>Leila Gabriela</v>
      </c>
      <c r="E163" s="55"/>
      <c r="F163" s="55"/>
      <c r="G163" s="55"/>
      <c r="H163" s="55"/>
      <c r="I163" s="55"/>
      <c r="J163" s="55"/>
      <c r="K163" s="55"/>
      <c r="L163" s="56"/>
      <c r="M163" s="56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 t="str">
        <f>'Agents'' Final Roster 0913-0919'!J163</f>
        <v>Compras Referidas</v>
      </c>
      <c r="AA163" s="53"/>
      <c r="AB163" s="53"/>
      <c r="AC163" s="53"/>
      <c r="AD163" s="53"/>
      <c r="AE163" s="53"/>
      <c r="AF163" s="53"/>
      <c r="AG163" s="53"/>
      <c r="AH163" s="53"/>
      <c r="AI163" s="53"/>
      <c r="AJ163" s="58"/>
      <c r="AK163" s="58"/>
      <c r="AL163" s="59"/>
      <c r="AM163" s="60"/>
      <c r="AN163" s="62"/>
      <c r="AO163" s="66"/>
    </row>
    <row r="164" spans="1:41">
      <c r="A164" s="54" t="str">
        <f>'Agents'' Final Roster 0913-0919'!A164</f>
        <v>Perez Zitzke Agustina</v>
      </c>
      <c r="B164" s="55" t="str">
        <f>'Agents'' Final Roster 0913-0919'!B164</f>
        <v>Diaz Jesica Luciana</v>
      </c>
      <c r="C164" s="55" t="str">
        <f>'Agents'' Final Roster 0913-0919'!C164</f>
        <v>Jeréz</v>
      </c>
      <c r="D164" s="55" t="str">
        <f>'Agents'' Final Roster 0913-0919'!D164</f>
        <v>Eliana Del Milagro</v>
      </c>
      <c r="E164" s="55"/>
      <c r="F164" s="55"/>
      <c r="G164" s="55"/>
      <c r="H164" s="55"/>
      <c r="I164" s="55"/>
      <c r="J164" s="55"/>
      <c r="K164" s="55"/>
      <c r="L164" s="56"/>
      <c r="M164" s="56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 t="str">
        <f>'Agents'' Final Roster 0913-0919'!J164</f>
        <v>HD</v>
      </c>
      <c r="AA164" s="53"/>
      <c r="AB164" s="53"/>
      <c r="AC164" s="53"/>
      <c r="AD164" s="53"/>
      <c r="AE164" s="53"/>
      <c r="AF164" s="53"/>
      <c r="AG164" s="53"/>
      <c r="AH164" s="53"/>
      <c r="AI164" s="53"/>
      <c r="AJ164" s="58"/>
      <c r="AK164" s="58"/>
      <c r="AL164" s="59"/>
      <c r="AM164" s="60"/>
      <c r="AN164" s="62"/>
      <c r="AO164" s="66"/>
    </row>
    <row r="165" spans="1:41">
      <c r="A165" s="52" t="str">
        <f>'Agents'' Final Roster 0913-0919'!A165</f>
        <v>Perez Zitzke Agustina</v>
      </c>
      <c r="B165" s="53" t="str">
        <f>'Agents'' Final Roster 0913-0919'!B165</f>
        <v>Diaz Jesica Luciana</v>
      </c>
      <c r="C165" s="53" t="str">
        <f>'Agents'' Final Roster 0913-0919'!C165</f>
        <v>Lopez</v>
      </c>
      <c r="D165" s="53" t="str">
        <f>'Agents'' Final Roster 0913-0919'!D165</f>
        <v>Ruth Micaela</v>
      </c>
      <c r="E165" s="53"/>
      <c r="F165" s="53"/>
      <c r="G165" s="53"/>
      <c r="H165" s="53"/>
      <c r="I165" s="53"/>
      <c r="J165" s="53"/>
      <c r="K165" s="53"/>
      <c r="L165" s="56"/>
      <c r="M165" s="56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 t="str">
        <f>'Agents'' Final Roster 0913-0919'!J165</f>
        <v>CSV3</v>
      </c>
      <c r="AA165" s="53"/>
      <c r="AB165" s="53"/>
      <c r="AC165" s="53"/>
      <c r="AD165" s="53"/>
      <c r="AE165" s="53"/>
      <c r="AF165" s="53"/>
      <c r="AG165" s="53"/>
      <c r="AH165" s="53"/>
      <c r="AI165" s="53"/>
      <c r="AJ165" s="58"/>
      <c r="AK165" s="58"/>
      <c r="AL165" s="59"/>
      <c r="AM165" s="60"/>
      <c r="AN165" s="62"/>
      <c r="AO165" s="66"/>
    </row>
    <row r="166" spans="1:41">
      <c r="A166" s="52" t="str">
        <f>'Agents'' Final Roster 0913-0919'!A166</f>
        <v>Perez Zitzke Agustina</v>
      </c>
      <c r="B166" s="53" t="str">
        <f>'Agents'' Final Roster 0913-0919'!B166</f>
        <v>Diaz Jesica Luciana</v>
      </c>
      <c r="C166" s="53" t="str">
        <f>'Agents'' Final Roster 0913-0919'!C166</f>
        <v>Luna</v>
      </c>
      <c r="D166" s="53" t="str">
        <f>'Agents'' Final Roster 0913-0919'!D166</f>
        <v>Veronica Alejandra</v>
      </c>
      <c r="E166" s="53"/>
      <c r="F166" s="53"/>
      <c r="G166" s="53"/>
      <c r="H166" s="53"/>
      <c r="I166" s="53"/>
      <c r="J166" s="53"/>
      <c r="K166" s="53"/>
      <c r="L166" s="56"/>
      <c r="M166" s="56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 t="str">
        <f>'Agents'' Final Roster 0913-0919'!J166</f>
        <v>CSV2</v>
      </c>
      <c r="AA166" s="53"/>
      <c r="AB166" s="53"/>
      <c r="AC166" s="53"/>
      <c r="AD166" s="53"/>
      <c r="AE166" s="53"/>
      <c r="AF166" s="53"/>
      <c r="AG166" s="53"/>
      <c r="AH166" s="53"/>
      <c r="AI166" s="53"/>
      <c r="AJ166" s="58"/>
      <c r="AK166" s="58"/>
      <c r="AL166" s="59"/>
      <c r="AM166" s="60"/>
      <c r="AN166" s="62"/>
      <c r="AO166" s="66"/>
    </row>
    <row r="167" spans="1:41">
      <c r="A167" s="52" t="str">
        <f>'Agents'' Final Roster 0913-0919'!A167</f>
        <v>Perez Zitzke Agustina</v>
      </c>
      <c r="B167" s="53" t="str">
        <f>'Agents'' Final Roster 0913-0919'!B167</f>
        <v>Diaz Jesica Luciana</v>
      </c>
      <c r="C167" s="53" t="str">
        <f>'Agents'' Final Roster 0913-0919'!C167</f>
        <v>Malinar</v>
      </c>
      <c r="D167" s="53" t="str">
        <f>'Agents'' Final Roster 0913-0919'!D167</f>
        <v>Lorena</v>
      </c>
      <c r="E167" s="53"/>
      <c r="F167" s="53"/>
      <c r="G167" s="53"/>
      <c r="H167" s="53"/>
      <c r="I167" s="53"/>
      <c r="J167" s="53"/>
      <c r="K167" s="53"/>
      <c r="L167" s="56"/>
      <c r="M167" s="56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 t="str">
        <f>'Agents'' Final Roster 0913-0919'!J167</f>
        <v>CSV2</v>
      </c>
      <c r="AA167" s="53"/>
      <c r="AB167" s="53"/>
      <c r="AC167" s="53"/>
      <c r="AD167" s="53"/>
      <c r="AE167" s="53"/>
      <c r="AF167" s="53"/>
      <c r="AG167" s="53"/>
      <c r="AH167" s="53"/>
      <c r="AI167" s="53"/>
      <c r="AJ167" s="58"/>
      <c r="AK167" s="58"/>
      <c r="AL167" s="59"/>
      <c r="AM167" s="60"/>
      <c r="AN167" s="62"/>
      <c r="AO167" s="66"/>
    </row>
    <row r="168" spans="1:41">
      <c r="A168" s="52" t="str">
        <f>'Agents'' Final Roster 0913-0919'!A168</f>
        <v>Perez Zitzke Agustina</v>
      </c>
      <c r="B168" s="53" t="str">
        <f>'Agents'' Final Roster 0913-0919'!B168</f>
        <v>Diaz Jesica Luciana</v>
      </c>
      <c r="C168" s="53" t="str">
        <f>'Agents'' Final Roster 0913-0919'!C168</f>
        <v>Molina </v>
      </c>
      <c r="D168" s="53" t="str">
        <f>'Agents'' Final Roster 0913-0919'!D168</f>
        <v>María Jimena</v>
      </c>
      <c r="E168" s="53"/>
      <c r="F168" s="53"/>
      <c r="G168" s="53"/>
      <c r="H168" s="53"/>
      <c r="I168" s="53"/>
      <c r="J168" s="53"/>
      <c r="K168" s="53"/>
      <c r="L168" s="56"/>
      <c r="M168" s="56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 t="str">
        <f>'Agents'' Final Roster 0913-0919'!J168</f>
        <v>Compras Referidas</v>
      </c>
      <c r="AA168" s="53"/>
      <c r="AB168" s="53"/>
      <c r="AC168" s="53"/>
      <c r="AD168" s="53"/>
      <c r="AE168" s="53"/>
      <c r="AF168" s="53"/>
      <c r="AG168" s="53"/>
      <c r="AH168" s="53"/>
      <c r="AI168" s="53"/>
      <c r="AJ168" s="58"/>
      <c r="AK168" s="58"/>
      <c r="AL168" s="59"/>
      <c r="AM168" s="60"/>
      <c r="AN168" s="62"/>
      <c r="AO168" s="66"/>
    </row>
    <row r="169" spans="1:41">
      <c r="A169" s="52" t="str">
        <f>'Agents'' Final Roster 0913-0919'!A169</f>
        <v>Perez Zitzke Agustina</v>
      </c>
      <c r="B169" s="53" t="str">
        <f>'Agents'' Final Roster 0913-0919'!B169</f>
        <v>Diaz Jesica Luciana</v>
      </c>
      <c r="C169" s="53" t="str">
        <f>'Agents'' Final Roster 0913-0919'!C169</f>
        <v>Morales Casen</v>
      </c>
      <c r="D169" s="53" t="str">
        <f>'Agents'' Final Roster 0913-0919'!D169</f>
        <v>Zaida Yamile</v>
      </c>
      <c r="E169" s="53"/>
      <c r="F169" s="53"/>
      <c r="G169" s="53"/>
      <c r="H169" s="53"/>
      <c r="I169" s="53"/>
      <c r="J169" s="53"/>
      <c r="K169" s="53"/>
      <c r="L169" s="56"/>
      <c r="M169" s="56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 t="str">
        <f>'Agents'' Final Roster 0913-0919'!J169</f>
        <v>CSV2</v>
      </c>
      <c r="AA169" s="53"/>
      <c r="AB169" s="53"/>
      <c r="AC169" s="53"/>
      <c r="AD169" s="53"/>
      <c r="AE169" s="53"/>
      <c r="AF169" s="53"/>
      <c r="AG169" s="53"/>
      <c r="AH169" s="53"/>
      <c r="AI169" s="53"/>
      <c r="AJ169" s="58"/>
      <c r="AK169" s="58"/>
      <c r="AL169" s="59"/>
      <c r="AM169" s="60"/>
      <c r="AN169" s="62"/>
      <c r="AO169" s="66"/>
    </row>
    <row r="170" spans="1:41">
      <c r="A170" s="52" t="str">
        <f>'Agents'' Final Roster 0913-0919'!A170</f>
        <v>Perez Zitzke Agustina</v>
      </c>
      <c r="B170" s="53" t="str">
        <f>'Agents'' Final Roster 0913-0919'!B170</f>
        <v>Diaz Jesica Luciana</v>
      </c>
      <c r="C170" s="53" t="str">
        <f>'Agents'' Final Roster 0913-0919'!C170</f>
        <v>Pacheco</v>
      </c>
      <c r="D170" s="53" t="str">
        <f>'Agents'' Final Roster 0913-0919'!D170</f>
        <v>Milagro Belen</v>
      </c>
      <c r="E170" s="53"/>
      <c r="F170" s="53"/>
      <c r="G170" s="53"/>
      <c r="H170" s="53"/>
      <c r="I170" s="53"/>
      <c r="J170" s="53"/>
      <c r="K170" s="53"/>
      <c r="L170" s="56"/>
      <c r="M170" s="56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 t="str">
        <f>'Agents'' Final Roster 0913-0919'!J170</f>
        <v>CSV3</v>
      </c>
      <c r="AA170" s="53"/>
      <c r="AB170" s="53"/>
      <c r="AC170" s="53"/>
      <c r="AD170" s="53"/>
      <c r="AE170" s="53"/>
      <c r="AF170" s="53"/>
      <c r="AG170" s="53"/>
      <c r="AH170" s="53"/>
      <c r="AI170" s="53"/>
      <c r="AJ170" s="58"/>
      <c r="AK170" s="58"/>
      <c r="AL170" s="59"/>
      <c r="AM170" s="60"/>
      <c r="AN170" s="62"/>
      <c r="AO170" s="66"/>
    </row>
    <row r="171" spans="1:41">
      <c r="A171" s="52" t="str">
        <f>'Agents'' Final Roster 0913-0919'!A171</f>
        <v>Perez Zitzke Agustina</v>
      </c>
      <c r="B171" s="53" t="str">
        <f>'Agents'' Final Roster 0913-0919'!B171</f>
        <v>Diaz Jesica Luciana</v>
      </c>
      <c r="C171" s="53" t="str">
        <f>'Agents'' Final Roster 0913-0919'!C171</f>
        <v>Pavón</v>
      </c>
      <c r="D171" s="53" t="str">
        <f>'Agents'' Final Roster 0913-0919'!D171</f>
        <v>Marcos Fidel</v>
      </c>
      <c r="E171" s="53"/>
      <c r="F171" s="53"/>
      <c r="G171" s="53"/>
      <c r="H171" s="53"/>
      <c r="I171" s="53"/>
      <c r="J171" s="53"/>
      <c r="K171" s="53"/>
      <c r="L171" s="56"/>
      <c r="M171" s="56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 t="str">
        <f>'Agents'' Final Roster 0913-0919'!J171</f>
        <v>CSV3</v>
      </c>
      <c r="AA171" s="53"/>
      <c r="AB171" s="53"/>
      <c r="AC171" s="53"/>
      <c r="AD171" s="53"/>
      <c r="AE171" s="53"/>
      <c r="AF171" s="53"/>
      <c r="AG171" s="53"/>
      <c r="AH171" s="53"/>
      <c r="AI171" s="53"/>
      <c r="AJ171" s="58"/>
      <c r="AK171" s="58"/>
      <c r="AL171" s="59"/>
      <c r="AM171" s="60"/>
      <c r="AN171" s="62"/>
      <c r="AO171" s="66"/>
    </row>
    <row r="172" spans="1:41">
      <c r="A172" s="52" t="str">
        <f>'Agents'' Final Roster 0913-0919'!A172</f>
        <v>Perez Zitzke Agustina</v>
      </c>
      <c r="B172" s="53" t="str">
        <f>'Agents'' Final Roster 0913-0919'!B172</f>
        <v>Diaz Jesica Luciana</v>
      </c>
      <c r="C172" s="53" t="str">
        <f>'Agents'' Final Roster 0913-0919'!C172</f>
        <v>Ponce</v>
      </c>
      <c r="D172" s="53" t="str">
        <f>'Agents'' Final Roster 0913-0919'!D172</f>
        <v>Lucia Emilia</v>
      </c>
      <c r="E172" s="53"/>
      <c r="F172" s="53"/>
      <c r="G172" s="53"/>
      <c r="H172" s="53"/>
      <c r="I172" s="53"/>
      <c r="J172" s="53"/>
      <c r="K172" s="53"/>
      <c r="L172" s="56"/>
      <c r="M172" s="56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 t="str">
        <f>'Agents'' Final Roster 0913-0919'!J172</f>
        <v>CSV3</v>
      </c>
      <c r="AA172" s="53"/>
      <c r="AB172" s="53"/>
      <c r="AC172" s="53"/>
      <c r="AD172" s="53"/>
      <c r="AE172" s="53"/>
      <c r="AF172" s="53"/>
      <c r="AG172" s="53"/>
      <c r="AH172" s="53"/>
      <c r="AI172" s="53"/>
      <c r="AJ172" s="58"/>
      <c r="AK172" s="58"/>
      <c r="AL172" s="59"/>
      <c r="AM172" s="60"/>
      <c r="AN172" s="62"/>
      <c r="AO172" s="66"/>
    </row>
    <row r="173" spans="1:41">
      <c r="A173" s="54" t="str">
        <f>'Agents'' Final Roster 0913-0919'!A173</f>
        <v>Perez Zitzke Agustina</v>
      </c>
      <c r="B173" s="55" t="str">
        <f>'Agents'' Final Roster 0913-0919'!B173</f>
        <v>Diaz Jesica Luciana</v>
      </c>
      <c r="C173" s="55" t="str">
        <f>'Agents'' Final Roster 0913-0919'!C173</f>
        <v>Reyna </v>
      </c>
      <c r="D173" s="55" t="str">
        <f>'Agents'' Final Roster 0913-0919'!D173</f>
        <v>Edith Macarena</v>
      </c>
      <c r="E173" s="55"/>
      <c r="F173" s="55"/>
      <c r="G173" s="55"/>
      <c r="H173" s="55"/>
      <c r="I173" s="55"/>
      <c r="J173" s="55"/>
      <c r="K173" s="53"/>
      <c r="L173" s="56"/>
      <c r="M173" s="56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 t="str">
        <f>'Agents'' Final Roster 0913-0919'!J173</f>
        <v>CSV2</v>
      </c>
      <c r="AA173" s="53"/>
      <c r="AB173" s="53"/>
      <c r="AC173" s="53"/>
      <c r="AD173" s="53"/>
      <c r="AE173" s="53"/>
      <c r="AF173" s="53"/>
      <c r="AG173" s="53"/>
      <c r="AH173" s="53"/>
      <c r="AI173" s="53"/>
      <c r="AJ173" s="58"/>
      <c r="AK173" s="58"/>
      <c r="AL173" s="59"/>
      <c r="AM173" s="60"/>
      <c r="AN173" s="62"/>
      <c r="AO173" s="66"/>
    </row>
    <row r="174" spans="1:41">
      <c r="A174" s="52" t="str">
        <f>'Agents'' Final Roster 0913-0919'!A174</f>
        <v>Perez Zitzke Agustina</v>
      </c>
      <c r="B174" s="53" t="str">
        <f>'Agents'' Final Roster 0913-0919'!B174</f>
        <v>Diaz Jesica Luciana</v>
      </c>
      <c r="C174" s="53" t="str">
        <f>'Agents'' Final Roster 0913-0919'!C174</f>
        <v>Serra</v>
      </c>
      <c r="D174" s="53" t="str">
        <f>'Agents'' Final Roster 0913-0919'!D174</f>
        <v>Tamara </v>
      </c>
      <c r="E174" s="53"/>
      <c r="F174" s="53"/>
      <c r="G174" s="53"/>
      <c r="H174" s="53"/>
      <c r="I174" s="53"/>
      <c r="J174" s="53"/>
      <c r="K174" s="53"/>
      <c r="L174" s="56"/>
      <c r="M174" s="56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 t="str">
        <f>'Agents'' Final Roster 0913-0919'!J174</f>
        <v>CSV2</v>
      </c>
      <c r="AA174" s="53"/>
      <c r="AB174" s="53"/>
      <c r="AC174" s="53"/>
      <c r="AD174" s="53"/>
      <c r="AE174" s="53"/>
      <c r="AF174" s="53"/>
      <c r="AG174" s="53"/>
      <c r="AH174" s="53"/>
      <c r="AI174" s="53"/>
      <c r="AJ174" s="58"/>
      <c r="AK174" s="58"/>
      <c r="AL174" s="59"/>
      <c r="AM174" s="60"/>
      <c r="AN174" s="62"/>
      <c r="AO174" s="66"/>
    </row>
    <row r="175" spans="1:41">
      <c r="A175" s="52" t="str">
        <f>'Agents'' Final Roster 0913-0919'!A175</f>
        <v>Perez Zitzke Agustina</v>
      </c>
      <c r="B175" s="53" t="str">
        <f>'Agents'' Final Roster 0913-0919'!B175</f>
        <v>Diaz Jesica Luciana</v>
      </c>
      <c r="C175" s="53" t="str">
        <f>'Agents'' Final Roster 0913-0919'!C175</f>
        <v>Silva</v>
      </c>
      <c r="D175" s="53" t="str">
        <f>'Agents'' Final Roster 0913-0919'!D175</f>
        <v>Franco Gabriel</v>
      </c>
      <c r="E175" s="53"/>
      <c r="F175" s="53"/>
      <c r="G175" s="53"/>
      <c r="H175" s="53"/>
      <c r="I175" s="53"/>
      <c r="J175" s="53"/>
      <c r="K175" s="53"/>
      <c r="L175" s="56"/>
      <c r="M175" s="56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 t="str">
        <f>'Agents'' Final Roster 0913-0919'!J175</f>
        <v>CSV2</v>
      </c>
      <c r="AA175" s="53"/>
      <c r="AB175" s="53"/>
      <c r="AC175" s="53"/>
      <c r="AD175" s="53"/>
      <c r="AE175" s="53"/>
      <c r="AF175" s="53"/>
      <c r="AG175" s="53"/>
      <c r="AH175" s="53"/>
      <c r="AI175" s="53"/>
      <c r="AJ175" s="58"/>
      <c r="AK175" s="58"/>
      <c r="AL175" s="59"/>
      <c r="AM175" s="60"/>
      <c r="AN175" s="62"/>
      <c r="AO175" s="66"/>
    </row>
    <row r="176" spans="1:41">
      <c r="A176" s="52" t="str">
        <f>'Agents'' Final Roster 0913-0919'!A176</f>
        <v>Perez Zitzke Agustina</v>
      </c>
      <c r="B176" s="53" t="str">
        <f>'Agents'' Final Roster 0913-0919'!B176</f>
        <v>Diaz Jesica Luciana</v>
      </c>
      <c r="C176" s="53" t="str">
        <f>'Agents'' Final Roster 0913-0919'!C176</f>
        <v>Suarez</v>
      </c>
      <c r="D176" s="53" t="str">
        <f>'Agents'' Final Roster 0913-0919'!D176</f>
        <v>Maria Florencia</v>
      </c>
      <c r="E176" s="53"/>
      <c r="F176" s="53"/>
      <c r="G176" s="53"/>
      <c r="H176" s="53"/>
      <c r="I176" s="53"/>
      <c r="J176" s="53"/>
      <c r="K176" s="53"/>
      <c r="L176" s="56"/>
      <c r="M176" s="56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 t="str">
        <f>'Agents'' Final Roster 0913-0919'!J176</f>
        <v>CSV3</v>
      </c>
      <c r="AA176" s="53"/>
      <c r="AB176" s="53"/>
      <c r="AC176" s="53"/>
      <c r="AD176" s="53"/>
      <c r="AE176" s="53"/>
      <c r="AF176" s="53"/>
      <c r="AG176" s="53"/>
      <c r="AH176" s="53"/>
      <c r="AI176" s="53"/>
      <c r="AJ176" s="58"/>
      <c r="AK176" s="58"/>
      <c r="AL176" s="59"/>
      <c r="AM176" s="60"/>
      <c r="AN176" s="62"/>
      <c r="AO176" s="66"/>
    </row>
    <row r="177" spans="1:41">
      <c r="A177" s="68" t="str">
        <f>'Agents'' Final Roster 0913-0919'!A177</f>
        <v>Perez Zitzke Agustina</v>
      </c>
      <c r="B177" s="69" t="str">
        <f>'Agents'' Final Roster 0913-0919'!B177</f>
        <v>Diaz Jesica Luciana</v>
      </c>
      <c r="C177" s="69" t="str">
        <f>'Agents'' Final Roster 0913-0919'!C177</f>
        <v>Valverde</v>
      </c>
      <c r="D177" s="69" t="str">
        <f>'Agents'' Final Roster 0913-0919'!D177</f>
        <v>Lourdes Oriana</v>
      </c>
      <c r="E177" s="69"/>
      <c r="F177" s="69"/>
      <c r="G177" s="69"/>
      <c r="H177" s="69"/>
      <c r="I177" s="69"/>
      <c r="J177" s="69"/>
      <c r="K177" s="69"/>
      <c r="L177" s="56"/>
      <c r="M177" s="56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 t="str">
        <f>'Agents'' Final Roster 0913-0919'!J177</f>
        <v>CSV3</v>
      </c>
      <c r="AA177" s="53"/>
      <c r="AB177" s="53"/>
      <c r="AC177" s="53"/>
      <c r="AD177" s="53"/>
      <c r="AE177" s="53"/>
      <c r="AF177" s="53"/>
      <c r="AG177" s="53"/>
      <c r="AH177" s="53"/>
      <c r="AI177" s="53"/>
      <c r="AJ177" s="58"/>
      <c r="AK177" s="58"/>
      <c r="AL177" s="58"/>
      <c r="AM177" s="60"/>
      <c r="AN177" s="62"/>
      <c r="AO177" s="66"/>
    </row>
    <row r="178" spans="1:41">
      <c r="A178" s="52" t="str">
        <f>'Agents'' Final Roster 0913-0919'!A178</f>
        <v>Ortiz Jose María</v>
      </c>
      <c r="B178" s="53" t="str">
        <f>'Agents'' Final Roster 0913-0919'!B178</f>
        <v>Esquivel Pavan Pamela Sol</v>
      </c>
      <c r="C178" s="53" t="str">
        <f>'Agents'' Final Roster 0913-0919'!C178</f>
        <v>Acosta</v>
      </c>
      <c r="D178" s="53" t="str">
        <f>'Agents'' Final Roster 0913-0919'!D178</f>
        <v>Joaquin Nicolas</v>
      </c>
      <c r="E178" s="53"/>
      <c r="F178" s="53"/>
      <c r="G178" s="53"/>
      <c r="H178" s="53"/>
      <c r="I178" s="53"/>
      <c r="J178" s="53"/>
      <c r="K178" s="53"/>
      <c r="L178" s="56"/>
      <c r="M178" s="56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 t="str">
        <f>'Agents'' Final Roster 0913-0919'!J178</f>
        <v>Habilitaciones</v>
      </c>
      <c r="AA178" s="53"/>
      <c r="AB178" s="53"/>
      <c r="AC178" s="53"/>
      <c r="AD178" s="53"/>
      <c r="AE178" s="53"/>
      <c r="AF178" s="53"/>
      <c r="AG178" s="53"/>
      <c r="AH178" s="53"/>
      <c r="AI178" s="53"/>
      <c r="AJ178" s="58"/>
      <c r="AK178" s="58"/>
      <c r="AL178" s="59"/>
      <c r="AM178" s="60"/>
      <c r="AN178" s="62"/>
      <c r="AO178" s="66"/>
    </row>
    <row r="179" spans="1:41">
      <c r="A179" s="52" t="str">
        <f>'Agents'' Final Roster 0913-0919'!A179</f>
        <v>Ortiz Jose María</v>
      </c>
      <c r="B179" s="53" t="str">
        <f>'Agents'' Final Roster 0913-0919'!B179</f>
        <v>Esquivel Pavan Pamela Sol</v>
      </c>
      <c r="C179" s="53" t="str">
        <f>'Agents'' Final Roster 0913-0919'!C179</f>
        <v>Alderete</v>
      </c>
      <c r="D179" s="53" t="str">
        <f>'Agents'' Final Roster 0913-0919'!D179</f>
        <v>Mayra Luciana</v>
      </c>
      <c r="E179" s="53"/>
      <c r="F179" s="53"/>
      <c r="G179" s="53"/>
      <c r="H179" s="53"/>
      <c r="I179" s="53"/>
      <c r="J179" s="53"/>
      <c r="K179" s="53"/>
      <c r="L179" s="56"/>
      <c r="M179" s="56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 t="str">
        <f>'Agents'' Final Roster 0913-0919'!J179</f>
        <v>CSV1</v>
      </c>
      <c r="AA179" s="53"/>
      <c r="AB179" s="53"/>
      <c r="AC179" s="53"/>
      <c r="AD179" s="53"/>
      <c r="AE179" s="53"/>
      <c r="AF179" s="53"/>
      <c r="AG179" s="53"/>
      <c r="AH179" s="53"/>
      <c r="AI179" s="53"/>
      <c r="AJ179" s="58"/>
      <c r="AK179" s="58"/>
      <c r="AL179" s="59"/>
      <c r="AM179" s="60"/>
      <c r="AN179" s="62"/>
      <c r="AO179" s="66"/>
    </row>
    <row r="180" spans="1:41">
      <c r="A180" s="52" t="str">
        <f>'Agents'' Final Roster 0913-0919'!A180</f>
        <v>Ortiz Jose María</v>
      </c>
      <c r="B180" s="53" t="str">
        <f>'Agents'' Final Roster 0913-0919'!B180</f>
        <v>Esquivel Pavan Pamela Sol</v>
      </c>
      <c r="C180" s="53" t="str">
        <f>'Agents'' Final Roster 0913-0919'!C180</f>
        <v>Angulo</v>
      </c>
      <c r="D180" s="53" t="str">
        <f>'Agents'' Final Roster 0913-0919'!D180</f>
        <v>Luciano Nicolas</v>
      </c>
      <c r="E180" s="53"/>
      <c r="F180" s="53"/>
      <c r="G180" s="53"/>
      <c r="H180" s="53"/>
      <c r="I180" s="53"/>
      <c r="J180" s="53"/>
      <c r="K180" s="53"/>
      <c r="L180" s="56"/>
      <c r="M180" s="56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 t="str">
        <f>'Agents'' Final Roster 0913-0919'!J180</f>
        <v>CSV2</v>
      </c>
      <c r="AA180" s="53"/>
      <c r="AB180" s="53"/>
      <c r="AC180" s="53"/>
      <c r="AD180" s="53"/>
      <c r="AE180" s="53"/>
      <c r="AF180" s="53"/>
      <c r="AG180" s="53"/>
      <c r="AH180" s="53"/>
      <c r="AI180" s="53"/>
      <c r="AJ180" s="58"/>
      <c r="AK180" s="58"/>
      <c r="AL180" s="59"/>
      <c r="AM180" s="60"/>
      <c r="AN180" s="62"/>
      <c r="AO180" s="66"/>
    </row>
    <row r="181" spans="1:41">
      <c r="A181" s="52" t="str">
        <f>'Agents'' Final Roster 0913-0919'!A181</f>
        <v>Ortiz Jose María</v>
      </c>
      <c r="B181" s="53" t="str">
        <f>'Agents'' Final Roster 0913-0919'!B181</f>
        <v>Esquivel Pavan Pamela Sol</v>
      </c>
      <c r="C181" s="53" t="str">
        <f>'Agents'' Final Roster 0913-0919'!C181</f>
        <v>Barrionuevo</v>
      </c>
      <c r="D181" s="53" t="str">
        <f>'Agents'' Final Roster 0913-0919'!D181</f>
        <v>Natalia Elizabeth</v>
      </c>
      <c r="E181" s="53"/>
      <c r="F181" s="53"/>
      <c r="G181" s="53"/>
      <c r="H181" s="53"/>
      <c r="I181" s="53"/>
      <c r="J181" s="53"/>
      <c r="K181" s="53"/>
      <c r="L181" s="56"/>
      <c r="M181" s="56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 t="str">
        <f>'Agents'' Final Roster 0913-0919'!J181</f>
        <v>Servicios web</v>
      </c>
      <c r="AA181" s="53"/>
      <c r="AB181" s="53"/>
      <c r="AC181" s="53"/>
      <c r="AD181" s="53"/>
      <c r="AE181" s="53"/>
      <c r="AF181" s="53"/>
      <c r="AG181" s="53"/>
      <c r="AH181" s="53"/>
      <c r="AI181" s="53"/>
      <c r="AJ181" s="58"/>
      <c r="AK181" s="58"/>
      <c r="AL181" s="59"/>
      <c r="AM181" s="60"/>
      <c r="AN181" s="62"/>
      <c r="AO181" s="66"/>
    </row>
    <row r="182" spans="1:41">
      <c r="A182" s="52" t="str">
        <f>'Agents'' Final Roster 0913-0919'!A182</f>
        <v>Ortiz Jose María</v>
      </c>
      <c r="B182" s="53" t="str">
        <f>'Agents'' Final Roster 0913-0919'!B182</f>
        <v>Esquivel Pavan Pamela Sol</v>
      </c>
      <c r="C182" s="53" t="str">
        <f>'Agents'' Final Roster 0913-0919'!C182</f>
        <v>Barros Fernandez</v>
      </c>
      <c r="D182" s="53" t="str">
        <f>'Agents'' Final Roster 0913-0919'!D182</f>
        <v>Maria Luciana</v>
      </c>
      <c r="E182" s="53"/>
      <c r="F182" s="53"/>
      <c r="G182" s="53"/>
      <c r="H182" s="53"/>
      <c r="I182" s="53"/>
      <c r="J182" s="53"/>
      <c r="K182" s="53"/>
      <c r="L182" s="56"/>
      <c r="M182" s="56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 t="str">
        <f>'Agents'' Final Roster 0913-0919'!J182</f>
        <v>CSV2</v>
      </c>
      <c r="AA182" s="53"/>
      <c r="AB182" s="53"/>
      <c r="AC182" s="53"/>
      <c r="AD182" s="53"/>
      <c r="AE182" s="53"/>
      <c r="AF182" s="53"/>
      <c r="AG182" s="53"/>
      <c r="AH182" s="53"/>
      <c r="AI182" s="53"/>
      <c r="AJ182" s="58"/>
      <c r="AK182" s="58"/>
      <c r="AL182" s="59"/>
      <c r="AM182" s="60"/>
      <c r="AN182" s="62"/>
      <c r="AO182" s="66"/>
    </row>
    <row r="183" spans="1:41">
      <c r="A183" s="52" t="str">
        <f>'Agents'' Final Roster 0913-0919'!A183</f>
        <v>Ortiz Jose María</v>
      </c>
      <c r="B183" s="53" t="str">
        <f>'Agents'' Final Roster 0913-0919'!B183</f>
        <v>Esquivel Pavan Pamela Sol</v>
      </c>
      <c r="C183" s="53" t="str">
        <f>'Agents'' Final Roster 0913-0919'!C183</f>
        <v>Bonadelli</v>
      </c>
      <c r="D183" s="53" t="str">
        <f>'Agents'' Final Roster 0913-0919'!D183</f>
        <v>Angel Fabian</v>
      </c>
      <c r="E183" s="53"/>
      <c r="F183" s="53"/>
      <c r="G183" s="53"/>
      <c r="H183" s="53"/>
      <c r="I183" s="53"/>
      <c r="J183" s="53"/>
      <c r="K183" s="53"/>
      <c r="L183" s="56"/>
      <c r="M183" s="56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 t="str">
        <f>'Agents'' Final Roster 0913-0919'!J183</f>
        <v>CSV2</v>
      </c>
      <c r="AA183" s="53"/>
      <c r="AB183" s="53"/>
      <c r="AC183" s="53"/>
      <c r="AD183" s="53"/>
      <c r="AE183" s="53"/>
      <c r="AF183" s="53"/>
      <c r="AG183" s="53"/>
      <c r="AH183" s="53"/>
      <c r="AI183" s="53"/>
      <c r="AJ183" s="58"/>
      <c r="AK183" s="58"/>
      <c r="AL183" s="59"/>
      <c r="AM183" s="60"/>
      <c r="AN183" s="62"/>
      <c r="AO183" s="66"/>
    </row>
    <row r="184" spans="1:41">
      <c r="A184" s="52" t="str">
        <f>'Agents'' Final Roster 0913-0919'!A184</f>
        <v>Ortiz Jose María</v>
      </c>
      <c r="B184" s="53" t="str">
        <f>'Agents'' Final Roster 0913-0919'!B184</f>
        <v>Esquivel Pavan Pamela Sol</v>
      </c>
      <c r="C184" s="53" t="str">
        <f>'Agents'' Final Roster 0913-0919'!C184</f>
        <v>Correa</v>
      </c>
      <c r="D184" s="53" t="str">
        <f>'Agents'' Final Roster 0913-0919'!D184</f>
        <v>David Maximiliano</v>
      </c>
      <c r="E184" s="53"/>
      <c r="F184" s="53"/>
      <c r="G184" s="53"/>
      <c r="H184" s="53"/>
      <c r="I184" s="53"/>
      <c r="J184" s="53"/>
      <c r="K184" s="53"/>
      <c r="L184" s="56"/>
      <c r="M184" s="56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 t="str">
        <f>'Agents'' Final Roster 0913-0919'!J184</f>
        <v>DVH</v>
      </c>
      <c r="AA184" s="53"/>
      <c r="AB184" s="53"/>
      <c r="AC184" s="53"/>
      <c r="AD184" s="53"/>
      <c r="AE184" s="53"/>
      <c r="AF184" s="53"/>
      <c r="AG184" s="53"/>
      <c r="AH184" s="53"/>
      <c r="AI184" s="53"/>
      <c r="AJ184" s="58"/>
      <c r="AK184" s="58"/>
      <c r="AL184" s="59"/>
      <c r="AM184" s="60"/>
      <c r="AN184" s="62"/>
      <c r="AO184" s="66"/>
    </row>
    <row r="185" spans="1:41">
      <c r="A185" s="52" t="e">
        <f>'Agents'' Final Roster 0913-0919'!#REF!</f>
        <v>#REF!</v>
      </c>
      <c r="B185" s="53" t="e">
        <f>'Agents'' Final Roster 0913-0919'!#REF!</f>
        <v>#REF!</v>
      </c>
      <c r="C185" s="53" t="e">
        <f>'Agents'' Final Roster 0913-0919'!#REF!</f>
        <v>#REF!</v>
      </c>
      <c r="D185" s="53" t="e">
        <f>'Agents'' Final Roster 0913-0919'!#REF!</f>
        <v>#REF!</v>
      </c>
      <c r="E185" s="53"/>
      <c r="F185" s="53"/>
      <c r="G185" s="53"/>
      <c r="H185" s="53"/>
      <c r="I185" s="53"/>
      <c r="J185" s="53"/>
      <c r="K185" s="53"/>
      <c r="L185" s="56"/>
      <c r="M185" s="56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 t="e">
        <f>'Agents'' Final Roster 0913-0919'!#REF!</f>
        <v>#REF!</v>
      </c>
      <c r="AA185" s="53"/>
      <c r="AB185" s="53"/>
      <c r="AC185" s="53"/>
      <c r="AD185" s="53"/>
      <c r="AE185" s="53"/>
      <c r="AF185" s="53"/>
      <c r="AG185" s="53"/>
      <c r="AH185" s="53"/>
      <c r="AI185" s="53"/>
      <c r="AJ185" s="58"/>
      <c r="AK185" s="58"/>
      <c r="AL185" s="59"/>
      <c r="AM185" s="60"/>
      <c r="AN185" s="62"/>
      <c r="AO185" s="66"/>
    </row>
    <row r="186" spans="1:41">
      <c r="A186" s="54" t="e">
        <f>'Agents'' Final Roster 0913-0919'!#REF!</f>
        <v>#REF!</v>
      </c>
      <c r="B186" s="55" t="e">
        <f>'Agents'' Final Roster 0913-0919'!#REF!</f>
        <v>#REF!</v>
      </c>
      <c r="C186" s="55" t="e">
        <f>'Agents'' Final Roster 0913-0919'!#REF!</f>
        <v>#REF!</v>
      </c>
      <c r="D186" s="55" t="e">
        <f>'Agents'' Final Roster 0913-0919'!#REF!</f>
        <v>#REF!</v>
      </c>
      <c r="E186" s="55"/>
      <c r="F186" s="55"/>
      <c r="G186" s="55"/>
      <c r="H186" s="55"/>
      <c r="I186" s="55"/>
      <c r="J186" s="55"/>
      <c r="K186" s="53"/>
      <c r="L186" s="56"/>
      <c r="M186" s="56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 t="e">
        <f>'Agents'' Final Roster 0913-0919'!#REF!</f>
        <v>#REF!</v>
      </c>
      <c r="AA186" s="53"/>
      <c r="AB186" s="53"/>
      <c r="AC186" s="53"/>
      <c r="AD186" s="53"/>
      <c r="AE186" s="53"/>
      <c r="AF186" s="53"/>
      <c r="AG186" s="53"/>
      <c r="AH186" s="53"/>
      <c r="AI186" s="53"/>
      <c r="AJ186" s="58"/>
      <c r="AK186" s="58"/>
      <c r="AL186" s="59"/>
      <c r="AM186" s="60"/>
      <c r="AN186" s="62"/>
      <c r="AO186" s="66"/>
    </row>
    <row r="187" spans="1:41">
      <c r="A187" s="52" t="e">
        <f>'Agents'' Final Roster 0913-0919'!#REF!</f>
        <v>#REF!</v>
      </c>
      <c r="B187" s="53" t="e">
        <f>'Agents'' Final Roster 0913-0919'!#REF!</f>
        <v>#REF!</v>
      </c>
      <c r="C187" s="53" t="e">
        <f>'Agents'' Final Roster 0913-0919'!#REF!</f>
        <v>#REF!</v>
      </c>
      <c r="D187" s="53" t="e">
        <f>'Agents'' Final Roster 0913-0919'!#REF!</f>
        <v>#REF!</v>
      </c>
      <c r="E187" s="53"/>
      <c r="F187" s="53"/>
      <c r="G187" s="53"/>
      <c r="H187" s="53"/>
      <c r="I187" s="53"/>
      <c r="J187" s="53"/>
      <c r="K187" s="53"/>
      <c r="L187" s="56"/>
      <c r="M187" s="56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 t="e">
        <f>'Agents'' Final Roster 0913-0919'!#REF!</f>
        <v>#REF!</v>
      </c>
      <c r="AA187" s="53"/>
      <c r="AB187" s="53"/>
      <c r="AC187" s="53"/>
      <c r="AD187" s="53"/>
      <c r="AE187" s="53"/>
      <c r="AF187" s="53"/>
      <c r="AG187" s="53"/>
      <c r="AH187" s="53"/>
      <c r="AI187" s="53"/>
      <c r="AJ187" s="58"/>
      <c r="AK187" s="58"/>
      <c r="AL187" s="59"/>
      <c r="AM187" s="60"/>
      <c r="AN187" s="62"/>
      <c r="AO187" s="66"/>
    </row>
    <row r="188" spans="1:41">
      <c r="A188" s="54" t="e">
        <f>'Agents'' Final Roster 0913-0919'!#REF!</f>
        <v>#REF!</v>
      </c>
      <c r="B188" s="55" t="e">
        <f>'Agents'' Final Roster 0913-0919'!#REF!</f>
        <v>#REF!</v>
      </c>
      <c r="C188" s="55" t="e">
        <f>'Agents'' Final Roster 0913-0919'!#REF!</f>
        <v>#REF!</v>
      </c>
      <c r="D188" s="55" t="e">
        <f>'Agents'' Final Roster 0913-0919'!#REF!</f>
        <v>#REF!</v>
      </c>
      <c r="E188" s="55"/>
      <c r="F188" s="55"/>
      <c r="G188" s="55"/>
      <c r="H188" s="55"/>
      <c r="I188" s="55"/>
      <c r="J188" s="55"/>
      <c r="K188" s="53"/>
      <c r="L188" s="56"/>
      <c r="M188" s="56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 t="e">
        <f>'Agents'' Final Roster 0913-0919'!#REF!</f>
        <v>#REF!</v>
      </c>
      <c r="AA188" s="53"/>
      <c r="AB188" s="53"/>
      <c r="AC188" s="53"/>
      <c r="AD188" s="53"/>
      <c r="AE188" s="53"/>
      <c r="AF188" s="53"/>
      <c r="AG188" s="53"/>
      <c r="AH188" s="53"/>
      <c r="AI188" s="53"/>
      <c r="AJ188" s="58"/>
      <c r="AK188" s="58"/>
      <c r="AL188" s="59"/>
      <c r="AM188" s="60"/>
      <c r="AN188" s="62"/>
      <c r="AO188" s="66"/>
    </row>
    <row r="189" spans="1:41">
      <c r="A189" s="68" t="e">
        <f>'Agents'' Final Roster 0913-0919'!#REF!</f>
        <v>#REF!</v>
      </c>
      <c r="B189" s="69" t="e">
        <f>'Agents'' Final Roster 0913-0919'!#REF!</f>
        <v>#REF!</v>
      </c>
      <c r="C189" s="69" t="e">
        <f>'Agents'' Final Roster 0913-0919'!#REF!</f>
        <v>#REF!</v>
      </c>
      <c r="D189" s="69" t="e">
        <f>'Agents'' Final Roster 0913-0919'!#REF!</f>
        <v>#REF!</v>
      </c>
      <c r="E189" s="69"/>
      <c r="F189" s="69"/>
      <c r="G189" s="69"/>
      <c r="H189" s="69"/>
      <c r="I189" s="69"/>
      <c r="J189" s="69"/>
      <c r="K189" s="69"/>
      <c r="L189" s="56"/>
      <c r="M189" s="56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 t="e">
        <f>'Agents'' Final Roster 0913-0919'!#REF!</f>
        <v>#REF!</v>
      </c>
      <c r="AA189" s="53"/>
      <c r="AB189" s="53"/>
      <c r="AC189" s="53"/>
      <c r="AD189" s="53"/>
      <c r="AE189" s="53"/>
      <c r="AF189" s="53"/>
      <c r="AG189" s="53"/>
      <c r="AH189" s="53"/>
      <c r="AI189" s="53"/>
      <c r="AJ189" s="58"/>
      <c r="AK189" s="58"/>
      <c r="AL189" s="59"/>
      <c r="AM189" s="60"/>
      <c r="AN189" s="62"/>
      <c r="AO189" s="66"/>
    </row>
    <row r="190" spans="1:41">
      <c r="A190" s="68" t="e">
        <f>'Agents'' Final Roster 0913-0919'!#REF!</f>
        <v>#REF!</v>
      </c>
      <c r="B190" s="69" t="e">
        <f>'Agents'' Final Roster 0913-0919'!#REF!</f>
        <v>#REF!</v>
      </c>
      <c r="C190" s="69" t="e">
        <f>'Agents'' Final Roster 0913-0919'!#REF!</f>
        <v>#REF!</v>
      </c>
      <c r="D190" s="69" t="e">
        <f>'Agents'' Final Roster 0913-0919'!#REF!</f>
        <v>#REF!</v>
      </c>
      <c r="E190" s="69"/>
      <c r="F190" s="69"/>
      <c r="G190" s="69"/>
      <c r="H190" s="69"/>
      <c r="I190" s="69"/>
      <c r="J190" s="69"/>
      <c r="K190" s="69"/>
      <c r="L190" s="56"/>
      <c r="M190" s="56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 t="e">
        <f>'Agents'' Final Roster 0913-0919'!#REF!</f>
        <v>#REF!</v>
      </c>
      <c r="AA190" s="53"/>
      <c r="AB190" s="53"/>
      <c r="AC190" s="53"/>
      <c r="AD190" s="53"/>
      <c r="AE190" s="53"/>
      <c r="AF190" s="53"/>
      <c r="AG190" s="53"/>
      <c r="AH190" s="53"/>
      <c r="AI190" s="53"/>
      <c r="AJ190" s="58"/>
      <c r="AK190" s="58"/>
      <c r="AL190" s="59"/>
      <c r="AM190" s="60"/>
      <c r="AN190" s="62"/>
      <c r="AO190" s="66"/>
    </row>
    <row r="191" spans="1:41">
      <c r="A191" s="52" t="e">
        <f>'Agents'' Final Roster 0913-0919'!#REF!</f>
        <v>#REF!</v>
      </c>
      <c r="B191" s="53" t="e">
        <f>'Agents'' Final Roster 0913-0919'!#REF!</f>
        <v>#REF!</v>
      </c>
      <c r="C191" s="53" t="e">
        <f>'Agents'' Final Roster 0913-0919'!#REF!</f>
        <v>#REF!</v>
      </c>
      <c r="D191" s="53" t="e">
        <f>'Agents'' Final Roster 0913-0919'!#REF!</f>
        <v>#REF!</v>
      </c>
      <c r="E191" s="53"/>
      <c r="F191" s="53"/>
      <c r="G191" s="53"/>
      <c r="H191" s="53"/>
      <c r="I191" s="53"/>
      <c r="J191" s="53"/>
      <c r="K191" s="53"/>
      <c r="L191" s="56"/>
      <c r="M191" s="56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 t="e">
        <f>'Agents'' Final Roster 0913-0919'!#REF!</f>
        <v>#REF!</v>
      </c>
      <c r="AA191" s="53"/>
      <c r="AB191" s="53"/>
      <c r="AC191" s="53"/>
      <c r="AD191" s="53"/>
      <c r="AE191" s="53"/>
      <c r="AF191" s="53"/>
      <c r="AG191" s="53"/>
      <c r="AH191" s="53"/>
      <c r="AI191" s="53"/>
      <c r="AJ191" s="58"/>
      <c r="AK191" s="58"/>
      <c r="AL191" s="58"/>
      <c r="AM191" s="60"/>
      <c r="AN191" s="62"/>
      <c r="AO191" s="66"/>
    </row>
    <row r="192" spans="1:41">
      <c r="A192" s="52" t="e">
        <f>'Agents'' Final Roster 0913-0919'!#REF!</f>
        <v>#REF!</v>
      </c>
      <c r="B192" s="53" t="e">
        <f>'Agents'' Final Roster 0913-0919'!#REF!</f>
        <v>#REF!</v>
      </c>
      <c r="C192" s="53" t="e">
        <f>'Agents'' Final Roster 0913-0919'!#REF!</f>
        <v>#REF!</v>
      </c>
      <c r="D192" s="53" t="e">
        <f>'Agents'' Final Roster 0913-0919'!#REF!</f>
        <v>#REF!</v>
      </c>
      <c r="E192" s="53"/>
      <c r="F192" s="53"/>
      <c r="G192" s="53"/>
      <c r="H192" s="53"/>
      <c r="I192" s="53"/>
      <c r="J192" s="53"/>
      <c r="K192" s="53"/>
      <c r="L192" s="56"/>
      <c r="M192" s="56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 t="e">
        <f>'Agents'' Final Roster 0913-0919'!#REF!</f>
        <v>#REF!</v>
      </c>
      <c r="AA192" s="53"/>
      <c r="AB192" s="53"/>
      <c r="AC192" s="53"/>
      <c r="AD192" s="53"/>
      <c r="AE192" s="53"/>
      <c r="AF192" s="53"/>
      <c r="AG192" s="53"/>
      <c r="AH192" s="53"/>
      <c r="AI192" s="53"/>
      <c r="AJ192" s="58"/>
      <c r="AK192" s="58"/>
      <c r="AL192" s="59"/>
      <c r="AM192" s="60"/>
      <c r="AN192" s="62"/>
      <c r="AO192" s="66"/>
    </row>
    <row r="193" spans="1:41">
      <c r="A193" s="68" t="e">
        <f>'Agents'' Final Roster 0913-0919'!#REF!</f>
        <v>#REF!</v>
      </c>
      <c r="B193" s="69" t="e">
        <f>'Agents'' Final Roster 0913-0919'!#REF!</f>
        <v>#REF!</v>
      </c>
      <c r="C193" s="69" t="e">
        <f>'Agents'' Final Roster 0913-0919'!#REF!</f>
        <v>#REF!</v>
      </c>
      <c r="D193" s="69" t="e">
        <f>'Agents'' Final Roster 0913-0919'!#REF!</f>
        <v>#REF!</v>
      </c>
      <c r="E193" s="69"/>
      <c r="F193" s="69"/>
      <c r="G193" s="69"/>
      <c r="H193" s="69"/>
      <c r="I193" s="69"/>
      <c r="J193" s="69"/>
      <c r="K193" s="69"/>
      <c r="L193" s="56"/>
      <c r="M193" s="56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 t="e">
        <f>'Agents'' Final Roster 0913-0919'!#REF!</f>
        <v>#REF!</v>
      </c>
      <c r="AA193" s="53"/>
      <c r="AB193" s="53"/>
      <c r="AC193" s="53"/>
      <c r="AD193" s="53"/>
      <c r="AE193" s="53"/>
      <c r="AF193" s="53"/>
      <c r="AG193" s="53"/>
      <c r="AH193" s="53"/>
      <c r="AI193" s="53"/>
      <c r="AJ193" s="58"/>
      <c r="AK193" s="58"/>
      <c r="AL193" s="59"/>
      <c r="AM193" s="60"/>
      <c r="AN193" s="62"/>
      <c r="AO193" s="66"/>
    </row>
    <row r="194" spans="1:41">
      <c r="A194" s="52" t="e">
        <f>'Agents'' Final Roster 0913-0919'!#REF!</f>
        <v>#REF!</v>
      </c>
      <c r="B194" s="53" t="e">
        <f>'Agents'' Final Roster 0913-0919'!#REF!</f>
        <v>#REF!</v>
      </c>
      <c r="C194" s="53" t="e">
        <f>'Agents'' Final Roster 0913-0919'!#REF!</f>
        <v>#REF!</v>
      </c>
      <c r="D194" s="53" t="e">
        <f>'Agents'' Final Roster 0913-0919'!#REF!</f>
        <v>#REF!</v>
      </c>
      <c r="E194" s="53"/>
      <c r="F194" s="53"/>
      <c r="G194" s="53"/>
      <c r="H194" s="53"/>
      <c r="I194" s="53"/>
      <c r="J194" s="53"/>
      <c r="K194" s="53"/>
      <c r="L194" s="56"/>
      <c r="M194" s="56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 t="e">
        <f>'Agents'' Final Roster 0913-0919'!#REF!</f>
        <v>#REF!</v>
      </c>
      <c r="AA194" s="53"/>
      <c r="AB194" s="53"/>
      <c r="AC194" s="53"/>
      <c r="AD194" s="53"/>
      <c r="AE194" s="53"/>
      <c r="AF194" s="53"/>
      <c r="AG194" s="53"/>
      <c r="AH194" s="53"/>
      <c r="AI194" s="53"/>
      <c r="AJ194" s="58"/>
      <c r="AK194" s="58"/>
      <c r="AL194" s="59"/>
      <c r="AM194" s="60"/>
      <c r="AN194" s="62"/>
      <c r="AO194" s="66"/>
    </row>
    <row r="195" spans="1:41">
      <c r="A195" s="52" t="e">
        <f>'Agents'' Final Roster 0913-0919'!#REF!</f>
        <v>#REF!</v>
      </c>
      <c r="B195" s="53" t="e">
        <f>'Agents'' Final Roster 0913-0919'!#REF!</f>
        <v>#REF!</v>
      </c>
      <c r="C195" s="53" t="e">
        <f>'Agents'' Final Roster 0913-0919'!#REF!</f>
        <v>#REF!</v>
      </c>
      <c r="D195" s="53" t="e">
        <f>'Agents'' Final Roster 0913-0919'!#REF!</f>
        <v>#REF!</v>
      </c>
      <c r="E195" s="53"/>
      <c r="F195" s="53"/>
      <c r="G195" s="53"/>
      <c r="H195" s="53"/>
      <c r="I195" s="53"/>
      <c r="J195" s="53"/>
      <c r="K195" s="53"/>
      <c r="L195" s="56"/>
      <c r="M195" s="56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 t="e">
        <f>'Agents'' Final Roster 0913-0919'!#REF!</f>
        <v>#REF!</v>
      </c>
      <c r="AA195" s="53"/>
      <c r="AB195" s="53"/>
      <c r="AC195" s="53"/>
      <c r="AD195" s="53"/>
      <c r="AE195" s="53"/>
      <c r="AF195" s="53"/>
      <c r="AG195" s="53"/>
      <c r="AH195" s="53"/>
      <c r="AI195" s="53"/>
      <c r="AJ195" s="58"/>
      <c r="AK195" s="58"/>
      <c r="AL195" s="59"/>
      <c r="AM195" s="60"/>
      <c r="AN195" s="62"/>
      <c r="AO195" s="66"/>
    </row>
    <row r="196" spans="1:41">
      <c r="A196" s="68" t="e">
        <f>'Agents'' Final Roster 0913-0919'!#REF!</f>
        <v>#REF!</v>
      </c>
      <c r="B196" s="69" t="e">
        <f>'Agents'' Final Roster 0913-0919'!#REF!</f>
        <v>#REF!</v>
      </c>
      <c r="C196" s="69" t="e">
        <f>'Agents'' Final Roster 0913-0919'!#REF!</f>
        <v>#REF!</v>
      </c>
      <c r="D196" s="69" t="e">
        <f>'Agents'' Final Roster 0913-0919'!#REF!</f>
        <v>#REF!</v>
      </c>
      <c r="E196" s="69"/>
      <c r="F196" s="69"/>
      <c r="G196" s="69"/>
      <c r="H196" s="69"/>
      <c r="I196" s="69"/>
      <c r="J196" s="69"/>
      <c r="K196" s="69"/>
      <c r="L196" s="56"/>
      <c r="M196" s="56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 t="e">
        <f>'Agents'' Final Roster 0913-0919'!#REF!</f>
        <v>#REF!</v>
      </c>
      <c r="AA196" s="53"/>
      <c r="AB196" s="53"/>
      <c r="AC196" s="53"/>
      <c r="AD196" s="53"/>
      <c r="AE196" s="53"/>
      <c r="AF196" s="53"/>
      <c r="AG196" s="53"/>
      <c r="AH196" s="53"/>
      <c r="AI196" s="53"/>
      <c r="AJ196" s="58"/>
      <c r="AK196" s="58"/>
      <c r="AL196" s="59"/>
      <c r="AM196" s="60"/>
      <c r="AN196" s="62"/>
      <c r="AO196" s="66"/>
    </row>
    <row r="197" spans="1:41">
      <c r="A197" s="52" t="e">
        <f>'Agents'' Final Roster 0913-0919'!#REF!</f>
        <v>#REF!</v>
      </c>
      <c r="B197" s="53" t="e">
        <f>'Agents'' Final Roster 0913-0919'!#REF!</f>
        <v>#REF!</v>
      </c>
      <c r="C197" s="53" t="e">
        <f>'Agents'' Final Roster 0913-0919'!#REF!</f>
        <v>#REF!</v>
      </c>
      <c r="D197" s="53" t="e">
        <f>'Agents'' Final Roster 0913-0919'!#REF!</f>
        <v>#REF!</v>
      </c>
      <c r="E197" s="53"/>
      <c r="F197" s="53"/>
      <c r="G197" s="53"/>
      <c r="H197" s="53"/>
      <c r="I197" s="53"/>
      <c r="J197" s="53"/>
      <c r="K197" s="53"/>
      <c r="L197" s="56"/>
      <c r="M197" s="56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 t="e">
        <f>'Agents'' Final Roster 0913-0919'!#REF!</f>
        <v>#REF!</v>
      </c>
      <c r="AA197" s="53"/>
      <c r="AB197" s="53"/>
      <c r="AC197" s="53"/>
      <c r="AD197" s="53"/>
      <c r="AE197" s="53"/>
      <c r="AF197" s="53"/>
      <c r="AG197" s="53"/>
      <c r="AH197" s="53"/>
      <c r="AI197" s="53"/>
      <c r="AJ197" s="58"/>
      <c r="AK197" s="58"/>
      <c r="AL197" s="59"/>
      <c r="AM197" s="60"/>
      <c r="AN197" s="62"/>
      <c r="AO197" s="66"/>
    </row>
    <row r="198" spans="1:41">
      <c r="A198" s="52" t="e">
        <f>'Agents'' Final Roster 0913-0919'!#REF!</f>
        <v>#REF!</v>
      </c>
      <c r="B198" s="53" t="e">
        <f>'Agents'' Final Roster 0913-0919'!#REF!</f>
        <v>#REF!</v>
      </c>
      <c r="C198" s="53" t="e">
        <f>'Agents'' Final Roster 0913-0919'!#REF!</f>
        <v>#REF!</v>
      </c>
      <c r="D198" s="53" t="e">
        <f>'Agents'' Final Roster 0913-0919'!#REF!</f>
        <v>#REF!</v>
      </c>
      <c r="E198" s="53"/>
      <c r="F198" s="53"/>
      <c r="G198" s="53"/>
      <c r="H198" s="53"/>
      <c r="I198" s="53"/>
      <c r="J198" s="53"/>
      <c r="K198" s="53"/>
      <c r="L198" s="56"/>
      <c r="M198" s="56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 t="e">
        <f>'Agents'' Final Roster 0913-0919'!#REF!</f>
        <v>#REF!</v>
      </c>
      <c r="AA198" s="53"/>
      <c r="AB198" s="53"/>
      <c r="AC198" s="53"/>
      <c r="AD198" s="53"/>
      <c r="AE198" s="53"/>
      <c r="AF198" s="53"/>
      <c r="AG198" s="53"/>
      <c r="AH198" s="53"/>
      <c r="AI198" s="53"/>
      <c r="AJ198" s="58"/>
      <c r="AK198" s="58"/>
      <c r="AL198" s="59"/>
      <c r="AM198" s="60"/>
      <c r="AN198" s="62"/>
      <c r="AO198" s="66"/>
    </row>
    <row r="199" spans="1:41">
      <c r="A199" s="52" t="e">
        <f>'Agents'' Final Roster 0913-0919'!#REF!</f>
        <v>#REF!</v>
      </c>
      <c r="B199" s="53" t="e">
        <f>'Agents'' Final Roster 0913-0919'!#REF!</f>
        <v>#REF!</v>
      </c>
      <c r="C199" s="53" t="e">
        <f>'Agents'' Final Roster 0913-0919'!#REF!</f>
        <v>#REF!</v>
      </c>
      <c r="D199" s="53" t="e">
        <f>'Agents'' Final Roster 0913-0919'!#REF!</f>
        <v>#REF!</v>
      </c>
      <c r="E199" s="53"/>
      <c r="F199" s="53"/>
      <c r="G199" s="53"/>
      <c r="H199" s="53"/>
      <c r="I199" s="53"/>
      <c r="J199" s="53"/>
      <c r="K199" s="53"/>
      <c r="L199" s="56"/>
      <c r="M199" s="56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 t="e">
        <f>'Agents'' Final Roster 0913-0919'!#REF!</f>
        <v>#REF!</v>
      </c>
      <c r="AA199" s="53"/>
      <c r="AB199" s="53"/>
      <c r="AC199" s="53"/>
      <c r="AD199" s="53"/>
      <c r="AE199" s="53"/>
      <c r="AF199" s="53"/>
      <c r="AG199" s="53"/>
      <c r="AH199" s="53"/>
      <c r="AI199" s="53"/>
      <c r="AJ199" s="58"/>
      <c r="AK199" s="58"/>
      <c r="AL199" s="59"/>
      <c r="AM199" s="60"/>
      <c r="AN199" s="62"/>
      <c r="AO199" s="66"/>
    </row>
    <row r="200" spans="1:41">
      <c r="A200" s="52" t="e">
        <f>'Agents'' Final Roster 0913-0919'!#REF!</f>
        <v>#REF!</v>
      </c>
      <c r="B200" s="53" t="e">
        <f>'Agents'' Final Roster 0913-0919'!#REF!</f>
        <v>#REF!</v>
      </c>
      <c r="C200" s="53" t="e">
        <f>'Agents'' Final Roster 0913-0919'!#REF!</f>
        <v>#REF!</v>
      </c>
      <c r="D200" s="53" t="e">
        <f>'Agents'' Final Roster 0913-0919'!#REF!</f>
        <v>#REF!</v>
      </c>
      <c r="E200" s="53"/>
      <c r="F200" s="53"/>
      <c r="G200" s="53"/>
      <c r="H200" s="53"/>
      <c r="I200" s="53"/>
      <c r="J200" s="53"/>
      <c r="K200" s="53"/>
      <c r="L200" s="56"/>
      <c r="M200" s="56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 t="e">
        <f>'Agents'' Final Roster 0913-0919'!#REF!</f>
        <v>#REF!</v>
      </c>
      <c r="AA200" s="53"/>
      <c r="AB200" s="53"/>
      <c r="AC200" s="53"/>
      <c r="AD200" s="53"/>
      <c r="AE200" s="53"/>
      <c r="AF200" s="53"/>
      <c r="AG200" s="53"/>
      <c r="AH200" s="53"/>
      <c r="AI200" s="53"/>
      <c r="AJ200" s="58"/>
      <c r="AK200" s="58"/>
      <c r="AL200" s="59"/>
      <c r="AM200" s="60"/>
      <c r="AN200" s="62"/>
      <c r="AO200" s="66"/>
    </row>
    <row r="201" spans="1:41">
      <c r="A201" s="68" t="e">
        <f>'Agents'' Final Roster 0913-0919'!#REF!</f>
        <v>#REF!</v>
      </c>
      <c r="B201" s="69" t="e">
        <f>'Agents'' Final Roster 0913-0919'!#REF!</f>
        <v>#REF!</v>
      </c>
      <c r="C201" s="69" t="e">
        <f>'Agents'' Final Roster 0913-0919'!#REF!</f>
        <v>#REF!</v>
      </c>
      <c r="D201" s="69" t="e">
        <f>'Agents'' Final Roster 0913-0919'!#REF!</f>
        <v>#REF!</v>
      </c>
      <c r="E201" s="69"/>
      <c r="F201" s="69"/>
      <c r="G201" s="69"/>
      <c r="H201" s="69"/>
      <c r="I201" s="69"/>
      <c r="J201" s="69"/>
      <c r="K201" s="69"/>
      <c r="L201" s="56"/>
      <c r="M201" s="56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 t="e">
        <f>'Agents'' Final Roster 0913-0919'!#REF!</f>
        <v>#REF!</v>
      </c>
      <c r="AA201" s="53"/>
      <c r="AB201" s="53"/>
      <c r="AC201" s="53"/>
      <c r="AD201" s="53"/>
      <c r="AE201" s="53"/>
      <c r="AF201" s="53"/>
      <c r="AG201" s="53"/>
      <c r="AH201" s="53"/>
      <c r="AI201" s="53"/>
      <c r="AJ201" s="58"/>
      <c r="AK201" s="58"/>
      <c r="AL201" s="59"/>
      <c r="AM201" s="60"/>
      <c r="AN201" s="62"/>
      <c r="AO201" s="66"/>
    </row>
    <row r="202" spans="1:41">
      <c r="A202" s="68" t="e">
        <f>'Agents'' Final Roster 0913-0919'!#REF!</f>
        <v>#REF!</v>
      </c>
      <c r="B202" s="69" t="e">
        <f>'Agents'' Final Roster 0913-0919'!#REF!</f>
        <v>#REF!</v>
      </c>
      <c r="C202" s="69" t="e">
        <f>'Agents'' Final Roster 0913-0919'!#REF!</f>
        <v>#REF!</v>
      </c>
      <c r="D202" s="69" t="e">
        <f>'Agents'' Final Roster 0913-0919'!#REF!</f>
        <v>#REF!</v>
      </c>
      <c r="E202" s="69"/>
      <c r="F202" s="69"/>
      <c r="G202" s="69"/>
      <c r="H202" s="69"/>
      <c r="I202" s="69"/>
      <c r="J202" s="69"/>
      <c r="K202" s="69"/>
      <c r="L202" s="56"/>
      <c r="M202" s="56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 t="e">
        <f>'Agents'' Final Roster 0913-0919'!#REF!</f>
        <v>#REF!</v>
      </c>
      <c r="AA202" s="53"/>
      <c r="AB202" s="53"/>
      <c r="AC202" s="53"/>
      <c r="AD202" s="53"/>
      <c r="AE202" s="53"/>
      <c r="AF202" s="53"/>
      <c r="AG202" s="53"/>
      <c r="AH202" s="53"/>
      <c r="AI202" s="53"/>
      <c r="AJ202" s="58"/>
      <c r="AK202" s="58"/>
      <c r="AL202" s="59"/>
      <c r="AM202" s="60"/>
      <c r="AN202" s="62"/>
      <c r="AO202" s="66"/>
    </row>
    <row r="203" spans="1:41">
      <c r="A203" s="52" t="e">
        <f>'Agents'' Final Roster 0913-0919'!#REF!</f>
        <v>#REF!</v>
      </c>
      <c r="B203" s="53" t="e">
        <f>'Agents'' Final Roster 0913-0919'!#REF!</f>
        <v>#REF!</v>
      </c>
      <c r="C203" s="53" t="e">
        <f>'Agents'' Final Roster 0913-0919'!#REF!</f>
        <v>#REF!</v>
      </c>
      <c r="D203" s="53" t="e">
        <f>'Agents'' Final Roster 0913-0919'!#REF!</f>
        <v>#REF!</v>
      </c>
      <c r="E203" s="53"/>
      <c r="F203" s="53"/>
      <c r="G203" s="53"/>
      <c r="H203" s="53"/>
      <c r="I203" s="53"/>
      <c r="J203" s="53"/>
      <c r="K203" s="53"/>
      <c r="L203" s="56"/>
      <c r="M203" s="56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 t="e">
        <f>'Agents'' Final Roster 0913-0919'!#REF!</f>
        <v>#REF!</v>
      </c>
      <c r="AA203" s="53"/>
      <c r="AB203" s="53"/>
      <c r="AC203" s="53"/>
      <c r="AD203" s="53"/>
      <c r="AE203" s="53"/>
      <c r="AF203" s="53"/>
      <c r="AG203" s="53"/>
      <c r="AH203" s="53"/>
      <c r="AI203" s="53"/>
      <c r="AJ203" s="58"/>
      <c r="AK203" s="58"/>
      <c r="AL203" s="59"/>
      <c r="AM203" s="60"/>
      <c r="AN203" s="62"/>
      <c r="AO203" s="66"/>
    </row>
    <row r="204" spans="1:41">
      <c r="A204" s="52" t="e">
        <f>'Agents'' Final Roster 0913-0919'!#REF!</f>
        <v>#REF!</v>
      </c>
      <c r="B204" s="53" t="e">
        <f>'Agents'' Final Roster 0913-0919'!#REF!</f>
        <v>#REF!</v>
      </c>
      <c r="C204" s="53" t="e">
        <f>'Agents'' Final Roster 0913-0919'!#REF!</f>
        <v>#REF!</v>
      </c>
      <c r="D204" s="53" t="e">
        <f>'Agents'' Final Roster 0913-0919'!#REF!</f>
        <v>#REF!</v>
      </c>
      <c r="E204" s="53"/>
      <c r="F204" s="53"/>
      <c r="G204" s="53"/>
      <c r="H204" s="53"/>
      <c r="I204" s="53"/>
      <c r="J204" s="53"/>
      <c r="K204" s="53"/>
      <c r="L204" s="56"/>
      <c r="M204" s="56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 t="e">
        <f>'Agents'' Final Roster 0913-0919'!#REF!</f>
        <v>#REF!</v>
      </c>
      <c r="AA204" s="53"/>
      <c r="AB204" s="53"/>
      <c r="AC204" s="53"/>
      <c r="AD204" s="53"/>
      <c r="AE204" s="53"/>
      <c r="AF204" s="53"/>
      <c r="AG204" s="53"/>
      <c r="AH204" s="53"/>
      <c r="AI204" s="53"/>
      <c r="AJ204" s="58"/>
      <c r="AK204" s="58"/>
      <c r="AL204" s="59"/>
      <c r="AM204" s="60"/>
      <c r="AN204" s="62"/>
      <c r="AO204" s="66"/>
    </row>
    <row r="205" spans="1:41">
      <c r="A205" s="52" t="e">
        <f>'Agents'' Final Roster 0913-0919'!#REF!</f>
        <v>#REF!</v>
      </c>
      <c r="B205" s="53" t="e">
        <f>'Agents'' Final Roster 0913-0919'!#REF!</f>
        <v>#REF!</v>
      </c>
      <c r="C205" s="53" t="e">
        <f>'Agents'' Final Roster 0913-0919'!#REF!</f>
        <v>#REF!</v>
      </c>
      <c r="D205" s="53" t="e">
        <f>'Agents'' Final Roster 0913-0919'!#REF!</f>
        <v>#REF!</v>
      </c>
      <c r="E205" s="53"/>
      <c r="F205" s="53"/>
      <c r="G205" s="53"/>
      <c r="H205" s="53"/>
      <c r="I205" s="53"/>
      <c r="J205" s="69"/>
      <c r="K205" s="69"/>
      <c r="L205" s="56"/>
      <c r="M205" s="56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 t="e">
        <f>'Agents'' Final Roster 0913-0919'!#REF!</f>
        <v>#REF!</v>
      </c>
      <c r="AA205" s="53"/>
      <c r="AB205" s="53"/>
      <c r="AC205" s="53"/>
      <c r="AD205" s="53"/>
      <c r="AE205" s="53"/>
      <c r="AF205" s="53"/>
      <c r="AG205" s="53"/>
      <c r="AH205" s="53"/>
      <c r="AI205" s="53"/>
      <c r="AJ205" s="58"/>
      <c r="AK205" s="58"/>
      <c r="AL205" s="59"/>
      <c r="AM205" s="60"/>
      <c r="AN205" s="62"/>
      <c r="AO205" s="66"/>
    </row>
    <row r="206" spans="1:41">
      <c r="A206" s="52" t="e">
        <f>'Agents'' Final Roster 0913-0919'!#REF!</f>
        <v>#REF!</v>
      </c>
      <c r="B206" s="53" t="e">
        <f>'Agents'' Final Roster 0913-0919'!#REF!</f>
        <v>#REF!</v>
      </c>
      <c r="C206" s="53" t="e">
        <f>'Agents'' Final Roster 0913-0919'!#REF!</f>
        <v>#REF!</v>
      </c>
      <c r="D206" s="53" t="e">
        <f>'Agents'' Final Roster 0913-0919'!#REF!</f>
        <v>#REF!</v>
      </c>
      <c r="E206" s="53"/>
      <c r="F206" s="53"/>
      <c r="G206" s="53"/>
      <c r="H206" s="53"/>
      <c r="I206" s="53"/>
      <c r="J206" s="53"/>
      <c r="K206" s="53"/>
      <c r="L206" s="56"/>
      <c r="M206" s="56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 t="e">
        <f>'Agents'' Final Roster 0913-0919'!#REF!</f>
        <v>#REF!</v>
      </c>
      <c r="AA206" s="53"/>
      <c r="AB206" s="53"/>
      <c r="AC206" s="53"/>
      <c r="AD206" s="53"/>
      <c r="AE206" s="53"/>
      <c r="AF206" s="53"/>
      <c r="AG206" s="53"/>
      <c r="AH206" s="53"/>
      <c r="AI206" s="53"/>
      <c r="AJ206" s="58"/>
      <c r="AK206" s="58"/>
      <c r="AL206" s="59"/>
      <c r="AM206" s="60"/>
      <c r="AN206" s="62"/>
      <c r="AO206" s="66"/>
    </row>
    <row r="207" spans="1:41">
      <c r="A207" s="68" t="e">
        <f>'Agents'' Final Roster 0913-0919'!#REF!</f>
        <v>#REF!</v>
      </c>
      <c r="B207" s="69" t="e">
        <f>'Agents'' Final Roster 0913-0919'!#REF!</f>
        <v>#REF!</v>
      </c>
      <c r="C207" s="69" t="e">
        <f>'Agents'' Final Roster 0913-0919'!#REF!</f>
        <v>#REF!</v>
      </c>
      <c r="D207" s="69" t="e">
        <f>'Agents'' Final Roster 0913-0919'!#REF!</f>
        <v>#REF!</v>
      </c>
      <c r="E207" s="69"/>
      <c r="F207" s="69"/>
      <c r="G207" s="69"/>
      <c r="H207" s="69"/>
      <c r="I207" s="69"/>
      <c r="J207" s="69"/>
      <c r="K207" s="69"/>
      <c r="L207" s="56"/>
      <c r="M207" s="56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 t="e">
        <f>'Agents'' Final Roster 0913-0919'!#REF!</f>
        <v>#REF!</v>
      </c>
      <c r="AA207" s="53"/>
      <c r="AB207" s="53"/>
      <c r="AC207" s="53"/>
      <c r="AD207" s="53"/>
      <c r="AE207" s="53"/>
      <c r="AF207" s="53"/>
      <c r="AG207" s="53"/>
      <c r="AH207" s="53"/>
      <c r="AI207" s="53"/>
      <c r="AJ207" s="58"/>
      <c r="AK207" s="58"/>
      <c r="AL207" s="59"/>
      <c r="AM207" s="60"/>
      <c r="AN207" s="62"/>
      <c r="AO207" s="66"/>
    </row>
    <row r="208" spans="1:41">
      <c r="A208" s="70" t="e">
        <f>'Agents'' Final Roster 0913-0919'!#REF!</f>
        <v>#REF!</v>
      </c>
      <c r="B208" s="71" t="e">
        <f>'Agents'' Final Roster 0913-0919'!#REF!</f>
        <v>#REF!</v>
      </c>
      <c r="C208" s="71" t="e">
        <f>'Agents'' Final Roster 0913-0919'!#REF!</f>
        <v>#REF!</v>
      </c>
      <c r="D208" s="71" t="e">
        <f>'Agents'' Final Roster 0913-0919'!#REF!</f>
        <v>#REF!</v>
      </c>
      <c r="E208" s="71"/>
      <c r="F208" s="71"/>
      <c r="G208" s="71"/>
      <c r="H208" s="71"/>
      <c r="I208" s="71"/>
      <c r="J208" s="71"/>
      <c r="K208" s="71"/>
      <c r="L208" s="56"/>
      <c r="M208" s="56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 t="e">
        <f>'Agents'' Final Roster 0913-0919'!#REF!</f>
        <v>#REF!</v>
      </c>
      <c r="AA208" s="53"/>
      <c r="AB208" s="53"/>
      <c r="AC208" s="53"/>
      <c r="AD208" s="53"/>
      <c r="AE208" s="53"/>
      <c r="AF208" s="53"/>
      <c r="AG208" s="53"/>
      <c r="AH208" s="53"/>
      <c r="AI208" s="53"/>
      <c r="AJ208" s="58"/>
      <c r="AK208" s="58"/>
      <c r="AL208" s="59"/>
      <c r="AM208" s="60"/>
      <c r="AN208" s="62"/>
      <c r="AO208" s="66"/>
    </row>
    <row r="209" spans="1:41">
      <c r="A209" s="70" t="e">
        <f>'Agents'' Final Roster 0913-0919'!#REF!</f>
        <v>#REF!</v>
      </c>
      <c r="B209" s="71" t="e">
        <f>'Agents'' Final Roster 0913-0919'!#REF!</f>
        <v>#REF!</v>
      </c>
      <c r="C209" s="71" t="e">
        <f>'Agents'' Final Roster 0913-0919'!#REF!</f>
        <v>#REF!</v>
      </c>
      <c r="D209" s="71" t="e">
        <f>'Agents'' Final Roster 0913-0919'!#REF!</f>
        <v>#REF!</v>
      </c>
      <c r="E209" s="69"/>
      <c r="F209" s="69"/>
      <c r="G209" s="69"/>
      <c r="H209" s="69"/>
      <c r="I209" s="69"/>
      <c r="J209" s="69"/>
      <c r="K209" s="69"/>
      <c r="L209" s="56"/>
      <c r="M209" s="56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 t="e">
        <f>'Agents'' Final Roster 0913-0919'!#REF!</f>
        <v>#REF!</v>
      </c>
      <c r="AA209" s="53"/>
      <c r="AB209" s="53"/>
      <c r="AC209" s="53"/>
      <c r="AD209" s="53"/>
      <c r="AE209" s="53"/>
      <c r="AF209" s="53"/>
      <c r="AG209" s="53"/>
      <c r="AH209" s="53"/>
      <c r="AI209" s="53"/>
      <c r="AJ209" s="58"/>
      <c r="AK209" s="58"/>
      <c r="AL209" s="59"/>
      <c r="AM209" s="60"/>
      <c r="AN209" s="62"/>
      <c r="AO209" s="66"/>
    </row>
    <row r="210" spans="1:41">
      <c r="A210" s="70" t="e">
        <f>'Agents'' Final Roster 0913-0919'!#REF!</f>
        <v>#REF!</v>
      </c>
      <c r="B210" s="71" t="e">
        <f>'Agents'' Final Roster 0913-0919'!#REF!</f>
        <v>#REF!</v>
      </c>
      <c r="C210" s="71" t="e">
        <f>'Agents'' Final Roster 0913-0919'!#REF!</f>
        <v>#REF!</v>
      </c>
      <c r="D210" s="71" t="e">
        <f>'Agents'' Final Roster 0913-0919'!#REF!</f>
        <v>#REF!</v>
      </c>
      <c r="E210" s="55"/>
      <c r="F210" s="55"/>
      <c r="G210" s="55"/>
      <c r="H210" s="55"/>
      <c r="I210" s="55"/>
      <c r="J210" s="55"/>
      <c r="K210" s="53"/>
      <c r="L210" s="56"/>
      <c r="M210" s="56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 t="e">
        <f>'Agents'' Final Roster 0913-0919'!#REF!</f>
        <v>#REF!</v>
      </c>
      <c r="AA210" s="53"/>
      <c r="AB210" s="53"/>
      <c r="AC210" s="53"/>
      <c r="AD210" s="53"/>
      <c r="AE210" s="53"/>
      <c r="AF210" s="53"/>
      <c r="AG210" s="53"/>
      <c r="AH210" s="53"/>
      <c r="AI210" s="53"/>
      <c r="AJ210" s="58"/>
      <c r="AK210" s="58"/>
      <c r="AL210" s="59"/>
      <c r="AM210" s="60"/>
      <c r="AN210" s="62"/>
      <c r="AO210" s="66"/>
    </row>
    <row r="211" spans="1:41">
      <c r="A211" s="70" t="e">
        <f>'Agents'' Final Roster 0913-0919'!#REF!</f>
        <v>#REF!</v>
      </c>
      <c r="B211" s="71" t="e">
        <f>'Agents'' Final Roster 0913-0919'!#REF!</f>
        <v>#REF!</v>
      </c>
      <c r="C211" s="71" t="e">
        <f>'Agents'' Final Roster 0913-0919'!#REF!</f>
        <v>#REF!</v>
      </c>
      <c r="D211" s="71" t="e">
        <f>'Agents'' Final Roster 0913-0919'!#REF!</f>
        <v>#REF!</v>
      </c>
      <c r="E211" s="55"/>
      <c r="F211" s="55"/>
      <c r="G211" s="55"/>
      <c r="H211" s="55"/>
      <c r="I211" s="55"/>
      <c r="J211" s="55"/>
      <c r="K211" s="53"/>
      <c r="L211" s="56"/>
      <c r="M211" s="56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 t="e">
        <f>'Agents'' Final Roster 0913-0919'!#REF!</f>
        <v>#REF!</v>
      </c>
      <c r="AA211" s="53"/>
      <c r="AB211" s="53"/>
      <c r="AC211" s="53"/>
      <c r="AD211" s="53"/>
      <c r="AE211" s="53"/>
      <c r="AF211" s="53"/>
      <c r="AG211" s="53"/>
      <c r="AH211" s="53"/>
      <c r="AI211" s="53"/>
      <c r="AJ211" s="58"/>
      <c r="AK211" s="58"/>
      <c r="AL211" s="59"/>
      <c r="AM211" s="60"/>
      <c r="AN211" s="62"/>
      <c r="AO211" s="66"/>
    </row>
    <row r="212" spans="1:41">
      <c r="A212" s="70" t="e">
        <f>'Agents'' Final Roster 0913-0919'!#REF!</f>
        <v>#REF!</v>
      </c>
      <c r="B212" s="71" t="e">
        <f>'Agents'' Final Roster 0913-0919'!#REF!</f>
        <v>#REF!</v>
      </c>
      <c r="C212" s="71" t="e">
        <f>'Agents'' Final Roster 0913-0919'!#REF!</f>
        <v>#REF!</v>
      </c>
      <c r="D212" s="71" t="e">
        <f>'Agents'' Final Roster 0913-0919'!#REF!</f>
        <v>#REF!</v>
      </c>
      <c r="E212" s="53"/>
      <c r="F212" s="53"/>
      <c r="G212" s="53"/>
      <c r="H212" s="53"/>
      <c r="I212" s="53"/>
      <c r="J212" s="53"/>
      <c r="K212" s="53"/>
      <c r="L212" s="56"/>
      <c r="M212" s="56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 t="e">
        <f>'Agents'' Final Roster 0913-0919'!#REF!</f>
        <v>#REF!</v>
      </c>
      <c r="AA212" s="53"/>
      <c r="AB212" s="53"/>
      <c r="AC212" s="53"/>
      <c r="AD212" s="53"/>
      <c r="AE212" s="53"/>
      <c r="AF212" s="53"/>
      <c r="AG212" s="53"/>
      <c r="AH212" s="53"/>
      <c r="AI212" s="53"/>
      <c r="AJ212" s="58"/>
      <c r="AK212" s="58"/>
      <c r="AL212" s="59"/>
      <c r="AM212" s="60"/>
      <c r="AN212" s="62"/>
      <c r="AO212" s="66"/>
    </row>
    <row r="213" spans="1:41">
      <c r="A213" s="70" t="e">
        <f>'Agents'' Final Roster 0913-0919'!#REF!</f>
        <v>#REF!</v>
      </c>
      <c r="B213" s="71" t="e">
        <f>'Agents'' Final Roster 0913-0919'!#REF!</f>
        <v>#REF!</v>
      </c>
      <c r="C213" s="71" t="e">
        <f>'Agents'' Final Roster 0913-0919'!#REF!</f>
        <v>#REF!</v>
      </c>
      <c r="D213" s="71" t="e">
        <f>'Agents'' Final Roster 0913-0919'!#REF!</f>
        <v>#REF!</v>
      </c>
      <c r="E213" s="71"/>
      <c r="F213" s="71"/>
      <c r="G213" s="71"/>
      <c r="H213" s="71"/>
      <c r="I213" s="71"/>
      <c r="J213" s="71"/>
      <c r="K213" s="71"/>
      <c r="L213" s="56"/>
      <c r="M213" s="56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 t="e">
        <f>'Agents'' Final Roster 0913-0919'!#REF!</f>
        <v>#REF!</v>
      </c>
      <c r="AA213" s="53"/>
      <c r="AB213" s="53"/>
      <c r="AC213" s="53"/>
      <c r="AD213" s="53"/>
      <c r="AE213" s="53"/>
      <c r="AF213" s="53"/>
      <c r="AG213" s="53"/>
      <c r="AH213" s="53"/>
      <c r="AI213" s="53"/>
      <c r="AJ213" s="58"/>
      <c r="AK213" s="58"/>
      <c r="AL213" s="59"/>
      <c r="AM213" s="60"/>
      <c r="AN213" s="62"/>
      <c r="AO213" s="66"/>
    </row>
    <row r="214" spans="1:41">
      <c r="A214" s="70" t="e">
        <f>'Agents'' Final Roster 0913-0919'!#REF!</f>
        <v>#REF!</v>
      </c>
      <c r="B214" s="71" t="e">
        <f>'Agents'' Final Roster 0913-0919'!#REF!</f>
        <v>#REF!</v>
      </c>
      <c r="C214" s="71" t="e">
        <f>'Agents'' Final Roster 0913-0919'!#REF!</f>
        <v>#REF!</v>
      </c>
      <c r="D214" s="71" t="e">
        <f>'Agents'' Final Roster 0913-0919'!#REF!</f>
        <v>#REF!</v>
      </c>
      <c r="E214" s="55"/>
      <c r="F214" s="55"/>
      <c r="G214" s="55"/>
      <c r="H214" s="55"/>
      <c r="I214" s="55"/>
      <c r="J214" s="55"/>
      <c r="K214" s="55"/>
      <c r="L214" s="56"/>
      <c r="M214" s="56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 t="e">
        <f>'Agents'' Final Roster 0913-0919'!#REF!</f>
        <v>#REF!</v>
      </c>
      <c r="AA214" s="53"/>
      <c r="AB214" s="53"/>
      <c r="AC214" s="53"/>
      <c r="AD214" s="53"/>
      <c r="AE214" s="53"/>
      <c r="AF214" s="53"/>
      <c r="AG214" s="53"/>
      <c r="AH214" s="53"/>
      <c r="AI214" s="53"/>
      <c r="AJ214" s="58"/>
      <c r="AK214" s="58"/>
      <c r="AL214" s="59"/>
      <c r="AM214" s="60"/>
      <c r="AN214" s="62"/>
      <c r="AO214" s="66"/>
    </row>
    <row r="215" spans="1:41">
      <c r="A215" s="70" t="e">
        <f>'Agents'' Final Roster 0913-0919'!#REF!</f>
        <v>#REF!</v>
      </c>
      <c r="B215" s="71" t="e">
        <f>'Agents'' Final Roster 0913-0919'!#REF!</f>
        <v>#REF!</v>
      </c>
      <c r="C215" s="71" t="e">
        <f>'Agents'' Final Roster 0913-0919'!#REF!</f>
        <v>#REF!</v>
      </c>
      <c r="D215" s="71" t="e">
        <f>'Agents'' Final Roster 0913-0919'!#REF!</f>
        <v>#REF!</v>
      </c>
      <c r="E215" s="71"/>
      <c r="F215" s="71"/>
      <c r="G215" s="71"/>
      <c r="H215" s="71"/>
      <c r="I215" s="71"/>
      <c r="J215" s="71"/>
      <c r="K215" s="71"/>
      <c r="L215" s="56"/>
      <c r="M215" s="56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 t="e">
        <f>'Agents'' Final Roster 0913-0919'!#REF!</f>
        <v>#REF!</v>
      </c>
      <c r="AA215" s="53"/>
      <c r="AB215" s="53"/>
      <c r="AC215" s="53"/>
      <c r="AD215" s="53"/>
      <c r="AE215" s="53"/>
      <c r="AF215" s="53"/>
      <c r="AG215" s="53"/>
      <c r="AH215" s="53"/>
      <c r="AI215" s="53"/>
      <c r="AJ215" s="58"/>
      <c r="AK215" s="58"/>
      <c r="AL215" s="58"/>
      <c r="AM215" s="60"/>
      <c r="AN215" s="62"/>
      <c r="AO215" s="66"/>
    </row>
    <row r="216" spans="1:41">
      <c r="A216" s="70" t="e">
        <f>'Agents'' Final Roster 0913-0919'!#REF!</f>
        <v>#REF!</v>
      </c>
      <c r="B216" s="71" t="e">
        <f>'Agents'' Final Roster 0913-0919'!#REF!</f>
        <v>#REF!</v>
      </c>
      <c r="C216" s="71" t="e">
        <f>'Agents'' Final Roster 0913-0919'!#REF!</f>
        <v>#REF!</v>
      </c>
      <c r="D216" s="71" t="e">
        <f>'Agents'' Final Roster 0913-0919'!#REF!</f>
        <v>#REF!</v>
      </c>
      <c r="E216" s="53"/>
      <c r="F216" s="53"/>
      <c r="G216" s="53"/>
      <c r="H216" s="53"/>
      <c r="I216" s="53"/>
      <c r="J216" s="53"/>
      <c r="K216" s="53"/>
      <c r="L216" s="56"/>
      <c r="M216" s="56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 t="e">
        <f>'Agents'' Final Roster 0913-0919'!#REF!</f>
        <v>#REF!</v>
      </c>
      <c r="AA216" s="53"/>
      <c r="AB216" s="53"/>
      <c r="AC216" s="53"/>
      <c r="AD216" s="53"/>
      <c r="AE216" s="53"/>
      <c r="AF216" s="53"/>
      <c r="AG216" s="53"/>
      <c r="AH216" s="53"/>
      <c r="AI216" s="53"/>
      <c r="AJ216" s="58"/>
      <c r="AK216" s="58"/>
      <c r="AL216" s="59"/>
      <c r="AM216" s="60"/>
      <c r="AN216" s="62"/>
      <c r="AO216" s="66"/>
    </row>
    <row r="217" spans="1:41">
      <c r="A217" s="70" t="e">
        <f>'Agents'' Final Roster 0913-0919'!#REF!</f>
        <v>#REF!</v>
      </c>
      <c r="B217" s="71" t="e">
        <f>'Agents'' Final Roster 0913-0919'!#REF!</f>
        <v>#REF!</v>
      </c>
      <c r="C217" s="71" t="e">
        <f>'Agents'' Final Roster 0913-0919'!#REF!</f>
        <v>#REF!</v>
      </c>
      <c r="D217" s="71" t="e">
        <f>'Agents'' Final Roster 0913-0919'!#REF!</f>
        <v>#REF!</v>
      </c>
      <c r="E217" s="53"/>
      <c r="F217" s="53"/>
      <c r="G217" s="53"/>
      <c r="H217" s="53"/>
      <c r="I217" s="53"/>
      <c r="J217" s="53"/>
      <c r="K217" s="53"/>
      <c r="L217" s="56"/>
      <c r="M217" s="56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 t="e">
        <f>'Agents'' Final Roster 0913-0919'!#REF!</f>
        <v>#REF!</v>
      </c>
      <c r="AA217" s="53"/>
      <c r="AB217" s="53"/>
      <c r="AC217" s="53"/>
      <c r="AD217" s="53"/>
      <c r="AE217" s="53"/>
      <c r="AF217" s="53"/>
      <c r="AG217" s="53"/>
      <c r="AH217" s="53"/>
      <c r="AI217" s="53"/>
      <c r="AJ217" s="58"/>
      <c r="AK217" s="58"/>
      <c r="AL217" s="59"/>
      <c r="AM217" s="60"/>
      <c r="AN217" s="62"/>
      <c r="AO217" s="66"/>
    </row>
    <row r="218" spans="1:41">
      <c r="A218" s="70" t="e">
        <f>'Agents'' Final Roster 0913-0919'!#REF!</f>
        <v>#REF!</v>
      </c>
      <c r="B218" s="71" t="e">
        <f>'Agents'' Final Roster 0913-0919'!#REF!</f>
        <v>#REF!</v>
      </c>
      <c r="C218" s="71" t="e">
        <f>'Agents'' Final Roster 0913-0919'!#REF!</f>
        <v>#REF!</v>
      </c>
      <c r="D218" s="71" t="e">
        <f>'Agents'' Final Roster 0913-0919'!#REF!</f>
        <v>#REF!</v>
      </c>
      <c r="E218" s="53"/>
      <c r="F218" s="53"/>
      <c r="G218" s="53"/>
      <c r="H218" s="53"/>
      <c r="I218" s="53"/>
      <c r="J218" s="53"/>
      <c r="K218" s="53"/>
      <c r="L218" s="56"/>
      <c r="M218" s="56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 t="e">
        <f>'Agents'' Final Roster 0913-0919'!#REF!</f>
        <v>#REF!</v>
      </c>
      <c r="AA218" s="53"/>
      <c r="AB218" s="53"/>
      <c r="AC218" s="53"/>
      <c r="AD218" s="53"/>
      <c r="AE218" s="53"/>
      <c r="AF218" s="53"/>
      <c r="AG218" s="53"/>
      <c r="AH218" s="53"/>
      <c r="AI218" s="53"/>
      <c r="AJ218" s="58"/>
      <c r="AK218" s="58"/>
      <c r="AL218" s="59"/>
      <c r="AM218" s="60"/>
      <c r="AN218" s="62"/>
      <c r="AO218" s="66"/>
    </row>
    <row r="219" spans="1:41">
      <c r="A219" s="70" t="e">
        <f>'Agents'' Final Roster 0913-0919'!#REF!</f>
        <v>#REF!</v>
      </c>
      <c r="B219" s="71" t="e">
        <f>'Agents'' Final Roster 0913-0919'!#REF!</f>
        <v>#REF!</v>
      </c>
      <c r="C219" s="71" t="e">
        <f>'Agents'' Final Roster 0913-0919'!#REF!</f>
        <v>#REF!</v>
      </c>
      <c r="D219" s="71" t="e">
        <f>'Agents'' Final Roster 0913-0919'!#REF!</f>
        <v>#REF!</v>
      </c>
      <c r="E219" s="71"/>
      <c r="F219" s="71"/>
      <c r="G219" s="71"/>
      <c r="H219" s="71"/>
      <c r="I219" s="71"/>
      <c r="J219" s="71"/>
      <c r="K219" s="71"/>
      <c r="L219" s="56"/>
      <c r="M219" s="56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 t="e">
        <f>'Agents'' Final Roster 0913-0919'!#REF!</f>
        <v>#REF!</v>
      </c>
      <c r="AA219" s="53"/>
      <c r="AB219" s="53"/>
      <c r="AC219" s="53"/>
      <c r="AD219" s="53"/>
      <c r="AE219" s="53"/>
      <c r="AF219" s="53"/>
      <c r="AG219" s="53"/>
      <c r="AH219" s="53"/>
      <c r="AI219" s="53"/>
      <c r="AJ219" s="58"/>
      <c r="AK219" s="58"/>
      <c r="AL219" s="59"/>
      <c r="AM219" s="60"/>
      <c r="AN219" s="62"/>
      <c r="AO219" s="66"/>
    </row>
    <row r="220" spans="1:41">
      <c r="A220" s="70" t="e">
        <f>'Agents'' Final Roster 0913-0919'!#REF!</f>
        <v>#REF!</v>
      </c>
      <c r="B220" s="71" t="e">
        <f>'Agents'' Final Roster 0913-0919'!#REF!</f>
        <v>#REF!</v>
      </c>
      <c r="C220" s="71" t="e">
        <f>'Agents'' Final Roster 0913-0919'!#REF!</f>
        <v>#REF!</v>
      </c>
      <c r="D220" s="71" t="e">
        <f>'Agents'' Final Roster 0913-0919'!#REF!</f>
        <v>#REF!</v>
      </c>
      <c r="E220" s="55"/>
      <c r="F220" s="55"/>
      <c r="G220" s="55"/>
      <c r="H220" s="55"/>
      <c r="I220" s="55"/>
      <c r="J220" s="55"/>
      <c r="K220" s="55"/>
      <c r="L220" s="56"/>
      <c r="M220" s="56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 t="e">
        <f>'Agents'' Final Roster 0913-0919'!#REF!</f>
        <v>#REF!</v>
      </c>
      <c r="AA220" s="53"/>
      <c r="AB220" s="53"/>
      <c r="AC220" s="53"/>
      <c r="AD220" s="53"/>
      <c r="AE220" s="53"/>
      <c r="AF220" s="53"/>
      <c r="AG220" s="53"/>
      <c r="AH220" s="53"/>
      <c r="AI220" s="53"/>
      <c r="AJ220" s="58"/>
      <c r="AK220" s="58"/>
      <c r="AL220" s="59"/>
      <c r="AM220" s="60"/>
      <c r="AN220" s="62"/>
      <c r="AO220" s="66"/>
    </row>
    <row r="221" spans="1:41">
      <c r="A221" s="70" t="e">
        <f>'Agents'' Final Roster 0913-0919'!#REF!</f>
        <v>#REF!</v>
      </c>
      <c r="B221" s="71" t="e">
        <f>'Agents'' Final Roster 0913-0919'!#REF!</f>
        <v>#REF!</v>
      </c>
      <c r="C221" s="71" t="e">
        <f>'Agents'' Final Roster 0913-0919'!#REF!</f>
        <v>#REF!</v>
      </c>
      <c r="D221" s="71" t="e">
        <f>'Agents'' Final Roster 0913-0919'!#REF!</f>
        <v>#REF!</v>
      </c>
      <c r="E221" s="53"/>
      <c r="F221" s="53"/>
      <c r="G221" s="53"/>
      <c r="H221" s="53"/>
      <c r="I221" s="53"/>
      <c r="J221" s="53"/>
      <c r="K221" s="53"/>
      <c r="L221" s="56"/>
      <c r="M221" s="56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 t="e">
        <f>'Agents'' Final Roster 0913-0919'!#REF!</f>
        <v>#REF!</v>
      </c>
      <c r="AA221" s="53"/>
      <c r="AB221" s="53"/>
      <c r="AC221" s="53"/>
      <c r="AD221" s="53"/>
      <c r="AE221" s="53"/>
      <c r="AF221" s="53"/>
      <c r="AG221" s="53"/>
      <c r="AH221" s="53"/>
      <c r="AI221" s="53"/>
      <c r="AJ221" s="58"/>
      <c r="AK221" s="58"/>
      <c r="AL221" s="59"/>
      <c r="AM221" s="60"/>
      <c r="AN221" s="62"/>
      <c r="AO221" s="66"/>
    </row>
    <row r="222" spans="1:41">
      <c r="A222" s="70" t="e">
        <f>'Agents'' Final Roster 0913-0919'!#REF!</f>
        <v>#REF!</v>
      </c>
      <c r="B222" s="71" t="e">
        <f>'Agents'' Final Roster 0913-0919'!#REF!</f>
        <v>#REF!</v>
      </c>
      <c r="C222" s="71" t="e">
        <f>'Agents'' Final Roster 0913-0919'!#REF!</f>
        <v>#REF!</v>
      </c>
      <c r="D222" s="71" t="e">
        <f>'Agents'' Final Roster 0913-0919'!#REF!</f>
        <v>#REF!</v>
      </c>
      <c r="E222" s="71"/>
      <c r="F222" s="71"/>
      <c r="G222" s="71"/>
      <c r="H222" s="71"/>
      <c r="I222" s="71"/>
      <c r="J222" s="71"/>
      <c r="K222" s="71"/>
      <c r="L222" s="56"/>
      <c r="M222" s="56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 t="e">
        <f>'Agents'' Final Roster 0913-0919'!#REF!</f>
        <v>#REF!</v>
      </c>
      <c r="AA222" s="53"/>
      <c r="AB222" s="53"/>
      <c r="AC222" s="53"/>
      <c r="AD222" s="53"/>
      <c r="AE222" s="53"/>
      <c r="AF222" s="53"/>
      <c r="AG222" s="53"/>
      <c r="AH222" s="53"/>
      <c r="AI222" s="53"/>
      <c r="AJ222" s="58"/>
      <c r="AK222" s="58"/>
      <c r="AL222" s="59"/>
      <c r="AM222" s="60"/>
      <c r="AN222" s="62"/>
      <c r="AO222" s="66"/>
    </row>
    <row r="223" spans="1:41">
      <c r="A223" s="70" t="e">
        <f>'Agents'' Final Roster 0913-0919'!#REF!</f>
        <v>#REF!</v>
      </c>
      <c r="B223" s="71" t="e">
        <f>'Agents'' Final Roster 0913-0919'!#REF!</f>
        <v>#REF!</v>
      </c>
      <c r="C223" s="71" t="e">
        <f>'Agents'' Final Roster 0913-0919'!#REF!</f>
        <v>#REF!</v>
      </c>
      <c r="D223" s="71" t="e">
        <f>'Agents'' Final Roster 0913-0919'!#REF!</f>
        <v>#REF!</v>
      </c>
      <c r="E223" s="71"/>
      <c r="F223" s="71"/>
      <c r="G223" s="71"/>
      <c r="H223" s="71"/>
      <c r="I223" s="71"/>
      <c r="J223" s="71"/>
      <c r="K223" s="71"/>
      <c r="L223" s="56"/>
      <c r="M223" s="56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 t="e">
        <f>'Agents'' Final Roster 0913-0919'!#REF!</f>
        <v>#REF!</v>
      </c>
      <c r="AA223" s="53"/>
      <c r="AB223" s="53"/>
      <c r="AC223" s="53"/>
      <c r="AD223" s="53"/>
      <c r="AE223" s="53"/>
      <c r="AF223" s="53"/>
      <c r="AG223" s="53"/>
      <c r="AH223" s="53"/>
      <c r="AI223" s="53"/>
      <c r="AJ223" s="58"/>
      <c r="AK223" s="58"/>
      <c r="AL223" s="59"/>
      <c r="AM223" s="60"/>
      <c r="AN223" s="62"/>
      <c r="AO223" s="66"/>
    </row>
    <row r="224" spans="1:41">
      <c r="A224" s="70" t="e">
        <f>'Agents'' Final Roster 0913-0919'!#REF!</f>
        <v>#REF!</v>
      </c>
      <c r="B224" s="71" t="e">
        <f>'Agents'' Final Roster 0913-0919'!#REF!</f>
        <v>#REF!</v>
      </c>
      <c r="C224" s="71" t="e">
        <f>'Agents'' Final Roster 0913-0919'!#REF!</f>
        <v>#REF!</v>
      </c>
      <c r="D224" s="71" t="e">
        <f>'Agents'' Final Roster 0913-0919'!#REF!</f>
        <v>#REF!</v>
      </c>
      <c r="E224" s="53"/>
      <c r="F224" s="53"/>
      <c r="G224" s="53"/>
      <c r="H224" s="53"/>
      <c r="I224" s="53"/>
      <c r="J224" s="53"/>
      <c r="K224" s="53"/>
      <c r="L224" s="56"/>
      <c r="M224" s="56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 t="e">
        <f>'Agents'' Final Roster 0913-0919'!#REF!</f>
        <v>#REF!</v>
      </c>
      <c r="AA224" s="53"/>
      <c r="AB224" s="53"/>
      <c r="AC224" s="53"/>
      <c r="AD224" s="53"/>
      <c r="AE224" s="53"/>
      <c r="AF224" s="53"/>
      <c r="AG224" s="53"/>
      <c r="AH224" s="53"/>
      <c r="AI224" s="53"/>
      <c r="AJ224" s="58"/>
      <c r="AK224" s="58"/>
      <c r="AL224" s="59"/>
      <c r="AM224" s="60"/>
      <c r="AN224" s="62"/>
      <c r="AO224" s="66"/>
    </row>
    <row r="225" spans="1:41">
      <c r="A225" s="70" t="e">
        <f>'Agents'' Final Roster 0913-0919'!#REF!</f>
        <v>#REF!</v>
      </c>
      <c r="B225" s="71" t="e">
        <f>'Agents'' Final Roster 0913-0919'!#REF!</f>
        <v>#REF!</v>
      </c>
      <c r="C225" s="71" t="e">
        <f>'Agents'' Final Roster 0913-0919'!#REF!</f>
        <v>#REF!</v>
      </c>
      <c r="D225" s="71" t="e">
        <f>'Agents'' Final Roster 0913-0919'!#REF!</f>
        <v>#REF!</v>
      </c>
      <c r="E225" s="71"/>
      <c r="F225" s="71"/>
      <c r="G225" s="71"/>
      <c r="H225" s="71"/>
      <c r="I225" s="71"/>
      <c r="J225" s="71"/>
      <c r="K225" s="71"/>
      <c r="L225" s="56"/>
      <c r="M225" s="56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 t="e">
        <f>'Agents'' Final Roster 0913-0919'!#REF!</f>
        <v>#REF!</v>
      </c>
      <c r="AA225" s="53"/>
      <c r="AB225" s="53"/>
      <c r="AC225" s="53"/>
      <c r="AD225" s="53"/>
      <c r="AE225" s="53"/>
      <c r="AF225" s="53"/>
      <c r="AG225" s="53"/>
      <c r="AH225" s="53"/>
      <c r="AI225" s="53"/>
      <c r="AJ225" s="58"/>
      <c r="AK225" s="58"/>
      <c r="AL225" s="59"/>
      <c r="AM225" s="60"/>
      <c r="AN225" s="62"/>
      <c r="AO225" s="66"/>
    </row>
    <row r="226" spans="1:41">
      <c r="A226" s="70" t="e">
        <f>'Agents'' Final Roster 0913-0919'!#REF!</f>
        <v>#REF!</v>
      </c>
      <c r="B226" s="71" t="e">
        <f>'Agents'' Final Roster 0913-0919'!#REF!</f>
        <v>#REF!</v>
      </c>
      <c r="C226" s="71" t="e">
        <f>'Agents'' Final Roster 0913-0919'!#REF!</f>
        <v>#REF!</v>
      </c>
      <c r="D226" s="71" t="e">
        <f>'Agents'' Final Roster 0913-0919'!#REF!</f>
        <v>#REF!</v>
      </c>
      <c r="E226" s="71"/>
      <c r="F226" s="71"/>
      <c r="G226" s="71"/>
      <c r="H226" s="71"/>
      <c r="I226" s="71"/>
      <c r="J226" s="71"/>
      <c r="K226" s="71"/>
      <c r="L226" s="56"/>
      <c r="M226" s="56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 t="e">
        <f>'Agents'' Final Roster 0913-0919'!#REF!</f>
        <v>#REF!</v>
      </c>
      <c r="AA226" s="53"/>
      <c r="AB226" s="53"/>
      <c r="AC226" s="53"/>
      <c r="AD226" s="53"/>
      <c r="AE226" s="53"/>
      <c r="AF226" s="53"/>
      <c r="AG226" s="53"/>
      <c r="AH226" s="53"/>
      <c r="AI226" s="53"/>
      <c r="AJ226" s="58"/>
      <c r="AK226" s="58"/>
      <c r="AL226" s="59"/>
      <c r="AM226" s="60"/>
      <c r="AN226" s="62"/>
      <c r="AO226" s="66"/>
    </row>
    <row r="227" spans="1:41">
      <c r="A227" s="70" t="e">
        <f>'Agents'' Final Roster 0913-0919'!#REF!</f>
        <v>#REF!</v>
      </c>
      <c r="B227" s="71" t="e">
        <f>'Agents'' Final Roster 0913-0919'!#REF!</f>
        <v>#REF!</v>
      </c>
      <c r="C227" s="71" t="e">
        <f>'Agents'' Final Roster 0913-0919'!#REF!</f>
        <v>#REF!</v>
      </c>
      <c r="D227" s="71" t="e">
        <f>'Agents'' Final Roster 0913-0919'!#REF!</f>
        <v>#REF!</v>
      </c>
      <c r="E227" s="71"/>
      <c r="F227" s="71"/>
      <c r="G227" s="71"/>
      <c r="H227" s="71"/>
      <c r="I227" s="71"/>
      <c r="J227" s="71"/>
      <c r="K227" s="71"/>
      <c r="L227" s="56"/>
      <c r="M227" s="56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 t="e">
        <f>'Agents'' Final Roster 0913-0919'!#REF!</f>
        <v>#REF!</v>
      </c>
      <c r="AA227" s="53"/>
      <c r="AB227" s="53"/>
      <c r="AC227" s="53"/>
      <c r="AD227" s="53"/>
      <c r="AE227" s="53"/>
      <c r="AF227" s="53"/>
      <c r="AG227" s="53"/>
      <c r="AH227" s="53"/>
      <c r="AI227" s="53"/>
      <c r="AJ227" s="58"/>
      <c r="AK227" s="58"/>
      <c r="AL227" s="59"/>
      <c r="AM227" s="60"/>
      <c r="AN227" s="62"/>
      <c r="AO227" s="66"/>
    </row>
    <row r="228" spans="1:41">
      <c r="A228" s="70" t="e">
        <f>'Agents'' Final Roster 0913-0919'!#REF!</f>
        <v>#REF!</v>
      </c>
      <c r="B228" s="71" t="e">
        <f>'Agents'' Final Roster 0913-0919'!#REF!</f>
        <v>#REF!</v>
      </c>
      <c r="C228" s="71" t="e">
        <f>'Agents'' Final Roster 0913-0919'!#REF!</f>
        <v>#REF!</v>
      </c>
      <c r="D228" s="71" t="e">
        <f>'Agents'' Final Roster 0913-0919'!#REF!</f>
        <v>#REF!</v>
      </c>
      <c r="E228" s="71"/>
      <c r="F228" s="71"/>
      <c r="G228" s="71"/>
      <c r="H228" s="71"/>
      <c r="I228" s="71"/>
      <c r="J228" s="71"/>
      <c r="K228" s="71"/>
      <c r="L228" s="56"/>
      <c r="M228" s="56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 t="e">
        <f>'Agents'' Final Roster 0913-0919'!#REF!</f>
        <v>#REF!</v>
      </c>
      <c r="AA228" s="53"/>
      <c r="AB228" s="53"/>
      <c r="AC228" s="53"/>
      <c r="AD228" s="53"/>
      <c r="AE228" s="53"/>
      <c r="AF228" s="53"/>
      <c r="AG228" s="53"/>
      <c r="AH228" s="53"/>
      <c r="AI228" s="53"/>
      <c r="AJ228" s="58"/>
      <c r="AK228" s="58"/>
      <c r="AL228" s="59"/>
      <c r="AM228" s="60"/>
      <c r="AN228" s="62"/>
      <c r="AO228" s="66"/>
    </row>
    <row r="229" spans="1:41">
      <c r="A229" s="70" t="e">
        <f>'Agents'' Final Roster 0913-0919'!#REF!</f>
        <v>#REF!</v>
      </c>
      <c r="B229" s="71" t="e">
        <f>'Agents'' Final Roster 0913-0919'!#REF!</f>
        <v>#REF!</v>
      </c>
      <c r="C229" s="71" t="e">
        <f>'Agents'' Final Roster 0913-0919'!#REF!</f>
        <v>#REF!</v>
      </c>
      <c r="D229" s="71" t="e">
        <f>'Agents'' Final Roster 0913-0919'!#REF!</f>
        <v>#REF!</v>
      </c>
      <c r="E229" s="71"/>
      <c r="F229" s="71"/>
      <c r="G229" s="71"/>
      <c r="H229" s="71"/>
      <c r="I229" s="71"/>
      <c r="J229" s="71"/>
      <c r="K229" s="71"/>
      <c r="L229" s="56"/>
      <c r="M229" s="56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 t="e">
        <f>'Agents'' Final Roster 0913-0919'!#REF!</f>
        <v>#REF!</v>
      </c>
      <c r="AA229" s="53"/>
      <c r="AB229" s="53"/>
      <c r="AC229" s="53"/>
      <c r="AD229" s="53"/>
      <c r="AE229" s="53"/>
      <c r="AF229" s="53"/>
      <c r="AG229" s="53"/>
      <c r="AH229" s="53"/>
      <c r="AI229" s="53"/>
      <c r="AJ229" s="58"/>
      <c r="AK229" s="58"/>
      <c r="AL229" s="59"/>
      <c r="AM229" s="60"/>
      <c r="AN229" s="62"/>
      <c r="AO229" s="66"/>
    </row>
    <row r="230" spans="1:41">
      <c r="A230" s="70" t="e">
        <f>'Agents'' Final Roster 0913-0919'!#REF!</f>
        <v>#REF!</v>
      </c>
      <c r="B230" s="71" t="e">
        <f>'Agents'' Final Roster 0913-0919'!#REF!</f>
        <v>#REF!</v>
      </c>
      <c r="C230" s="71" t="e">
        <f>'Agents'' Final Roster 0913-0919'!#REF!</f>
        <v>#REF!</v>
      </c>
      <c r="D230" s="71" t="e">
        <f>'Agents'' Final Roster 0913-0919'!#REF!</f>
        <v>#REF!</v>
      </c>
      <c r="E230" s="71"/>
      <c r="F230" s="71"/>
      <c r="G230" s="71"/>
      <c r="H230" s="71"/>
      <c r="I230" s="71"/>
      <c r="J230" s="71"/>
      <c r="K230" s="71"/>
      <c r="L230" s="56"/>
      <c r="M230" s="56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 t="e">
        <f>'Agents'' Final Roster 0913-0919'!#REF!</f>
        <v>#REF!</v>
      </c>
      <c r="AA230" s="53"/>
      <c r="AB230" s="53"/>
      <c r="AC230" s="53"/>
      <c r="AD230" s="53"/>
      <c r="AE230" s="53"/>
      <c r="AF230" s="53"/>
      <c r="AG230" s="53"/>
      <c r="AH230" s="53"/>
      <c r="AI230" s="53"/>
      <c r="AJ230" s="58"/>
      <c r="AK230" s="58"/>
      <c r="AL230" s="59"/>
      <c r="AM230" s="60"/>
      <c r="AN230" s="62"/>
      <c r="AO230" s="66"/>
    </row>
    <row r="231" spans="1:41">
      <c r="A231" s="70" t="e">
        <f>'Agents'' Final Roster 0913-0919'!#REF!</f>
        <v>#REF!</v>
      </c>
      <c r="B231" s="71" t="e">
        <f>'Agents'' Final Roster 0913-0919'!#REF!</f>
        <v>#REF!</v>
      </c>
      <c r="C231" s="71" t="e">
        <f>'Agents'' Final Roster 0913-0919'!#REF!</f>
        <v>#REF!</v>
      </c>
      <c r="D231" s="71" t="e">
        <f>'Agents'' Final Roster 0913-0919'!#REF!</f>
        <v>#REF!</v>
      </c>
      <c r="E231" s="71"/>
      <c r="F231" s="71"/>
      <c r="G231" s="71"/>
      <c r="H231" s="71"/>
      <c r="I231" s="71"/>
      <c r="J231" s="71"/>
      <c r="K231" s="71"/>
      <c r="L231" s="56"/>
      <c r="M231" s="56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 t="e">
        <f>'Agents'' Final Roster 0913-0919'!#REF!</f>
        <v>#REF!</v>
      </c>
      <c r="AA231" s="53"/>
      <c r="AB231" s="53"/>
      <c r="AC231" s="53"/>
      <c r="AD231" s="53"/>
      <c r="AE231" s="53"/>
      <c r="AF231" s="53"/>
      <c r="AG231" s="53"/>
      <c r="AH231" s="53"/>
      <c r="AI231" s="53"/>
      <c r="AJ231" s="58"/>
      <c r="AK231" s="58"/>
      <c r="AL231" s="59"/>
      <c r="AM231" s="60"/>
      <c r="AN231" s="62"/>
      <c r="AO231" s="66"/>
    </row>
    <row r="232" spans="1:41">
      <c r="A232" s="70" t="e">
        <f>'Agents'' Final Roster 0913-0919'!#REF!</f>
        <v>#REF!</v>
      </c>
      <c r="B232" s="71" t="e">
        <f>'Agents'' Final Roster 0913-0919'!#REF!</f>
        <v>#REF!</v>
      </c>
      <c r="C232" s="71" t="e">
        <f>'Agents'' Final Roster 0913-0919'!#REF!</f>
        <v>#REF!</v>
      </c>
      <c r="D232" s="71" t="e">
        <f>'Agents'' Final Roster 0913-0919'!#REF!</f>
        <v>#REF!</v>
      </c>
      <c r="E232" s="71"/>
      <c r="F232" s="71"/>
      <c r="G232" s="71"/>
      <c r="H232" s="71"/>
      <c r="I232" s="71"/>
      <c r="J232" s="71"/>
      <c r="K232" s="71"/>
      <c r="L232" s="56"/>
      <c r="M232" s="56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 t="e">
        <f>'Agents'' Final Roster 0913-0919'!#REF!</f>
        <v>#REF!</v>
      </c>
      <c r="AA232" s="53"/>
      <c r="AB232" s="53"/>
      <c r="AC232" s="53"/>
      <c r="AD232" s="53"/>
      <c r="AE232" s="53"/>
      <c r="AF232" s="53"/>
      <c r="AG232" s="53"/>
      <c r="AH232" s="53"/>
      <c r="AI232" s="53"/>
      <c r="AJ232" s="58"/>
      <c r="AK232" s="58"/>
      <c r="AL232" s="59"/>
      <c r="AM232" s="60"/>
      <c r="AN232" s="62"/>
      <c r="AO232" s="66"/>
    </row>
    <row r="233" spans="1:41">
      <c r="A233" s="70" t="e">
        <f>'Agents'' Final Roster 0913-0919'!#REF!</f>
        <v>#REF!</v>
      </c>
      <c r="B233" s="71" t="e">
        <f>'Agents'' Final Roster 0913-0919'!#REF!</f>
        <v>#REF!</v>
      </c>
      <c r="C233" s="71" t="e">
        <f>'Agents'' Final Roster 0913-0919'!#REF!</f>
        <v>#REF!</v>
      </c>
      <c r="D233" s="71" t="e">
        <f>'Agents'' Final Roster 0913-0919'!#REF!</f>
        <v>#REF!</v>
      </c>
      <c r="E233" s="71"/>
      <c r="F233" s="71"/>
      <c r="G233" s="71"/>
      <c r="H233" s="71"/>
      <c r="I233" s="71"/>
      <c r="J233" s="71"/>
      <c r="K233" s="71"/>
      <c r="L233" s="56"/>
      <c r="M233" s="56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 t="e">
        <f>'Agents'' Final Roster 0913-0919'!#REF!</f>
        <v>#REF!</v>
      </c>
      <c r="AA233" s="53"/>
      <c r="AB233" s="53"/>
      <c r="AC233" s="53"/>
      <c r="AD233" s="53"/>
      <c r="AE233" s="53"/>
      <c r="AF233" s="53"/>
      <c r="AG233" s="53"/>
      <c r="AH233" s="53"/>
      <c r="AI233" s="53"/>
      <c r="AJ233" s="58"/>
      <c r="AK233" s="58"/>
      <c r="AL233" s="59"/>
      <c r="AM233" s="60"/>
      <c r="AN233" s="62"/>
      <c r="AO233" s="66"/>
    </row>
    <row r="234" spans="1:41">
      <c r="A234" s="70" t="e">
        <f>'Agents'' Final Roster 0913-0919'!#REF!</f>
        <v>#REF!</v>
      </c>
      <c r="B234" s="71" t="e">
        <f>'Agents'' Final Roster 0913-0919'!#REF!</f>
        <v>#REF!</v>
      </c>
      <c r="C234" s="71" t="e">
        <f>'Agents'' Final Roster 0913-0919'!#REF!</f>
        <v>#REF!</v>
      </c>
      <c r="D234" s="71" t="e">
        <f>'Agents'' Final Roster 0913-0919'!#REF!</f>
        <v>#REF!</v>
      </c>
      <c r="E234" s="69"/>
      <c r="F234" s="69"/>
      <c r="G234" s="69"/>
      <c r="H234" s="69"/>
      <c r="I234" s="69"/>
      <c r="J234" s="69"/>
      <c r="K234" s="69"/>
      <c r="L234" s="56"/>
      <c r="M234" s="56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 t="e">
        <f>'Agents'' Final Roster 0913-0919'!#REF!</f>
        <v>#REF!</v>
      </c>
      <c r="AA234" s="53"/>
      <c r="AB234" s="53"/>
      <c r="AC234" s="53"/>
      <c r="AD234" s="53"/>
      <c r="AE234" s="53"/>
      <c r="AF234" s="53"/>
      <c r="AG234" s="53"/>
      <c r="AH234" s="53"/>
      <c r="AI234" s="53"/>
      <c r="AJ234" s="58"/>
      <c r="AK234" s="58"/>
      <c r="AL234" s="59"/>
      <c r="AM234" s="60"/>
      <c r="AN234" s="62"/>
      <c r="AO234" s="66"/>
    </row>
    <row r="235" spans="1:41">
      <c r="A235" s="70" t="e">
        <f>'Agents'' Final Roster 0913-0919'!#REF!</f>
        <v>#REF!</v>
      </c>
      <c r="B235" s="71" t="e">
        <f>'Agents'' Final Roster 0913-0919'!#REF!</f>
        <v>#REF!</v>
      </c>
      <c r="C235" s="71" t="e">
        <f>'Agents'' Final Roster 0913-0919'!#REF!</f>
        <v>#REF!</v>
      </c>
      <c r="D235" s="71" t="e">
        <f>'Agents'' Final Roster 0913-0919'!#REF!</f>
        <v>#REF!</v>
      </c>
      <c r="E235" s="71"/>
      <c r="F235" s="71"/>
      <c r="G235" s="71"/>
      <c r="H235" s="71"/>
      <c r="I235" s="71"/>
      <c r="J235" s="71"/>
      <c r="K235" s="71"/>
      <c r="L235" s="56"/>
      <c r="M235" s="56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 t="e">
        <f>'Agents'' Final Roster 0913-0919'!#REF!</f>
        <v>#REF!</v>
      </c>
      <c r="AA235" s="53"/>
      <c r="AB235" s="53"/>
      <c r="AC235" s="53"/>
      <c r="AD235" s="53"/>
      <c r="AE235" s="53"/>
      <c r="AF235" s="53"/>
      <c r="AG235" s="53"/>
      <c r="AH235" s="53"/>
      <c r="AI235" s="53"/>
      <c r="AJ235" s="58"/>
      <c r="AK235" s="58"/>
      <c r="AL235" s="59"/>
      <c r="AM235" s="60"/>
      <c r="AN235" s="62"/>
      <c r="AO235" s="66"/>
    </row>
    <row r="236" spans="1:41">
      <c r="A236" s="70" t="e">
        <f>'Agents'' Final Roster 0913-0919'!#REF!</f>
        <v>#REF!</v>
      </c>
      <c r="B236" s="71" t="e">
        <f>'Agents'' Final Roster 0913-0919'!#REF!</f>
        <v>#REF!</v>
      </c>
      <c r="C236" s="71" t="e">
        <f>'Agents'' Final Roster 0913-0919'!#REF!</f>
        <v>#REF!</v>
      </c>
      <c r="D236" s="71" t="e">
        <f>'Agents'' Final Roster 0913-0919'!#REF!</f>
        <v>#REF!</v>
      </c>
      <c r="E236" s="71"/>
      <c r="F236" s="71"/>
      <c r="G236" s="71"/>
      <c r="H236" s="71"/>
      <c r="I236" s="71"/>
      <c r="J236" s="71"/>
      <c r="K236" s="71"/>
      <c r="L236" s="56"/>
      <c r="M236" s="56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 t="e">
        <f>'Agents'' Final Roster 0913-0919'!#REF!</f>
        <v>#REF!</v>
      </c>
      <c r="AA236" s="53"/>
      <c r="AB236" s="53"/>
      <c r="AC236" s="53"/>
      <c r="AD236" s="53"/>
      <c r="AE236" s="53"/>
      <c r="AF236" s="53"/>
      <c r="AG236" s="53"/>
      <c r="AH236" s="53"/>
      <c r="AI236" s="53"/>
      <c r="AJ236" s="58"/>
      <c r="AK236" s="58"/>
      <c r="AL236" s="59"/>
      <c r="AM236" s="60"/>
      <c r="AN236" s="62"/>
      <c r="AO236" s="66"/>
    </row>
    <row r="237" spans="1:41">
      <c r="A237" s="70" t="e">
        <f>'Agents'' Final Roster 0913-0919'!#REF!</f>
        <v>#REF!</v>
      </c>
      <c r="B237" s="71" t="e">
        <f>'Agents'' Final Roster 0913-0919'!#REF!</f>
        <v>#REF!</v>
      </c>
      <c r="C237" s="71" t="e">
        <f>'Agents'' Final Roster 0913-0919'!#REF!</f>
        <v>#REF!</v>
      </c>
      <c r="D237" s="71" t="e">
        <f>'Agents'' Final Roster 0913-0919'!#REF!</f>
        <v>#REF!</v>
      </c>
      <c r="E237" s="71"/>
      <c r="F237" s="71"/>
      <c r="G237" s="71"/>
      <c r="H237" s="71"/>
      <c r="I237" s="71"/>
      <c r="J237" s="71"/>
      <c r="K237" s="71"/>
      <c r="L237" s="56"/>
      <c r="M237" s="56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 t="e">
        <f>'Agents'' Final Roster 0913-0919'!#REF!</f>
        <v>#REF!</v>
      </c>
      <c r="AA237" s="53"/>
      <c r="AB237" s="53"/>
      <c r="AC237" s="53"/>
      <c r="AD237" s="53"/>
      <c r="AE237" s="53"/>
      <c r="AF237" s="53"/>
      <c r="AG237" s="53"/>
      <c r="AH237" s="53"/>
      <c r="AI237" s="53"/>
      <c r="AJ237" s="58"/>
      <c r="AK237" s="58"/>
      <c r="AL237" s="59"/>
      <c r="AM237" s="60"/>
      <c r="AN237" s="62"/>
      <c r="AO237" s="66"/>
    </row>
    <row r="238" spans="1:41">
      <c r="A238" s="70" t="e">
        <f>'Agents'' Final Roster 0913-0919'!#REF!</f>
        <v>#REF!</v>
      </c>
      <c r="B238" s="71" t="e">
        <f>'Agents'' Final Roster 0913-0919'!#REF!</f>
        <v>#REF!</v>
      </c>
      <c r="C238" s="71" t="e">
        <f>'Agents'' Final Roster 0913-0919'!#REF!</f>
        <v>#REF!</v>
      </c>
      <c r="D238" s="71" t="e">
        <f>'Agents'' Final Roster 0913-0919'!#REF!</f>
        <v>#REF!</v>
      </c>
      <c r="E238" s="71"/>
      <c r="F238" s="71"/>
      <c r="G238" s="71"/>
      <c r="H238" s="71"/>
      <c r="I238" s="71"/>
      <c r="J238" s="71"/>
      <c r="K238" s="71"/>
      <c r="L238" s="56"/>
      <c r="M238" s="56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 t="e">
        <f>'Agents'' Final Roster 0913-0919'!#REF!</f>
        <v>#REF!</v>
      </c>
      <c r="AA238" s="53"/>
      <c r="AB238" s="53"/>
      <c r="AC238" s="53"/>
      <c r="AD238" s="53"/>
      <c r="AE238" s="53"/>
      <c r="AF238" s="53"/>
      <c r="AG238" s="53"/>
      <c r="AH238" s="53"/>
      <c r="AI238" s="53"/>
      <c r="AJ238" s="58"/>
      <c r="AK238" s="58"/>
      <c r="AL238" s="59"/>
      <c r="AM238" s="60"/>
      <c r="AN238" s="62"/>
      <c r="AO238" s="66"/>
    </row>
    <row r="239" spans="1:41">
      <c r="A239" s="70" t="e">
        <f>'Agents'' Final Roster 0913-0919'!#REF!</f>
        <v>#REF!</v>
      </c>
      <c r="B239" s="71" t="e">
        <f>'Agents'' Final Roster 0913-0919'!#REF!</f>
        <v>#REF!</v>
      </c>
      <c r="C239" s="71" t="e">
        <f>'Agents'' Final Roster 0913-0919'!#REF!</f>
        <v>#REF!</v>
      </c>
      <c r="D239" s="71" t="e">
        <f>'Agents'' Final Roster 0913-0919'!#REF!</f>
        <v>#REF!</v>
      </c>
      <c r="E239" s="71"/>
      <c r="F239" s="71"/>
      <c r="G239" s="71"/>
      <c r="H239" s="71"/>
      <c r="I239" s="71"/>
      <c r="J239" s="71"/>
      <c r="K239" s="71"/>
      <c r="L239" s="56"/>
      <c r="M239" s="56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 t="e">
        <f>'Agents'' Final Roster 0913-0919'!#REF!</f>
        <v>#REF!</v>
      </c>
      <c r="AA239" s="53"/>
      <c r="AB239" s="53"/>
      <c r="AC239" s="53"/>
      <c r="AD239" s="53"/>
      <c r="AE239" s="53"/>
      <c r="AF239" s="53"/>
      <c r="AG239" s="53"/>
      <c r="AH239" s="53"/>
      <c r="AI239" s="53"/>
      <c r="AJ239" s="58"/>
      <c r="AK239" s="58"/>
      <c r="AL239" s="59"/>
      <c r="AM239" s="60"/>
      <c r="AN239" s="62"/>
      <c r="AO239" s="66"/>
    </row>
    <row r="240" spans="1:41">
      <c r="A240" s="70" t="str">
        <f>'Agents'' Final Roster 0913-0919'!A185</f>
        <v>Ortiz Jose María</v>
      </c>
      <c r="B240" s="71" t="str">
        <f>'Agents'' Final Roster 0913-0919'!B185</f>
        <v>Esquivel Pavan Pamela Sol</v>
      </c>
      <c r="C240" s="71" t="str">
        <f>'Agents'' Final Roster 0913-0919'!C185</f>
        <v>Guevara</v>
      </c>
      <c r="D240" s="71" t="str">
        <f>'Agents'' Final Roster 0913-0919'!D185</f>
        <v>Carlos Augusto</v>
      </c>
      <c r="E240" s="71"/>
      <c r="F240" s="71"/>
      <c r="G240" s="71"/>
      <c r="H240" s="71"/>
      <c r="I240" s="71"/>
      <c r="J240" s="71"/>
      <c r="K240" s="71"/>
      <c r="L240" s="56"/>
      <c r="M240" s="56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 t="str">
        <f>'Agents'' Final Roster 0913-0919'!J185</f>
        <v>CSV2</v>
      </c>
      <c r="AA240" s="53"/>
      <c r="AB240" s="53"/>
      <c r="AC240" s="53"/>
      <c r="AD240" s="53"/>
      <c r="AE240" s="53"/>
      <c r="AF240" s="53"/>
      <c r="AG240" s="53"/>
      <c r="AH240" s="53"/>
      <c r="AI240" s="53"/>
      <c r="AJ240" s="58"/>
      <c r="AK240" s="58"/>
      <c r="AL240" s="59"/>
      <c r="AM240" s="60"/>
      <c r="AN240" s="62"/>
      <c r="AO240" s="66"/>
    </row>
    <row r="241" spans="1:41">
      <c r="A241" s="70" t="str">
        <f>'Agents'' Final Roster 0913-0919'!A186</f>
        <v>Ortiz Jose María</v>
      </c>
      <c r="B241" s="71" t="str">
        <f>'Agents'' Final Roster 0913-0919'!B186</f>
        <v>Esquivel Pavan Pamela Sol</v>
      </c>
      <c r="C241" s="71" t="str">
        <f>'Agents'' Final Roster 0913-0919'!C186</f>
        <v>Jerez</v>
      </c>
      <c r="D241" s="71" t="str">
        <f>'Agents'' Final Roster 0913-0919'!D186</f>
        <v>Rodrigo Facundo </v>
      </c>
      <c r="E241" s="71"/>
      <c r="F241" s="71"/>
      <c r="G241" s="71"/>
      <c r="H241" s="71"/>
      <c r="I241" s="71"/>
      <c r="J241" s="71"/>
      <c r="K241" s="71"/>
      <c r="L241" s="56"/>
      <c r="M241" s="56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 t="str">
        <f>'Agents'' Final Roster 0913-0919'!J186</f>
        <v>CSV1</v>
      </c>
      <c r="AA241" s="53"/>
      <c r="AB241" s="53"/>
      <c r="AC241" s="53"/>
      <c r="AD241" s="53"/>
      <c r="AE241" s="53"/>
      <c r="AF241" s="53"/>
      <c r="AG241" s="53"/>
      <c r="AH241" s="53"/>
      <c r="AI241" s="53"/>
      <c r="AJ241" s="58"/>
      <c r="AK241" s="58"/>
      <c r="AL241" s="59"/>
      <c r="AM241" s="60"/>
      <c r="AN241" s="62"/>
      <c r="AO241" s="66"/>
    </row>
    <row r="242" spans="1:41">
      <c r="A242" s="72" t="str">
        <f>'Agents'' Final Roster 0913-0919'!A187</f>
        <v>Ortiz Jose María</v>
      </c>
      <c r="B242" s="71" t="str">
        <f>'Agents'' Final Roster 0913-0919'!B187</f>
        <v>Esquivel Pavan Pamela Sol</v>
      </c>
      <c r="C242" s="73" t="str">
        <f>'Agents'' Final Roster 0913-0919'!C187</f>
        <v>Lazarte</v>
      </c>
      <c r="D242" s="73" t="str">
        <f>'Agents'' Final Roster 0913-0919'!D187</f>
        <v>Carlos Enrique</v>
      </c>
      <c r="E242" s="73"/>
      <c r="F242" s="73"/>
      <c r="G242" s="73"/>
      <c r="H242" s="73"/>
      <c r="I242" s="73"/>
      <c r="J242" s="73"/>
      <c r="K242" s="73"/>
      <c r="L242" s="74"/>
      <c r="M242" s="74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 t="str">
        <f>'Agents'' Final Roster 0913-0919'!J187</f>
        <v>DVH</v>
      </c>
      <c r="AA242" s="75"/>
      <c r="AB242" s="75"/>
      <c r="AC242" s="75"/>
      <c r="AD242" s="75"/>
      <c r="AE242" s="75"/>
      <c r="AF242" s="75"/>
      <c r="AG242" s="75"/>
      <c r="AH242" s="75"/>
      <c r="AI242" s="75"/>
      <c r="AJ242" s="76"/>
      <c r="AK242" s="76"/>
      <c r="AL242" s="77"/>
      <c r="AM242" s="78"/>
      <c r="AN242" s="79"/>
      <c r="AO242" s="80"/>
    </row>
    <row r="243" spans="1:41">
      <c r="A243" s="70" t="str">
        <f>'Agents'' Final Roster 0913-0919'!A188</f>
        <v>Ortiz Jose María</v>
      </c>
      <c r="B243" s="71" t="str">
        <f>'Agents'' Final Roster 0913-0919'!B188</f>
        <v>Esquivel Pavan Pamela Sol</v>
      </c>
      <c r="C243" s="71" t="str">
        <f>'Agents'' Final Roster 0913-0919'!C188</f>
        <v>Lopez</v>
      </c>
      <c r="D243" s="71" t="str">
        <f>'Agents'' Final Roster 0913-0919'!D188</f>
        <v>Franco Daniel</v>
      </c>
      <c r="E243" s="71"/>
      <c r="F243" s="71"/>
      <c r="G243" s="71"/>
      <c r="H243" s="71"/>
      <c r="I243" s="71"/>
      <c r="J243" s="71"/>
      <c r="K243" s="71"/>
      <c r="L243" s="56"/>
      <c r="M243" s="56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 t="str">
        <f>'Agents'' Final Roster 0913-0919'!J188</f>
        <v>Servicios web</v>
      </c>
      <c r="AA243" s="53"/>
      <c r="AB243" s="53"/>
      <c r="AC243" s="53"/>
      <c r="AD243" s="53"/>
      <c r="AE243" s="53"/>
      <c r="AF243" s="53"/>
      <c r="AG243" s="53"/>
      <c r="AH243" s="53"/>
      <c r="AI243" s="53"/>
      <c r="AJ243" s="58"/>
      <c r="AK243" s="58"/>
      <c r="AL243" s="59"/>
      <c r="AM243" s="60"/>
      <c r="AN243" s="62"/>
      <c r="AO243" s="66"/>
    </row>
    <row r="244" spans="1:41">
      <c r="A244" s="70" t="str">
        <f>'Agents'' Final Roster 0913-0919'!A189</f>
        <v>Ortiz Jose María</v>
      </c>
      <c r="B244" s="71" t="str">
        <f>'Agents'' Final Roster 0913-0919'!B189</f>
        <v>Esquivel Pavan Pamela Sol</v>
      </c>
      <c r="C244" s="71" t="str">
        <f>'Agents'' Final Roster 0913-0919'!C189</f>
        <v>Mendez</v>
      </c>
      <c r="D244" s="71" t="str">
        <f>'Agents'' Final Roster 0913-0919'!D189</f>
        <v>Maria Laura</v>
      </c>
      <c r="E244" s="55"/>
      <c r="F244" s="55"/>
      <c r="G244" s="55"/>
      <c r="H244" s="55"/>
      <c r="I244" s="55"/>
      <c r="J244" s="55"/>
      <c r="K244" s="55"/>
      <c r="L244" s="56"/>
      <c r="M244" s="56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 t="str">
        <f>'Agents'' Final Roster 0913-0919'!J189</f>
        <v>CSV1</v>
      </c>
      <c r="AA244" s="53"/>
      <c r="AB244" s="53"/>
      <c r="AC244" s="53"/>
      <c r="AD244" s="53"/>
      <c r="AE244" s="53"/>
      <c r="AF244" s="53"/>
      <c r="AG244" s="53"/>
      <c r="AH244" s="53"/>
      <c r="AI244" s="53"/>
      <c r="AJ244" s="58"/>
      <c r="AK244" s="58"/>
      <c r="AL244" s="59"/>
      <c r="AM244" s="60"/>
      <c r="AN244" s="62"/>
      <c r="AO244" s="66"/>
    </row>
    <row r="245" spans="1:41">
      <c r="A245" s="70" t="str">
        <f>'Agents'' Final Roster 0913-0919'!A190</f>
        <v>Ortiz Jose María</v>
      </c>
      <c r="B245" s="71" t="str">
        <f>'Agents'' Final Roster 0913-0919'!B190</f>
        <v>Esquivel Pavan Pamela Sol</v>
      </c>
      <c r="C245" s="71" t="str">
        <f>'Agents'' Final Roster 0913-0919'!C190</f>
        <v>Moreno</v>
      </c>
      <c r="D245" s="71" t="str">
        <f>'Agents'' Final Roster 0913-0919'!D190</f>
        <v>Fatima Rocio Belen</v>
      </c>
      <c r="E245" s="71"/>
      <c r="F245" s="71"/>
      <c r="G245" s="71"/>
      <c r="H245" s="71"/>
      <c r="I245" s="71"/>
      <c r="J245" s="71"/>
      <c r="K245" s="71"/>
      <c r="L245" s="56"/>
      <c r="M245" s="56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 t="str">
        <f>'Agents'' Final Roster 0913-0919'!J190</f>
        <v>CSV1</v>
      </c>
      <c r="AA245" s="53"/>
      <c r="AB245" s="53"/>
      <c r="AC245" s="53"/>
      <c r="AD245" s="53"/>
      <c r="AE245" s="53"/>
      <c r="AF245" s="53"/>
      <c r="AG245" s="53"/>
      <c r="AH245" s="53"/>
      <c r="AI245" s="53"/>
      <c r="AJ245" s="58"/>
      <c r="AK245" s="58"/>
      <c r="AL245" s="59"/>
      <c r="AM245" s="60"/>
      <c r="AN245" s="62"/>
      <c r="AO245" s="66"/>
    </row>
    <row r="246" spans="1:41">
      <c r="A246" s="70" t="str">
        <f>'Agents'' Final Roster 0913-0919'!A191</f>
        <v>Ortiz Jose María</v>
      </c>
      <c r="B246" s="71" t="str">
        <f>'Agents'' Final Roster 0913-0919'!B191</f>
        <v>Esquivel Pavan Pamela Sol</v>
      </c>
      <c r="C246" s="71" t="str">
        <f>'Agents'' Final Roster 0913-0919'!C191</f>
        <v>Navarro</v>
      </c>
      <c r="D246" s="71" t="str">
        <f>'Agents'' Final Roster 0913-0919'!D191</f>
        <v>Luciano Gustavo </v>
      </c>
      <c r="E246" s="71"/>
      <c r="F246" s="71"/>
      <c r="G246" s="71"/>
      <c r="H246" s="71"/>
      <c r="I246" s="71"/>
      <c r="J246" s="71"/>
      <c r="K246" s="71"/>
      <c r="L246" s="56"/>
      <c r="M246" s="56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 t="str">
        <f>'Agents'' Final Roster 0913-0919'!J191</f>
        <v>CSV2</v>
      </c>
      <c r="AA246" s="53"/>
      <c r="AB246" s="53"/>
      <c r="AC246" s="53"/>
      <c r="AD246" s="53"/>
      <c r="AE246" s="53"/>
      <c r="AF246" s="53"/>
      <c r="AG246" s="53"/>
      <c r="AH246" s="53"/>
      <c r="AI246" s="53"/>
      <c r="AJ246" s="58"/>
      <c r="AK246" s="58"/>
      <c r="AL246" s="59"/>
      <c r="AM246" s="60"/>
      <c r="AN246" s="62"/>
      <c r="AO246" s="66"/>
    </row>
    <row r="247" spans="1:41">
      <c r="A247" s="70" t="str">
        <f>'Agents'' Final Roster 0913-0919'!A192</f>
        <v>Ortiz Jose María</v>
      </c>
      <c r="B247" s="71" t="str">
        <f>'Agents'' Final Roster 0913-0919'!B192</f>
        <v>Esquivel Pavan Pamela Sol</v>
      </c>
      <c r="C247" s="71" t="str">
        <f>'Agents'' Final Roster 0913-0919'!C192</f>
        <v>Perez</v>
      </c>
      <c r="D247" s="71" t="str">
        <f>'Agents'' Final Roster 0913-0919'!D192</f>
        <v>Maria Jose</v>
      </c>
      <c r="E247" s="71"/>
      <c r="F247" s="71"/>
      <c r="G247" s="71"/>
      <c r="H247" s="71"/>
      <c r="I247" s="71"/>
      <c r="J247" s="71"/>
      <c r="K247" s="71"/>
      <c r="L247" s="56"/>
      <c r="M247" s="56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 t="str">
        <f>'Agents'' Final Roster 0913-0919'!J192</f>
        <v>CSV1</v>
      </c>
      <c r="AA247" s="53"/>
      <c r="AB247" s="53"/>
      <c r="AC247" s="53"/>
      <c r="AD247" s="53"/>
      <c r="AE247" s="53"/>
      <c r="AF247" s="53"/>
      <c r="AG247" s="53"/>
      <c r="AH247" s="53"/>
      <c r="AI247" s="53"/>
      <c r="AJ247" s="58"/>
      <c r="AK247" s="58"/>
      <c r="AL247" s="59"/>
      <c r="AM247" s="60"/>
      <c r="AN247" s="62"/>
      <c r="AO247" s="66"/>
    </row>
    <row r="248" spans="1:41">
      <c r="A248" s="70" t="str">
        <f>'Agents'' Final Roster 0913-0919'!A193</f>
        <v>Ortiz Jose María</v>
      </c>
      <c r="B248" s="71" t="str">
        <f>'Agents'' Final Roster 0913-0919'!B193</f>
        <v>Esquivel Pavan Pamela Sol</v>
      </c>
      <c r="C248" s="71" t="str">
        <f>'Agents'' Final Roster 0913-0919'!C193</f>
        <v>Reinoso Cisnero</v>
      </c>
      <c r="D248" s="71" t="str">
        <f>'Agents'' Final Roster 0913-0919'!D193</f>
        <v>Gaspar</v>
      </c>
      <c r="E248" s="71"/>
      <c r="F248" s="71"/>
      <c r="G248" s="71"/>
      <c r="H248" s="71"/>
      <c r="I248" s="71"/>
      <c r="J248" s="71"/>
      <c r="K248" s="71"/>
      <c r="L248" s="56"/>
      <c r="M248" s="56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 t="str">
        <f>'Agents'' Final Roster 0913-0919'!J193</f>
        <v>Servicios web</v>
      </c>
      <c r="AA248" s="53"/>
      <c r="AB248" s="53"/>
      <c r="AC248" s="53"/>
      <c r="AD248" s="53"/>
      <c r="AE248" s="53"/>
      <c r="AF248" s="53"/>
      <c r="AG248" s="53"/>
      <c r="AH248" s="53"/>
      <c r="AI248" s="53"/>
      <c r="AJ248" s="58"/>
      <c r="AK248" s="58"/>
      <c r="AL248" s="59"/>
      <c r="AM248" s="60"/>
      <c r="AN248" s="62"/>
      <c r="AO248" s="66"/>
    </row>
    <row r="249" spans="1:41">
      <c r="A249" s="70" t="str">
        <f>'Agents'' Final Roster 0913-0919'!A194</f>
        <v>Ortiz Jose María</v>
      </c>
      <c r="B249" s="71" t="str">
        <f>'Agents'' Final Roster 0913-0919'!B194</f>
        <v>Esquivel Pavan Pamela Sol</v>
      </c>
      <c r="C249" s="71" t="str">
        <f>'Agents'' Final Roster 0913-0919'!C194</f>
        <v>Rodriguez</v>
      </c>
      <c r="D249" s="71" t="str">
        <f>'Agents'' Final Roster 0913-0919'!D194</f>
        <v>Alejandra Isabel</v>
      </c>
      <c r="E249" s="55"/>
      <c r="F249" s="55"/>
      <c r="G249" s="55"/>
      <c r="H249" s="55"/>
      <c r="I249" s="55"/>
      <c r="J249" s="55"/>
      <c r="K249" s="55"/>
      <c r="L249" s="56"/>
      <c r="M249" s="56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 t="str">
        <f>'Agents'' Final Roster 0913-0919'!J194</f>
        <v>Compras Referidas</v>
      </c>
      <c r="AA249" s="53"/>
      <c r="AB249" s="53"/>
      <c r="AC249" s="53"/>
      <c r="AD249" s="53"/>
      <c r="AE249" s="53"/>
      <c r="AF249" s="53"/>
      <c r="AG249" s="53"/>
      <c r="AH249" s="53"/>
      <c r="AI249" s="53"/>
      <c r="AJ249" s="58"/>
      <c r="AK249" s="58"/>
      <c r="AL249" s="59"/>
      <c r="AM249" s="60"/>
      <c r="AN249" s="62"/>
      <c r="AO249" s="66"/>
    </row>
    <row r="250" spans="1:41">
      <c r="A250" s="70" t="str">
        <f>'Agents'' Final Roster 0913-0919'!A195</f>
        <v>Ortiz Jose María</v>
      </c>
      <c r="B250" s="71" t="str">
        <f>'Agents'' Final Roster 0913-0919'!B195</f>
        <v>Esquivel Pavan Pamela Sol</v>
      </c>
      <c r="C250" s="71" t="str">
        <f>'Agents'' Final Roster 0913-0919'!C195</f>
        <v>Rossi</v>
      </c>
      <c r="D250" s="71" t="str">
        <f>'Agents'' Final Roster 0913-0919'!D195</f>
        <v>Griselda Analia</v>
      </c>
      <c r="E250" s="71"/>
      <c r="F250" s="71"/>
      <c r="G250" s="71"/>
      <c r="H250" s="71"/>
      <c r="I250" s="71"/>
      <c r="J250" s="71"/>
      <c r="K250" s="71"/>
      <c r="L250" s="56"/>
      <c r="M250" s="56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 t="str">
        <f>'Agents'' Final Roster 0913-0919'!J195</f>
        <v>CSV2</v>
      </c>
      <c r="AA250" s="53"/>
      <c r="AB250" s="53"/>
      <c r="AC250" s="53"/>
      <c r="AD250" s="53"/>
      <c r="AE250" s="53"/>
      <c r="AF250" s="53"/>
      <c r="AG250" s="53"/>
      <c r="AH250" s="53"/>
      <c r="AI250" s="53"/>
      <c r="AJ250" s="58"/>
      <c r="AK250" s="58"/>
      <c r="AL250" s="59"/>
      <c r="AM250" s="60"/>
      <c r="AN250" s="62"/>
      <c r="AO250" s="66"/>
    </row>
    <row r="251" spans="1:41">
      <c r="A251" s="70" t="str">
        <f>'Agents'' Final Roster 0913-0919'!A196</f>
        <v>Ortiz Jose María</v>
      </c>
      <c r="B251" s="71" t="str">
        <f>'Agents'' Final Roster 0913-0919'!B196</f>
        <v>Esquivel Pavan Pamela Sol</v>
      </c>
      <c r="C251" s="71" t="str">
        <f>'Agents'' Final Roster 0913-0919'!C196</f>
        <v>Rotondo</v>
      </c>
      <c r="D251" s="71" t="str">
        <f>'Agents'' Final Roster 0913-0919'!D196</f>
        <v>Eliana Romina</v>
      </c>
      <c r="E251" s="71"/>
      <c r="F251" s="71"/>
      <c r="G251" s="71"/>
      <c r="H251" s="71"/>
      <c r="I251" s="71"/>
      <c r="J251" s="71"/>
      <c r="K251" s="71"/>
      <c r="L251" s="56"/>
      <c r="M251" s="56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 t="str">
        <f>'Agents'' Final Roster 0913-0919'!J196</f>
        <v>CSV1</v>
      </c>
      <c r="AA251" s="53"/>
      <c r="AB251" s="53"/>
      <c r="AC251" s="53"/>
      <c r="AD251" s="53"/>
      <c r="AE251" s="53"/>
      <c r="AF251" s="53"/>
      <c r="AG251" s="53"/>
      <c r="AH251" s="53"/>
      <c r="AI251" s="53"/>
      <c r="AJ251" s="58"/>
      <c r="AK251" s="58"/>
      <c r="AL251" s="59"/>
      <c r="AM251" s="60"/>
      <c r="AN251" s="62"/>
      <c r="AO251" s="66"/>
    </row>
    <row r="252" spans="1:41">
      <c r="A252" s="70" t="str">
        <f>'Agents'' Final Roster 0913-0919'!A197</f>
        <v>Ortiz Jose María</v>
      </c>
      <c r="B252" s="71" t="str">
        <f>'Agents'' Final Roster 0913-0919'!B197</f>
        <v>Esquivel Pavan Pamela Sol</v>
      </c>
      <c r="C252" s="71" t="str">
        <f>'Agents'' Final Roster 0913-0919'!C197</f>
        <v>Soria</v>
      </c>
      <c r="D252" s="71" t="str">
        <f>'Agents'' Final Roster 0913-0919'!D197</f>
        <v>Agustín Said</v>
      </c>
      <c r="E252" s="71"/>
      <c r="F252" s="71"/>
      <c r="G252" s="71"/>
      <c r="H252" s="71"/>
      <c r="I252" s="71"/>
      <c r="J252" s="71"/>
      <c r="K252" s="71"/>
      <c r="L252" s="56"/>
      <c r="M252" s="56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 t="str">
        <f>'Agents'' Final Roster 0913-0919'!J197</f>
        <v>DVH</v>
      </c>
      <c r="AA252" s="53"/>
      <c r="AB252" s="53"/>
      <c r="AC252" s="53"/>
      <c r="AD252" s="53"/>
      <c r="AE252" s="53"/>
      <c r="AF252" s="53"/>
      <c r="AG252" s="53"/>
      <c r="AH252" s="53"/>
      <c r="AI252" s="53"/>
      <c r="AJ252" s="58"/>
      <c r="AK252" s="58"/>
      <c r="AL252" s="59"/>
      <c r="AM252" s="60"/>
      <c r="AN252" s="62"/>
      <c r="AO252" s="66"/>
    </row>
    <row r="253" spans="1:41">
      <c r="A253" s="70" t="str">
        <f>'Agents'' Final Roster 0913-0919'!A198</f>
        <v>Ortiz Jose María</v>
      </c>
      <c r="B253" s="71" t="str">
        <f>'Agents'' Final Roster 0913-0919'!B198</f>
        <v>Esquivel Pavan Pamela Sol</v>
      </c>
      <c r="C253" s="71" t="str">
        <f>'Agents'' Final Roster 0913-0919'!C198</f>
        <v>Torres Mariotti</v>
      </c>
      <c r="D253" s="71" t="str">
        <f>'Agents'' Final Roster 0913-0919'!D198</f>
        <v>Rocio Alejandra</v>
      </c>
      <c r="E253" s="71"/>
      <c r="F253" s="71"/>
      <c r="G253" s="71"/>
      <c r="H253" s="71"/>
      <c r="I253" s="71"/>
      <c r="J253" s="71"/>
      <c r="K253" s="71"/>
      <c r="L253" s="56"/>
      <c r="M253" s="56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 t="str">
        <f>'Agents'' Final Roster 0913-0919'!J198</f>
        <v>CSV2</v>
      </c>
      <c r="AA253" s="53"/>
      <c r="AB253" s="53"/>
      <c r="AC253" s="53"/>
      <c r="AD253" s="53"/>
      <c r="AE253" s="53"/>
      <c r="AF253" s="53"/>
      <c r="AG253" s="53"/>
      <c r="AH253" s="53"/>
      <c r="AI253" s="53"/>
      <c r="AJ253" s="58"/>
      <c r="AK253" s="58"/>
      <c r="AL253" s="59"/>
      <c r="AM253" s="60"/>
      <c r="AN253" s="62"/>
      <c r="AO253" s="66"/>
    </row>
    <row r="254" hidden="1" spans="1:41">
      <c r="A254" s="70" t="str">
        <f>'Agents'' Final Roster 0913-0919'!A199</f>
        <v>Ortiz Jose María</v>
      </c>
      <c r="B254" s="71" t="str">
        <f>'Agents'' Final Roster 0913-0919'!B199</f>
        <v>Gerez Andrea Soledad</v>
      </c>
      <c r="C254" s="71" t="str">
        <f>'Agents'' Final Roster 0913-0919'!C199</f>
        <v>Carabajal</v>
      </c>
      <c r="D254" s="71" t="str">
        <f>'Agents'' Final Roster 0913-0919'!D199</f>
        <v>Paula</v>
      </c>
      <c r="E254" s="71"/>
      <c r="F254" s="71"/>
      <c r="G254" s="71"/>
      <c r="H254" s="71"/>
      <c r="I254" s="71"/>
      <c r="J254" s="71"/>
      <c r="K254" s="71"/>
      <c r="L254" s="56"/>
      <c r="M254" s="56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 t="str">
        <f>'Agents'' Final Roster 0913-0919'!J199</f>
        <v>TLMK</v>
      </c>
      <c r="AA254" s="53"/>
      <c r="AB254" s="53"/>
      <c r="AC254" s="53"/>
      <c r="AD254" s="53"/>
      <c r="AE254" s="53"/>
      <c r="AF254" s="53"/>
      <c r="AG254" s="53"/>
      <c r="AH254" s="53"/>
      <c r="AI254" s="53"/>
      <c r="AJ254" s="58"/>
      <c r="AK254" s="58"/>
      <c r="AL254" s="59"/>
      <c r="AM254" s="60"/>
      <c r="AN254" s="62"/>
      <c r="AO254" s="66"/>
    </row>
    <row r="255" spans="1:41">
      <c r="A255" s="70" t="str">
        <f>'Agents'' Final Roster 0913-0919'!A200</f>
        <v>Ortiz Jose María</v>
      </c>
      <c r="B255" s="71" t="str">
        <f>'Agents'' Final Roster 0913-0919'!B200</f>
        <v>Britos Fernando José</v>
      </c>
      <c r="C255" s="71" t="str">
        <f>'Agents'' Final Roster 0913-0919'!C200</f>
        <v>Concha</v>
      </c>
      <c r="D255" s="71" t="str">
        <f>'Agents'' Final Roster 0913-0919'!D200</f>
        <v>Maria de las Mercedes</v>
      </c>
      <c r="E255" s="71"/>
      <c r="F255" s="71"/>
      <c r="G255" s="71"/>
      <c r="H255" s="71"/>
      <c r="I255" s="71"/>
      <c r="J255" s="71"/>
      <c r="K255" s="71"/>
      <c r="L255" s="56"/>
      <c r="M255" s="56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 t="str">
        <f>'Agents'' Final Roster 0913-0919'!J200</f>
        <v>DVH</v>
      </c>
      <c r="AA255" s="53"/>
      <c r="AB255" s="53"/>
      <c r="AC255" s="53"/>
      <c r="AD255" s="53"/>
      <c r="AE255" s="53"/>
      <c r="AF255" s="53"/>
      <c r="AG255" s="53"/>
      <c r="AH255" s="53"/>
      <c r="AI255" s="53"/>
      <c r="AJ255" s="58"/>
      <c r="AK255" s="58"/>
      <c r="AL255" s="59"/>
      <c r="AM255" s="60"/>
      <c r="AN255" s="62"/>
      <c r="AO255" s="66"/>
    </row>
    <row r="256" spans="1:41">
      <c r="A256" s="70" t="str">
        <f>'Agents'' Final Roster 0913-0919'!A201</f>
        <v>Ortiz Jose María</v>
      </c>
      <c r="B256" s="71" t="str">
        <f>'Agents'' Final Roster 0913-0919'!B201</f>
        <v>Britos Fernando José</v>
      </c>
      <c r="C256" s="71" t="str">
        <f>'Agents'' Final Roster 0913-0919'!C201</f>
        <v>Corbera</v>
      </c>
      <c r="D256" s="71" t="str">
        <f>'Agents'' Final Roster 0913-0919'!D201</f>
        <v>Ana Florencia</v>
      </c>
      <c r="E256" s="71"/>
      <c r="F256" s="71"/>
      <c r="G256" s="71"/>
      <c r="H256" s="71"/>
      <c r="I256" s="71"/>
      <c r="J256" s="71"/>
      <c r="K256" s="71"/>
      <c r="L256" s="56"/>
      <c r="M256" s="56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 t="str">
        <f>'Agents'' Final Roster 0913-0919'!J201</f>
        <v>Servicios web</v>
      </c>
      <c r="AA256" s="53"/>
      <c r="AB256" s="53"/>
      <c r="AC256" s="53"/>
      <c r="AD256" s="53"/>
      <c r="AE256" s="53"/>
      <c r="AF256" s="53"/>
      <c r="AG256" s="53"/>
      <c r="AH256" s="53"/>
      <c r="AI256" s="53"/>
      <c r="AJ256" s="58"/>
      <c r="AK256" s="58"/>
      <c r="AL256" s="59"/>
      <c r="AM256" s="60"/>
      <c r="AN256" s="62"/>
      <c r="AO256" s="66"/>
    </row>
    <row r="257" spans="1:41">
      <c r="A257" s="70" t="str">
        <f>'Agents'' Final Roster 0913-0919'!A202</f>
        <v>Ortiz Jose María</v>
      </c>
      <c r="B257" s="71" t="str">
        <f>'Agents'' Final Roster 0913-0919'!B202</f>
        <v>Britos Fernando José</v>
      </c>
      <c r="C257" s="71" t="str">
        <f>'Agents'' Final Roster 0913-0919'!C202</f>
        <v>Décima</v>
      </c>
      <c r="D257" s="71" t="str">
        <f>'Agents'' Final Roster 0913-0919'!D202</f>
        <v>Alejo Nicolas</v>
      </c>
      <c r="E257" s="71"/>
      <c r="F257" s="71"/>
      <c r="G257" s="71"/>
      <c r="H257" s="71"/>
      <c r="I257" s="71"/>
      <c r="J257" s="71"/>
      <c r="K257" s="71"/>
      <c r="L257" s="56"/>
      <c r="M257" s="56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 t="str">
        <f>'Agents'' Final Roster 0913-0919'!J202</f>
        <v>DVH</v>
      </c>
      <c r="AA257" s="53"/>
      <c r="AB257" s="53"/>
      <c r="AC257" s="53"/>
      <c r="AD257" s="53"/>
      <c r="AE257" s="53"/>
      <c r="AF257" s="53"/>
      <c r="AG257" s="53"/>
      <c r="AH257" s="53"/>
      <c r="AI257" s="53"/>
      <c r="AJ257" s="58"/>
      <c r="AK257" s="58"/>
      <c r="AL257" s="59"/>
      <c r="AM257" s="60"/>
      <c r="AN257" s="62"/>
      <c r="AO257" s="66"/>
    </row>
    <row r="258" spans="1:41">
      <c r="A258" s="70" t="str">
        <f>'Agents'' Final Roster 0913-0919'!A203</f>
        <v>Ortiz Jose María</v>
      </c>
      <c r="B258" s="71" t="str">
        <f>'Agents'' Final Roster 0913-0919'!B203</f>
        <v>Gerez Andrea Soledad</v>
      </c>
      <c r="C258" s="71" t="str">
        <f>'Agents'' Final Roster 0913-0919'!C203</f>
        <v>Del Valle</v>
      </c>
      <c r="D258" s="71" t="str">
        <f>'Agents'' Final Roster 0913-0919'!D203</f>
        <v>Silvina</v>
      </c>
      <c r="E258" s="71"/>
      <c r="F258" s="71"/>
      <c r="G258" s="71"/>
      <c r="H258" s="71"/>
      <c r="I258" s="71"/>
      <c r="J258" s="71"/>
      <c r="K258" s="71"/>
      <c r="L258" s="56"/>
      <c r="M258" s="56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 t="str">
        <f>'Agents'' Final Roster 0913-0919'!J203</f>
        <v>Servicios web</v>
      </c>
      <c r="AA258" s="53"/>
      <c r="AB258" s="53"/>
      <c r="AC258" s="53"/>
      <c r="AD258" s="53"/>
      <c r="AE258" s="53"/>
      <c r="AF258" s="53"/>
      <c r="AG258" s="53"/>
      <c r="AH258" s="53"/>
      <c r="AI258" s="53"/>
      <c r="AJ258" s="58"/>
      <c r="AK258" s="58"/>
      <c r="AL258" s="59"/>
      <c r="AM258" s="60"/>
      <c r="AN258" s="62"/>
      <c r="AO258" s="66"/>
    </row>
    <row r="259" spans="1:41">
      <c r="A259" s="70" t="str">
        <f>'Agents'' Final Roster 0913-0919'!A204</f>
        <v>Ortiz Jose María</v>
      </c>
      <c r="B259" s="71" t="str">
        <f>'Agents'' Final Roster 0913-0919'!B204</f>
        <v>Gerez Andrea Soledad</v>
      </c>
      <c r="C259" s="71" t="str">
        <f>'Agents'' Final Roster 0913-0919'!C204</f>
        <v>Gonzalez</v>
      </c>
      <c r="D259" s="71" t="str">
        <f>'Agents'' Final Roster 0913-0919'!D204</f>
        <v>Sofia Anahi</v>
      </c>
      <c r="E259" s="71"/>
      <c r="F259" s="71"/>
      <c r="G259" s="71"/>
      <c r="H259" s="71"/>
      <c r="I259" s="71"/>
      <c r="J259" s="71"/>
      <c r="K259" s="71"/>
      <c r="L259" s="56"/>
      <c r="M259" s="56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 t="str">
        <f>'Agents'' Final Roster 0913-0919'!J204</f>
        <v>CSV2</v>
      </c>
      <c r="AA259" s="53"/>
      <c r="AB259" s="53"/>
      <c r="AC259" s="53"/>
      <c r="AD259" s="53"/>
      <c r="AE259" s="53"/>
      <c r="AF259" s="53"/>
      <c r="AG259" s="53"/>
      <c r="AH259" s="53"/>
      <c r="AI259" s="53"/>
      <c r="AJ259" s="58"/>
      <c r="AK259" s="58"/>
      <c r="AL259" s="59"/>
      <c r="AM259" s="60"/>
      <c r="AN259" s="62"/>
      <c r="AO259" s="66"/>
    </row>
    <row r="260" spans="1:41">
      <c r="A260" s="52" t="str">
        <f>'Agents'' Final Roster 0913-0919'!A205</f>
        <v>Ortiz Jose María</v>
      </c>
      <c r="B260" s="53" t="str">
        <f>'Agents'' Final Roster 0913-0919'!B205</f>
        <v>Britos Fernando José</v>
      </c>
      <c r="C260" s="53" t="str">
        <f>'Agents'' Final Roster 0913-0919'!C205</f>
        <v>Lopez </v>
      </c>
      <c r="D260" s="53" t="str">
        <f>'Agents'' Final Roster 0913-0919'!D205</f>
        <v>Rosa Mariana </v>
      </c>
      <c r="E260" s="53"/>
      <c r="F260" s="53"/>
      <c r="G260" s="53"/>
      <c r="H260" s="53"/>
      <c r="I260" s="53"/>
      <c r="J260" s="53"/>
      <c r="K260" s="53"/>
      <c r="L260" s="56"/>
      <c r="M260" s="56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 t="str">
        <f>'Agents'' Final Roster 0913-0919'!J205</f>
        <v>DVH</v>
      </c>
      <c r="AA260" s="53"/>
      <c r="AB260" s="53"/>
      <c r="AC260" s="53"/>
      <c r="AD260" s="53"/>
      <c r="AE260" s="53"/>
      <c r="AF260" s="53"/>
      <c r="AG260" s="53"/>
      <c r="AH260" s="53"/>
      <c r="AI260" s="53"/>
      <c r="AJ260" s="58"/>
      <c r="AK260" s="58"/>
      <c r="AL260" s="59"/>
      <c r="AM260" s="60"/>
      <c r="AN260" s="62"/>
      <c r="AO260" s="66"/>
    </row>
    <row r="261" spans="1:41">
      <c r="A261" s="52" t="str">
        <f>'Agents'' Final Roster 0913-0919'!A206</f>
        <v>Ortiz Jose María</v>
      </c>
      <c r="B261" s="53" t="str">
        <f>'Agents'' Final Roster 0913-0919'!B206</f>
        <v>Gerez Andrea Soledad</v>
      </c>
      <c r="C261" s="53" t="str">
        <f>'Agents'' Final Roster 0913-0919'!C206</f>
        <v>Lugones Agüero</v>
      </c>
      <c r="D261" s="53" t="str">
        <f>'Agents'' Final Roster 0913-0919'!D206</f>
        <v>Alejo Ezequiel</v>
      </c>
      <c r="E261" s="53"/>
      <c r="F261" s="53"/>
      <c r="G261" s="53"/>
      <c r="H261" s="53"/>
      <c r="I261" s="53"/>
      <c r="J261" s="53"/>
      <c r="K261" s="53"/>
      <c r="L261" s="56"/>
      <c r="M261" s="56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 t="str">
        <f>'Agents'' Final Roster 0913-0919'!J206</f>
        <v>DVH</v>
      </c>
      <c r="AA261" s="53"/>
      <c r="AB261" s="53"/>
      <c r="AC261" s="53"/>
      <c r="AD261" s="53"/>
      <c r="AE261" s="53"/>
      <c r="AF261" s="53"/>
      <c r="AG261" s="53"/>
      <c r="AH261" s="53"/>
      <c r="AI261" s="53"/>
      <c r="AJ261" s="58"/>
      <c r="AK261" s="58"/>
      <c r="AL261" s="59"/>
      <c r="AM261" s="60"/>
      <c r="AN261" s="62"/>
      <c r="AO261" s="66"/>
    </row>
    <row r="262" spans="1:41">
      <c r="A262" s="52" t="str">
        <f>'Agents'' Final Roster 0913-0919'!A207</f>
        <v>Ortiz Jose María</v>
      </c>
      <c r="B262" s="53" t="str">
        <f>'Agents'' Final Roster 0913-0919'!B207</f>
        <v>Gerez Andrea Soledad</v>
      </c>
      <c r="C262" s="53" t="str">
        <f>'Agents'' Final Roster 0913-0919'!C207</f>
        <v>Marín</v>
      </c>
      <c r="D262" s="53" t="str">
        <f>'Agents'' Final Roster 0913-0919'!D207</f>
        <v>Melisa Betsabé</v>
      </c>
      <c r="E262" s="53"/>
      <c r="F262" s="53"/>
      <c r="G262" s="53"/>
      <c r="H262" s="53"/>
      <c r="I262" s="53"/>
      <c r="J262" s="53"/>
      <c r="K262" s="53"/>
      <c r="L262" s="56"/>
      <c r="M262" s="56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 t="str">
        <f>'Agents'' Final Roster 0913-0919'!J207</f>
        <v>CSV2</v>
      </c>
      <c r="AA262" s="53"/>
      <c r="AB262" s="53"/>
      <c r="AC262" s="53"/>
      <c r="AD262" s="53"/>
      <c r="AE262" s="53"/>
      <c r="AF262" s="53"/>
      <c r="AG262" s="53"/>
      <c r="AH262" s="53"/>
      <c r="AI262" s="53"/>
      <c r="AJ262" s="58"/>
      <c r="AK262" s="58"/>
      <c r="AL262" s="59"/>
      <c r="AM262" s="60"/>
      <c r="AN262" s="62"/>
      <c r="AO262" s="66"/>
    </row>
    <row r="263" spans="1:41">
      <c r="A263" s="52" t="str">
        <f>'Agents'' Final Roster 0913-0919'!A208</f>
        <v>Ortiz Jose María</v>
      </c>
      <c r="B263" s="53" t="str">
        <f>'Agents'' Final Roster 0913-0919'!B208</f>
        <v>Gerez Andrea Soledad</v>
      </c>
      <c r="C263" s="53" t="str">
        <f>'Agents'' Final Roster 0913-0919'!C208</f>
        <v>Moreno</v>
      </c>
      <c r="D263" s="53" t="str">
        <f>'Agents'' Final Roster 0913-0919'!D208</f>
        <v>Damaris</v>
      </c>
      <c r="E263" s="53"/>
      <c r="F263" s="53"/>
      <c r="G263" s="53"/>
      <c r="H263" s="53"/>
      <c r="I263" s="53"/>
      <c r="J263" s="53"/>
      <c r="K263" s="53"/>
      <c r="L263" s="56"/>
      <c r="M263" s="56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 t="str">
        <f>'Agents'' Final Roster 0913-0919'!J208</f>
        <v>CSV2</v>
      </c>
      <c r="AA263" s="53"/>
      <c r="AB263" s="53"/>
      <c r="AC263" s="53"/>
      <c r="AD263" s="53"/>
      <c r="AE263" s="53"/>
      <c r="AF263" s="53"/>
      <c r="AG263" s="53"/>
      <c r="AH263" s="53"/>
      <c r="AI263" s="53"/>
      <c r="AJ263" s="58"/>
      <c r="AK263" s="58"/>
      <c r="AL263" s="59"/>
      <c r="AM263" s="60"/>
      <c r="AN263" s="62"/>
      <c r="AO263" s="66"/>
    </row>
    <row r="264" spans="1:41">
      <c r="A264" s="52" t="str">
        <f>'Agents'' Final Roster 0913-0919'!A209</f>
        <v>Ortiz Jose María</v>
      </c>
      <c r="B264" s="53" t="str">
        <f>'Agents'' Final Roster 0913-0919'!B209</f>
        <v>Gerez Andrea Soledad</v>
      </c>
      <c r="C264" s="53" t="str">
        <f>'Agents'' Final Roster 0913-0919'!C209</f>
        <v>Ocaranza</v>
      </c>
      <c r="D264" s="53" t="str">
        <f>'Agents'' Final Roster 0913-0919'!D209</f>
        <v>Jonathan Franco </v>
      </c>
      <c r="E264" s="53"/>
      <c r="F264" s="53"/>
      <c r="G264" s="53"/>
      <c r="H264" s="53"/>
      <c r="I264" s="53"/>
      <c r="J264" s="53"/>
      <c r="K264" s="53"/>
      <c r="L264" s="56"/>
      <c r="M264" s="56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 t="str">
        <f>'Agents'' Final Roster 0913-0919'!J209</f>
        <v>CSV2</v>
      </c>
      <c r="AA264" s="53"/>
      <c r="AB264" s="53"/>
      <c r="AC264" s="53"/>
      <c r="AD264" s="53"/>
      <c r="AE264" s="53"/>
      <c r="AF264" s="53"/>
      <c r="AG264" s="53"/>
      <c r="AH264" s="53"/>
      <c r="AI264" s="53"/>
      <c r="AJ264" s="58"/>
      <c r="AK264" s="58"/>
      <c r="AL264" s="59"/>
      <c r="AM264" s="60"/>
      <c r="AN264" s="62"/>
      <c r="AO264" s="66"/>
    </row>
    <row r="265" spans="1:41">
      <c r="A265" s="52" t="str">
        <f>'Agents'' Final Roster 0913-0919'!A210</f>
        <v>Ortiz Jose María</v>
      </c>
      <c r="B265" s="53" t="str">
        <f>'Agents'' Final Roster 0913-0919'!B210</f>
        <v>Britos Fernando José</v>
      </c>
      <c r="C265" s="53" t="str">
        <f>'Agents'' Final Roster 0913-0919'!C210</f>
        <v>Sanchez</v>
      </c>
      <c r="D265" s="53" t="str">
        <f>'Agents'' Final Roster 0913-0919'!D210</f>
        <v>Maria Florencia</v>
      </c>
      <c r="E265" s="53"/>
      <c r="F265" s="53"/>
      <c r="G265" s="53"/>
      <c r="H265" s="53"/>
      <c r="I265" s="53"/>
      <c r="J265" s="53"/>
      <c r="K265" s="53"/>
      <c r="L265" s="56"/>
      <c r="M265" s="56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 t="str">
        <f>'Agents'' Final Roster 0913-0919'!J210</f>
        <v>DVH</v>
      </c>
      <c r="AA265" s="53"/>
      <c r="AB265" s="53"/>
      <c r="AC265" s="53"/>
      <c r="AD265" s="53"/>
      <c r="AE265" s="53"/>
      <c r="AF265" s="53"/>
      <c r="AG265" s="53"/>
      <c r="AH265" s="53"/>
      <c r="AI265" s="53"/>
      <c r="AJ265" s="58"/>
      <c r="AK265" s="58"/>
      <c r="AL265" s="59"/>
      <c r="AM265" s="60"/>
      <c r="AN265" s="62"/>
      <c r="AO265" s="66"/>
    </row>
    <row r="266" spans="1:41">
      <c r="A266" s="52" t="str">
        <f>'Agents'' Final Roster 0913-0919'!A211</f>
        <v>Ortiz Jose María</v>
      </c>
      <c r="B266" s="53" t="str">
        <f>'Agents'' Final Roster 0913-0919'!B211</f>
        <v>Britos Fernando José</v>
      </c>
      <c r="C266" s="53" t="str">
        <f>'Agents'' Final Roster 0913-0919'!C211</f>
        <v>Suarez</v>
      </c>
      <c r="D266" s="53" t="str">
        <f>'Agents'' Final Roster 0913-0919'!D211</f>
        <v>Alicia Veronica</v>
      </c>
      <c r="E266" s="53"/>
      <c r="F266" s="53"/>
      <c r="G266" s="53"/>
      <c r="H266" s="53"/>
      <c r="I266" s="53"/>
      <c r="J266" s="53"/>
      <c r="K266" s="53"/>
      <c r="L266" s="56"/>
      <c r="M266" s="56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 t="str">
        <f>'Agents'' Final Roster 0913-0919'!J211</f>
        <v>Servicios web</v>
      </c>
      <c r="AA266" s="53"/>
      <c r="AB266" s="53"/>
      <c r="AC266" s="53"/>
      <c r="AD266" s="53"/>
      <c r="AE266" s="53"/>
      <c r="AF266" s="53"/>
      <c r="AG266" s="53"/>
      <c r="AH266" s="53"/>
      <c r="AI266" s="53"/>
      <c r="AJ266" s="58"/>
      <c r="AK266" s="58"/>
      <c r="AL266" s="59"/>
      <c r="AM266" s="60"/>
      <c r="AN266" s="62"/>
      <c r="AO266" s="66"/>
    </row>
    <row r="267" spans="1:41">
      <c r="A267" s="52" t="str">
        <f>'Agents'' Final Roster 0913-0919'!A212</f>
        <v>Ortiz Jose María</v>
      </c>
      <c r="B267" s="53" t="str">
        <f>'Agents'' Final Roster 0913-0919'!B212</f>
        <v>Gerez Andrea Soledad</v>
      </c>
      <c r="C267" s="53" t="str">
        <f>'Agents'' Final Roster 0913-0919'!C212</f>
        <v>Suarez Yapura</v>
      </c>
      <c r="D267" s="53" t="str">
        <f>'Agents'' Final Roster 0913-0919'!D212</f>
        <v>Agostina</v>
      </c>
      <c r="E267" s="53"/>
      <c r="F267" s="53"/>
      <c r="G267" s="53"/>
      <c r="H267" s="53"/>
      <c r="I267" s="53"/>
      <c r="J267" s="53"/>
      <c r="K267" s="53"/>
      <c r="L267" s="56"/>
      <c r="M267" s="56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 t="str">
        <f>'Agents'' Final Roster 0913-0919'!J212</f>
        <v>DVH</v>
      </c>
      <c r="AA267" s="53"/>
      <c r="AB267" s="53"/>
      <c r="AC267" s="53"/>
      <c r="AD267" s="53"/>
      <c r="AE267" s="53"/>
      <c r="AF267" s="53"/>
      <c r="AG267" s="53"/>
      <c r="AH267" s="53"/>
      <c r="AI267" s="53"/>
      <c r="AJ267" s="58"/>
      <c r="AK267" s="58"/>
      <c r="AL267" s="59"/>
      <c r="AM267" s="60"/>
      <c r="AN267" s="62"/>
      <c r="AO267" s="66"/>
    </row>
    <row r="268" spans="1:41">
      <c r="A268" s="52" t="str">
        <f>'Agents'' Final Roster 0913-0919'!A213</f>
        <v>Ortiz Jose María</v>
      </c>
      <c r="B268" s="53" t="str">
        <f>'Agents'' Final Roster 0913-0919'!B213</f>
        <v>Gerez Andrea Soledad</v>
      </c>
      <c r="C268" s="53" t="str">
        <f>'Agents'' Final Roster 0913-0919'!C213</f>
        <v>Tula</v>
      </c>
      <c r="D268" s="53" t="str">
        <f>'Agents'' Final Roster 0913-0919'!D213</f>
        <v>Luciana Belen</v>
      </c>
      <c r="E268" s="53"/>
      <c r="F268" s="53"/>
      <c r="G268" s="53"/>
      <c r="H268" s="53"/>
      <c r="I268" s="53"/>
      <c r="J268" s="53"/>
      <c r="K268" s="53"/>
      <c r="L268" s="56"/>
      <c r="M268" s="56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 t="str">
        <f>'Agents'' Final Roster 0913-0919'!J213</f>
        <v>CSV2</v>
      </c>
      <c r="AA268" s="53"/>
      <c r="AB268" s="53"/>
      <c r="AC268" s="53"/>
      <c r="AD268" s="53"/>
      <c r="AE268" s="53"/>
      <c r="AF268" s="53"/>
      <c r="AG268" s="53"/>
      <c r="AH268" s="53"/>
      <c r="AI268" s="53"/>
      <c r="AJ268" s="58"/>
      <c r="AK268" s="58"/>
      <c r="AL268" s="59"/>
      <c r="AM268" s="60"/>
      <c r="AN268" s="62"/>
      <c r="AO268" s="66"/>
    </row>
    <row r="269" spans="1:41">
      <c r="A269" s="52" t="str">
        <f>'Agents'' Final Roster 0913-0919'!A214</f>
        <v>Ortiz Jose María</v>
      </c>
      <c r="B269" s="53" t="str">
        <f>'Agents'' Final Roster 0913-0919'!B214</f>
        <v>Gerez Andrea Soledad</v>
      </c>
      <c r="C269" s="53" t="str">
        <f>'Agents'' Final Roster 0913-0919'!C214</f>
        <v>Visuara</v>
      </c>
      <c r="D269" s="53" t="str">
        <f>'Agents'' Final Roster 0913-0919'!D214</f>
        <v>Alberto Nicolas Emanuel</v>
      </c>
      <c r="E269" s="53"/>
      <c r="F269" s="53"/>
      <c r="G269" s="53"/>
      <c r="H269" s="53"/>
      <c r="I269" s="53"/>
      <c r="J269" s="53"/>
      <c r="K269" s="53"/>
      <c r="L269" s="56"/>
      <c r="M269" s="56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 t="str">
        <f>'Agents'' Final Roster 0913-0919'!J214</f>
        <v>Servicios web</v>
      </c>
      <c r="AA269" s="53"/>
      <c r="AB269" s="53"/>
      <c r="AC269" s="53"/>
      <c r="AD269" s="53"/>
      <c r="AE269" s="53"/>
      <c r="AF269" s="53"/>
      <c r="AG269" s="53"/>
      <c r="AH269" s="53"/>
      <c r="AI269" s="53"/>
      <c r="AJ269" s="58"/>
      <c r="AK269" s="58"/>
      <c r="AL269" s="59"/>
      <c r="AM269" s="60"/>
      <c r="AN269" s="62"/>
      <c r="AO269" s="66"/>
    </row>
    <row r="270" spans="1:41">
      <c r="A270" s="52" t="str">
        <f>'Agents'' Final Roster 0913-0919'!A215</f>
        <v>Ortiz Jose María</v>
      </c>
      <c r="B270" s="53" t="str">
        <f>'Agents'' Final Roster 0913-0919'!B215</f>
        <v>Gerez Andrea Soledad</v>
      </c>
      <c r="C270" s="53" t="str">
        <f>'Agents'' Final Roster 0913-0919'!C215</f>
        <v>Vizgarra</v>
      </c>
      <c r="D270" s="53" t="str">
        <f>'Agents'' Final Roster 0913-0919'!D215</f>
        <v>Valentina Ercilia</v>
      </c>
      <c r="E270" s="53"/>
      <c r="F270" s="53"/>
      <c r="G270" s="53"/>
      <c r="H270" s="53"/>
      <c r="I270" s="53"/>
      <c r="J270" s="53"/>
      <c r="K270" s="53"/>
      <c r="L270" s="56"/>
      <c r="M270" s="56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 t="str">
        <f>'Agents'' Final Roster 0913-0919'!J215</f>
        <v>CSV2</v>
      </c>
      <c r="AA270" s="53"/>
      <c r="AB270" s="53"/>
      <c r="AC270" s="53"/>
      <c r="AD270" s="53"/>
      <c r="AE270" s="53"/>
      <c r="AF270" s="53"/>
      <c r="AG270" s="53"/>
      <c r="AH270" s="53"/>
      <c r="AI270" s="53"/>
      <c r="AJ270" s="58"/>
      <c r="AK270" s="58"/>
      <c r="AL270" s="59"/>
      <c r="AM270" s="60"/>
      <c r="AN270" s="62"/>
      <c r="AO270" s="66"/>
    </row>
    <row r="271" spans="1:41">
      <c r="A271" s="54" t="str">
        <f>'Agents'' Final Roster 0913-0919'!A216</f>
        <v>Ortiz Jose María</v>
      </c>
      <c r="B271" s="55" t="str">
        <f>'Agents'' Final Roster 0913-0919'!B216</f>
        <v>Gerez Andrea Soledad</v>
      </c>
      <c r="C271" s="55" t="str">
        <f>'Agents'' Final Roster 0913-0919'!C216</f>
        <v>Zerrizuela</v>
      </c>
      <c r="D271" s="55" t="str">
        <f>'Agents'' Final Roster 0913-0919'!D216</f>
        <v>Mariana Agostina</v>
      </c>
      <c r="E271" s="55"/>
      <c r="F271" s="55"/>
      <c r="G271" s="55"/>
      <c r="H271" s="55"/>
      <c r="I271" s="55"/>
      <c r="J271" s="55"/>
      <c r="K271" s="55"/>
      <c r="L271" s="56"/>
      <c r="M271" s="56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 t="str">
        <f>'Agents'' Final Roster 0913-0919'!J216</f>
        <v>Servicios web</v>
      </c>
      <c r="AA271" s="53"/>
      <c r="AB271" s="53"/>
      <c r="AC271" s="53"/>
      <c r="AD271" s="53"/>
      <c r="AE271" s="53"/>
      <c r="AF271" s="53"/>
      <c r="AG271" s="53"/>
      <c r="AH271" s="53"/>
      <c r="AI271" s="53"/>
      <c r="AJ271" s="58"/>
      <c r="AK271" s="58"/>
      <c r="AL271" s="59"/>
      <c r="AM271" s="60"/>
      <c r="AN271" s="62"/>
      <c r="AO271" s="66"/>
    </row>
    <row r="272" spans="1:41">
      <c r="A272" s="52" t="str">
        <f>'Agents'' Final Roster 0913-0919'!A217</f>
        <v>Ortiz Jose María</v>
      </c>
      <c r="B272" s="53" t="str">
        <f>'Agents'' Final Roster 0913-0919'!B217</f>
        <v>Gerez Andrea Soledad</v>
      </c>
      <c r="C272" s="53" t="str">
        <f>'Agents'' Final Roster 0913-0919'!C217</f>
        <v>Zottoli</v>
      </c>
      <c r="D272" s="53" t="str">
        <f>'Agents'' Final Roster 0913-0919'!D217</f>
        <v>Gonzalo</v>
      </c>
      <c r="E272" s="53"/>
      <c r="F272" s="53"/>
      <c r="G272" s="53"/>
      <c r="H272" s="53"/>
      <c r="I272" s="53"/>
      <c r="J272" s="53"/>
      <c r="K272" s="53"/>
      <c r="L272" s="56"/>
      <c r="M272" s="56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 t="str">
        <f>'Agents'' Final Roster 0913-0919'!J217</f>
        <v>CSV2</v>
      </c>
      <c r="AA272" s="53"/>
      <c r="AB272" s="53"/>
      <c r="AC272" s="53"/>
      <c r="AD272" s="53"/>
      <c r="AE272" s="53"/>
      <c r="AF272" s="53"/>
      <c r="AG272" s="53"/>
      <c r="AH272" s="53"/>
      <c r="AI272" s="53"/>
      <c r="AJ272" s="58"/>
      <c r="AK272" s="58"/>
      <c r="AL272" s="59"/>
      <c r="AM272" s="60"/>
      <c r="AN272" s="62"/>
      <c r="AO272" s="66"/>
    </row>
    <row r="273" spans="1:41">
      <c r="A273" s="52" t="str">
        <f>'Agents'' Final Roster 0913-0919'!A218</f>
        <v>Ortiz Jose María</v>
      </c>
      <c r="B273" s="53" t="str">
        <f>'Agents'' Final Roster 0913-0919'!B218</f>
        <v>Silva Gabriel Alberto</v>
      </c>
      <c r="C273" s="53" t="str">
        <f>'Agents'' Final Roster 0913-0919'!C218</f>
        <v>Aramayo</v>
      </c>
      <c r="D273" s="53" t="str">
        <f>'Agents'' Final Roster 0913-0919'!D218</f>
        <v>Fihama Loreley</v>
      </c>
      <c r="E273" s="53"/>
      <c r="F273" s="53"/>
      <c r="G273" s="53"/>
      <c r="H273" s="53"/>
      <c r="I273" s="53"/>
      <c r="J273" s="53"/>
      <c r="K273" s="53"/>
      <c r="L273" s="56"/>
      <c r="M273" s="56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 t="str">
        <f>'Agents'' Final Roster 0913-0919'!J218</f>
        <v>TLMK</v>
      </c>
      <c r="AA273" s="53"/>
      <c r="AB273" s="53"/>
      <c r="AC273" s="53"/>
      <c r="AD273" s="53"/>
      <c r="AE273" s="53"/>
      <c r="AF273" s="53"/>
      <c r="AG273" s="53"/>
      <c r="AH273" s="53"/>
      <c r="AI273" s="53"/>
      <c r="AJ273" s="58"/>
      <c r="AK273" s="58"/>
      <c r="AL273" s="59"/>
      <c r="AM273" s="60"/>
      <c r="AN273" s="62"/>
      <c r="AO273" s="66"/>
    </row>
    <row r="274" spans="1:41">
      <c r="A274" s="52" t="str">
        <f>'Agents'' Final Roster 0913-0919'!A219</f>
        <v>Ortiz Jose María</v>
      </c>
      <c r="B274" s="53" t="str">
        <f>'Agents'' Final Roster 0913-0919'!B219</f>
        <v>Silva Gabriel Alberto</v>
      </c>
      <c r="C274" s="53" t="str">
        <f>'Agents'' Final Roster 0913-0919'!C219</f>
        <v>Asen Ruiz</v>
      </c>
      <c r="D274" s="53" t="str">
        <f>'Agents'' Final Roster 0913-0919'!D219</f>
        <v>Mirta Anahí</v>
      </c>
      <c r="E274" s="53"/>
      <c r="F274" s="53"/>
      <c r="G274" s="53"/>
      <c r="H274" s="53"/>
      <c r="I274" s="53"/>
      <c r="J274" s="53"/>
      <c r="K274" s="53"/>
      <c r="L274" s="56"/>
      <c r="M274" s="56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 t="str">
        <f>'Agents'' Final Roster 0913-0919'!J219</f>
        <v>TLMK</v>
      </c>
      <c r="AA274" s="53"/>
      <c r="AB274" s="53"/>
      <c r="AC274" s="53"/>
      <c r="AD274" s="53"/>
      <c r="AE274" s="53"/>
      <c r="AF274" s="53"/>
      <c r="AG274" s="53"/>
      <c r="AH274" s="53"/>
      <c r="AI274" s="53"/>
      <c r="AJ274" s="58"/>
      <c r="AK274" s="58"/>
      <c r="AL274" s="59"/>
      <c r="AM274" s="60"/>
      <c r="AN274" s="62"/>
      <c r="AO274" s="66"/>
    </row>
    <row r="275" spans="1:41">
      <c r="A275" s="52" t="str">
        <f>'Agents'' Final Roster 0913-0919'!A220</f>
        <v>Ortiz Jose María</v>
      </c>
      <c r="B275" s="53" t="str">
        <f>'Agents'' Final Roster 0913-0919'!B220</f>
        <v>Silva Gabriel Alberto</v>
      </c>
      <c r="C275" s="53" t="str">
        <f>'Agents'' Final Roster 0913-0919'!C220</f>
        <v>Ballesteros</v>
      </c>
      <c r="D275" s="53" t="str">
        <f>'Agents'' Final Roster 0913-0919'!D220</f>
        <v>Gabriela Elizabeth</v>
      </c>
      <c r="E275" s="53"/>
      <c r="F275" s="53"/>
      <c r="G275" s="53"/>
      <c r="H275" s="53"/>
      <c r="I275" s="53"/>
      <c r="J275" s="53"/>
      <c r="K275" s="53"/>
      <c r="L275" s="56"/>
      <c r="M275" s="56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 t="str">
        <f>'Agents'' Final Roster 0913-0919'!J220</f>
        <v>TLMK</v>
      </c>
      <c r="AA275" s="53"/>
      <c r="AB275" s="53"/>
      <c r="AC275" s="53"/>
      <c r="AD275" s="84"/>
      <c r="AE275" s="53"/>
      <c r="AF275" s="53"/>
      <c r="AG275" s="53"/>
      <c r="AH275" s="53"/>
      <c r="AI275" s="53"/>
      <c r="AJ275" s="58"/>
      <c r="AK275" s="58"/>
      <c r="AL275" s="59"/>
      <c r="AM275" s="60"/>
      <c r="AN275" s="62"/>
      <c r="AO275" s="66"/>
    </row>
    <row r="276" spans="1:41">
      <c r="A276" s="68" t="str">
        <f>'Agents'' Final Roster 0913-0919'!A221</f>
        <v>Ortiz Jose María</v>
      </c>
      <c r="B276" s="69" t="str">
        <f>'Agents'' Final Roster 0913-0919'!B221</f>
        <v>Silva Gabriel Alberto</v>
      </c>
      <c r="C276" s="69" t="str">
        <f>'Agents'' Final Roster 0913-0919'!C221</f>
        <v>Figueroa</v>
      </c>
      <c r="D276" s="69" t="str">
        <f>'Agents'' Final Roster 0913-0919'!D221</f>
        <v>Paula Cristina</v>
      </c>
      <c r="E276" s="69"/>
      <c r="F276" s="69"/>
      <c r="G276" s="69"/>
      <c r="H276" s="69"/>
      <c r="I276" s="69"/>
      <c r="J276" s="69"/>
      <c r="K276" s="69"/>
      <c r="L276" s="56"/>
      <c r="M276" s="56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 t="str">
        <f>'Agents'' Final Roster 0913-0919'!J221</f>
        <v>DVH</v>
      </c>
      <c r="AA276" s="53"/>
      <c r="AB276" s="53"/>
      <c r="AC276" s="53"/>
      <c r="AD276" s="84"/>
      <c r="AE276" s="53"/>
      <c r="AF276" s="53"/>
      <c r="AG276" s="53"/>
      <c r="AH276" s="53"/>
      <c r="AI276" s="53"/>
      <c r="AJ276" s="58"/>
      <c r="AK276" s="58"/>
      <c r="AL276" s="59"/>
      <c r="AM276" s="60"/>
      <c r="AN276" s="62"/>
      <c r="AO276" s="66"/>
    </row>
    <row r="277" spans="1:41">
      <c r="A277" s="52" t="str">
        <f>'Agents'' Final Roster 0913-0919'!A222</f>
        <v>Ortiz Jose María</v>
      </c>
      <c r="B277" s="53" t="str">
        <f>'Agents'' Final Roster 0913-0919'!B222</f>
        <v>Silva Gabriel Alberto</v>
      </c>
      <c r="C277" s="53" t="str">
        <f>'Agents'' Final Roster 0913-0919'!C222</f>
        <v>Flores</v>
      </c>
      <c r="D277" s="53" t="str">
        <f>'Agents'' Final Roster 0913-0919'!D222</f>
        <v>Ana Cecilia</v>
      </c>
      <c r="E277" s="53"/>
      <c r="F277" s="53"/>
      <c r="G277" s="53"/>
      <c r="H277" s="53"/>
      <c r="I277" s="53"/>
      <c r="J277" s="53"/>
      <c r="K277" s="53"/>
      <c r="L277" s="56"/>
      <c r="M277" s="56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 t="str">
        <f>'Agents'' Final Roster 0913-0919'!J222</f>
        <v>DVH</v>
      </c>
      <c r="AA277" s="53"/>
      <c r="AB277" s="53"/>
      <c r="AC277" s="53"/>
      <c r="AD277" s="84"/>
      <c r="AE277" s="53"/>
      <c r="AF277" s="53"/>
      <c r="AG277" s="53"/>
      <c r="AH277" s="53"/>
      <c r="AI277" s="53"/>
      <c r="AJ277" s="58"/>
      <c r="AK277" s="58"/>
      <c r="AL277" s="59"/>
      <c r="AM277" s="60"/>
      <c r="AN277" s="62"/>
      <c r="AO277" s="66"/>
    </row>
    <row r="278" spans="1:41">
      <c r="A278" s="54" t="str">
        <f>'Agents'' Final Roster 0913-0919'!A223</f>
        <v>Ortiz Jose María</v>
      </c>
      <c r="B278" s="55" t="str">
        <f>'Agents'' Final Roster 0913-0919'!B223</f>
        <v>Silva Gabriel Alberto</v>
      </c>
      <c r="C278" s="55" t="str">
        <f>'Agents'' Final Roster 0913-0919'!C223</f>
        <v>Guitiérrez</v>
      </c>
      <c r="D278" s="55" t="str">
        <f>'Agents'' Final Roster 0913-0919'!D223</f>
        <v>Emmanuel Maximiliano</v>
      </c>
      <c r="E278" s="55"/>
      <c r="F278" s="55"/>
      <c r="G278" s="55"/>
      <c r="H278" s="55"/>
      <c r="I278" s="55"/>
      <c r="J278" s="55"/>
      <c r="K278" s="55"/>
      <c r="L278" s="56"/>
      <c r="M278" s="56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 t="str">
        <f>'Agents'' Final Roster 0913-0919'!J223</f>
        <v>DVH</v>
      </c>
      <c r="AA278" s="53"/>
      <c r="AB278" s="53"/>
      <c r="AC278" s="53"/>
      <c r="AD278" s="84"/>
      <c r="AE278" s="53"/>
      <c r="AF278" s="53"/>
      <c r="AG278" s="53"/>
      <c r="AH278" s="53"/>
      <c r="AI278" s="53"/>
      <c r="AJ278" s="58"/>
      <c r="AK278" s="58"/>
      <c r="AL278" s="59"/>
      <c r="AM278" s="60"/>
      <c r="AN278" s="62"/>
      <c r="AO278" s="66"/>
    </row>
    <row r="279" spans="1:41">
      <c r="A279" s="52" t="str">
        <f>'Agents'' Final Roster 0913-0919'!A224</f>
        <v>Ortiz Jose María</v>
      </c>
      <c r="B279" s="53" t="str">
        <f>'Agents'' Final Roster 0913-0919'!B224</f>
        <v>Silva Gabriel Alberto</v>
      </c>
      <c r="C279" s="53" t="str">
        <f>'Agents'' Final Roster 0913-0919'!C224</f>
        <v>Lazarte</v>
      </c>
      <c r="D279" s="53" t="str">
        <f>'Agents'' Final Roster 0913-0919'!D224</f>
        <v>María Ines</v>
      </c>
      <c r="E279" s="53"/>
      <c r="F279" s="53"/>
      <c r="G279" s="53"/>
      <c r="H279" s="53"/>
      <c r="I279" s="53"/>
      <c r="J279" s="53"/>
      <c r="K279" s="53"/>
      <c r="L279" s="56"/>
      <c r="M279" s="56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 t="str">
        <f>'Agents'' Final Roster 0913-0919'!J224</f>
        <v>DVH</v>
      </c>
      <c r="AA279" s="53"/>
      <c r="AB279" s="53"/>
      <c r="AC279" s="53"/>
      <c r="AD279" s="84"/>
      <c r="AE279" s="53"/>
      <c r="AF279" s="53"/>
      <c r="AG279" s="53"/>
      <c r="AH279" s="53"/>
      <c r="AI279" s="53"/>
      <c r="AJ279" s="58"/>
      <c r="AK279" s="58"/>
      <c r="AL279" s="59"/>
      <c r="AM279" s="60"/>
      <c r="AN279" s="62"/>
      <c r="AO279" s="66"/>
    </row>
    <row r="280" spans="1:41">
      <c r="A280" s="52" t="str">
        <f>'Agents'' Final Roster 0913-0919'!A225</f>
        <v>Ortiz Jose María</v>
      </c>
      <c r="B280" s="53" t="str">
        <f>'Agents'' Final Roster 0913-0919'!B225</f>
        <v>Silva Gabriel Alberto</v>
      </c>
      <c r="C280" s="53" t="str">
        <f>'Agents'' Final Roster 0913-0919'!C225</f>
        <v>Orellana</v>
      </c>
      <c r="D280" s="53" t="str">
        <f>'Agents'' Final Roster 0913-0919'!D225</f>
        <v>Maria Cecilia</v>
      </c>
      <c r="E280" s="53"/>
      <c r="F280" s="53"/>
      <c r="G280" s="53"/>
      <c r="H280" s="53"/>
      <c r="I280" s="53"/>
      <c r="J280" s="53"/>
      <c r="K280" s="53"/>
      <c r="L280" s="56"/>
      <c r="M280" s="56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 t="str">
        <f>'Agents'' Final Roster 0913-0919'!J225</f>
        <v>DVH</v>
      </c>
      <c r="AA280" s="53"/>
      <c r="AB280" s="53"/>
      <c r="AC280" s="53"/>
      <c r="AD280" s="84"/>
      <c r="AE280" s="53"/>
      <c r="AF280" s="53"/>
      <c r="AG280" s="53"/>
      <c r="AH280" s="53"/>
      <c r="AI280" s="53"/>
      <c r="AJ280" s="58"/>
      <c r="AK280" s="58"/>
      <c r="AL280" s="59"/>
      <c r="AM280" s="60"/>
      <c r="AN280" s="62"/>
      <c r="AO280" s="66"/>
    </row>
    <row r="281" spans="1:41">
      <c r="A281" s="52" t="str">
        <f>'Agents'' Final Roster 0913-0919'!A226</f>
        <v>Ortiz Jose María</v>
      </c>
      <c r="B281" s="53" t="str">
        <f>'Agents'' Final Roster 0913-0919'!B226</f>
        <v>Silva Gabriel Alberto</v>
      </c>
      <c r="C281" s="53" t="str">
        <f>'Agents'' Final Roster 0913-0919'!C226</f>
        <v>Pacheco</v>
      </c>
      <c r="D281" s="53" t="str">
        <f>'Agents'' Final Roster 0913-0919'!D226</f>
        <v>Florencia Agostina</v>
      </c>
      <c r="E281" s="53"/>
      <c r="F281" s="53"/>
      <c r="G281" s="53"/>
      <c r="H281" s="53"/>
      <c r="I281" s="53"/>
      <c r="J281" s="53"/>
      <c r="K281" s="53"/>
      <c r="L281" s="56"/>
      <c r="M281" s="56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 t="str">
        <f>'Agents'' Final Roster 0913-0919'!J226</f>
        <v>DVH</v>
      </c>
      <c r="AA281" s="53"/>
      <c r="AB281" s="53"/>
      <c r="AC281" s="53"/>
      <c r="AD281" s="84"/>
      <c r="AE281" s="53"/>
      <c r="AF281" s="53"/>
      <c r="AG281" s="53"/>
      <c r="AH281" s="53"/>
      <c r="AI281" s="53"/>
      <c r="AJ281" s="58"/>
      <c r="AK281" s="58"/>
      <c r="AL281" s="59"/>
      <c r="AM281" s="60"/>
      <c r="AN281" s="62"/>
      <c r="AO281" s="66"/>
    </row>
    <row r="282" spans="1:41">
      <c r="A282" s="52" t="str">
        <f>'Agents'' Final Roster 0913-0919'!A227</f>
        <v>Ortiz Jose María</v>
      </c>
      <c r="B282" s="53" t="str">
        <f>'Agents'' Final Roster 0913-0919'!B227</f>
        <v>Silva Gabriel Alberto</v>
      </c>
      <c r="C282" s="53" t="str">
        <f>'Agents'' Final Roster 0913-0919'!C227</f>
        <v>Rayó</v>
      </c>
      <c r="D282" s="53" t="str">
        <f>'Agents'' Final Roster 0913-0919'!D227</f>
        <v>Rodrigo Exequiel</v>
      </c>
      <c r="E282" s="53"/>
      <c r="F282" s="53"/>
      <c r="G282" s="53"/>
      <c r="H282" s="53"/>
      <c r="I282" s="53"/>
      <c r="J282" s="53"/>
      <c r="K282" s="53"/>
      <c r="L282" s="56"/>
      <c r="M282" s="56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 t="str">
        <f>'Agents'' Final Roster 0913-0919'!J227</f>
        <v>DVH</v>
      </c>
      <c r="AA282" s="53"/>
      <c r="AB282" s="53"/>
      <c r="AC282" s="53"/>
      <c r="AD282" s="84"/>
      <c r="AE282" s="53"/>
      <c r="AF282" s="53"/>
      <c r="AG282" s="53"/>
      <c r="AH282" s="53"/>
      <c r="AI282" s="53"/>
      <c r="AJ282" s="58"/>
      <c r="AK282" s="58"/>
      <c r="AL282" s="59"/>
      <c r="AM282" s="60"/>
      <c r="AN282" s="62"/>
      <c r="AO282" s="66"/>
    </row>
    <row r="283" spans="1:41">
      <c r="A283" s="52" t="str">
        <f>'Agents'' Final Roster 0913-0919'!A228</f>
        <v>Perez Zitzke Agustina</v>
      </c>
      <c r="B283" s="53" t="str">
        <f>'Agents'' Final Roster 0913-0919'!B228</f>
        <v>Albornoz Miguel </v>
      </c>
      <c r="C283" s="53" t="str">
        <f>'Agents'' Final Roster 0913-0919'!C228</f>
        <v>Lucero</v>
      </c>
      <c r="D283" s="53" t="str">
        <f>'Agents'' Final Roster 0913-0919'!D228</f>
        <v>Noelia</v>
      </c>
      <c r="E283" s="53"/>
      <c r="F283" s="53"/>
      <c r="G283" s="53"/>
      <c r="H283" s="53"/>
      <c r="I283" s="53"/>
      <c r="J283" s="53"/>
      <c r="K283" s="53"/>
      <c r="L283" s="56"/>
      <c r="M283" s="56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 t="str">
        <f>'Agents'' Final Roster 0913-0919'!J228</f>
        <v>DVH</v>
      </c>
      <c r="AA283" s="53"/>
      <c r="AB283" s="53"/>
      <c r="AC283" s="53"/>
      <c r="AD283" s="84"/>
      <c r="AE283" s="53"/>
      <c r="AF283" s="53"/>
      <c r="AG283" s="53"/>
      <c r="AH283" s="53"/>
      <c r="AI283" s="53"/>
      <c r="AJ283" s="58"/>
      <c r="AK283" s="58"/>
      <c r="AL283" s="59"/>
      <c r="AM283" s="60"/>
      <c r="AN283" s="62"/>
      <c r="AO283" s="66"/>
    </row>
    <row r="284" spans="1:41">
      <c r="A284" s="52" t="str">
        <f>'Agents'' Final Roster 0913-0919'!A229</f>
        <v>Perez Zitzke Agustina</v>
      </c>
      <c r="B284" s="53" t="str">
        <f>'Agents'' Final Roster 0913-0919'!B229</f>
        <v>Albornoz Miguel </v>
      </c>
      <c r="C284" s="53" t="str">
        <f>'Agents'' Final Roster 0913-0919'!C229</f>
        <v>Medina</v>
      </c>
      <c r="D284" s="53" t="str">
        <f>'Agents'' Final Roster 0913-0919'!D229</f>
        <v>Maria del Valle</v>
      </c>
      <c r="E284" s="53"/>
      <c r="F284" s="53"/>
      <c r="G284" s="53"/>
      <c r="H284" s="53"/>
      <c r="I284" s="53"/>
      <c r="J284" s="53"/>
      <c r="K284" s="53"/>
      <c r="L284" s="56"/>
      <c r="M284" s="56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 t="str">
        <f>'Agents'' Final Roster 0913-0919'!J229</f>
        <v>DVH</v>
      </c>
      <c r="AA284" s="53"/>
      <c r="AB284" s="53"/>
      <c r="AC284" s="53"/>
      <c r="AD284" s="84"/>
      <c r="AE284" s="53"/>
      <c r="AF284" s="53"/>
      <c r="AG284" s="53"/>
      <c r="AH284" s="53"/>
      <c r="AI284" s="53"/>
      <c r="AJ284" s="58"/>
      <c r="AK284" s="58"/>
      <c r="AL284" s="59"/>
      <c r="AM284" s="60"/>
      <c r="AN284" s="62"/>
      <c r="AO284" s="66"/>
    </row>
    <row r="285" spans="1:41">
      <c r="A285" s="52" t="str">
        <f>'Agents'' Final Roster 0913-0919'!A230</f>
        <v>Perez Zitzke Agustina</v>
      </c>
      <c r="B285" s="53" t="str">
        <f>'Agents'' Final Roster 0913-0919'!B230</f>
        <v>Albornoz Miguel </v>
      </c>
      <c r="C285" s="53" t="str">
        <f>'Agents'' Final Roster 0913-0919'!C230</f>
        <v>Mendoza</v>
      </c>
      <c r="D285" s="53" t="str">
        <f>'Agents'' Final Roster 0913-0919'!D230</f>
        <v>Rocío Camila</v>
      </c>
      <c r="E285" s="53"/>
      <c r="F285" s="53"/>
      <c r="G285" s="53"/>
      <c r="H285" s="53"/>
      <c r="I285" s="53"/>
      <c r="J285" s="53"/>
      <c r="K285" s="53"/>
      <c r="L285" s="56"/>
      <c r="M285" s="56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 t="str">
        <f>'Agents'' Final Roster 0913-0919'!J230</f>
        <v>DVH</v>
      </c>
      <c r="AA285" s="53"/>
      <c r="AB285" s="53"/>
      <c r="AC285" s="53"/>
      <c r="AD285" s="84"/>
      <c r="AE285" s="85"/>
      <c r="AF285" s="53"/>
      <c r="AG285" s="53"/>
      <c r="AH285" s="53"/>
      <c r="AI285" s="53"/>
      <c r="AJ285" s="86"/>
      <c r="AK285" s="86"/>
      <c r="AL285" s="87"/>
      <c r="AM285" s="60"/>
      <c r="AN285" s="62"/>
      <c r="AO285" s="66"/>
    </row>
    <row r="286" spans="1:41">
      <c r="A286" s="52" t="str">
        <f>'Agents'' Final Roster 0913-0919'!A231</f>
        <v>Perez Zitzke Agustina</v>
      </c>
      <c r="B286" s="53" t="str">
        <f>'Agents'' Final Roster 0913-0919'!B231</f>
        <v>Albornoz Miguel </v>
      </c>
      <c r="C286" s="53" t="str">
        <f>'Agents'' Final Roster 0913-0919'!C231</f>
        <v>Peñaloza</v>
      </c>
      <c r="D286" s="53" t="str">
        <f>'Agents'' Final Roster 0913-0919'!D231</f>
        <v>María Romina</v>
      </c>
      <c r="E286" s="53"/>
      <c r="F286" s="53"/>
      <c r="G286" s="53"/>
      <c r="H286" s="53"/>
      <c r="I286" s="53"/>
      <c r="J286" s="53"/>
      <c r="K286" s="53"/>
      <c r="L286" s="56"/>
      <c r="M286" s="56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 t="str">
        <f>'Agents'' Final Roster 0913-0919'!J231</f>
        <v>DVH</v>
      </c>
      <c r="AA286" s="53"/>
      <c r="AB286" s="53"/>
      <c r="AC286" s="53"/>
      <c r="AD286" s="84"/>
      <c r="AE286" s="85"/>
      <c r="AF286" s="53"/>
      <c r="AG286" s="85"/>
      <c r="AH286" s="53"/>
      <c r="AI286" s="53"/>
      <c r="AJ286" s="86"/>
      <c r="AK286" s="86"/>
      <c r="AL286" s="87"/>
      <c r="AM286" s="60"/>
      <c r="AN286" s="62"/>
      <c r="AO286" s="66"/>
    </row>
    <row r="287" spans="1:41">
      <c r="A287" s="52" t="str">
        <f>'Agents'' Final Roster 0913-0919'!A232</f>
        <v>Perez Zitzke Agustina</v>
      </c>
      <c r="B287" s="53" t="str">
        <f>'Agents'' Final Roster 0913-0919'!B232</f>
        <v>Albornoz Miguel </v>
      </c>
      <c r="C287" s="53" t="str">
        <f>'Agents'' Final Roster 0913-0919'!C232</f>
        <v>Ribotis</v>
      </c>
      <c r="D287" s="53" t="str">
        <f>'Agents'' Final Roster 0913-0919'!D232</f>
        <v>Julieta</v>
      </c>
      <c r="E287" s="53"/>
      <c r="F287" s="53"/>
      <c r="G287" s="53"/>
      <c r="H287" s="53"/>
      <c r="I287" s="53"/>
      <c r="J287" s="53"/>
      <c r="K287" s="53"/>
      <c r="L287" s="56"/>
      <c r="M287" s="56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 t="str">
        <f>'Agents'' Final Roster 0913-0919'!J232</f>
        <v>DVH</v>
      </c>
      <c r="AA287" s="53"/>
      <c r="AB287" s="53"/>
      <c r="AC287" s="53"/>
      <c r="AD287" s="84"/>
      <c r="AE287" s="53"/>
      <c r="AF287" s="53"/>
      <c r="AG287" s="53"/>
      <c r="AH287" s="53"/>
      <c r="AI287" s="53"/>
      <c r="AJ287" s="58"/>
      <c r="AK287" s="58"/>
      <c r="AL287" s="59"/>
      <c r="AM287" s="60"/>
      <c r="AN287" s="62"/>
      <c r="AO287" s="66"/>
    </row>
    <row r="288" spans="1:41">
      <c r="A288" s="52" t="str">
        <f>'Agents'' Final Roster 0913-0919'!A233</f>
        <v>Perez Zitzke Agustina</v>
      </c>
      <c r="B288" s="53" t="str">
        <f>'Agents'' Final Roster 0913-0919'!B233</f>
        <v>Albornoz Miguel </v>
      </c>
      <c r="C288" s="53" t="str">
        <f>'Agents'' Final Roster 0913-0919'!C233</f>
        <v>Risso</v>
      </c>
      <c r="D288" s="53" t="str">
        <f>'Agents'' Final Roster 0913-0919'!D233</f>
        <v>Florencia Marisel</v>
      </c>
      <c r="E288" s="53"/>
      <c r="F288" s="53"/>
      <c r="G288" s="53"/>
      <c r="H288" s="53"/>
      <c r="I288" s="53"/>
      <c r="J288" s="53"/>
      <c r="K288" s="53"/>
      <c r="L288" s="56"/>
      <c r="M288" s="56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 t="str">
        <f>'Agents'' Final Roster 0913-0919'!J233</f>
        <v>DVH</v>
      </c>
      <c r="AA288" s="53"/>
      <c r="AB288" s="53"/>
      <c r="AC288" s="53"/>
      <c r="AD288" s="84"/>
      <c r="AE288" s="53"/>
      <c r="AF288" s="53"/>
      <c r="AG288" s="53"/>
      <c r="AH288" s="53"/>
      <c r="AI288" s="53"/>
      <c r="AJ288" s="58"/>
      <c r="AK288" s="58"/>
      <c r="AL288" s="59"/>
      <c r="AM288" s="60"/>
      <c r="AN288" s="62"/>
      <c r="AO288" s="66"/>
    </row>
    <row r="289" spans="1:41">
      <c r="A289" s="52" t="str">
        <f>'Agents'' Final Roster 0913-0919'!A234</f>
        <v>Perez Zitzke Agustina</v>
      </c>
      <c r="B289" s="53" t="str">
        <f>'Agents'' Final Roster 0913-0919'!B234</f>
        <v>Albornoz Miguel </v>
      </c>
      <c r="C289" s="53" t="str">
        <f>'Agents'' Final Roster 0913-0919'!C234</f>
        <v>Romero</v>
      </c>
      <c r="D289" s="53" t="str">
        <f>'Agents'' Final Roster 0913-0919'!D234</f>
        <v>Florecia Raquel</v>
      </c>
      <c r="E289" s="53"/>
      <c r="F289" s="53"/>
      <c r="G289" s="53"/>
      <c r="H289" s="53"/>
      <c r="I289" s="53"/>
      <c r="J289" s="53"/>
      <c r="K289" s="53"/>
      <c r="L289" s="56"/>
      <c r="M289" s="56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 t="str">
        <f>'Agents'' Final Roster 0913-0919'!J234</f>
        <v>DVH</v>
      </c>
      <c r="AA289" s="53"/>
      <c r="AB289" s="53"/>
      <c r="AC289" s="53"/>
      <c r="AD289" s="84"/>
      <c r="AE289" s="53"/>
      <c r="AF289" s="53"/>
      <c r="AG289" s="53"/>
      <c r="AH289" s="53"/>
      <c r="AI289" s="53"/>
      <c r="AJ289" s="58"/>
      <c r="AK289" s="58"/>
      <c r="AL289" s="59"/>
      <c r="AM289" s="60"/>
      <c r="AN289" s="62"/>
      <c r="AO289" s="66"/>
    </row>
    <row r="290" spans="1:41">
      <c r="A290" s="52" t="str">
        <f>'Agents'' Final Roster 0913-0919'!A235</f>
        <v>Perez Zitzke Agustina</v>
      </c>
      <c r="B290" s="53" t="str">
        <f>'Agents'' Final Roster 0913-0919'!B235</f>
        <v>Albornoz Miguel </v>
      </c>
      <c r="C290" s="53" t="str">
        <f>'Agents'' Final Roster 0913-0919'!C235</f>
        <v>Santucho</v>
      </c>
      <c r="D290" s="53" t="str">
        <f>'Agents'' Final Roster 0913-0919'!D235</f>
        <v>María Soledad</v>
      </c>
      <c r="E290" s="53"/>
      <c r="F290" s="53"/>
      <c r="G290" s="53"/>
      <c r="H290" s="53"/>
      <c r="I290" s="53"/>
      <c r="J290" s="53"/>
      <c r="K290" s="53"/>
      <c r="L290" s="56"/>
      <c r="M290" s="56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 t="str">
        <f>'Agents'' Final Roster 0913-0919'!J235</f>
        <v>DVH</v>
      </c>
      <c r="AA290" s="53"/>
      <c r="AB290" s="53"/>
      <c r="AC290" s="53"/>
      <c r="AD290" s="84"/>
      <c r="AE290" s="53"/>
      <c r="AF290" s="53"/>
      <c r="AG290" s="53"/>
      <c r="AH290" s="53"/>
      <c r="AI290" s="53"/>
      <c r="AJ290" s="58"/>
      <c r="AK290" s="58"/>
      <c r="AL290" s="59"/>
      <c r="AM290" s="60"/>
      <c r="AN290" s="62"/>
      <c r="AO290" s="66"/>
    </row>
    <row r="291" spans="1:41">
      <c r="A291" s="52" t="str">
        <f>'Agents'' Final Roster 0913-0919'!A236</f>
        <v>Perez Zitzke Agustina</v>
      </c>
      <c r="B291" s="53" t="str">
        <f>'Agents'' Final Roster 0913-0919'!B236</f>
        <v>Albornoz Miguel </v>
      </c>
      <c r="C291" s="53" t="str">
        <f>'Agents'' Final Roster 0913-0919'!C236</f>
        <v>Villalba</v>
      </c>
      <c r="D291" s="53" t="str">
        <f>'Agents'' Final Roster 0913-0919'!D236</f>
        <v>Rocío Micaela</v>
      </c>
      <c r="E291" s="53"/>
      <c r="F291" s="53"/>
      <c r="G291" s="53"/>
      <c r="H291" s="53"/>
      <c r="I291" s="53"/>
      <c r="J291" s="53"/>
      <c r="K291" s="53"/>
      <c r="L291" s="56"/>
      <c r="M291" s="56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 t="str">
        <f>'Agents'' Final Roster 0913-0919'!J236</f>
        <v>DVH</v>
      </c>
      <c r="AA291" s="53"/>
      <c r="AB291" s="53"/>
      <c r="AC291" s="53"/>
      <c r="AD291" s="84"/>
      <c r="AE291" s="53"/>
      <c r="AF291" s="53"/>
      <c r="AG291" s="53"/>
      <c r="AH291" s="53"/>
      <c r="AI291" s="53"/>
      <c r="AJ291" s="58"/>
      <c r="AK291" s="58"/>
      <c r="AL291" s="59"/>
      <c r="AM291" s="60"/>
      <c r="AN291" s="62"/>
      <c r="AO291" s="66"/>
    </row>
    <row r="292" spans="1:41">
      <c r="A292" s="52" t="str">
        <f>'Agents'' Final Roster 0913-0919'!A237</f>
        <v>Perez Zitzke Agustina</v>
      </c>
      <c r="B292" s="53" t="str">
        <f>'Agents'' Final Roster 0913-0919'!B237</f>
        <v>Villa Aleman Alejandro Roberto</v>
      </c>
      <c r="C292" s="53" t="str">
        <f>'Agents'' Final Roster 0913-0919'!C237</f>
        <v>Ale</v>
      </c>
      <c r="D292" s="53" t="str">
        <f>'Agents'' Final Roster 0913-0919'!D237</f>
        <v>Micaela Estefania</v>
      </c>
      <c r="E292" s="53"/>
      <c r="F292" s="53"/>
      <c r="G292" s="53"/>
      <c r="H292" s="53"/>
      <c r="I292" s="53"/>
      <c r="J292" s="53"/>
      <c r="K292" s="53"/>
      <c r="L292" s="56"/>
      <c r="M292" s="56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 t="str">
        <f>'Agents'' Final Roster 0913-0919'!J237</f>
        <v>DVH</v>
      </c>
      <c r="AA292" s="53"/>
      <c r="AB292" s="53"/>
      <c r="AC292" s="53"/>
      <c r="AD292" s="53"/>
      <c r="AE292" s="53"/>
      <c r="AF292" s="53"/>
      <c r="AG292" s="53"/>
      <c r="AH292" s="53"/>
      <c r="AI292" s="53"/>
      <c r="AJ292" s="58"/>
      <c r="AK292" s="58"/>
      <c r="AL292" s="59"/>
      <c r="AM292" s="60"/>
      <c r="AN292" s="62"/>
      <c r="AO292" s="66"/>
    </row>
    <row r="293" spans="1:41">
      <c r="A293" s="54" t="str">
        <f>'Agents'' Final Roster 0913-0919'!A238</f>
        <v>Perez Zitzke Agustina</v>
      </c>
      <c r="B293" s="55" t="str">
        <f>'Agents'' Final Roster 0913-0919'!B238</f>
        <v>Grimaldi Agustina Sofía</v>
      </c>
      <c r="C293" s="55" t="str">
        <f>'Agents'' Final Roster 0913-0919'!C238</f>
        <v>Avellaneda</v>
      </c>
      <c r="D293" s="55" t="str">
        <f>'Agents'' Final Roster 0913-0919'!D238</f>
        <v>Nicolás Alfredo</v>
      </c>
      <c r="E293" s="55"/>
      <c r="F293" s="55"/>
      <c r="G293" s="55"/>
      <c r="H293" s="55"/>
      <c r="I293" s="55"/>
      <c r="J293" s="55"/>
      <c r="K293" s="55"/>
      <c r="L293" s="56"/>
      <c r="M293" s="56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 t="str">
        <f>'Agents'' Final Roster 0913-0919'!J238</f>
        <v>Compras Referidas</v>
      </c>
      <c r="AA293" s="53"/>
      <c r="AB293" s="53"/>
      <c r="AC293" s="53"/>
      <c r="AD293" s="53"/>
      <c r="AE293" s="53"/>
      <c r="AF293" s="53"/>
      <c r="AG293" s="53"/>
      <c r="AH293" s="53"/>
      <c r="AI293" s="53"/>
      <c r="AJ293" s="58"/>
      <c r="AK293" s="58"/>
      <c r="AL293" s="59"/>
      <c r="AM293" s="60"/>
      <c r="AN293" s="62"/>
      <c r="AO293" s="66"/>
    </row>
    <row r="294" spans="1:41">
      <c r="A294" s="52" t="str">
        <f>'Agents'' Final Roster 0913-0919'!A239</f>
        <v>Perez Zitzke Agustina</v>
      </c>
      <c r="B294" s="53" t="str">
        <f>'Agents'' Final Roster 0913-0919'!B239</f>
        <v>Grimaldi Agustina Sofía</v>
      </c>
      <c r="C294" s="53" t="str">
        <f>'Agents'' Final Roster 0913-0919'!C239</f>
        <v>Courel</v>
      </c>
      <c r="D294" s="53" t="str">
        <f>'Agents'' Final Roster 0913-0919'!D239</f>
        <v>Axel Nahuel</v>
      </c>
      <c r="E294" s="53"/>
      <c r="F294" s="53"/>
      <c r="G294" s="53"/>
      <c r="H294" s="53"/>
      <c r="I294" s="53"/>
      <c r="J294" s="53"/>
      <c r="K294" s="53"/>
      <c r="L294" s="56"/>
      <c r="M294" s="56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 t="str">
        <f>'Agents'' Final Roster 0913-0919'!J239</f>
        <v>Servicios web</v>
      </c>
      <c r="AA294" s="53"/>
      <c r="AB294" s="53"/>
      <c r="AC294" s="53"/>
      <c r="AD294" s="53"/>
      <c r="AE294" s="53"/>
      <c r="AF294" s="53"/>
      <c r="AG294" s="53"/>
      <c r="AH294" s="53"/>
      <c r="AI294" s="53"/>
      <c r="AJ294" s="58"/>
      <c r="AK294" s="58"/>
      <c r="AL294" s="59"/>
      <c r="AM294" s="60"/>
      <c r="AN294" s="62"/>
      <c r="AO294" s="66"/>
    </row>
    <row r="295" spans="1:41">
      <c r="A295" s="52" t="str">
        <f>'Agents'' Final Roster 0913-0919'!A240</f>
        <v>Perez Zitzke Agustina</v>
      </c>
      <c r="B295" s="53" t="str">
        <f>'Agents'' Final Roster 0913-0919'!B240</f>
        <v>Grimaldi Agustina Sofía</v>
      </c>
      <c r="C295" s="53" t="str">
        <f>'Agents'' Final Roster 0913-0919'!C240</f>
        <v>Gamero Albornoz</v>
      </c>
      <c r="D295" s="53" t="str">
        <f>'Agents'' Final Roster 0913-0919'!D240</f>
        <v>Romina</v>
      </c>
      <c r="E295" s="53"/>
      <c r="F295" s="53"/>
      <c r="G295" s="53"/>
      <c r="H295" s="53"/>
      <c r="I295" s="53"/>
      <c r="J295" s="53"/>
      <c r="K295" s="53"/>
      <c r="L295" s="56"/>
      <c r="M295" s="56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 t="str">
        <f>'Agents'' Final Roster 0913-0919'!J240</f>
        <v>Servicios web</v>
      </c>
      <c r="AA295" s="53"/>
      <c r="AB295" s="53"/>
      <c r="AC295" s="53"/>
      <c r="AD295" s="53"/>
      <c r="AE295" s="53"/>
      <c r="AF295" s="53"/>
      <c r="AG295" s="53"/>
      <c r="AH295" s="53"/>
      <c r="AI295" s="53"/>
      <c r="AJ295" s="58"/>
      <c r="AK295" s="58"/>
      <c r="AL295" s="59"/>
      <c r="AM295" s="60"/>
      <c r="AN295" s="62"/>
      <c r="AO295" s="66"/>
    </row>
    <row r="296" spans="1:41">
      <c r="A296" s="54" t="str">
        <f>'Agents'' Final Roster 0913-0919'!A241</f>
        <v>Perez Zitzke Agustina</v>
      </c>
      <c r="B296" s="55" t="str">
        <f>'Agents'' Final Roster 0913-0919'!B241</f>
        <v>Villa Aleman Alejandro Roberto</v>
      </c>
      <c r="C296" s="55" t="str">
        <f>'Agents'' Final Roster 0913-0919'!C241</f>
        <v>Gomez Toledo</v>
      </c>
      <c r="D296" s="55" t="str">
        <f>'Agents'' Final Roster 0913-0919'!D241</f>
        <v>Marianela Lujan</v>
      </c>
      <c r="E296" s="55"/>
      <c r="F296" s="55"/>
      <c r="G296" s="55"/>
      <c r="H296" s="55"/>
      <c r="I296" s="55"/>
      <c r="J296" s="55"/>
      <c r="K296" s="55"/>
      <c r="L296" s="56"/>
      <c r="M296" s="56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 t="str">
        <f>'Agents'' Final Roster 0913-0919'!J241</f>
        <v>DVH</v>
      </c>
      <c r="AA296" s="53"/>
      <c r="AB296" s="53"/>
      <c r="AC296" s="53"/>
      <c r="AD296" s="53"/>
      <c r="AE296" s="53"/>
      <c r="AF296" s="53"/>
      <c r="AG296" s="53"/>
      <c r="AH296" s="53"/>
      <c r="AI296" s="53"/>
      <c r="AJ296" s="58"/>
      <c r="AK296" s="58"/>
      <c r="AL296" s="59"/>
      <c r="AM296" s="60"/>
      <c r="AN296" s="62"/>
      <c r="AO296" s="66"/>
    </row>
    <row r="297" spans="1:41">
      <c r="A297" s="52" t="str">
        <f>'Agents'' Final Roster 0913-0919'!A242</f>
        <v>Perez Zitzke Agustina</v>
      </c>
      <c r="B297" s="53" t="str">
        <f>'Agents'' Final Roster 0913-0919'!B242</f>
        <v>Grimaldi Agustina Sofía</v>
      </c>
      <c r="C297" s="53" t="str">
        <f>'Agents'' Final Roster 0913-0919'!C242</f>
        <v>Juarez</v>
      </c>
      <c r="D297" s="53" t="str">
        <f>'Agents'' Final Roster 0913-0919'!D242</f>
        <v>Luciano Matias</v>
      </c>
      <c r="E297" s="53"/>
      <c r="F297" s="53"/>
      <c r="G297" s="53"/>
      <c r="H297" s="53"/>
      <c r="I297" s="53"/>
      <c r="J297" s="53"/>
      <c r="K297" s="53"/>
      <c r="L297" s="56"/>
      <c r="M297" s="56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 t="str">
        <f>'Agents'' Final Roster 0913-0919'!J242</f>
        <v>Servicios web</v>
      </c>
      <c r="AA297" s="53"/>
      <c r="AB297" s="53"/>
      <c r="AC297" s="53"/>
      <c r="AD297" s="53"/>
      <c r="AE297" s="53"/>
      <c r="AF297" s="53"/>
      <c r="AG297" s="53"/>
      <c r="AH297" s="53"/>
      <c r="AI297" s="53"/>
      <c r="AJ297" s="58"/>
      <c r="AK297" s="58"/>
      <c r="AL297" s="59"/>
      <c r="AM297" s="60"/>
      <c r="AN297" s="62"/>
      <c r="AO297" s="66"/>
    </row>
    <row r="298" spans="1:41">
      <c r="A298" s="52" t="str">
        <f>'Agents'' Final Roster 0913-0919'!A243</f>
        <v>Perez Zitzke Agustina</v>
      </c>
      <c r="B298" s="53" t="str">
        <f>'Agents'' Final Roster 0913-0919'!B243</f>
        <v>Grimaldi Agustina Sofía</v>
      </c>
      <c r="C298" s="53" t="str">
        <f>'Agents'' Final Roster 0913-0919'!C243</f>
        <v>Juarez</v>
      </c>
      <c r="D298" s="53" t="str">
        <f>'Agents'' Final Roster 0913-0919'!D243</f>
        <v>Ana Sofia</v>
      </c>
      <c r="E298" s="53"/>
      <c r="F298" s="53"/>
      <c r="G298" s="53"/>
      <c r="H298" s="53"/>
      <c r="I298" s="53"/>
      <c r="J298" s="53"/>
      <c r="K298" s="53"/>
      <c r="L298" s="56"/>
      <c r="M298" s="56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 t="str">
        <f>'Agents'' Final Roster 0913-0919'!J243</f>
        <v>Servicios web</v>
      </c>
      <c r="AA298" s="53"/>
      <c r="AB298" s="53"/>
      <c r="AC298" s="53"/>
      <c r="AD298" s="53"/>
      <c r="AE298" s="53"/>
      <c r="AF298" s="53"/>
      <c r="AG298" s="53"/>
      <c r="AH298" s="53"/>
      <c r="AI298" s="53"/>
      <c r="AJ298" s="58"/>
      <c r="AK298" s="58"/>
      <c r="AL298" s="59"/>
      <c r="AM298" s="60"/>
      <c r="AN298" s="62"/>
      <c r="AO298" s="66"/>
    </row>
    <row r="299" spans="1:41">
      <c r="A299" s="52" t="str">
        <f>'Agents'' Final Roster 0913-0919'!A244</f>
        <v>Perez Zitzke Agustina</v>
      </c>
      <c r="B299" s="53" t="str">
        <f>'Agents'' Final Roster 0913-0919'!B244</f>
        <v>Grimaldi Agustina Sofía</v>
      </c>
      <c r="C299" s="53" t="str">
        <f>'Agents'' Final Roster 0913-0919'!C244</f>
        <v>Mariani</v>
      </c>
      <c r="D299" s="53" t="str">
        <f>'Agents'' Final Roster 0913-0919'!D244</f>
        <v>Maria Cecilia</v>
      </c>
      <c r="E299" s="53"/>
      <c r="F299" s="53"/>
      <c r="G299" s="53"/>
      <c r="H299" s="53"/>
      <c r="I299" s="53"/>
      <c r="J299" s="53"/>
      <c r="K299" s="53"/>
      <c r="L299" s="56"/>
      <c r="M299" s="56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 t="str">
        <f>'Agents'' Final Roster 0913-0919'!J244</f>
        <v>DVH</v>
      </c>
      <c r="AA299" s="53"/>
      <c r="AB299" s="53"/>
      <c r="AC299" s="53"/>
      <c r="AD299" s="53"/>
      <c r="AE299" s="53"/>
      <c r="AF299" s="53"/>
      <c r="AG299" s="53"/>
      <c r="AH299" s="53"/>
      <c r="AI299" s="53"/>
      <c r="AJ299" s="58"/>
      <c r="AK299" s="58"/>
      <c r="AL299" s="59"/>
      <c r="AM299" s="60"/>
      <c r="AN299" s="62"/>
      <c r="AO299" s="66"/>
    </row>
    <row r="300" spans="1:41">
      <c r="A300" s="52" t="str">
        <f>'Agents'' Final Roster 0913-0919'!A245</f>
        <v>Perez Zitzke Agustina</v>
      </c>
      <c r="B300" s="53" t="str">
        <f>'Agents'' Final Roster 0913-0919'!B245</f>
        <v>Grimaldi Agustina Sofía</v>
      </c>
      <c r="C300" s="53" t="str">
        <f>'Agents'' Final Roster 0913-0919'!C245</f>
        <v>Mendez</v>
      </c>
      <c r="D300" s="53" t="str">
        <f>'Agents'' Final Roster 0913-0919'!D245</f>
        <v>Leandro Dario</v>
      </c>
      <c r="E300" s="53"/>
      <c r="F300" s="53"/>
      <c r="G300" s="53"/>
      <c r="H300" s="53"/>
      <c r="I300" s="53"/>
      <c r="J300" s="53"/>
      <c r="K300" s="53"/>
      <c r="L300" s="56"/>
      <c r="M300" s="56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 t="str">
        <f>'Agents'' Final Roster 0913-0919'!J245</f>
        <v>Servicios web</v>
      </c>
      <c r="AA300" s="53"/>
      <c r="AB300" s="53"/>
      <c r="AC300" s="53"/>
      <c r="AD300" s="53"/>
      <c r="AE300" s="53"/>
      <c r="AF300" s="53"/>
      <c r="AG300" s="53"/>
      <c r="AH300" s="53"/>
      <c r="AI300" s="53"/>
      <c r="AJ300" s="58"/>
      <c r="AK300" s="58"/>
      <c r="AL300" s="59"/>
      <c r="AM300" s="60"/>
      <c r="AN300" s="62"/>
      <c r="AO300" s="66"/>
    </row>
    <row r="301" spans="1:41">
      <c r="A301" s="54" t="str">
        <f>'Agents'' Final Roster 0913-0919'!A246</f>
        <v>Perez Zitzke Agustina</v>
      </c>
      <c r="B301" s="55" t="str">
        <f>'Agents'' Final Roster 0913-0919'!B246</f>
        <v>Grimaldi Agustina Sofía</v>
      </c>
      <c r="C301" s="55" t="str">
        <f>'Agents'' Final Roster 0913-0919'!C246</f>
        <v>Monges</v>
      </c>
      <c r="D301" s="55" t="str">
        <f>'Agents'' Final Roster 0913-0919'!D246</f>
        <v>Elina Teresa</v>
      </c>
      <c r="E301" s="55"/>
      <c r="F301" s="55"/>
      <c r="G301" s="55"/>
      <c r="H301" s="55"/>
      <c r="I301" s="55"/>
      <c r="J301" s="55"/>
      <c r="K301" s="55"/>
      <c r="L301" s="56"/>
      <c r="M301" s="56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 t="str">
        <f>'Agents'' Final Roster 0913-0919'!J246</f>
        <v>Servicios web</v>
      </c>
      <c r="AA301" s="53"/>
      <c r="AB301" s="53"/>
      <c r="AC301" s="53"/>
      <c r="AD301" s="53"/>
      <c r="AE301" s="53"/>
      <c r="AF301" s="53"/>
      <c r="AG301" s="53"/>
      <c r="AH301" s="53"/>
      <c r="AI301" s="53"/>
      <c r="AJ301" s="58"/>
      <c r="AK301" s="58"/>
      <c r="AL301" s="59"/>
      <c r="AM301" s="60"/>
      <c r="AN301" s="62"/>
      <c r="AO301" s="66"/>
    </row>
    <row r="302" spans="1:41">
      <c r="A302" s="52" t="str">
        <f>'Agents'' Final Roster 0913-0919'!A247</f>
        <v>Perez Zitzke Agustina</v>
      </c>
      <c r="B302" s="53" t="str">
        <f>'Agents'' Final Roster 0913-0919'!B247</f>
        <v>Grimaldi Agustina Sofía</v>
      </c>
      <c r="C302" s="53" t="str">
        <f>'Agents'' Final Roster 0913-0919'!C247</f>
        <v>Olivera</v>
      </c>
      <c r="D302" s="53" t="str">
        <f>'Agents'' Final Roster 0913-0919'!D247</f>
        <v>Irene Marcia</v>
      </c>
      <c r="E302" s="53"/>
      <c r="F302" s="53"/>
      <c r="G302" s="53"/>
      <c r="H302" s="53"/>
      <c r="I302" s="53"/>
      <c r="J302" s="53"/>
      <c r="K302" s="53"/>
      <c r="L302" s="56"/>
      <c r="M302" s="56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 t="str">
        <f>'Agents'' Final Roster 0913-0919'!J247</f>
        <v>Servicios web</v>
      </c>
      <c r="AA302" s="53"/>
      <c r="AB302" s="53"/>
      <c r="AC302" s="53"/>
      <c r="AD302" s="53"/>
      <c r="AE302" s="53"/>
      <c r="AF302" s="53"/>
      <c r="AG302" s="53"/>
      <c r="AH302" s="53"/>
      <c r="AI302" s="53"/>
      <c r="AJ302" s="58"/>
      <c r="AK302" s="58"/>
      <c r="AL302" s="59"/>
      <c r="AM302" s="60"/>
      <c r="AN302" s="62"/>
      <c r="AO302" s="66"/>
    </row>
    <row r="303" spans="1:41">
      <c r="A303" s="52" t="str">
        <f>'Agents'' Final Roster 0913-0919'!A248</f>
        <v>Perez Zitzke Agustina</v>
      </c>
      <c r="B303" s="53" t="str">
        <f>'Agents'' Final Roster 0913-0919'!B248</f>
        <v>Grimaldi Agustina Sofía</v>
      </c>
      <c r="C303" s="53" t="str">
        <f>'Agents'' Final Roster 0913-0919'!C248</f>
        <v>Porello</v>
      </c>
      <c r="D303" s="53" t="str">
        <f>'Agents'' Final Roster 0913-0919'!D248</f>
        <v>Maria Belén</v>
      </c>
      <c r="E303" s="53"/>
      <c r="F303" s="53"/>
      <c r="G303" s="53"/>
      <c r="H303" s="53"/>
      <c r="I303" s="53"/>
      <c r="J303" s="53"/>
      <c r="K303" s="53"/>
      <c r="L303" s="56"/>
      <c r="M303" s="56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 t="str">
        <f>'Agents'' Final Roster 0913-0919'!J248</f>
        <v>Compras Referidas</v>
      </c>
      <c r="AA303" s="53"/>
      <c r="AB303" s="53"/>
      <c r="AC303" s="53"/>
      <c r="AD303" s="53"/>
      <c r="AE303" s="53"/>
      <c r="AF303" s="53"/>
      <c r="AG303" s="53"/>
      <c r="AH303" s="53"/>
      <c r="AI303" s="53"/>
      <c r="AJ303" s="58"/>
      <c r="AK303" s="58"/>
      <c r="AL303" s="59"/>
      <c r="AM303" s="60"/>
      <c r="AN303" s="62"/>
      <c r="AO303" s="66"/>
    </row>
    <row r="304" spans="1:41">
      <c r="A304" s="54" t="str">
        <f>'Agents'' Final Roster 0913-0919'!A249</f>
        <v>Perez Zitzke Agustina</v>
      </c>
      <c r="B304" s="55" t="str">
        <f>'Agents'' Final Roster 0913-0919'!B249</f>
        <v>Villa Aleman Alejandro Roberto</v>
      </c>
      <c r="C304" s="55" t="str">
        <f>'Agents'' Final Roster 0913-0919'!C249</f>
        <v>Ricci</v>
      </c>
      <c r="D304" s="55" t="str">
        <f>'Agents'' Final Roster 0913-0919'!D249</f>
        <v>Rocio del Valle</v>
      </c>
      <c r="E304" s="55"/>
      <c r="F304" s="55"/>
      <c r="G304" s="55"/>
      <c r="H304" s="55"/>
      <c r="I304" s="55"/>
      <c r="J304" s="55"/>
      <c r="K304" s="55"/>
      <c r="L304" s="56"/>
      <c r="M304" s="56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 t="str">
        <f>'Agents'' Final Roster 0913-0919'!J249</f>
        <v>CSV2</v>
      </c>
      <c r="AA304" s="53"/>
      <c r="AB304" s="53"/>
      <c r="AC304" s="53"/>
      <c r="AD304" s="53"/>
      <c r="AE304" s="53"/>
      <c r="AF304" s="53"/>
      <c r="AG304" s="53"/>
      <c r="AH304" s="53"/>
      <c r="AI304" s="53"/>
      <c r="AJ304" s="58"/>
      <c r="AK304" s="58"/>
      <c r="AL304" s="59"/>
      <c r="AM304" s="60"/>
      <c r="AN304" s="62"/>
      <c r="AO304" s="66"/>
    </row>
    <row r="305" spans="1:41">
      <c r="A305" s="54" t="str">
        <f>'Agents'' Final Roster 0913-0919'!A250</f>
        <v>Perez Zitzke Agustina</v>
      </c>
      <c r="B305" s="55" t="str">
        <f>'Agents'' Final Roster 0913-0919'!B250</f>
        <v>Grimaldi Agustina Sofía</v>
      </c>
      <c r="C305" s="55" t="str">
        <f>'Agents'' Final Roster 0913-0919'!C250</f>
        <v>Sosa</v>
      </c>
      <c r="D305" s="55" t="str">
        <f>'Agents'' Final Roster 0913-0919'!D250</f>
        <v>Maria Lucia</v>
      </c>
      <c r="E305" s="55"/>
      <c r="F305" s="55"/>
      <c r="G305" s="55"/>
      <c r="H305" s="55"/>
      <c r="I305" s="55"/>
      <c r="J305" s="55"/>
      <c r="K305" s="55"/>
      <c r="L305" s="56"/>
      <c r="M305" s="56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 t="str">
        <f>'Agents'' Final Roster 0913-0919'!J250</f>
        <v>Compras Referidas</v>
      </c>
      <c r="AA305" s="53"/>
      <c r="AB305" s="53"/>
      <c r="AC305" s="53"/>
      <c r="AD305" s="53"/>
      <c r="AE305" s="53"/>
      <c r="AF305" s="53"/>
      <c r="AG305" s="53"/>
      <c r="AH305" s="53"/>
      <c r="AI305" s="53"/>
      <c r="AJ305" s="58"/>
      <c r="AK305" s="58"/>
      <c r="AL305" s="59"/>
      <c r="AM305" s="60"/>
      <c r="AN305" s="62"/>
      <c r="AO305" s="66"/>
    </row>
    <row r="306" spans="1:41">
      <c r="A306" s="52" t="str">
        <f>'Agents'' Final Roster 0913-0919'!A251</f>
        <v>Perez Zitzke Agustina</v>
      </c>
      <c r="B306" s="53" t="str">
        <f>'Agents'' Final Roster 0913-0919'!B251</f>
        <v>Grimaldi Agustina Sofía</v>
      </c>
      <c r="C306" s="53" t="str">
        <f>'Agents'' Final Roster 0913-0919'!C251</f>
        <v>Uncos</v>
      </c>
      <c r="D306" s="53" t="str">
        <f>'Agents'' Final Roster 0913-0919'!D251</f>
        <v>Cristian Carlos</v>
      </c>
      <c r="E306" s="53"/>
      <c r="F306" s="53"/>
      <c r="G306" s="53"/>
      <c r="H306" s="53"/>
      <c r="I306" s="53"/>
      <c r="J306" s="53"/>
      <c r="K306" s="53"/>
      <c r="L306" s="56"/>
      <c r="M306" s="56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 t="str">
        <f>'Agents'' Final Roster 0913-0919'!J251</f>
        <v>Compras Referidas</v>
      </c>
      <c r="AA306" s="53"/>
      <c r="AB306" s="53"/>
      <c r="AC306" s="53"/>
      <c r="AD306" s="53"/>
      <c r="AE306" s="53"/>
      <c r="AF306" s="53"/>
      <c r="AG306" s="53"/>
      <c r="AH306" s="53"/>
      <c r="AI306" s="53"/>
      <c r="AJ306" s="58"/>
      <c r="AK306" s="58"/>
      <c r="AL306" s="59"/>
      <c r="AM306" s="60"/>
      <c r="AN306" s="62"/>
      <c r="AO306" s="66"/>
    </row>
    <row r="307" spans="1:41">
      <c r="A307" s="52" t="e">
        <f>'Agents'' Final Roster 0913-0919'!#REF!</f>
        <v>#REF!</v>
      </c>
      <c r="B307" s="53" t="e">
        <f>'Agents'' Final Roster 0913-0919'!#REF!</f>
        <v>#REF!</v>
      </c>
      <c r="C307" s="53" t="e">
        <f>'Agents'' Final Roster 0913-0919'!#REF!</f>
        <v>#REF!</v>
      </c>
      <c r="D307" s="53" t="e">
        <f>'Agents'' Final Roster 0913-0919'!#REF!</f>
        <v>#REF!</v>
      </c>
      <c r="E307" s="53"/>
      <c r="F307" s="53"/>
      <c r="G307" s="53"/>
      <c r="H307" s="53"/>
      <c r="I307" s="53"/>
      <c r="J307" s="53"/>
      <c r="K307" s="53"/>
      <c r="L307" s="56"/>
      <c r="M307" s="56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 t="e">
        <f>'Agents'' Final Roster 0913-0919'!#REF!</f>
        <v>#REF!</v>
      </c>
      <c r="AA307" s="53"/>
      <c r="AB307" s="53"/>
      <c r="AC307" s="53"/>
      <c r="AD307" s="53"/>
      <c r="AE307" s="53"/>
      <c r="AF307" s="53"/>
      <c r="AG307" s="53"/>
      <c r="AH307" s="53"/>
      <c r="AI307" s="53"/>
      <c r="AJ307" s="58"/>
      <c r="AK307" s="58"/>
      <c r="AL307" s="59"/>
      <c r="AM307" s="60"/>
      <c r="AN307" s="62"/>
      <c r="AO307" s="66"/>
    </row>
    <row r="308" spans="1:41">
      <c r="A308" s="52" t="e">
        <f>'Agents'' Final Roster 0913-0919'!#REF!</f>
        <v>#REF!</v>
      </c>
      <c r="B308" s="53" t="e">
        <f>'Agents'' Final Roster 0913-0919'!#REF!</f>
        <v>#REF!</v>
      </c>
      <c r="C308" s="53" t="e">
        <f>'Agents'' Final Roster 0913-0919'!#REF!</f>
        <v>#REF!</v>
      </c>
      <c r="D308" s="53" t="e">
        <f>'Agents'' Final Roster 0913-0919'!#REF!</f>
        <v>#REF!</v>
      </c>
      <c r="E308" s="53"/>
      <c r="F308" s="53"/>
      <c r="G308" s="53"/>
      <c r="H308" s="53"/>
      <c r="I308" s="53"/>
      <c r="J308" s="53"/>
      <c r="K308" s="53"/>
      <c r="L308" s="56"/>
      <c r="M308" s="56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 t="e">
        <f>'Agents'' Final Roster 0913-0919'!#REF!</f>
        <v>#REF!</v>
      </c>
      <c r="AA308" s="53"/>
      <c r="AB308" s="53"/>
      <c r="AC308" s="53"/>
      <c r="AD308" s="53"/>
      <c r="AE308" s="53"/>
      <c r="AF308" s="53"/>
      <c r="AG308" s="53"/>
      <c r="AH308" s="53"/>
      <c r="AI308" s="53"/>
      <c r="AJ308" s="58"/>
      <c r="AK308" s="58"/>
      <c r="AL308" s="59"/>
      <c r="AM308" s="60"/>
      <c r="AN308" s="62"/>
      <c r="AO308" s="66"/>
    </row>
    <row r="309" spans="1:41">
      <c r="A309" s="52" t="str">
        <f>'Agents'' Final Roster 0913-0919'!A252</f>
        <v>Perez Zitzke Agustina</v>
      </c>
      <c r="B309" s="53" t="str">
        <f>'Agents'' Final Roster 0913-0919'!B252</f>
        <v>Villa Aleman Alejandro Roberto</v>
      </c>
      <c r="C309" s="53" t="str">
        <f>'Agents'' Final Roster 0913-0919'!C252</f>
        <v>Villa</v>
      </c>
      <c r="D309" s="53" t="str">
        <f>'Agents'' Final Roster 0913-0919'!D252</f>
        <v>Luciana Pamela</v>
      </c>
      <c r="E309" s="53"/>
      <c r="F309" s="53"/>
      <c r="G309" s="53"/>
      <c r="H309" s="53"/>
      <c r="I309" s="53"/>
      <c r="J309" s="53"/>
      <c r="K309" s="53"/>
      <c r="L309" s="56"/>
      <c r="M309" s="56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 t="str">
        <f>'Agents'' Final Roster 0913-0919'!J252</f>
        <v>CSV2</v>
      </c>
      <c r="AA309" s="53"/>
      <c r="AB309" s="53"/>
      <c r="AC309" s="53"/>
      <c r="AD309" s="53"/>
      <c r="AE309" s="53"/>
      <c r="AF309" s="53"/>
      <c r="AG309" s="53"/>
      <c r="AH309" s="53"/>
      <c r="AI309" s="53"/>
      <c r="AJ309" s="58"/>
      <c r="AK309" s="58"/>
      <c r="AL309" s="59"/>
      <c r="AM309" s="60"/>
      <c r="AN309" s="62"/>
      <c r="AO309" s="66"/>
    </row>
    <row r="310" ht="15.75" spans="1:41">
      <c r="A310" s="81" t="str">
        <f>'Agents'' Final Roster 0913-0919'!A253</f>
        <v>Perez Zitzke Agustina</v>
      </c>
      <c r="B310" s="82" t="str">
        <f>'Agents'' Final Roster 0913-0919'!B253</f>
        <v>Grimaldi Agustina Sofía</v>
      </c>
      <c r="C310" s="82" t="str">
        <f>'Agents'' Final Roster 0913-0919'!C253</f>
        <v>Zamorano Ortiz</v>
      </c>
      <c r="D310" s="82" t="str">
        <f>'Agents'' Final Roster 0913-0919'!D253</f>
        <v>Gabriel Martin</v>
      </c>
      <c r="E310" s="82"/>
      <c r="F310" s="82"/>
      <c r="G310" s="82"/>
      <c r="H310" s="82"/>
      <c r="I310" s="82"/>
      <c r="J310" s="82"/>
      <c r="K310" s="82"/>
      <c r="L310" s="83"/>
      <c r="M310" s="83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 t="str">
        <f>'Agents'' Final Roster 0913-0919'!J253</f>
        <v>Compras Referidas</v>
      </c>
      <c r="AA310" s="82"/>
      <c r="AB310" s="82"/>
      <c r="AC310" s="82"/>
      <c r="AD310" s="82"/>
      <c r="AE310" s="82"/>
      <c r="AF310" s="82"/>
      <c r="AG310" s="82"/>
      <c r="AH310" s="82"/>
      <c r="AI310" s="82"/>
      <c r="AJ310" s="88"/>
      <c r="AK310" s="88"/>
      <c r="AL310" s="89"/>
      <c r="AM310" s="90"/>
      <c r="AN310" s="91"/>
      <c r="AO310" s="92"/>
    </row>
    <row r="311" customFormat="1" spans="1:26">
      <c r="A311" t="str">
        <f>'Agents'' Final Roster 0913-0919'!A254</f>
        <v>Perez Zitzke Agustina</v>
      </c>
      <c r="B311" t="str">
        <f>'Agents'' Final Roster 0913-0919'!B254</f>
        <v>Palomino Juan Pablo</v>
      </c>
      <c r="C311" t="str">
        <f>'Agents'' Final Roster 0913-0919'!C254</f>
        <v>Agüero</v>
      </c>
      <c r="D311" t="str">
        <f>'Agents'' Final Roster 0913-0919'!D254</f>
        <v>Fatima Noemi</v>
      </c>
      <c r="Z311" t="str">
        <f>'Agents'' Final Roster 0913-0919'!J254</f>
        <v>CSV1</v>
      </c>
    </row>
    <row r="312" customFormat="1" spans="1:26">
      <c r="A312" t="str">
        <f>'Agents'' Final Roster 0913-0919'!A255</f>
        <v>Perez Zitzke Agustina</v>
      </c>
      <c r="B312" t="str">
        <f>'Agents'' Final Roster 0913-0919'!B255</f>
        <v>Palomino Juan Pablo</v>
      </c>
      <c r="C312" t="str">
        <f>'Agents'' Final Roster 0913-0919'!C255</f>
        <v>Aguero Peralta</v>
      </c>
      <c r="D312" t="str">
        <f>'Agents'' Final Roster 0913-0919'!D255</f>
        <v>Edith Alejandra Mabel</v>
      </c>
      <c r="Z312" t="str">
        <f>'Agents'' Final Roster 0913-0919'!J255</f>
        <v>DVH</v>
      </c>
    </row>
    <row r="313" customFormat="1" spans="1:26">
      <c r="A313" t="str">
        <f>'Agents'' Final Roster 0913-0919'!A256</f>
        <v>Perez Zitzke Agustina</v>
      </c>
      <c r="B313" t="str">
        <f>'Agents'' Final Roster 0913-0919'!B256</f>
        <v>Palomino Juan Pablo</v>
      </c>
      <c r="C313" t="str">
        <f>'Agents'' Final Roster 0913-0919'!C256</f>
        <v>Almaraz</v>
      </c>
      <c r="D313" t="str">
        <f>'Agents'' Final Roster 0913-0919'!D256</f>
        <v>Leonela María del Valle</v>
      </c>
      <c r="Z313" t="str">
        <f>'Agents'' Final Roster 0913-0919'!J256</f>
        <v>CSV1</v>
      </c>
    </row>
    <row r="314" customFormat="1" spans="1:26">
      <c r="A314" t="str">
        <f>'Agents'' Final Roster 0913-0919'!A257</f>
        <v>Perez Zitzke Agustina</v>
      </c>
      <c r="B314" t="str">
        <f>'Agents'' Final Roster 0913-0919'!B257</f>
        <v>Palomino Juan Pablo</v>
      </c>
      <c r="C314" t="str">
        <f>'Agents'' Final Roster 0913-0919'!C257</f>
        <v>Castillo</v>
      </c>
      <c r="D314" t="str">
        <f>'Agents'' Final Roster 0913-0919'!D257</f>
        <v>Ana Elizabeth</v>
      </c>
      <c r="Z314" t="str">
        <f>'Agents'' Final Roster 0913-0919'!J257</f>
        <v>Servicios web</v>
      </c>
    </row>
    <row r="315" customFormat="1" spans="1:26">
      <c r="A315" t="str">
        <f>'Agents'' Final Roster 0913-0919'!A258</f>
        <v>Perez Zitzke Agustina</v>
      </c>
      <c r="B315" t="str">
        <f>'Agents'' Final Roster 0913-0919'!B258</f>
        <v>Palomino Juan Pablo</v>
      </c>
      <c r="C315" t="str">
        <f>'Agents'' Final Roster 0913-0919'!C258</f>
        <v>Ezquer Texeira</v>
      </c>
      <c r="D315" t="str">
        <f>'Agents'' Final Roster 0913-0919'!D258</f>
        <v>Mariana del Rosario</v>
      </c>
      <c r="Z315" t="str">
        <f>'Agents'' Final Roster 0913-0919'!J258</f>
        <v>DVH</v>
      </c>
    </row>
    <row r="316" customFormat="1" spans="1:26">
      <c r="A316" t="str">
        <f>'Agents'' Final Roster 0913-0919'!A259</f>
        <v>Perez Zitzke Agustina</v>
      </c>
      <c r="B316" t="str">
        <f>'Agents'' Final Roster 0913-0919'!B259</f>
        <v>Palomino Juan Pablo</v>
      </c>
      <c r="C316" t="str">
        <f>'Agents'' Final Roster 0913-0919'!C259</f>
        <v>Garcia</v>
      </c>
      <c r="D316" t="str">
        <f>'Agents'' Final Roster 0913-0919'!D259</f>
        <v>Francisco Antonio</v>
      </c>
      <c r="Z316" t="str">
        <f>'Agents'' Final Roster 0913-0919'!J259</f>
        <v>DVH</v>
      </c>
    </row>
    <row r="317" customFormat="1" spans="1:26">
      <c r="A317" t="str">
        <f>'Agents'' Final Roster 0913-0919'!A260</f>
        <v>Perez Zitzke Agustina</v>
      </c>
      <c r="B317" t="str">
        <f>'Agents'' Final Roster 0913-0919'!B260</f>
        <v>Palomino Juan Pablo</v>
      </c>
      <c r="C317" t="str">
        <f>'Agents'' Final Roster 0913-0919'!C260</f>
        <v>Gomez</v>
      </c>
      <c r="D317" t="str">
        <f>'Agents'' Final Roster 0913-0919'!D260</f>
        <v>Silvana Elizabeth</v>
      </c>
      <c r="Z317" t="str">
        <f>'Agents'' Final Roster 0913-0919'!J260</f>
        <v>CSV1</v>
      </c>
    </row>
    <row r="318" customFormat="1" spans="1:26">
      <c r="A318" t="str">
        <f>'Agents'' Final Roster 0913-0919'!A261</f>
        <v>Perez Zitzke Agustina</v>
      </c>
      <c r="B318" t="str">
        <f>'Agents'' Final Roster 0913-0919'!B261</f>
        <v>Palomino Juan Pablo</v>
      </c>
      <c r="C318" t="str">
        <f>'Agents'' Final Roster 0913-0919'!C261</f>
        <v>Martinez Lorenzo</v>
      </c>
      <c r="D318" t="str">
        <f>'Agents'' Final Roster 0913-0919'!D261</f>
        <v>Nayla Ayelen</v>
      </c>
      <c r="Z318" t="str">
        <f>'Agents'' Final Roster 0913-0919'!J261</f>
        <v>Servicios web</v>
      </c>
    </row>
    <row r="319" customFormat="1" spans="1:26">
      <c r="A319" t="str">
        <f>'Agents'' Final Roster 0913-0919'!A262</f>
        <v>Perez Zitzke Agustina</v>
      </c>
      <c r="B319" t="str">
        <f>'Agents'' Final Roster 0913-0919'!B262</f>
        <v>Palomino Juan Pablo</v>
      </c>
      <c r="C319" t="str">
        <f>'Agents'' Final Roster 0913-0919'!C262</f>
        <v>Mereles Zerda</v>
      </c>
      <c r="D319" t="str">
        <f>'Agents'' Final Roster 0913-0919'!D262</f>
        <v>Ana Carolina</v>
      </c>
      <c r="Z319" t="str">
        <f>'Agents'' Final Roster 0913-0919'!J262</f>
        <v>DVH</v>
      </c>
    </row>
    <row r="320" customFormat="1" spans="1:26">
      <c r="A320" t="str">
        <f>'Agents'' Final Roster 0913-0919'!A263</f>
        <v>Perez Zitzke Agustina</v>
      </c>
      <c r="B320" t="str">
        <f>'Agents'' Final Roster 0913-0919'!B263</f>
        <v>Palomino Juan Pablo</v>
      </c>
      <c r="C320" t="str">
        <f>'Agents'' Final Roster 0913-0919'!C263</f>
        <v>Pacheco</v>
      </c>
      <c r="D320" t="str">
        <f>'Agents'' Final Roster 0913-0919'!D263</f>
        <v>Miguel Alfredo</v>
      </c>
      <c r="Z320" t="str">
        <f>'Agents'' Final Roster 0913-0919'!J263</f>
        <v>Servicios web</v>
      </c>
    </row>
    <row r="321" spans="1:26">
      <c r="A321" s="50" t="str">
        <f>'Agents'' Final Roster 0913-0919'!A264</f>
        <v>Perez Zitzke Agustina</v>
      </c>
      <c r="B321" s="50" t="str">
        <f>'Agents'' Final Roster 0913-0919'!B264</f>
        <v>Palomino Juan Pablo</v>
      </c>
      <c r="C321" s="50" t="str">
        <f>'Agents'' Final Roster 0913-0919'!C264</f>
        <v>Parraga</v>
      </c>
      <c r="D321" s="50" t="str">
        <f>'Agents'' Final Roster 0913-0919'!D264</f>
        <v>Guillermo Nicolas</v>
      </c>
      <c r="Z321" s="50" t="str">
        <f>'Agents'' Final Roster 0913-0919'!J264</f>
        <v>CSV1</v>
      </c>
    </row>
    <row r="322" spans="1:26">
      <c r="A322" s="50" t="str">
        <f>'Agents'' Final Roster 0913-0919'!A265</f>
        <v>Perez Zitzke Agustina</v>
      </c>
      <c r="B322" s="50" t="str">
        <f>'Agents'' Final Roster 0913-0919'!B265</f>
        <v>Palomino Juan Pablo</v>
      </c>
      <c r="C322" s="50" t="str">
        <f>'Agents'' Final Roster 0913-0919'!C265</f>
        <v>Ramirez Zorrilla</v>
      </c>
      <c r="D322" s="50" t="str">
        <f>'Agents'' Final Roster 0913-0919'!D265</f>
        <v>Maria Fernanda</v>
      </c>
      <c r="Z322" s="50" t="str">
        <f>'Agents'' Final Roster 0913-0919'!J265</f>
        <v>CSV1</v>
      </c>
    </row>
    <row r="323" spans="1:26">
      <c r="A323" s="50" t="str">
        <f>'Agents'' Final Roster 0913-0919'!A266</f>
        <v>Perez Zitzke Agustina</v>
      </c>
      <c r="B323" s="50" t="str">
        <f>'Agents'' Final Roster 0913-0919'!B266</f>
        <v>Palomino Juan Pablo</v>
      </c>
      <c r="C323" s="50" t="str">
        <f>'Agents'' Final Roster 0913-0919'!C266</f>
        <v>Rivas</v>
      </c>
      <c r="D323" s="50" t="str">
        <f>'Agents'' Final Roster 0913-0919'!D266</f>
        <v>Yanina Del Valle</v>
      </c>
      <c r="Z323" s="50" t="str">
        <f>'Agents'' Final Roster 0913-0919'!J266</f>
        <v>CSV1</v>
      </c>
    </row>
    <row r="324" spans="1:26">
      <c r="A324" s="50" t="str">
        <f>'Agents'' Final Roster 0913-0919'!A267</f>
        <v>Perez Zitzke Agustina</v>
      </c>
      <c r="B324" s="50" t="str">
        <f>'Agents'' Final Roster 0913-0919'!B267</f>
        <v>Villa Aleman Alejandro Roberto</v>
      </c>
      <c r="C324" s="50" t="str">
        <f>'Agents'' Final Roster 0913-0919'!C267</f>
        <v>Sanchez</v>
      </c>
      <c r="D324" s="50" t="str">
        <f>'Agents'' Final Roster 0913-0919'!D267</f>
        <v>Maria Victoria</v>
      </c>
      <c r="Z324" s="50" t="str">
        <f>'Agents'' Final Roster 0913-0919'!J267</f>
        <v>CSV2</v>
      </c>
    </row>
    <row r="325" spans="1:26">
      <c r="A325" s="50" t="str">
        <f>'Agents'' Final Roster 0913-0919'!A268</f>
        <v>Perez Zitzke Agustina</v>
      </c>
      <c r="B325" s="50" t="str">
        <f>'Agents'' Final Roster 0913-0919'!B268</f>
        <v>Palomino Juan Pablo</v>
      </c>
      <c r="C325" s="50" t="str">
        <f>'Agents'' Final Roster 0913-0919'!C268</f>
        <v>Sanchez</v>
      </c>
      <c r="D325" s="50" t="str">
        <f>'Agents'' Final Roster 0913-0919'!D268</f>
        <v>Rita Victoria</v>
      </c>
      <c r="Z325" s="50" t="str">
        <f>'Agents'' Final Roster 0913-0919'!J268</f>
        <v>DVH</v>
      </c>
    </row>
    <row r="326" spans="1:26">
      <c r="A326" s="50" t="str">
        <f>'Agents'' Final Roster 0913-0919'!A269</f>
        <v>Perez Zitzke Agustina</v>
      </c>
      <c r="B326" s="50" t="str">
        <f>'Agents'' Final Roster 0913-0919'!B269</f>
        <v>Palomino Juan Pablo</v>
      </c>
      <c r="C326" s="50" t="str">
        <f>'Agents'' Final Roster 0913-0919'!C269</f>
        <v>Sanna</v>
      </c>
      <c r="D326" s="50" t="str">
        <f>'Agents'' Final Roster 0913-0919'!D269</f>
        <v>Luis Fernando</v>
      </c>
      <c r="Z326" s="50" t="str">
        <f>'Agents'' Final Roster 0913-0919'!J269</f>
        <v>CSV1</v>
      </c>
    </row>
    <row r="327" spans="1:26">
      <c r="A327" s="50" t="str">
        <f>'Agents'' Final Roster 0913-0919'!A270</f>
        <v>Perez Zitzke Agustina</v>
      </c>
      <c r="B327" s="50" t="str">
        <f>'Agents'' Final Roster 0913-0919'!B270</f>
        <v>Palomino Juan Pablo</v>
      </c>
      <c r="C327" s="50" t="str">
        <f>'Agents'' Final Roster 0913-0919'!C270</f>
        <v>Soria Juarez</v>
      </c>
      <c r="D327" s="50" t="str">
        <f>'Agents'' Final Roster 0913-0919'!D270</f>
        <v>Eugenia Soledad</v>
      </c>
      <c r="Z327" s="50" t="str">
        <f>'Agents'' Final Roster 0913-0919'!J270</f>
        <v>CSV1</v>
      </c>
    </row>
    <row r="328" spans="1:26">
      <c r="A328" s="50" t="str">
        <f>'Agents'' Final Roster 0913-0919'!A271</f>
        <v>Perez Zitzke Agustina</v>
      </c>
      <c r="B328" s="50" t="str">
        <f>'Agents'' Final Roster 0913-0919'!B271</f>
        <v>Palomino Juan Pablo</v>
      </c>
      <c r="C328" s="50" t="str">
        <f>'Agents'' Final Roster 0913-0919'!C271</f>
        <v>Teseyra</v>
      </c>
      <c r="D328" s="50" t="str">
        <f>'Agents'' Final Roster 0913-0919'!D271</f>
        <v>Maria Estefania</v>
      </c>
      <c r="Z328" s="50" t="str">
        <f>'Agents'' Final Roster 0913-0919'!J271</f>
        <v>Habilitaciones</v>
      </c>
    </row>
    <row r="329" spans="1:26">
      <c r="A329" s="50" t="str">
        <f>'Agents'' Final Roster 0913-0919'!A272</f>
        <v>Perez Zitzke Agustina</v>
      </c>
      <c r="B329" s="50" t="str">
        <f>'Agents'' Final Roster 0913-0919'!B272</f>
        <v>Palomino Juan Pablo</v>
      </c>
      <c r="C329" s="50" t="str">
        <f>'Agents'' Final Roster 0913-0919'!C272</f>
        <v>Vizcarra</v>
      </c>
      <c r="D329" s="50" t="str">
        <f>'Agents'' Final Roster 0913-0919'!D272</f>
        <v>Katerina Soledad</v>
      </c>
      <c r="Z329" s="50" t="str">
        <f>'Agents'' Final Roster 0913-0919'!J272</f>
        <v>CSV1</v>
      </c>
    </row>
    <row r="330" spans="1:26">
      <c r="A330" s="50" t="str">
        <f>'Agents'' Final Roster 0913-0919'!A273</f>
        <v>Campero Juarez Maria Guadalupe</v>
      </c>
      <c r="B330" s="50" t="str">
        <f>'Agents'' Final Roster 0913-0919'!B273</f>
        <v>Gregoratti Juan Carlos</v>
      </c>
      <c r="C330" s="50" t="str">
        <f>'Agents'' Final Roster 0913-0919'!C273</f>
        <v>Avellaneda</v>
      </c>
      <c r="D330" s="50" t="str">
        <f>'Agents'' Final Roster 0913-0919'!D273</f>
        <v>Juan Jose</v>
      </c>
      <c r="Z330" s="50" t="str">
        <f>'Agents'' Final Roster 0913-0919'!J273</f>
        <v>CSV2</v>
      </c>
    </row>
    <row r="331" spans="1:26">
      <c r="A331" s="50" t="str">
        <f>'Agents'' Final Roster 0913-0919'!A274</f>
        <v>Perez Zitzke Agustina</v>
      </c>
      <c r="B331" s="50" t="str">
        <f>'Agents'' Final Roster 0913-0919'!B274</f>
        <v>Ramallo Jose Emanuel</v>
      </c>
      <c r="C331" s="50" t="str">
        <f>'Agents'' Final Roster 0913-0919'!C274</f>
        <v>Bazan</v>
      </c>
      <c r="D331" s="50" t="str">
        <f>'Agents'' Final Roster 0913-0919'!D274</f>
        <v>Melina Soledad</v>
      </c>
      <c r="Z331" s="50" t="str">
        <f>'Agents'' Final Roster 0913-0919'!J274</f>
        <v>DVH</v>
      </c>
    </row>
    <row r="332" spans="1:26">
      <c r="A332" s="50" t="str">
        <f>'Agents'' Final Roster 0913-0919'!A275</f>
        <v>Perez Zitzke Agustina</v>
      </c>
      <c r="B332" s="50" t="str">
        <f>'Agents'' Final Roster 0913-0919'!B275</f>
        <v>Ramallo Jose Emanuel</v>
      </c>
      <c r="C332" s="50" t="str">
        <f>'Agents'' Final Roster 0913-0919'!C275</f>
        <v>Bravo</v>
      </c>
      <c r="D332" s="50" t="str">
        <f>'Agents'' Final Roster 0913-0919'!D275</f>
        <v>Agustin Gonzalo</v>
      </c>
      <c r="Z332" s="50" t="str">
        <f>'Agents'' Final Roster 0913-0919'!J275</f>
        <v>Compras Referidas</v>
      </c>
    </row>
    <row r="333" spans="1:26">
      <c r="A333" s="50" t="str">
        <f>'Agents'' Final Roster 0913-0919'!A276</f>
        <v>Perez Zitzke Agustina</v>
      </c>
      <c r="B333" s="50" t="str">
        <f>'Agents'' Final Roster 0913-0919'!B276</f>
        <v>Ramallo Jose Emanuel</v>
      </c>
      <c r="C333" s="50" t="str">
        <f>'Agents'' Final Roster 0913-0919'!C276</f>
        <v>Caamaño</v>
      </c>
      <c r="D333" s="50" t="str">
        <f>'Agents'' Final Roster 0913-0919'!D276</f>
        <v>Emmanuel David</v>
      </c>
      <c r="Z333" s="50" t="str">
        <f>'Agents'' Final Roster 0913-0919'!J276</f>
        <v>CSV2</v>
      </c>
    </row>
    <row r="334" spans="1:26">
      <c r="A334" s="50" t="str">
        <f>'Agents'' Final Roster 0913-0919'!A277</f>
        <v>Perez Zitzke Agustina</v>
      </c>
      <c r="B334" s="50" t="str">
        <f>'Agents'' Final Roster 0913-0919'!B277</f>
        <v>Ramallo Jose Emanuel</v>
      </c>
      <c r="C334" s="50" t="str">
        <f>'Agents'' Final Roster 0913-0919'!C277</f>
        <v>Cáceres</v>
      </c>
      <c r="D334" s="50" t="str">
        <f>'Agents'' Final Roster 0913-0919'!D277</f>
        <v>Jose Maximo</v>
      </c>
      <c r="Z334" s="50" t="str">
        <f>'Agents'' Final Roster 0913-0919'!J277</f>
        <v>Compras Referidas</v>
      </c>
    </row>
    <row r="335" spans="1:26">
      <c r="A335" s="50" t="str">
        <f>'Agents'' Final Roster 0913-0919'!A278</f>
        <v>Perez Zitzke Agustina</v>
      </c>
      <c r="B335" s="50" t="str">
        <f>'Agents'' Final Roster 0913-0919'!B278</f>
        <v>Ramallo Jose Emanuel</v>
      </c>
      <c r="C335" s="50" t="str">
        <f>'Agents'' Final Roster 0913-0919'!C278</f>
        <v>Carmona</v>
      </c>
      <c r="D335" s="50" t="str">
        <f>'Agents'' Final Roster 0913-0919'!D278</f>
        <v>Camila Belen</v>
      </c>
      <c r="Z335" s="50" t="str">
        <f>'Agents'' Final Roster 0913-0919'!J278</f>
        <v>TLMK</v>
      </c>
    </row>
    <row r="336" spans="1:26">
      <c r="A336" s="50" t="str">
        <f>'Agents'' Final Roster 0913-0919'!A279</f>
        <v>Perez Zitzke Agustina</v>
      </c>
      <c r="B336" s="50" t="str">
        <f>'Agents'' Final Roster 0913-0919'!B279</f>
        <v>Ramallo Jose Emanuel</v>
      </c>
      <c r="C336" s="50" t="str">
        <f>'Agents'' Final Roster 0913-0919'!C279</f>
        <v>Dominguez</v>
      </c>
      <c r="D336" s="50" t="str">
        <f>'Agents'' Final Roster 0913-0919'!D279</f>
        <v>Julian Ernesto</v>
      </c>
      <c r="Z336" s="50" t="str">
        <f>'Agents'' Final Roster 0913-0919'!J279</f>
        <v>CSV1</v>
      </c>
    </row>
    <row r="337" spans="1:26">
      <c r="A337" s="50" t="e">
        <f>'Agents'' Final Roster 0913-0919'!#REF!</f>
        <v>#REF!</v>
      </c>
      <c r="B337" s="50" t="e">
        <f>'Agents'' Final Roster 0913-0919'!#REF!</f>
        <v>#REF!</v>
      </c>
      <c r="C337" s="50" t="e">
        <f>'Agents'' Final Roster 0913-0919'!#REF!</f>
        <v>#REF!</v>
      </c>
      <c r="D337" s="50" t="e">
        <f>'Agents'' Final Roster 0913-0919'!#REF!</f>
        <v>#REF!</v>
      </c>
      <c r="Z337" s="50" t="e">
        <f>'Agents'' Final Roster 0913-0919'!#REF!</f>
        <v>#REF!</v>
      </c>
    </row>
    <row r="338" spans="1:26">
      <c r="A338" s="50" t="e">
        <f>'Agents'' Final Roster 0913-0919'!#REF!</f>
        <v>#REF!</v>
      </c>
      <c r="B338" s="50" t="e">
        <f>'Agents'' Final Roster 0913-0919'!#REF!</f>
        <v>#REF!</v>
      </c>
      <c r="C338" s="50" t="e">
        <f>'Agents'' Final Roster 0913-0919'!#REF!</f>
        <v>#REF!</v>
      </c>
      <c r="D338" s="50" t="e">
        <f>'Agents'' Final Roster 0913-0919'!#REF!</f>
        <v>#REF!</v>
      </c>
      <c r="Z338" s="50" t="e">
        <f>'Agents'' Final Roster 0913-0919'!#REF!</f>
        <v>#REF!</v>
      </c>
    </row>
    <row r="339" spans="1:26">
      <c r="A339" s="50" t="e">
        <f>'Agents'' Final Roster 0913-0919'!#REF!</f>
        <v>#REF!</v>
      </c>
      <c r="B339" s="50" t="e">
        <f>'Agents'' Final Roster 0913-0919'!#REF!</f>
        <v>#REF!</v>
      </c>
      <c r="C339" s="50" t="e">
        <f>'Agents'' Final Roster 0913-0919'!#REF!</f>
        <v>#REF!</v>
      </c>
      <c r="D339" s="50" t="e">
        <f>'Agents'' Final Roster 0913-0919'!#REF!</f>
        <v>#REF!</v>
      </c>
      <c r="Z339" s="50" t="e">
        <f>'Agents'' Final Roster 0913-0919'!#REF!</f>
        <v>#REF!</v>
      </c>
    </row>
    <row r="340" spans="1:26">
      <c r="A340" s="50" t="e">
        <f>'Agents'' Final Roster 0913-0919'!#REF!</f>
        <v>#REF!</v>
      </c>
      <c r="B340" s="50" t="e">
        <f>'Agents'' Final Roster 0913-0919'!#REF!</f>
        <v>#REF!</v>
      </c>
      <c r="C340" s="50" t="e">
        <f>'Agents'' Final Roster 0913-0919'!#REF!</f>
        <v>#REF!</v>
      </c>
      <c r="D340" s="50" t="e">
        <f>'Agents'' Final Roster 0913-0919'!#REF!</f>
        <v>#REF!</v>
      </c>
      <c r="Z340" s="50" t="e">
        <f>'Agents'' Final Roster 0913-0919'!#REF!</f>
        <v>#REF!</v>
      </c>
    </row>
    <row r="341" spans="1:26">
      <c r="A341" s="50" t="e">
        <f>'Agents'' Final Roster 0913-0919'!#REF!</f>
        <v>#REF!</v>
      </c>
      <c r="B341" s="50" t="e">
        <f>'Agents'' Final Roster 0913-0919'!#REF!</f>
        <v>#REF!</v>
      </c>
      <c r="C341" s="50" t="e">
        <f>'Agents'' Final Roster 0913-0919'!#REF!</f>
        <v>#REF!</v>
      </c>
      <c r="D341" s="50" t="e">
        <f>'Agents'' Final Roster 0913-0919'!#REF!</f>
        <v>#REF!</v>
      </c>
      <c r="Z341" s="50" t="e">
        <f>'Agents'' Final Roster 0913-0919'!#REF!</f>
        <v>#REF!</v>
      </c>
    </row>
    <row r="342" spans="1:26">
      <c r="A342" s="50" t="e">
        <f>'Agents'' Final Roster 0913-0919'!#REF!</f>
        <v>#REF!</v>
      </c>
      <c r="B342" s="50" t="e">
        <f>'Agents'' Final Roster 0913-0919'!#REF!</f>
        <v>#REF!</v>
      </c>
      <c r="C342" s="50" t="e">
        <f>'Agents'' Final Roster 0913-0919'!#REF!</f>
        <v>#REF!</v>
      </c>
      <c r="D342" s="50" t="e">
        <f>'Agents'' Final Roster 0913-0919'!#REF!</f>
        <v>#REF!</v>
      </c>
      <c r="Z342" s="50" t="e">
        <f>'Agents'' Final Roster 0913-0919'!#REF!</f>
        <v>#REF!</v>
      </c>
    </row>
    <row r="343" spans="1:26">
      <c r="A343" s="50" t="e">
        <f>'Agents'' Final Roster 0913-0919'!#REF!</f>
        <v>#REF!</v>
      </c>
      <c r="B343" s="50" t="e">
        <f>'Agents'' Final Roster 0913-0919'!#REF!</f>
        <v>#REF!</v>
      </c>
      <c r="C343" s="50" t="e">
        <f>'Agents'' Final Roster 0913-0919'!#REF!</f>
        <v>#REF!</v>
      </c>
      <c r="D343" s="50" t="e">
        <f>'Agents'' Final Roster 0913-0919'!#REF!</f>
        <v>#REF!</v>
      </c>
      <c r="Z343" s="50" t="e">
        <f>'Agents'' Final Roster 0913-0919'!#REF!</f>
        <v>#REF!</v>
      </c>
    </row>
    <row r="344" spans="1:26">
      <c r="A344" s="50" t="str">
        <f>'Agents'' Final Roster 0913-0919'!A280</f>
        <v>Perez Zitzke Agustina</v>
      </c>
      <c r="B344" s="50" t="str">
        <f>'Agents'' Final Roster 0913-0919'!B280</f>
        <v>Ramallo Jose Emanuel</v>
      </c>
      <c r="C344" s="50" t="str">
        <f>'Agents'' Final Roster 0913-0919'!C280</f>
        <v>Fernandez</v>
      </c>
      <c r="D344" s="50" t="str">
        <f>'Agents'' Final Roster 0913-0919'!D280</f>
        <v>Luciana Anahi</v>
      </c>
      <c r="Z344" s="50" t="str">
        <f>'Agents'' Final Roster 0913-0919'!J280</f>
        <v>Habilitaciones</v>
      </c>
    </row>
    <row r="345" spans="1:26">
      <c r="A345" s="50" t="e">
        <f>'Agents'' Final Roster 0913-0919'!#REF!</f>
        <v>#REF!</v>
      </c>
      <c r="B345" s="50" t="e">
        <f>'Agents'' Final Roster 0913-0919'!#REF!</f>
        <v>#REF!</v>
      </c>
      <c r="C345" s="50" t="e">
        <f>'Agents'' Final Roster 0913-0919'!#REF!</f>
        <v>#REF!</v>
      </c>
      <c r="D345" s="50" t="e">
        <f>'Agents'' Final Roster 0913-0919'!#REF!</f>
        <v>#REF!</v>
      </c>
      <c r="Z345" s="50" t="e">
        <f>'Agents'' Final Roster 0913-0919'!#REF!</f>
        <v>#REF!</v>
      </c>
    </row>
    <row r="346" spans="1:26">
      <c r="A346" s="50" t="e">
        <f>'Agents'' Final Roster 0913-0919'!#REF!</f>
        <v>#REF!</v>
      </c>
      <c r="B346" s="50" t="e">
        <f>'Agents'' Final Roster 0913-0919'!#REF!</f>
        <v>#REF!</v>
      </c>
      <c r="C346" s="50" t="e">
        <f>'Agents'' Final Roster 0913-0919'!#REF!</f>
        <v>#REF!</v>
      </c>
      <c r="D346" s="50" t="e">
        <f>'Agents'' Final Roster 0913-0919'!#REF!</f>
        <v>#REF!</v>
      </c>
      <c r="Z346" s="50" t="e">
        <f>'Agents'' Final Roster 0913-0919'!#REF!</f>
        <v>#REF!</v>
      </c>
    </row>
    <row r="347" spans="1:26">
      <c r="A347" s="50" t="e">
        <f>'Agents'' Final Roster 0913-0919'!#REF!</f>
        <v>#REF!</v>
      </c>
      <c r="B347" s="50" t="e">
        <f>'Agents'' Final Roster 0913-0919'!#REF!</f>
        <v>#REF!</v>
      </c>
      <c r="C347" s="50" t="e">
        <f>'Agents'' Final Roster 0913-0919'!#REF!</f>
        <v>#REF!</v>
      </c>
      <c r="D347" s="50" t="e">
        <f>'Agents'' Final Roster 0913-0919'!#REF!</f>
        <v>#REF!</v>
      </c>
      <c r="Z347" s="50" t="e">
        <f>'Agents'' Final Roster 0913-0919'!#REF!</f>
        <v>#REF!</v>
      </c>
    </row>
    <row r="348" spans="1:26">
      <c r="A348" s="50" t="e">
        <f>'Agents'' Final Roster 0913-0919'!#REF!</f>
        <v>#REF!</v>
      </c>
      <c r="B348" s="50" t="e">
        <f>'Agents'' Final Roster 0913-0919'!#REF!</f>
        <v>#REF!</v>
      </c>
      <c r="C348" s="50" t="e">
        <f>'Agents'' Final Roster 0913-0919'!#REF!</f>
        <v>#REF!</v>
      </c>
      <c r="D348" s="50" t="e">
        <f>'Agents'' Final Roster 0913-0919'!#REF!</f>
        <v>#REF!</v>
      </c>
      <c r="Z348" s="50" t="e">
        <f>'Agents'' Final Roster 0913-0919'!#REF!</f>
        <v>#REF!</v>
      </c>
    </row>
    <row r="349" spans="1:26">
      <c r="A349" s="50" t="e">
        <f>'Agents'' Final Roster 0913-0919'!#REF!</f>
        <v>#REF!</v>
      </c>
      <c r="B349" s="50" t="e">
        <f>'Agents'' Final Roster 0913-0919'!#REF!</f>
        <v>#REF!</v>
      </c>
      <c r="C349" s="50" t="e">
        <f>'Agents'' Final Roster 0913-0919'!#REF!</f>
        <v>#REF!</v>
      </c>
      <c r="D349" s="50" t="e">
        <f>'Agents'' Final Roster 0913-0919'!#REF!</f>
        <v>#REF!</v>
      </c>
      <c r="Z349" s="50" t="e">
        <f>'Agents'' Final Roster 0913-0919'!#REF!</f>
        <v>#REF!</v>
      </c>
    </row>
    <row r="350" spans="1:26">
      <c r="A350" s="50" t="str">
        <f>'Agents'' Final Roster 0913-0919'!A281</f>
        <v>Perez Zitzke Agustina</v>
      </c>
      <c r="B350" s="50" t="str">
        <f>'Agents'' Final Roster 0913-0919'!B281</f>
        <v>Ramallo Jose Emanuel</v>
      </c>
      <c r="C350" s="50" t="str">
        <f>'Agents'' Final Roster 0913-0919'!C281</f>
        <v>Gomez</v>
      </c>
      <c r="D350" s="50" t="str">
        <f>'Agents'' Final Roster 0913-0919'!D281</f>
        <v>Maria Emilia</v>
      </c>
      <c r="Z350" s="50" t="str">
        <f>'Agents'' Final Roster 0913-0919'!J281</f>
        <v>DVH</v>
      </c>
    </row>
    <row r="351" spans="1:26">
      <c r="A351" s="50" t="str">
        <f>'Agents'' Final Roster 0913-0919'!A282</f>
        <v>Perez Zitzke Agustina</v>
      </c>
      <c r="B351" s="50" t="str">
        <f>'Agents'' Final Roster 0913-0919'!B282</f>
        <v>Ramallo Jose Emanuel</v>
      </c>
      <c r="C351" s="50" t="str">
        <f>'Agents'' Final Roster 0913-0919'!C282</f>
        <v>Gonzalez</v>
      </c>
      <c r="D351" s="50" t="str">
        <f>'Agents'' Final Roster 0913-0919'!D282</f>
        <v>Elizabeth de los Angeles</v>
      </c>
      <c r="Z351" s="50" t="str">
        <f>'Agents'' Final Roster 0913-0919'!J282</f>
        <v>TLMK</v>
      </c>
    </row>
    <row r="352" spans="1:26">
      <c r="A352" s="50" t="str">
        <f>'Agents'' Final Roster 0913-0919'!A283</f>
        <v>Perez Zitzke Agustina</v>
      </c>
      <c r="B352" s="50" t="str">
        <f>'Agents'' Final Roster 0913-0919'!B283</f>
        <v>Ramallo Jose Emanuel</v>
      </c>
      <c r="C352" s="50" t="str">
        <f>'Agents'' Final Roster 0913-0919'!C283</f>
        <v>González</v>
      </c>
      <c r="D352" s="50" t="str">
        <f>'Agents'' Final Roster 0913-0919'!D283</f>
        <v>Enzo Javier</v>
      </c>
      <c r="Z352" s="50" t="str">
        <f>'Agents'' Final Roster 0913-0919'!J283</f>
        <v>CSV1</v>
      </c>
    </row>
    <row r="353" spans="1:26">
      <c r="A353" s="50" t="str">
        <f>'Agents'' Final Roster 0913-0919'!A284</f>
        <v>Perez Zitzke Agustina</v>
      </c>
      <c r="B353" s="50" t="str">
        <f>'Agents'' Final Roster 0913-0919'!B284</f>
        <v>Ramallo Jose Emanuel</v>
      </c>
      <c r="C353" s="50" t="str">
        <f>'Agents'' Final Roster 0913-0919'!C284</f>
        <v>Guerra</v>
      </c>
      <c r="D353" s="50" t="str">
        <f>'Agents'' Final Roster 0913-0919'!D284</f>
        <v>Héctor Gonzalo</v>
      </c>
      <c r="Z353" s="50" t="str">
        <f>'Agents'' Final Roster 0913-0919'!J284</f>
        <v>CSV1</v>
      </c>
    </row>
    <row r="354" spans="1:26">
      <c r="A354" s="50" t="str">
        <f>'Agents'' Final Roster 0913-0919'!A285</f>
        <v>Perez Zitzke Agustina</v>
      </c>
      <c r="B354" s="50" t="str">
        <f>'Agents'' Final Roster 0913-0919'!B285</f>
        <v>Ramallo Jose Emanuel</v>
      </c>
      <c r="C354" s="50" t="str">
        <f>'Agents'' Final Roster 0913-0919'!C285</f>
        <v>Juarez Fernandez</v>
      </c>
      <c r="D354" s="50" t="str">
        <f>'Agents'' Final Roster 0913-0919'!D285</f>
        <v>Juan Gabriel</v>
      </c>
      <c r="Z354" s="50" t="str">
        <f>'Agents'' Final Roster 0913-0919'!J285</f>
        <v>CSV1</v>
      </c>
    </row>
    <row r="355" spans="1:26">
      <c r="A355" s="50" t="str">
        <f>'Agents'' Final Roster 0913-0919'!A286</f>
        <v>Perez Zitzke Agustina</v>
      </c>
      <c r="B355" s="50" t="str">
        <f>'Agents'' Final Roster 0913-0919'!B286</f>
        <v>Ramallo Jose Emanuel</v>
      </c>
      <c r="C355" s="50" t="str">
        <f>'Agents'' Final Roster 0913-0919'!C286</f>
        <v>Moya</v>
      </c>
      <c r="D355" s="50" t="str">
        <f>'Agents'' Final Roster 0913-0919'!D286</f>
        <v>Nadia Florencia</v>
      </c>
      <c r="Z355" s="50" t="str">
        <f>'Agents'' Final Roster 0913-0919'!J286</f>
        <v>CSV1</v>
      </c>
    </row>
    <row r="356" spans="1:26">
      <c r="A356" s="50" t="e">
        <f>'Agents'' Final Roster 0913-0919'!#REF!</f>
        <v>#REF!</v>
      </c>
      <c r="B356" s="50" t="e">
        <f>'Agents'' Final Roster 0913-0919'!#REF!</f>
        <v>#REF!</v>
      </c>
      <c r="C356" s="50" t="e">
        <f>'Agents'' Final Roster 0913-0919'!#REF!</f>
        <v>#REF!</v>
      </c>
      <c r="D356" s="50" t="e">
        <f>'Agents'' Final Roster 0913-0919'!#REF!</f>
        <v>#REF!</v>
      </c>
      <c r="Z356" s="50" t="e">
        <f>'Agents'' Final Roster 0913-0919'!#REF!</f>
        <v>#REF!</v>
      </c>
    </row>
    <row r="357" spans="1:26">
      <c r="A357" s="50" t="e">
        <f>'Agents'' Final Roster 0913-0919'!#REF!</f>
        <v>#REF!</v>
      </c>
      <c r="B357" s="50" t="e">
        <f>'Agents'' Final Roster 0913-0919'!#REF!</f>
        <v>#REF!</v>
      </c>
      <c r="C357" s="50" t="e">
        <f>'Agents'' Final Roster 0913-0919'!#REF!</f>
        <v>#REF!</v>
      </c>
      <c r="D357" s="50" t="e">
        <f>'Agents'' Final Roster 0913-0919'!#REF!</f>
        <v>#REF!</v>
      </c>
      <c r="Z357" s="50" t="e">
        <f>'Agents'' Final Roster 0913-0919'!#REF!</f>
        <v>#REF!</v>
      </c>
    </row>
    <row r="358" spans="1:26">
      <c r="A358" s="50" t="e">
        <f>'Agents'' Final Roster 0913-0919'!#REF!</f>
        <v>#REF!</v>
      </c>
      <c r="B358" s="50" t="e">
        <f>'Agents'' Final Roster 0913-0919'!#REF!</f>
        <v>#REF!</v>
      </c>
      <c r="C358" s="50" t="e">
        <f>'Agents'' Final Roster 0913-0919'!#REF!</f>
        <v>#REF!</v>
      </c>
      <c r="D358" s="50" t="e">
        <f>'Agents'' Final Roster 0913-0919'!#REF!</f>
        <v>#REF!</v>
      </c>
      <c r="Z358" s="50" t="e">
        <f>'Agents'' Final Roster 0913-0919'!#REF!</f>
        <v>#REF!</v>
      </c>
    </row>
    <row r="359" spans="1:26">
      <c r="A359" s="50" t="str">
        <f>'Agents'' Final Roster 0913-0919'!A287</f>
        <v>Perez Zitzke Agustina</v>
      </c>
      <c r="B359" s="50" t="str">
        <f>'Agents'' Final Roster 0913-0919'!B287</f>
        <v>Ramallo Jose Emanuel</v>
      </c>
      <c r="C359" s="50" t="str">
        <f>'Agents'' Final Roster 0913-0919'!C287</f>
        <v>Perez Flores</v>
      </c>
      <c r="D359" s="50" t="str">
        <f>'Agents'' Final Roster 0913-0919'!D287</f>
        <v>Leandro Nahuel</v>
      </c>
      <c r="Z359" s="50" t="str">
        <f>'Agents'' Final Roster 0913-0919'!J287</f>
        <v>Servicios web</v>
      </c>
    </row>
    <row r="360" spans="1:26">
      <c r="A360" s="50" t="str">
        <f>'Agents'' Final Roster 0913-0919'!A288</f>
        <v>Perez Zitzke Agustina</v>
      </c>
      <c r="B360" s="50" t="str">
        <f>'Agents'' Final Roster 0913-0919'!B288</f>
        <v>Ramallo Jose Emanuel</v>
      </c>
      <c r="C360" s="50" t="str">
        <f>'Agents'' Final Roster 0913-0919'!C288</f>
        <v>Prado</v>
      </c>
      <c r="D360" s="50" t="str">
        <f>'Agents'' Final Roster 0913-0919'!D288</f>
        <v>Maria de los Angeles</v>
      </c>
      <c r="Z360" s="50" t="str">
        <f>'Agents'' Final Roster 0913-0919'!J288</f>
        <v>Compras Referidas</v>
      </c>
    </row>
    <row r="361" spans="1:26">
      <c r="A361" s="50" t="str">
        <f>'Agents'' Final Roster 0913-0919'!A289</f>
        <v>Perez Zitzke Agustina</v>
      </c>
      <c r="B361" s="50" t="str">
        <f>'Agents'' Final Roster 0913-0919'!B289</f>
        <v>Ramallo Jose Emanuel</v>
      </c>
      <c r="C361" s="50" t="str">
        <f>'Agents'' Final Roster 0913-0919'!C289</f>
        <v>Sevilla</v>
      </c>
      <c r="D361" s="50" t="str">
        <f>'Agents'' Final Roster 0913-0919'!D289</f>
        <v>Lourdes Florencia</v>
      </c>
      <c r="Z361" s="50" t="str">
        <f>'Agents'' Final Roster 0913-0919'!J289</f>
        <v>CSV1</v>
      </c>
    </row>
    <row r="362" spans="1:26">
      <c r="A362" s="50" t="str">
        <f>'Agents'' Final Roster 0913-0919'!A290</f>
        <v>Perez Zitzke Agustina</v>
      </c>
      <c r="B362" s="50" t="str">
        <f>'Agents'' Final Roster 0913-0919'!B290</f>
        <v>Ramallo Jose Emanuel</v>
      </c>
      <c r="C362" s="50" t="str">
        <f>'Agents'' Final Roster 0913-0919'!C290</f>
        <v>Soto</v>
      </c>
      <c r="D362" s="50" t="str">
        <f>'Agents'' Final Roster 0913-0919'!D290</f>
        <v>Eric Emanuel</v>
      </c>
      <c r="Z362" s="50" t="str">
        <f>'Agents'' Final Roster 0913-0919'!J290</f>
        <v>CSV1</v>
      </c>
    </row>
    <row r="363" spans="1:26">
      <c r="A363" s="50" t="str">
        <f>'Agents'' Final Roster 0913-0919'!A291</f>
        <v>Perez Zitzke Agustina</v>
      </c>
      <c r="B363" s="50" t="str">
        <f>'Agents'' Final Roster 0913-0919'!B291</f>
        <v>Ramallo Jose Emanuel</v>
      </c>
      <c r="C363" s="50" t="str">
        <f>'Agents'' Final Roster 0913-0919'!C291</f>
        <v>Valenzuela</v>
      </c>
      <c r="D363" s="50" t="str">
        <f>'Agents'' Final Roster 0913-0919'!D291</f>
        <v>Gonzalo Rene</v>
      </c>
      <c r="Z363" s="50" t="str">
        <f>'Agents'' Final Roster 0913-0919'!J291</f>
        <v>DVH</v>
      </c>
    </row>
    <row r="364" spans="1:26">
      <c r="A364" s="50" t="str">
        <f>'Agents'' Final Roster 0913-0919'!A292</f>
        <v>Perez Zitzke Agustina</v>
      </c>
      <c r="B364" s="50" t="str">
        <f>'Agents'' Final Roster 0913-0919'!B292</f>
        <v>Vazquez Valladares Eduardo Alejandro</v>
      </c>
      <c r="C364" s="50" t="str">
        <f>'Agents'' Final Roster 0913-0919'!C292</f>
        <v>Acosta</v>
      </c>
      <c r="D364" s="50" t="str">
        <f>'Agents'' Final Roster 0913-0919'!D292</f>
        <v>Gaston Exequiel </v>
      </c>
      <c r="Z364" s="50" t="str">
        <f>'Agents'' Final Roster 0913-0919'!J292</f>
        <v>DVH</v>
      </c>
    </row>
    <row r="365" spans="1:26">
      <c r="A365" s="50" t="str">
        <f>'Agents'' Final Roster 0913-0919'!A293</f>
        <v>Perez Zitzke Agustina</v>
      </c>
      <c r="B365" s="50" t="str">
        <f>'Agents'' Final Roster 0913-0919'!B293</f>
        <v>Vazquez Valladares Eduardo Alejandro</v>
      </c>
      <c r="C365" s="50" t="str">
        <f>'Agents'' Final Roster 0913-0919'!C293</f>
        <v>Alvarez</v>
      </c>
      <c r="D365" s="50" t="str">
        <f>'Agents'' Final Roster 0913-0919'!D293</f>
        <v>Alejandra Liliana </v>
      </c>
      <c r="Z365" s="50" t="str">
        <f>'Agents'' Final Roster 0913-0919'!J293</f>
        <v>Servicios web</v>
      </c>
    </row>
    <row r="366" spans="1:26">
      <c r="A366" s="50" t="str">
        <f>'Agents'' Final Roster 0913-0919'!A294</f>
        <v>Perez Zitzke Agustina</v>
      </c>
      <c r="B366" s="50" t="str">
        <f>'Agents'' Final Roster 0913-0919'!B294</f>
        <v>Vazquez Valladares Eduardo Alejandro</v>
      </c>
      <c r="C366" s="50" t="str">
        <f>'Agents'' Final Roster 0913-0919'!C294</f>
        <v>Alvarez</v>
      </c>
      <c r="D366" s="50" t="str">
        <f>'Agents'' Final Roster 0913-0919'!D294</f>
        <v>Lucas Gabriel</v>
      </c>
      <c r="Z366" s="50" t="str">
        <f>'Agents'' Final Roster 0913-0919'!J294</f>
        <v>CSV2</v>
      </c>
    </row>
    <row r="367" spans="1:26">
      <c r="A367" s="50" t="str">
        <f>'Agents'' Final Roster 0913-0919'!A295</f>
        <v>Perez Zitzke Agustina</v>
      </c>
      <c r="B367" s="50" t="str">
        <f>'Agents'' Final Roster 0913-0919'!B295</f>
        <v>Vazquez Valladares Eduardo Alejandro</v>
      </c>
      <c r="C367" s="50" t="str">
        <f>'Agents'' Final Roster 0913-0919'!C295</f>
        <v>Artaza</v>
      </c>
      <c r="D367" s="50" t="str">
        <f>'Agents'' Final Roster 0913-0919'!D295</f>
        <v> Milagro Ileana Maribel</v>
      </c>
      <c r="Z367" s="50" t="str">
        <f>'Agents'' Final Roster 0913-0919'!J295</f>
        <v>Servicios web</v>
      </c>
    </row>
    <row r="368" spans="1:26">
      <c r="A368" s="50" t="str">
        <f>'Agents'' Final Roster 0913-0919'!A296</f>
        <v>Perez Zitzke Agustina</v>
      </c>
      <c r="B368" s="50" t="str">
        <f>'Agents'' Final Roster 0913-0919'!B296</f>
        <v>Vazquez Valladares Eduardo Alejandro</v>
      </c>
      <c r="C368" s="50" t="str">
        <f>'Agents'' Final Roster 0913-0919'!C296</f>
        <v>Caballero</v>
      </c>
      <c r="D368" s="50" t="str">
        <f>'Agents'' Final Roster 0913-0919'!D296</f>
        <v>Matias Nahuel</v>
      </c>
      <c r="Z368" s="50" t="str">
        <f>'Agents'' Final Roster 0913-0919'!J296</f>
        <v>HD</v>
      </c>
    </row>
    <row r="369" spans="1:26">
      <c r="A369" s="50" t="str">
        <f>'Agents'' Final Roster 0913-0919'!A297</f>
        <v>Perez Zitzke Agustina</v>
      </c>
      <c r="B369" s="50" t="str">
        <f>'Agents'' Final Roster 0913-0919'!B297</f>
        <v>Vazquez Valladares Eduardo Alejandro</v>
      </c>
      <c r="C369" s="50" t="str">
        <f>'Agents'' Final Roster 0913-0919'!C297</f>
        <v>Castro del Sastre</v>
      </c>
      <c r="D369" s="50" t="str">
        <f>'Agents'' Final Roster 0913-0919'!D297</f>
        <v>Camila Belén</v>
      </c>
      <c r="Z369" s="50" t="str">
        <f>'Agents'' Final Roster 0913-0919'!J297</f>
        <v>CSV1</v>
      </c>
    </row>
    <row r="370" spans="1:26">
      <c r="A370" s="50" t="str">
        <f>'Agents'' Final Roster 0913-0919'!A298</f>
        <v>Perez Zitzke Agustina</v>
      </c>
      <c r="B370" s="50" t="str">
        <f>'Agents'' Final Roster 0913-0919'!B298</f>
        <v>Vazquez Valladares Eduardo Alejandro</v>
      </c>
      <c r="C370" s="50" t="str">
        <f>'Agents'' Final Roster 0913-0919'!C298</f>
        <v>Cipolla </v>
      </c>
      <c r="D370" s="50" t="str">
        <f>'Agents'' Final Roster 0913-0919'!D298</f>
        <v>Naim</v>
      </c>
      <c r="Z370" s="50" t="str">
        <f>'Agents'' Final Roster 0913-0919'!J298</f>
        <v>VIP</v>
      </c>
    </row>
    <row r="371" spans="1:26">
      <c r="A371" s="50" t="str">
        <f>'Agents'' Final Roster 0913-0919'!A299</f>
        <v>Perez Zitzke Agustina</v>
      </c>
      <c r="B371" s="50" t="str">
        <f>'Agents'' Final Roster 0913-0919'!B299</f>
        <v>Vazquez Valladares Eduardo Alejandro</v>
      </c>
      <c r="C371" s="50" t="str">
        <f>'Agents'' Final Roster 0913-0919'!C299</f>
        <v>Coronel</v>
      </c>
      <c r="D371" s="50" t="str">
        <f>'Agents'' Final Roster 0913-0919'!D299</f>
        <v> José Benjamín</v>
      </c>
      <c r="Z371" s="50" t="str">
        <f>'Agents'' Final Roster 0913-0919'!J299</f>
        <v>Servicios web</v>
      </c>
    </row>
    <row r="372" spans="1:26">
      <c r="A372" s="50" t="str">
        <f>'Agents'' Final Roster 0913-0919'!A300</f>
        <v>Perez Zitzke Agustina</v>
      </c>
      <c r="B372" s="50" t="str">
        <f>'Agents'' Final Roster 0913-0919'!B300</f>
        <v>Vazquez Valladares Eduardo Alejandro</v>
      </c>
      <c r="C372" s="50" t="str">
        <f>'Agents'' Final Roster 0913-0919'!C300</f>
        <v>Correa</v>
      </c>
      <c r="D372" s="50" t="str">
        <f>'Agents'' Final Roster 0913-0919'!D300</f>
        <v>Ana Gabriela</v>
      </c>
      <c r="Z372" s="50" t="str">
        <f>'Agents'' Final Roster 0913-0919'!J300</f>
        <v>Servicios web</v>
      </c>
    </row>
    <row r="373" spans="1:26">
      <c r="A373" s="50" t="str">
        <f>'Agents'' Final Roster 0913-0919'!A301</f>
        <v>Perez Zitzke Agustina</v>
      </c>
      <c r="B373" s="50" t="str">
        <f>'Agents'' Final Roster 0913-0919'!B301</f>
        <v>Vazquez Valladares Eduardo Alejandro</v>
      </c>
      <c r="C373" s="50" t="str">
        <f>'Agents'' Final Roster 0913-0919'!C301</f>
        <v>Delgado</v>
      </c>
      <c r="D373" s="50" t="str">
        <f>'Agents'' Final Roster 0913-0919'!D301</f>
        <v>Alejandra Noemi</v>
      </c>
      <c r="Z373" s="50" t="str">
        <f>'Agents'' Final Roster 0913-0919'!J301</f>
        <v>Servicios web</v>
      </c>
    </row>
    <row r="374" spans="1:26">
      <c r="A374" s="50" t="str">
        <f>'Agents'' Final Roster 0913-0919'!A302</f>
        <v>Perez Zitzke Agustina</v>
      </c>
      <c r="B374" s="50" t="str">
        <f>'Agents'' Final Roster 0913-0919'!B302</f>
        <v>Vazquez Valladares Eduardo Alejandro</v>
      </c>
      <c r="C374" s="50" t="str">
        <f>'Agents'' Final Roster 0913-0919'!C302</f>
        <v>Delgado</v>
      </c>
      <c r="D374" s="50" t="str">
        <f>'Agents'' Final Roster 0913-0919'!D302</f>
        <v>Solana Abigail</v>
      </c>
      <c r="Z374" s="50" t="str">
        <f>'Agents'' Final Roster 0913-0919'!J302</f>
        <v>Servicios web</v>
      </c>
    </row>
    <row r="375" spans="1:26">
      <c r="A375" s="50" t="str">
        <f>'Agents'' Final Roster 0913-0919'!A303</f>
        <v>Perez Zitzke Agustina</v>
      </c>
      <c r="B375" s="50" t="str">
        <f>'Agents'' Final Roster 0913-0919'!B303</f>
        <v>Vazquez Valladares Eduardo Alejandro</v>
      </c>
      <c r="C375" s="50" t="str">
        <f>'Agents'' Final Roster 0913-0919'!C303</f>
        <v>Diaz</v>
      </c>
      <c r="D375" s="50" t="str">
        <f>'Agents'' Final Roster 0913-0919'!D303</f>
        <v>Fernando Gabriel</v>
      </c>
      <c r="Z375" s="50" t="str">
        <f>'Agents'' Final Roster 0913-0919'!J303</f>
        <v>CSV2</v>
      </c>
    </row>
    <row r="376" spans="1:26">
      <c r="A376" s="50" t="str">
        <f>'Agents'' Final Roster 0913-0919'!A304</f>
        <v>Perez Zitzke Agustina</v>
      </c>
      <c r="B376" s="50" t="str">
        <f>'Agents'' Final Roster 0913-0919'!B304</f>
        <v>Vazquez Valladares Eduardo Alejandro</v>
      </c>
      <c r="C376" s="50" t="str">
        <f>'Agents'' Final Roster 0913-0919'!C304</f>
        <v>Gómez</v>
      </c>
      <c r="D376" s="50" t="str">
        <f>'Agents'' Final Roster 0913-0919'!D304</f>
        <v>Jonás </v>
      </c>
      <c r="Z376" s="50" t="str">
        <f>'Agents'' Final Roster 0913-0919'!J304</f>
        <v>CSV2</v>
      </c>
    </row>
    <row r="377" spans="1:26">
      <c r="A377" s="50" t="str">
        <f>'Agents'' Final Roster 0913-0919'!A305</f>
        <v>Perez Zitzke Agustina</v>
      </c>
      <c r="B377" s="50" t="str">
        <f>'Agents'' Final Roster 0913-0919'!B305</f>
        <v>Vazquez Valladares Eduardo Alejandro</v>
      </c>
      <c r="C377" s="50" t="str">
        <f>'Agents'' Final Roster 0913-0919'!C305</f>
        <v>Ocampo</v>
      </c>
      <c r="D377" s="50" t="str">
        <f>'Agents'' Final Roster 0913-0919'!D305</f>
        <v>Franco Vicente</v>
      </c>
      <c r="Z377" s="50" t="str">
        <f>'Agents'' Final Roster 0913-0919'!J305</f>
        <v>CSV1</v>
      </c>
    </row>
    <row r="378" spans="1:26">
      <c r="A378" s="50" t="str">
        <f>'Agents'' Final Roster 0913-0919'!A306</f>
        <v>Perez Zitzke Agustina</v>
      </c>
      <c r="B378" s="50" t="str">
        <f>'Agents'' Final Roster 0913-0919'!B306</f>
        <v>Vazquez Valladares Eduardo Alejandro</v>
      </c>
      <c r="C378" s="50" t="str">
        <f>'Agents'' Final Roster 0913-0919'!C306</f>
        <v>Pavone</v>
      </c>
      <c r="D378" s="50" t="str">
        <f>'Agents'' Final Roster 0913-0919'!D306</f>
        <v>David Emanuel</v>
      </c>
      <c r="Z378" s="50" t="str">
        <f>'Agents'' Final Roster 0913-0919'!J306</f>
        <v>CSV3</v>
      </c>
    </row>
    <row r="379" spans="1:26">
      <c r="A379" s="50" t="str">
        <f>'Agents'' Final Roster 0913-0919'!A307</f>
        <v>PROMOTED</v>
      </c>
      <c r="B379" s="50" t="str">
        <f>'Agents'' Final Roster 0913-0919'!B307</f>
        <v>Vazquez Valladares Eduardo Alejandro</v>
      </c>
      <c r="C379" s="50" t="str">
        <f>'Agents'' Final Roster 0913-0919'!C307</f>
        <v>Ruiz</v>
      </c>
      <c r="D379" s="50" t="str">
        <f>'Agents'' Final Roster 0913-0919'!D307</f>
        <v>Jimena Alejandra</v>
      </c>
      <c r="Z379" s="50" t="str">
        <f>'Agents'' Final Roster 0913-0919'!J307</f>
        <v>CSV2</v>
      </c>
    </row>
    <row r="380" spans="1:26">
      <c r="A380" s="50" t="str">
        <f>'Agents'' Final Roster 0913-0919'!A308</f>
        <v>Perez Zitzke Agustina</v>
      </c>
      <c r="B380" s="50" t="str">
        <f>'Agents'' Final Roster 0913-0919'!B308</f>
        <v>Vazquez Valladares Eduardo Alejandro</v>
      </c>
      <c r="C380" s="50" t="str">
        <f>'Agents'' Final Roster 0913-0919'!C308</f>
        <v>Torres</v>
      </c>
      <c r="D380" s="50" t="str">
        <f>'Agents'' Final Roster 0913-0919'!D308</f>
        <v>Maria Jose</v>
      </c>
      <c r="Z380" s="50" t="str">
        <f>'Agents'' Final Roster 0913-0919'!J308</f>
        <v>Compras Referidas</v>
      </c>
    </row>
    <row r="381" spans="1:26">
      <c r="A381" s="50" t="str">
        <f>'Agents'' Final Roster 0913-0919'!A309</f>
        <v>Perez Zitzke Agustina</v>
      </c>
      <c r="B381" s="50" t="str">
        <f>'Agents'' Final Roster 0913-0919'!B309</f>
        <v>Villa Aleman Alejandro Roberto</v>
      </c>
      <c r="C381" s="50" t="str">
        <f>'Agents'' Final Roster 0913-0919'!C309</f>
        <v>Alcorta</v>
      </c>
      <c r="D381" s="50" t="str">
        <f>'Agents'' Final Roster 0913-0919'!D309</f>
        <v>Carla Andrea</v>
      </c>
      <c r="Z381" s="50" t="str">
        <f>'Agents'' Final Roster 0913-0919'!J309</f>
        <v>CSV2</v>
      </c>
    </row>
    <row r="382" spans="1:26">
      <c r="A382" s="50" t="str">
        <f>'Agents'' Final Roster 0913-0919'!A310</f>
        <v>Perez Zitzke Agustina</v>
      </c>
      <c r="B382" s="50" t="str">
        <f>'Agents'' Final Roster 0913-0919'!B310</f>
        <v>Villa Aleman Alejandro Roberto</v>
      </c>
      <c r="C382" s="50" t="str">
        <f>'Agents'' Final Roster 0913-0919'!C310</f>
        <v>Blac Sleiman</v>
      </c>
      <c r="D382" s="50" t="str">
        <f>'Agents'' Final Roster 0913-0919'!D310</f>
        <v>David Exequiel</v>
      </c>
      <c r="Z382" s="50" t="str">
        <f>'Agents'' Final Roster 0913-0919'!J310</f>
        <v>Compras Referidas</v>
      </c>
    </row>
    <row r="383" spans="1:26">
      <c r="A383" s="50" t="str">
        <f>'Agents'' Final Roster 0913-0919'!A311</f>
        <v>Perez Zitzke Agustina</v>
      </c>
      <c r="B383" s="50" t="str">
        <f>'Agents'' Final Roster 0913-0919'!B311</f>
        <v>Villa Aleman Alejandro Roberto</v>
      </c>
      <c r="C383" s="50" t="str">
        <f>'Agents'' Final Roster 0913-0919'!C311</f>
        <v>Carrasco Paiva</v>
      </c>
      <c r="D383" s="50" t="str">
        <f>'Agents'' Final Roster 0913-0919'!D311</f>
        <v>Jhonny Daniel</v>
      </c>
      <c r="Z383" s="50" t="str">
        <f>'Agents'' Final Roster 0913-0919'!J311</f>
        <v>CSV1</v>
      </c>
    </row>
    <row r="384" spans="1:26">
      <c r="A384" s="50" t="str">
        <f>'Agents'' Final Roster 0913-0919'!A312</f>
        <v>Perez Zitzke Agustina</v>
      </c>
      <c r="B384" s="50" t="str">
        <f>'Agents'' Final Roster 0913-0919'!B312</f>
        <v>Villa Aleman Alejandro Roberto</v>
      </c>
      <c r="C384" s="50" t="str">
        <f>'Agents'' Final Roster 0913-0919'!C312</f>
        <v>Casella Lorca</v>
      </c>
      <c r="D384" s="50" t="str">
        <f>'Agents'' Final Roster 0913-0919'!D312</f>
        <v>Gianfranco</v>
      </c>
      <c r="Z384" s="50" t="str">
        <f>'Agents'' Final Roster 0913-0919'!J312</f>
        <v>CSV2</v>
      </c>
    </row>
    <row r="385" spans="1:26">
      <c r="A385" s="50" t="str">
        <f>'Agents'' Final Roster 0913-0919'!A313</f>
        <v>Perez Zitzke Agustina</v>
      </c>
      <c r="B385" s="50" t="str">
        <f>'Agents'' Final Roster 0913-0919'!B313</f>
        <v>Villa Aleman Alejandro Roberto</v>
      </c>
      <c r="C385" s="50" t="str">
        <f>'Agents'' Final Roster 0913-0919'!C313</f>
        <v>Castro</v>
      </c>
      <c r="D385" s="50" t="str">
        <f>'Agents'' Final Roster 0913-0919'!D313</f>
        <v>Diego Nicolas </v>
      </c>
      <c r="Z385" s="50" t="str">
        <f>'Agents'' Final Roster 0913-0919'!J313</f>
        <v>CSV2</v>
      </c>
    </row>
    <row r="386" spans="1:26">
      <c r="A386" s="50" t="str">
        <f>'Agents'' Final Roster 0913-0919'!A314</f>
        <v>Perez Zitzke Agustina</v>
      </c>
      <c r="B386" s="50" t="str">
        <f>'Agents'' Final Roster 0913-0919'!B314</f>
        <v>Villa Aleman Alejandro Roberto</v>
      </c>
      <c r="C386" s="50" t="str">
        <f>'Agents'' Final Roster 0913-0919'!C314</f>
        <v>Cuello</v>
      </c>
      <c r="D386" s="50" t="str">
        <f>'Agents'' Final Roster 0913-0919'!D314</f>
        <v>Paula Mariana</v>
      </c>
      <c r="Z386" s="50" t="str">
        <f>'Agents'' Final Roster 0913-0919'!J314</f>
        <v>Servicios web</v>
      </c>
    </row>
    <row r="387" spans="1:26">
      <c r="A387" s="50" t="str">
        <f>'Agents'' Final Roster 0913-0919'!A315</f>
        <v>Perez Zitzke Agustina</v>
      </c>
      <c r="B387" s="50" t="str">
        <f>'Agents'' Final Roster 0913-0919'!B315</f>
        <v>Villa Aleman Alejandro Roberto</v>
      </c>
      <c r="C387" s="50" t="str">
        <f>'Agents'' Final Roster 0913-0919'!C315</f>
        <v>Emeterio Toscano</v>
      </c>
      <c r="D387" s="50" t="str">
        <f>'Agents'' Final Roster 0913-0919'!D315</f>
        <v>Anabela</v>
      </c>
      <c r="Z387" s="50" t="str">
        <f>'Agents'' Final Roster 0913-0919'!J315</f>
        <v>CSV2</v>
      </c>
    </row>
    <row r="388" spans="1:26">
      <c r="A388" s="50" t="str">
        <f>'Agents'' Final Roster 0913-0919'!A316</f>
        <v>Perez Zitzke Agustina</v>
      </c>
      <c r="B388" s="50" t="str">
        <f>'Agents'' Final Roster 0913-0919'!B316</f>
        <v>Villa Aleman Alejandro Roberto</v>
      </c>
      <c r="C388" s="50" t="str">
        <f>'Agents'' Final Roster 0913-0919'!C316</f>
        <v>Fernandez Lafuente</v>
      </c>
      <c r="D388" s="50" t="str">
        <f>'Agents'' Final Roster 0913-0919'!D316</f>
        <v>Eliana</v>
      </c>
      <c r="Z388" s="50" t="str">
        <f>'Agents'' Final Roster 0913-0919'!J316</f>
        <v>CSV2</v>
      </c>
    </row>
    <row r="389" spans="1:26">
      <c r="A389" s="50" t="str">
        <f>'Agents'' Final Roster 0913-0919'!A317</f>
        <v>Perez Zitzke Agustina</v>
      </c>
      <c r="B389" s="50" t="str">
        <f>'Agents'' Final Roster 0913-0919'!B317</f>
        <v>Villa Aleman Alejandro Roberto</v>
      </c>
      <c r="C389" s="50" t="str">
        <f>'Agents'' Final Roster 0913-0919'!C317</f>
        <v>Gonzalez</v>
      </c>
      <c r="D389" s="50" t="str">
        <f>'Agents'' Final Roster 0913-0919'!D317</f>
        <v>Cristian Daniel Antonio</v>
      </c>
      <c r="Z389" s="50" t="str">
        <f>'Agents'' Final Roster 0913-0919'!J317</f>
        <v>CSV2</v>
      </c>
    </row>
    <row r="390" spans="1:26">
      <c r="A390" s="50" t="str">
        <f>'Agents'' Final Roster 0913-0919'!A318</f>
        <v>Perez Zitzke Agustina</v>
      </c>
      <c r="B390" s="50" t="str">
        <f>'Agents'' Final Roster 0913-0919'!B318</f>
        <v>Villa Aleman Alejandro Roberto</v>
      </c>
      <c r="C390" s="50" t="str">
        <f>'Agents'' Final Roster 0913-0919'!C318</f>
        <v>Guerra</v>
      </c>
      <c r="D390" s="50" t="str">
        <f>'Agents'' Final Roster 0913-0919'!D318</f>
        <v>Carlos Martin</v>
      </c>
      <c r="Z390" s="50" t="str">
        <f>'Agents'' Final Roster 0913-0919'!J318</f>
        <v>CSV2</v>
      </c>
    </row>
    <row r="391" spans="1:26">
      <c r="A391" s="50" t="str">
        <f>'Agents'' Final Roster 0913-0919'!A319</f>
        <v>Perez Zitzke Agustina</v>
      </c>
      <c r="B391" s="50" t="str">
        <f>'Agents'' Final Roster 0913-0919'!B319</f>
        <v>Grimaldi Agustina Sofía</v>
      </c>
      <c r="C391" s="50" t="str">
        <f>'Agents'' Final Roster 0913-0919'!C319</f>
        <v>Medina</v>
      </c>
      <c r="D391" s="50" t="str">
        <f>'Agents'' Final Roster 0913-0919'!D319</f>
        <v>Olga Tamara</v>
      </c>
      <c r="Z391" s="50" t="str">
        <f>'Agents'' Final Roster 0913-0919'!J319</f>
        <v>CSV1</v>
      </c>
    </row>
    <row r="392" spans="1:26">
      <c r="A392" s="50" t="str">
        <f>'Agents'' Final Roster 0913-0919'!A320</f>
        <v>Perez Zitzke Agustina</v>
      </c>
      <c r="B392" s="50" t="str">
        <f>'Agents'' Final Roster 0913-0919'!B320</f>
        <v>Villa Aleman Alejandro Roberto</v>
      </c>
      <c r="C392" s="50" t="str">
        <f>'Agents'' Final Roster 0913-0919'!C320</f>
        <v>Navarro</v>
      </c>
      <c r="D392" s="50" t="str">
        <f>'Agents'' Final Roster 0913-0919'!D320</f>
        <v>Florencia Yudith</v>
      </c>
      <c r="Z392" s="50" t="str">
        <f>'Agents'' Final Roster 0913-0919'!J320</f>
        <v>DVH</v>
      </c>
    </row>
    <row r="393" spans="1:26">
      <c r="A393" s="50" t="str">
        <f>'Agents'' Final Roster 0913-0919'!A321</f>
        <v>Perez Zitzke Agustina</v>
      </c>
      <c r="B393" s="50" t="str">
        <f>'Agents'' Final Roster 0913-0919'!B321</f>
        <v>Grimaldi Agustina Sofía</v>
      </c>
      <c r="C393" s="50" t="str">
        <f>'Agents'' Final Roster 0913-0919'!C321</f>
        <v>Palavecino</v>
      </c>
      <c r="D393" s="50" t="str">
        <f>'Agents'' Final Roster 0913-0919'!D321</f>
        <v>Maria Laura</v>
      </c>
      <c r="Z393" s="50" t="str">
        <f>'Agents'' Final Roster 0913-0919'!J321</f>
        <v>CSV1</v>
      </c>
    </row>
    <row r="394" spans="1:26">
      <c r="A394" s="50" t="str">
        <f>'Agents'' Final Roster 0913-0919'!A322</f>
        <v>Perez Zitzke Agustina</v>
      </c>
      <c r="B394" s="50" t="str">
        <f>'Agents'' Final Roster 0913-0919'!B322</f>
        <v>Palomino Juan Pablo</v>
      </c>
      <c r="C394" s="50" t="str">
        <f>'Agents'' Final Roster 0913-0919'!C322</f>
        <v>Parrado Quiroga</v>
      </c>
      <c r="D394" s="50" t="str">
        <f>'Agents'' Final Roster 0913-0919'!D322</f>
        <v>Gimena Marisol</v>
      </c>
      <c r="Z394" s="50" t="str">
        <f>'Agents'' Final Roster 0913-0919'!J322</f>
        <v>Servicios web</v>
      </c>
    </row>
    <row r="395" spans="1:26">
      <c r="A395" s="50" t="str">
        <f>'Agents'' Final Roster 0913-0919'!A323</f>
        <v>Perez Zitzke Agustina</v>
      </c>
      <c r="B395" s="50" t="str">
        <f>'Agents'' Final Roster 0913-0919'!B323</f>
        <v>Grimaldi Agustina Sofía</v>
      </c>
      <c r="C395" s="50" t="str">
        <f>'Agents'' Final Roster 0913-0919'!C323</f>
        <v>Rojas</v>
      </c>
      <c r="D395" s="50" t="str">
        <f>'Agents'' Final Roster 0913-0919'!D323</f>
        <v>Maria Belen</v>
      </c>
      <c r="Z395" s="50" t="str">
        <f>'Agents'' Final Roster 0913-0919'!J323</f>
        <v>CSV1</v>
      </c>
    </row>
    <row r="396" spans="1:26">
      <c r="A396" s="50" t="str">
        <f>'Agents'' Final Roster 0913-0919'!A324</f>
        <v>Perez Zitzke Agustina</v>
      </c>
      <c r="B396" s="50" t="str">
        <f>'Agents'' Final Roster 0913-0919'!B324</f>
        <v>Grimaldi Agustina Sofía</v>
      </c>
      <c r="C396" s="50" t="str">
        <f>'Agents'' Final Roster 0913-0919'!C324</f>
        <v>Salas</v>
      </c>
      <c r="D396" s="50" t="str">
        <f>'Agents'' Final Roster 0913-0919'!D324</f>
        <v>Romina Mercedes</v>
      </c>
      <c r="Z396" s="50" t="str">
        <f>'Agents'' Final Roster 0913-0919'!J324</f>
        <v>CSV1</v>
      </c>
    </row>
    <row r="397" spans="1:26">
      <c r="A397" s="50" t="str">
        <f>'Agents'' Final Roster 0913-0919'!A325</f>
        <v>Perez Zitzke Agustina</v>
      </c>
      <c r="B397" s="50" t="str">
        <f>'Agents'' Final Roster 0913-0919'!B325</f>
        <v>Villa Aleman Alejandro Roberto</v>
      </c>
      <c r="C397" s="50" t="str">
        <f>'Agents'' Final Roster 0913-0919'!C325</f>
        <v>Sánchez</v>
      </c>
      <c r="D397" s="50" t="str">
        <f>'Agents'' Final Roster 0913-0919'!D325</f>
        <v>Pedro Alejandro</v>
      </c>
      <c r="Z397" s="50" t="str">
        <f>'Agents'' Final Roster 0913-0919'!J325</f>
        <v>CSV1</v>
      </c>
    </row>
    <row r="398" spans="1:26">
      <c r="A398" s="50" t="str">
        <f>'Agents'' Final Roster 0913-0919'!A326</f>
        <v>Perez Zitzke Agustina</v>
      </c>
      <c r="B398" s="50" t="str">
        <f>'Agents'' Final Roster 0913-0919'!B326</f>
        <v>Villa Aleman Alejandro Roberto</v>
      </c>
      <c r="C398" s="50" t="str">
        <f>'Agents'' Final Roster 0913-0919'!C326</f>
        <v>Teves</v>
      </c>
      <c r="D398" s="50" t="str">
        <f>'Agents'' Final Roster 0913-0919'!D326</f>
        <v>Emiliano Gabriel</v>
      </c>
      <c r="Z398" s="50" t="str">
        <f>'Agents'' Final Roster 0913-0919'!J326</f>
        <v>CSV2</v>
      </c>
    </row>
    <row r="399" spans="1:26">
      <c r="A399" s="50" t="str">
        <f>'Agents'' Final Roster 0913-0919'!A327</f>
        <v>Perez Zitzke Agustina</v>
      </c>
      <c r="B399" s="50" t="str">
        <f>'Agents'' Final Roster 0913-0919'!B327</f>
        <v>Villa Aleman Alejandro Roberto</v>
      </c>
      <c r="C399" s="50" t="str">
        <f>'Agents'' Final Roster 0913-0919'!C327</f>
        <v>Trionfini</v>
      </c>
      <c r="D399" s="50" t="str">
        <f>'Agents'' Final Roster 0913-0919'!D327</f>
        <v>Monica Luciana</v>
      </c>
      <c r="Z399" s="50" t="str">
        <f>'Agents'' Final Roster 0913-0919'!J327</f>
        <v>CSV2</v>
      </c>
    </row>
    <row r="400" spans="1:26">
      <c r="A400" s="50" t="str">
        <f>'Agents'' Final Roster 0913-0919'!A328</f>
        <v>Ortiz Jose María</v>
      </c>
      <c r="B400" s="50" t="str">
        <f>'Agents'' Final Roster 0913-0919'!B328</f>
        <v>Bachur Karim</v>
      </c>
      <c r="C400" s="50" t="str">
        <f>'Agents'' Final Roster 0913-0919'!C328</f>
        <v>Borges</v>
      </c>
      <c r="D400" s="50" t="str">
        <f>'Agents'' Final Roster 0913-0919'!D328</f>
        <v>Veronica</v>
      </c>
      <c r="Z400" s="50" t="str">
        <f>'Agents'' Final Roster 0913-0919'!J328</f>
        <v>DVH</v>
      </c>
    </row>
    <row r="401" spans="1:26">
      <c r="A401" s="50" t="str">
        <f>'Agents'' Final Roster 0913-0919'!A329</f>
        <v>Ortiz Jose María</v>
      </c>
      <c r="B401" s="50" t="str">
        <f>'Agents'' Final Roster 0913-0919'!B329</f>
        <v>Bachur Karim</v>
      </c>
      <c r="C401" s="50" t="str">
        <f>'Agents'' Final Roster 0913-0919'!C329</f>
        <v>Delgado Juarez</v>
      </c>
      <c r="D401" s="50" t="str">
        <f>'Agents'' Final Roster 0913-0919'!D329</f>
        <v>Lucia Stefanía</v>
      </c>
      <c r="Z401" s="50" t="str">
        <f>'Agents'' Final Roster 0913-0919'!J329</f>
        <v>DVH</v>
      </c>
    </row>
    <row r="402" spans="1:26">
      <c r="A402" s="50" t="e">
        <f>'Agents'' Final Roster 0913-0919'!#REF!</f>
        <v>#REF!</v>
      </c>
      <c r="B402" s="50" t="e">
        <f>'Agents'' Final Roster 0913-0919'!#REF!</f>
        <v>#REF!</v>
      </c>
      <c r="C402" s="50" t="e">
        <f>'Agents'' Final Roster 0913-0919'!#REF!</f>
        <v>#REF!</v>
      </c>
      <c r="D402" s="50" t="e">
        <f>'Agents'' Final Roster 0913-0919'!#REF!</f>
        <v>#REF!</v>
      </c>
      <c r="Z402" s="50" t="e">
        <f>'Agents'' Final Roster 0913-0919'!#REF!</f>
        <v>#REF!</v>
      </c>
    </row>
    <row r="403" spans="1:26">
      <c r="A403" s="50" t="e">
        <f>'Agents'' Final Roster 0913-0919'!#REF!</f>
        <v>#REF!</v>
      </c>
      <c r="B403" s="50" t="e">
        <f>'Agents'' Final Roster 0913-0919'!#REF!</f>
        <v>#REF!</v>
      </c>
      <c r="C403" s="50" t="e">
        <f>'Agents'' Final Roster 0913-0919'!#REF!</f>
        <v>#REF!</v>
      </c>
      <c r="D403" s="50" t="e">
        <f>'Agents'' Final Roster 0913-0919'!#REF!</f>
        <v>#REF!</v>
      </c>
      <c r="Z403" s="50" t="e">
        <f>'Agents'' Final Roster 0913-0919'!#REF!</f>
        <v>#REF!</v>
      </c>
    </row>
    <row r="404" spans="1:26">
      <c r="A404" s="50" t="e">
        <f>'Agents'' Final Roster 0913-0919'!#REF!</f>
        <v>#REF!</v>
      </c>
      <c r="B404" s="50" t="e">
        <f>'Agents'' Final Roster 0913-0919'!#REF!</f>
        <v>#REF!</v>
      </c>
      <c r="C404" s="50" t="e">
        <f>'Agents'' Final Roster 0913-0919'!#REF!</f>
        <v>#REF!</v>
      </c>
      <c r="D404" s="50" t="e">
        <f>'Agents'' Final Roster 0913-0919'!#REF!</f>
        <v>#REF!</v>
      </c>
      <c r="Z404" s="50" t="e">
        <f>'Agents'' Final Roster 0913-0919'!#REF!</f>
        <v>#REF!</v>
      </c>
    </row>
    <row r="405" spans="1:26">
      <c r="A405" s="50" t="e">
        <f>'Agents'' Final Roster 0913-0919'!#REF!</f>
        <v>#REF!</v>
      </c>
      <c r="B405" s="50" t="e">
        <f>'Agents'' Final Roster 0913-0919'!#REF!</f>
        <v>#REF!</v>
      </c>
      <c r="C405" s="50" t="e">
        <f>'Agents'' Final Roster 0913-0919'!#REF!</f>
        <v>#REF!</v>
      </c>
      <c r="D405" s="50" t="e">
        <f>'Agents'' Final Roster 0913-0919'!#REF!</f>
        <v>#REF!</v>
      </c>
      <c r="Z405" s="50" t="e">
        <f>'Agents'' Final Roster 0913-0919'!#REF!</f>
        <v>#REF!</v>
      </c>
    </row>
    <row r="406" spans="1:26">
      <c r="A406" s="50" t="str">
        <f>'Agents'' Final Roster 0913-0919'!A330</f>
        <v>Ortiz Jose María</v>
      </c>
      <c r="B406" s="50" t="str">
        <f>'Agents'' Final Roster 0913-0919'!B330</f>
        <v>Bachur Karim</v>
      </c>
      <c r="C406" s="50" t="str">
        <f>'Agents'' Final Roster 0913-0919'!C330</f>
        <v>Estoquin</v>
      </c>
      <c r="D406" s="50" t="str">
        <f>'Agents'' Final Roster 0913-0919'!D330</f>
        <v>Nicolas Abel</v>
      </c>
      <c r="Z406" s="50" t="str">
        <f>'Agents'' Final Roster 0913-0919'!J330</f>
        <v>DVH</v>
      </c>
    </row>
    <row r="407" spans="1:26">
      <c r="A407" s="50" t="str">
        <f>'Agents'' Final Roster 0913-0919'!A331</f>
        <v>Ortiz Jose María</v>
      </c>
      <c r="B407" s="50" t="str">
        <f>'Agents'' Final Roster 0913-0919'!B331</f>
        <v>Bachur Karim</v>
      </c>
      <c r="C407" s="50" t="str">
        <f>'Agents'' Final Roster 0913-0919'!C331</f>
        <v>Leguina </v>
      </c>
      <c r="D407" s="50" t="str">
        <f>'Agents'' Final Roster 0913-0919'!D331</f>
        <v>Ivana</v>
      </c>
      <c r="Z407" s="50" t="str">
        <f>'Agents'' Final Roster 0913-0919'!J331</f>
        <v>DVH</v>
      </c>
    </row>
    <row r="408" spans="1:26">
      <c r="A408" s="50" t="str">
        <f>'Agents'' Final Roster 0913-0919'!A332</f>
        <v>Ortiz Jose María</v>
      </c>
      <c r="B408" s="50" t="str">
        <f>'Agents'' Final Roster 0913-0919'!B332</f>
        <v>Bachur Karim</v>
      </c>
      <c r="C408" s="50" t="str">
        <f>'Agents'' Final Roster 0913-0919'!C332</f>
        <v>Toledo</v>
      </c>
      <c r="D408" s="50" t="str">
        <f>'Agents'' Final Roster 0913-0919'!D332</f>
        <v>Juan Pablo</v>
      </c>
      <c r="Z408" s="50" t="str">
        <f>'Agents'' Final Roster 0913-0919'!J332</f>
        <v>DVH</v>
      </c>
    </row>
    <row r="409" spans="1:26">
      <c r="A409" s="50" t="str">
        <f>'Agents'' Final Roster 0913-0919'!A333</f>
        <v>Campero Juarez Maria Guadalupe</v>
      </c>
      <c r="B409" s="50" t="str">
        <f>'Agents'' Final Roster 0913-0919'!B333</f>
        <v>Mendoza Norma Mercedes</v>
      </c>
      <c r="C409" s="50" t="str">
        <f>'Agents'' Final Roster 0913-0919'!C333</f>
        <v>Acosta</v>
      </c>
      <c r="D409" s="50" t="str">
        <f>'Agents'' Final Roster 0913-0919'!D333</f>
        <v>Geronimo Nicolas</v>
      </c>
      <c r="Z409" s="50" t="str">
        <f>'Agents'' Final Roster 0913-0919'!J333</f>
        <v>DVH</v>
      </c>
    </row>
    <row r="410" spans="1:26">
      <c r="A410" s="50" t="str">
        <f>'Agents'' Final Roster 0913-0919'!A334</f>
        <v>Campero Juarez Maria Guadalupe</v>
      </c>
      <c r="B410" s="50" t="str">
        <f>'Agents'' Final Roster 0913-0919'!B334</f>
        <v>Mendoza Norma Mercedes</v>
      </c>
      <c r="C410" s="50" t="str">
        <f>'Agents'' Final Roster 0913-0919'!C334</f>
        <v>Coronel</v>
      </c>
      <c r="D410" s="50" t="str">
        <f>'Agents'' Final Roster 0913-0919'!D334</f>
        <v>Melanie Gisel</v>
      </c>
      <c r="Z410" s="50" t="str">
        <f>'Agents'' Final Roster 0913-0919'!J334</f>
        <v>DVH</v>
      </c>
    </row>
    <row r="411" spans="1:26">
      <c r="A411" s="50" t="str">
        <f>'Agents'' Final Roster 0913-0919'!A335</f>
        <v>Campero Juarez Maria Guadalupe</v>
      </c>
      <c r="B411" s="50" t="str">
        <f>'Agents'' Final Roster 0913-0919'!B335</f>
        <v>Mendoza Norma Mercedes</v>
      </c>
      <c r="C411" s="50" t="str">
        <f>'Agents'' Final Roster 0913-0919'!C335</f>
        <v>Lujan</v>
      </c>
      <c r="D411" s="50" t="str">
        <f>'Agents'' Final Roster 0913-0919'!D335</f>
        <v>Cecilia Estefania</v>
      </c>
      <c r="Z411" s="50" t="str">
        <f>'Agents'' Final Roster 0913-0919'!J335</f>
        <v>DVH</v>
      </c>
    </row>
    <row r="412" spans="1:26">
      <c r="A412" s="50" t="str">
        <f>'Agents'' Final Roster 0913-0919'!A336</f>
        <v>Campero Juarez Maria Guadalupe</v>
      </c>
      <c r="B412" s="50" t="str">
        <f>'Agents'' Final Roster 0913-0919'!B336</f>
        <v>Mendoza Norma Mercedes</v>
      </c>
      <c r="C412" s="50" t="str">
        <f>'Agents'' Final Roster 0913-0919'!C336</f>
        <v>Callejon</v>
      </c>
      <c r="D412" s="50" t="str">
        <f>'Agents'' Final Roster 0913-0919'!D336</f>
        <v>Florencia Ana</v>
      </c>
      <c r="Z412" s="50" t="str">
        <f>'Agents'' Final Roster 0913-0919'!J336</f>
        <v>DVH</v>
      </c>
    </row>
    <row r="413" spans="1:26">
      <c r="A413" s="50" t="str">
        <f>'Agents'' Final Roster 0913-0919'!A337</f>
        <v>Campero Juarez Maria Guadalupe</v>
      </c>
      <c r="B413" s="50" t="str">
        <f>'Agents'' Final Roster 0913-0919'!B337</f>
        <v>Mendoza Norma Mercedes</v>
      </c>
      <c r="C413" s="50" t="str">
        <f>'Agents'' Final Roster 0913-0919'!C337</f>
        <v>Roncedo</v>
      </c>
      <c r="D413" s="50" t="str">
        <f>'Agents'' Final Roster 0913-0919'!D337</f>
        <v>Carla Sofia</v>
      </c>
      <c r="Z413" s="50" t="str">
        <f>'Agents'' Final Roster 0913-0919'!J337</f>
        <v>DVH</v>
      </c>
    </row>
    <row r="414" spans="1:26">
      <c r="A414" s="50" t="str">
        <f>'Agents'' Final Roster 0913-0919'!A338</f>
        <v>Pérez Zitzke Agustina</v>
      </c>
      <c r="B414" s="50" t="str">
        <f>'Agents'' Final Roster 0913-0919'!B338</f>
        <v>Albornoz Miguel </v>
      </c>
      <c r="C414" s="50" t="str">
        <f>'Agents'' Final Roster 0913-0919'!C338</f>
        <v>Batista</v>
      </c>
      <c r="D414" s="50" t="str">
        <f>'Agents'' Final Roster 0913-0919'!D338</f>
        <v>Manuel</v>
      </c>
      <c r="Z414" s="50" t="str">
        <f>'Agents'' Final Roster 0913-0919'!J338</f>
        <v>CSV1</v>
      </c>
    </row>
    <row r="415" spans="1:26">
      <c r="A415" s="50" t="e">
        <f>'Agents'' Final Roster 0913-0919'!#REF!</f>
        <v>#REF!</v>
      </c>
      <c r="B415" s="50" t="e">
        <f>'Agents'' Final Roster 0913-0919'!#REF!</f>
        <v>#REF!</v>
      </c>
      <c r="C415" s="50" t="e">
        <f>'Agents'' Final Roster 0913-0919'!#REF!</f>
        <v>#REF!</v>
      </c>
      <c r="D415" s="50" t="e">
        <f>'Agents'' Final Roster 0913-0919'!#REF!</f>
        <v>#REF!</v>
      </c>
      <c r="Z415" s="50" t="e">
        <f>'Agents'' Final Roster 0913-0919'!#REF!</f>
        <v>#REF!</v>
      </c>
    </row>
    <row r="416" spans="1:26">
      <c r="A416" s="50" t="e">
        <f>'Agents'' Final Roster 0913-0919'!#REF!</f>
        <v>#REF!</v>
      </c>
      <c r="B416" s="50" t="e">
        <f>'Agents'' Final Roster 0913-0919'!#REF!</f>
        <v>#REF!</v>
      </c>
      <c r="C416" s="50" t="e">
        <f>'Agents'' Final Roster 0913-0919'!#REF!</f>
        <v>#REF!</v>
      </c>
      <c r="D416" s="50" t="e">
        <f>'Agents'' Final Roster 0913-0919'!#REF!</f>
        <v>#REF!</v>
      </c>
      <c r="Z416" s="50" t="e">
        <f>'Agents'' Final Roster 0913-0919'!#REF!</f>
        <v>#REF!</v>
      </c>
    </row>
    <row r="417" spans="1:26">
      <c r="A417" s="50" t="str">
        <f>'Agents'' Final Roster 0913-0919'!A339</f>
        <v>Pérez Zitzke Agustina</v>
      </c>
      <c r="B417" s="50" t="str">
        <f>'Agents'' Final Roster 0913-0919'!B339</f>
        <v>Albornoz Miguel </v>
      </c>
      <c r="C417" s="50" t="str">
        <f>'Agents'' Final Roster 0913-0919'!C339</f>
        <v>Coronel</v>
      </c>
      <c r="D417" s="50" t="str">
        <f>'Agents'' Final Roster 0913-0919'!D339</f>
        <v>Constanza Melina</v>
      </c>
      <c r="Z417" s="50" t="str">
        <f>'Agents'' Final Roster 0913-0919'!J339</f>
        <v>CSV1</v>
      </c>
    </row>
    <row r="418" spans="1:26">
      <c r="A418" s="50" t="str">
        <f>'Agents'' Final Roster 0913-0919'!A340</f>
        <v>Pérez Zitzke Agustina</v>
      </c>
      <c r="B418" s="50" t="str">
        <f>'Agents'' Final Roster 0913-0919'!B340</f>
        <v>Albornoz Miguel </v>
      </c>
      <c r="C418" s="50" t="str">
        <f>'Agents'' Final Roster 0913-0919'!C340</f>
        <v>Grimaldi</v>
      </c>
      <c r="D418" s="50" t="str">
        <f>'Agents'' Final Roster 0913-0919'!D340</f>
        <v>Maria Belen</v>
      </c>
      <c r="Z418" s="50" t="str">
        <f>'Agents'' Final Roster 0913-0919'!J340</f>
        <v>CSV1</v>
      </c>
    </row>
    <row r="419" spans="1:26">
      <c r="A419" s="50" t="str">
        <f>'Agents'' Final Roster 0913-0919'!A341</f>
        <v>Pérez Zitzke Agustina</v>
      </c>
      <c r="B419" s="50" t="str">
        <f>'Agents'' Final Roster 0913-0919'!B341</f>
        <v>Albornoz Miguel </v>
      </c>
      <c r="C419" s="50" t="str">
        <f>'Agents'' Final Roster 0913-0919'!C341</f>
        <v>Vazquez</v>
      </c>
      <c r="D419" s="50" t="str">
        <f>'Agents'' Final Roster 0913-0919'!D341</f>
        <v>Nicol Agostina</v>
      </c>
      <c r="Z419" s="50" t="str">
        <f>'Agents'' Final Roster 0913-0919'!J341</f>
        <v>CSV1</v>
      </c>
    </row>
    <row r="420" spans="1:26">
      <c r="A420" s="50" t="str">
        <f>'Agents'' Final Roster 0913-0919'!A342</f>
        <v>Pérez Zitzke Agustina</v>
      </c>
      <c r="B420" s="50" t="str">
        <f>'Agents'' Final Roster 0913-0919'!B342</f>
        <v>Albornoz Miguel </v>
      </c>
      <c r="C420" s="50" t="str">
        <f>'Agents'' Final Roster 0913-0919'!C342</f>
        <v>Bautista</v>
      </c>
      <c r="D420" s="50" t="str">
        <f>'Agents'' Final Roster 0913-0919'!D342</f>
        <v>Agustina</v>
      </c>
      <c r="Z420" s="50" t="str">
        <f>'Agents'' Final Roster 0913-0919'!J342</f>
        <v>CSV1</v>
      </c>
    </row>
    <row r="421" spans="1:26">
      <c r="A421" s="50" t="str">
        <f>'Agents'' Final Roster 0913-0919'!A343</f>
        <v>Pérez Zitzke Agustina</v>
      </c>
      <c r="B421" s="50" t="str">
        <f>'Agents'' Final Roster 0913-0919'!B343</f>
        <v>Albornoz Miguel </v>
      </c>
      <c r="C421" s="50" t="str">
        <f>'Agents'' Final Roster 0913-0919'!C343</f>
        <v>Quiles Sainz</v>
      </c>
      <c r="D421" s="50" t="str">
        <f>'Agents'' Final Roster 0913-0919'!D343</f>
        <v>Maria Elena</v>
      </c>
      <c r="Z421" s="50" t="str">
        <f>'Agents'' Final Roster 0913-0919'!J343</f>
        <v>CSV1</v>
      </c>
    </row>
    <row r="422" spans="1:26">
      <c r="A422" s="50" t="str">
        <f>'Agents'' Final Roster 0913-0919'!A344</f>
        <v>Pérez Zitzke Agustina</v>
      </c>
      <c r="B422" s="50" t="str">
        <f>'Agents'' Final Roster 0913-0919'!B344</f>
        <v>Albornoz Miguel </v>
      </c>
      <c r="C422" s="50" t="str">
        <f>'Agents'' Final Roster 0913-0919'!C344</f>
        <v>Aranda</v>
      </c>
      <c r="D422" s="50" t="str">
        <f>'Agents'' Final Roster 0913-0919'!D344</f>
        <v>Emilse Giselle</v>
      </c>
      <c r="Z422" s="50" t="str">
        <f>'Agents'' Final Roster 0913-0919'!J344</f>
        <v>CSV1</v>
      </c>
    </row>
    <row r="423" spans="1:26">
      <c r="A423" s="50" t="str">
        <f>'Agents'' Final Roster 0913-0919'!A345</f>
        <v>Pérez Zitzke Agustina</v>
      </c>
      <c r="B423" s="50" t="str">
        <f>'Agents'' Final Roster 0913-0919'!B345</f>
        <v>Albornoz Miguel </v>
      </c>
      <c r="C423" s="50" t="str">
        <f>'Agents'' Final Roster 0913-0919'!C345</f>
        <v>Idiart</v>
      </c>
      <c r="D423" s="50" t="str">
        <f>'Agents'' Final Roster 0913-0919'!D345</f>
        <v>Ana Sofía</v>
      </c>
      <c r="Z423" s="50" t="str">
        <f>'Agents'' Final Roster 0913-0919'!J345</f>
        <v>CSV1</v>
      </c>
    </row>
    <row r="424" spans="1:26">
      <c r="A424" s="50" t="str">
        <f>'Agents'' Final Roster 0913-0919'!A346</f>
        <v>Pérez Zitzke Agustina</v>
      </c>
      <c r="B424" s="50" t="str">
        <f>'Agents'' Final Roster 0913-0919'!B346</f>
        <v>Albornoz Miguel </v>
      </c>
      <c r="C424" s="50" t="str">
        <f>'Agents'' Final Roster 0913-0919'!C346</f>
        <v>Santillan</v>
      </c>
      <c r="D424" s="50" t="str">
        <f>'Agents'' Final Roster 0913-0919'!D346</f>
        <v>Daiana Micaela</v>
      </c>
      <c r="Z424" s="50" t="str">
        <f>'Agents'' Final Roster 0913-0919'!J346</f>
        <v>CSV1</v>
      </c>
    </row>
    <row r="425" spans="1:26">
      <c r="A425" s="50" t="str">
        <f>'Agents'' Final Roster 0913-0919'!A347</f>
        <v>Pérez Zitzke Agustina</v>
      </c>
      <c r="B425" s="50" t="str">
        <f>'Agents'' Final Roster 0913-0919'!B347</f>
        <v>Vazquez Valladares Eduardo Alejandro</v>
      </c>
      <c r="C425" s="50" t="str">
        <f>'Agents'' Final Roster 0913-0919'!C347</f>
        <v>Vega</v>
      </c>
      <c r="D425" s="50" t="str">
        <f>'Agents'' Final Roster 0913-0919'!D347</f>
        <v>Aldana Abigail</v>
      </c>
      <c r="Z425" s="50" t="str">
        <f>'Agents'' Final Roster 0913-0919'!J347</f>
        <v>CSV1</v>
      </c>
    </row>
    <row r="426" spans="1:26">
      <c r="A426" s="50" t="str">
        <f>'Agents'' Final Roster 0913-0919'!A348</f>
        <v>Ortiz Jose María</v>
      </c>
      <c r="B426" s="50" t="str">
        <f>'Agents'' Final Roster 0913-0919'!B348</f>
        <v>Bachur Karim</v>
      </c>
      <c r="C426" s="50" t="str">
        <f>'Agents'' Final Roster 0913-0919'!C348</f>
        <v>Mendoza</v>
      </c>
      <c r="D426" s="50" t="str">
        <f>'Agents'' Final Roster 0913-0919'!D348</f>
        <v> Ivana Paola</v>
      </c>
      <c r="Z426" s="50" t="str">
        <f>'Agents'' Final Roster 0913-0919'!J348</f>
        <v>CSV1</v>
      </c>
    </row>
    <row r="427" spans="1:26">
      <c r="A427" s="50" t="str">
        <f>'Agents'' Final Roster 0913-0919'!A349</f>
        <v>Ortiz Jose María</v>
      </c>
      <c r="B427" s="50" t="str">
        <f>'Agents'' Final Roster 0913-0919'!B349</f>
        <v>Bachur Karim</v>
      </c>
      <c r="C427" s="50" t="str">
        <f>'Agents'' Final Roster 0913-0919'!C349</f>
        <v>Arroyo Ledesma</v>
      </c>
      <c r="D427" s="50" t="str">
        <f>'Agents'' Final Roster 0913-0919'!D349</f>
        <v>Maria del Carmen</v>
      </c>
      <c r="Z427" s="50" t="str">
        <f>'Agents'' Final Roster 0913-0919'!J349</f>
        <v>CSV1</v>
      </c>
    </row>
    <row r="428" spans="1:26">
      <c r="A428" s="50" t="str">
        <f>'Agents'' Final Roster 0913-0919'!A350</f>
        <v>Ortiz Jose María</v>
      </c>
      <c r="B428" s="50" t="str">
        <f>'Agents'' Final Roster 0913-0919'!B350</f>
        <v>Bachur Karim</v>
      </c>
      <c r="C428" s="50" t="str">
        <f>'Agents'' Final Roster 0913-0919'!C350</f>
        <v>Avila</v>
      </c>
      <c r="D428" s="50" t="str">
        <f>'Agents'' Final Roster 0913-0919'!D350</f>
        <v>Agustín Alfredo</v>
      </c>
      <c r="Z428" s="50" t="str">
        <f>'Agents'' Final Roster 0913-0919'!J350</f>
        <v>CSV1</v>
      </c>
    </row>
    <row r="429" spans="1:26">
      <c r="A429" s="50" t="str">
        <f>'Agents'' Final Roster 0913-0919'!A351</f>
        <v>Ortiz Jose María</v>
      </c>
      <c r="B429" s="50" t="str">
        <f>'Agents'' Final Roster 0913-0919'!B351</f>
        <v>Bachur Karim</v>
      </c>
      <c r="C429" s="50" t="str">
        <f>'Agents'' Final Roster 0913-0919'!C351</f>
        <v>Del Prado</v>
      </c>
      <c r="D429" s="50" t="str">
        <f>'Agents'' Final Roster 0913-0919'!D351</f>
        <v>Martina</v>
      </c>
      <c r="Z429" s="50" t="str">
        <f>'Agents'' Final Roster 0913-0919'!J351</f>
        <v>CSV1</v>
      </c>
    </row>
    <row r="430" spans="1:26">
      <c r="A430" s="50" t="str">
        <f>'Agents'' Final Roster 0913-0919'!A352</f>
        <v>Ortiz Jose María</v>
      </c>
      <c r="B430" s="50" t="str">
        <f>'Agents'' Final Roster 0913-0919'!B352</f>
        <v>Bachur Karim</v>
      </c>
      <c r="C430" s="50" t="str">
        <f>'Agents'' Final Roster 0913-0919'!C352</f>
        <v>Nieva</v>
      </c>
      <c r="D430" s="50" t="str">
        <f>'Agents'' Final Roster 0913-0919'!D352</f>
        <v>Erika Fernanda</v>
      </c>
      <c r="Z430" s="50" t="str">
        <f>'Agents'' Final Roster 0913-0919'!J352</f>
        <v>CSV1</v>
      </c>
    </row>
    <row r="431" spans="1:26">
      <c r="A431" s="50" t="str">
        <f>'Agents'' Final Roster 0913-0919'!A353</f>
        <v>Ortiz Jose María</v>
      </c>
      <c r="B431" s="50" t="str">
        <f>'Agents'' Final Roster 0913-0919'!B353</f>
        <v>Bachur Karim</v>
      </c>
      <c r="C431" s="50" t="str">
        <f>'Agents'' Final Roster 0913-0919'!C353</f>
        <v>Ortiz</v>
      </c>
      <c r="D431" s="50" t="str">
        <f>'Agents'' Final Roster 0913-0919'!D353</f>
        <v>Marcos Oscar</v>
      </c>
      <c r="Z431" s="50" t="str">
        <f>'Agents'' Final Roster 0913-0919'!J353</f>
        <v>CSV1</v>
      </c>
    </row>
    <row r="432" spans="1:26">
      <c r="A432" s="50" t="str">
        <f>'Agents'' Final Roster 0913-0919'!A354</f>
        <v>Ortiz Jose María</v>
      </c>
      <c r="B432" s="50" t="str">
        <f>'Agents'' Final Roster 0913-0919'!B354</f>
        <v>Bachur Karim</v>
      </c>
      <c r="C432" s="50" t="str">
        <f>'Agents'' Final Roster 0913-0919'!C354</f>
        <v>Quiroga Arteaga</v>
      </c>
      <c r="D432" s="50" t="str">
        <f>'Agents'' Final Roster 0913-0919'!D354</f>
        <v>Emilse</v>
      </c>
      <c r="Z432" s="50" t="str">
        <f>'Agents'' Final Roster 0913-0919'!J354</f>
        <v>CSV1</v>
      </c>
    </row>
    <row r="433" spans="1:26">
      <c r="A433" s="50" t="str">
        <f>'Agents'' Final Roster 0913-0919'!A355</f>
        <v>Ortiz Jose María</v>
      </c>
      <c r="B433" s="50" t="str">
        <f>'Agents'' Final Roster 0913-0919'!B355</f>
        <v>Bachur Karim</v>
      </c>
      <c r="C433" s="50" t="str">
        <f>'Agents'' Final Roster 0913-0919'!C355</f>
        <v>Rivero Suarez</v>
      </c>
      <c r="D433" s="50" t="str">
        <f>'Agents'' Final Roster 0913-0919'!D355</f>
        <v>Guadalupe Martina</v>
      </c>
      <c r="Z433" s="50" t="str">
        <f>'Agents'' Final Roster 0913-0919'!J355</f>
        <v>CSV1</v>
      </c>
    </row>
    <row r="434" spans="1:26">
      <c r="A434" s="50" t="str">
        <f>'Agents'' Final Roster 0913-0919'!A356</f>
        <v>Ortiz Jose María</v>
      </c>
      <c r="B434" s="50" t="str">
        <f>'Agents'' Final Roster 0913-0919'!B356</f>
        <v>Bachur Karim</v>
      </c>
      <c r="C434" s="50" t="str">
        <f>'Agents'' Final Roster 0913-0919'!C356</f>
        <v>Villagra</v>
      </c>
      <c r="D434" s="50" t="str">
        <f>'Agents'' Final Roster 0913-0919'!D356</f>
        <v>Nahir Rosario</v>
      </c>
      <c r="Z434" s="50" t="str">
        <f>'Agents'' Final Roster 0913-0919'!J356</f>
        <v>CSV1</v>
      </c>
    </row>
    <row r="435" spans="1:26">
      <c r="A435" s="50" t="str">
        <f>'Agents'' Final Roster 0913-0919'!A357</f>
        <v>Campero Juarez Maria Guadalupe</v>
      </c>
      <c r="B435" s="50" t="str">
        <f>'Agents'' Final Roster 0913-0919'!B357</f>
        <v>Mendoza Norma Mercedes</v>
      </c>
      <c r="C435" s="50" t="str">
        <f>'Agents'' Final Roster 0913-0919'!C357</f>
        <v>Alvarez Ortiz</v>
      </c>
      <c r="D435" s="50" t="str">
        <f>'Agents'' Final Roster 0913-0919'!D357</f>
        <v>Gimena</v>
      </c>
      <c r="Z435" s="50" t="str">
        <f>'Agents'' Final Roster 0913-0919'!J357</f>
        <v>CSV1</v>
      </c>
    </row>
    <row r="436" spans="1:26">
      <c r="A436" s="50" t="str">
        <f>'Agents'' Final Roster 0913-0919'!A358</f>
        <v>Campero Juarez Maria Guadalupe</v>
      </c>
      <c r="B436" s="50" t="str">
        <f>'Agents'' Final Roster 0913-0919'!B358</f>
        <v>Mendoza Norma Mercedes</v>
      </c>
      <c r="C436" s="50" t="str">
        <f>'Agents'' Final Roster 0913-0919'!C358</f>
        <v>González</v>
      </c>
      <c r="D436" s="50" t="str">
        <f>'Agents'' Final Roster 0913-0919'!D358</f>
        <v>Bautista Ezequiel</v>
      </c>
      <c r="Z436" s="50" t="str">
        <f>'Agents'' Final Roster 0913-0919'!J358</f>
        <v>CSV1</v>
      </c>
    </row>
    <row r="437" spans="1:26">
      <c r="A437" s="50" t="str">
        <f>'Agents'' Final Roster 0913-0919'!A359</f>
        <v>Campero Juarez Maria Guadalupe</v>
      </c>
      <c r="B437" s="50" t="str">
        <f>'Agents'' Final Roster 0913-0919'!B359</f>
        <v>Mendoza Norma Mercedes</v>
      </c>
      <c r="C437" s="50" t="str">
        <f>'Agents'' Final Roster 0913-0919'!C359</f>
        <v>Medina</v>
      </c>
      <c r="D437" s="50" t="str">
        <f>'Agents'' Final Roster 0913-0919'!D359</f>
        <v>Camila del Rosario</v>
      </c>
      <c r="Z437" s="50" t="str">
        <f>'Agents'' Final Roster 0913-0919'!J359</f>
        <v>CSV1</v>
      </c>
    </row>
    <row r="438" spans="1:26">
      <c r="A438" s="50" t="str">
        <f>'Agents'' Final Roster 0913-0919'!A360</f>
        <v>Campero Juarez Maria Guadalupe</v>
      </c>
      <c r="B438" s="50" t="str">
        <f>'Agents'' Final Roster 0913-0919'!B360</f>
        <v>Mendoza Norma Mercedes</v>
      </c>
      <c r="C438" s="50" t="str">
        <f>'Agents'' Final Roster 0913-0919'!C360</f>
        <v>Moya</v>
      </c>
      <c r="D438" s="50" t="str">
        <f>'Agents'' Final Roster 0913-0919'!D360</f>
        <v>María del Milagro</v>
      </c>
      <c r="Z438" s="50" t="str">
        <f>'Agents'' Final Roster 0913-0919'!J360</f>
        <v>CSV1</v>
      </c>
    </row>
    <row r="439" spans="1:26">
      <c r="A439" s="50" t="str">
        <f>'Agents'' Final Roster 0913-0919'!A361</f>
        <v>Campero Juarez Maria Guadalupe</v>
      </c>
      <c r="B439" s="50" t="str">
        <f>'Agents'' Final Roster 0913-0919'!B361</f>
        <v>Mendoza Norma Mercedes</v>
      </c>
      <c r="C439" s="50" t="str">
        <f>'Agents'' Final Roster 0913-0919'!C361</f>
        <v>Naraskevicius</v>
      </c>
      <c r="D439" s="50" t="str">
        <f>'Agents'' Final Roster 0913-0919'!D361</f>
        <v> Alejandro</v>
      </c>
      <c r="Z439" s="50" t="str">
        <f>'Agents'' Final Roster 0913-0919'!J361</f>
        <v>CSV1</v>
      </c>
    </row>
    <row r="440" spans="1:26">
      <c r="A440" s="50" t="str">
        <f>'Agents'' Final Roster 0913-0919'!A362</f>
        <v>Campero Juarez Maria Guadalupe</v>
      </c>
      <c r="B440" s="50" t="str">
        <f>'Agents'' Final Roster 0913-0919'!B362</f>
        <v>Mendoza Norma Mercedes</v>
      </c>
      <c r="C440" s="50" t="str">
        <f>'Agents'' Final Roster 0913-0919'!C362</f>
        <v>Albarracin</v>
      </c>
      <c r="D440" s="50" t="str">
        <f>'Agents'' Final Roster 0913-0919'!D362</f>
        <v>Eliana Yaneth</v>
      </c>
      <c r="Z440" s="50" t="str">
        <f>'Agents'' Final Roster 0913-0919'!J362</f>
        <v>CSV1</v>
      </c>
    </row>
    <row r="441" spans="1:26">
      <c r="A441" s="50" t="str">
        <f>'Agents'' Final Roster 0913-0919'!A363</f>
        <v>Campero Juarez Maria Guadalupe</v>
      </c>
      <c r="B441" s="50" t="str">
        <f>'Agents'' Final Roster 0913-0919'!B363</f>
        <v>Mendoza Norma Mercedes</v>
      </c>
      <c r="C441" s="50" t="str">
        <f>'Agents'' Final Roster 0913-0919'!C363</f>
        <v>Bazan</v>
      </c>
      <c r="D441" s="50" t="str">
        <f>'Agents'' Final Roster 0913-0919'!D363</f>
        <v>Victor</v>
      </c>
      <c r="Z441" s="50" t="str">
        <f>'Agents'' Final Roster 0913-0919'!J363</f>
        <v>CSV1</v>
      </c>
    </row>
    <row r="442" spans="1:26">
      <c r="A442" s="50" t="str">
        <f>'Agents'' Final Roster 0913-0919'!A364</f>
        <v>Campero Juarez Maria Guadalupe</v>
      </c>
      <c r="B442" s="50" t="str">
        <f>'Agents'' Final Roster 0913-0919'!B364</f>
        <v>Mendoza Norma Mercedes</v>
      </c>
      <c r="C442" s="50" t="str">
        <f>'Agents'' Final Roster 0913-0919'!C364</f>
        <v>Diaz</v>
      </c>
      <c r="D442" s="50" t="str">
        <f>'Agents'' Final Roster 0913-0919'!D364</f>
        <v>Maria Soledad Micaela</v>
      </c>
      <c r="Z442" s="50" t="str">
        <f>'Agents'' Final Roster 0913-0919'!J364</f>
        <v>CSV1</v>
      </c>
    </row>
    <row r="443" spans="1:26">
      <c r="A443" s="50" t="str">
        <f>'Agents'' Final Roster 0913-0919'!A365</f>
        <v>Campero Juarez Maria Guadalupe</v>
      </c>
      <c r="B443" s="50" t="str">
        <f>'Agents'' Final Roster 0913-0919'!B365</f>
        <v>Mendoza Norma Mercedes</v>
      </c>
      <c r="C443" s="50" t="str">
        <f>'Agents'' Final Roster 0913-0919'!C365</f>
        <v>Ferrocchio</v>
      </c>
      <c r="D443" s="50" t="str">
        <f>'Agents'' Final Roster 0913-0919'!D365</f>
        <v>Juan Manue</v>
      </c>
      <c r="Z443" s="50" t="str">
        <f>'Agents'' Final Roster 0913-0919'!J365</f>
        <v>CSV1</v>
      </c>
    </row>
    <row r="444" spans="1:26">
      <c r="A444" s="50" t="str">
        <f>'Agents'' Final Roster 0913-0919'!A366</f>
        <v>Campero Juarez Maria Guadalupe</v>
      </c>
      <c r="B444" s="50" t="str">
        <f>'Agents'' Final Roster 0913-0919'!B366</f>
        <v>Mendoza Norma Mercedes</v>
      </c>
      <c r="C444" s="50" t="str">
        <f>'Agents'' Final Roster 0913-0919'!C366</f>
        <v>Llanes Fonzo</v>
      </c>
      <c r="D444" s="50" t="str">
        <f>'Agents'' Final Roster 0913-0919'!D366</f>
        <v>Camila Milagros</v>
      </c>
      <c r="Z444" s="50" t="str">
        <f>'Agents'' Final Roster 0913-0919'!J366</f>
        <v>CSV1</v>
      </c>
    </row>
    <row r="445" spans="1:26">
      <c r="A445" s="50" t="str">
        <f>'Agents'' Final Roster 0913-0919'!A367</f>
        <v>Ortiz Jose María</v>
      </c>
      <c r="B445" s="50" t="str">
        <f>'Agents'' Final Roster 0913-0919'!B367</f>
        <v>Silva Gabriel Alberto</v>
      </c>
      <c r="C445" s="50" t="str">
        <f>'Agents'' Final Roster 0913-0919'!C367</f>
        <v>Bobba</v>
      </c>
      <c r="D445" s="50" t="str">
        <f>'Agents'' Final Roster 0913-0919'!D367</f>
        <v>Franco Daniel</v>
      </c>
      <c r="Z445" s="50" t="str">
        <f>'Agents'' Final Roster 0913-0919'!J367</f>
        <v>CSV1</v>
      </c>
    </row>
    <row r="446" spans="1:26">
      <c r="A446" s="50" t="str">
        <f>'Agents'' Final Roster 0913-0919'!A368</f>
        <v>Ortiz Jose María</v>
      </c>
      <c r="B446" s="50" t="str">
        <f>'Agents'' Final Roster 0913-0919'!B368</f>
        <v>Silva Gabriel Alberto</v>
      </c>
      <c r="C446" s="50" t="str">
        <f>'Agents'' Final Roster 0913-0919'!C368</f>
        <v>Delani</v>
      </c>
      <c r="D446" s="50" t="str">
        <f>'Agents'' Final Roster 0913-0919'!D368</f>
        <v>Milagros Rocio Ayelen</v>
      </c>
      <c r="Z446" s="50" t="str">
        <f>'Agents'' Final Roster 0913-0919'!J368</f>
        <v>CSV1</v>
      </c>
    </row>
    <row r="447" spans="1:26">
      <c r="A447" s="50" t="str">
        <f>'Agents'' Final Roster 0913-0919'!A369</f>
        <v>Ortiz Jose María</v>
      </c>
      <c r="B447" s="50" t="str">
        <f>'Agents'' Final Roster 0913-0919'!B369</f>
        <v>Silva Gabriel Alberto</v>
      </c>
      <c r="C447" s="50" t="str">
        <f>'Agents'' Final Roster 0913-0919'!C369</f>
        <v>Escobar</v>
      </c>
      <c r="D447" s="50" t="str">
        <f>'Agents'' Final Roster 0913-0919'!D369</f>
        <v>Maira Daiana</v>
      </c>
      <c r="Z447" s="50" t="str">
        <f>'Agents'' Final Roster 0913-0919'!J369</f>
        <v>CSV1</v>
      </c>
    </row>
    <row r="448" spans="1:26">
      <c r="A448" s="50" t="str">
        <f>'Agents'' Final Roster 0913-0919'!A370</f>
        <v>Ortiz Jose María</v>
      </c>
      <c r="B448" s="50" t="str">
        <f>'Agents'' Final Roster 0913-0919'!B370</f>
        <v>Silva Gabriel Alberto</v>
      </c>
      <c r="C448" s="50" t="str">
        <f>'Agents'' Final Roster 0913-0919'!C370</f>
        <v>Almazan</v>
      </c>
      <c r="D448" s="50" t="str">
        <f>'Agents'' Final Roster 0913-0919'!D370</f>
        <v>Franco Matias</v>
      </c>
      <c r="Z448" s="50" t="str">
        <f>'Agents'' Final Roster 0913-0919'!J370</f>
        <v>CSV1</v>
      </c>
    </row>
    <row r="449" spans="1:26">
      <c r="A449" s="50" t="str">
        <f>'Agents'' Final Roster 0913-0919'!A371</f>
        <v>Ortiz Jose María</v>
      </c>
      <c r="B449" s="50" t="str">
        <f>'Agents'' Final Roster 0913-0919'!B371</f>
        <v>Silva Gabriel Alberto</v>
      </c>
      <c r="C449" s="50" t="str">
        <f>'Agents'' Final Roster 0913-0919'!C371</f>
        <v>Lobo Valdez</v>
      </c>
      <c r="D449" s="50" t="str">
        <f>'Agents'' Final Roster 0913-0919'!D371</f>
        <v>Lucila</v>
      </c>
      <c r="Z449" s="50" t="str">
        <f>'Agents'' Final Roster 0913-0919'!J371</f>
        <v>CSV1</v>
      </c>
    </row>
    <row r="450" spans="1:26">
      <c r="A450" s="50" t="str">
        <f>'Agents'' Final Roster 0913-0919'!A372</f>
        <v>Ortiz Jose María</v>
      </c>
      <c r="B450" s="50" t="str">
        <f>'Agents'' Final Roster 0913-0919'!B372</f>
        <v>Silva Gabriel Alberto</v>
      </c>
      <c r="C450" s="50" t="str">
        <f>'Agents'' Final Roster 0913-0919'!C372</f>
        <v>Soria</v>
      </c>
      <c r="D450" s="50" t="str">
        <f>'Agents'' Final Roster 0913-0919'!D372</f>
        <v>Florencia María</v>
      </c>
      <c r="Z450" s="50" t="str">
        <f>'Agents'' Final Roster 0913-0919'!J372</f>
        <v>CSV1</v>
      </c>
    </row>
    <row r="451" spans="1:26">
      <c r="A451" s="50" t="str">
        <f>'Agents'' Final Roster 0913-0919'!A373</f>
        <v>Ortiz Jose María</v>
      </c>
      <c r="B451" s="50" t="str">
        <f>'Agents'' Final Roster 0913-0919'!B373</f>
        <v>Silva Gabriel Alberto</v>
      </c>
      <c r="C451" s="50" t="str">
        <f>'Agents'' Final Roster 0913-0919'!C373</f>
        <v>Coronel</v>
      </c>
      <c r="D451" s="50" t="str">
        <f>'Agents'' Final Roster 0913-0919'!D373</f>
        <v>Yamila Celeste</v>
      </c>
      <c r="Z451" s="50" t="str">
        <f>'Agents'' Final Roster 0913-0919'!J373</f>
        <v>CSV1</v>
      </c>
    </row>
    <row r="452" spans="1:26">
      <c r="A452" s="50" t="str">
        <f>'Agents'' Final Roster 0913-0919'!A374</f>
        <v>Ortiz Jose María</v>
      </c>
      <c r="B452" s="50" t="str">
        <f>'Agents'' Final Roster 0913-0919'!B374</f>
        <v>Silva Gabriel Alberto</v>
      </c>
      <c r="C452" s="50" t="str">
        <f>'Agents'' Final Roster 0913-0919'!C374</f>
        <v>Quesada</v>
      </c>
      <c r="D452" s="50" t="str">
        <f>'Agents'' Final Roster 0913-0919'!D374</f>
        <v>Micaela</v>
      </c>
      <c r="Z452" s="50" t="str">
        <f>'Agents'' Final Roster 0913-0919'!J374</f>
        <v>CSV1</v>
      </c>
    </row>
    <row r="453" spans="1:26">
      <c r="A453" s="50" t="str">
        <f>'Agents'' Final Roster 0913-0919'!A375</f>
        <v>Pérez Zitzke Agustina</v>
      </c>
      <c r="B453" s="50" t="str">
        <f>'Agents'' Final Roster 0913-0919'!B375</f>
        <v>Vazquez Valladares Eduardo Alejandro</v>
      </c>
      <c r="C453" s="50" t="str">
        <f>'Agents'' Final Roster 0913-0919'!C375</f>
        <v>Lobo</v>
      </c>
      <c r="D453" s="50" t="str">
        <f>'Agents'' Final Roster 0913-0919'!D375</f>
        <v>Maria Agustina</v>
      </c>
      <c r="Z453" s="50" t="str">
        <f>'Agents'' Final Roster 0913-0919'!J375</f>
        <v>CSV1</v>
      </c>
    </row>
    <row r="454" spans="1:26">
      <c r="A454" s="50" t="str">
        <f>'Agents'' Final Roster 0913-0919'!A376</f>
        <v>Pérez Zitzke Agustina</v>
      </c>
      <c r="B454" s="50" t="str">
        <f>'Agents'' Final Roster 0913-0919'!B376</f>
        <v>Vazquez Valladares Eduardo Alejandro</v>
      </c>
      <c r="C454" s="50" t="str">
        <f>'Agents'' Final Roster 0913-0919'!C376</f>
        <v>Luna</v>
      </c>
      <c r="D454" s="50" t="str">
        <f>'Agents'' Final Roster 0913-0919'!D376</f>
        <v>Sofía Isabel</v>
      </c>
      <c r="Z454" s="50" t="str">
        <f>'Agents'' Final Roster 0913-0919'!J376</f>
        <v>CSV1</v>
      </c>
    </row>
    <row r="455" spans="1:26">
      <c r="A455" s="50" t="str">
        <f>'Agents'' Final Roster 0913-0919'!A377</f>
        <v>Pérez Zitzke Agustina</v>
      </c>
      <c r="B455" s="50" t="str">
        <f>'Agents'' Final Roster 0913-0919'!B377</f>
        <v>Vazquez Valladares Eduardo Alejandro</v>
      </c>
      <c r="C455" s="50" t="str">
        <f>'Agents'' Final Roster 0913-0919'!C377</f>
        <v>Navarro</v>
      </c>
      <c r="D455" s="50" t="str">
        <f>'Agents'' Final Roster 0913-0919'!D377</f>
        <v>Gimena</v>
      </c>
      <c r="Z455" s="50" t="str">
        <f>'Agents'' Final Roster 0913-0919'!J377</f>
        <v>CSV1</v>
      </c>
    </row>
    <row r="456" spans="1:26">
      <c r="A456" s="50" t="str">
        <f>'Agents'' Final Roster 0913-0919'!A378</f>
        <v>Pérez Zitzke Agustina</v>
      </c>
      <c r="B456" s="50" t="str">
        <f>'Agents'' Final Roster 0913-0919'!B378</f>
        <v>Vazquez Valladares Eduardo Alejandro</v>
      </c>
      <c r="C456" s="50" t="str">
        <f>'Agents'' Final Roster 0913-0919'!C378</f>
        <v>Ortiz</v>
      </c>
      <c r="D456" s="50" t="str">
        <f>'Agents'' Final Roster 0913-0919'!D378</f>
        <v>Ariel Maximiliano</v>
      </c>
      <c r="Z456" s="50" t="str">
        <f>'Agents'' Final Roster 0913-0919'!J378</f>
        <v>CSV1</v>
      </c>
    </row>
    <row r="457" spans="1:26">
      <c r="A457" s="50" t="str">
        <f>'Agents'' Final Roster 0913-0919'!A379</f>
        <v>Pérez Zitzke Agustina</v>
      </c>
      <c r="B457" s="50" t="str">
        <f>'Agents'' Final Roster 0913-0919'!B379</f>
        <v>Vazquez Valladares Eduardo Alejandro</v>
      </c>
      <c r="C457" s="50" t="str">
        <f>'Agents'' Final Roster 0913-0919'!C379</f>
        <v>Oyola</v>
      </c>
      <c r="D457" s="50" t="str">
        <f>'Agents'' Final Roster 0913-0919'!D379</f>
        <v>Sofia</v>
      </c>
      <c r="Z457" s="50" t="str">
        <f>'Agents'' Final Roster 0913-0919'!J379</f>
        <v>CSV1</v>
      </c>
    </row>
    <row r="458" spans="1:26">
      <c r="A458" s="50" t="str">
        <f>'Agents'' Final Roster 0913-0919'!A380</f>
        <v>Pérez Zitzke Agustina</v>
      </c>
      <c r="B458" s="50" t="str">
        <f>'Agents'' Final Roster 0913-0919'!B380</f>
        <v>Vazquez Valladares Eduardo Alejandro</v>
      </c>
      <c r="C458" s="50" t="str">
        <f>'Agents'' Final Roster 0913-0919'!C380</f>
        <v>Peralta</v>
      </c>
      <c r="D458" s="50" t="str">
        <f>'Agents'' Final Roster 0913-0919'!D380</f>
        <v>María Paula</v>
      </c>
      <c r="Z458" s="50" t="str">
        <f>'Agents'' Final Roster 0913-0919'!J380</f>
        <v>CSV1</v>
      </c>
    </row>
    <row r="459" spans="1:26">
      <c r="A459" s="50" t="str">
        <f>'Agents'' Final Roster 0913-0919'!A381</f>
        <v>Pérez Zitzke Agustina</v>
      </c>
      <c r="B459" s="50" t="str">
        <f>'Agents'' Final Roster 0913-0919'!B381</f>
        <v>Vazquez Valladares Eduardo Alejandro</v>
      </c>
      <c r="C459" s="50" t="str">
        <f>'Agents'' Final Roster 0913-0919'!C381</f>
        <v>Robles</v>
      </c>
      <c r="D459" s="50" t="str">
        <f>'Agents'' Final Roster 0913-0919'!D381</f>
        <v>Inés Mónica</v>
      </c>
      <c r="Z459" s="50" t="str">
        <f>'Agents'' Final Roster 0913-0919'!J381</f>
        <v>CSV1</v>
      </c>
    </row>
    <row r="460" spans="1:26">
      <c r="A460" s="50" t="str">
        <f>'Agents'' Final Roster 0913-0919'!A382</f>
        <v>Pérez Zitzke Agustina</v>
      </c>
      <c r="B460" s="50" t="str">
        <f>'Agents'' Final Roster 0913-0919'!B382</f>
        <v>Vazquez Valladares Eduardo Alejandro</v>
      </c>
      <c r="C460" s="50" t="str">
        <f>'Agents'' Final Roster 0913-0919'!C382</f>
        <v>Soria</v>
      </c>
      <c r="D460" s="50" t="str">
        <f>'Agents'' Final Roster 0913-0919'!D382</f>
        <v>Maria Gisela</v>
      </c>
      <c r="Z460" s="50" t="str">
        <f>'Agents'' Final Roster 0913-0919'!J382</f>
        <v>CSV1</v>
      </c>
    </row>
    <row r="461" spans="1:26">
      <c r="A461" s="50" t="str">
        <f>'Agents'' Final Roster 0913-0919'!A383</f>
        <v>Pérez Zitzke Agustina</v>
      </c>
      <c r="B461" s="50" t="str">
        <f>'Agents'' Final Roster 0913-0919'!B383</f>
        <v>Vazquez Valladares Eduardo Alejandro</v>
      </c>
      <c r="C461" s="50" t="str">
        <f>'Agents'' Final Roster 0913-0919'!C383</f>
        <v>Valle</v>
      </c>
      <c r="D461" s="50" t="str">
        <f>'Agents'' Final Roster 0913-0919'!D383</f>
        <v>Federico</v>
      </c>
      <c r="Z461" s="50" t="str">
        <f>'Agents'' Final Roster 0913-0919'!J383</f>
        <v>CSV1</v>
      </c>
    </row>
    <row r="462" spans="1:26">
      <c r="A462" s="50" t="str">
        <f>'Agents'' Final Roster 0913-0919'!A384</f>
        <v>Pérez Zitzke Agustina</v>
      </c>
      <c r="B462" s="50" t="str">
        <f>'Agents'' Final Roster 0913-0919'!B384</f>
        <v>Vazquez Valladares Eduardo Alejandro</v>
      </c>
      <c r="C462" s="50" t="str">
        <f>'Agents'' Final Roster 0913-0919'!C384</f>
        <v>Villarrubia</v>
      </c>
      <c r="D462" s="50" t="str">
        <f>'Agents'' Final Roster 0913-0919'!D384</f>
        <v>Franco Antonio</v>
      </c>
      <c r="Z462" s="50" t="str">
        <f>'Agents'' Final Roster 0913-0919'!J384</f>
        <v>CSV1</v>
      </c>
    </row>
    <row r="463" spans="1:26">
      <c r="A463" s="50">
        <f>'Agents'' Final Roster 0913-0919'!A385</f>
        <v>0</v>
      </c>
      <c r="B463" s="50">
        <f>'Agents'' Final Roster 0913-0919'!B385</f>
        <v>0</v>
      </c>
      <c r="C463" s="50">
        <f>'Agents'' Final Roster 0913-0919'!C385</f>
        <v>0</v>
      </c>
      <c r="D463" s="50">
        <f>'Agents'' Final Roster 0913-0919'!D385</f>
        <v>0</v>
      </c>
      <c r="Z463" s="50">
        <f>'Agents'' Final Roster 0913-0919'!J385</f>
        <v>0</v>
      </c>
    </row>
    <row r="464" spans="1:26">
      <c r="A464" s="50">
        <f>'Agents'' Final Roster 0913-0919'!A386</f>
        <v>0</v>
      </c>
      <c r="B464" s="50">
        <f>'Agents'' Final Roster 0913-0919'!B386</f>
        <v>0</v>
      </c>
      <c r="C464" s="50">
        <f>'Agents'' Final Roster 0913-0919'!C386</f>
        <v>0</v>
      </c>
      <c r="D464" s="50">
        <f>'Agents'' Final Roster 0913-0919'!D386</f>
        <v>0</v>
      </c>
      <c r="Z464" s="50">
        <f>'Agents'' Final Roster 0913-0919'!J386</f>
        <v>0</v>
      </c>
    </row>
    <row r="465" spans="1:26">
      <c r="A465" s="50">
        <f>'Agents'' Final Roster 0913-0919'!A387</f>
        <v>0</v>
      </c>
      <c r="B465" s="50">
        <f>'Agents'' Final Roster 0913-0919'!B387</f>
        <v>0</v>
      </c>
      <c r="C465" s="50">
        <f>'Agents'' Final Roster 0913-0919'!C387</f>
        <v>0</v>
      </c>
      <c r="D465" s="50">
        <f>'Agents'' Final Roster 0913-0919'!D387</f>
        <v>0</v>
      </c>
      <c r="Z465" s="50">
        <f>'Agents'' Final Roster 0913-0919'!J387</f>
        <v>0</v>
      </c>
    </row>
    <row r="466" spans="1:26">
      <c r="A466" s="50">
        <f>'Agents'' Final Roster 0913-0919'!A388</f>
        <v>0</v>
      </c>
      <c r="B466" s="50">
        <f>'Agents'' Final Roster 0913-0919'!B388</f>
        <v>0</v>
      </c>
      <c r="C466" s="50">
        <f>'Agents'' Final Roster 0913-0919'!C388</f>
        <v>0</v>
      </c>
      <c r="D466" s="50">
        <f>'Agents'' Final Roster 0913-0919'!D388</f>
        <v>0</v>
      </c>
      <c r="Z466" s="50">
        <f>'Agents'' Final Roster 0913-0919'!J388</f>
        <v>0</v>
      </c>
    </row>
    <row r="467" spans="1:26">
      <c r="A467" s="50">
        <f>'Agents'' Final Roster 0913-0919'!A389</f>
        <v>0</v>
      </c>
      <c r="B467" s="50">
        <f>'Agents'' Final Roster 0913-0919'!B389</f>
        <v>0</v>
      </c>
      <c r="C467" s="50">
        <f>'Agents'' Final Roster 0913-0919'!C389</f>
        <v>0</v>
      </c>
      <c r="D467" s="50">
        <f>'Agents'' Final Roster 0913-0919'!D389</f>
        <v>0</v>
      </c>
      <c r="Z467" s="50">
        <f>'Agents'' Final Roster 0913-0919'!J389</f>
        <v>0</v>
      </c>
    </row>
    <row r="468" spans="1:26">
      <c r="A468" s="50">
        <f>'Agents'' Final Roster 0913-0919'!A390</f>
        <v>0</v>
      </c>
      <c r="B468" s="50">
        <f>'Agents'' Final Roster 0913-0919'!B390</f>
        <v>0</v>
      </c>
      <c r="C468" s="50">
        <f>'Agents'' Final Roster 0913-0919'!C390</f>
        <v>0</v>
      </c>
      <c r="D468" s="50">
        <f>'Agents'' Final Roster 0913-0919'!D390</f>
        <v>0</v>
      </c>
      <c r="Z468" s="50">
        <f>'Agents'' Final Roster 0913-0919'!J390</f>
        <v>0</v>
      </c>
    </row>
    <row r="469" spans="1:26">
      <c r="A469" s="50">
        <f>'Agents'' Final Roster 0913-0919'!A391</f>
        <v>0</v>
      </c>
      <c r="B469" s="50">
        <f>'Agents'' Final Roster 0913-0919'!B391</f>
        <v>0</v>
      </c>
      <c r="C469" s="50">
        <f>'Agents'' Final Roster 0913-0919'!C391</f>
        <v>0</v>
      </c>
      <c r="D469" s="50">
        <f>'Agents'' Final Roster 0913-0919'!D391</f>
        <v>0</v>
      </c>
      <c r="Z469" s="50">
        <f>'Agents'' Final Roster 0913-0919'!J391</f>
        <v>0</v>
      </c>
    </row>
    <row r="470" spans="1:26">
      <c r="A470" s="50">
        <f>'Agents'' Final Roster 0913-0919'!A392</f>
        <v>0</v>
      </c>
      <c r="B470" s="50">
        <f>'Agents'' Final Roster 0913-0919'!B392</f>
        <v>0</v>
      </c>
      <c r="C470" s="50">
        <f>'Agents'' Final Roster 0913-0919'!C392</f>
        <v>0</v>
      </c>
      <c r="D470" s="50">
        <f>'Agents'' Final Roster 0913-0919'!D392</f>
        <v>0</v>
      </c>
      <c r="Z470" s="50">
        <f>'Agents'' Final Roster 0913-0919'!J392</f>
        <v>0</v>
      </c>
    </row>
    <row r="471" spans="1:26">
      <c r="A471" s="50">
        <f>'Agents'' Final Roster 0913-0919'!A393</f>
        <v>0</v>
      </c>
      <c r="B471" s="50">
        <f>'Agents'' Final Roster 0913-0919'!B393</f>
        <v>0</v>
      </c>
      <c r="C471" s="50">
        <f>'Agents'' Final Roster 0913-0919'!C393</f>
        <v>0</v>
      </c>
      <c r="D471" s="50">
        <f>'Agents'' Final Roster 0913-0919'!D393</f>
        <v>0</v>
      </c>
      <c r="Z471" s="50">
        <f>'Agents'' Final Roster 0913-0919'!J393</f>
        <v>0</v>
      </c>
    </row>
    <row r="472" spans="1:26">
      <c r="A472" s="50">
        <f>'Agents'' Final Roster 0913-0919'!A394</f>
        <v>0</v>
      </c>
      <c r="B472" s="50">
        <f>'Agents'' Final Roster 0913-0919'!B394</f>
        <v>0</v>
      </c>
      <c r="C472" s="50">
        <f>'Agents'' Final Roster 0913-0919'!C394</f>
        <v>0</v>
      </c>
      <c r="D472" s="50">
        <f>'Agents'' Final Roster 0913-0919'!D394</f>
        <v>0</v>
      </c>
      <c r="Z472" s="50">
        <f>'Agents'' Final Roster 0913-0919'!J394</f>
        <v>0</v>
      </c>
    </row>
    <row r="473" spans="1:26">
      <c r="A473" s="50">
        <f>'Agents'' Final Roster 0913-0919'!A395</f>
        <v>0</v>
      </c>
      <c r="B473" s="50">
        <f>'Agents'' Final Roster 0913-0919'!B395</f>
        <v>0</v>
      </c>
      <c r="C473" s="50">
        <f>'Agents'' Final Roster 0913-0919'!C395</f>
        <v>0</v>
      </c>
      <c r="D473" s="50">
        <f>'Agents'' Final Roster 0913-0919'!D395</f>
        <v>0</v>
      </c>
      <c r="Z473" s="50">
        <f>'Agents'' Final Roster 0913-0919'!J395</f>
        <v>0</v>
      </c>
    </row>
    <row r="474" spans="1:26">
      <c r="A474" s="50">
        <f>'Agents'' Final Roster 0913-0919'!A396</f>
        <v>0</v>
      </c>
      <c r="B474" s="50">
        <f>'Agents'' Final Roster 0913-0919'!B396</f>
        <v>0</v>
      </c>
      <c r="C474" s="50">
        <f>'Agents'' Final Roster 0913-0919'!C396</f>
        <v>0</v>
      </c>
      <c r="D474" s="50">
        <f>'Agents'' Final Roster 0913-0919'!D396</f>
        <v>0</v>
      </c>
      <c r="Z474" s="50">
        <f>'Agents'' Final Roster 0913-0919'!J396</f>
        <v>0</v>
      </c>
    </row>
    <row r="475" spans="1:26">
      <c r="A475" s="50">
        <f>'Agents'' Final Roster 0913-0919'!A397</f>
        <v>0</v>
      </c>
      <c r="B475" s="50">
        <f>'Agents'' Final Roster 0913-0919'!B397</f>
        <v>0</v>
      </c>
      <c r="C475" s="50">
        <f>'Agents'' Final Roster 0913-0919'!C397</f>
        <v>0</v>
      </c>
      <c r="D475" s="50">
        <f>'Agents'' Final Roster 0913-0919'!D397</f>
        <v>0</v>
      </c>
      <c r="Z475" s="50">
        <f>'Agents'' Final Roster 0913-0919'!J397</f>
        <v>0</v>
      </c>
    </row>
    <row r="476" spans="1:26">
      <c r="A476" s="50">
        <f>'Agents'' Final Roster 0913-0919'!A398</f>
        <v>0</v>
      </c>
      <c r="B476" s="50">
        <f>'Agents'' Final Roster 0913-0919'!B398</f>
        <v>0</v>
      </c>
      <c r="C476" s="50">
        <f>'Agents'' Final Roster 0913-0919'!C398</f>
        <v>0</v>
      </c>
      <c r="D476" s="50">
        <f>'Agents'' Final Roster 0913-0919'!D398</f>
        <v>0</v>
      </c>
      <c r="Z476" s="50">
        <f>'Agents'' Final Roster 0913-0919'!J398</f>
        <v>0</v>
      </c>
    </row>
    <row r="477" spans="1:26">
      <c r="A477" s="50">
        <f>'Agents'' Final Roster 0913-0919'!A399</f>
        <v>0</v>
      </c>
      <c r="B477" s="50">
        <f>'Agents'' Final Roster 0913-0919'!B399</f>
        <v>0</v>
      </c>
      <c r="C477" s="50">
        <f>'Agents'' Final Roster 0913-0919'!C399</f>
        <v>0</v>
      </c>
      <c r="D477" s="50">
        <f>'Agents'' Final Roster 0913-0919'!D399</f>
        <v>0</v>
      </c>
      <c r="Z477" s="50">
        <f>'Agents'' Final Roster 0913-0919'!J399</f>
        <v>0</v>
      </c>
    </row>
    <row r="478" spans="1:26">
      <c r="A478" s="50">
        <f>'Agents'' Final Roster 0913-0919'!A400</f>
        <v>0</v>
      </c>
      <c r="B478" s="50">
        <f>'Agents'' Final Roster 0913-0919'!B400</f>
        <v>0</v>
      </c>
      <c r="C478" s="50">
        <f>'Agents'' Final Roster 0913-0919'!C400</f>
        <v>0</v>
      </c>
      <c r="D478" s="50">
        <f>'Agents'' Final Roster 0913-0919'!D400</f>
        <v>0</v>
      </c>
      <c r="Z478" s="50">
        <f>'Agents'' Final Roster 0913-0919'!J400</f>
        <v>0</v>
      </c>
    </row>
    <row r="479" spans="1:26">
      <c r="A479" s="50">
        <f>'Agents'' Final Roster 0913-0919'!A401</f>
        <v>0</v>
      </c>
      <c r="B479" s="50">
        <f>'Agents'' Final Roster 0913-0919'!B401</f>
        <v>0</v>
      </c>
      <c r="C479" s="50">
        <f>'Agents'' Final Roster 0913-0919'!C401</f>
        <v>0</v>
      </c>
      <c r="D479" s="50">
        <f>'Agents'' Final Roster 0913-0919'!D401</f>
        <v>0</v>
      </c>
      <c r="Z479" s="50">
        <f>'Agents'' Final Roster 0913-0919'!J401</f>
        <v>0</v>
      </c>
    </row>
    <row r="480" spans="1:26">
      <c r="A480" s="50">
        <f>'Agents'' Final Roster 0913-0919'!A402</f>
        <v>0</v>
      </c>
      <c r="B480" s="50">
        <f>'Agents'' Final Roster 0913-0919'!B402</f>
        <v>0</v>
      </c>
      <c r="C480" s="50">
        <f>'Agents'' Final Roster 0913-0919'!C402</f>
        <v>0</v>
      </c>
      <c r="D480" s="50">
        <f>'Agents'' Final Roster 0913-0919'!D402</f>
        <v>0</v>
      </c>
      <c r="Z480" s="50">
        <f>'Agents'' Final Roster 0913-0919'!J402</f>
        <v>0</v>
      </c>
    </row>
    <row r="481" spans="1:26">
      <c r="A481" s="50">
        <f>'Agents'' Final Roster 0913-0919'!A403</f>
        <v>0</v>
      </c>
      <c r="B481" s="50">
        <f>'Agents'' Final Roster 0913-0919'!B403</f>
        <v>0</v>
      </c>
      <c r="C481" s="50">
        <f>'Agents'' Final Roster 0913-0919'!C403</f>
        <v>0</v>
      </c>
      <c r="D481" s="50">
        <f>'Agents'' Final Roster 0913-0919'!D403</f>
        <v>0</v>
      </c>
      <c r="Z481" s="50">
        <f>'Agents'' Final Roster 0913-0919'!J403</f>
        <v>0</v>
      </c>
    </row>
    <row r="482" spans="1:26">
      <c r="A482" s="50">
        <f>'Agents'' Final Roster 0913-0919'!A404</f>
        <v>0</v>
      </c>
      <c r="B482" s="50">
        <f>'Agents'' Final Roster 0913-0919'!B404</f>
        <v>0</v>
      </c>
      <c r="C482" s="50">
        <f>'Agents'' Final Roster 0913-0919'!C404</f>
        <v>0</v>
      </c>
      <c r="D482" s="50">
        <f>'Agents'' Final Roster 0913-0919'!D404</f>
        <v>0</v>
      </c>
      <c r="Z482" s="50">
        <f>'Agents'' Final Roster 0913-0919'!J404</f>
        <v>0</v>
      </c>
    </row>
    <row r="483" spans="1:26">
      <c r="A483" s="50">
        <f>'Agents'' Final Roster 0913-0919'!A405</f>
        <v>0</v>
      </c>
      <c r="B483" s="50">
        <f>'Agents'' Final Roster 0913-0919'!B405</f>
        <v>0</v>
      </c>
      <c r="C483" s="50">
        <f>'Agents'' Final Roster 0913-0919'!C405</f>
        <v>0</v>
      </c>
      <c r="D483" s="50">
        <f>'Agents'' Final Roster 0913-0919'!D405</f>
        <v>0</v>
      </c>
      <c r="Z483" s="50">
        <f>'Agents'' Final Roster 0913-0919'!J405</f>
        <v>0</v>
      </c>
    </row>
    <row r="484" spans="1:26">
      <c r="A484" s="50">
        <f>'Agents'' Final Roster 0913-0919'!A406</f>
        <v>0</v>
      </c>
      <c r="B484" s="50">
        <f>'Agents'' Final Roster 0913-0919'!B406</f>
        <v>0</v>
      </c>
      <c r="C484" s="50">
        <f>'Agents'' Final Roster 0913-0919'!C406</f>
        <v>0</v>
      </c>
      <c r="D484" s="50">
        <f>'Agents'' Final Roster 0913-0919'!D406</f>
        <v>0</v>
      </c>
      <c r="Z484" s="50">
        <f>'Agents'' Final Roster 0913-0919'!J406</f>
        <v>0</v>
      </c>
    </row>
    <row r="485" spans="1:26">
      <c r="A485" s="50">
        <f>'Agents'' Final Roster 0913-0919'!A407</f>
        <v>0</v>
      </c>
      <c r="B485" s="50">
        <f>'Agents'' Final Roster 0913-0919'!B407</f>
        <v>0</v>
      </c>
      <c r="C485" s="50">
        <f>'Agents'' Final Roster 0913-0919'!C407</f>
        <v>0</v>
      </c>
      <c r="D485" s="50">
        <f>'Agents'' Final Roster 0913-0919'!D407</f>
        <v>0</v>
      </c>
      <c r="Z485" s="50">
        <f>'Agents'' Final Roster 0913-0919'!J407</f>
        <v>0</v>
      </c>
    </row>
    <row r="486" spans="1:26">
      <c r="A486" s="50">
        <f>'Agents'' Final Roster 0913-0919'!A408</f>
        <v>0</v>
      </c>
      <c r="B486" s="50">
        <f>'Agents'' Final Roster 0913-0919'!B408</f>
        <v>0</v>
      </c>
      <c r="C486" s="50">
        <f>'Agents'' Final Roster 0913-0919'!C408</f>
        <v>0</v>
      </c>
      <c r="D486" s="50">
        <f>'Agents'' Final Roster 0913-0919'!D408</f>
        <v>0</v>
      </c>
      <c r="Z486" s="50">
        <f>'Agents'' Final Roster 0913-0919'!J408</f>
        <v>0</v>
      </c>
    </row>
    <row r="487" spans="1:26">
      <c r="A487" s="50">
        <f>'Agents'' Final Roster 0913-0919'!A409</f>
        <v>0</v>
      </c>
      <c r="B487" s="50">
        <f>'Agents'' Final Roster 0913-0919'!B409</f>
        <v>0</v>
      </c>
      <c r="C487" s="50">
        <f>'Agents'' Final Roster 0913-0919'!C409</f>
        <v>0</v>
      </c>
      <c r="D487" s="50">
        <f>'Agents'' Final Roster 0913-0919'!D409</f>
        <v>0</v>
      </c>
      <c r="Z487" s="50">
        <f>'Agents'' Final Roster 0913-0919'!J409</f>
        <v>0</v>
      </c>
    </row>
    <row r="488" spans="1:26">
      <c r="A488" s="50">
        <f>'Agents'' Final Roster 0913-0919'!A410</f>
        <v>0</v>
      </c>
      <c r="B488" s="50">
        <f>'Agents'' Final Roster 0913-0919'!B410</f>
        <v>0</v>
      </c>
      <c r="C488" s="50">
        <f>'Agents'' Final Roster 0913-0919'!C410</f>
        <v>0</v>
      </c>
      <c r="D488" s="50">
        <f>'Agents'' Final Roster 0913-0919'!D410</f>
        <v>0</v>
      </c>
      <c r="Z488" s="50">
        <f>'Agents'' Final Roster 0913-0919'!J410</f>
        <v>0</v>
      </c>
    </row>
    <row r="489" spans="1:26">
      <c r="A489" s="50">
        <f>'Agents'' Final Roster 0913-0919'!A411</f>
        <v>0</v>
      </c>
      <c r="B489" s="50">
        <f>'Agents'' Final Roster 0913-0919'!B411</f>
        <v>0</v>
      </c>
      <c r="C489" s="50">
        <f>'Agents'' Final Roster 0913-0919'!C411</f>
        <v>0</v>
      </c>
      <c r="D489" s="50">
        <f>'Agents'' Final Roster 0913-0919'!D411</f>
        <v>0</v>
      </c>
      <c r="Z489" s="50">
        <f>'Agents'' Final Roster 0913-0919'!J411</f>
        <v>0</v>
      </c>
    </row>
    <row r="490" spans="1:26">
      <c r="A490" s="50">
        <f>'Agents'' Final Roster 0913-0919'!A412</f>
        <v>0</v>
      </c>
      <c r="B490" s="50">
        <f>'Agents'' Final Roster 0913-0919'!B412</f>
        <v>0</v>
      </c>
      <c r="C490" s="50">
        <f>'Agents'' Final Roster 0913-0919'!C412</f>
        <v>0</v>
      </c>
      <c r="D490" s="50">
        <f>'Agents'' Final Roster 0913-0919'!D412</f>
        <v>0</v>
      </c>
      <c r="Z490" s="50">
        <f>'Agents'' Final Roster 0913-0919'!J412</f>
        <v>0</v>
      </c>
    </row>
    <row r="491" spans="1:26">
      <c r="A491" s="50">
        <f>'Agents'' Final Roster 0913-0919'!A413</f>
        <v>0</v>
      </c>
      <c r="B491" s="50">
        <f>'Agents'' Final Roster 0913-0919'!B413</f>
        <v>0</v>
      </c>
      <c r="C491" s="50">
        <f>'Agents'' Final Roster 0913-0919'!C413</f>
        <v>0</v>
      </c>
      <c r="D491" s="50">
        <f>'Agents'' Final Roster 0913-0919'!D413</f>
        <v>0</v>
      </c>
      <c r="Z491" s="50">
        <f>'Agents'' Final Roster 0913-0919'!J413</f>
        <v>0</v>
      </c>
    </row>
    <row r="492" spans="1:26">
      <c r="A492" s="50">
        <f>'Agents'' Final Roster 0913-0919'!A414</f>
        <v>0</v>
      </c>
      <c r="B492" s="50">
        <f>'Agents'' Final Roster 0913-0919'!B414</f>
        <v>0</v>
      </c>
      <c r="C492" s="50">
        <f>'Agents'' Final Roster 0913-0919'!C414</f>
        <v>0</v>
      </c>
      <c r="D492" s="50">
        <f>'Agents'' Final Roster 0913-0919'!D414</f>
        <v>0</v>
      </c>
      <c r="Z492" s="50">
        <f>'Agents'' Final Roster 0913-0919'!J414</f>
        <v>0</v>
      </c>
    </row>
    <row r="493" spans="1:26">
      <c r="A493" s="50">
        <f>'Agents'' Final Roster 0913-0919'!A415</f>
        <v>0</v>
      </c>
      <c r="B493" s="50">
        <f>'Agents'' Final Roster 0913-0919'!B415</f>
        <v>0</v>
      </c>
      <c r="C493" s="50">
        <f>'Agents'' Final Roster 0913-0919'!C415</f>
        <v>0</v>
      </c>
      <c r="D493" s="50">
        <f>'Agents'' Final Roster 0913-0919'!D415</f>
        <v>0</v>
      </c>
      <c r="Z493" s="50">
        <f>'Agents'' Final Roster 0913-0919'!J415</f>
        <v>0</v>
      </c>
    </row>
    <row r="494" spans="1:26">
      <c r="A494" s="50">
        <f>'Agents'' Final Roster 0913-0919'!A416</f>
        <v>0</v>
      </c>
      <c r="B494" s="50">
        <f>'Agents'' Final Roster 0913-0919'!B416</f>
        <v>0</v>
      </c>
      <c r="C494" s="50">
        <f>'Agents'' Final Roster 0913-0919'!C416</f>
        <v>0</v>
      </c>
      <c r="D494" s="50">
        <f>'Agents'' Final Roster 0913-0919'!D416</f>
        <v>0</v>
      </c>
      <c r="Z494" s="50">
        <f>'Agents'' Final Roster 0913-0919'!J416</f>
        <v>0</v>
      </c>
    </row>
    <row r="495" spans="1:26">
      <c r="A495" s="50">
        <f>'Agents'' Final Roster 0913-0919'!A417</f>
        <v>0</v>
      </c>
      <c r="B495" s="50">
        <f>'Agents'' Final Roster 0913-0919'!B417</f>
        <v>0</v>
      </c>
      <c r="C495" s="50">
        <f>'Agents'' Final Roster 0913-0919'!C417</f>
        <v>0</v>
      </c>
      <c r="D495" s="50">
        <f>'Agents'' Final Roster 0913-0919'!D417</f>
        <v>0</v>
      </c>
      <c r="Z495" s="50">
        <f>'Agents'' Final Roster 0913-0919'!J417</f>
        <v>0</v>
      </c>
    </row>
    <row r="496" spans="1:26">
      <c r="A496" s="50">
        <f>'Agents'' Final Roster 0913-0919'!A418</f>
        <v>0</v>
      </c>
      <c r="B496" s="50">
        <f>'Agents'' Final Roster 0913-0919'!B418</f>
        <v>0</v>
      </c>
      <c r="C496" s="50">
        <f>'Agents'' Final Roster 0913-0919'!C418</f>
        <v>0</v>
      </c>
      <c r="D496" s="50">
        <f>'Agents'' Final Roster 0913-0919'!D418</f>
        <v>0</v>
      </c>
      <c r="Z496" s="50">
        <f>'Agents'' Final Roster 0913-0919'!J418</f>
        <v>0</v>
      </c>
    </row>
    <row r="497" spans="1:26">
      <c r="A497" s="50">
        <f>'Agents'' Final Roster 0913-0919'!A419</f>
        <v>0</v>
      </c>
      <c r="B497" s="50">
        <f>'Agents'' Final Roster 0913-0919'!B419</f>
        <v>0</v>
      </c>
      <c r="C497" s="50">
        <f>'Agents'' Final Roster 0913-0919'!C419</f>
        <v>0</v>
      </c>
      <c r="D497" s="50">
        <f>'Agents'' Final Roster 0913-0919'!D419</f>
        <v>0</v>
      </c>
      <c r="Z497" s="50">
        <f>'Agents'' Final Roster 0913-0919'!J419</f>
        <v>0</v>
      </c>
    </row>
    <row r="498" spans="1:26">
      <c r="A498" s="50">
        <f>'Agents'' Final Roster 0913-0919'!A420</f>
        <v>0</v>
      </c>
      <c r="B498" s="50">
        <f>'Agents'' Final Roster 0913-0919'!B420</f>
        <v>0</v>
      </c>
      <c r="C498" s="50">
        <f>'Agents'' Final Roster 0913-0919'!C420</f>
        <v>0</v>
      </c>
      <c r="D498" s="50">
        <f>'Agents'' Final Roster 0913-0919'!D420</f>
        <v>0</v>
      </c>
      <c r="Z498" s="50">
        <f>'Agents'' Final Roster 0913-0919'!J420</f>
        <v>0</v>
      </c>
    </row>
    <row r="499" spans="1:26">
      <c r="A499" s="50">
        <f>'Agents'' Final Roster 0913-0919'!A421</f>
        <v>0</v>
      </c>
      <c r="B499" s="50">
        <f>'Agents'' Final Roster 0913-0919'!B421</f>
        <v>0</v>
      </c>
      <c r="C499" s="50">
        <f>'Agents'' Final Roster 0913-0919'!C421</f>
        <v>0</v>
      </c>
      <c r="D499" s="50">
        <f>'Agents'' Final Roster 0913-0919'!D421</f>
        <v>0</v>
      </c>
      <c r="Z499" s="50">
        <f>'Agents'' Final Roster 0913-0919'!J421</f>
        <v>0</v>
      </c>
    </row>
    <row r="500" spans="1:26">
      <c r="A500" s="50">
        <f>'Agents'' Final Roster 0913-0919'!A422</f>
        <v>0</v>
      </c>
      <c r="B500" s="50">
        <f>'Agents'' Final Roster 0913-0919'!B422</f>
        <v>0</v>
      </c>
      <c r="C500" s="50">
        <f>'Agents'' Final Roster 0913-0919'!C422</f>
        <v>0</v>
      </c>
      <c r="D500" s="50">
        <f>'Agents'' Final Roster 0913-0919'!D422</f>
        <v>0</v>
      </c>
      <c r="Z500" s="50">
        <f>'Agents'' Final Roster 0913-0919'!J422</f>
        <v>0</v>
      </c>
    </row>
    <row r="501" spans="1:26">
      <c r="A501" s="50">
        <f>'Agents'' Final Roster 0913-0919'!A423</f>
        <v>0</v>
      </c>
      <c r="B501" s="50">
        <f>'Agents'' Final Roster 0913-0919'!B423</f>
        <v>0</v>
      </c>
      <c r="C501" s="50">
        <f>'Agents'' Final Roster 0913-0919'!C423</f>
        <v>0</v>
      </c>
      <c r="D501" s="50">
        <f>'Agents'' Final Roster 0913-0919'!D423</f>
        <v>0</v>
      </c>
      <c r="Z501" s="50">
        <f>'Agents'' Final Roster 0913-0919'!J423</f>
        <v>0</v>
      </c>
    </row>
    <row r="502" spans="1:26">
      <c r="A502" s="50">
        <f>'Agents'' Final Roster 0913-0919'!A424</f>
        <v>0</v>
      </c>
      <c r="B502" s="50">
        <f>'Agents'' Final Roster 0913-0919'!B424</f>
        <v>0</v>
      </c>
      <c r="C502" s="50">
        <f>'Agents'' Final Roster 0913-0919'!C424</f>
        <v>0</v>
      </c>
      <c r="D502" s="50">
        <f>'Agents'' Final Roster 0913-0919'!D424</f>
        <v>0</v>
      </c>
      <c r="Z502" s="50">
        <f>'Agents'' Final Roster 0913-0919'!J424</f>
        <v>0</v>
      </c>
    </row>
    <row r="503" spans="1:26">
      <c r="A503" s="50">
        <f>'Agents'' Final Roster 0913-0919'!A425</f>
        <v>0</v>
      </c>
      <c r="B503" s="50">
        <f>'Agents'' Final Roster 0913-0919'!B425</f>
        <v>0</v>
      </c>
      <c r="C503" s="50">
        <f>'Agents'' Final Roster 0913-0919'!C425</f>
        <v>0</v>
      </c>
      <c r="D503" s="50">
        <f>'Agents'' Final Roster 0913-0919'!D425</f>
        <v>0</v>
      </c>
      <c r="Z503" s="50">
        <f>'Agents'' Final Roster 0913-0919'!J425</f>
        <v>0</v>
      </c>
    </row>
    <row r="504" spans="1:26">
      <c r="A504" s="50">
        <f>'Agents'' Final Roster 0913-0919'!A426</f>
        <v>0</v>
      </c>
      <c r="B504" s="50">
        <f>'Agents'' Final Roster 0913-0919'!B426</f>
        <v>0</v>
      </c>
      <c r="C504" s="50">
        <f>'Agents'' Final Roster 0913-0919'!C426</f>
        <v>0</v>
      </c>
      <c r="D504" s="50">
        <f>'Agents'' Final Roster 0913-0919'!D426</f>
        <v>0</v>
      </c>
      <c r="Z504" s="50">
        <f>'Agents'' Final Roster 0913-0919'!J426</f>
        <v>0</v>
      </c>
    </row>
    <row r="505" spans="1:26">
      <c r="A505" s="50">
        <f>'Agents'' Final Roster 0913-0919'!A427</f>
        <v>0</v>
      </c>
      <c r="B505" s="50">
        <f>'Agents'' Final Roster 0913-0919'!B427</f>
        <v>0</v>
      </c>
      <c r="C505" s="50">
        <f>'Agents'' Final Roster 0913-0919'!C427</f>
        <v>0</v>
      </c>
      <c r="D505" s="50">
        <f>'Agents'' Final Roster 0913-0919'!D427</f>
        <v>0</v>
      </c>
      <c r="Z505" s="50">
        <f>'Agents'' Final Roster 0913-0919'!J427</f>
        <v>0</v>
      </c>
    </row>
    <row r="506" spans="1:26">
      <c r="A506" s="50">
        <f>'Agents'' Final Roster 0913-0919'!A428</f>
        <v>0</v>
      </c>
      <c r="B506" s="50">
        <f>'Agents'' Final Roster 0913-0919'!B428</f>
        <v>0</v>
      </c>
      <c r="C506" s="50">
        <f>'Agents'' Final Roster 0913-0919'!C428</f>
        <v>0</v>
      </c>
      <c r="D506" s="50">
        <f>'Agents'' Final Roster 0913-0919'!D428</f>
        <v>0</v>
      </c>
      <c r="Z506" s="50">
        <f>'Agents'' Final Roster 0913-0919'!J428</f>
        <v>0</v>
      </c>
    </row>
    <row r="507" spans="1:26">
      <c r="A507" s="50">
        <f>'Agents'' Final Roster 0913-0919'!A429</f>
        <v>0</v>
      </c>
      <c r="B507" s="50">
        <f>'Agents'' Final Roster 0913-0919'!B429</f>
        <v>0</v>
      </c>
      <c r="C507" s="50">
        <f>'Agents'' Final Roster 0913-0919'!C429</f>
        <v>0</v>
      </c>
      <c r="D507" s="50">
        <f>'Agents'' Final Roster 0913-0919'!D429</f>
        <v>0</v>
      </c>
      <c r="Z507" s="50">
        <f>'Agents'' Final Roster 0913-0919'!J429</f>
        <v>0</v>
      </c>
    </row>
    <row r="508" spans="1:26">
      <c r="A508" s="50">
        <f>'Agents'' Final Roster 0913-0919'!A430</f>
        <v>0</v>
      </c>
      <c r="B508" s="50">
        <f>'Agents'' Final Roster 0913-0919'!B430</f>
        <v>0</v>
      </c>
      <c r="C508" s="50">
        <f>'Agents'' Final Roster 0913-0919'!C430</f>
        <v>0</v>
      </c>
      <c r="D508" s="50">
        <f>'Agents'' Final Roster 0913-0919'!D430</f>
        <v>0</v>
      </c>
      <c r="Z508" s="50">
        <f>'Agents'' Final Roster 0913-0919'!J430</f>
        <v>0</v>
      </c>
    </row>
    <row r="509" spans="1:26">
      <c r="A509" s="50">
        <f>'Agents'' Final Roster 0913-0919'!A431</f>
        <v>0</v>
      </c>
      <c r="B509" s="50">
        <f>'Agents'' Final Roster 0913-0919'!B431</f>
        <v>0</v>
      </c>
      <c r="C509" s="50">
        <f>'Agents'' Final Roster 0913-0919'!C431</f>
        <v>0</v>
      </c>
      <c r="D509" s="50">
        <f>'Agents'' Final Roster 0913-0919'!D431</f>
        <v>0</v>
      </c>
      <c r="Z509" s="50">
        <f>'Agents'' Final Roster 0913-0919'!J431</f>
        <v>0</v>
      </c>
    </row>
    <row r="510" spans="1:26">
      <c r="A510" s="50">
        <f>'Agents'' Final Roster 0913-0919'!A432</f>
        <v>0</v>
      </c>
      <c r="B510" s="50">
        <f>'Agents'' Final Roster 0913-0919'!B432</f>
        <v>0</v>
      </c>
      <c r="C510" s="50">
        <f>'Agents'' Final Roster 0913-0919'!C432</f>
        <v>0</v>
      </c>
      <c r="D510" s="50">
        <f>'Agents'' Final Roster 0913-0919'!D432</f>
        <v>0</v>
      </c>
      <c r="Z510" s="50">
        <f>'Agents'' Final Roster 0913-0919'!J432</f>
        <v>0</v>
      </c>
    </row>
    <row r="511" spans="1:26">
      <c r="A511" s="50">
        <f>'Agents'' Final Roster 0913-0919'!A433</f>
        <v>0</v>
      </c>
      <c r="B511" s="50">
        <f>'Agents'' Final Roster 0913-0919'!B433</f>
        <v>0</v>
      </c>
      <c r="C511" s="50">
        <f>'Agents'' Final Roster 0913-0919'!C433</f>
        <v>0</v>
      </c>
      <c r="D511" s="50">
        <f>'Agents'' Final Roster 0913-0919'!D433</f>
        <v>0</v>
      </c>
      <c r="Z511" s="50">
        <f>'Agents'' Final Roster 0913-0919'!J433</f>
        <v>0</v>
      </c>
    </row>
    <row r="512" spans="1:26">
      <c r="A512" s="50">
        <f>'Agents'' Final Roster 0913-0919'!A434</f>
        <v>0</v>
      </c>
      <c r="B512" s="50">
        <f>'Agents'' Final Roster 0913-0919'!B434</f>
        <v>0</v>
      </c>
      <c r="C512" s="50">
        <f>'Agents'' Final Roster 0913-0919'!C434</f>
        <v>0</v>
      </c>
      <c r="D512" s="50">
        <f>'Agents'' Final Roster 0913-0919'!D434</f>
        <v>0</v>
      </c>
      <c r="Z512" s="50">
        <f>'Agents'' Final Roster 0913-0919'!J434</f>
        <v>0</v>
      </c>
    </row>
    <row r="513" spans="1:26">
      <c r="A513" s="50">
        <f>'Agents'' Final Roster 0913-0919'!A435</f>
        <v>0</v>
      </c>
      <c r="B513" s="50">
        <f>'Agents'' Final Roster 0913-0919'!B435</f>
        <v>0</v>
      </c>
      <c r="C513" s="50">
        <f>'Agents'' Final Roster 0913-0919'!C435</f>
        <v>0</v>
      </c>
      <c r="D513" s="50">
        <f>'Agents'' Final Roster 0913-0919'!D435</f>
        <v>0</v>
      </c>
      <c r="Z513" s="50">
        <f>'Agents'' Final Roster 0913-0919'!J435</f>
        <v>0</v>
      </c>
    </row>
    <row r="514" spans="1:26">
      <c r="A514" s="50">
        <f>'Agents'' Final Roster 0913-0919'!A436</f>
        <v>0</v>
      </c>
      <c r="B514" s="50">
        <f>'Agents'' Final Roster 0913-0919'!B436</f>
        <v>0</v>
      </c>
      <c r="C514" s="50">
        <f>'Agents'' Final Roster 0913-0919'!C436</f>
        <v>0</v>
      </c>
      <c r="D514" s="50">
        <f>'Agents'' Final Roster 0913-0919'!D436</f>
        <v>0</v>
      </c>
      <c r="Z514" s="50">
        <f>'Agents'' Final Roster 0913-0919'!J436</f>
        <v>0</v>
      </c>
    </row>
    <row r="515" spans="1:26">
      <c r="A515" s="50">
        <f>'Agents'' Final Roster 0913-0919'!A437</f>
        <v>0</v>
      </c>
      <c r="B515" s="50">
        <f>'Agents'' Final Roster 0913-0919'!B437</f>
        <v>0</v>
      </c>
      <c r="C515" s="50">
        <f>'Agents'' Final Roster 0913-0919'!C437</f>
        <v>0</v>
      </c>
      <c r="D515" s="50">
        <f>'Agents'' Final Roster 0913-0919'!D437</f>
        <v>0</v>
      </c>
      <c r="Z515" s="50">
        <f>'Agents'' Final Roster 0913-0919'!J437</f>
        <v>0</v>
      </c>
    </row>
    <row r="516" spans="1:26">
      <c r="A516" s="50">
        <f>'Agents'' Final Roster 0913-0919'!A438</f>
        <v>0</v>
      </c>
      <c r="B516" s="50">
        <f>'Agents'' Final Roster 0913-0919'!B438</f>
        <v>0</v>
      </c>
      <c r="C516" s="50">
        <f>'Agents'' Final Roster 0913-0919'!C438</f>
        <v>0</v>
      </c>
      <c r="D516" s="50">
        <f>'Agents'' Final Roster 0913-0919'!D438</f>
        <v>0</v>
      </c>
      <c r="Z516" s="50">
        <f>'Agents'' Final Roster 0913-0919'!J438</f>
        <v>0</v>
      </c>
    </row>
    <row r="517" spans="1:26">
      <c r="A517" s="50">
        <f>'Agents'' Final Roster 0913-0919'!A439</f>
        <v>0</v>
      </c>
      <c r="B517" s="50">
        <f>'Agents'' Final Roster 0913-0919'!B439</f>
        <v>0</v>
      </c>
      <c r="C517" s="50">
        <f>'Agents'' Final Roster 0913-0919'!C439</f>
        <v>0</v>
      </c>
      <c r="D517" s="50">
        <f>'Agents'' Final Roster 0913-0919'!D439</f>
        <v>0</v>
      </c>
      <c r="Z517" s="50">
        <f>'Agents'' Final Roster 0913-0919'!J439</f>
        <v>0</v>
      </c>
    </row>
    <row r="518" spans="1:26">
      <c r="A518" s="50">
        <f>'Agents'' Final Roster 0913-0919'!A440</f>
        <v>0</v>
      </c>
      <c r="B518" s="50">
        <f>'Agents'' Final Roster 0913-0919'!B440</f>
        <v>0</v>
      </c>
      <c r="C518" s="50">
        <f>'Agents'' Final Roster 0913-0919'!C440</f>
        <v>0</v>
      </c>
      <c r="D518" s="50">
        <f>'Agents'' Final Roster 0913-0919'!D440</f>
        <v>0</v>
      </c>
      <c r="Z518" s="50">
        <f>'Agents'' Final Roster 0913-0919'!J440</f>
        <v>0</v>
      </c>
    </row>
    <row r="519" spans="1:26">
      <c r="A519" s="50">
        <f>'Agents'' Final Roster 0913-0919'!A441</f>
        <v>0</v>
      </c>
      <c r="B519" s="50">
        <f>'Agents'' Final Roster 0913-0919'!B441</f>
        <v>0</v>
      </c>
      <c r="C519" s="50">
        <f>'Agents'' Final Roster 0913-0919'!C441</f>
        <v>0</v>
      </c>
      <c r="D519" s="50">
        <f>'Agents'' Final Roster 0913-0919'!D441</f>
        <v>0</v>
      </c>
      <c r="Z519" s="50">
        <f>'Agents'' Final Roster 0913-0919'!J441</f>
        <v>0</v>
      </c>
    </row>
    <row r="520" spans="1:26">
      <c r="A520" s="50">
        <f>'Agents'' Final Roster 0913-0919'!A442</f>
        <v>0</v>
      </c>
      <c r="B520" s="50">
        <f>'Agents'' Final Roster 0913-0919'!B442</f>
        <v>0</v>
      </c>
      <c r="C520" s="50">
        <f>'Agents'' Final Roster 0913-0919'!C442</f>
        <v>0</v>
      </c>
      <c r="D520" s="50">
        <f>'Agents'' Final Roster 0913-0919'!D442</f>
        <v>0</v>
      </c>
      <c r="Z520" s="50">
        <f>'Agents'' Final Roster 0913-0919'!J442</f>
        <v>0</v>
      </c>
    </row>
    <row r="521" spans="1:26">
      <c r="A521" s="50">
        <f>'Agents'' Final Roster 0913-0919'!A443</f>
        <v>0</v>
      </c>
      <c r="B521" s="50">
        <f>'Agents'' Final Roster 0913-0919'!B443</f>
        <v>0</v>
      </c>
      <c r="C521" s="50">
        <f>'Agents'' Final Roster 0913-0919'!C443</f>
        <v>0</v>
      </c>
      <c r="D521" s="50">
        <f>'Agents'' Final Roster 0913-0919'!D443</f>
        <v>0</v>
      </c>
      <c r="Z521" s="50">
        <f>'Agents'' Final Roster 0913-0919'!J443</f>
        <v>0</v>
      </c>
    </row>
    <row r="522" spans="1:26">
      <c r="A522" s="50">
        <f>'Agents'' Final Roster 0913-0919'!A444</f>
        <v>0</v>
      </c>
      <c r="B522" s="50">
        <f>'Agents'' Final Roster 0913-0919'!B444</f>
        <v>0</v>
      </c>
      <c r="C522" s="50">
        <f>'Agents'' Final Roster 0913-0919'!C444</f>
        <v>0</v>
      </c>
      <c r="D522" s="50">
        <f>'Agents'' Final Roster 0913-0919'!D444</f>
        <v>0</v>
      </c>
      <c r="Z522" s="50">
        <f>'Agents'' Final Roster 0913-0919'!J444</f>
        <v>0</v>
      </c>
    </row>
    <row r="523" spans="1:26">
      <c r="A523" s="50">
        <f>'Agents'' Final Roster 0913-0919'!A445</f>
        <v>0</v>
      </c>
      <c r="B523" s="50">
        <f>'Agents'' Final Roster 0913-0919'!B445</f>
        <v>0</v>
      </c>
      <c r="C523" s="50">
        <f>'Agents'' Final Roster 0913-0919'!C445</f>
        <v>0</v>
      </c>
      <c r="D523" s="50">
        <f>'Agents'' Final Roster 0913-0919'!D445</f>
        <v>0</v>
      </c>
      <c r="Z523" s="50">
        <f>'Agents'' Final Roster 0913-0919'!J445</f>
        <v>0</v>
      </c>
    </row>
    <row r="524" spans="1:26">
      <c r="A524" s="50">
        <f>'Agents'' Final Roster 0913-0919'!A446</f>
        <v>0</v>
      </c>
      <c r="B524" s="50">
        <f>'Agents'' Final Roster 0913-0919'!B446</f>
        <v>0</v>
      </c>
      <c r="C524" s="50">
        <f>'Agents'' Final Roster 0913-0919'!C446</f>
        <v>0</v>
      </c>
      <c r="D524" s="50">
        <f>'Agents'' Final Roster 0913-0919'!D446</f>
        <v>0</v>
      </c>
      <c r="Z524" s="50">
        <f>'Agents'' Final Roster 0913-0919'!J446</f>
        <v>0</v>
      </c>
    </row>
    <row r="525" spans="1:26">
      <c r="A525" s="50">
        <f>'Agents'' Final Roster 0913-0919'!A447</f>
        <v>0</v>
      </c>
      <c r="B525" s="50">
        <f>'Agents'' Final Roster 0913-0919'!B447</f>
        <v>0</v>
      </c>
      <c r="C525" s="50">
        <f>'Agents'' Final Roster 0913-0919'!C447</f>
        <v>0</v>
      </c>
      <c r="D525" s="50">
        <f>'Agents'' Final Roster 0913-0919'!D447</f>
        <v>0</v>
      </c>
      <c r="Z525" s="50">
        <f>'Agents'' Final Roster 0913-0919'!J447</f>
        <v>0</v>
      </c>
    </row>
    <row r="526" spans="1:26">
      <c r="A526" s="50">
        <f>'Agents'' Final Roster 0913-0919'!A448</f>
        <v>0</v>
      </c>
      <c r="B526" s="50">
        <f>'Agents'' Final Roster 0913-0919'!B448</f>
        <v>0</v>
      </c>
      <c r="C526" s="50">
        <f>'Agents'' Final Roster 0913-0919'!C448</f>
        <v>0</v>
      </c>
      <c r="D526" s="50">
        <f>'Agents'' Final Roster 0913-0919'!D448</f>
        <v>0</v>
      </c>
      <c r="Z526" s="50">
        <f>'Agents'' Final Roster 0913-0919'!J448</f>
        <v>0</v>
      </c>
    </row>
    <row r="527" spans="1:26">
      <c r="A527" s="50">
        <f>'Agents'' Final Roster 0913-0919'!A449</f>
        <v>0</v>
      </c>
      <c r="B527" s="50">
        <f>'Agents'' Final Roster 0913-0919'!B449</f>
        <v>0</v>
      </c>
      <c r="C527" s="50">
        <f>'Agents'' Final Roster 0913-0919'!C449</f>
        <v>0</v>
      </c>
      <c r="D527" s="50">
        <f>'Agents'' Final Roster 0913-0919'!D449</f>
        <v>0</v>
      </c>
      <c r="Z527" s="50">
        <f>'Agents'' Final Roster 0913-0919'!J449</f>
        <v>0</v>
      </c>
    </row>
    <row r="528" spans="1:26">
      <c r="A528" s="50">
        <f>'Agents'' Final Roster 0913-0919'!A450</f>
        <v>0</v>
      </c>
      <c r="B528" s="50">
        <f>'Agents'' Final Roster 0913-0919'!B450</f>
        <v>0</v>
      </c>
      <c r="C528" s="50">
        <f>'Agents'' Final Roster 0913-0919'!C450</f>
        <v>0</v>
      </c>
      <c r="D528" s="50">
        <f>'Agents'' Final Roster 0913-0919'!D450</f>
        <v>0</v>
      </c>
      <c r="Z528" s="50">
        <f>'Agents'' Final Roster 0913-0919'!J450</f>
        <v>0</v>
      </c>
    </row>
    <row r="529" spans="1:26">
      <c r="A529" s="50">
        <f>'Agents'' Final Roster 0913-0919'!A451</f>
        <v>0</v>
      </c>
      <c r="B529" s="50">
        <f>'Agents'' Final Roster 0913-0919'!B451</f>
        <v>0</v>
      </c>
      <c r="C529" s="50">
        <f>'Agents'' Final Roster 0913-0919'!C451</f>
        <v>0</v>
      </c>
      <c r="D529" s="50">
        <f>'Agents'' Final Roster 0913-0919'!D451</f>
        <v>0</v>
      </c>
      <c r="Z529" s="50">
        <f>'Agents'' Final Roster 0913-0919'!J451</f>
        <v>0</v>
      </c>
    </row>
    <row r="530" spans="1:26">
      <c r="A530" s="50">
        <f>'Agents'' Final Roster 0913-0919'!A452</f>
        <v>0</v>
      </c>
      <c r="B530" s="50">
        <f>'Agents'' Final Roster 0913-0919'!B452</f>
        <v>0</v>
      </c>
      <c r="C530" s="50">
        <f>'Agents'' Final Roster 0913-0919'!C452</f>
        <v>0</v>
      </c>
      <c r="D530" s="50">
        <f>'Agents'' Final Roster 0913-0919'!D452</f>
        <v>0</v>
      </c>
      <c r="Z530" s="50">
        <f>'Agents'' Final Roster 0913-0919'!J452</f>
        <v>0</v>
      </c>
    </row>
    <row r="531" spans="1:26">
      <c r="A531" s="50">
        <f>'Agents'' Final Roster 0913-0919'!A453</f>
        <v>0</v>
      </c>
      <c r="B531" s="50">
        <f>'Agents'' Final Roster 0913-0919'!B453</f>
        <v>0</v>
      </c>
      <c r="C531" s="50">
        <f>'Agents'' Final Roster 0913-0919'!C453</f>
        <v>0</v>
      </c>
      <c r="D531" s="50">
        <f>'Agents'' Final Roster 0913-0919'!D453</f>
        <v>0</v>
      </c>
      <c r="Z531" s="50">
        <f>'Agents'' Final Roster 0913-0919'!J453</f>
        <v>0</v>
      </c>
    </row>
    <row r="532" spans="1:26">
      <c r="A532" s="50">
        <f>'Agents'' Final Roster 0913-0919'!A454</f>
        <v>0</v>
      </c>
      <c r="B532" s="50">
        <f>'Agents'' Final Roster 0913-0919'!B454</f>
        <v>0</v>
      </c>
      <c r="C532" s="50">
        <f>'Agents'' Final Roster 0913-0919'!C454</f>
        <v>0</v>
      </c>
      <c r="D532" s="50">
        <f>'Agents'' Final Roster 0913-0919'!D454</f>
        <v>0</v>
      </c>
      <c r="Z532" s="50">
        <f>'Agents'' Final Roster 0913-0919'!J454</f>
        <v>0</v>
      </c>
    </row>
    <row r="533" spans="1:26">
      <c r="A533" s="50">
        <f>'Agents'' Final Roster 0913-0919'!A455</f>
        <v>0</v>
      </c>
      <c r="B533" s="50">
        <f>'Agents'' Final Roster 0913-0919'!B455</f>
        <v>0</v>
      </c>
      <c r="C533" s="50">
        <f>'Agents'' Final Roster 0913-0919'!C455</f>
        <v>0</v>
      </c>
      <c r="D533" s="50">
        <f>'Agents'' Final Roster 0913-0919'!D455</f>
        <v>0</v>
      </c>
      <c r="Z533" s="50">
        <f>'Agents'' Final Roster 0913-0919'!J455</f>
        <v>0</v>
      </c>
    </row>
    <row r="534" spans="1:26">
      <c r="A534" s="50">
        <f>'Agents'' Final Roster 0913-0919'!A456</f>
        <v>0</v>
      </c>
      <c r="B534" s="50">
        <f>'Agents'' Final Roster 0913-0919'!B456</f>
        <v>0</v>
      </c>
      <c r="C534" s="50">
        <f>'Agents'' Final Roster 0913-0919'!C456</f>
        <v>0</v>
      </c>
      <c r="D534" s="50">
        <f>'Agents'' Final Roster 0913-0919'!D456</f>
        <v>0</v>
      </c>
      <c r="Z534" s="50">
        <f>'Agents'' Final Roster 0913-0919'!J456</f>
        <v>0</v>
      </c>
    </row>
    <row r="535" spans="1:26">
      <c r="A535" s="50">
        <f>'Agents'' Final Roster 0913-0919'!A457</f>
        <v>0</v>
      </c>
      <c r="B535" s="50">
        <f>'Agents'' Final Roster 0913-0919'!B457</f>
        <v>0</v>
      </c>
      <c r="C535" s="50">
        <f>'Agents'' Final Roster 0913-0919'!C457</f>
        <v>0</v>
      </c>
      <c r="D535" s="50">
        <f>'Agents'' Final Roster 0913-0919'!D457</f>
        <v>0</v>
      </c>
      <c r="Z535" s="50">
        <f>'Agents'' Final Roster 0913-0919'!J457</f>
        <v>0</v>
      </c>
    </row>
    <row r="536" spans="1:26">
      <c r="A536" s="50">
        <f>'Agents'' Final Roster 0913-0919'!A458</f>
        <v>0</v>
      </c>
      <c r="B536" s="50">
        <f>'Agents'' Final Roster 0913-0919'!B458</f>
        <v>0</v>
      </c>
      <c r="C536" s="50">
        <f>'Agents'' Final Roster 0913-0919'!C458</f>
        <v>0</v>
      </c>
      <c r="D536" s="50">
        <f>'Agents'' Final Roster 0913-0919'!D458</f>
        <v>0</v>
      </c>
      <c r="Z536" s="50">
        <f>'Agents'' Final Roster 0913-0919'!J458</f>
        <v>0</v>
      </c>
    </row>
    <row r="537" spans="1:26">
      <c r="A537" s="50">
        <f>'Agents'' Final Roster 0913-0919'!A459</f>
        <v>0</v>
      </c>
      <c r="B537" s="50">
        <f>'Agents'' Final Roster 0913-0919'!B459</f>
        <v>0</v>
      </c>
      <c r="C537" s="50">
        <f>'Agents'' Final Roster 0913-0919'!C459</f>
        <v>0</v>
      </c>
      <c r="D537" s="50">
        <f>'Agents'' Final Roster 0913-0919'!D459</f>
        <v>0</v>
      </c>
      <c r="Z537" s="50">
        <f>'Agents'' Final Roster 0913-0919'!J459</f>
        <v>0</v>
      </c>
    </row>
    <row r="538" spans="1:26">
      <c r="A538" s="50">
        <f>'Agents'' Final Roster 0913-0919'!A460</f>
        <v>0</v>
      </c>
      <c r="B538" s="50">
        <f>'Agents'' Final Roster 0913-0919'!B460</f>
        <v>0</v>
      </c>
      <c r="C538" s="50">
        <f>'Agents'' Final Roster 0913-0919'!C460</f>
        <v>0</v>
      </c>
      <c r="D538" s="50">
        <f>'Agents'' Final Roster 0913-0919'!D460</f>
        <v>0</v>
      </c>
      <c r="Z538" s="50">
        <f>'Agents'' Final Roster 0913-0919'!J460</f>
        <v>0</v>
      </c>
    </row>
    <row r="539" spans="1:26">
      <c r="A539" s="50">
        <f>'Agents'' Final Roster 0913-0919'!A461</f>
        <v>0</v>
      </c>
      <c r="B539" s="50">
        <f>'Agents'' Final Roster 0913-0919'!B461</f>
        <v>0</v>
      </c>
      <c r="C539" s="50">
        <f>'Agents'' Final Roster 0913-0919'!C461</f>
        <v>0</v>
      </c>
      <c r="D539" s="50">
        <f>'Agents'' Final Roster 0913-0919'!D461</f>
        <v>0</v>
      </c>
      <c r="Z539" s="50">
        <f>'Agents'' Final Roster 0913-0919'!J461</f>
        <v>0</v>
      </c>
    </row>
    <row r="540" spans="1:26">
      <c r="A540" s="50">
        <f>'Agents'' Final Roster 0913-0919'!A462</f>
        <v>0</v>
      </c>
      <c r="B540" s="50">
        <f>'Agents'' Final Roster 0913-0919'!B462</f>
        <v>0</v>
      </c>
      <c r="C540" s="50">
        <f>'Agents'' Final Roster 0913-0919'!C462</f>
        <v>0</v>
      </c>
      <c r="D540" s="50">
        <f>'Agents'' Final Roster 0913-0919'!D462</f>
        <v>0</v>
      </c>
      <c r="Z540" s="50">
        <f>'Agents'' Final Roster 0913-0919'!J462</f>
        <v>0</v>
      </c>
    </row>
    <row r="541" spans="1:26">
      <c r="A541" s="50">
        <f>'Agents'' Final Roster 0913-0919'!A463</f>
        <v>0</v>
      </c>
      <c r="B541" s="50">
        <f>'Agents'' Final Roster 0913-0919'!B463</f>
        <v>0</v>
      </c>
      <c r="C541" s="50">
        <f>'Agents'' Final Roster 0913-0919'!C463</f>
        <v>0</v>
      </c>
      <c r="D541" s="50">
        <f>'Agents'' Final Roster 0913-0919'!D463</f>
        <v>0</v>
      </c>
      <c r="Z541" s="50">
        <f>'Agents'' Final Roster 0913-0919'!J463</f>
        <v>0</v>
      </c>
    </row>
    <row r="542" spans="1:26">
      <c r="A542" s="50">
        <f>'Agents'' Final Roster 0913-0919'!A464</f>
        <v>0</v>
      </c>
      <c r="B542" s="50">
        <f>'Agents'' Final Roster 0913-0919'!B464</f>
        <v>0</v>
      </c>
      <c r="C542" s="50">
        <f>'Agents'' Final Roster 0913-0919'!C464</f>
        <v>0</v>
      </c>
      <c r="D542" s="50">
        <f>'Agents'' Final Roster 0913-0919'!D464</f>
        <v>0</v>
      </c>
      <c r="Z542" s="50">
        <f>'Agents'' Final Roster 0913-0919'!J464</f>
        <v>0</v>
      </c>
    </row>
    <row r="543" spans="1:26">
      <c r="A543" s="50">
        <f>'Agents'' Final Roster 0913-0919'!A465</f>
        <v>0</v>
      </c>
      <c r="B543" s="50">
        <f>'Agents'' Final Roster 0913-0919'!B465</f>
        <v>0</v>
      </c>
      <c r="C543" s="50">
        <f>'Agents'' Final Roster 0913-0919'!C465</f>
        <v>0</v>
      </c>
      <c r="D543" s="50">
        <f>'Agents'' Final Roster 0913-0919'!D465</f>
        <v>0</v>
      </c>
      <c r="Z543" s="50">
        <f>'Agents'' Final Roster 0913-0919'!J465</f>
        <v>0</v>
      </c>
    </row>
    <row r="544" spans="1:26">
      <c r="A544" s="50">
        <f>'Agents'' Final Roster 0913-0919'!A466</f>
        <v>0</v>
      </c>
      <c r="B544" s="50">
        <f>'Agents'' Final Roster 0913-0919'!B466</f>
        <v>0</v>
      </c>
      <c r="C544" s="50">
        <f>'Agents'' Final Roster 0913-0919'!C466</f>
        <v>0</v>
      </c>
      <c r="D544" s="50">
        <f>'Agents'' Final Roster 0913-0919'!D466</f>
        <v>0</v>
      </c>
      <c r="Z544" s="50">
        <f>'Agents'' Final Roster 0913-0919'!J466</f>
        <v>0</v>
      </c>
    </row>
    <row r="545" spans="1:26">
      <c r="A545" s="50">
        <f>'Agents'' Final Roster 0913-0919'!A467</f>
        <v>0</v>
      </c>
      <c r="B545" s="50">
        <f>'Agents'' Final Roster 0913-0919'!B467</f>
        <v>0</v>
      </c>
      <c r="C545" s="50">
        <f>'Agents'' Final Roster 0913-0919'!C467</f>
        <v>0</v>
      </c>
      <c r="D545" s="50">
        <f>'Agents'' Final Roster 0913-0919'!D467</f>
        <v>0</v>
      </c>
      <c r="Z545" s="50">
        <f>'Agents'' Final Roster 0913-0919'!J467</f>
        <v>0</v>
      </c>
    </row>
    <row r="546" spans="1:26">
      <c r="A546" s="50">
        <f>'Agents'' Final Roster 0913-0919'!A468</f>
        <v>0</v>
      </c>
      <c r="B546" s="50">
        <f>'Agents'' Final Roster 0913-0919'!B468</f>
        <v>0</v>
      </c>
      <c r="C546" s="50">
        <f>'Agents'' Final Roster 0913-0919'!C468</f>
        <v>0</v>
      </c>
      <c r="D546" s="50">
        <f>'Agents'' Final Roster 0913-0919'!D468</f>
        <v>0</v>
      </c>
      <c r="Z546" s="50">
        <f>'Agents'' Final Roster 0913-0919'!J468</f>
        <v>0</v>
      </c>
    </row>
    <row r="547" spans="1:26">
      <c r="A547" s="50">
        <f>'Agents'' Final Roster 0913-0919'!A469</f>
        <v>0</v>
      </c>
      <c r="B547" s="50">
        <f>'Agents'' Final Roster 0913-0919'!B469</f>
        <v>0</v>
      </c>
      <c r="C547" s="50">
        <f>'Agents'' Final Roster 0913-0919'!C469</f>
        <v>0</v>
      </c>
      <c r="D547" s="50">
        <f>'Agents'' Final Roster 0913-0919'!D469</f>
        <v>0</v>
      </c>
      <c r="Z547" s="50">
        <f>'Agents'' Final Roster 0913-0919'!J469</f>
        <v>0</v>
      </c>
    </row>
    <row r="548" spans="1:26">
      <c r="A548" s="50">
        <f>'Agents'' Final Roster 0913-0919'!A470</f>
        <v>0</v>
      </c>
      <c r="B548" s="50">
        <f>'Agents'' Final Roster 0913-0919'!B470</f>
        <v>0</v>
      </c>
      <c r="C548" s="50">
        <f>'Agents'' Final Roster 0913-0919'!C470</f>
        <v>0</v>
      </c>
      <c r="D548" s="50">
        <f>'Agents'' Final Roster 0913-0919'!D470</f>
        <v>0</v>
      </c>
      <c r="Z548" s="50">
        <f>'Agents'' Final Roster 0913-0919'!J470</f>
        <v>0</v>
      </c>
    </row>
    <row r="549" spans="1:26">
      <c r="A549" s="50">
        <f>'Agents'' Final Roster 0913-0919'!A471</f>
        <v>0</v>
      </c>
      <c r="B549" s="50">
        <f>'Agents'' Final Roster 0913-0919'!B471</f>
        <v>0</v>
      </c>
      <c r="C549" s="50">
        <f>'Agents'' Final Roster 0913-0919'!C471</f>
        <v>0</v>
      </c>
      <c r="D549" s="50">
        <f>'Agents'' Final Roster 0913-0919'!D471</f>
        <v>0</v>
      </c>
      <c r="Z549" s="50">
        <f>'Agents'' Final Roster 0913-0919'!J471</f>
        <v>0</v>
      </c>
    </row>
    <row r="550" spans="1:26">
      <c r="A550" s="50">
        <f>'Agents'' Final Roster 0913-0919'!A472</f>
        <v>0</v>
      </c>
      <c r="B550" s="50">
        <f>'Agents'' Final Roster 0913-0919'!B472</f>
        <v>0</v>
      </c>
      <c r="C550" s="50">
        <f>'Agents'' Final Roster 0913-0919'!C472</f>
        <v>0</v>
      </c>
      <c r="D550" s="50">
        <f>'Agents'' Final Roster 0913-0919'!D472</f>
        <v>0</v>
      </c>
      <c r="Z550" s="50">
        <f>'Agents'' Final Roster 0913-0919'!J472</f>
        <v>0</v>
      </c>
    </row>
    <row r="551" spans="1:26">
      <c r="A551" s="50">
        <f>'Agents'' Final Roster 0913-0919'!A473</f>
        <v>0</v>
      </c>
      <c r="B551" s="50">
        <f>'Agents'' Final Roster 0913-0919'!B473</f>
        <v>0</v>
      </c>
      <c r="C551" s="50">
        <f>'Agents'' Final Roster 0913-0919'!C473</f>
        <v>0</v>
      </c>
      <c r="D551" s="50">
        <f>'Agents'' Final Roster 0913-0919'!D473</f>
        <v>0</v>
      </c>
      <c r="Z551" s="50">
        <f>'Agents'' Final Roster 0913-0919'!J473</f>
        <v>0</v>
      </c>
    </row>
    <row r="552" spans="1:26">
      <c r="A552" s="50">
        <f>'Agents'' Final Roster 0913-0919'!A474</f>
        <v>0</v>
      </c>
      <c r="B552" s="50">
        <f>'Agents'' Final Roster 0913-0919'!B474</f>
        <v>0</v>
      </c>
      <c r="C552" s="50">
        <f>'Agents'' Final Roster 0913-0919'!C474</f>
        <v>0</v>
      </c>
      <c r="D552" s="50">
        <f>'Agents'' Final Roster 0913-0919'!D474</f>
        <v>0</v>
      </c>
      <c r="Z552" s="50">
        <f>'Agents'' Final Roster 0913-0919'!J474</f>
        <v>0</v>
      </c>
    </row>
    <row r="553" spans="1:26">
      <c r="A553" s="50">
        <f>'Agents'' Final Roster 0913-0919'!A475</f>
        <v>0</v>
      </c>
      <c r="B553" s="50">
        <f>'Agents'' Final Roster 0913-0919'!B475</f>
        <v>0</v>
      </c>
      <c r="C553" s="50">
        <f>'Agents'' Final Roster 0913-0919'!C475</f>
        <v>0</v>
      </c>
      <c r="D553" s="50">
        <f>'Agents'' Final Roster 0913-0919'!D475</f>
        <v>0</v>
      </c>
      <c r="Z553" s="50">
        <f>'Agents'' Final Roster 0913-0919'!J475</f>
        <v>0</v>
      </c>
    </row>
    <row r="554" spans="1:26">
      <c r="A554" s="50">
        <f>'Agents'' Final Roster 0913-0919'!A476</f>
        <v>0</v>
      </c>
      <c r="B554" s="50">
        <f>'Agents'' Final Roster 0913-0919'!B476</f>
        <v>0</v>
      </c>
      <c r="C554" s="50">
        <f>'Agents'' Final Roster 0913-0919'!C476</f>
        <v>0</v>
      </c>
      <c r="D554" s="50">
        <f>'Agents'' Final Roster 0913-0919'!D476</f>
        <v>0</v>
      </c>
      <c r="Z554" s="50">
        <f>'Agents'' Final Roster 0913-0919'!J476</f>
        <v>0</v>
      </c>
    </row>
    <row r="555" spans="1:26">
      <c r="A555" s="50">
        <f>'Agents'' Final Roster 0913-0919'!A477</f>
        <v>0</v>
      </c>
      <c r="B555" s="50">
        <f>'Agents'' Final Roster 0913-0919'!B477</f>
        <v>0</v>
      </c>
      <c r="C555" s="50">
        <f>'Agents'' Final Roster 0913-0919'!C477</f>
        <v>0</v>
      </c>
      <c r="D555" s="50">
        <f>'Agents'' Final Roster 0913-0919'!D477</f>
        <v>0</v>
      </c>
      <c r="Z555" s="50">
        <f>'Agents'' Final Roster 0913-0919'!J477</f>
        <v>0</v>
      </c>
    </row>
    <row r="556" spans="1:26">
      <c r="A556" s="50">
        <f>'Agents'' Final Roster 0913-0919'!A478</f>
        <v>0</v>
      </c>
      <c r="B556" s="50">
        <f>'Agents'' Final Roster 0913-0919'!B478</f>
        <v>0</v>
      </c>
      <c r="C556" s="50">
        <f>'Agents'' Final Roster 0913-0919'!C478</f>
        <v>0</v>
      </c>
      <c r="D556" s="50">
        <f>'Agents'' Final Roster 0913-0919'!D478</f>
        <v>0</v>
      </c>
      <c r="Z556" s="50">
        <f>'Agents'' Final Roster 0913-0919'!J478</f>
        <v>0</v>
      </c>
    </row>
    <row r="557" spans="1:26">
      <c r="A557" s="50">
        <f>'Agents'' Final Roster 0913-0919'!A479</f>
        <v>0</v>
      </c>
      <c r="B557" s="50">
        <f>'Agents'' Final Roster 0913-0919'!B479</f>
        <v>0</v>
      </c>
      <c r="C557" s="50">
        <f>'Agents'' Final Roster 0913-0919'!C479</f>
        <v>0</v>
      </c>
      <c r="D557" s="50">
        <f>'Agents'' Final Roster 0913-0919'!D479</f>
        <v>0</v>
      </c>
      <c r="Z557" s="50">
        <f>'Agents'' Final Roster 0913-0919'!J479</f>
        <v>0</v>
      </c>
    </row>
    <row r="558" spans="1:26">
      <c r="A558" s="50">
        <f>'Agents'' Final Roster 0913-0919'!A480</f>
        <v>0</v>
      </c>
      <c r="B558" s="50">
        <f>'Agents'' Final Roster 0913-0919'!B480</f>
        <v>0</v>
      </c>
      <c r="C558" s="50">
        <f>'Agents'' Final Roster 0913-0919'!C480</f>
        <v>0</v>
      </c>
      <c r="D558" s="50">
        <f>'Agents'' Final Roster 0913-0919'!D480</f>
        <v>0</v>
      </c>
      <c r="Z558" s="50">
        <f>'Agents'' Final Roster 0913-0919'!J480</f>
        <v>0</v>
      </c>
    </row>
    <row r="559" spans="1:26">
      <c r="A559" s="50">
        <f>'Agents'' Final Roster 0913-0919'!A481</f>
        <v>0</v>
      </c>
      <c r="B559" s="50">
        <f>'Agents'' Final Roster 0913-0919'!B481</f>
        <v>0</v>
      </c>
      <c r="C559" s="50">
        <f>'Agents'' Final Roster 0913-0919'!C481</f>
        <v>0</v>
      </c>
      <c r="D559" s="50">
        <f>'Agents'' Final Roster 0913-0919'!D481</f>
        <v>0</v>
      </c>
      <c r="Z559" s="50">
        <f>'Agents'' Final Roster 0913-0919'!J481</f>
        <v>0</v>
      </c>
    </row>
    <row r="560" spans="1:26">
      <c r="A560" s="50">
        <f>'Agents'' Final Roster 0913-0919'!A482</f>
        <v>0</v>
      </c>
      <c r="B560" s="50">
        <f>'Agents'' Final Roster 0913-0919'!B482</f>
        <v>0</v>
      </c>
      <c r="C560" s="50">
        <f>'Agents'' Final Roster 0913-0919'!C482</f>
        <v>0</v>
      </c>
      <c r="D560" s="50">
        <f>'Agents'' Final Roster 0913-0919'!D482</f>
        <v>0</v>
      </c>
      <c r="Z560" s="50">
        <f>'Agents'' Final Roster 0913-0919'!J482</f>
        <v>0</v>
      </c>
    </row>
    <row r="561" spans="1:26">
      <c r="A561" s="50">
        <f>'Agents'' Final Roster 0913-0919'!A483</f>
        <v>0</v>
      </c>
      <c r="B561" s="50">
        <f>'Agents'' Final Roster 0913-0919'!B483</f>
        <v>0</v>
      </c>
      <c r="C561" s="50">
        <f>'Agents'' Final Roster 0913-0919'!C483</f>
        <v>0</v>
      </c>
      <c r="D561" s="50">
        <f>'Agents'' Final Roster 0913-0919'!D483</f>
        <v>0</v>
      </c>
      <c r="Z561" s="50">
        <f>'Agents'' Final Roster 0913-0919'!J483</f>
        <v>0</v>
      </c>
    </row>
    <row r="562" spans="1:26">
      <c r="A562" s="50">
        <f>'Agents'' Final Roster 0913-0919'!A484</f>
        <v>0</v>
      </c>
      <c r="B562" s="50">
        <f>'Agents'' Final Roster 0913-0919'!B484</f>
        <v>0</v>
      </c>
      <c r="C562" s="50">
        <f>'Agents'' Final Roster 0913-0919'!C484</f>
        <v>0</v>
      </c>
      <c r="D562" s="50">
        <f>'Agents'' Final Roster 0913-0919'!D484</f>
        <v>0</v>
      </c>
      <c r="Z562" s="50">
        <f>'Agents'' Final Roster 0913-0919'!J484</f>
        <v>0</v>
      </c>
    </row>
    <row r="563" spans="1:26">
      <c r="A563" s="50">
        <f>'Agents'' Final Roster 0913-0919'!A485</f>
        <v>0</v>
      </c>
      <c r="B563" s="50">
        <f>'Agents'' Final Roster 0913-0919'!B485</f>
        <v>0</v>
      </c>
      <c r="C563" s="50">
        <f>'Agents'' Final Roster 0913-0919'!C485</f>
        <v>0</v>
      </c>
      <c r="D563" s="50">
        <f>'Agents'' Final Roster 0913-0919'!D485</f>
        <v>0</v>
      </c>
      <c r="Z563" s="50">
        <f>'Agents'' Final Roster 0913-0919'!J485</f>
        <v>0</v>
      </c>
    </row>
    <row r="564" spans="1:26">
      <c r="A564" s="50">
        <f>'Agents'' Final Roster 0913-0919'!A486</f>
        <v>0</v>
      </c>
      <c r="B564" s="50">
        <f>'Agents'' Final Roster 0913-0919'!B486</f>
        <v>0</v>
      </c>
      <c r="C564" s="50">
        <f>'Agents'' Final Roster 0913-0919'!C486</f>
        <v>0</v>
      </c>
      <c r="D564" s="50">
        <f>'Agents'' Final Roster 0913-0919'!D486</f>
        <v>0</v>
      </c>
      <c r="Z564" s="50">
        <f>'Agents'' Final Roster 0913-0919'!J486</f>
        <v>0</v>
      </c>
    </row>
    <row r="565" spans="1:26">
      <c r="A565" s="50">
        <f>'Agents'' Final Roster 0913-0919'!A487</f>
        <v>0</v>
      </c>
      <c r="B565" s="50">
        <f>'Agents'' Final Roster 0913-0919'!B487</f>
        <v>0</v>
      </c>
      <c r="C565" s="50">
        <f>'Agents'' Final Roster 0913-0919'!C487</f>
        <v>0</v>
      </c>
      <c r="D565" s="50">
        <f>'Agents'' Final Roster 0913-0919'!D487</f>
        <v>0</v>
      </c>
      <c r="Z565" s="50">
        <f>'Agents'' Final Roster 0913-0919'!J487</f>
        <v>0</v>
      </c>
    </row>
    <row r="566" spans="1:26">
      <c r="A566" s="50">
        <f>'Agents'' Final Roster 0913-0919'!A488</f>
        <v>0</v>
      </c>
      <c r="B566" s="50">
        <f>'Agents'' Final Roster 0913-0919'!B488</f>
        <v>0</v>
      </c>
      <c r="C566" s="50">
        <f>'Agents'' Final Roster 0913-0919'!C488</f>
        <v>0</v>
      </c>
      <c r="D566" s="50">
        <f>'Agents'' Final Roster 0913-0919'!D488</f>
        <v>0</v>
      </c>
      <c r="Z566" s="50">
        <f>'Agents'' Final Roster 0913-0919'!J488</f>
        <v>0</v>
      </c>
    </row>
    <row r="567" spans="1:26">
      <c r="A567" s="50">
        <f>'Agents'' Final Roster 0913-0919'!A489</f>
        <v>0</v>
      </c>
      <c r="B567" s="50">
        <f>'Agents'' Final Roster 0913-0919'!B489</f>
        <v>0</v>
      </c>
      <c r="C567" s="50">
        <f>'Agents'' Final Roster 0913-0919'!C489</f>
        <v>0</v>
      </c>
      <c r="D567" s="50">
        <f>'Agents'' Final Roster 0913-0919'!D489</f>
        <v>0</v>
      </c>
      <c r="Z567" s="50">
        <f>'Agents'' Final Roster 0913-0919'!J489</f>
        <v>0</v>
      </c>
    </row>
    <row r="568" spans="1:26">
      <c r="A568" s="50">
        <f>'Agents'' Final Roster 0913-0919'!A490</f>
        <v>0</v>
      </c>
      <c r="B568" s="50">
        <f>'Agents'' Final Roster 0913-0919'!B490</f>
        <v>0</v>
      </c>
      <c r="C568" s="50">
        <f>'Agents'' Final Roster 0913-0919'!C490</f>
        <v>0</v>
      </c>
      <c r="D568" s="50">
        <f>'Agents'' Final Roster 0913-0919'!D490</f>
        <v>0</v>
      </c>
      <c r="Z568" s="50">
        <f>'Agents'' Final Roster 0913-0919'!J490</f>
        <v>0</v>
      </c>
    </row>
    <row r="569" spans="1:26">
      <c r="A569" s="50">
        <f>'Agents'' Final Roster 0913-0919'!A491</f>
        <v>0</v>
      </c>
      <c r="B569" s="50">
        <f>'Agents'' Final Roster 0913-0919'!B491</f>
        <v>0</v>
      </c>
      <c r="C569" s="50">
        <f>'Agents'' Final Roster 0913-0919'!C491</f>
        <v>0</v>
      </c>
      <c r="D569" s="50">
        <f>'Agents'' Final Roster 0913-0919'!D491</f>
        <v>0</v>
      </c>
      <c r="Z569" s="50">
        <f>'Agents'' Final Roster 0913-0919'!J491</f>
        <v>0</v>
      </c>
    </row>
    <row r="570" spans="1:26">
      <c r="A570" s="50">
        <f>'Agents'' Final Roster 0913-0919'!A492</f>
        <v>0</v>
      </c>
      <c r="B570" s="50">
        <f>'Agents'' Final Roster 0913-0919'!B492</f>
        <v>0</v>
      </c>
      <c r="C570" s="50">
        <f>'Agents'' Final Roster 0913-0919'!C492</f>
        <v>0</v>
      </c>
      <c r="D570" s="50">
        <f>'Agents'' Final Roster 0913-0919'!D492</f>
        <v>0</v>
      </c>
      <c r="Z570" s="50">
        <f>'Agents'' Final Roster 0913-0919'!J492</f>
        <v>0</v>
      </c>
    </row>
    <row r="571" spans="1:26">
      <c r="A571" s="50">
        <f>'Agents'' Final Roster 0913-0919'!A493</f>
        <v>0</v>
      </c>
      <c r="B571" s="50">
        <f>'Agents'' Final Roster 0913-0919'!B493</f>
        <v>0</v>
      </c>
      <c r="C571" s="50">
        <f>'Agents'' Final Roster 0913-0919'!C493</f>
        <v>0</v>
      </c>
      <c r="D571" s="50">
        <f>'Agents'' Final Roster 0913-0919'!D493</f>
        <v>0</v>
      </c>
      <c r="Z571" s="50">
        <f>'Agents'' Final Roster 0913-0919'!J493</f>
        <v>0</v>
      </c>
    </row>
    <row r="572" spans="1:26">
      <c r="A572" s="50">
        <f>'Agents'' Final Roster 0913-0919'!A494</f>
        <v>0</v>
      </c>
      <c r="B572" s="50">
        <f>'Agents'' Final Roster 0913-0919'!B494</f>
        <v>0</v>
      </c>
      <c r="C572" s="50">
        <f>'Agents'' Final Roster 0913-0919'!C494</f>
        <v>0</v>
      </c>
      <c r="D572" s="50">
        <f>'Agents'' Final Roster 0913-0919'!D494</f>
        <v>0</v>
      </c>
      <c r="Z572" s="50">
        <f>'Agents'' Final Roster 0913-0919'!J494</f>
        <v>0</v>
      </c>
    </row>
    <row r="573" spans="1:26">
      <c r="A573" s="50">
        <f>'Agents'' Final Roster 0913-0919'!A495</f>
        <v>0</v>
      </c>
      <c r="B573" s="50">
        <f>'Agents'' Final Roster 0913-0919'!B495</f>
        <v>0</v>
      </c>
      <c r="C573" s="50">
        <f>'Agents'' Final Roster 0913-0919'!C495</f>
        <v>0</v>
      </c>
      <c r="D573" s="50">
        <f>'Agents'' Final Roster 0913-0919'!D495</f>
        <v>0</v>
      </c>
      <c r="Z573" s="50">
        <f>'Agents'' Final Roster 0913-0919'!J495</f>
        <v>0</v>
      </c>
    </row>
    <row r="574" spans="1:26">
      <c r="A574" s="50">
        <f>'Agents'' Final Roster 0913-0919'!A496</f>
        <v>0</v>
      </c>
      <c r="B574" s="50">
        <f>'Agents'' Final Roster 0913-0919'!B496</f>
        <v>0</v>
      </c>
      <c r="C574" s="50">
        <f>'Agents'' Final Roster 0913-0919'!C496</f>
        <v>0</v>
      </c>
      <c r="D574" s="50">
        <f>'Agents'' Final Roster 0913-0919'!D496</f>
        <v>0</v>
      </c>
      <c r="Z574" s="50">
        <f>'Agents'' Final Roster 0913-0919'!J496</f>
        <v>0</v>
      </c>
    </row>
    <row r="575" spans="1:26">
      <c r="A575" s="50">
        <f>'Agents'' Final Roster 0913-0919'!A497</f>
        <v>0</v>
      </c>
      <c r="B575" s="50">
        <f>'Agents'' Final Roster 0913-0919'!B497</f>
        <v>0</v>
      </c>
      <c r="C575" s="50">
        <f>'Agents'' Final Roster 0913-0919'!C497</f>
        <v>0</v>
      </c>
      <c r="D575" s="50">
        <f>'Agents'' Final Roster 0913-0919'!D497</f>
        <v>0</v>
      </c>
      <c r="Z575" s="50">
        <f>'Agents'' Final Roster 0913-0919'!J497</f>
        <v>0</v>
      </c>
    </row>
    <row r="576" spans="1:26">
      <c r="A576" s="50">
        <f>'Agents'' Final Roster 0913-0919'!A498</f>
        <v>0</v>
      </c>
      <c r="B576" s="50">
        <f>'Agents'' Final Roster 0913-0919'!B498</f>
        <v>0</v>
      </c>
      <c r="C576" s="50">
        <f>'Agents'' Final Roster 0913-0919'!C498</f>
        <v>0</v>
      </c>
      <c r="D576" s="50">
        <f>'Agents'' Final Roster 0913-0919'!D498</f>
        <v>0</v>
      </c>
      <c r="Z576" s="50">
        <f>'Agents'' Final Roster 0913-0919'!J498</f>
        <v>0</v>
      </c>
    </row>
    <row r="577" spans="1:26">
      <c r="A577" s="50">
        <f>'Agents'' Final Roster 0913-0919'!A499</f>
        <v>0</v>
      </c>
      <c r="B577" s="50">
        <f>'Agents'' Final Roster 0913-0919'!B499</f>
        <v>0</v>
      </c>
      <c r="C577" s="50">
        <f>'Agents'' Final Roster 0913-0919'!C499</f>
        <v>0</v>
      </c>
      <c r="D577" s="50">
        <f>'Agents'' Final Roster 0913-0919'!D499</f>
        <v>0</v>
      </c>
      <c r="Z577" s="50">
        <f>'Agents'' Final Roster 0913-0919'!J499</f>
        <v>0</v>
      </c>
    </row>
    <row r="578" spans="1:26">
      <c r="A578" s="50">
        <f>'Agents'' Final Roster 0913-0919'!A500</f>
        <v>0</v>
      </c>
      <c r="B578" s="50">
        <f>'Agents'' Final Roster 0913-0919'!B500</f>
        <v>0</v>
      </c>
      <c r="C578" s="50">
        <f>'Agents'' Final Roster 0913-0919'!C500</f>
        <v>0</v>
      </c>
      <c r="D578" s="50">
        <f>'Agents'' Final Roster 0913-0919'!D500</f>
        <v>0</v>
      </c>
      <c r="Z578" s="50">
        <f>'Agents'' Final Roster 0913-0919'!J500</f>
        <v>0</v>
      </c>
    </row>
    <row r="579" spans="1:26">
      <c r="A579" s="50">
        <f>'Agents'' Final Roster 0913-0919'!A501</f>
        <v>0</v>
      </c>
      <c r="B579" s="50">
        <f>'Agents'' Final Roster 0913-0919'!B501</f>
        <v>0</v>
      </c>
      <c r="C579" s="50">
        <f>'Agents'' Final Roster 0913-0919'!C501</f>
        <v>0</v>
      </c>
      <c r="D579" s="50">
        <f>'Agents'' Final Roster 0913-0919'!D501</f>
        <v>0</v>
      </c>
      <c r="Z579" s="50">
        <f>'Agents'' Final Roster 0913-0919'!J501</f>
        <v>0</v>
      </c>
    </row>
    <row r="580" spans="1:26">
      <c r="A580" s="50">
        <f>'Agents'' Final Roster 0913-0919'!A502</f>
        <v>0</v>
      </c>
      <c r="B580" s="50">
        <f>'Agents'' Final Roster 0913-0919'!B502</f>
        <v>0</v>
      </c>
      <c r="C580" s="50">
        <f>'Agents'' Final Roster 0913-0919'!C502</f>
        <v>0</v>
      </c>
      <c r="D580" s="50">
        <f>'Agents'' Final Roster 0913-0919'!D502</f>
        <v>0</v>
      </c>
      <c r="Z580" s="50">
        <f>'Agents'' Final Roster 0913-0919'!J502</f>
        <v>0</v>
      </c>
    </row>
    <row r="581" spans="1:26">
      <c r="A581" s="50">
        <f>'Agents'' Final Roster 0913-0919'!A503</f>
        <v>0</v>
      </c>
      <c r="B581" s="50">
        <f>'Agents'' Final Roster 0913-0919'!B503</f>
        <v>0</v>
      </c>
      <c r="C581" s="50">
        <f>'Agents'' Final Roster 0913-0919'!C503</f>
        <v>0</v>
      </c>
      <c r="D581" s="50">
        <f>'Agents'' Final Roster 0913-0919'!D503</f>
        <v>0</v>
      </c>
      <c r="Z581" s="50">
        <f>'Agents'' Final Roster 0913-0919'!J503</f>
        <v>0</v>
      </c>
    </row>
    <row r="582" spans="1:26">
      <c r="A582" s="50">
        <f>'Agents'' Final Roster 0913-0919'!A504</f>
        <v>0</v>
      </c>
      <c r="B582" s="50">
        <f>'Agents'' Final Roster 0913-0919'!B504</f>
        <v>0</v>
      </c>
      <c r="C582" s="50">
        <f>'Agents'' Final Roster 0913-0919'!C504</f>
        <v>0</v>
      </c>
      <c r="D582" s="50">
        <f>'Agents'' Final Roster 0913-0919'!D504</f>
        <v>0</v>
      </c>
      <c r="Z582" s="50">
        <f>'Agents'' Final Roster 0913-0919'!J504</f>
        <v>0</v>
      </c>
    </row>
    <row r="583" spans="1:26">
      <c r="A583" s="50">
        <f>'Agents'' Final Roster 0913-0919'!A505</f>
        <v>0</v>
      </c>
      <c r="B583" s="50">
        <f>'Agents'' Final Roster 0913-0919'!B505</f>
        <v>0</v>
      </c>
      <c r="C583" s="50">
        <f>'Agents'' Final Roster 0913-0919'!C505</f>
        <v>0</v>
      </c>
      <c r="D583" s="50">
        <f>'Agents'' Final Roster 0913-0919'!D505</f>
        <v>0</v>
      </c>
      <c r="Z583" s="50">
        <f>'Agents'' Final Roster 0913-0919'!J505</f>
        <v>0</v>
      </c>
    </row>
    <row r="584" spans="1:26">
      <c r="A584" s="50">
        <f>'Agents'' Final Roster 0913-0919'!A506</f>
        <v>0</v>
      </c>
      <c r="B584" s="50">
        <f>'Agents'' Final Roster 0913-0919'!B506</f>
        <v>0</v>
      </c>
      <c r="C584" s="50">
        <f>'Agents'' Final Roster 0913-0919'!C506</f>
        <v>0</v>
      </c>
      <c r="D584" s="50">
        <f>'Agents'' Final Roster 0913-0919'!D506</f>
        <v>0</v>
      </c>
      <c r="Z584" s="50">
        <f>'Agents'' Final Roster 0913-0919'!J506</f>
        <v>0</v>
      </c>
    </row>
    <row r="585" spans="1:26">
      <c r="A585" s="50">
        <f>'Agents'' Final Roster 0913-0919'!A507</f>
        <v>0</v>
      </c>
      <c r="B585" s="50">
        <f>'Agents'' Final Roster 0913-0919'!B507</f>
        <v>0</v>
      </c>
      <c r="C585" s="50">
        <f>'Agents'' Final Roster 0913-0919'!C507</f>
        <v>0</v>
      </c>
      <c r="D585" s="50">
        <f>'Agents'' Final Roster 0913-0919'!D507</f>
        <v>0</v>
      </c>
      <c r="Z585" s="50">
        <f>'Agents'' Final Roster 0913-0919'!J507</f>
        <v>0</v>
      </c>
    </row>
    <row r="586" spans="1:26">
      <c r="A586" s="50">
        <f>'Agents'' Final Roster 0913-0919'!A508</f>
        <v>0</v>
      </c>
      <c r="B586" s="50">
        <f>'Agents'' Final Roster 0913-0919'!B508</f>
        <v>0</v>
      </c>
      <c r="C586" s="50">
        <f>'Agents'' Final Roster 0913-0919'!C508</f>
        <v>0</v>
      </c>
      <c r="D586" s="50">
        <f>'Agents'' Final Roster 0913-0919'!D508</f>
        <v>0</v>
      </c>
      <c r="Z586" s="50">
        <f>'Agents'' Final Roster 0913-0919'!J508</f>
        <v>0</v>
      </c>
    </row>
    <row r="587" spans="1:26">
      <c r="A587" s="50">
        <f>'Agents'' Final Roster 0913-0919'!A509</f>
        <v>0</v>
      </c>
      <c r="B587" s="50">
        <f>'Agents'' Final Roster 0913-0919'!B509</f>
        <v>0</v>
      </c>
      <c r="C587" s="50">
        <f>'Agents'' Final Roster 0913-0919'!C509</f>
        <v>0</v>
      </c>
      <c r="D587" s="50">
        <f>'Agents'' Final Roster 0913-0919'!D509</f>
        <v>0</v>
      </c>
      <c r="Z587" s="50">
        <f>'Agents'' Final Roster 0913-0919'!J509</f>
        <v>0</v>
      </c>
    </row>
    <row r="588" spans="1:26">
      <c r="A588" s="50">
        <f>'Agents'' Final Roster 0913-0919'!A510</f>
        <v>0</v>
      </c>
      <c r="B588" s="50">
        <f>'Agents'' Final Roster 0913-0919'!B510</f>
        <v>0</v>
      </c>
      <c r="C588" s="50">
        <f>'Agents'' Final Roster 0913-0919'!C510</f>
        <v>0</v>
      </c>
      <c r="D588" s="50">
        <f>'Agents'' Final Roster 0913-0919'!D510</f>
        <v>0</v>
      </c>
      <c r="Z588" s="50">
        <f>'Agents'' Final Roster 0913-0919'!J510</f>
        <v>0</v>
      </c>
    </row>
    <row r="589" spans="1:26">
      <c r="A589" s="50">
        <f>'Agents'' Final Roster 0913-0919'!A511</f>
        <v>0</v>
      </c>
      <c r="B589" s="50">
        <f>'Agents'' Final Roster 0913-0919'!B511</f>
        <v>0</v>
      </c>
      <c r="C589" s="50">
        <f>'Agents'' Final Roster 0913-0919'!C511</f>
        <v>0</v>
      </c>
      <c r="D589" s="50">
        <f>'Agents'' Final Roster 0913-0919'!D511</f>
        <v>0</v>
      </c>
      <c r="Z589" s="50">
        <f>'Agents'' Final Roster 0913-0919'!J511</f>
        <v>0</v>
      </c>
    </row>
    <row r="590" spans="1:26">
      <c r="A590" s="50">
        <f>'Agents'' Final Roster 0913-0919'!A512</f>
        <v>0</v>
      </c>
      <c r="B590" s="50">
        <f>'Agents'' Final Roster 0913-0919'!B512</f>
        <v>0</v>
      </c>
      <c r="C590" s="50">
        <f>'Agents'' Final Roster 0913-0919'!C512</f>
        <v>0</v>
      </c>
      <c r="D590" s="50">
        <f>'Agents'' Final Roster 0913-0919'!D512</f>
        <v>0</v>
      </c>
      <c r="Z590" s="50">
        <f>'Agents'' Final Roster 0913-0919'!J512</f>
        <v>0</v>
      </c>
    </row>
    <row r="591" spans="1:26">
      <c r="A591" s="50">
        <f>'Agents'' Final Roster 0913-0919'!A513</f>
        <v>0</v>
      </c>
      <c r="B591" s="50">
        <f>'Agents'' Final Roster 0913-0919'!B513</f>
        <v>0</v>
      </c>
      <c r="C591" s="50">
        <f>'Agents'' Final Roster 0913-0919'!C513</f>
        <v>0</v>
      </c>
      <c r="D591" s="50">
        <f>'Agents'' Final Roster 0913-0919'!D513</f>
        <v>0</v>
      </c>
      <c r="Z591" s="50">
        <f>'Agents'' Final Roster 0913-0919'!J513</f>
        <v>0</v>
      </c>
    </row>
    <row r="592" spans="1:26">
      <c r="A592" s="50">
        <f>'Agents'' Final Roster 0913-0919'!A514</f>
        <v>0</v>
      </c>
      <c r="B592" s="50">
        <f>'Agents'' Final Roster 0913-0919'!B514</f>
        <v>0</v>
      </c>
      <c r="C592" s="50">
        <f>'Agents'' Final Roster 0913-0919'!C514</f>
        <v>0</v>
      </c>
      <c r="D592" s="50">
        <f>'Agents'' Final Roster 0913-0919'!D514</f>
        <v>0</v>
      </c>
      <c r="Z592" s="50">
        <f>'Agents'' Final Roster 0913-0919'!J514</f>
        <v>0</v>
      </c>
    </row>
    <row r="593" spans="1:26">
      <c r="A593" s="50">
        <f>'Agents'' Final Roster 0913-0919'!A515</f>
        <v>0</v>
      </c>
      <c r="B593" s="50">
        <f>'Agents'' Final Roster 0913-0919'!B515</f>
        <v>0</v>
      </c>
      <c r="C593" s="50">
        <f>'Agents'' Final Roster 0913-0919'!C515</f>
        <v>0</v>
      </c>
      <c r="D593" s="50">
        <f>'Agents'' Final Roster 0913-0919'!D515</f>
        <v>0</v>
      </c>
      <c r="Z593" s="50">
        <f>'Agents'' Final Roster 0913-0919'!J515</f>
        <v>0</v>
      </c>
    </row>
    <row r="594" spans="1:26">
      <c r="A594" s="50">
        <f>'Agents'' Final Roster 0913-0919'!A516</f>
        <v>0</v>
      </c>
      <c r="B594" s="50">
        <f>'Agents'' Final Roster 0913-0919'!B516</f>
        <v>0</v>
      </c>
      <c r="C594" s="50">
        <f>'Agents'' Final Roster 0913-0919'!C516</f>
        <v>0</v>
      </c>
      <c r="D594" s="50">
        <f>'Agents'' Final Roster 0913-0919'!D516</f>
        <v>0</v>
      </c>
      <c r="Z594" s="50">
        <f>'Agents'' Final Roster 0913-0919'!J516</f>
        <v>0</v>
      </c>
    </row>
    <row r="595" spans="1:26">
      <c r="A595" s="50">
        <f>'Agents'' Final Roster 0913-0919'!A517</f>
        <v>0</v>
      </c>
      <c r="B595" s="50">
        <f>'Agents'' Final Roster 0913-0919'!B517</f>
        <v>0</v>
      </c>
      <c r="C595" s="50">
        <f>'Agents'' Final Roster 0913-0919'!C517</f>
        <v>0</v>
      </c>
      <c r="D595" s="50">
        <f>'Agents'' Final Roster 0913-0919'!D517</f>
        <v>0</v>
      </c>
      <c r="Z595" s="50">
        <f>'Agents'' Final Roster 0913-0919'!J517</f>
        <v>0</v>
      </c>
    </row>
    <row r="596" spans="1:26">
      <c r="A596" s="50">
        <f>'Agents'' Final Roster 0913-0919'!A518</f>
        <v>0</v>
      </c>
      <c r="B596" s="50">
        <f>'Agents'' Final Roster 0913-0919'!B518</f>
        <v>0</v>
      </c>
      <c r="C596" s="50">
        <f>'Agents'' Final Roster 0913-0919'!C518</f>
        <v>0</v>
      </c>
      <c r="D596" s="50">
        <f>'Agents'' Final Roster 0913-0919'!D518</f>
        <v>0</v>
      </c>
      <c r="Z596" s="50">
        <f>'Agents'' Final Roster 0913-0919'!J518</f>
        <v>0</v>
      </c>
    </row>
    <row r="597" spans="1:26">
      <c r="A597" s="50">
        <f>'Agents'' Final Roster 0913-0919'!A519</f>
        <v>0</v>
      </c>
      <c r="B597" s="50">
        <f>'Agents'' Final Roster 0913-0919'!B519</f>
        <v>0</v>
      </c>
      <c r="C597" s="50">
        <f>'Agents'' Final Roster 0913-0919'!C519</f>
        <v>0</v>
      </c>
      <c r="D597" s="50">
        <f>'Agents'' Final Roster 0913-0919'!D519</f>
        <v>0</v>
      </c>
      <c r="Z597" s="50">
        <f>'Agents'' Final Roster 0913-0919'!J519</f>
        <v>0</v>
      </c>
    </row>
    <row r="598" spans="1:26">
      <c r="A598" s="50">
        <f>'Agents'' Final Roster 0913-0919'!A520</f>
        <v>0</v>
      </c>
      <c r="B598" s="50">
        <f>'Agents'' Final Roster 0913-0919'!B520</f>
        <v>0</v>
      </c>
      <c r="C598" s="50">
        <f>'Agents'' Final Roster 0913-0919'!C520</f>
        <v>0</v>
      </c>
      <c r="D598" s="50">
        <f>'Agents'' Final Roster 0913-0919'!D520</f>
        <v>0</v>
      </c>
      <c r="Z598" s="50">
        <f>'Agents'' Final Roster 0913-0919'!J520</f>
        <v>0</v>
      </c>
    </row>
    <row r="599" spans="1:26">
      <c r="A599" s="50">
        <f>'Agents'' Final Roster 0913-0919'!A521</f>
        <v>0</v>
      </c>
      <c r="B599" s="50">
        <f>'Agents'' Final Roster 0913-0919'!B521</f>
        <v>0</v>
      </c>
      <c r="C599" s="50">
        <f>'Agents'' Final Roster 0913-0919'!C521</f>
        <v>0</v>
      </c>
      <c r="D599" s="50">
        <f>'Agents'' Final Roster 0913-0919'!D521</f>
        <v>0</v>
      </c>
      <c r="Z599" s="50">
        <f>'Agents'' Final Roster 0913-0919'!J521</f>
        <v>0</v>
      </c>
    </row>
    <row r="600" spans="1:26">
      <c r="A600" s="50">
        <f>'Agents'' Final Roster 0913-0919'!A522</f>
        <v>0</v>
      </c>
      <c r="B600" s="50">
        <f>'Agents'' Final Roster 0913-0919'!B522</f>
        <v>0</v>
      </c>
      <c r="C600" s="50">
        <f>'Agents'' Final Roster 0913-0919'!C522</f>
        <v>0</v>
      </c>
      <c r="D600" s="50">
        <f>'Agents'' Final Roster 0913-0919'!D522</f>
        <v>0</v>
      </c>
      <c r="Z600" s="50">
        <f>'Agents'' Final Roster 0913-0919'!J522</f>
        <v>0</v>
      </c>
    </row>
    <row r="601" spans="1:26">
      <c r="A601" s="50">
        <f>'Agents'' Final Roster 0913-0919'!A523</f>
        <v>0</v>
      </c>
      <c r="B601" s="50">
        <f>'Agents'' Final Roster 0913-0919'!B523</f>
        <v>0</v>
      </c>
      <c r="C601" s="50">
        <f>'Agents'' Final Roster 0913-0919'!C523</f>
        <v>0</v>
      </c>
      <c r="D601" s="50">
        <f>'Agents'' Final Roster 0913-0919'!D523</f>
        <v>0</v>
      </c>
      <c r="Z601" s="50">
        <f>'Agents'' Final Roster 0913-0919'!J523</f>
        <v>0</v>
      </c>
    </row>
    <row r="602" spans="1:26">
      <c r="A602" s="50">
        <f>'Agents'' Final Roster 0913-0919'!A524</f>
        <v>0</v>
      </c>
      <c r="B602" s="50">
        <f>'Agents'' Final Roster 0913-0919'!B524</f>
        <v>0</v>
      </c>
      <c r="C602" s="50">
        <f>'Agents'' Final Roster 0913-0919'!C524</f>
        <v>0</v>
      </c>
      <c r="D602" s="50">
        <f>'Agents'' Final Roster 0913-0919'!D524</f>
        <v>0</v>
      </c>
      <c r="Z602" s="50">
        <f>'Agents'' Final Roster 0913-0919'!J524</f>
        <v>0</v>
      </c>
    </row>
    <row r="603" spans="1:26">
      <c r="A603" s="50">
        <f>'Agents'' Final Roster 0913-0919'!A525</f>
        <v>0</v>
      </c>
      <c r="B603" s="50">
        <f>'Agents'' Final Roster 0913-0919'!B525</f>
        <v>0</v>
      </c>
      <c r="C603" s="50">
        <f>'Agents'' Final Roster 0913-0919'!C525</f>
        <v>0</v>
      </c>
      <c r="D603" s="50">
        <f>'Agents'' Final Roster 0913-0919'!D525</f>
        <v>0</v>
      </c>
      <c r="Z603" s="50">
        <f>'Agents'' Final Roster 0913-0919'!J525</f>
        <v>0</v>
      </c>
    </row>
    <row r="604" spans="1:26">
      <c r="A604" s="50">
        <f>'Agents'' Final Roster 0913-0919'!A526</f>
        <v>0</v>
      </c>
      <c r="B604" s="50">
        <f>'Agents'' Final Roster 0913-0919'!B526</f>
        <v>0</v>
      </c>
      <c r="C604" s="50">
        <f>'Agents'' Final Roster 0913-0919'!C526</f>
        <v>0</v>
      </c>
      <c r="D604" s="50">
        <f>'Agents'' Final Roster 0913-0919'!D526</f>
        <v>0</v>
      </c>
      <c r="Z604" s="50">
        <f>'Agents'' Final Roster 0913-0919'!J526</f>
        <v>0</v>
      </c>
    </row>
    <row r="605" spans="1:26">
      <c r="A605" s="50">
        <f>'Agents'' Final Roster 0913-0919'!A527</f>
        <v>0</v>
      </c>
      <c r="B605" s="50">
        <f>'Agents'' Final Roster 0913-0919'!B527</f>
        <v>0</v>
      </c>
      <c r="C605" s="50">
        <f>'Agents'' Final Roster 0913-0919'!C527</f>
        <v>0</v>
      </c>
      <c r="D605" s="50">
        <f>'Agents'' Final Roster 0913-0919'!D527</f>
        <v>0</v>
      </c>
      <c r="Z605" s="50">
        <f>'Agents'' Final Roster 0913-0919'!J527</f>
        <v>0</v>
      </c>
    </row>
    <row r="606" spans="1:26">
      <c r="A606" s="50">
        <f>'Agents'' Final Roster 0913-0919'!A528</f>
        <v>0</v>
      </c>
      <c r="B606" s="50">
        <f>'Agents'' Final Roster 0913-0919'!B528</f>
        <v>0</v>
      </c>
      <c r="C606" s="50">
        <f>'Agents'' Final Roster 0913-0919'!C528</f>
        <v>0</v>
      </c>
      <c r="D606" s="50">
        <f>'Agents'' Final Roster 0913-0919'!D528</f>
        <v>0</v>
      </c>
      <c r="Z606" s="50">
        <f>'Agents'' Final Roster 0913-0919'!J528</f>
        <v>0</v>
      </c>
    </row>
    <row r="607" spans="1:26">
      <c r="A607" s="50">
        <f>'Agents'' Final Roster 0913-0919'!A529</f>
        <v>0</v>
      </c>
      <c r="B607" s="50">
        <f>'Agents'' Final Roster 0913-0919'!B529</f>
        <v>0</v>
      </c>
      <c r="C607" s="50">
        <f>'Agents'' Final Roster 0913-0919'!C529</f>
        <v>0</v>
      </c>
      <c r="D607" s="50">
        <f>'Agents'' Final Roster 0913-0919'!D529</f>
        <v>0</v>
      </c>
      <c r="Z607" s="50">
        <f>'Agents'' Final Roster 0913-0919'!J529</f>
        <v>0</v>
      </c>
    </row>
    <row r="608" spans="1:26">
      <c r="A608" s="50">
        <f>'Agents'' Final Roster 0913-0919'!A530</f>
        <v>0</v>
      </c>
      <c r="B608" s="50">
        <f>'Agents'' Final Roster 0913-0919'!B530</f>
        <v>0</v>
      </c>
      <c r="C608" s="50">
        <f>'Agents'' Final Roster 0913-0919'!C530</f>
        <v>0</v>
      </c>
      <c r="D608" s="50">
        <f>'Agents'' Final Roster 0913-0919'!D530</f>
        <v>0</v>
      </c>
      <c r="Z608" s="50">
        <f>'Agents'' Final Roster 0913-0919'!J530</f>
        <v>0</v>
      </c>
    </row>
    <row r="609" spans="1:26">
      <c r="A609" s="50">
        <f>'Agents'' Final Roster 0913-0919'!A531</f>
        <v>0</v>
      </c>
      <c r="B609" s="50">
        <f>'Agents'' Final Roster 0913-0919'!B531</f>
        <v>0</v>
      </c>
      <c r="C609" s="50">
        <f>'Agents'' Final Roster 0913-0919'!C531</f>
        <v>0</v>
      </c>
      <c r="D609" s="50">
        <f>'Agents'' Final Roster 0913-0919'!D531</f>
        <v>0</v>
      </c>
      <c r="Z609" s="50">
        <f>'Agents'' Final Roster 0913-0919'!J531</f>
        <v>0</v>
      </c>
    </row>
    <row r="610" spans="1:26">
      <c r="A610" s="50">
        <f>'Agents'' Final Roster 0913-0919'!A532</f>
        <v>0</v>
      </c>
      <c r="B610" s="50">
        <f>'Agents'' Final Roster 0913-0919'!B532</f>
        <v>0</v>
      </c>
      <c r="C610" s="50">
        <f>'Agents'' Final Roster 0913-0919'!C532</f>
        <v>0</v>
      </c>
      <c r="D610" s="50">
        <f>'Agents'' Final Roster 0913-0919'!D532</f>
        <v>0</v>
      </c>
      <c r="Z610" s="50">
        <f>'Agents'' Final Roster 0913-0919'!J532</f>
        <v>0</v>
      </c>
    </row>
    <row r="611" spans="1:26">
      <c r="A611" s="50">
        <f>'Agents'' Final Roster 0913-0919'!A533</f>
        <v>0</v>
      </c>
      <c r="B611" s="50">
        <f>'Agents'' Final Roster 0913-0919'!B533</f>
        <v>0</v>
      </c>
      <c r="C611" s="50">
        <f>'Agents'' Final Roster 0913-0919'!C533</f>
        <v>0</v>
      </c>
      <c r="D611" s="50">
        <f>'Agents'' Final Roster 0913-0919'!D533</f>
        <v>0</v>
      </c>
      <c r="Z611" s="50">
        <f>'Agents'' Final Roster 0913-0919'!J533</f>
        <v>0</v>
      </c>
    </row>
    <row r="612" spans="1:26">
      <c r="A612" s="50">
        <f>'Agents'' Final Roster 0913-0919'!A534</f>
        <v>0</v>
      </c>
      <c r="B612" s="50">
        <f>'Agents'' Final Roster 0913-0919'!B534</f>
        <v>0</v>
      </c>
      <c r="C612" s="50">
        <f>'Agents'' Final Roster 0913-0919'!C534</f>
        <v>0</v>
      </c>
      <c r="D612" s="50">
        <f>'Agents'' Final Roster 0913-0919'!D534</f>
        <v>0</v>
      </c>
      <c r="Z612" s="50">
        <f>'Agents'' Final Roster 0913-0919'!J534</f>
        <v>0</v>
      </c>
    </row>
    <row r="613" spans="1:26">
      <c r="A613" s="50">
        <f>'Agents'' Final Roster 0913-0919'!A535</f>
        <v>0</v>
      </c>
      <c r="B613" s="50">
        <f>'Agents'' Final Roster 0913-0919'!B535</f>
        <v>0</v>
      </c>
      <c r="C613" s="50">
        <f>'Agents'' Final Roster 0913-0919'!C535</f>
        <v>0</v>
      </c>
      <c r="D613" s="50">
        <f>'Agents'' Final Roster 0913-0919'!D535</f>
        <v>0</v>
      </c>
      <c r="Z613" s="50">
        <f>'Agents'' Final Roster 0913-0919'!J535</f>
        <v>0</v>
      </c>
    </row>
    <row r="614" spans="1:26">
      <c r="A614" s="50">
        <f>'Agents'' Final Roster 0913-0919'!A536</f>
        <v>0</v>
      </c>
      <c r="B614" s="50">
        <f>'Agents'' Final Roster 0913-0919'!B536</f>
        <v>0</v>
      </c>
      <c r="C614" s="50">
        <f>'Agents'' Final Roster 0913-0919'!C536</f>
        <v>0</v>
      </c>
      <c r="D614" s="50">
        <f>'Agents'' Final Roster 0913-0919'!D536</f>
        <v>0</v>
      </c>
      <c r="Z614" s="50">
        <f>'Agents'' Final Roster 0913-0919'!J536</f>
        <v>0</v>
      </c>
    </row>
    <row r="615" spans="1:26">
      <c r="A615" s="50">
        <f>'Agents'' Final Roster 0913-0919'!A537</f>
        <v>0</v>
      </c>
      <c r="B615" s="50">
        <f>'Agents'' Final Roster 0913-0919'!B537</f>
        <v>0</v>
      </c>
      <c r="C615" s="50">
        <f>'Agents'' Final Roster 0913-0919'!C537</f>
        <v>0</v>
      </c>
      <c r="D615" s="50">
        <f>'Agents'' Final Roster 0913-0919'!D537</f>
        <v>0</v>
      </c>
      <c r="Z615" s="50">
        <f>'Agents'' Final Roster 0913-0919'!J537</f>
        <v>0</v>
      </c>
    </row>
    <row r="616" spans="1:26">
      <c r="A616" s="50">
        <f>'Agents'' Final Roster 0913-0919'!A538</f>
        <v>0</v>
      </c>
      <c r="B616" s="50">
        <f>'Agents'' Final Roster 0913-0919'!B538</f>
        <v>0</v>
      </c>
      <c r="C616" s="50">
        <f>'Agents'' Final Roster 0913-0919'!C538</f>
        <v>0</v>
      </c>
      <c r="D616" s="50">
        <f>'Agents'' Final Roster 0913-0919'!D538</f>
        <v>0</v>
      </c>
      <c r="Z616" s="50">
        <f>'Agents'' Final Roster 0913-0919'!J538</f>
        <v>0</v>
      </c>
    </row>
    <row r="617" spans="1:26">
      <c r="A617" s="50">
        <f>'Agents'' Final Roster 0913-0919'!A539</f>
        <v>0</v>
      </c>
      <c r="B617" s="50">
        <f>'Agents'' Final Roster 0913-0919'!B539</f>
        <v>0</v>
      </c>
      <c r="C617" s="50">
        <f>'Agents'' Final Roster 0913-0919'!C539</f>
        <v>0</v>
      </c>
      <c r="D617" s="50">
        <f>'Agents'' Final Roster 0913-0919'!D539</f>
        <v>0</v>
      </c>
      <c r="Z617" s="50">
        <f>'Agents'' Final Roster 0913-0919'!J539</f>
        <v>0</v>
      </c>
    </row>
    <row r="618" spans="1:26">
      <c r="A618" s="50">
        <f>'Agents'' Final Roster 0913-0919'!A540</f>
        <v>0</v>
      </c>
      <c r="B618" s="50">
        <f>'Agents'' Final Roster 0913-0919'!B540</f>
        <v>0</v>
      </c>
      <c r="C618" s="50">
        <f>'Agents'' Final Roster 0913-0919'!C540</f>
        <v>0</v>
      </c>
      <c r="D618" s="50">
        <f>'Agents'' Final Roster 0913-0919'!D540</f>
        <v>0</v>
      </c>
      <c r="Z618" s="50">
        <f>'Agents'' Final Roster 0913-0919'!J540</f>
        <v>0</v>
      </c>
    </row>
    <row r="619" spans="1:26">
      <c r="A619" s="50">
        <f>'Agents'' Final Roster 0913-0919'!A541</f>
        <v>0</v>
      </c>
      <c r="B619" s="50">
        <f>'Agents'' Final Roster 0913-0919'!B541</f>
        <v>0</v>
      </c>
      <c r="C619" s="50">
        <f>'Agents'' Final Roster 0913-0919'!C541</f>
        <v>0</v>
      </c>
      <c r="D619" s="50">
        <f>'Agents'' Final Roster 0913-0919'!D541</f>
        <v>0</v>
      </c>
      <c r="Z619" s="50">
        <f>'Agents'' Final Roster 0913-0919'!J541</f>
        <v>0</v>
      </c>
    </row>
    <row r="620" spans="1:26">
      <c r="A620" s="50">
        <f>'Agents'' Final Roster 0913-0919'!A542</f>
        <v>0</v>
      </c>
      <c r="B620" s="50">
        <f>'Agents'' Final Roster 0913-0919'!B542</f>
        <v>0</v>
      </c>
      <c r="C620" s="50">
        <f>'Agents'' Final Roster 0913-0919'!C542</f>
        <v>0</v>
      </c>
      <c r="D620" s="50">
        <f>'Agents'' Final Roster 0913-0919'!D542</f>
        <v>0</v>
      </c>
      <c r="Z620" s="50">
        <f>'Agents'' Final Roster 0913-0919'!J542</f>
        <v>0</v>
      </c>
    </row>
    <row r="621" spans="1:26">
      <c r="A621" s="50">
        <f>'Agents'' Final Roster 0913-0919'!A543</f>
        <v>0</v>
      </c>
      <c r="B621" s="50">
        <f>'Agents'' Final Roster 0913-0919'!B543</f>
        <v>0</v>
      </c>
      <c r="C621" s="50">
        <f>'Agents'' Final Roster 0913-0919'!C543</f>
        <v>0</v>
      </c>
      <c r="D621" s="50">
        <f>'Agents'' Final Roster 0913-0919'!D543</f>
        <v>0</v>
      </c>
      <c r="Z621" s="50">
        <f>'Agents'' Final Roster 0913-0919'!J543</f>
        <v>0</v>
      </c>
    </row>
    <row r="622" spans="1:26">
      <c r="A622" s="50">
        <f>'Agents'' Final Roster 0913-0919'!A544</f>
        <v>0</v>
      </c>
      <c r="B622" s="50">
        <f>'Agents'' Final Roster 0913-0919'!B544</f>
        <v>0</v>
      </c>
      <c r="C622" s="50">
        <f>'Agents'' Final Roster 0913-0919'!C544</f>
        <v>0</v>
      </c>
      <c r="D622" s="50">
        <f>'Agents'' Final Roster 0913-0919'!D544</f>
        <v>0</v>
      </c>
      <c r="Z622" s="50">
        <f>'Agents'' Final Roster 0913-0919'!J544</f>
        <v>0</v>
      </c>
    </row>
    <row r="623" spans="1:26">
      <c r="A623" s="50">
        <f>'Agents'' Final Roster 0913-0919'!A545</f>
        <v>0</v>
      </c>
      <c r="B623" s="50">
        <f>'Agents'' Final Roster 0913-0919'!B545</f>
        <v>0</v>
      </c>
      <c r="C623" s="50">
        <f>'Agents'' Final Roster 0913-0919'!C545</f>
        <v>0</v>
      </c>
      <c r="D623" s="50">
        <f>'Agents'' Final Roster 0913-0919'!D545</f>
        <v>0</v>
      </c>
      <c r="Z623" s="50">
        <f>'Agents'' Final Roster 0913-0919'!J545</f>
        <v>0</v>
      </c>
    </row>
    <row r="624" spans="1:26">
      <c r="A624" s="50">
        <f>'Agents'' Final Roster 0913-0919'!A546</f>
        <v>0</v>
      </c>
      <c r="B624" s="50">
        <f>'Agents'' Final Roster 0913-0919'!B546</f>
        <v>0</v>
      </c>
      <c r="C624" s="50">
        <f>'Agents'' Final Roster 0913-0919'!C546</f>
        <v>0</v>
      </c>
      <c r="D624" s="50">
        <f>'Agents'' Final Roster 0913-0919'!D546</f>
        <v>0</v>
      </c>
      <c r="Z624" s="50">
        <f>'Agents'' Final Roster 0913-0919'!J546</f>
        <v>0</v>
      </c>
    </row>
    <row r="625" spans="1:26">
      <c r="A625" s="50">
        <f>'Agents'' Final Roster 0913-0919'!A547</f>
        <v>0</v>
      </c>
      <c r="B625" s="50">
        <f>'Agents'' Final Roster 0913-0919'!B547</f>
        <v>0</v>
      </c>
      <c r="C625" s="50">
        <f>'Agents'' Final Roster 0913-0919'!C547</f>
        <v>0</v>
      </c>
      <c r="D625" s="50">
        <f>'Agents'' Final Roster 0913-0919'!D547</f>
        <v>0</v>
      </c>
      <c r="Z625" s="50">
        <f>'Agents'' Final Roster 0913-0919'!J547</f>
        <v>0</v>
      </c>
    </row>
    <row r="626" spans="1:26">
      <c r="A626" s="50">
        <f>'Agents'' Final Roster 0913-0919'!A548</f>
        <v>0</v>
      </c>
      <c r="B626" s="50">
        <f>'Agents'' Final Roster 0913-0919'!B548</f>
        <v>0</v>
      </c>
      <c r="C626" s="50">
        <f>'Agents'' Final Roster 0913-0919'!C548</f>
        <v>0</v>
      </c>
      <c r="D626" s="50">
        <f>'Agents'' Final Roster 0913-0919'!D548</f>
        <v>0</v>
      </c>
      <c r="Z626" s="50">
        <f>'Agents'' Final Roster 0913-0919'!J548</f>
        <v>0</v>
      </c>
    </row>
    <row r="627" spans="1:26">
      <c r="A627" s="50">
        <f>'Agents'' Final Roster 0913-0919'!A549</f>
        <v>0</v>
      </c>
      <c r="B627" s="50">
        <f>'Agents'' Final Roster 0913-0919'!B549</f>
        <v>0</v>
      </c>
      <c r="C627" s="50">
        <f>'Agents'' Final Roster 0913-0919'!C549</f>
        <v>0</v>
      </c>
      <c r="D627" s="50">
        <f>'Agents'' Final Roster 0913-0919'!D549</f>
        <v>0</v>
      </c>
      <c r="Z627" s="50">
        <f>'Agents'' Final Roster 0913-0919'!J549</f>
        <v>0</v>
      </c>
    </row>
    <row r="628" spans="1:26">
      <c r="A628" s="50">
        <f>'Agents'' Final Roster 0913-0919'!A550</f>
        <v>0</v>
      </c>
      <c r="B628" s="50">
        <f>'Agents'' Final Roster 0913-0919'!B550</f>
        <v>0</v>
      </c>
      <c r="C628" s="50">
        <f>'Agents'' Final Roster 0913-0919'!C550</f>
        <v>0</v>
      </c>
      <c r="D628" s="50">
        <f>'Agents'' Final Roster 0913-0919'!D550</f>
        <v>0</v>
      </c>
      <c r="Z628" s="50">
        <f>'Agents'' Final Roster 0913-0919'!J550</f>
        <v>0</v>
      </c>
    </row>
    <row r="629" spans="1:26">
      <c r="A629" s="50">
        <f>'Agents'' Final Roster 0913-0919'!A551</f>
        <v>0</v>
      </c>
      <c r="B629" s="50">
        <f>'Agents'' Final Roster 0913-0919'!B551</f>
        <v>0</v>
      </c>
      <c r="C629" s="50">
        <f>'Agents'' Final Roster 0913-0919'!C551</f>
        <v>0</v>
      </c>
      <c r="D629" s="50">
        <f>'Agents'' Final Roster 0913-0919'!D551</f>
        <v>0</v>
      </c>
      <c r="Z629" s="50">
        <f>'Agents'' Final Roster 0913-0919'!J551</f>
        <v>0</v>
      </c>
    </row>
    <row r="630" spans="1:26">
      <c r="A630" s="50">
        <f>'Agents'' Final Roster 0913-0919'!A552</f>
        <v>0</v>
      </c>
      <c r="B630" s="50">
        <f>'Agents'' Final Roster 0913-0919'!B552</f>
        <v>0</v>
      </c>
      <c r="C630" s="50">
        <f>'Agents'' Final Roster 0913-0919'!C552</f>
        <v>0</v>
      </c>
      <c r="D630" s="50">
        <f>'Agents'' Final Roster 0913-0919'!D552</f>
        <v>0</v>
      </c>
      <c r="Z630" s="50">
        <f>'Agents'' Final Roster 0913-0919'!J552</f>
        <v>0</v>
      </c>
    </row>
    <row r="631" spans="1:26">
      <c r="A631" s="50">
        <f>'Agents'' Final Roster 0913-0919'!A553</f>
        <v>0</v>
      </c>
      <c r="B631" s="50">
        <f>'Agents'' Final Roster 0913-0919'!B553</f>
        <v>0</v>
      </c>
      <c r="C631" s="50">
        <f>'Agents'' Final Roster 0913-0919'!C553</f>
        <v>0</v>
      </c>
      <c r="D631" s="50">
        <f>'Agents'' Final Roster 0913-0919'!D553</f>
        <v>0</v>
      </c>
      <c r="Z631" s="50">
        <f>'Agents'' Final Roster 0913-0919'!J553</f>
        <v>0</v>
      </c>
    </row>
    <row r="632" spans="1:26">
      <c r="A632" s="50">
        <f>'Agents'' Final Roster 0913-0919'!A554</f>
        <v>0</v>
      </c>
      <c r="B632" s="50">
        <f>'Agents'' Final Roster 0913-0919'!B554</f>
        <v>0</v>
      </c>
      <c r="C632" s="50">
        <f>'Agents'' Final Roster 0913-0919'!C554</f>
        <v>0</v>
      </c>
      <c r="D632" s="50">
        <f>'Agents'' Final Roster 0913-0919'!D554</f>
        <v>0</v>
      </c>
      <c r="Z632" s="50">
        <f>'Agents'' Final Roster 0913-0919'!J554</f>
        <v>0</v>
      </c>
    </row>
    <row r="633" spans="1:26">
      <c r="A633" s="50">
        <f>'Agents'' Final Roster 0913-0919'!A555</f>
        <v>0</v>
      </c>
      <c r="B633" s="50">
        <f>'Agents'' Final Roster 0913-0919'!B555</f>
        <v>0</v>
      </c>
      <c r="C633" s="50">
        <f>'Agents'' Final Roster 0913-0919'!C555</f>
        <v>0</v>
      </c>
      <c r="D633" s="50">
        <f>'Agents'' Final Roster 0913-0919'!D555</f>
        <v>0</v>
      </c>
      <c r="Z633" s="50">
        <f>'Agents'' Final Roster 0913-0919'!J555</f>
        <v>0</v>
      </c>
    </row>
    <row r="634" spans="1:26">
      <c r="A634" s="50">
        <f>'Agents'' Final Roster 0913-0919'!A556</f>
        <v>0</v>
      </c>
      <c r="B634" s="50">
        <f>'Agents'' Final Roster 0913-0919'!B556</f>
        <v>0</v>
      </c>
      <c r="C634" s="50">
        <f>'Agents'' Final Roster 0913-0919'!C556</f>
        <v>0</v>
      </c>
      <c r="D634" s="50">
        <f>'Agents'' Final Roster 0913-0919'!D556</f>
        <v>0</v>
      </c>
      <c r="Z634" s="50">
        <f>'Agents'' Final Roster 0913-0919'!J556</f>
        <v>0</v>
      </c>
    </row>
    <row r="635" spans="1:26">
      <c r="A635" s="50">
        <f>'Agents'' Final Roster 0913-0919'!A557</f>
        <v>0</v>
      </c>
      <c r="B635" s="50">
        <f>'Agents'' Final Roster 0913-0919'!B557</f>
        <v>0</v>
      </c>
      <c r="C635" s="50">
        <f>'Agents'' Final Roster 0913-0919'!C557</f>
        <v>0</v>
      </c>
      <c r="D635" s="50">
        <f>'Agents'' Final Roster 0913-0919'!D557</f>
        <v>0</v>
      </c>
      <c r="Z635" s="50">
        <f>'Agents'' Final Roster 0913-0919'!J557</f>
        <v>0</v>
      </c>
    </row>
    <row r="636" spans="1:26">
      <c r="A636" s="50">
        <f>'Agents'' Final Roster 0913-0919'!A558</f>
        <v>0</v>
      </c>
      <c r="B636" s="50">
        <f>'Agents'' Final Roster 0913-0919'!B558</f>
        <v>0</v>
      </c>
      <c r="C636" s="50">
        <f>'Agents'' Final Roster 0913-0919'!C558</f>
        <v>0</v>
      </c>
      <c r="D636" s="50">
        <f>'Agents'' Final Roster 0913-0919'!D558</f>
        <v>0</v>
      </c>
      <c r="Z636" s="50">
        <f>'Agents'' Final Roster 0913-0919'!J558</f>
        <v>0</v>
      </c>
    </row>
    <row r="637" spans="1:26">
      <c r="A637" s="50">
        <f>'Agents'' Final Roster 0913-0919'!A559</f>
        <v>0</v>
      </c>
      <c r="B637" s="50">
        <f>'Agents'' Final Roster 0913-0919'!B559</f>
        <v>0</v>
      </c>
      <c r="C637" s="50">
        <f>'Agents'' Final Roster 0913-0919'!C559</f>
        <v>0</v>
      </c>
      <c r="D637" s="50">
        <f>'Agents'' Final Roster 0913-0919'!D559</f>
        <v>0</v>
      </c>
      <c r="Z637" s="50">
        <f>'Agents'' Final Roster 0913-0919'!J559</f>
        <v>0</v>
      </c>
    </row>
    <row r="638" spans="1:26">
      <c r="A638" s="50">
        <f>'Agents'' Final Roster 0913-0919'!A560</f>
        <v>0</v>
      </c>
      <c r="B638" s="50">
        <f>'Agents'' Final Roster 0913-0919'!B560</f>
        <v>0</v>
      </c>
      <c r="C638" s="50">
        <f>'Agents'' Final Roster 0913-0919'!C560</f>
        <v>0</v>
      </c>
      <c r="D638" s="50">
        <f>'Agents'' Final Roster 0913-0919'!D560</f>
        <v>0</v>
      </c>
      <c r="Z638" s="50">
        <f>'Agents'' Final Roster 0913-0919'!J560</f>
        <v>0</v>
      </c>
    </row>
    <row r="639" spans="1:26">
      <c r="A639" s="50">
        <f>'Agents'' Final Roster 0913-0919'!A561</f>
        <v>0</v>
      </c>
      <c r="B639" s="50">
        <f>'Agents'' Final Roster 0913-0919'!B561</f>
        <v>0</v>
      </c>
      <c r="C639" s="50">
        <f>'Agents'' Final Roster 0913-0919'!C561</f>
        <v>0</v>
      </c>
      <c r="D639" s="50">
        <f>'Agents'' Final Roster 0913-0919'!D561</f>
        <v>0</v>
      </c>
      <c r="Z639" s="50">
        <f>'Agents'' Final Roster 0913-0919'!J561</f>
        <v>0</v>
      </c>
    </row>
    <row r="640" spans="1:26">
      <c r="A640" s="50">
        <f>'Agents'' Final Roster 0913-0919'!A562</f>
        <v>0</v>
      </c>
      <c r="B640" s="50">
        <f>'Agents'' Final Roster 0913-0919'!B562</f>
        <v>0</v>
      </c>
      <c r="C640" s="50">
        <f>'Agents'' Final Roster 0913-0919'!C562</f>
        <v>0</v>
      </c>
      <c r="D640" s="50">
        <f>'Agents'' Final Roster 0913-0919'!D562</f>
        <v>0</v>
      </c>
      <c r="Z640" s="50">
        <f>'Agents'' Final Roster 0913-0919'!J562</f>
        <v>0</v>
      </c>
    </row>
    <row r="641" spans="1:26">
      <c r="A641" s="50">
        <f>'Agents'' Final Roster 0913-0919'!A563</f>
        <v>0</v>
      </c>
      <c r="B641" s="50">
        <f>'Agents'' Final Roster 0913-0919'!B563</f>
        <v>0</v>
      </c>
      <c r="C641" s="50">
        <f>'Agents'' Final Roster 0913-0919'!C563</f>
        <v>0</v>
      </c>
      <c r="D641" s="50">
        <f>'Agents'' Final Roster 0913-0919'!D563</f>
        <v>0</v>
      </c>
      <c r="Z641" s="50">
        <f>'Agents'' Final Roster 0913-0919'!J563</f>
        <v>0</v>
      </c>
    </row>
    <row r="642" spans="1:26">
      <c r="A642" s="50">
        <f>'Agents'' Final Roster 0913-0919'!A564</f>
        <v>0</v>
      </c>
      <c r="B642" s="50">
        <f>'Agents'' Final Roster 0913-0919'!B564</f>
        <v>0</v>
      </c>
      <c r="C642" s="50">
        <f>'Agents'' Final Roster 0913-0919'!C564</f>
        <v>0</v>
      </c>
      <c r="D642" s="50">
        <f>'Agents'' Final Roster 0913-0919'!D564</f>
        <v>0</v>
      </c>
      <c r="Z642" s="50">
        <f>'Agents'' Final Roster 0913-0919'!J564</f>
        <v>0</v>
      </c>
    </row>
    <row r="643" spans="1:26">
      <c r="A643" s="50">
        <f>'Agents'' Final Roster 0913-0919'!A565</f>
        <v>0</v>
      </c>
      <c r="B643" s="50">
        <f>'Agents'' Final Roster 0913-0919'!B565</f>
        <v>0</v>
      </c>
      <c r="C643" s="50">
        <f>'Agents'' Final Roster 0913-0919'!C565</f>
        <v>0</v>
      </c>
      <c r="D643" s="50">
        <f>'Agents'' Final Roster 0913-0919'!D565</f>
        <v>0</v>
      </c>
      <c r="Z643" s="50">
        <f>'Agents'' Final Roster 0913-0919'!J565</f>
        <v>0</v>
      </c>
    </row>
    <row r="644" spans="1:26">
      <c r="A644" s="50">
        <f>'Agents'' Final Roster 0913-0919'!A566</f>
        <v>0</v>
      </c>
      <c r="B644" s="50">
        <f>'Agents'' Final Roster 0913-0919'!B566</f>
        <v>0</v>
      </c>
      <c r="C644" s="50">
        <f>'Agents'' Final Roster 0913-0919'!C566</f>
        <v>0</v>
      </c>
      <c r="D644" s="50">
        <f>'Agents'' Final Roster 0913-0919'!D566</f>
        <v>0</v>
      </c>
      <c r="Z644" s="50">
        <f>'Agents'' Final Roster 0913-0919'!J566</f>
        <v>0</v>
      </c>
    </row>
    <row r="645" spans="1:26">
      <c r="A645" s="50">
        <f>'Agents'' Final Roster 0913-0919'!A567</f>
        <v>0</v>
      </c>
      <c r="B645" s="50">
        <f>'Agents'' Final Roster 0913-0919'!B567</f>
        <v>0</v>
      </c>
      <c r="C645" s="50">
        <f>'Agents'' Final Roster 0913-0919'!C567</f>
        <v>0</v>
      </c>
      <c r="D645" s="50">
        <f>'Agents'' Final Roster 0913-0919'!D567</f>
        <v>0</v>
      </c>
      <c r="Z645" s="50">
        <f>'Agents'' Final Roster 0913-0919'!J567</f>
        <v>0</v>
      </c>
    </row>
    <row r="646" spans="1:26">
      <c r="A646" s="50">
        <f>'Agents'' Final Roster 0913-0919'!A568</f>
        <v>0</v>
      </c>
      <c r="B646" s="50">
        <f>'Agents'' Final Roster 0913-0919'!B568</f>
        <v>0</v>
      </c>
      <c r="C646" s="50">
        <f>'Agents'' Final Roster 0913-0919'!C568</f>
        <v>0</v>
      </c>
      <c r="D646" s="50">
        <f>'Agents'' Final Roster 0913-0919'!D568</f>
        <v>0</v>
      </c>
      <c r="Z646" s="50">
        <f>'Agents'' Final Roster 0913-0919'!J568</f>
        <v>0</v>
      </c>
    </row>
    <row r="647" spans="1:26">
      <c r="A647" s="50">
        <f>'Agents'' Final Roster 0913-0919'!A569</f>
        <v>0</v>
      </c>
      <c r="B647" s="50">
        <f>'Agents'' Final Roster 0913-0919'!B569</f>
        <v>0</v>
      </c>
      <c r="C647" s="50">
        <f>'Agents'' Final Roster 0913-0919'!C569</f>
        <v>0</v>
      </c>
      <c r="D647" s="50">
        <f>'Agents'' Final Roster 0913-0919'!D569</f>
        <v>0</v>
      </c>
      <c r="Z647" s="50">
        <f>'Agents'' Final Roster 0913-0919'!J569</f>
        <v>0</v>
      </c>
    </row>
    <row r="648" spans="1:26">
      <c r="A648" s="50">
        <f>'Agents'' Final Roster 0913-0919'!A570</f>
        <v>0</v>
      </c>
      <c r="B648" s="50">
        <f>'Agents'' Final Roster 0913-0919'!B570</f>
        <v>0</v>
      </c>
      <c r="C648" s="50">
        <f>'Agents'' Final Roster 0913-0919'!C570</f>
        <v>0</v>
      </c>
      <c r="D648" s="50">
        <f>'Agents'' Final Roster 0913-0919'!D570</f>
        <v>0</v>
      </c>
      <c r="Z648" s="50">
        <f>'Agents'' Final Roster 0913-0919'!J570</f>
        <v>0</v>
      </c>
    </row>
    <row r="649" spans="1:26">
      <c r="A649" s="50">
        <f>'Agents'' Final Roster 0913-0919'!A571</f>
        <v>0</v>
      </c>
      <c r="B649" s="50">
        <f>'Agents'' Final Roster 0913-0919'!B571</f>
        <v>0</v>
      </c>
      <c r="C649" s="50">
        <f>'Agents'' Final Roster 0913-0919'!C571</f>
        <v>0</v>
      </c>
      <c r="D649" s="50">
        <f>'Agents'' Final Roster 0913-0919'!D571</f>
        <v>0</v>
      </c>
      <c r="Z649" s="50">
        <f>'Agents'' Final Roster 0913-0919'!J571</f>
        <v>0</v>
      </c>
    </row>
    <row r="650" spans="1:26">
      <c r="A650" s="50">
        <f>'Agents'' Final Roster 0913-0919'!A572</f>
        <v>0</v>
      </c>
      <c r="B650" s="50">
        <f>'Agents'' Final Roster 0913-0919'!B572</f>
        <v>0</v>
      </c>
      <c r="C650" s="50">
        <f>'Agents'' Final Roster 0913-0919'!C572</f>
        <v>0</v>
      </c>
      <c r="D650" s="50">
        <f>'Agents'' Final Roster 0913-0919'!D572</f>
        <v>0</v>
      </c>
      <c r="Z650" s="50">
        <f>'Agents'' Final Roster 0913-0919'!J572</f>
        <v>0</v>
      </c>
    </row>
    <row r="651" spans="1:26">
      <c r="A651" s="50">
        <f>'Agents'' Final Roster 0913-0919'!A573</f>
        <v>0</v>
      </c>
      <c r="B651" s="50">
        <f>'Agents'' Final Roster 0913-0919'!B573</f>
        <v>0</v>
      </c>
      <c r="C651" s="50">
        <f>'Agents'' Final Roster 0913-0919'!C573</f>
        <v>0</v>
      </c>
      <c r="D651" s="50">
        <f>'Agents'' Final Roster 0913-0919'!D573</f>
        <v>0</v>
      </c>
      <c r="Z651" s="50">
        <f>'Agents'' Final Roster 0913-0919'!J573</f>
        <v>0</v>
      </c>
    </row>
    <row r="652" spans="1:26">
      <c r="A652" s="50">
        <f>'Agents'' Final Roster 0913-0919'!A574</f>
        <v>0</v>
      </c>
      <c r="B652" s="50">
        <f>'Agents'' Final Roster 0913-0919'!B574</f>
        <v>0</v>
      </c>
      <c r="C652" s="50">
        <f>'Agents'' Final Roster 0913-0919'!C574</f>
        <v>0</v>
      </c>
      <c r="D652" s="50">
        <f>'Agents'' Final Roster 0913-0919'!D574</f>
        <v>0</v>
      </c>
      <c r="Z652" s="50">
        <f>'Agents'' Final Roster 0913-0919'!J574</f>
        <v>0</v>
      </c>
    </row>
    <row r="653" spans="1:26">
      <c r="A653" s="50">
        <f>'Agents'' Final Roster 0913-0919'!A575</f>
        <v>0</v>
      </c>
      <c r="B653" s="50">
        <f>'Agents'' Final Roster 0913-0919'!B575</f>
        <v>0</v>
      </c>
      <c r="C653" s="50">
        <f>'Agents'' Final Roster 0913-0919'!C575</f>
        <v>0</v>
      </c>
      <c r="D653" s="50">
        <f>'Agents'' Final Roster 0913-0919'!D575</f>
        <v>0</v>
      </c>
      <c r="Z653" s="50">
        <f>'Agents'' Final Roster 0913-0919'!J575</f>
        <v>0</v>
      </c>
    </row>
    <row r="654" spans="1:26">
      <c r="A654" s="50">
        <f>'Agents'' Final Roster 0913-0919'!A576</f>
        <v>0</v>
      </c>
      <c r="B654" s="50">
        <f>'Agents'' Final Roster 0913-0919'!B576</f>
        <v>0</v>
      </c>
      <c r="C654" s="50">
        <f>'Agents'' Final Roster 0913-0919'!C576</f>
        <v>0</v>
      </c>
      <c r="D654" s="50">
        <f>'Agents'' Final Roster 0913-0919'!D576</f>
        <v>0</v>
      </c>
      <c r="Z654" s="50">
        <f>'Agents'' Final Roster 0913-0919'!J576</f>
        <v>0</v>
      </c>
    </row>
    <row r="655" spans="1:26">
      <c r="A655" s="50">
        <f>'Agents'' Final Roster 0913-0919'!A577</f>
        <v>0</v>
      </c>
      <c r="B655" s="50">
        <f>'Agents'' Final Roster 0913-0919'!B577</f>
        <v>0</v>
      </c>
      <c r="C655" s="50">
        <f>'Agents'' Final Roster 0913-0919'!C577</f>
        <v>0</v>
      </c>
      <c r="D655" s="50">
        <f>'Agents'' Final Roster 0913-0919'!D577</f>
        <v>0</v>
      </c>
      <c r="Z655" s="50">
        <f>'Agents'' Final Roster 0913-0919'!J577</f>
        <v>0</v>
      </c>
    </row>
    <row r="656" spans="1:26">
      <c r="A656" s="50">
        <f>'Agents'' Final Roster 0913-0919'!A578</f>
        <v>0</v>
      </c>
      <c r="B656" s="50">
        <f>'Agents'' Final Roster 0913-0919'!B578</f>
        <v>0</v>
      </c>
      <c r="C656" s="50">
        <f>'Agents'' Final Roster 0913-0919'!C578</f>
        <v>0</v>
      </c>
      <c r="D656" s="50">
        <f>'Agents'' Final Roster 0913-0919'!D578</f>
        <v>0</v>
      </c>
      <c r="Z656" s="50">
        <f>'Agents'' Final Roster 0913-0919'!J578</f>
        <v>0</v>
      </c>
    </row>
    <row r="657" spans="1:26">
      <c r="A657" s="50">
        <f>'Agents'' Final Roster 0913-0919'!A579</f>
        <v>0</v>
      </c>
      <c r="B657" s="50">
        <f>'Agents'' Final Roster 0913-0919'!B579</f>
        <v>0</v>
      </c>
      <c r="C657" s="50">
        <f>'Agents'' Final Roster 0913-0919'!C579</f>
        <v>0</v>
      </c>
      <c r="D657" s="50">
        <f>'Agents'' Final Roster 0913-0919'!D579</f>
        <v>0</v>
      </c>
      <c r="Z657" s="50">
        <f>'Agents'' Final Roster 0913-0919'!J579</f>
        <v>0</v>
      </c>
    </row>
    <row r="658" spans="1:26">
      <c r="A658" s="50">
        <f>'Agents'' Final Roster 0913-0919'!A580</f>
        <v>0</v>
      </c>
      <c r="B658" s="50">
        <f>'Agents'' Final Roster 0913-0919'!B580</f>
        <v>0</v>
      </c>
      <c r="C658" s="50">
        <f>'Agents'' Final Roster 0913-0919'!C580</f>
        <v>0</v>
      </c>
      <c r="D658" s="50">
        <f>'Agents'' Final Roster 0913-0919'!D580</f>
        <v>0</v>
      </c>
      <c r="Z658" s="50">
        <f>'Agents'' Final Roster 0913-0919'!J580</f>
        <v>0</v>
      </c>
    </row>
    <row r="659" spans="1:26">
      <c r="A659" s="50">
        <f>'Agents'' Final Roster 0913-0919'!A581</f>
        <v>0</v>
      </c>
      <c r="B659" s="50">
        <f>'Agents'' Final Roster 0913-0919'!B581</f>
        <v>0</v>
      </c>
      <c r="C659" s="50">
        <f>'Agents'' Final Roster 0913-0919'!C581</f>
        <v>0</v>
      </c>
      <c r="D659" s="50">
        <f>'Agents'' Final Roster 0913-0919'!D581</f>
        <v>0</v>
      </c>
      <c r="Z659" s="50">
        <f>'Agents'' Final Roster 0913-0919'!J581</f>
        <v>0</v>
      </c>
    </row>
    <row r="660" spans="1:26">
      <c r="A660" s="50">
        <f>'Agents'' Final Roster 0913-0919'!A582</f>
        <v>0</v>
      </c>
      <c r="B660" s="50">
        <f>'Agents'' Final Roster 0913-0919'!B582</f>
        <v>0</v>
      </c>
      <c r="C660" s="50">
        <f>'Agents'' Final Roster 0913-0919'!C582</f>
        <v>0</v>
      </c>
      <c r="D660" s="50">
        <f>'Agents'' Final Roster 0913-0919'!D582</f>
        <v>0</v>
      </c>
      <c r="Z660" s="50">
        <f>'Agents'' Final Roster 0913-0919'!J582</f>
        <v>0</v>
      </c>
    </row>
    <row r="661" spans="1:26">
      <c r="A661" s="50">
        <f>'Agents'' Final Roster 0913-0919'!A583</f>
        <v>0</v>
      </c>
      <c r="B661" s="50">
        <f>'Agents'' Final Roster 0913-0919'!B583</f>
        <v>0</v>
      </c>
      <c r="C661" s="50">
        <f>'Agents'' Final Roster 0913-0919'!C583</f>
        <v>0</v>
      </c>
      <c r="D661" s="50">
        <f>'Agents'' Final Roster 0913-0919'!D583</f>
        <v>0</v>
      </c>
      <c r="Z661" s="50">
        <f>'Agents'' Final Roster 0913-0919'!J583</f>
        <v>0</v>
      </c>
    </row>
    <row r="662" spans="1:26">
      <c r="A662" s="50">
        <f>'Agents'' Final Roster 0913-0919'!A584</f>
        <v>0</v>
      </c>
      <c r="B662" s="50">
        <f>'Agents'' Final Roster 0913-0919'!B584</f>
        <v>0</v>
      </c>
      <c r="C662" s="50">
        <f>'Agents'' Final Roster 0913-0919'!C584</f>
        <v>0</v>
      </c>
      <c r="D662" s="50">
        <f>'Agents'' Final Roster 0913-0919'!D584</f>
        <v>0</v>
      </c>
      <c r="Z662" s="50">
        <f>'Agents'' Final Roster 0913-0919'!J584</f>
        <v>0</v>
      </c>
    </row>
    <row r="663" spans="1:26">
      <c r="A663" s="50">
        <f>'Agents'' Final Roster 0913-0919'!A585</f>
        <v>0</v>
      </c>
      <c r="B663" s="50">
        <f>'Agents'' Final Roster 0913-0919'!B585</f>
        <v>0</v>
      </c>
      <c r="C663" s="50">
        <f>'Agents'' Final Roster 0913-0919'!C585</f>
        <v>0</v>
      </c>
      <c r="D663" s="50">
        <f>'Agents'' Final Roster 0913-0919'!D585</f>
        <v>0</v>
      </c>
      <c r="Z663" s="50">
        <f>'Agents'' Final Roster 0913-0919'!J585</f>
        <v>0</v>
      </c>
    </row>
    <row r="664" spans="1:26">
      <c r="A664" s="50">
        <f>'Agents'' Final Roster 0913-0919'!A586</f>
        <v>0</v>
      </c>
      <c r="B664" s="50">
        <f>'Agents'' Final Roster 0913-0919'!B586</f>
        <v>0</v>
      </c>
      <c r="C664" s="50">
        <f>'Agents'' Final Roster 0913-0919'!C586</f>
        <v>0</v>
      </c>
      <c r="D664" s="50">
        <f>'Agents'' Final Roster 0913-0919'!D586</f>
        <v>0</v>
      </c>
      <c r="Z664" s="50">
        <f>'Agents'' Final Roster 0913-0919'!J586</f>
        <v>0</v>
      </c>
    </row>
    <row r="665" spans="1:26">
      <c r="A665" s="50">
        <f>'Agents'' Final Roster 0913-0919'!A587</f>
        <v>0</v>
      </c>
      <c r="B665" s="50">
        <f>'Agents'' Final Roster 0913-0919'!B587</f>
        <v>0</v>
      </c>
      <c r="C665" s="50">
        <f>'Agents'' Final Roster 0913-0919'!C587</f>
        <v>0</v>
      </c>
      <c r="D665" s="50">
        <f>'Agents'' Final Roster 0913-0919'!D587</f>
        <v>0</v>
      </c>
      <c r="Z665" s="50">
        <f>'Agents'' Final Roster 0913-0919'!J587</f>
        <v>0</v>
      </c>
    </row>
    <row r="666" spans="1:26">
      <c r="A666" s="50">
        <f>'Agents'' Final Roster 0913-0919'!A588</f>
        <v>0</v>
      </c>
      <c r="B666" s="50">
        <f>'Agents'' Final Roster 0913-0919'!B588</f>
        <v>0</v>
      </c>
      <c r="C666" s="50">
        <f>'Agents'' Final Roster 0913-0919'!C588</f>
        <v>0</v>
      </c>
      <c r="D666" s="50">
        <f>'Agents'' Final Roster 0913-0919'!D588</f>
        <v>0</v>
      </c>
      <c r="Z666" s="50">
        <f>'Agents'' Final Roster 0913-0919'!J588</f>
        <v>0</v>
      </c>
    </row>
    <row r="667" spans="1:26">
      <c r="A667" s="50">
        <f>'Agents'' Final Roster 0913-0919'!A589</f>
        <v>0</v>
      </c>
      <c r="B667" s="50">
        <f>'Agents'' Final Roster 0913-0919'!B589</f>
        <v>0</v>
      </c>
      <c r="C667" s="50">
        <f>'Agents'' Final Roster 0913-0919'!C589</f>
        <v>0</v>
      </c>
      <c r="D667" s="50">
        <f>'Agents'' Final Roster 0913-0919'!D589</f>
        <v>0</v>
      </c>
      <c r="Z667" s="50">
        <f>'Agents'' Final Roster 0913-0919'!J589</f>
        <v>0</v>
      </c>
    </row>
    <row r="668" spans="1:26">
      <c r="A668" s="50">
        <f>'Agents'' Final Roster 0913-0919'!A590</f>
        <v>0</v>
      </c>
      <c r="B668" s="50">
        <f>'Agents'' Final Roster 0913-0919'!B590</f>
        <v>0</v>
      </c>
      <c r="C668" s="50">
        <f>'Agents'' Final Roster 0913-0919'!C590</f>
        <v>0</v>
      </c>
      <c r="D668" s="50">
        <f>'Agents'' Final Roster 0913-0919'!D590</f>
        <v>0</v>
      </c>
      <c r="Z668" s="50">
        <f>'Agents'' Final Roster 0913-0919'!J590</f>
        <v>0</v>
      </c>
    </row>
    <row r="669" spans="1:26">
      <c r="A669" s="50">
        <f>'Agents'' Final Roster 0913-0919'!A591</f>
        <v>0</v>
      </c>
      <c r="B669" s="50">
        <f>'Agents'' Final Roster 0913-0919'!B591</f>
        <v>0</v>
      </c>
      <c r="C669" s="50">
        <f>'Agents'' Final Roster 0913-0919'!C591</f>
        <v>0</v>
      </c>
      <c r="D669" s="50">
        <f>'Agents'' Final Roster 0913-0919'!D591</f>
        <v>0</v>
      </c>
      <c r="Z669" s="50">
        <f>'Agents'' Final Roster 0913-0919'!J591</f>
        <v>0</v>
      </c>
    </row>
    <row r="670" spans="1:26">
      <c r="A670" s="50">
        <f>'Agents'' Final Roster 0913-0919'!A592</f>
        <v>0</v>
      </c>
      <c r="B670" s="50">
        <f>'Agents'' Final Roster 0913-0919'!B592</f>
        <v>0</v>
      </c>
      <c r="C670" s="50">
        <f>'Agents'' Final Roster 0913-0919'!C592</f>
        <v>0</v>
      </c>
      <c r="D670" s="50">
        <f>'Agents'' Final Roster 0913-0919'!D592</f>
        <v>0</v>
      </c>
      <c r="Z670" s="50">
        <f>'Agents'' Final Roster 0913-0919'!J592</f>
        <v>0</v>
      </c>
    </row>
    <row r="671" spans="1:26">
      <c r="A671" s="50">
        <f>'Agents'' Final Roster 0913-0919'!A593</f>
        <v>0</v>
      </c>
      <c r="B671" s="50">
        <f>'Agents'' Final Roster 0913-0919'!B593</f>
        <v>0</v>
      </c>
      <c r="C671" s="50">
        <f>'Agents'' Final Roster 0913-0919'!C593</f>
        <v>0</v>
      </c>
      <c r="D671" s="50">
        <f>'Agents'' Final Roster 0913-0919'!D593</f>
        <v>0</v>
      </c>
      <c r="Z671" s="50">
        <f>'Agents'' Final Roster 0913-0919'!J593</f>
        <v>0</v>
      </c>
    </row>
    <row r="672" spans="1:26">
      <c r="A672" s="50">
        <f>'Agents'' Final Roster 0913-0919'!A594</f>
        <v>0</v>
      </c>
      <c r="B672" s="50">
        <f>'Agents'' Final Roster 0913-0919'!B594</f>
        <v>0</v>
      </c>
      <c r="C672" s="50">
        <f>'Agents'' Final Roster 0913-0919'!C594</f>
        <v>0</v>
      </c>
      <c r="D672" s="50">
        <f>'Agents'' Final Roster 0913-0919'!D594</f>
        <v>0</v>
      </c>
      <c r="Z672" s="50">
        <f>'Agents'' Final Roster 0913-0919'!J594</f>
        <v>0</v>
      </c>
    </row>
    <row r="673" spans="1:26">
      <c r="A673" s="50">
        <f>'Agents'' Final Roster 0913-0919'!A595</f>
        <v>0</v>
      </c>
      <c r="B673" s="50">
        <f>'Agents'' Final Roster 0913-0919'!B595</f>
        <v>0</v>
      </c>
      <c r="C673" s="50">
        <f>'Agents'' Final Roster 0913-0919'!C595</f>
        <v>0</v>
      </c>
      <c r="D673" s="50">
        <f>'Agents'' Final Roster 0913-0919'!D595</f>
        <v>0</v>
      </c>
      <c r="Z673" s="50">
        <f>'Agents'' Final Roster 0913-0919'!J595</f>
        <v>0</v>
      </c>
    </row>
    <row r="674" spans="1:26">
      <c r="A674" s="50">
        <f>'Agents'' Final Roster 0913-0919'!A596</f>
        <v>0</v>
      </c>
      <c r="B674" s="50">
        <f>'Agents'' Final Roster 0913-0919'!B596</f>
        <v>0</v>
      </c>
      <c r="C674" s="50">
        <f>'Agents'' Final Roster 0913-0919'!C596</f>
        <v>0</v>
      </c>
      <c r="D674" s="50">
        <f>'Agents'' Final Roster 0913-0919'!D596</f>
        <v>0</v>
      </c>
      <c r="Z674" s="50">
        <f>'Agents'' Final Roster 0913-0919'!J596</f>
        <v>0</v>
      </c>
    </row>
    <row r="675" spans="1:26">
      <c r="A675" s="50">
        <f>'Agents'' Final Roster 0913-0919'!A597</f>
        <v>0</v>
      </c>
      <c r="B675" s="50">
        <f>'Agents'' Final Roster 0913-0919'!B597</f>
        <v>0</v>
      </c>
      <c r="C675" s="50">
        <f>'Agents'' Final Roster 0913-0919'!C597</f>
        <v>0</v>
      </c>
      <c r="D675" s="50">
        <f>'Agents'' Final Roster 0913-0919'!D597</f>
        <v>0</v>
      </c>
      <c r="Z675" s="50">
        <f>'Agents'' Final Roster 0913-0919'!J597</f>
        <v>0</v>
      </c>
    </row>
    <row r="676" spans="1:26">
      <c r="A676" s="50">
        <f>'Agents'' Final Roster 0913-0919'!A598</f>
        <v>0</v>
      </c>
      <c r="B676" s="50">
        <f>'Agents'' Final Roster 0913-0919'!B598</f>
        <v>0</v>
      </c>
      <c r="C676" s="50">
        <f>'Agents'' Final Roster 0913-0919'!C598</f>
        <v>0</v>
      </c>
      <c r="D676" s="50">
        <f>'Agents'' Final Roster 0913-0919'!D598</f>
        <v>0</v>
      </c>
      <c r="Z676" s="50">
        <f>'Agents'' Final Roster 0913-0919'!J598</f>
        <v>0</v>
      </c>
    </row>
    <row r="677" spans="1:26">
      <c r="A677" s="50">
        <f>'Agents'' Final Roster 0913-0919'!A599</f>
        <v>0</v>
      </c>
      <c r="B677" s="50">
        <f>'Agents'' Final Roster 0913-0919'!B599</f>
        <v>0</v>
      </c>
      <c r="C677" s="50">
        <f>'Agents'' Final Roster 0913-0919'!C599</f>
        <v>0</v>
      </c>
      <c r="D677" s="50">
        <f>'Agents'' Final Roster 0913-0919'!D599</f>
        <v>0</v>
      </c>
      <c r="Z677" s="50">
        <f>'Agents'' Final Roster 0913-0919'!J599</f>
        <v>0</v>
      </c>
    </row>
    <row r="678" spans="1:26">
      <c r="A678" s="50">
        <f>'Agents'' Final Roster 0913-0919'!A600</f>
        <v>0</v>
      </c>
      <c r="B678" s="50">
        <f>'Agents'' Final Roster 0913-0919'!B600</f>
        <v>0</v>
      </c>
      <c r="C678" s="50">
        <f>'Agents'' Final Roster 0913-0919'!C600</f>
        <v>0</v>
      </c>
      <c r="D678" s="50">
        <f>'Agents'' Final Roster 0913-0919'!D600</f>
        <v>0</v>
      </c>
      <c r="Z678" s="50">
        <f>'Agents'' Final Roster 0913-0919'!J600</f>
        <v>0</v>
      </c>
    </row>
    <row r="679" spans="1:26">
      <c r="A679" s="50">
        <f>'Agents'' Final Roster 0913-0919'!A601</f>
        <v>0</v>
      </c>
      <c r="B679" s="50">
        <f>'Agents'' Final Roster 0913-0919'!B601</f>
        <v>0</v>
      </c>
      <c r="C679" s="50">
        <f>'Agents'' Final Roster 0913-0919'!C601</f>
        <v>0</v>
      </c>
      <c r="D679" s="50">
        <f>'Agents'' Final Roster 0913-0919'!D601</f>
        <v>0</v>
      </c>
      <c r="Z679" s="50">
        <f>'Agents'' Final Roster 0913-0919'!J601</f>
        <v>0</v>
      </c>
    </row>
    <row r="680" spans="1:26">
      <c r="A680" s="50">
        <f>'Agents'' Final Roster 0913-0919'!A602</f>
        <v>0</v>
      </c>
      <c r="B680" s="50">
        <f>'Agents'' Final Roster 0913-0919'!B602</f>
        <v>0</v>
      </c>
      <c r="C680" s="50">
        <f>'Agents'' Final Roster 0913-0919'!C602</f>
        <v>0</v>
      </c>
      <c r="D680" s="50">
        <f>'Agents'' Final Roster 0913-0919'!D602</f>
        <v>0</v>
      </c>
      <c r="Z680" s="50">
        <f>'Agents'' Final Roster 0913-0919'!J602</f>
        <v>0</v>
      </c>
    </row>
    <row r="681" spans="1:26">
      <c r="A681" s="50">
        <f>'Agents'' Final Roster 0913-0919'!A603</f>
        <v>0</v>
      </c>
      <c r="B681" s="50">
        <f>'Agents'' Final Roster 0913-0919'!B603</f>
        <v>0</v>
      </c>
      <c r="C681" s="50">
        <f>'Agents'' Final Roster 0913-0919'!C603</f>
        <v>0</v>
      </c>
      <c r="D681" s="50">
        <f>'Agents'' Final Roster 0913-0919'!D603</f>
        <v>0</v>
      </c>
      <c r="Z681" s="50">
        <f>'Agents'' Final Roster 0913-0919'!J603</f>
        <v>0</v>
      </c>
    </row>
    <row r="682" spans="1:26">
      <c r="A682" s="50">
        <f>'Agents'' Final Roster 0913-0919'!A604</f>
        <v>0</v>
      </c>
      <c r="B682" s="50">
        <f>'Agents'' Final Roster 0913-0919'!B604</f>
        <v>0</v>
      </c>
      <c r="C682" s="50">
        <f>'Agents'' Final Roster 0913-0919'!C604</f>
        <v>0</v>
      </c>
      <c r="D682" s="50">
        <f>'Agents'' Final Roster 0913-0919'!D604</f>
        <v>0</v>
      </c>
      <c r="Z682" s="50">
        <f>'Agents'' Final Roster 0913-0919'!J604</f>
        <v>0</v>
      </c>
    </row>
    <row r="683" spans="1:26">
      <c r="A683" s="50">
        <f>'Agents'' Final Roster 0913-0919'!A605</f>
        <v>0</v>
      </c>
      <c r="B683" s="50">
        <f>'Agents'' Final Roster 0913-0919'!B605</f>
        <v>0</v>
      </c>
      <c r="C683" s="50">
        <f>'Agents'' Final Roster 0913-0919'!C605</f>
        <v>0</v>
      </c>
      <c r="D683" s="50">
        <f>'Agents'' Final Roster 0913-0919'!D605</f>
        <v>0</v>
      </c>
      <c r="Z683" s="50">
        <f>'Agents'' Final Roster 0913-0919'!J605</f>
        <v>0</v>
      </c>
    </row>
    <row r="684" spans="1:26">
      <c r="A684" s="50">
        <f>'Agents'' Final Roster 0913-0919'!A606</f>
        <v>0</v>
      </c>
      <c r="B684" s="50">
        <f>'Agents'' Final Roster 0913-0919'!B606</f>
        <v>0</v>
      </c>
      <c r="C684" s="50">
        <f>'Agents'' Final Roster 0913-0919'!C606</f>
        <v>0</v>
      </c>
      <c r="D684" s="50">
        <f>'Agents'' Final Roster 0913-0919'!D606</f>
        <v>0</v>
      </c>
      <c r="Z684" s="50">
        <f>'Agents'' Final Roster 0913-0919'!J606</f>
        <v>0</v>
      </c>
    </row>
    <row r="685" spans="1:26">
      <c r="A685" s="50">
        <f>'Agents'' Final Roster 0913-0919'!A607</f>
        <v>0</v>
      </c>
      <c r="B685" s="50">
        <f>'Agents'' Final Roster 0913-0919'!B607</f>
        <v>0</v>
      </c>
      <c r="C685" s="50">
        <f>'Agents'' Final Roster 0913-0919'!C607</f>
        <v>0</v>
      </c>
      <c r="D685" s="50">
        <f>'Agents'' Final Roster 0913-0919'!D607</f>
        <v>0</v>
      </c>
      <c r="Z685" s="50">
        <f>'Agents'' Final Roster 0913-0919'!J607</f>
        <v>0</v>
      </c>
    </row>
    <row r="686" spans="1:26">
      <c r="A686" s="50">
        <f>'Agents'' Final Roster 0913-0919'!A608</f>
        <v>0</v>
      </c>
      <c r="B686" s="50">
        <f>'Agents'' Final Roster 0913-0919'!B608</f>
        <v>0</v>
      </c>
      <c r="C686" s="50">
        <f>'Agents'' Final Roster 0913-0919'!C608</f>
        <v>0</v>
      </c>
      <c r="D686" s="50">
        <f>'Agents'' Final Roster 0913-0919'!D608</f>
        <v>0</v>
      </c>
      <c r="Z686" s="50">
        <f>'Agents'' Final Roster 0913-0919'!J608</f>
        <v>0</v>
      </c>
    </row>
    <row r="687" spans="1:26">
      <c r="A687" s="50">
        <f>'Agents'' Final Roster 0913-0919'!A609</f>
        <v>0</v>
      </c>
      <c r="B687" s="50">
        <f>'Agents'' Final Roster 0913-0919'!B609</f>
        <v>0</v>
      </c>
      <c r="C687" s="50">
        <f>'Agents'' Final Roster 0913-0919'!C609</f>
        <v>0</v>
      </c>
      <c r="D687" s="50">
        <f>'Agents'' Final Roster 0913-0919'!D609</f>
        <v>0</v>
      </c>
      <c r="Z687" s="50">
        <f>'Agents'' Final Roster 0913-0919'!J609</f>
        <v>0</v>
      </c>
    </row>
    <row r="688" spans="1:26">
      <c r="A688" s="50">
        <f>'Agents'' Final Roster 0913-0919'!A610</f>
        <v>0</v>
      </c>
      <c r="B688" s="50">
        <f>'Agents'' Final Roster 0913-0919'!B610</f>
        <v>0</v>
      </c>
      <c r="C688" s="50">
        <f>'Agents'' Final Roster 0913-0919'!C610</f>
        <v>0</v>
      </c>
      <c r="D688" s="50">
        <f>'Agents'' Final Roster 0913-0919'!D610</f>
        <v>0</v>
      </c>
      <c r="Z688" s="50">
        <f>'Agents'' Final Roster 0913-0919'!J610</f>
        <v>0</v>
      </c>
    </row>
    <row r="689" spans="1:26">
      <c r="A689" s="50">
        <f>'Agents'' Final Roster 0913-0919'!A611</f>
        <v>0</v>
      </c>
      <c r="B689" s="50">
        <f>'Agents'' Final Roster 0913-0919'!B611</f>
        <v>0</v>
      </c>
      <c r="C689" s="50">
        <f>'Agents'' Final Roster 0913-0919'!C611</f>
        <v>0</v>
      </c>
      <c r="D689" s="50">
        <f>'Agents'' Final Roster 0913-0919'!D611</f>
        <v>0</v>
      </c>
      <c r="Z689" s="50">
        <f>'Agents'' Final Roster 0913-0919'!J611</f>
        <v>0</v>
      </c>
    </row>
    <row r="690" spans="1:26">
      <c r="A690" s="50">
        <f>'Agents'' Final Roster 0913-0919'!A612</f>
        <v>0</v>
      </c>
      <c r="B690" s="50">
        <f>'Agents'' Final Roster 0913-0919'!B612</f>
        <v>0</v>
      </c>
      <c r="C690" s="50">
        <f>'Agents'' Final Roster 0913-0919'!C612</f>
        <v>0</v>
      </c>
      <c r="D690" s="50">
        <f>'Agents'' Final Roster 0913-0919'!D612</f>
        <v>0</v>
      </c>
      <c r="Z690" s="50">
        <f>'Agents'' Final Roster 0913-0919'!J612</f>
        <v>0</v>
      </c>
    </row>
    <row r="691" spans="1:26">
      <c r="A691" s="50">
        <f>'Agents'' Final Roster 0913-0919'!A613</f>
        <v>0</v>
      </c>
      <c r="B691" s="50">
        <f>'Agents'' Final Roster 0913-0919'!B613</f>
        <v>0</v>
      </c>
      <c r="C691" s="50">
        <f>'Agents'' Final Roster 0913-0919'!C613</f>
        <v>0</v>
      </c>
      <c r="D691" s="50">
        <f>'Agents'' Final Roster 0913-0919'!D613</f>
        <v>0</v>
      </c>
      <c r="Z691" s="50">
        <f>'Agents'' Final Roster 0913-0919'!J613</f>
        <v>0</v>
      </c>
    </row>
    <row r="692" spans="1:26">
      <c r="A692" s="50">
        <f>'Agents'' Final Roster 0913-0919'!A614</f>
        <v>0</v>
      </c>
      <c r="B692" s="50">
        <f>'Agents'' Final Roster 0913-0919'!B614</f>
        <v>0</v>
      </c>
      <c r="C692" s="50">
        <f>'Agents'' Final Roster 0913-0919'!C614</f>
        <v>0</v>
      </c>
      <c r="D692" s="50">
        <f>'Agents'' Final Roster 0913-0919'!D614</f>
        <v>0</v>
      </c>
      <c r="Z692" s="50">
        <f>'Agents'' Final Roster 0913-0919'!J614</f>
        <v>0</v>
      </c>
    </row>
    <row r="693" spans="1:26">
      <c r="A693" s="50">
        <f>'Agents'' Final Roster 0913-0919'!A615</f>
        <v>0</v>
      </c>
      <c r="B693" s="50">
        <f>'Agents'' Final Roster 0913-0919'!B615</f>
        <v>0</v>
      </c>
      <c r="C693" s="50">
        <f>'Agents'' Final Roster 0913-0919'!C615</f>
        <v>0</v>
      </c>
      <c r="D693" s="50">
        <f>'Agents'' Final Roster 0913-0919'!D615</f>
        <v>0</v>
      </c>
      <c r="Z693" s="50">
        <f>'Agents'' Final Roster 0913-0919'!J615</f>
        <v>0</v>
      </c>
    </row>
    <row r="694" spans="1:26">
      <c r="A694" s="50">
        <f>'Agents'' Final Roster 0913-0919'!A616</f>
        <v>0</v>
      </c>
      <c r="B694" s="50">
        <f>'Agents'' Final Roster 0913-0919'!B616</f>
        <v>0</v>
      </c>
      <c r="C694" s="50">
        <f>'Agents'' Final Roster 0913-0919'!C616</f>
        <v>0</v>
      </c>
      <c r="D694" s="50">
        <f>'Agents'' Final Roster 0913-0919'!D616</f>
        <v>0</v>
      </c>
      <c r="Z694" s="50">
        <f>'Agents'' Final Roster 0913-0919'!J616</f>
        <v>0</v>
      </c>
    </row>
    <row r="695" spans="1:26">
      <c r="A695" s="50">
        <f>'Agents'' Final Roster 0913-0919'!A617</f>
        <v>0</v>
      </c>
      <c r="B695" s="50">
        <f>'Agents'' Final Roster 0913-0919'!B617</f>
        <v>0</v>
      </c>
      <c r="C695" s="50">
        <f>'Agents'' Final Roster 0913-0919'!C617</f>
        <v>0</v>
      </c>
      <c r="D695" s="50">
        <f>'Agents'' Final Roster 0913-0919'!D617</f>
        <v>0</v>
      </c>
      <c r="Z695" s="50">
        <f>'Agents'' Final Roster 0913-0919'!J617</f>
        <v>0</v>
      </c>
    </row>
    <row r="696" spans="1:26">
      <c r="A696" s="50">
        <f>'Agents'' Final Roster 0913-0919'!A618</f>
        <v>0</v>
      </c>
      <c r="B696" s="50">
        <f>'Agents'' Final Roster 0913-0919'!B618</f>
        <v>0</v>
      </c>
      <c r="C696" s="50">
        <f>'Agents'' Final Roster 0913-0919'!C618</f>
        <v>0</v>
      </c>
      <c r="D696" s="50">
        <f>'Agents'' Final Roster 0913-0919'!D618</f>
        <v>0</v>
      </c>
      <c r="Z696" s="50">
        <f>'Agents'' Final Roster 0913-0919'!J618</f>
        <v>0</v>
      </c>
    </row>
    <row r="697" spans="1:26">
      <c r="A697" s="50">
        <f>'Agents'' Final Roster 0913-0919'!A619</f>
        <v>0</v>
      </c>
      <c r="B697" s="50">
        <f>'Agents'' Final Roster 0913-0919'!B619</f>
        <v>0</v>
      </c>
      <c r="C697" s="50">
        <f>'Agents'' Final Roster 0913-0919'!C619</f>
        <v>0</v>
      </c>
      <c r="D697" s="50">
        <f>'Agents'' Final Roster 0913-0919'!D619</f>
        <v>0</v>
      </c>
      <c r="Z697" s="50">
        <f>'Agents'' Final Roster 0913-0919'!J619</f>
        <v>0</v>
      </c>
    </row>
    <row r="698" spans="1:26">
      <c r="A698" s="50">
        <f>'Agents'' Final Roster 0913-0919'!A620</f>
        <v>0</v>
      </c>
      <c r="B698" s="50">
        <f>'Agents'' Final Roster 0913-0919'!B620</f>
        <v>0</v>
      </c>
      <c r="C698" s="50">
        <f>'Agents'' Final Roster 0913-0919'!C620</f>
        <v>0</v>
      </c>
      <c r="D698" s="50">
        <f>'Agents'' Final Roster 0913-0919'!D620</f>
        <v>0</v>
      </c>
      <c r="Z698" s="50">
        <f>'Agents'' Final Roster 0913-0919'!J620</f>
        <v>0</v>
      </c>
    </row>
    <row r="699" spans="1:26">
      <c r="A699" s="50">
        <f>'Agents'' Final Roster 0913-0919'!A621</f>
        <v>0</v>
      </c>
      <c r="B699" s="50">
        <f>'Agents'' Final Roster 0913-0919'!B621</f>
        <v>0</v>
      </c>
      <c r="C699" s="50">
        <f>'Agents'' Final Roster 0913-0919'!C621</f>
        <v>0</v>
      </c>
      <c r="D699" s="50">
        <f>'Agents'' Final Roster 0913-0919'!D621</f>
        <v>0</v>
      </c>
      <c r="Z699" s="50">
        <f>'Agents'' Final Roster 0913-0919'!J621</f>
        <v>0</v>
      </c>
    </row>
    <row r="700" spans="1:26">
      <c r="A700" s="50">
        <f>'Agents'' Final Roster 0913-0919'!A622</f>
        <v>0</v>
      </c>
      <c r="B700" s="50">
        <f>'Agents'' Final Roster 0913-0919'!B622</f>
        <v>0</v>
      </c>
      <c r="C700" s="50">
        <f>'Agents'' Final Roster 0913-0919'!C622</f>
        <v>0</v>
      </c>
      <c r="D700" s="50">
        <f>'Agents'' Final Roster 0913-0919'!D622</f>
        <v>0</v>
      </c>
      <c r="Z700" s="50">
        <f>'Agents'' Final Roster 0913-0919'!J622</f>
        <v>0</v>
      </c>
    </row>
    <row r="701" spans="1:26">
      <c r="A701" s="50">
        <f>'Agents'' Final Roster 0913-0919'!A623</f>
        <v>0</v>
      </c>
      <c r="B701" s="50">
        <f>'Agents'' Final Roster 0913-0919'!B623</f>
        <v>0</v>
      </c>
      <c r="C701" s="50">
        <f>'Agents'' Final Roster 0913-0919'!C623</f>
        <v>0</v>
      </c>
      <c r="D701" s="50">
        <f>'Agents'' Final Roster 0913-0919'!D623</f>
        <v>0</v>
      </c>
      <c r="Z701" s="50">
        <f>'Agents'' Final Roster 0913-0919'!J623</f>
        <v>0</v>
      </c>
    </row>
    <row r="702" spans="1:26">
      <c r="A702" s="50">
        <f>'Agents'' Final Roster 0913-0919'!A624</f>
        <v>0</v>
      </c>
      <c r="B702" s="50">
        <f>'Agents'' Final Roster 0913-0919'!B624</f>
        <v>0</v>
      </c>
      <c r="C702" s="50">
        <f>'Agents'' Final Roster 0913-0919'!C624</f>
        <v>0</v>
      </c>
      <c r="D702" s="50">
        <f>'Agents'' Final Roster 0913-0919'!D624</f>
        <v>0</v>
      </c>
      <c r="Z702" s="50">
        <f>'Agents'' Final Roster 0913-0919'!J624</f>
        <v>0</v>
      </c>
    </row>
    <row r="703" spans="1:26">
      <c r="A703" s="50">
        <f>'Agents'' Final Roster 0913-0919'!A625</f>
        <v>0</v>
      </c>
      <c r="B703" s="50">
        <f>'Agents'' Final Roster 0913-0919'!B625</f>
        <v>0</v>
      </c>
      <c r="C703" s="50">
        <f>'Agents'' Final Roster 0913-0919'!C625</f>
        <v>0</v>
      </c>
      <c r="D703" s="50">
        <f>'Agents'' Final Roster 0913-0919'!D625</f>
        <v>0</v>
      </c>
      <c r="Z703" s="50">
        <f>'Agents'' Final Roster 0913-0919'!J625</f>
        <v>0</v>
      </c>
    </row>
    <row r="704" spans="1:26">
      <c r="A704" s="50">
        <f>'Agents'' Final Roster 0913-0919'!A626</f>
        <v>0</v>
      </c>
      <c r="B704" s="50">
        <f>'Agents'' Final Roster 0913-0919'!B626</f>
        <v>0</v>
      </c>
      <c r="C704" s="50">
        <f>'Agents'' Final Roster 0913-0919'!C626</f>
        <v>0</v>
      </c>
      <c r="D704" s="50">
        <f>'Agents'' Final Roster 0913-0919'!D626</f>
        <v>0</v>
      </c>
      <c r="Z704" s="50">
        <f>'Agents'' Final Roster 0913-0919'!J626</f>
        <v>0</v>
      </c>
    </row>
    <row r="705" spans="1:26">
      <c r="A705" s="50">
        <f>'Agents'' Final Roster 0913-0919'!A627</f>
        <v>0</v>
      </c>
      <c r="B705" s="50">
        <f>'Agents'' Final Roster 0913-0919'!B627</f>
        <v>0</v>
      </c>
      <c r="C705" s="50">
        <f>'Agents'' Final Roster 0913-0919'!C627</f>
        <v>0</v>
      </c>
      <c r="D705" s="50">
        <f>'Agents'' Final Roster 0913-0919'!D627</f>
        <v>0</v>
      </c>
      <c r="Z705" s="50">
        <f>'Agents'' Final Roster 0913-0919'!J627</f>
        <v>0</v>
      </c>
    </row>
    <row r="706" spans="1:26">
      <c r="A706" s="50">
        <f>'Agents'' Final Roster 0913-0919'!A628</f>
        <v>0</v>
      </c>
      <c r="B706" s="50">
        <f>'Agents'' Final Roster 0913-0919'!B628</f>
        <v>0</v>
      </c>
      <c r="C706" s="50">
        <f>'Agents'' Final Roster 0913-0919'!C628</f>
        <v>0</v>
      </c>
      <c r="D706" s="50">
        <f>'Agents'' Final Roster 0913-0919'!D628</f>
        <v>0</v>
      </c>
      <c r="Z706" s="50">
        <f>'Agents'' Final Roster 0913-0919'!J628</f>
        <v>0</v>
      </c>
    </row>
    <row r="707" spans="1:26">
      <c r="A707" s="50">
        <f>'Agents'' Final Roster 0913-0919'!A629</f>
        <v>0</v>
      </c>
      <c r="B707" s="50">
        <f>'Agents'' Final Roster 0913-0919'!B629</f>
        <v>0</v>
      </c>
      <c r="C707" s="50">
        <f>'Agents'' Final Roster 0913-0919'!C629</f>
        <v>0</v>
      </c>
      <c r="D707" s="50">
        <f>'Agents'' Final Roster 0913-0919'!D629</f>
        <v>0</v>
      </c>
      <c r="Z707" s="50">
        <f>'Agents'' Final Roster 0913-0919'!J629</f>
        <v>0</v>
      </c>
    </row>
    <row r="708" spans="1:26">
      <c r="A708" s="50">
        <f>'Agents'' Final Roster 0913-0919'!A630</f>
        <v>0</v>
      </c>
      <c r="B708" s="50">
        <f>'Agents'' Final Roster 0913-0919'!B630</f>
        <v>0</v>
      </c>
      <c r="C708" s="50">
        <f>'Agents'' Final Roster 0913-0919'!C630</f>
        <v>0</v>
      </c>
      <c r="D708" s="50">
        <f>'Agents'' Final Roster 0913-0919'!D630</f>
        <v>0</v>
      </c>
      <c r="Z708" s="50">
        <f>'Agents'' Final Roster 0913-0919'!J630</f>
        <v>0</v>
      </c>
    </row>
    <row r="709" spans="1:26">
      <c r="A709" s="50">
        <f>'Agents'' Final Roster 0913-0919'!A631</f>
        <v>0</v>
      </c>
      <c r="B709" s="50">
        <f>'Agents'' Final Roster 0913-0919'!B631</f>
        <v>0</v>
      </c>
      <c r="C709" s="50">
        <f>'Agents'' Final Roster 0913-0919'!C631</f>
        <v>0</v>
      </c>
      <c r="D709" s="50">
        <f>'Agents'' Final Roster 0913-0919'!D631</f>
        <v>0</v>
      </c>
      <c r="Z709" s="50">
        <f>'Agents'' Final Roster 0913-0919'!J631</f>
        <v>0</v>
      </c>
    </row>
    <row r="710" spans="1:26">
      <c r="A710" s="50">
        <f>'Agents'' Final Roster 0913-0919'!A632</f>
        <v>0</v>
      </c>
      <c r="B710" s="50">
        <f>'Agents'' Final Roster 0913-0919'!B632</f>
        <v>0</v>
      </c>
      <c r="C710" s="50">
        <f>'Agents'' Final Roster 0913-0919'!C632</f>
        <v>0</v>
      </c>
      <c r="D710" s="50">
        <f>'Agents'' Final Roster 0913-0919'!D632</f>
        <v>0</v>
      </c>
      <c r="Z710" s="50">
        <f>'Agents'' Final Roster 0913-0919'!J632</f>
        <v>0</v>
      </c>
    </row>
    <row r="711" spans="1:26">
      <c r="A711" s="50">
        <f>'Agents'' Final Roster 0913-0919'!A633</f>
        <v>0</v>
      </c>
      <c r="B711" s="50">
        <f>'Agents'' Final Roster 0913-0919'!B633</f>
        <v>0</v>
      </c>
      <c r="C711" s="50">
        <f>'Agents'' Final Roster 0913-0919'!C633</f>
        <v>0</v>
      </c>
      <c r="D711" s="50">
        <f>'Agents'' Final Roster 0913-0919'!D633</f>
        <v>0</v>
      </c>
      <c r="Z711" s="50">
        <f>'Agents'' Final Roster 0913-0919'!J633</f>
        <v>0</v>
      </c>
    </row>
    <row r="712" spans="1:26">
      <c r="A712" s="50">
        <f>'Agents'' Final Roster 0913-0919'!A634</f>
        <v>0</v>
      </c>
      <c r="B712" s="50">
        <f>'Agents'' Final Roster 0913-0919'!B634</f>
        <v>0</v>
      </c>
      <c r="C712" s="50">
        <f>'Agents'' Final Roster 0913-0919'!C634</f>
        <v>0</v>
      </c>
      <c r="D712" s="50">
        <f>'Agents'' Final Roster 0913-0919'!D634</f>
        <v>0</v>
      </c>
      <c r="Z712" s="50">
        <f>'Agents'' Final Roster 0913-0919'!J634</f>
        <v>0</v>
      </c>
    </row>
    <row r="713" spans="1:26">
      <c r="A713" s="50">
        <f>'Agents'' Final Roster 0913-0919'!A635</f>
        <v>0</v>
      </c>
      <c r="B713" s="50">
        <f>'Agents'' Final Roster 0913-0919'!B635</f>
        <v>0</v>
      </c>
      <c r="C713" s="50">
        <f>'Agents'' Final Roster 0913-0919'!C635</f>
        <v>0</v>
      </c>
      <c r="D713" s="50">
        <f>'Agents'' Final Roster 0913-0919'!D635</f>
        <v>0</v>
      </c>
      <c r="Z713" s="50">
        <f>'Agents'' Final Roster 0913-0919'!J635</f>
        <v>0</v>
      </c>
    </row>
    <row r="714" spans="1:26">
      <c r="A714" s="50">
        <f>'Agents'' Final Roster 0913-0919'!A636</f>
        <v>0</v>
      </c>
      <c r="B714" s="50">
        <f>'Agents'' Final Roster 0913-0919'!B636</f>
        <v>0</v>
      </c>
      <c r="C714" s="50">
        <f>'Agents'' Final Roster 0913-0919'!C636</f>
        <v>0</v>
      </c>
      <c r="D714" s="50">
        <f>'Agents'' Final Roster 0913-0919'!D636</f>
        <v>0</v>
      </c>
      <c r="Z714" s="50">
        <f>'Agents'' Final Roster 0913-0919'!J636</f>
        <v>0</v>
      </c>
    </row>
    <row r="715" spans="1:26">
      <c r="A715" s="50">
        <f>'Agents'' Final Roster 0913-0919'!A637</f>
        <v>0</v>
      </c>
      <c r="B715" s="50">
        <f>'Agents'' Final Roster 0913-0919'!B637</f>
        <v>0</v>
      </c>
      <c r="C715" s="50">
        <f>'Agents'' Final Roster 0913-0919'!C637</f>
        <v>0</v>
      </c>
      <c r="D715" s="50">
        <f>'Agents'' Final Roster 0913-0919'!D637</f>
        <v>0</v>
      </c>
      <c r="Z715" s="50">
        <f>'Agents'' Final Roster 0913-0919'!J637</f>
        <v>0</v>
      </c>
    </row>
    <row r="716" spans="1:26">
      <c r="A716" s="50">
        <f>'Agents'' Final Roster 0913-0919'!A638</f>
        <v>0</v>
      </c>
      <c r="B716" s="50">
        <f>'Agents'' Final Roster 0913-0919'!B638</f>
        <v>0</v>
      </c>
      <c r="C716" s="50">
        <f>'Agents'' Final Roster 0913-0919'!C638</f>
        <v>0</v>
      </c>
      <c r="D716" s="50">
        <f>'Agents'' Final Roster 0913-0919'!D638</f>
        <v>0</v>
      </c>
      <c r="Z716" s="50">
        <f>'Agents'' Final Roster 0913-0919'!J638</f>
        <v>0</v>
      </c>
    </row>
    <row r="717" spans="1:26">
      <c r="A717" s="50">
        <f>'Agents'' Final Roster 0913-0919'!A639</f>
        <v>0</v>
      </c>
      <c r="B717" s="50">
        <f>'Agents'' Final Roster 0913-0919'!B639</f>
        <v>0</v>
      </c>
      <c r="C717" s="50">
        <f>'Agents'' Final Roster 0913-0919'!C639</f>
        <v>0</v>
      </c>
      <c r="D717" s="50">
        <f>'Agents'' Final Roster 0913-0919'!D639</f>
        <v>0</v>
      </c>
      <c r="Z717" s="50">
        <f>'Agents'' Final Roster 0913-0919'!J639</f>
        <v>0</v>
      </c>
    </row>
    <row r="718" spans="1:26">
      <c r="A718" s="50">
        <f>'Agents'' Final Roster 0913-0919'!A640</f>
        <v>0</v>
      </c>
      <c r="B718" s="50">
        <f>'Agents'' Final Roster 0913-0919'!B640</f>
        <v>0</v>
      </c>
      <c r="C718" s="50">
        <f>'Agents'' Final Roster 0913-0919'!C640</f>
        <v>0</v>
      </c>
      <c r="D718" s="50">
        <f>'Agents'' Final Roster 0913-0919'!D640</f>
        <v>0</v>
      </c>
      <c r="Z718" s="50">
        <f>'Agents'' Final Roster 0913-0919'!J640</f>
        <v>0</v>
      </c>
    </row>
    <row r="719" spans="1:26">
      <c r="A719" s="50">
        <f>'Agents'' Final Roster 0913-0919'!A641</f>
        <v>0</v>
      </c>
      <c r="B719" s="50">
        <f>'Agents'' Final Roster 0913-0919'!B641</f>
        <v>0</v>
      </c>
      <c r="C719" s="50">
        <f>'Agents'' Final Roster 0913-0919'!C641</f>
        <v>0</v>
      </c>
      <c r="D719" s="50">
        <f>'Agents'' Final Roster 0913-0919'!D641</f>
        <v>0</v>
      </c>
      <c r="Z719" s="50">
        <f>'Agents'' Final Roster 0913-0919'!J641</f>
        <v>0</v>
      </c>
    </row>
    <row r="720" spans="1:26">
      <c r="A720" s="50">
        <f>'Agents'' Final Roster 0913-0919'!A642</f>
        <v>0</v>
      </c>
      <c r="B720" s="50">
        <f>'Agents'' Final Roster 0913-0919'!B642</f>
        <v>0</v>
      </c>
      <c r="C720" s="50">
        <f>'Agents'' Final Roster 0913-0919'!C642</f>
        <v>0</v>
      </c>
      <c r="D720" s="50">
        <f>'Agents'' Final Roster 0913-0919'!D642</f>
        <v>0</v>
      </c>
      <c r="Z720" s="50">
        <f>'Agents'' Final Roster 0913-0919'!J642</f>
        <v>0</v>
      </c>
    </row>
    <row r="721" spans="1:26">
      <c r="A721" s="50">
        <f>'Agents'' Final Roster 0913-0919'!A643</f>
        <v>0</v>
      </c>
      <c r="B721" s="50">
        <f>'Agents'' Final Roster 0913-0919'!B643</f>
        <v>0</v>
      </c>
      <c r="C721" s="50">
        <f>'Agents'' Final Roster 0913-0919'!C643</f>
        <v>0</v>
      </c>
      <c r="D721" s="50">
        <f>'Agents'' Final Roster 0913-0919'!D643</f>
        <v>0</v>
      </c>
      <c r="Z721" s="50">
        <f>'Agents'' Final Roster 0913-0919'!J643</f>
        <v>0</v>
      </c>
    </row>
    <row r="722" spans="1:26">
      <c r="A722" s="50">
        <f>'Agents'' Final Roster 0913-0919'!A644</f>
        <v>0</v>
      </c>
      <c r="B722" s="50">
        <f>'Agents'' Final Roster 0913-0919'!B644</f>
        <v>0</v>
      </c>
      <c r="C722" s="50">
        <f>'Agents'' Final Roster 0913-0919'!C644</f>
        <v>0</v>
      </c>
      <c r="D722" s="50">
        <f>'Agents'' Final Roster 0913-0919'!D644</f>
        <v>0</v>
      </c>
      <c r="Z722" s="50">
        <f>'Agents'' Final Roster 0913-0919'!J644</f>
        <v>0</v>
      </c>
    </row>
    <row r="723" spans="1:26">
      <c r="A723" s="50">
        <f>'Agents'' Final Roster 0913-0919'!A645</f>
        <v>0</v>
      </c>
      <c r="B723" s="50">
        <f>'Agents'' Final Roster 0913-0919'!B645</f>
        <v>0</v>
      </c>
      <c r="C723" s="50">
        <f>'Agents'' Final Roster 0913-0919'!C645</f>
        <v>0</v>
      </c>
      <c r="D723" s="50">
        <f>'Agents'' Final Roster 0913-0919'!D645</f>
        <v>0</v>
      </c>
      <c r="Z723" s="50">
        <f>'Agents'' Final Roster 0913-0919'!J645</f>
        <v>0</v>
      </c>
    </row>
    <row r="724" spans="1:26">
      <c r="A724" s="50">
        <f>'Agents'' Final Roster 0913-0919'!A646</f>
        <v>0</v>
      </c>
      <c r="B724" s="50">
        <f>'Agents'' Final Roster 0913-0919'!B646</f>
        <v>0</v>
      </c>
      <c r="C724" s="50">
        <f>'Agents'' Final Roster 0913-0919'!C646</f>
        <v>0</v>
      </c>
      <c r="D724" s="50">
        <f>'Agents'' Final Roster 0913-0919'!D646</f>
        <v>0</v>
      </c>
      <c r="Z724" s="50">
        <f>'Agents'' Final Roster 0913-0919'!J646</f>
        <v>0</v>
      </c>
    </row>
    <row r="725" spans="1:26">
      <c r="A725" s="50">
        <f>'Agents'' Final Roster 0913-0919'!A647</f>
        <v>0</v>
      </c>
      <c r="B725" s="50">
        <f>'Agents'' Final Roster 0913-0919'!B647</f>
        <v>0</v>
      </c>
      <c r="C725" s="50">
        <f>'Agents'' Final Roster 0913-0919'!C647</f>
        <v>0</v>
      </c>
      <c r="D725" s="50">
        <f>'Agents'' Final Roster 0913-0919'!D647</f>
        <v>0</v>
      </c>
      <c r="Z725" s="50">
        <f>'Agents'' Final Roster 0913-0919'!J647</f>
        <v>0</v>
      </c>
    </row>
    <row r="726" spans="1:26">
      <c r="A726" s="50">
        <f>'Agents'' Final Roster 0913-0919'!A648</f>
        <v>0</v>
      </c>
      <c r="B726" s="50">
        <f>'Agents'' Final Roster 0913-0919'!B648</f>
        <v>0</v>
      </c>
      <c r="C726" s="50">
        <f>'Agents'' Final Roster 0913-0919'!C648</f>
        <v>0</v>
      </c>
      <c r="D726" s="50">
        <f>'Agents'' Final Roster 0913-0919'!D648</f>
        <v>0</v>
      </c>
      <c r="Z726" s="50">
        <f>'Agents'' Final Roster 0913-0919'!J648</f>
        <v>0</v>
      </c>
    </row>
    <row r="727" spans="1:26">
      <c r="A727" s="50">
        <f>'Agents'' Final Roster 0913-0919'!A649</f>
        <v>0</v>
      </c>
      <c r="B727" s="50">
        <f>'Agents'' Final Roster 0913-0919'!B649</f>
        <v>0</v>
      </c>
      <c r="C727" s="50">
        <f>'Agents'' Final Roster 0913-0919'!C649</f>
        <v>0</v>
      </c>
      <c r="D727" s="50">
        <f>'Agents'' Final Roster 0913-0919'!D649</f>
        <v>0</v>
      </c>
      <c r="Z727" s="50">
        <f>'Agents'' Final Roster 0913-0919'!J649</f>
        <v>0</v>
      </c>
    </row>
    <row r="728" spans="1:26">
      <c r="A728" s="50">
        <f>'Agents'' Final Roster 0913-0919'!A650</f>
        <v>0</v>
      </c>
      <c r="B728" s="50">
        <f>'Agents'' Final Roster 0913-0919'!B650</f>
        <v>0</v>
      </c>
      <c r="C728" s="50">
        <f>'Agents'' Final Roster 0913-0919'!C650</f>
        <v>0</v>
      </c>
      <c r="D728" s="50">
        <f>'Agents'' Final Roster 0913-0919'!D650</f>
        <v>0</v>
      </c>
      <c r="Z728" s="50">
        <f>'Agents'' Final Roster 0913-0919'!J650</f>
        <v>0</v>
      </c>
    </row>
    <row r="729" spans="1:26">
      <c r="A729" s="50">
        <f>'Agents'' Final Roster 0913-0919'!A651</f>
        <v>0</v>
      </c>
      <c r="B729" s="50">
        <f>'Agents'' Final Roster 0913-0919'!B651</f>
        <v>0</v>
      </c>
      <c r="C729" s="50">
        <f>'Agents'' Final Roster 0913-0919'!C651</f>
        <v>0</v>
      </c>
      <c r="D729" s="50">
        <f>'Agents'' Final Roster 0913-0919'!D651</f>
        <v>0</v>
      </c>
      <c r="Z729" s="50">
        <f>'Agents'' Final Roster 0913-0919'!J651</f>
        <v>0</v>
      </c>
    </row>
    <row r="730" spans="1:26">
      <c r="A730" s="50">
        <f>'Agents'' Final Roster 0913-0919'!A652</f>
        <v>0</v>
      </c>
      <c r="B730" s="50">
        <f>'Agents'' Final Roster 0913-0919'!B652</f>
        <v>0</v>
      </c>
      <c r="C730" s="50">
        <f>'Agents'' Final Roster 0913-0919'!C652</f>
        <v>0</v>
      </c>
      <c r="D730" s="50">
        <f>'Agents'' Final Roster 0913-0919'!D652</f>
        <v>0</v>
      </c>
      <c r="Z730" s="50">
        <f>'Agents'' Final Roster 0913-0919'!J652</f>
        <v>0</v>
      </c>
    </row>
    <row r="731" spans="1:26">
      <c r="A731" s="50">
        <f>'Agents'' Final Roster 0913-0919'!A653</f>
        <v>0</v>
      </c>
      <c r="B731" s="50">
        <f>'Agents'' Final Roster 0913-0919'!B653</f>
        <v>0</v>
      </c>
      <c r="C731" s="50">
        <f>'Agents'' Final Roster 0913-0919'!C653</f>
        <v>0</v>
      </c>
      <c r="D731" s="50">
        <f>'Agents'' Final Roster 0913-0919'!D653</f>
        <v>0</v>
      </c>
      <c r="Z731" s="50">
        <f>'Agents'' Final Roster 0913-0919'!J653</f>
        <v>0</v>
      </c>
    </row>
    <row r="732" spans="1:26">
      <c r="A732" s="50">
        <f>'Agents'' Final Roster 0913-0919'!A654</f>
        <v>0</v>
      </c>
      <c r="B732" s="50">
        <f>'Agents'' Final Roster 0913-0919'!B654</f>
        <v>0</v>
      </c>
      <c r="C732" s="50">
        <f>'Agents'' Final Roster 0913-0919'!C654</f>
        <v>0</v>
      </c>
      <c r="D732" s="50">
        <f>'Agents'' Final Roster 0913-0919'!D654</f>
        <v>0</v>
      </c>
      <c r="Z732" s="50">
        <f>'Agents'' Final Roster 0913-0919'!J654</f>
        <v>0</v>
      </c>
    </row>
    <row r="733" spans="1:26">
      <c r="A733" s="50">
        <f>'Agents'' Final Roster 0913-0919'!A655</f>
        <v>0</v>
      </c>
      <c r="B733" s="50">
        <f>'Agents'' Final Roster 0913-0919'!B655</f>
        <v>0</v>
      </c>
      <c r="C733" s="50">
        <f>'Agents'' Final Roster 0913-0919'!C655</f>
        <v>0</v>
      </c>
      <c r="D733" s="50">
        <f>'Agents'' Final Roster 0913-0919'!D655</f>
        <v>0</v>
      </c>
      <c r="Z733" s="50">
        <f>'Agents'' Final Roster 0913-0919'!J655</f>
        <v>0</v>
      </c>
    </row>
    <row r="734" spans="1:26">
      <c r="A734" s="50">
        <f>'Agents'' Final Roster 0913-0919'!A656</f>
        <v>0</v>
      </c>
      <c r="B734" s="50">
        <f>'Agents'' Final Roster 0913-0919'!B656</f>
        <v>0</v>
      </c>
      <c r="C734" s="50">
        <f>'Agents'' Final Roster 0913-0919'!C656</f>
        <v>0</v>
      </c>
      <c r="D734" s="50">
        <f>'Agents'' Final Roster 0913-0919'!D656</f>
        <v>0</v>
      </c>
      <c r="Z734" s="50">
        <f>'Agents'' Final Roster 0913-0919'!J656</f>
        <v>0</v>
      </c>
    </row>
    <row r="735" spans="1:26">
      <c r="A735" s="50">
        <f>'Agents'' Final Roster 0913-0919'!A657</f>
        <v>0</v>
      </c>
      <c r="B735" s="50">
        <f>'Agents'' Final Roster 0913-0919'!B657</f>
        <v>0</v>
      </c>
      <c r="C735" s="50">
        <f>'Agents'' Final Roster 0913-0919'!C657</f>
        <v>0</v>
      </c>
      <c r="D735" s="50">
        <f>'Agents'' Final Roster 0913-0919'!D657</f>
        <v>0</v>
      </c>
      <c r="Z735" s="50">
        <f>'Agents'' Final Roster 0913-0919'!J657</f>
        <v>0</v>
      </c>
    </row>
    <row r="736" spans="1:26">
      <c r="A736" s="50">
        <f>'Agents'' Final Roster 0913-0919'!A658</f>
        <v>0</v>
      </c>
      <c r="B736" s="50">
        <f>'Agents'' Final Roster 0913-0919'!B658</f>
        <v>0</v>
      </c>
      <c r="C736" s="50">
        <f>'Agents'' Final Roster 0913-0919'!C658</f>
        <v>0</v>
      </c>
      <c r="D736" s="50">
        <f>'Agents'' Final Roster 0913-0919'!D658</f>
        <v>0</v>
      </c>
      <c r="Z736" s="50">
        <f>'Agents'' Final Roster 0913-0919'!J658</f>
        <v>0</v>
      </c>
    </row>
    <row r="737" spans="1:26">
      <c r="A737" s="50">
        <f>'Agents'' Final Roster 0913-0919'!A659</f>
        <v>0</v>
      </c>
      <c r="B737" s="50">
        <f>'Agents'' Final Roster 0913-0919'!B659</f>
        <v>0</v>
      </c>
      <c r="C737" s="50">
        <f>'Agents'' Final Roster 0913-0919'!C659</f>
        <v>0</v>
      </c>
      <c r="D737" s="50">
        <f>'Agents'' Final Roster 0913-0919'!D659</f>
        <v>0</v>
      </c>
      <c r="Z737" s="50">
        <f>'Agents'' Final Roster 0913-0919'!J659</f>
        <v>0</v>
      </c>
    </row>
    <row r="738" spans="1:26">
      <c r="A738" s="50">
        <f>'Agents'' Final Roster 0913-0919'!A660</f>
        <v>0</v>
      </c>
      <c r="B738" s="50">
        <f>'Agents'' Final Roster 0913-0919'!B660</f>
        <v>0</v>
      </c>
      <c r="C738" s="50">
        <f>'Agents'' Final Roster 0913-0919'!C660</f>
        <v>0</v>
      </c>
      <c r="D738" s="50">
        <f>'Agents'' Final Roster 0913-0919'!D660</f>
        <v>0</v>
      </c>
      <c r="Z738" s="50">
        <f>'Agents'' Final Roster 0913-0919'!J660</f>
        <v>0</v>
      </c>
    </row>
    <row r="739" spans="1:26">
      <c r="A739" s="50">
        <f>'Agents'' Final Roster 0913-0919'!A661</f>
        <v>0</v>
      </c>
      <c r="B739" s="50">
        <f>'Agents'' Final Roster 0913-0919'!B661</f>
        <v>0</v>
      </c>
      <c r="C739" s="50">
        <f>'Agents'' Final Roster 0913-0919'!C661</f>
        <v>0</v>
      </c>
      <c r="D739" s="50">
        <f>'Agents'' Final Roster 0913-0919'!D661</f>
        <v>0</v>
      </c>
      <c r="Z739" s="50">
        <f>'Agents'' Final Roster 0913-0919'!J661</f>
        <v>0</v>
      </c>
    </row>
    <row r="740" spans="1:26">
      <c r="A740" s="50">
        <f>'Agents'' Final Roster 0913-0919'!A662</f>
        <v>0</v>
      </c>
      <c r="B740" s="50">
        <f>'Agents'' Final Roster 0913-0919'!B662</f>
        <v>0</v>
      </c>
      <c r="C740" s="50">
        <f>'Agents'' Final Roster 0913-0919'!C662</f>
        <v>0</v>
      </c>
      <c r="D740" s="50">
        <f>'Agents'' Final Roster 0913-0919'!D662</f>
        <v>0</v>
      </c>
      <c r="Z740" s="50">
        <f>'Agents'' Final Roster 0913-0919'!J662</f>
        <v>0</v>
      </c>
    </row>
    <row r="741" spans="1:26">
      <c r="A741" s="50">
        <f>'Agents'' Final Roster 0913-0919'!A663</f>
        <v>0</v>
      </c>
      <c r="B741" s="50">
        <f>'Agents'' Final Roster 0913-0919'!B663</f>
        <v>0</v>
      </c>
      <c r="C741" s="50">
        <f>'Agents'' Final Roster 0913-0919'!C663</f>
        <v>0</v>
      </c>
      <c r="D741" s="50">
        <f>'Agents'' Final Roster 0913-0919'!D663</f>
        <v>0</v>
      </c>
      <c r="Z741" s="50">
        <f>'Agents'' Final Roster 0913-0919'!J663</f>
        <v>0</v>
      </c>
    </row>
    <row r="742" spans="1:26">
      <c r="A742" s="50">
        <f>'Agents'' Final Roster 0913-0919'!A664</f>
        <v>0</v>
      </c>
      <c r="B742" s="50">
        <f>'Agents'' Final Roster 0913-0919'!B664</f>
        <v>0</v>
      </c>
      <c r="C742" s="50">
        <f>'Agents'' Final Roster 0913-0919'!C664</f>
        <v>0</v>
      </c>
      <c r="D742" s="50">
        <f>'Agents'' Final Roster 0913-0919'!D664</f>
        <v>0</v>
      </c>
      <c r="Z742" s="50">
        <f>'Agents'' Final Roster 0913-0919'!J664</f>
        <v>0</v>
      </c>
    </row>
    <row r="743" spans="1:26">
      <c r="A743" s="50">
        <f>'Agents'' Final Roster 0913-0919'!A665</f>
        <v>0</v>
      </c>
      <c r="B743" s="50">
        <f>'Agents'' Final Roster 0913-0919'!B665</f>
        <v>0</v>
      </c>
      <c r="C743" s="50">
        <f>'Agents'' Final Roster 0913-0919'!C665</f>
        <v>0</v>
      </c>
      <c r="D743" s="50">
        <f>'Agents'' Final Roster 0913-0919'!D665</f>
        <v>0</v>
      </c>
      <c r="Z743" s="50">
        <f>'Agents'' Final Roster 0913-0919'!J665</f>
        <v>0</v>
      </c>
    </row>
    <row r="744" spans="1:26">
      <c r="A744" s="50">
        <f>'Agents'' Final Roster 0913-0919'!A666</f>
        <v>0</v>
      </c>
      <c r="B744" s="50">
        <f>'Agents'' Final Roster 0913-0919'!B666</f>
        <v>0</v>
      </c>
      <c r="C744" s="50">
        <f>'Agents'' Final Roster 0913-0919'!C666</f>
        <v>0</v>
      </c>
      <c r="D744" s="50">
        <f>'Agents'' Final Roster 0913-0919'!D666</f>
        <v>0</v>
      </c>
      <c r="Z744" s="50">
        <f>'Agents'' Final Roster 0913-0919'!J666</f>
        <v>0</v>
      </c>
    </row>
    <row r="745" spans="1:26">
      <c r="A745" s="50">
        <f>'Agents'' Final Roster 0913-0919'!A667</f>
        <v>0</v>
      </c>
      <c r="B745" s="50">
        <f>'Agents'' Final Roster 0913-0919'!B667</f>
        <v>0</v>
      </c>
      <c r="C745" s="50">
        <f>'Agents'' Final Roster 0913-0919'!C667</f>
        <v>0</v>
      </c>
      <c r="D745" s="50">
        <f>'Agents'' Final Roster 0913-0919'!D667</f>
        <v>0</v>
      </c>
      <c r="Z745" s="50">
        <f>'Agents'' Final Roster 0913-0919'!J667</f>
        <v>0</v>
      </c>
    </row>
    <row r="746" spans="1:26">
      <c r="A746" s="50">
        <f>'Agents'' Final Roster 0913-0919'!A668</f>
        <v>0</v>
      </c>
      <c r="B746" s="50">
        <f>'Agents'' Final Roster 0913-0919'!B668</f>
        <v>0</v>
      </c>
      <c r="C746" s="50">
        <f>'Agents'' Final Roster 0913-0919'!C668</f>
        <v>0</v>
      </c>
      <c r="D746" s="50">
        <f>'Agents'' Final Roster 0913-0919'!D668</f>
        <v>0</v>
      </c>
      <c r="Z746" s="50">
        <f>'Agents'' Final Roster 0913-0919'!J668</f>
        <v>0</v>
      </c>
    </row>
    <row r="747" spans="1:26">
      <c r="A747" s="50">
        <f>'Agents'' Final Roster 0913-0919'!A669</f>
        <v>0</v>
      </c>
      <c r="B747" s="50">
        <f>'Agents'' Final Roster 0913-0919'!B669</f>
        <v>0</v>
      </c>
      <c r="C747" s="50">
        <f>'Agents'' Final Roster 0913-0919'!C669</f>
        <v>0</v>
      </c>
      <c r="D747" s="50">
        <f>'Agents'' Final Roster 0913-0919'!D669</f>
        <v>0</v>
      </c>
      <c r="Z747" s="50">
        <f>'Agents'' Final Roster 0913-0919'!J669</f>
        <v>0</v>
      </c>
    </row>
    <row r="748" spans="1:26">
      <c r="A748" s="50">
        <f>'Agents'' Final Roster 0913-0919'!A670</f>
        <v>0</v>
      </c>
      <c r="B748" s="50">
        <f>'Agents'' Final Roster 0913-0919'!B670</f>
        <v>0</v>
      </c>
      <c r="C748" s="50">
        <f>'Agents'' Final Roster 0913-0919'!C670</f>
        <v>0</v>
      </c>
      <c r="D748" s="50">
        <f>'Agents'' Final Roster 0913-0919'!D670</f>
        <v>0</v>
      </c>
      <c r="Z748" s="50">
        <f>'Agents'' Final Roster 0913-0919'!J670</f>
        <v>0</v>
      </c>
    </row>
    <row r="749" spans="1:26">
      <c r="A749" s="50">
        <f>'Agents'' Final Roster 0913-0919'!A671</f>
        <v>0</v>
      </c>
      <c r="B749" s="50">
        <f>'Agents'' Final Roster 0913-0919'!B671</f>
        <v>0</v>
      </c>
      <c r="C749" s="50">
        <f>'Agents'' Final Roster 0913-0919'!C671</f>
        <v>0</v>
      </c>
      <c r="D749" s="50">
        <f>'Agents'' Final Roster 0913-0919'!D671</f>
        <v>0</v>
      </c>
      <c r="Z749" s="50">
        <f>'Agents'' Final Roster 0913-0919'!J671</f>
        <v>0</v>
      </c>
    </row>
    <row r="750" spans="1:26">
      <c r="A750" s="50">
        <f>'Agents'' Final Roster 0913-0919'!A672</f>
        <v>0</v>
      </c>
      <c r="B750" s="50">
        <f>'Agents'' Final Roster 0913-0919'!B672</f>
        <v>0</v>
      </c>
      <c r="C750" s="50">
        <f>'Agents'' Final Roster 0913-0919'!C672</f>
        <v>0</v>
      </c>
      <c r="D750" s="50">
        <f>'Agents'' Final Roster 0913-0919'!D672</f>
        <v>0</v>
      </c>
      <c r="Z750" s="50">
        <f>'Agents'' Final Roster 0913-0919'!J672</f>
        <v>0</v>
      </c>
    </row>
    <row r="751" spans="1:26">
      <c r="A751" s="50">
        <f>'Agents'' Final Roster 0913-0919'!A673</f>
        <v>0</v>
      </c>
      <c r="B751" s="50">
        <f>'Agents'' Final Roster 0913-0919'!B673</f>
        <v>0</v>
      </c>
      <c r="C751" s="50">
        <f>'Agents'' Final Roster 0913-0919'!C673</f>
        <v>0</v>
      </c>
      <c r="D751" s="50">
        <f>'Agents'' Final Roster 0913-0919'!D673</f>
        <v>0</v>
      </c>
      <c r="Z751" s="50">
        <f>'Agents'' Final Roster 0913-0919'!J673</f>
        <v>0</v>
      </c>
    </row>
    <row r="752" spans="1:26">
      <c r="A752" s="50">
        <f>'Agents'' Final Roster 0913-0919'!A674</f>
        <v>0</v>
      </c>
      <c r="B752" s="50">
        <f>'Agents'' Final Roster 0913-0919'!B674</f>
        <v>0</v>
      </c>
      <c r="C752" s="50">
        <f>'Agents'' Final Roster 0913-0919'!C674</f>
        <v>0</v>
      </c>
      <c r="D752" s="50">
        <f>'Agents'' Final Roster 0913-0919'!D674</f>
        <v>0</v>
      </c>
      <c r="Z752" s="50">
        <f>'Agents'' Final Roster 0913-0919'!J674</f>
        <v>0</v>
      </c>
    </row>
    <row r="753" spans="1:26">
      <c r="A753" s="50">
        <f>'Agents'' Final Roster 0913-0919'!A675</f>
        <v>0</v>
      </c>
      <c r="B753" s="50">
        <f>'Agents'' Final Roster 0913-0919'!B675</f>
        <v>0</v>
      </c>
      <c r="C753" s="50">
        <f>'Agents'' Final Roster 0913-0919'!C675</f>
        <v>0</v>
      </c>
      <c r="D753" s="50">
        <f>'Agents'' Final Roster 0913-0919'!D675</f>
        <v>0</v>
      </c>
      <c r="Z753" s="50">
        <f>'Agents'' Final Roster 0913-0919'!J675</f>
        <v>0</v>
      </c>
    </row>
    <row r="754" spans="1:26">
      <c r="A754" s="50">
        <f>'Agents'' Final Roster 0913-0919'!A676</f>
        <v>0</v>
      </c>
      <c r="B754" s="50">
        <f>'Agents'' Final Roster 0913-0919'!B676</f>
        <v>0</v>
      </c>
      <c r="C754" s="50">
        <f>'Agents'' Final Roster 0913-0919'!C676</f>
        <v>0</v>
      </c>
      <c r="D754" s="50">
        <f>'Agents'' Final Roster 0913-0919'!D676</f>
        <v>0</v>
      </c>
      <c r="Z754" s="50">
        <f>'Agents'' Final Roster 0913-0919'!J676</f>
        <v>0</v>
      </c>
    </row>
    <row r="755" spans="1:26">
      <c r="A755" s="50">
        <f>'Agents'' Final Roster 0913-0919'!A677</f>
        <v>0</v>
      </c>
      <c r="B755" s="50">
        <f>'Agents'' Final Roster 0913-0919'!B677</f>
        <v>0</v>
      </c>
      <c r="C755" s="50">
        <f>'Agents'' Final Roster 0913-0919'!C677</f>
        <v>0</v>
      </c>
      <c r="D755" s="50">
        <f>'Agents'' Final Roster 0913-0919'!D677</f>
        <v>0</v>
      </c>
      <c r="Z755" s="50">
        <f>'Agents'' Final Roster 0913-0919'!J677</f>
        <v>0</v>
      </c>
    </row>
    <row r="756" spans="1:26">
      <c r="A756" s="50">
        <f>'Agents'' Final Roster 0913-0919'!A678</f>
        <v>0</v>
      </c>
      <c r="B756" s="50">
        <f>'Agents'' Final Roster 0913-0919'!B678</f>
        <v>0</v>
      </c>
      <c r="C756" s="50">
        <f>'Agents'' Final Roster 0913-0919'!C678</f>
        <v>0</v>
      </c>
      <c r="D756" s="50">
        <f>'Agents'' Final Roster 0913-0919'!D678</f>
        <v>0</v>
      </c>
      <c r="Z756" s="50">
        <f>'Agents'' Final Roster 0913-0919'!J678</f>
        <v>0</v>
      </c>
    </row>
    <row r="757" spans="1:26">
      <c r="A757" s="50">
        <f>'Agents'' Final Roster 0913-0919'!A679</f>
        <v>0</v>
      </c>
      <c r="B757" s="50">
        <f>'Agents'' Final Roster 0913-0919'!B679</f>
        <v>0</v>
      </c>
      <c r="C757" s="50">
        <f>'Agents'' Final Roster 0913-0919'!C679</f>
        <v>0</v>
      </c>
      <c r="D757" s="50">
        <f>'Agents'' Final Roster 0913-0919'!D679</f>
        <v>0</v>
      </c>
      <c r="Z757" s="50">
        <f>'Agents'' Final Roster 0913-0919'!J679</f>
        <v>0</v>
      </c>
    </row>
    <row r="758" spans="1:26">
      <c r="A758" s="50">
        <f>'Agents'' Final Roster 0913-0919'!A680</f>
        <v>0</v>
      </c>
      <c r="B758" s="50">
        <f>'Agents'' Final Roster 0913-0919'!B680</f>
        <v>0</v>
      </c>
      <c r="C758" s="50">
        <f>'Agents'' Final Roster 0913-0919'!C680</f>
        <v>0</v>
      </c>
      <c r="D758" s="50">
        <f>'Agents'' Final Roster 0913-0919'!D680</f>
        <v>0</v>
      </c>
      <c r="Z758" s="50">
        <f>'Agents'' Final Roster 0913-0919'!J680</f>
        <v>0</v>
      </c>
    </row>
    <row r="759" spans="1:26">
      <c r="A759" s="50">
        <f>'Agents'' Final Roster 0913-0919'!A681</f>
        <v>0</v>
      </c>
      <c r="B759" s="50">
        <f>'Agents'' Final Roster 0913-0919'!B681</f>
        <v>0</v>
      </c>
      <c r="C759" s="50">
        <f>'Agents'' Final Roster 0913-0919'!C681</f>
        <v>0</v>
      </c>
      <c r="D759" s="50">
        <f>'Agents'' Final Roster 0913-0919'!D681</f>
        <v>0</v>
      </c>
      <c r="Z759" s="50">
        <f>'Agents'' Final Roster 0913-0919'!J681</f>
        <v>0</v>
      </c>
    </row>
    <row r="760" spans="1:26">
      <c r="A760" s="50">
        <f>'Agents'' Final Roster 0913-0919'!A682</f>
        <v>0</v>
      </c>
      <c r="B760" s="50">
        <f>'Agents'' Final Roster 0913-0919'!B682</f>
        <v>0</v>
      </c>
      <c r="C760" s="50">
        <f>'Agents'' Final Roster 0913-0919'!C682</f>
        <v>0</v>
      </c>
      <c r="D760" s="50">
        <f>'Agents'' Final Roster 0913-0919'!D682</f>
        <v>0</v>
      </c>
      <c r="Z760" s="50">
        <f>'Agents'' Final Roster 0913-0919'!J682</f>
        <v>0</v>
      </c>
    </row>
    <row r="761" spans="1:26">
      <c r="A761" s="50">
        <f>'Agents'' Final Roster 0913-0919'!A683</f>
        <v>0</v>
      </c>
      <c r="B761" s="50">
        <f>'Agents'' Final Roster 0913-0919'!B683</f>
        <v>0</v>
      </c>
      <c r="C761" s="50">
        <f>'Agents'' Final Roster 0913-0919'!C683</f>
        <v>0</v>
      </c>
      <c r="D761" s="50">
        <f>'Agents'' Final Roster 0913-0919'!D683</f>
        <v>0</v>
      </c>
      <c r="Z761" s="50">
        <f>'Agents'' Final Roster 0913-0919'!J683</f>
        <v>0</v>
      </c>
    </row>
    <row r="762" spans="1:26">
      <c r="A762" s="50">
        <f>'Agents'' Final Roster 0913-0919'!A684</f>
        <v>0</v>
      </c>
      <c r="B762" s="50">
        <f>'Agents'' Final Roster 0913-0919'!B684</f>
        <v>0</v>
      </c>
      <c r="C762" s="50">
        <f>'Agents'' Final Roster 0913-0919'!C684</f>
        <v>0</v>
      </c>
      <c r="D762" s="50">
        <f>'Agents'' Final Roster 0913-0919'!D684</f>
        <v>0</v>
      </c>
      <c r="Z762" s="50">
        <f>'Agents'' Final Roster 0913-0919'!J684</f>
        <v>0</v>
      </c>
    </row>
    <row r="763" spans="1:26">
      <c r="A763" s="50">
        <f>'Agents'' Final Roster 0913-0919'!A685</f>
        <v>0</v>
      </c>
      <c r="B763" s="50">
        <f>'Agents'' Final Roster 0913-0919'!B685</f>
        <v>0</v>
      </c>
      <c r="C763" s="50">
        <f>'Agents'' Final Roster 0913-0919'!C685</f>
        <v>0</v>
      </c>
      <c r="D763" s="50">
        <f>'Agents'' Final Roster 0913-0919'!D685</f>
        <v>0</v>
      </c>
      <c r="Z763" s="50">
        <f>'Agents'' Final Roster 0913-0919'!J685</f>
        <v>0</v>
      </c>
    </row>
    <row r="764" spans="1:26">
      <c r="A764" s="50">
        <f>'Agents'' Final Roster 0913-0919'!A686</f>
        <v>0</v>
      </c>
      <c r="B764" s="50">
        <f>'Agents'' Final Roster 0913-0919'!B686</f>
        <v>0</v>
      </c>
      <c r="C764" s="50">
        <f>'Agents'' Final Roster 0913-0919'!C686</f>
        <v>0</v>
      </c>
      <c r="D764" s="50">
        <f>'Agents'' Final Roster 0913-0919'!D686</f>
        <v>0</v>
      </c>
      <c r="Z764" s="50">
        <f>'Agents'' Final Roster 0913-0919'!J686</f>
        <v>0</v>
      </c>
    </row>
    <row r="765" spans="1:26">
      <c r="A765" s="50">
        <f>'Agents'' Final Roster 0913-0919'!A687</f>
        <v>0</v>
      </c>
      <c r="B765" s="50">
        <f>'Agents'' Final Roster 0913-0919'!B687</f>
        <v>0</v>
      </c>
      <c r="C765" s="50">
        <f>'Agents'' Final Roster 0913-0919'!C687</f>
        <v>0</v>
      </c>
      <c r="D765" s="50">
        <f>'Agents'' Final Roster 0913-0919'!D687</f>
        <v>0</v>
      </c>
      <c r="Z765" s="50">
        <f>'Agents'' Final Roster 0913-0919'!J687</f>
        <v>0</v>
      </c>
    </row>
    <row r="766" spans="1:26">
      <c r="A766" s="50">
        <f>'Agents'' Final Roster 0913-0919'!A688</f>
        <v>0</v>
      </c>
      <c r="B766" s="50">
        <f>'Agents'' Final Roster 0913-0919'!B688</f>
        <v>0</v>
      </c>
      <c r="C766" s="50">
        <f>'Agents'' Final Roster 0913-0919'!C688</f>
        <v>0</v>
      </c>
      <c r="D766" s="50">
        <f>'Agents'' Final Roster 0913-0919'!D688</f>
        <v>0</v>
      </c>
      <c r="Z766" s="50">
        <f>'Agents'' Final Roster 0913-0919'!J688</f>
        <v>0</v>
      </c>
    </row>
    <row r="767" spans="1:26">
      <c r="A767" s="50">
        <f>'Agents'' Final Roster 0913-0919'!A689</f>
        <v>0</v>
      </c>
      <c r="B767" s="50">
        <f>'Agents'' Final Roster 0913-0919'!B689</f>
        <v>0</v>
      </c>
      <c r="C767" s="50">
        <f>'Agents'' Final Roster 0913-0919'!C689</f>
        <v>0</v>
      </c>
      <c r="D767" s="50">
        <f>'Agents'' Final Roster 0913-0919'!D689</f>
        <v>0</v>
      </c>
      <c r="Z767" s="50">
        <f>'Agents'' Final Roster 0913-0919'!J689</f>
        <v>0</v>
      </c>
    </row>
    <row r="768" spans="1:26">
      <c r="A768" s="50">
        <f>'Agents'' Final Roster 0913-0919'!A690</f>
        <v>0</v>
      </c>
      <c r="B768" s="50">
        <f>'Agents'' Final Roster 0913-0919'!B690</f>
        <v>0</v>
      </c>
      <c r="C768" s="50">
        <f>'Agents'' Final Roster 0913-0919'!C690</f>
        <v>0</v>
      </c>
      <c r="D768" s="50">
        <f>'Agents'' Final Roster 0913-0919'!D690</f>
        <v>0</v>
      </c>
      <c r="Z768" s="50">
        <f>'Agents'' Final Roster 0913-0919'!J690</f>
        <v>0</v>
      </c>
    </row>
    <row r="769" spans="1:26">
      <c r="A769" s="50">
        <f>'Agents'' Final Roster 0913-0919'!A691</f>
        <v>0</v>
      </c>
      <c r="B769" s="50">
        <f>'Agents'' Final Roster 0913-0919'!B691</f>
        <v>0</v>
      </c>
      <c r="C769" s="50">
        <f>'Agents'' Final Roster 0913-0919'!C691</f>
        <v>0</v>
      </c>
      <c r="D769" s="50">
        <f>'Agents'' Final Roster 0913-0919'!D691</f>
        <v>0</v>
      </c>
      <c r="Z769" s="50">
        <f>'Agents'' Final Roster 0913-0919'!J691</f>
        <v>0</v>
      </c>
    </row>
    <row r="770" spans="1:26">
      <c r="A770" s="50">
        <f>'Agents'' Final Roster 0913-0919'!A692</f>
        <v>0</v>
      </c>
      <c r="B770" s="50">
        <f>'Agents'' Final Roster 0913-0919'!B692</f>
        <v>0</v>
      </c>
      <c r="C770" s="50">
        <f>'Agents'' Final Roster 0913-0919'!C692</f>
        <v>0</v>
      </c>
      <c r="D770" s="50">
        <f>'Agents'' Final Roster 0913-0919'!D692</f>
        <v>0</v>
      </c>
      <c r="Z770" s="50">
        <f>'Agents'' Final Roster 0913-0919'!J692</f>
        <v>0</v>
      </c>
    </row>
    <row r="771" spans="1:26">
      <c r="A771" s="50">
        <f>'Agents'' Final Roster 0913-0919'!A693</f>
        <v>0</v>
      </c>
      <c r="B771" s="50">
        <f>'Agents'' Final Roster 0913-0919'!B693</f>
        <v>0</v>
      </c>
      <c r="C771" s="50">
        <f>'Agents'' Final Roster 0913-0919'!C693</f>
        <v>0</v>
      </c>
      <c r="D771" s="50">
        <f>'Agents'' Final Roster 0913-0919'!D693</f>
        <v>0</v>
      </c>
      <c r="Z771" s="50">
        <f>'Agents'' Final Roster 0913-0919'!J693</f>
        <v>0</v>
      </c>
    </row>
    <row r="772" spans="1:26">
      <c r="A772" s="50">
        <f>'Agents'' Final Roster 0913-0919'!A694</f>
        <v>0</v>
      </c>
      <c r="B772" s="50">
        <f>'Agents'' Final Roster 0913-0919'!B694</f>
        <v>0</v>
      </c>
      <c r="C772" s="50">
        <f>'Agents'' Final Roster 0913-0919'!C694</f>
        <v>0</v>
      </c>
      <c r="D772" s="50">
        <f>'Agents'' Final Roster 0913-0919'!D694</f>
        <v>0</v>
      </c>
      <c r="Z772" s="50">
        <f>'Agents'' Final Roster 0913-0919'!J694</f>
        <v>0</v>
      </c>
    </row>
    <row r="773" spans="1:26">
      <c r="A773" s="50">
        <f>'Agents'' Final Roster 0913-0919'!A695</f>
        <v>0</v>
      </c>
      <c r="B773" s="50">
        <f>'Agents'' Final Roster 0913-0919'!B695</f>
        <v>0</v>
      </c>
      <c r="C773" s="50">
        <f>'Agents'' Final Roster 0913-0919'!C695</f>
        <v>0</v>
      </c>
      <c r="D773" s="50">
        <f>'Agents'' Final Roster 0913-0919'!D695</f>
        <v>0</v>
      </c>
      <c r="Z773" s="50">
        <f>'Agents'' Final Roster 0913-0919'!J695</f>
        <v>0</v>
      </c>
    </row>
    <row r="774" spans="1:26">
      <c r="A774" s="50">
        <f>'Agents'' Final Roster 0913-0919'!A696</f>
        <v>0</v>
      </c>
      <c r="B774" s="50">
        <f>'Agents'' Final Roster 0913-0919'!B696</f>
        <v>0</v>
      </c>
      <c r="C774" s="50">
        <f>'Agents'' Final Roster 0913-0919'!C696</f>
        <v>0</v>
      </c>
      <c r="D774" s="50">
        <f>'Agents'' Final Roster 0913-0919'!D696</f>
        <v>0</v>
      </c>
      <c r="Z774" s="50">
        <f>'Agents'' Final Roster 0913-0919'!J696</f>
        <v>0</v>
      </c>
    </row>
    <row r="775" spans="1:26">
      <c r="A775" s="50">
        <f>'Agents'' Final Roster 0913-0919'!A697</f>
        <v>0</v>
      </c>
      <c r="B775" s="50">
        <f>'Agents'' Final Roster 0913-0919'!B697</f>
        <v>0</v>
      </c>
      <c r="C775" s="50">
        <f>'Agents'' Final Roster 0913-0919'!C697</f>
        <v>0</v>
      </c>
      <c r="D775" s="50">
        <f>'Agents'' Final Roster 0913-0919'!D697</f>
        <v>0</v>
      </c>
      <c r="Z775" s="50">
        <f>'Agents'' Final Roster 0913-0919'!J697</f>
        <v>0</v>
      </c>
    </row>
    <row r="776" spans="1:26">
      <c r="A776" s="50">
        <f>'Agents'' Final Roster 0913-0919'!A698</f>
        <v>0</v>
      </c>
      <c r="B776" s="50">
        <f>'Agents'' Final Roster 0913-0919'!B698</f>
        <v>0</v>
      </c>
      <c r="C776" s="50">
        <f>'Agents'' Final Roster 0913-0919'!C698</f>
        <v>0</v>
      </c>
      <c r="D776" s="50">
        <f>'Agents'' Final Roster 0913-0919'!D698</f>
        <v>0</v>
      </c>
      <c r="Z776" s="50">
        <f>'Agents'' Final Roster 0913-0919'!J698</f>
        <v>0</v>
      </c>
    </row>
    <row r="777" spans="1:26">
      <c r="A777" s="50">
        <f>'Agents'' Final Roster 0913-0919'!A699</f>
        <v>0</v>
      </c>
      <c r="B777" s="50">
        <f>'Agents'' Final Roster 0913-0919'!B699</f>
        <v>0</v>
      </c>
      <c r="C777" s="50">
        <f>'Agents'' Final Roster 0913-0919'!C699</f>
        <v>0</v>
      </c>
      <c r="D777" s="50">
        <f>'Agents'' Final Roster 0913-0919'!D699</f>
        <v>0</v>
      </c>
      <c r="Z777" s="50">
        <f>'Agents'' Final Roster 0913-0919'!J699</f>
        <v>0</v>
      </c>
    </row>
    <row r="778" spans="1:26">
      <c r="A778" s="50">
        <f>'Agents'' Final Roster 0913-0919'!A700</f>
        <v>0</v>
      </c>
      <c r="B778" s="50">
        <f>'Agents'' Final Roster 0913-0919'!B700</f>
        <v>0</v>
      </c>
      <c r="C778" s="50">
        <f>'Agents'' Final Roster 0913-0919'!C700</f>
        <v>0</v>
      </c>
      <c r="D778" s="50">
        <f>'Agents'' Final Roster 0913-0919'!D700</f>
        <v>0</v>
      </c>
      <c r="Z778" s="50">
        <f>'Agents'' Final Roster 0913-0919'!J700</f>
        <v>0</v>
      </c>
    </row>
    <row r="779" spans="1:26">
      <c r="A779" s="50">
        <f>'Agents'' Final Roster 0913-0919'!A701</f>
        <v>0</v>
      </c>
      <c r="B779" s="50">
        <f>'Agents'' Final Roster 0913-0919'!B701</f>
        <v>0</v>
      </c>
      <c r="C779" s="50">
        <f>'Agents'' Final Roster 0913-0919'!C701</f>
        <v>0</v>
      </c>
      <c r="D779" s="50">
        <f>'Agents'' Final Roster 0913-0919'!D701</f>
        <v>0</v>
      </c>
      <c r="Z779" s="50">
        <f>'Agents'' Final Roster 0913-0919'!J701</f>
        <v>0</v>
      </c>
    </row>
    <row r="780" spans="1:26">
      <c r="A780" s="50">
        <f>'Agents'' Final Roster 0913-0919'!A702</f>
        <v>0</v>
      </c>
      <c r="B780" s="50">
        <f>'Agents'' Final Roster 0913-0919'!B702</f>
        <v>0</v>
      </c>
      <c r="C780" s="50">
        <f>'Agents'' Final Roster 0913-0919'!C702</f>
        <v>0</v>
      </c>
      <c r="D780" s="50">
        <f>'Agents'' Final Roster 0913-0919'!D702</f>
        <v>0</v>
      </c>
      <c r="Z780" s="50">
        <f>'Agents'' Final Roster 0913-0919'!J702</f>
        <v>0</v>
      </c>
    </row>
    <row r="781" spans="1:26">
      <c r="A781" s="50">
        <f>'Agents'' Final Roster 0913-0919'!A703</f>
        <v>0</v>
      </c>
      <c r="B781" s="50">
        <f>'Agents'' Final Roster 0913-0919'!B703</f>
        <v>0</v>
      </c>
      <c r="C781" s="50">
        <f>'Agents'' Final Roster 0913-0919'!C703</f>
        <v>0</v>
      </c>
      <c r="D781" s="50">
        <f>'Agents'' Final Roster 0913-0919'!D703</f>
        <v>0</v>
      </c>
      <c r="Z781" s="50">
        <f>'Agents'' Final Roster 0913-0919'!J703</f>
        <v>0</v>
      </c>
    </row>
    <row r="782" spans="1:26">
      <c r="A782" s="50">
        <f>'Agents'' Final Roster 0913-0919'!A704</f>
        <v>0</v>
      </c>
      <c r="B782" s="50">
        <f>'Agents'' Final Roster 0913-0919'!B704</f>
        <v>0</v>
      </c>
      <c r="C782" s="50">
        <f>'Agents'' Final Roster 0913-0919'!C704</f>
        <v>0</v>
      </c>
      <c r="D782" s="50">
        <f>'Agents'' Final Roster 0913-0919'!D704</f>
        <v>0</v>
      </c>
      <c r="Z782" s="50">
        <f>'Agents'' Final Roster 0913-0919'!J704</f>
        <v>0</v>
      </c>
    </row>
    <row r="783" spans="1:26">
      <c r="A783" s="50">
        <f>'Agents'' Final Roster 0913-0919'!A705</f>
        <v>0</v>
      </c>
      <c r="B783" s="50">
        <f>'Agents'' Final Roster 0913-0919'!B705</f>
        <v>0</v>
      </c>
      <c r="C783" s="50">
        <f>'Agents'' Final Roster 0913-0919'!C705</f>
        <v>0</v>
      </c>
      <c r="D783" s="50">
        <f>'Agents'' Final Roster 0913-0919'!D705</f>
        <v>0</v>
      </c>
      <c r="Z783" s="50">
        <f>'Agents'' Final Roster 0913-0919'!J705</f>
        <v>0</v>
      </c>
    </row>
    <row r="784" spans="1:26">
      <c r="A784" s="50">
        <f>'Agents'' Final Roster 0913-0919'!A706</f>
        <v>0</v>
      </c>
      <c r="B784" s="50">
        <f>'Agents'' Final Roster 0913-0919'!B706</f>
        <v>0</v>
      </c>
      <c r="C784" s="50">
        <f>'Agents'' Final Roster 0913-0919'!C706</f>
        <v>0</v>
      </c>
      <c r="D784" s="50">
        <f>'Agents'' Final Roster 0913-0919'!D706</f>
        <v>0</v>
      </c>
      <c r="Z784" s="50">
        <f>'Agents'' Final Roster 0913-0919'!J706</f>
        <v>0</v>
      </c>
    </row>
    <row r="785" spans="26:26">
      <c r="Z785" s="50">
        <f>'Agents'' Final Roster 0913-0919'!J707</f>
        <v>0</v>
      </c>
    </row>
    <row r="786" spans="26:26">
      <c r="Z786" s="50">
        <f>'Agents'' Final Roster 0913-0919'!J708</f>
        <v>0</v>
      </c>
    </row>
    <row r="787" spans="26:26">
      <c r="Z787" s="50">
        <f>'Agents'' Final Roster 0913-0919'!J709</f>
        <v>0</v>
      </c>
    </row>
    <row r="788" spans="26:26">
      <c r="Z788" s="50">
        <f>'Agents'' Final Roster 0913-0919'!J710</f>
        <v>0</v>
      </c>
    </row>
    <row r="789" spans="26:26">
      <c r="Z789" s="50">
        <f>'Agents'' Final Roster 0913-0919'!J711</f>
        <v>0</v>
      </c>
    </row>
    <row r="790" spans="26:26">
      <c r="Z790" s="50">
        <f>'Agents'' Final Roster 0913-0919'!J712</f>
        <v>0</v>
      </c>
    </row>
    <row r="791" spans="26:26">
      <c r="Z791" s="50">
        <f>'Agents'' Final Roster 0913-0919'!J713</f>
        <v>0</v>
      </c>
    </row>
    <row r="792" spans="26:26">
      <c r="Z792" s="50">
        <f>'Agents'' Final Roster 0913-0919'!J714</f>
        <v>0</v>
      </c>
    </row>
    <row r="793" spans="26:26">
      <c r="Z793" s="50">
        <f>'Agents'' Final Roster 0913-0919'!J715</f>
        <v>0</v>
      </c>
    </row>
    <row r="794" spans="26:26">
      <c r="Z794" s="50">
        <f>'Agents'' Final Roster 0913-0919'!J716</f>
        <v>0</v>
      </c>
    </row>
    <row r="795" spans="26:26">
      <c r="Z795" s="50">
        <f>'Agents'' Final Roster 0913-0919'!J717</f>
        <v>0</v>
      </c>
    </row>
    <row r="796" spans="26:26">
      <c r="Z796" s="50">
        <f>'Agents'' Final Roster 0913-0919'!J718</f>
        <v>0</v>
      </c>
    </row>
    <row r="797" spans="26:26">
      <c r="Z797" s="50">
        <f>'Agents'' Final Roster 0913-0919'!J719</f>
        <v>0</v>
      </c>
    </row>
    <row r="798" spans="26:26">
      <c r="Z798" s="50">
        <f>'Agents'' Final Roster 0913-0919'!J720</f>
        <v>0</v>
      </c>
    </row>
    <row r="799" spans="26:26">
      <c r="Z799" s="50">
        <f>'Agents'' Final Roster 0913-0919'!J721</f>
        <v>0</v>
      </c>
    </row>
    <row r="800" spans="26:26">
      <c r="Z800" s="50">
        <f>'Agents'' Final Roster 0913-0919'!J722</f>
        <v>0</v>
      </c>
    </row>
    <row r="801" spans="26:26">
      <c r="Z801" s="50">
        <f>'Agents'' Final Roster 0913-0919'!J723</f>
        <v>0</v>
      </c>
    </row>
    <row r="802" spans="26:26">
      <c r="Z802" s="50">
        <f>'Agents'' Final Roster 0913-0919'!J724</f>
        <v>0</v>
      </c>
    </row>
    <row r="803" spans="26:26">
      <c r="Z803" s="50">
        <f>'Agents'' Final Roster 0913-0919'!J725</f>
        <v>0</v>
      </c>
    </row>
    <row r="804" spans="26:26">
      <c r="Z804" s="50">
        <f>'Agents'' Final Roster 0913-0919'!J726</f>
        <v>0</v>
      </c>
    </row>
    <row r="805" spans="26:26">
      <c r="Z805" s="50">
        <f>'Agents'' Final Roster 0913-0919'!J727</f>
        <v>0</v>
      </c>
    </row>
    <row r="806" spans="26:26">
      <c r="Z806" s="50">
        <f>'Agents'' Final Roster 0913-0919'!J728</f>
        <v>0</v>
      </c>
    </row>
    <row r="807" spans="26:26">
      <c r="Z807" s="50">
        <f>'Agents'' Final Roster 0913-0919'!J729</f>
        <v>0</v>
      </c>
    </row>
    <row r="808" spans="26:26">
      <c r="Z808" s="50">
        <f>'Agents'' Final Roster 0913-0919'!J730</f>
        <v>0</v>
      </c>
    </row>
    <row r="809" spans="26:26">
      <c r="Z809" s="50">
        <f>'Agents'' Final Roster 0913-0919'!J731</f>
        <v>0</v>
      </c>
    </row>
    <row r="810" spans="26:26">
      <c r="Z810" s="50">
        <f>'Agents'' Final Roster 0913-0919'!J732</f>
        <v>0</v>
      </c>
    </row>
    <row r="811" spans="26:26">
      <c r="Z811" s="50">
        <f>'Agents'' Final Roster 0913-0919'!J733</f>
        <v>0</v>
      </c>
    </row>
    <row r="812" spans="26:26">
      <c r="Z812" s="50">
        <f>'Agents'' Final Roster 0913-0919'!J734</f>
        <v>0</v>
      </c>
    </row>
    <row r="813" spans="26:26">
      <c r="Z813" s="50">
        <f>'Agents'' Final Roster 0913-0919'!J735</f>
        <v>0</v>
      </c>
    </row>
    <row r="814" spans="26:26">
      <c r="Z814" s="50">
        <f>'Agents'' Final Roster 0913-0919'!J736</f>
        <v>0</v>
      </c>
    </row>
    <row r="815" spans="26:26">
      <c r="Z815" s="50">
        <f>'Agents'' Final Roster 0913-0919'!J737</f>
        <v>0</v>
      </c>
    </row>
    <row r="816" spans="26:26">
      <c r="Z816" s="50">
        <f>'Agents'' Final Roster 0913-0919'!J738</f>
        <v>0</v>
      </c>
    </row>
    <row r="817" spans="26:26">
      <c r="Z817" s="50">
        <f>'Agents'' Final Roster 0913-0919'!J739</f>
        <v>0</v>
      </c>
    </row>
    <row r="818" spans="26:26">
      <c r="Z818" s="50">
        <f>'Agents'' Final Roster 0913-0919'!J740</f>
        <v>0</v>
      </c>
    </row>
    <row r="819" spans="26:26">
      <c r="Z819" s="50">
        <f>'Agents'' Final Roster 0913-0919'!J741</f>
        <v>0</v>
      </c>
    </row>
    <row r="820" spans="26:26">
      <c r="Z820" s="50">
        <f>'Agents'' Final Roster 0913-0919'!J742</f>
        <v>0</v>
      </c>
    </row>
    <row r="821" spans="26:26">
      <c r="Z821" s="50">
        <f>'Agents'' Final Roster 0913-0919'!J743</f>
        <v>0</v>
      </c>
    </row>
    <row r="822" spans="26:26">
      <c r="Z822" s="50">
        <f>'Agents'' Final Roster 0913-0919'!J744</f>
        <v>0</v>
      </c>
    </row>
    <row r="823" spans="26:26">
      <c r="Z823" s="50">
        <f>'Agents'' Final Roster 0913-0919'!J745</f>
        <v>0</v>
      </c>
    </row>
    <row r="824" spans="26:26">
      <c r="Z824" s="50">
        <f>'Agents'' Final Roster 0913-0919'!J746</f>
        <v>0</v>
      </c>
    </row>
    <row r="825" spans="26:26">
      <c r="Z825" s="50">
        <f>'Agents'' Final Roster 0913-0919'!J747</f>
        <v>0</v>
      </c>
    </row>
    <row r="826" spans="26:26">
      <c r="Z826" s="50">
        <f>'Agents'' Final Roster 0913-0919'!J748</f>
        <v>0</v>
      </c>
    </row>
    <row r="827" spans="26:26">
      <c r="Z827" s="50">
        <f>'Agents'' Final Roster 0913-0919'!J749</f>
        <v>0</v>
      </c>
    </row>
    <row r="828" spans="26:26">
      <c r="Z828" s="50">
        <f>'Agents'' Final Roster 0913-0919'!J750</f>
        <v>0</v>
      </c>
    </row>
    <row r="829" spans="26:26">
      <c r="Z829" s="50">
        <f>'Agents'' Final Roster 0913-0919'!J751</f>
        <v>0</v>
      </c>
    </row>
    <row r="830" spans="26:26">
      <c r="Z830" s="50">
        <f>'Agents'' Final Roster 0913-0919'!J752</f>
        <v>0</v>
      </c>
    </row>
    <row r="831" spans="26:26">
      <c r="Z831" s="50">
        <f>'Agents'' Final Roster 0913-0919'!J753</f>
        <v>0</v>
      </c>
    </row>
    <row r="832" spans="26:26">
      <c r="Z832" s="50">
        <f>'Agents'' Final Roster 0913-0919'!J754</f>
        <v>0</v>
      </c>
    </row>
    <row r="833" spans="26:26">
      <c r="Z833" s="50">
        <f>'Agents'' Final Roster 0913-0919'!J755</f>
        <v>0</v>
      </c>
    </row>
    <row r="834" spans="26:26">
      <c r="Z834" s="50">
        <f>'Agents'' Final Roster 0913-0919'!J756</f>
        <v>0</v>
      </c>
    </row>
    <row r="835" spans="26:26">
      <c r="Z835" s="50">
        <f>'Agents'' Final Roster 0913-0919'!J757</f>
        <v>0</v>
      </c>
    </row>
    <row r="836" spans="26:26">
      <c r="Z836" s="50">
        <f>'Agents'' Final Roster 0913-0919'!J758</f>
        <v>0</v>
      </c>
    </row>
    <row r="837" spans="26:26">
      <c r="Z837" s="50">
        <f>'Agents'' Final Roster 0913-0919'!J759</f>
        <v>0</v>
      </c>
    </row>
    <row r="838" spans="26:26">
      <c r="Z838" s="50">
        <f>'Agents'' Final Roster 0913-0919'!J760</f>
        <v>0</v>
      </c>
    </row>
    <row r="839" spans="26:26">
      <c r="Z839" s="50">
        <f>'Agents'' Final Roster 0913-0919'!J761</f>
        <v>0</v>
      </c>
    </row>
    <row r="840" spans="26:26">
      <c r="Z840" s="50">
        <f>'Agents'' Final Roster 0913-0919'!J762</f>
        <v>0</v>
      </c>
    </row>
    <row r="841" spans="26:26">
      <c r="Z841" s="50">
        <f>'Agents'' Final Roster 0913-0919'!J763</f>
        <v>0</v>
      </c>
    </row>
    <row r="842" spans="26:26">
      <c r="Z842" s="50">
        <f>'Agents'' Final Roster 0913-0919'!J764</f>
        <v>0</v>
      </c>
    </row>
    <row r="843" spans="26:26">
      <c r="Z843" s="50">
        <f>'Agents'' Final Roster 0913-0919'!J765</f>
        <v>0</v>
      </c>
    </row>
    <row r="844" spans="26:26">
      <c r="Z844" s="50">
        <f>'Agents'' Final Roster 0913-0919'!J766</f>
        <v>0</v>
      </c>
    </row>
    <row r="845" spans="26:26">
      <c r="Z845" s="50">
        <f>'Agents'' Final Roster 0913-0919'!J767</f>
        <v>0</v>
      </c>
    </row>
    <row r="846" spans="26:26">
      <c r="Z846" s="50">
        <f>'Agents'' Final Roster 0913-0919'!J768</f>
        <v>0</v>
      </c>
    </row>
    <row r="847" spans="26:26">
      <c r="Z847" s="50">
        <f>'Agents'' Final Roster 0913-0919'!J769</f>
        <v>0</v>
      </c>
    </row>
    <row r="848" spans="26:26">
      <c r="Z848" s="50">
        <f>'Agents'' Final Roster 0913-0919'!J770</f>
        <v>0</v>
      </c>
    </row>
    <row r="849" spans="26:26">
      <c r="Z849" s="50">
        <f>'Agents'' Final Roster 0913-0919'!J771</f>
        <v>0</v>
      </c>
    </row>
    <row r="850" spans="26:26">
      <c r="Z850" s="50">
        <f>'Agents'' Final Roster 0913-0919'!J772</f>
        <v>0</v>
      </c>
    </row>
    <row r="851" spans="26:26">
      <c r="Z851" s="50">
        <f>'Agents'' Final Roster 0913-0919'!J773</f>
        <v>0</v>
      </c>
    </row>
    <row r="852" spans="26:26">
      <c r="Z852" s="50">
        <f>'Agents'' Final Roster 0913-0919'!J774</f>
        <v>0</v>
      </c>
    </row>
    <row r="853" spans="26:26">
      <c r="Z853" s="50">
        <f>'Agents'' Final Roster 0913-0919'!J775</f>
        <v>0</v>
      </c>
    </row>
    <row r="854" spans="26:26">
      <c r="Z854" s="50">
        <f>'Agents'' Final Roster 0913-0919'!J776</f>
        <v>0</v>
      </c>
    </row>
    <row r="855" spans="26:26">
      <c r="Z855" s="50">
        <f>'Agents'' Final Roster 0913-0919'!J777</f>
        <v>0</v>
      </c>
    </row>
    <row r="856" spans="26:26">
      <c r="Z856" s="50">
        <f>'Agents'' Final Roster 0913-0919'!J778</f>
        <v>0</v>
      </c>
    </row>
    <row r="857" spans="26:26">
      <c r="Z857" s="50">
        <f>'Agents'' Final Roster 0913-0919'!J779</f>
        <v>0</v>
      </c>
    </row>
    <row r="858" spans="26:26">
      <c r="Z858" s="50">
        <f>'Agents'' Final Roster 0913-0919'!J780</f>
        <v>0</v>
      </c>
    </row>
    <row r="859" spans="26:26">
      <c r="Z859" s="50">
        <f>'Agents'' Final Roster 0913-0919'!J781</f>
        <v>0</v>
      </c>
    </row>
    <row r="860" spans="26:26">
      <c r="Z860" s="50">
        <f>'Agents'' Final Roster 0913-0919'!J782</f>
        <v>0</v>
      </c>
    </row>
    <row r="861" spans="26:26">
      <c r="Z861" s="50">
        <f>'Agents'' Final Roster 0913-0919'!J783</f>
        <v>0</v>
      </c>
    </row>
    <row r="862" spans="26:26">
      <c r="Z862" s="50">
        <f>'Agents'' Final Roster 0913-0919'!J784</f>
        <v>0</v>
      </c>
    </row>
    <row r="863" spans="26:26">
      <c r="Z863" s="50">
        <f>'Agents'' Final Roster 0913-0919'!J785</f>
        <v>0</v>
      </c>
    </row>
    <row r="864" spans="26:26">
      <c r="Z864" s="50">
        <f>'Agents'' Final Roster 0913-0919'!J786</f>
        <v>0</v>
      </c>
    </row>
    <row r="865" spans="26:26">
      <c r="Z865" s="50">
        <f>'Agents'' Final Roster 0913-0919'!J787</f>
        <v>0</v>
      </c>
    </row>
    <row r="866" spans="26:26">
      <c r="Z866" s="50">
        <f>'Agents'' Final Roster 0913-0919'!J788</f>
        <v>0</v>
      </c>
    </row>
    <row r="867" spans="26:26">
      <c r="Z867" s="50">
        <f>'Agents'' Final Roster 0913-0919'!J789</f>
        <v>0</v>
      </c>
    </row>
    <row r="868" spans="26:26">
      <c r="Z868" s="50">
        <f>'Agents'' Final Roster 0913-0919'!J790</f>
        <v>0</v>
      </c>
    </row>
    <row r="869" spans="26:26">
      <c r="Z869" s="50">
        <f>'Agents'' Final Roster 0913-0919'!J791</f>
        <v>0</v>
      </c>
    </row>
    <row r="870" spans="26:26">
      <c r="Z870" s="50">
        <f>'Agents'' Final Roster 0913-0919'!J792</f>
        <v>0</v>
      </c>
    </row>
    <row r="871" spans="26:26">
      <c r="Z871" s="50">
        <f>'Agents'' Final Roster 0913-0919'!J793</f>
        <v>0</v>
      </c>
    </row>
    <row r="872" spans="26:26">
      <c r="Z872" s="50">
        <f>'Agents'' Final Roster 0913-0919'!J794</f>
        <v>0</v>
      </c>
    </row>
    <row r="873" spans="26:26">
      <c r="Z873" s="50">
        <f>'Agents'' Final Roster 0913-0919'!J795</f>
        <v>0</v>
      </c>
    </row>
    <row r="874" spans="26:26">
      <c r="Z874" s="50">
        <f>'Agents'' Final Roster 0913-0919'!J796</f>
        <v>0</v>
      </c>
    </row>
    <row r="875" spans="26:26">
      <c r="Z875" s="50">
        <f>'Agents'' Final Roster 0913-0919'!J797</f>
        <v>0</v>
      </c>
    </row>
    <row r="876" spans="26:26">
      <c r="Z876" s="50">
        <f>'Agents'' Final Roster 0913-0919'!J798</f>
        <v>0</v>
      </c>
    </row>
    <row r="877" spans="26:26">
      <c r="Z877" s="50">
        <f>'Agents'' Final Roster 0913-0919'!J799</f>
        <v>0</v>
      </c>
    </row>
    <row r="878" spans="26:26">
      <c r="Z878" s="50">
        <f>'Agents'' Final Roster 0913-0919'!J800</f>
        <v>0</v>
      </c>
    </row>
    <row r="879" spans="26:26">
      <c r="Z879" s="50">
        <f>'Agents'' Final Roster 0913-0919'!J801</f>
        <v>0</v>
      </c>
    </row>
    <row r="880" spans="26:26">
      <c r="Z880" s="50">
        <f>'Agents'' Final Roster 0913-0919'!J802</f>
        <v>0</v>
      </c>
    </row>
    <row r="881" spans="26:26">
      <c r="Z881" s="50">
        <f>'Agents'' Final Roster 0913-0919'!J803</f>
        <v>0</v>
      </c>
    </row>
    <row r="882" spans="26:26">
      <c r="Z882" s="50">
        <f>'Agents'' Final Roster 0913-0919'!J804</f>
        <v>0</v>
      </c>
    </row>
    <row r="883" spans="26:26">
      <c r="Z883" s="50">
        <f>'Agents'' Final Roster 0913-0919'!J805</f>
        <v>0</v>
      </c>
    </row>
    <row r="884" spans="26:26">
      <c r="Z884" s="50">
        <f>'Agents'' Final Roster 0913-0919'!J806</f>
        <v>0</v>
      </c>
    </row>
    <row r="885" spans="26:26">
      <c r="Z885" s="50">
        <f>'Agents'' Final Roster 0913-0919'!J807</f>
        <v>0</v>
      </c>
    </row>
    <row r="886" spans="26:26">
      <c r="Z886" s="50">
        <f>'Agents'' Final Roster 0913-0919'!J808</f>
        <v>0</v>
      </c>
    </row>
    <row r="887" spans="26:26">
      <c r="Z887" s="50">
        <f>'Agents'' Final Roster 0913-0919'!J809</f>
        <v>0</v>
      </c>
    </row>
    <row r="888" spans="26:26">
      <c r="Z888" s="50">
        <f>'Agents'' Final Roster 0913-0919'!J810</f>
        <v>0</v>
      </c>
    </row>
    <row r="889" spans="26:26">
      <c r="Z889" s="50">
        <f>'Agents'' Final Roster 0913-0919'!J811</f>
        <v>0</v>
      </c>
    </row>
    <row r="890" spans="26:26">
      <c r="Z890" s="50">
        <f>'Agents'' Final Roster 0913-0919'!J812</f>
        <v>0</v>
      </c>
    </row>
    <row r="891" spans="26:26">
      <c r="Z891" s="50">
        <f>'Agents'' Final Roster 0913-0919'!J813</f>
        <v>0</v>
      </c>
    </row>
    <row r="892" spans="26:26">
      <c r="Z892" s="50">
        <f>'Agents'' Final Roster 0913-0919'!J814</f>
        <v>0</v>
      </c>
    </row>
    <row r="893" spans="26:26">
      <c r="Z893" s="50">
        <f>'Agents'' Final Roster 0913-0919'!J815</f>
        <v>0</v>
      </c>
    </row>
    <row r="894" spans="26:26">
      <c r="Z894" s="50">
        <f>'Agents'' Final Roster 0913-0919'!J816</f>
        <v>0</v>
      </c>
    </row>
    <row r="895" spans="26:26">
      <c r="Z895" s="50">
        <f>'Agents'' Final Roster 0913-0919'!J817</f>
        <v>0</v>
      </c>
    </row>
    <row r="896" spans="26:26">
      <c r="Z896" s="50">
        <f>'Agents'' Final Roster 0913-0919'!J818</f>
        <v>0</v>
      </c>
    </row>
    <row r="897" spans="26:26">
      <c r="Z897" s="50">
        <f>'Agents'' Final Roster 0913-0919'!J819</f>
        <v>0</v>
      </c>
    </row>
    <row r="898" spans="26:26">
      <c r="Z898" s="50">
        <f>'Agents'' Final Roster 0913-0919'!J820</f>
        <v>0</v>
      </c>
    </row>
    <row r="899" spans="26:26">
      <c r="Z899" s="50">
        <f>'Agents'' Final Roster 0913-0919'!J821</f>
        <v>0</v>
      </c>
    </row>
    <row r="900" spans="26:26">
      <c r="Z900" s="50">
        <f>'Agents'' Final Roster 0913-0919'!J822</f>
        <v>0</v>
      </c>
    </row>
    <row r="901" spans="26:26">
      <c r="Z901" s="50">
        <f>'Agents'' Final Roster 0913-0919'!J823</f>
        <v>0</v>
      </c>
    </row>
    <row r="902" spans="26:26">
      <c r="Z902" s="50">
        <f>'Agents'' Final Roster 0913-0919'!J824</f>
        <v>0</v>
      </c>
    </row>
    <row r="903" spans="26:26">
      <c r="Z903" s="50">
        <f>'Agents'' Final Roster 0913-0919'!J825</f>
        <v>0</v>
      </c>
    </row>
    <row r="904" spans="26:26">
      <c r="Z904" s="50">
        <f>'Agents'' Final Roster 0913-0919'!J826</f>
        <v>0</v>
      </c>
    </row>
    <row r="905" spans="26:26">
      <c r="Z905" s="50">
        <f>'Agents'' Final Roster 0913-0919'!J827</f>
        <v>0</v>
      </c>
    </row>
    <row r="906" spans="26:26">
      <c r="Z906" s="50">
        <f>'Agents'' Final Roster 0913-0919'!J828</f>
        <v>0</v>
      </c>
    </row>
    <row r="907" spans="26:26">
      <c r="Z907" s="50">
        <f>'Agents'' Final Roster 0913-0919'!J829</f>
        <v>0</v>
      </c>
    </row>
    <row r="908" spans="26:26">
      <c r="Z908" s="50">
        <f>'Agents'' Final Roster 0913-0919'!J830</f>
        <v>0</v>
      </c>
    </row>
    <row r="909" spans="26:26">
      <c r="Z909" s="50">
        <f>'Agents'' Final Roster 0913-0919'!J831</f>
        <v>0</v>
      </c>
    </row>
    <row r="910" spans="26:26">
      <c r="Z910" s="50">
        <f>'Agents'' Final Roster 0913-0919'!J832</f>
        <v>0</v>
      </c>
    </row>
    <row r="911" spans="26:26">
      <c r="Z911" s="50">
        <f>'Agents'' Final Roster 0913-0919'!J833</f>
        <v>0</v>
      </c>
    </row>
    <row r="912" spans="26:26">
      <c r="Z912" s="50">
        <f>'Agents'' Final Roster 0913-0919'!J834</f>
        <v>0</v>
      </c>
    </row>
    <row r="913" spans="26:26">
      <c r="Z913" s="50">
        <f>'Agents'' Final Roster 0913-0919'!J835</f>
        <v>0</v>
      </c>
    </row>
    <row r="914" spans="26:26">
      <c r="Z914" s="50">
        <f>'Agents'' Final Roster 0913-0919'!J836</f>
        <v>0</v>
      </c>
    </row>
    <row r="915" spans="26:26">
      <c r="Z915" s="50">
        <f>'Agents'' Final Roster 0913-0919'!J837</f>
        <v>0</v>
      </c>
    </row>
    <row r="916" spans="26:26">
      <c r="Z916" s="50">
        <f>'Agents'' Final Roster 0913-0919'!J838</f>
        <v>0</v>
      </c>
    </row>
    <row r="917" spans="26:26">
      <c r="Z917" s="50">
        <f>'Agents'' Final Roster 0913-0919'!J839</f>
        <v>0</v>
      </c>
    </row>
    <row r="918" spans="26:26">
      <c r="Z918" s="50">
        <f>'Agents'' Final Roster 0913-0919'!J840</f>
        <v>0</v>
      </c>
    </row>
    <row r="919" spans="26:26">
      <c r="Z919" s="50">
        <f>'Agents'' Final Roster 0913-0919'!J841</f>
        <v>0</v>
      </c>
    </row>
    <row r="920" spans="26:26">
      <c r="Z920" s="50">
        <f>'Agents'' Final Roster 0913-0919'!J842</f>
        <v>0</v>
      </c>
    </row>
    <row r="921" spans="26:26">
      <c r="Z921" s="50">
        <f>'Agents'' Final Roster 0913-0919'!J843</f>
        <v>0</v>
      </c>
    </row>
    <row r="922" spans="26:26">
      <c r="Z922" s="50">
        <f>'Agents'' Final Roster 0913-0919'!J844</f>
        <v>0</v>
      </c>
    </row>
    <row r="923" spans="26:26">
      <c r="Z923" s="50">
        <f>'Agents'' Final Roster 0913-0919'!J845</f>
        <v>0</v>
      </c>
    </row>
    <row r="924" spans="26:26">
      <c r="Z924" s="50">
        <f>'Agents'' Final Roster 0913-0919'!J846</f>
        <v>0</v>
      </c>
    </row>
    <row r="925" spans="26:26">
      <c r="Z925" s="50">
        <f>'Agents'' Final Roster 0913-0919'!J847</f>
        <v>0</v>
      </c>
    </row>
    <row r="926" spans="26:26">
      <c r="Z926" s="50">
        <f>'Agents'' Final Roster 0913-0919'!J848</f>
        <v>0</v>
      </c>
    </row>
    <row r="927" spans="26:26">
      <c r="Z927" s="50">
        <f>'Agents'' Final Roster 0913-0919'!J849</f>
        <v>0</v>
      </c>
    </row>
    <row r="928" spans="26:26">
      <c r="Z928" s="50">
        <f>'Agents'' Final Roster 0913-0919'!J850</f>
        <v>0</v>
      </c>
    </row>
    <row r="929" spans="26:26">
      <c r="Z929" s="50">
        <f>'Agents'' Final Roster 0913-0919'!J851</f>
        <v>0</v>
      </c>
    </row>
    <row r="930" spans="26:26">
      <c r="Z930" s="50">
        <f>'Agents'' Final Roster 0913-0919'!J852</f>
        <v>0</v>
      </c>
    </row>
    <row r="931" spans="26:26">
      <c r="Z931" s="50">
        <f>'Agents'' Final Roster 0913-0919'!J853</f>
        <v>0</v>
      </c>
    </row>
    <row r="932" spans="26:26">
      <c r="Z932" s="50">
        <f>'Agents'' Final Roster 0913-0919'!J854</f>
        <v>0</v>
      </c>
    </row>
    <row r="933" spans="26:26">
      <c r="Z933" s="50">
        <f>'Agents'' Final Roster 0913-0919'!J855</f>
        <v>0</v>
      </c>
    </row>
    <row r="934" spans="26:26">
      <c r="Z934" s="50">
        <f>'Agents'' Final Roster 0913-0919'!J856</f>
        <v>0</v>
      </c>
    </row>
    <row r="935" spans="26:26">
      <c r="Z935" s="50">
        <f>'Agents'' Final Roster 0913-0919'!J857</f>
        <v>0</v>
      </c>
    </row>
    <row r="936" spans="26:26">
      <c r="Z936" s="50">
        <f>'Agents'' Final Roster 0913-0919'!J858</f>
        <v>0</v>
      </c>
    </row>
    <row r="937" spans="26:26">
      <c r="Z937" s="50">
        <f>'Agents'' Final Roster 0913-0919'!J859</f>
        <v>0</v>
      </c>
    </row>
    <row r="938" spans="26:26">
      <c r="Z938" s="50">
        <f>'Agents'' Final Roster 0913-0919'!J860</f>
        <v>0</v>
      </c>
    </row>
    <row r="939" spans="26:26">
      <c r="Z939" s="50">
        <f>'Agents'' Final Roster 0913-0919'!J861</f>
        <v>0</v>
      </c>
    </row>
    <row r="940" spans="26:26">
      <c r="Z940" s="50">
        <f>'Agents'' Final Roster 0913-0919'!J862</f>
        <v>0</v>
      </c>
    </row>
    <row r="941" spans="26:26">
      <c r="Z941" s="50">
        <f>'Agents'' Final Roster 0913-0919'!J863</f>
        <v>0</v>
      </c>
    </row>
    <row r="942" spans="26:26">
      <c r="Z942" s="50">
        <f>'Agents'' Final Roster 0913-0919'!J864</f>
        <v>0</v>
      </c>
    </row>
    <row r="943" spans="26:26">
      <c r="Z943" s="50">
        <f>'Agents'' Final Roster 0913-0919'!J865</f>
        <v>0</v>
      </c>
    </row>
    <row r="944" spans="26:26">
      <c r="Z944" s="50">
        <f>'Agents'' Final Roster 0913-0919'!J866</f>
        <v>0</v>
      </c>
    </row>
    <row r="945" spans="26:26">
      <c r="Z945" s="50">
        <f>'Agents'' Final Roster 0913-0919'!J867</f>
        <v>0</v>
      </c>
    </row>
    <row r="946" spans="26:26">
      <c r="Z946" s="50">
        <f>'Agents'' Final Roster 0913-0919'!J868</f>
        <v>0</v>
      </c>
    </row>
    <row r="947" spans="26:26">
      <c r="Z947" s="50">
        <f>'Agents'' Final Roster 0913-0919'!J869</f>
        <v>0</v>
      </c>
    </row>
    <row r="948" spans="26:26">
      <c r="Z948" s="50">
        <f>'Agents'' Final Roster 0913-0919'!J870</f>
        <v>0</v>
      </c>
    </row>
    <row r="949" spans="26:26">
      <c r="Z949" s="50">
        <f>'Agents'' Final Roster 0913-0919'!J871</f>
        <v>0</v>
      </c>
    </row>
    <row r="950" spans="26:26">
      <c r="Z950" s="50">
        <f>'Agents'' Final Roster 0913-0919'!J872</f>
        <v>0</v>
      </c>
    </row>
    <row r="951" spans="26:26">
      <c r="Z951" s="50">
        <f>'Agents'' Final Roster 0913-0919'!J873</f>
        <v>0</v>
      </c>
    </row>
    <row r="952" spans="26:26">
      <c r="Z952" s="50">
        <f>'Agents'' Final Roster 0913-0919'!J874</f>
        <v>0</v>
      </c>
    </row>
    <row r="953" spans="26:26">
      <c r="Z953" s="50">
        <f>'Agents'' Final Roster 0913-0919'!J875</f>
        <v>0</v>
      </c>
    </row>
    <row r="954" spans="26:26">
      <c r="Z954" s="50">
        <f>'Agents'' Final Roster 0913-0919'!J876</f>
        <v>0</v>
      </c>
    </row>
    <row r="955" spans="26:26">
      <c r="Z955" s="50">
        <f>'Agents'' Final Roster 0913-0919'!J877</f>
        <v>0</v>
      </c>
    </row>
    <row r="956" spans="26:26">
      <c r="Z956" s="50">
        <f>'Agents'' Final Roster 0913-0919'!J878</f>
        <v>0</v>
      </c>
    </row>
    <row r="957" spans="26:26">
      <c r="Z957" s="50">
        <f>'Agents'' Final Roster 0913-0919'!J879</f>
        <v>0</v>
      </c>
    </row>
    <row r="958" spans="26:26">
      <c r="Z958" s="50">
        <f>'Agents'' Final Roster 0913-0919'!J880</f>
        <v>0</v>
      </c>
    </row>
    <row r="959" spans="26:26">
      <c r="Z959" s="50">
        <f>'Agents'' Final Roster 0913-0919'!J881</f>
        <v>0</v>
      </c>
    </row>
    <row r="960" spans="26:26">
      <c r="Z960" s="50">
        <f>'Agents'' Final Roster 0913-0919'!J882</f>
        <v>0</v>
      </c>
    </row>
    <row r="961" spans="26:26">
      <c r="Z961" s="50">
        <f>'Agents'' Final Roster 0913-0919'!J883</f>
        <v>0</v>
      </c>
    </row>
    <row r="962" spans="26:26">
      <c r="Z962" s="50">
        <f>'Agents'' Final Roster 0913-0919'!J884</f>
        <v>0</v>
      </c>
    </row>
    <row r="963" spans="26:26">
      <c r="Z963" s="50">
        <f>'Agents'' Final Roster 0913-0919'!J885</f>
        <v>0</v>
      </c>
    </row>
    <row r="964" spans="26:26">
      <c r="Z964" s="50">
        <f>'Agents'' Final Roster 0913-0919'!J886</f>
        <v>0</v>
      </c>
    </row>
    <row r="965" spans="26:26">
      <c r="Z965" s="50">
        <f>'Agents'' Final Roster 0913-0919'!J887</f>
        <v>0</v>
      </c>
    </row>
    <row r="966" spans="26:26">
      <c r="Z966" s="50">
        <f>'Agents'' Final Roster 0913-0919'!J888</f>
        <v>0</v>
      </c>
    </row>
    <row r="967" spans="26:26">
      <c r="Z967" s="50">
        <f>'Agents'' Final Roster 0913-0919'!J889</f>
        <v>0</v>
      </c>
    </row>
    <row r="968" spans="26:26">
      <c r="Z968" s="50">
        <f>'Agents'' Final Roster 0913-0919'!J890</f>
        <v>0</v>
      </c>
    </row>
    <row r="969" spans="26:26">
      <c r="Z969" s="50">
        <f>'Agents'' Final Roster 0913-0919'!J891</f>
        <v>0</v>
      </c>
    </row>
    <row r="970" spans="26:26">
      <c r="Z970" s="50">
        <f>'Agents'' Final Roster 0913-0919'!J892</f>
        <v>0</v>
      </c>
    </row>
    <row r="971" spans="26:26">
      <c r="Z971" s="50">
        <f>'Agents'' Final Roster 0913-0919'!J893</f>
        <v>0</v>
      </c>
    </row>
    <row r="972" spans="26:26">
      <c r="Z972" s="50">
        <f>'Agents'' Final Roster 0913-0919'!J894</f>
        <v>0</v>
      </c>
    </row>
    <row r="973" spans="26:26">
      <c r="Z973" s="50">
        <f>'Agents'' Final Roster 0913-0919'!J895</f>
        <v>0</v>
      </c>
    </row>
    <row r="974" spans="26:26">
      <c r="Z974" s="50">
        <f>'Agents'' Final Roster 0913-0919'!J896</f>
        <v>0</v>
      </c>
    </row>
    <row r="975" spans="26:26">
      <c r="Z975" s="50">
        <f>'Agents'' Final Roster 0913-0919'!J897</f>
        <v>0</v>
      </c>
    </row>
    <row r="976" spans="26:26">
      <c r="Z976" s="50">
        <f>'Agents'' Final Roster 0913-0919'!J898</f>
        <v>0</v>
      </c>
    </row>
    <row r="977" spans="26:26">
      <c r="Z977" s="50">
        <f>'Agents'' Final Roster 0913-0919'!J899</f>
        <v>0</v>
      </c>
    </row>
    <row r="978" spans="26:26">
      <c r="Z978" s="50">
        <f>'Agents'' Final Roster 0913-0919'!J900</f>
        <v>0</v>
      </c>
    </row>
    <row r="979" spans="26:26">
      <c r="Z979" s="50">
        <f>'Agents'' Final Roster 0913-0919'!J901</f>
        <v>0</v>
      </c>
    </row>
    <row r="980" spans="26:26">
      <c r="Z980" s="50">
        <f>'Agents'' Final Roster 0913-0919'!J902</f>
        <v>0</v>
      </c>
    </row>
    <row r="981" spans="26:26">
      <c r="Z981" s="50">
        <f>'Agents'' Final Roster 0913-0919'!J903</f>
        <v>0</v>
      </c>
    </row>
    <row r="982" spans="26:26">
      <c r="Z982" s="50">
        <f>'Agents'' Final Roster 0913-0919'!J904</f>
        <v>0</v>
      </c>
    </row>
    <row r="983" spans="26:26">
      <c r="Z983" s="50">
        <f>'Agents'' Final Roster 0913-0919'!J905</f>
        <v>0</v>
      </c>
    </row>
    <row r="984" spans="26:26">
      <c r="Z984" s="50">
        <f>'Agents'' Final Roster 0913-0919'!J906</f>
        <v>0</v>
      </c>
    </row>
    <row r="985" spans="26:26">
      <c r="Z985" s="50">
        <f>'Agents'' Final Roster 0913-0919'!J907</f>
        <v>0</v>
      </c>
    </row>
    <row r="986" spans="26:26">
      <c r="Z986" s="50">
        <f>'Agents'' Final Roster 0913-0919'!J908</f>
        <v>0</v>
      </c>
    </row>
    <row r="987" spans="26:26">
      <c r="Z987" s="50">
        <f>'Agents'' Final Roster 0913-0919'!J909</f>
        <v>0</v>
      </c>
    </row>
    <row r="988" spans="26:26">
      <c r="Z988" s="50">
        <f>'Agents'' Final Roster 0913-0919'!J910</f>
        <v>0</v>
      </c>
    </row>
    <row r="989" spans="26:26">
      <c r="Z989" s="50">
        <f>'Agents'' Final Roster 0913-0919'!J911</f>
        <v>0</v>
      </c>
    </row>
    <row r="990" spans="26:26">
      <c r="Z990" s="50">
        <f>'Agents'' Final Roster 0913-0919'!J912</f>
        <v>0</v>
      </c>
    </row>
    <row r="991" spans="26:26">
      <c r="Z991" s="50">
        <f>'Agents'' Final Roster 0913-0919'!J913</f>
        <v>0</v>
      </c>
    </row>
    <row r="992" spans="26:26">
      <c r="Z992" s="50">
        <f>'Agents'' Final Roster 0913-0919'!J914</f>
        <v>0</v>
      </c>
    </row>
    <row r="993" spans="26:26">
      <c r="Z993" s="50">
        <f>'Agents'' Final Roster 0913-0919'!J915</f>
        <v>0</v>
      </c>
    </row>
    <row r="994" spans="26:26">
      <c r="Z994" s="50">
        <f>'Agents'' Final Roster 0913-0919'!J916</f>
        <v>0</v>
      </c>
    </row>
    <row r="995" spans="26:26">
      <c r="Z995" s="50">
        <f>'Agents'' Final Roster 0913-0919'!J917</f>
        <v>0</v>
      </c>
    </row>
    <row r="996" spans="26:26">
      <c r="Z996" s="50">
        <f>'Agents'' Final Roster 0913-0919'!J918</f>
        <v>0</v>
      </c>
    </row>
    <row r="997" spans="26:26">
      <c r="Z997" s="50">
        <f>'Agents'' Final Roster 0913-0919'!J919</f>
        <v>0</v>
      </c>
    </row>
    <row r="998" spans="26:26">
      <c r="Z998" s="50">
        <f>'Agents'' Final Roster 0913-0919'!J920</f>
        <v>0</v>
      </c>
    </row>
    <row r="999" spans="26:26">
      <c r="Z999" s="50">
        <f>'Agents'' Final Roster 0913-0919'!J921</f>
        <v>0</v>
      </c>
    </row>
    <row r="1000" spans="26:26">
      <c r="Z1000" s="50">
        <f>'Agents'' Final Roster 0913-0919'!J922</f>
        <v>0</v>
      </c>
    </row>
    <row r="1001" spans="26:26">
      <c r="Z1001" s="50">
        <f>'Agents'' Final Roster 0913-0919'!J923</f>
        <v>0</v>
      </c>
    </row>
    <row r="1002" spans="26:26">
      <c r="Z1002" s="50">
        <f>'Agents'' Final Roster 0913-0919'!J924</f>
        <v>0</v>
      </c>
    </row>
    <row r="1003" spans="26:26">
      <c r="Z1003" s="50">
        <f>'Agents'' Final Roster 0913-0919'!J925</f>
        <v>0</v>
      </c>
    </row>
    <row r="1004" spans="26:26">
      <c r="Z1004" s="50">
        <f>'Agents'' Final Roster 0913-0919'!J926</f>
        <v>0</v>
      </c>
    </row>
    <row r="1005" spans="26:26">
      <c r="Z1005" s="50">
        <f>'Agents'' Final Roster 0913-0919'!J927</f>
        <v>0</v>
      </c>
    </row>
    <row r="1006" spans="26:26">
      <c r="Z1006" s="50">
        <f>'Agents'' Final Roster 0913-0919'!J928</f>
        <v>0</v>
      </c>
    </row>
    <row r="1007" spans="26:26">
      <c r="Z1007" s="50">
        <f>'Agents'' Final Roster 0913-0919'!J929</f>
        <v>0</v>
      </c>
    </row>
    <row r="1008" spans="26:26">
      <c r="Z1008" s="50">
        <f>'Agents'' Final Roster 0913-0919'!J930</f>
        <v>0</v>
      </c>
    </row>
    <row r="1009" spans="26:26">
      <c r="Z1009" s="50">
        <f>'Agents'' Final Roster 0913-0919'!J931</f>
        <v>0</v>
      </c>
    </row>
    <row r="1010" spans="26:26">
      <c r="Z1010" s="50">
        <f>'Agents'' Final Roster 0913-0919'!J932</f>
        <v>0</v>
      </c>
    </row>
    <row r="1011" spans="26:26">
      <c r="Z1011" s="50">
        <f>'Agents'' Final Roster 0913-0919'!J933</f>
        <v>0</v>
      </c>
    </row>
    <row r="1012" spans="26:26">
      <c r="Z1012" s="50">
        <f>'Agents'' Final Roster 0913-0919'!J934</f>
        <v>0</v>
      </c>
    </row>
    <row r="1013" spans="26:26">
      <c r="Z1013" s="50">
        <f>'Agents'' Final Roster 0913-0919'!J935</f>
        <v>0</v>
      </c>
    </row>
    <row r="1014" spans="26:26">
      <c r="Z1014" s="50">
        <f>'Agents'' Final Roster 0913-0919'!J936</f>
        <v>0</v>
      </c>
    </row>
    <row r="1015" spans="26:26">
      <c r="Z1015" s="50">
        <f>'Agents'' Final Roster 0913-0919'!J937</f>
        <v>0</v>
      </c>
    </row>
    <row r="1016" spans="26:26">
      <c r="Z1016" s="50">
        <f>'Agents'' Final Roster 0913-0919'!J938</f>
        <v>0</v>
      </c>
    </row>
    <row r="1017" spans="26:26">
      <c r="Z1017" s="50">
        <f>'Agents'' Final Roster 0913-0919'!J939</f>
        <v>0</v>
      </c>
    </row>
    <row r="1018" spans="26:26">
      <c r="Z1018" s="50">
        <f>'Agents'' Final Roster 0913-0919'!J940</f>
        <v>0</v>
      </c>
    </row>
    <row r="1019" spans="26:26">
      <c r="Z1019" s="50">
        <f>'Agents'' Final Roster 0913-0919'!J941</f>
        <v>0</v>
      </c>
    </row>
    <row r="1020" spans="26:26">
      <c r="Z1020" s="50">
        <f>'Agents'' Final Roster 0913-0919'!J942</f>
        <v>0</v>
      </c>
    </row>
    <row r="1021" spans="26:26">
      <c r="Z1021" s="50">
        <f>'Agents'' Final Roster 0913-0919'!J943</f>
        <v>0</v>
      </c>
    </row>
    <row r="1022" spans="26:26">
      <c r="Z1022" s="50">
        <f>'Agents'' Final Roster 0913-0919'!J944</f>
        <v>0</v>
      </c>
    </row>
    <row r="1023" spans="26:26">
      <c r="Z1023" s="50">
        <f>'Agents'' Final Roster 0913-0919'!J945</f>
        <v>0</v>
      </c>
    </row>
    <row r="1024" spans="26:26">
      <c r="Z1024" s="50">
        <f>'Agents'' Final Roster 0913-0919'!J946</f>
        <v>0</v>
      </c>
    </row>
    <row r="1025" spans="26:26">
      <c r="Z1025" s="50">
        <f>'Agents'' Final Roster 0913-0919'!J947</f>
        <v>0</v>
      </c>
    </row>
    <row r="1026" spans="26:26">
      <c r="Z1026" s="50">
        <f>'Agents'' Final Roster 0913-0919'!J948</f>
        <v>0</v>
      </c>
    </row>
    <row r="1027" spans="26:26">
      <c r="Z1027" s="50">
        <f>'Agents'' Final Roster 0913-0919'!J949</f>
        <v>0</v>
      </c>
    </row>
    <row r="1028" spans="26:26">
      <c r="Z1028" s="50">
        <f>'Agents'' Final Roster 0913-0919'!J950</f>
        <v>0</v>
      </c>
    </row>
    <row r="1029" spans="26:26">
      <c r="Z1029" s="50">
        <f>'Agents'' Final Roster 0913-0919'!J951</f>
        <v>0</v>
      </c>
    </row>
    <row r="1030" spans="26:26">
      <c r="Z1030" s="50">
        <f>'Agents'' Final Roster 0913-0919'!J952</f>
        <v>0</v>
      </c>
    </row>
    <row r="1031" spans="26:26">
      <c r="Z1031" s="50">
        <f>'Agents'' Final Roster 0913-0919'!J953</f>
        <v>0</v>
      </c>
    </row>
    <row r="1032" spans="26:26">
      <c r="Z1032" s="50">
        <f>'Agents'' Final Roster 0913-0919'!J954</f>
        <v>0</v>
      </c>
    </row>
    <row r="1033" spans="26:26">
      <c r="Z1033" s="50">
        <f>'Agents'' Final Roster 0913-0919'!J955</f>
        <v>0</v>
      </c>
    </row>
    <row r="1034" spans="26:26">
      <c r="Z1034" s="50">
        <f>'Agents'' Final Roster 0913-0919'!J956</f>
        <v>0</v>
      </c>
    </row>
    <row r="1035" spans="26:26">
      <c r="Z1035" s="50">
        <f>'Agents'' Final Roster 0913-0919'!J957</f>
        <v>0</v>
      </c>
    </row>
    <row r="1036" spans="26:26">
      <c r="Z1036" s="50">
        <f>'Agents'' Final Roster 0913-0919'!J958</f>
        <v>0</v>
      </c>
    </row>
    <row r="1037" spans="26:26">
      <c r="Z1037" s="50">
        <f>'Agents'' Final Roster 0913-0919'!J959</f>
        <v>0</v>
      </c>
    </row>
    <row r="1038" spans="26:26">
      <c r="Z1038" s="50">
        <f>'Agents'' Final Roster 0913-0919'!J960</f>
        <v>0</v>
      </c>
    </row>
    <row r="1039" spans="26:26">
      <c r="Z1039" s="50">
        <f>'Agents'' Final Roster 0913-0919'!J961</f>
        <v>0</v>
      </c>
    </row>
    <row r="1040" spans="26:26">
      <c r="Z1040" s="50">
        <f>'Agents'' Final Roster 0913-0919'!J962</f>
        <v>0</v>
      </c>
    </row>
    <row r="1041" spans="26:26">
      <c r="Z1041" s="50">
        <f>'Agents'' Final Roster 0913-0919'!J963</f>
        <v>0</v>
      </c>
    </row>
    <row r="1042" spans="26:26">
      <c r="Z1042" s="50">
        <f>'Agents'' Final Roster 0913-0919'!J964</f>
        <v>0</v>
      </c>
    </row>
    <row r="1043" spans="26:26">
      <c r="Z1043" s="50">
        <f>'Agents'' Final Roster 0913-0919'!J965</f>
        <v>0</v>
      </c>
    </row>
    <row r="1044" spans="26:26">
      <c r="Z1044" s="50">
        <f>'Agents'' Final Roster 0913-0919'!J966</f>
        <v>0</v>
      </c>
    </row>
    <row r="1045" spans="26:26">
      <c r="Z1045" s="50">
        <f>'Agents'' Final Roster 0913-0919'!J967</f>
        <v>0</v>
      </c>
    </row>
    <row r="1046" spans="26:26">
      <c r="Z1046" s="50">
        <f>'Agents'' Final Roster 0913-0919'!J968</f>
        <v>0</v>
      </c>
    </row>
    <row r="1047" spans="26:26">
      <c r="Z1047" s="50">
        <f>'Agents'' Final Roster 0913-0919'!J969</f>
        <v>0</v>
      </c>
    </row>
    <row r="1048" spans="26:26">
      <c r="Z1048" s="50">
        <f>'Agents'' Final Roster 0913-0919'!J970</f>
        <v>0</v>
      </c>
    </row>
    <row r="1049" spans="26:26">
      <c r="Z1049" s="50">
        <f>'Agents'' Final Roster 0913-0919'!J971</f>
        <v>0</v>
      </c>
    </row>
    <row r="1050" spans="26:26">
      <c r="Z1050" s="50">
        <f>'Agents'' Final Roster 0913-0919'!J972</f>
        <v>0</v>
      </c>
    </row>
    <row r="1051" spans="26:26">
      <c r="Z1051" s="50">
        <f>'Agents'' Final Roster 0913-0919'!J973</f>
        <v>0</v>
      </c>
    </row>
    <row r="1052" spans="26:26">
      <c r="Z1052" s="50">
        <f>'Agents'' Final Roster 0913-0919'!J974</f>
        <v>0</v>
      </c>
    </row>
    <row r="1053" spans="26:26">
      <c r="Z1053" s="50">
        <f>'Agents'' Final Roster 0913-0919'!J975</f>
        <v>0</v>
      </c>
    </row>
    <row r="1054" spans="26:26">
      <c r="Z1054" s="50">
        <f>'Agents'' Final Roster 0913-0919'!J976</f>
        <v>0</v>
      </c>
    </row>
    <row r="1055" spans="26:26">
      <c r="Z1055" s="50">
        <f>'Agents'' Final Roster 0913-0919'!J977</f>
        <v>0</v>
      </c>
    </row>
    <row r="1056" spans="26:26">
      <c r="Z1056" s="50">
        <f>'Agents'' Final Roster 0913-0919'!J978</f>
        <v>0</v>
      </c>
    </row>
    <row r="1057" spans="26:26">
      <c r="Z1057" s="50">
        <f>'Agents'' Final Roster 0913-0919'!J979</f>
        <v>0</v>
      </c>
    </row>
    <row r="1058" spans="26:26">
      <c r="Z1058" s="50">
        <f>'Agents'' Final Roster 0913-0919'!J980</f>
        <v>0</v>
      </c>
    </row>
    <row r="1059" spans="26:26">
      <c r="Z1059" s="50">
        <f>'Agents'' Final Roster 0913-0919'!J981</f>
        <v>0</v>
      </c>
    </row>
    <row r="1060" spans="26:26">
      <c r="Z1060" s="50">
        <f>'Agents'' Final Roster 0913-0919'!J982</f>
        <v>0</v>
      </c>
    </row>
    <row r="1061" spans="26:26">
      <c r="Z1061" s="50">
        <f>'Agents'' Final Roster 0913-0919'!J983</f>
        <v>0</v>
      </c>
    </row>
    <row r="1062" spans="26:26">
      <c r="Z1062" s="50">
        <f>'Agents'' Final Roster 0913-0919'!J984</f>
        <v>0</v>
      </c>
    </row>
    <row r="1063" spans="26:26">
      <c r="Z1063" s="50">
        <f>'Agents'' Final Roster 0913-0919'!J985</f>
        <v>0</v>
      </c>
    </row>
    <row r="1064" spans="26:26">
      <c r="Z1064" s="50">
        <f>'Agents'' Final Roster 0913-0919'!J986</f>
        <v>0</v>
      </c>
    </row>
    <row r="1065" spans="26:26">
      <c r="Z1065" s="50">
        <f>'Agents'' Final Roster 0913-0919'!J987</f>
        <v>0</v>
      </c>
    </row>
    <row r="1066" spans="26:26">
      <c r="Z1066" s="50">
        <f>'Agents'' Final Roster 0913-0919'!J988</f>
        <v>0</v>
      </c>
    </row>
    <row r="1067" spans="26:26">
      <c r="Z1067" s="50">
        <f>'Agents'' Final Roster 0913-0919'!J989</f>
        <v>0</v>
      </c>
    </row>
    <row r="1068" spans="26:26">
      <c r="Z1068" s="50">
        <f>'Agents'' Final Roster 0913-0919'!J990</f>
        <v>0</v>
      </c>
    </row>
    <row r="1069" spans="26:26">
      <c r="Z1069" s="50">
        <f>'Agents'' Final Roster 0913-0919'!J991</f>
        <v>0</v>
      </c>
    </row>
    <row r="1070" spans="26:26">
      <c r="Z1070" s="50">
        <f>'Agents'' Final Roster 0913-0919'!J992</f>
        <v>0</v>
      </c>
    </row>
    <row r="1071" spans="26:26">
      <c r="Z1071" s="50">
        <f>'Agents'' Final Roster 0913-0919'!J993</f>
        <v>0</v>
      </c>
    </row>
    <row r="1072" spans="26:26">
      <c r="Z1072" s="50">
        <f>'Agents'' Final Roster 0913-0919'!J994</f>
        <v>0</v>
      </c>
    </row>
    <row r="1073" spans="26:26">
      <c r="Z1073" s="50">
        <f>'Agents'' Final Roster 0913-0919'!J995</f>
        <v>0</v>
      </c>
    </row>
    <row r="1074" spans="26:26">
      <c r="Z1074" s="50">
        <f>'Agents'' Final Roster 0913-0919'!J996</f>
        <v>0</v>
      </c>
    </row>
    <row r="1075" spans="26:26">
      <c r="Z1075" s="50">
        <f>'Agents'' Final Roster 0913-0919'!J997</f>
        <v>0</v>
      </c>
    </row>
    <row r="1076" spans="26:26">
      <c r="Z1076" s="50">
        <f>'Agents'' Final Roster 0913-0919'!J998</f>
        <v>0</v>
      </c>
    </row>
    <row r="1077" spans="26:26">
      <c r="Z1077" s="50">
        <f>'Agents'' Final Roster 0913-0919'!J999</f>
        <v>0</v>
      </c>
    </row>
    <row r="1078" spans="26:26">
      <c r="Z1078" s="50">
        <f>'Agents'' Final Roster 0913-0919'!J1000</f>
        <v>0</v>
      </c>
    </row>
    <row r="1079" spans="26:26">
      <c r="Z1079" s="50">
        <f>'Agents'' Final Roster 0913-0919'!J1001</f>
        <v>0</v>
      </c>
    </row>
    <row r="1080" spans="26:26">
      <c r="Z1080" s="50">
        <f>'Agents'' Final Roster 0913-0919'!J1002</f>
        <v>0</v>
      </c>
    </row>
    <row r="1081" spans="26:26">
      <c r="Z1081" s="50">
        <f>'Agents'' Final Roster 0913-0919'!J1003</f>
        <v>0</v>
      </c>
    </row>
    <row r="1082" spans="26:26">
      <c r="Z1082" s="50">
        <f>'Agents'' Final Roster 0913-0919'!J1004</f>
        <v>0</v>
      </c>
    </row>
    <row r="1083" spans="26:26">
      <c r="Z1083" s="50">
        <f>'Agents'' Final Roster 0913-0919'!J1005</f>
        <v>0</v>
      </c>
    </row>
    <row r="1084" spans="26:26">
      <c r="Z1084" s="50">
        <f>'Agents'' Final Roster 0913-0919'!J1006</f>
        <v>0</v>
      </c>
    </row>
    <row r="1085" spans="26:26">
      <c r="Z1085" s="50">
        <f>'Agents'' Final Roster 0913-0919'!J1007</f>
        <v>0</v>
      </c>
    </row>
    <row r="1086" spans="26:26">
      <c r="Z1086" s="50">
        <f>'Agents'' Final Roster 0913-0919'!J1008</f>
        <v>0</v>
      </c>
    </row>
    <row r="1087" spans="26:26">
      <c r="Z1087" s="50">
        <f>'Agents'' Final Roster 0913-0919'!J1009</f>
        <v>0</v>
      </c>
    </row>
    <row r="1088" spans="26:26">
      <c r="Z1088" s="50">
        <f>'Agents'' Final Roster 0913-0919'!J1010</f>
        <v>0</v>
      </c>
    </row>
    <row r="1089" spans="26:26">
      <c r="Z1089" s="50">
        <f>'Agents'' Final Roster 0913-0919'!J1011</f>
        <v>0</v>
      </c>
    </row>
    <row r="1090" spans="26:26">
      <c r="Z1090" s="50">
        <f>'Agents'' Final Roster 0913-0919'!J1012</f>
        <v>0</v>
      </c>
    </row>
    <row r="1091" spans="26:26">
      <c r="Z1091" s="50">
        <f>'Agents'' Final Roster 0913-0919'!J1013</f>
        <v>0</v>
      </c>
    </row>
    <row r="1092" spans="26:26">
      <c r="Z1092" s="50">
        <f>'Agents'' Final Roster 0913-0919'!J1014</f>
        <v>0</v>
      </c>
    </row>
    <row r="1093" spans="26:26">
      <c r="Z1093" s="50">
        <f>'Agents'' Final Roster 0913-0919'!J1015</f>
        <v>0</v>
      </c>
    </row>
    <row r="1094" spans="26:26">
      <c r="Z1094" s="50">
        <f>'Agents'' Final Roster 0913-0919'!J1016</f>
        <v>0</v>
      </c>
    </row>
    <row r="1095" spans="26:26">
      <c r="Z1095" s="50">
        <f>'Agents'' Final Roster 0913-0919'!J1017</f>
        <v>0</v>
      </c>
    </row>
    <row r="1096" spans="26:26">
      <c r="Z1096" s="50">
        <f>'Agents'' Final Roster 0913-0919'!J1018</f>
        <v>0</v>
      </c>
    </row>
    <row r="1097" spans="26:26">
      <c r="Z1097" s="50">
        <f>'Agents'' Final Roster 0913-0919'!J1019</f>
        <v>0</v>
      </c>
    </row>
    <row r="1098" spans="26:26">
      <c r="Z1098" s="50">
        <f>'Agents'' Final Roster 0913-0919'!J1020</f>
        <v>0</v>
      </c>
    </row>
    <row r="1099" spans="26:26">
      <c r="Z1099" s="50">
        <f>'Agents'' Final Roster 0913-0919'!J1021</f>
        <v>0</v>
      </c>
    </row>
    <row r="1100" spans="26:26">
      <c r="Z1100" s="50">
        <f>'Agents'' Final Roster 0913-0919'!J1022</f>
        <v>0</v>
      </c>
    </row>
    <row r="1101" spans="26:26">
      <c r="Z1101" s="50">
        <f>'Agents'' Final Roster 0913-0919'!J1023</f>
        <v>0</v>
      </c>
    </row>
    <row r="1102" spans="26:26">
      <c r="Z1102" s="50">
        <f>'Agents'' Final Roster 0913-0919'!J1024</f>
        <v>0</v>
      </c>
    </row>
    <row r="1103" spans="26:26">
      <c r="Z1103" s="50">
        <f>'Agents'' Final Roster 0913-0919'!J1025</f>
        <v>0</v>
      </c>
    </row>
    <row r="1104" spans="26:26">
      <c r="Z1104" s="50">
        <f>'Agents'' Final Roster 0913-0919'!J1026</f>
        <v>0</v>
      </c>
    </row>
    <row r="1105" spans="26:26">
      <c r="Z1105" s="50">
        <f>'Agents'' Final Roster 0913-0919'!J1027</f>
        <v>0</v>
      </c>
    </row>
    <row r="1106" spans="26:26">
      <c r="Z1106" s="50">
        <f>'Agents'' Final Roster 0913-0919'!J1028</f>
        <v>0</v>
      </c>
    </row>
    <row r="1107" spans="26:26">
      <c r="Z1107" s="50">
        <f>'Agents'' Final Roster 0913-0919'!J1029</f>
        <v>0</v>
      </c>
    </row>
    <row r="1108" spans="26:26">
      <c r="Z1108" s="50">
        <f>'Agents'' Final Roster 0913-0919'!J1030</f>
        <v>0</v>
      </c>
    </row>
    <row r="1109" spans="26:26">
      <c r="Z1109" s="50">
        <f>'Agents'' Final Roster 0913-0919'!J1031</f>
        <v>0</v>
      </c>
    </row>
    <row r="1110" spans="26:26">
      <c r="Z1110" s="50">
        <f>'Agents'' Final Roster 0913-0919'!J1032</f>
        <v>0</v>
      </c>
    </row>
    <row r="1111" spans="26:26">
      <c r="Z1111" s="50">
        <f>'Agents'' Final Roster 0913-0919'!J1033</f>
        <v>0</v>
      </c>
    </row>
    <row r="1112" spans="26:26">
      <c r="Z1112" s="50">
        <f>'Agents'' Final Roster 0913-0919'!J1034</f>
        <v>0</v>
      </c>
    </row>
    <row r="1113" spans="26:26">
      <c r="Z1113" s="50">
        <f>'Agents'' Final Roster 0913-0919'!J1035</f>
        <v>0</v>
      </c>
    </row>
    <row r="1114" spans="26:26">
      <c r="Z1114" s="50">
        <f>'Agents'' Final Roster 0913-0919'!J1036</f>
        <v>0</v>
      </c>
    </row>
    <row r="1115" spans="26:26">
      <c r="Z1115" s="50">
        <f>'Agents'' Final Roster 0913-0919'!J1037</f>
        <v>0</v>
      </c>
    </row>
    <row r="1116" spans="26:26">
      <c r="Z1116" s="50">
        <f>'Agents'' Final Roster 0913-0919'!J1038</f>
        <v>0</v>
      </c>
    </row>
    <row r="1117" spans="26:26">
      <c r="Z1117" s="50">
        <f>'Agents'' Final Roster 0913-0919'!J1039</f>
        <v>0</v>
      </c>
    </row>
    <row r="1118" spans="26:26">
      <c r="Z1118" s="50">
        <f>'Agents'' Final Roster 0913-0919'!J1040</f>
        <v>0</v>
      </c>
    </row>
    <row r="1119" spans="26:26">
      <c r="Z1119" s="50">
        <f>'Agents'' Final Roster 0913-0919'!J1041</f>
        <v>0</v>
      </c>
    </row>
    <row r="1120" spans="26:26">
      <c r="Z1120" s="50">
        <f>'Agents'' Final Roster 0913-0919'!J1042</f>
        <v>0</v>
      </c>
    </row>
    <row r="1121" spans="26:26">
      <c r="Z1121" s="50">
        <f>'Agents'' Final Roster 0913-0919'!J1043</f>
        <v>0</v>
      </c>
    </row>
    <row r="1122" spans="26:26">
      <c r="Z1122" s="50">
        <f>'Agents'' Final Roster 0913-0919'!J1044</f>
        <v>0</v>
      </c>
    </row>
    <row r="1123" spans="26:26">
      <c r="Z1123" s="50">
        <f>'Agents'' Final Roster 0913-0919'!J1045</f>
        <v>0</v>
      </c>
    </row>
    <row r="1124" spans="26:26">
      <c r="Z1124" s="50">
        <f>'Agents'' Final Roster 0913-0919'!J1046</f>
        <v>0</v>
      </c>
    </row>
    <row r="1125" spans="26:26">
      <c r="Z1125" s="50">
        <f>'Agents'' Final Roster 0913-0919'!J1047</f>
        <v>0</v>
      </c>
    </row>
    <row r="1126" spans="26:26">
      <c r="Z1126" s="50">
        <f>'Agents'' Final Roster 0913-0919'!J1048</f>
        <v>0</v>
      </c>
    </row>
    <row r="1127" spans="26:26">
      <c r="Z1127" s="50">
        <f>'Agents'' Final Roster 0913-0919'!J1049</f>
        <v>0</v>
      </c>
    </row>
    <row r="1128" spans="26:26">
      <c r="Z1128" s="50">
        <f>'Agents'' Final Roster 0913-0919'!J1050</f>
        <v>0</v>
      </c>
    </row>
    <row r="1129" spans="26:26">
      <c r="Z1129" s="50">
        <f>'Agents'' Final Roster 0913-0919'!J1051</f>
        <v>0</v>
      </c>
    </row>
    <row r="1130" spans="26:26">
      <c r="Z1130" s="50">
        <f>'Agents'' Final Roster 0913-0919'!J1052</f>
        <v>0</v>
      </c>
    </row>
    <row r="1131" spans="26:26">
      <c r="Z1131" s="50">
        <f>'Agents'' Final Roster 0913-0919'!J1053</f>
        <v>0</v>
      </c>
    </row>
    <row r="1132" spans="26:26">
      <c r="Z1132" s="50">
        <f>'Agents'' Final Roster 0913-0919'!J1054</f>
        <v>0</v>
      </c>
    </row>
    <row r="1133" spans="26:26">
      <c r="Z1133" s="50">
        <f>'Agents'' Final Roster 0913-0919'!J1055</f>
        <v>0</v>
      </c>
    </row>
    <row r="1134" spans="26:26">
      <c r="Z1134" s="50">
        <f>'Agents'' Final Roster 0913-0919'!J1056</f>
        <v>0</v>
      </c>
    </row>
    <row r="1135" spans="26:26">
      <c r="Z1135" s="50">
        <f>'Agents'' Final Roster 0913-0919'!J1057</f>
        <v>0</v>
      </c>
    </row>
    <row r="1136" spans="26:26">
      <c r="Z1136" s="50">
        <f>'Agents'' Final Roster 0913-0919'!J1058</f>
        <v>0</v>
      </c>
    </row>
    <row r="1137" spans="26:26">
      <c r="Z1137" s="50">
        <f>'Agents'' Final Roster 0913-0919'!J1059</f>
        <v>0</v>
      </c>
    </row>
    <row r="1138" spans="26:26">
      <c r="Z1138" s="50">
        <f>'Agents'' Final Roster 0913-0919'!J1060</f>
        <v>0</v>
      </c>
    </row>
    <row r="1139" spans="26:26">
      <c r="Z1139" s="50">
        <f>'Agents'' Final Roster 0913-0919'!J1061</f>
        <v>0</v>
      </c>
    </row>
    <row r="1140" spans="26:26">
      <c r="Z1140" s="50">
        <f>'Agents'' Final Roster 0913-0919'!J1062</f>
        <v>0</v>
      </c>
    </row>
    <row r="1141" spans="26:26">
      <c r="Z1141" s="50">
        <f>'Agents'' Final Roster 0913-0919'!J1063</f>
        <v>0</v>
      </c>
    </row>
    <row r="1142" spans="26:26">
      <c r="Z1142" s="50">
        <f>'Agents'' Final Roster 0913-0919'!J1064</f>
        <v>0</v>
      </c>
    </row>
    <row r="1143" spans="26:26">
      <c r="Z1143" s="50">
        <f>'Agents'' Final Roster 0913-0919'!J1065</f>
        <v>0</v>
      </c>
    </row>
    <row r="1144" spans="26:26">
      <c r="Z1144" s="50">
        <f>'Agents'' Final Roster 0913-0919'!J1066</f>
        <v>0</v>
      </c>
    </row>
    <row r="1145" spans="26:26">
      <c r="Z1145" s="50">
        <f>'Agents'' Final Roster 0913-0919'!J1067</f>
        <v>0</v>
      </c>
    </row>
    <row r="1146" spans="26:26">
      <c r="Z1146" s="50">
        <f>'Agents'' Final Roster 0913-0919'!J1068</f>
        <v>0</v>
      </c>
    </row>
    <row r="1147" spans="26:26">
      <c r="Z1147" s="50">
        <f>'Agents'' Final Roster 0913-0919'!J1069</f>
        <v>0</v>
      </c>
    </row>
    <row r="1148" spans="26:26">
      <c r="Z1148" s="50">
        <f>'Agents'' Final Roster 0913-0919'!J1070</f>
        <v>0</v>
      </c>
    </row>
    <row r="1149" spans="26:26">
      <c r="Z1149" s="50">
        <f>'Agents'' Final Roster 0913-0919'!J1071</f>
        <v>0</v>
      </c>
    </row>
    <row r="1150" spans="26:26">
      <c r="Z1150" s="50">
        <f>'Agents'' Final Roster 0913-0919'!J1072</f>
        <v>0</v>
      </c>
    </row>
    <row r="1151" spans="26:26">
      <c r="Z1151" s="50">
        <f>'Agents'' Final Roster 0913-0919'!J1073</f>
        <v>0</v>
      </c>
    </row>
    <row r="1152" spans="26:26">
      <c r="Z1152" s="50">
        <f>'Agents'' Final Roster 0913-0919'!J1074</f>
        <v>0</v>
      </c>
    </row>
    <row r="1153" spans="26:26">
      <c r="Z1153" s="50">
        <f>'Agents'' Final Roster 0913-0919'!J1075</f>
        <v>0</v>
      </c>
    </row>
    <row r="1154" spans="26:26">
      <c r="Z1154" s="50">
        <f>'Agents'' Final Roster 0913-0919'!J1076</f>
        <v>0</v>
      </c>
    </row>
    <row r="1155" spans="26:26">
      <c r="Z1155" s="50">
        <f>'Agents'' Final Roster 0913-0919'!J1077</f>
        <v>0</v>
      </c>
    </row>
    <row r="1156" spans="26:26">
      <c r="Z1156" s="50">
        <f>'Agents'' Final Roster 0913-0919'!J1078</f>
        <v>0</v>
      </c>
    </row>
    <row r="1157" spans="26:26">
      <c r="Z1157" s="50">
        <f>'Agents'' Final Roster 0913-0919'!J1079</f>
        <v>0</v>
      </c>
    </row>
    <row r="1158" spans="26:26">
      <c r="Z1158" s="50">
        <f>'Agents'' Final Roster 0913-0919'!J1080</f>
        <v>0</v>
      </c>
    </row>
    <row r="1159" spans="26:26">
      <c r="Z1159" s="50">
        <f>'Agents'' Final Roster 0913-0919'!J1081</f>
        <v>0</v>
      </c>
    </row>
    <row r="1160" spans="26:26">
      <c r="Z1160" s="50">
        <f>'Agents'' Final Roster 0913-0919'!J1082</f>
        <v>0</v>
      </c>
    </row>
    <row r="1161" spans="26:26">
      <c r="Z1161" s="50">
        <f>'Agents'' Final Roster 0913-0919'!J1083</f>
        <v>0</v>
      </c>
    </row>
    <row r="1162" spans="26:26">
      <c r="Z1162" s="50">
        <f>'Agents'' Final Roster 0913-0919'!J1084</f>
        <v>0</v>
      </c>
    </row>
    <row r="1163" spans="26:26">
      <c r="Z1163" s="50">
        <f>'Agents'' Final Roster 0913-0919'!J1085</f>
        <v>0</v>
      </c>
    </row>
    <row r="1164" spans="26:26">
      <c r="Z1164" s="50">
        <f>'Agents'' Final Roster 0913-0919'!J1086</f>
        <v>0</v>
      </c>
    </row>
    <row r="1165" spans="26:26">
      <c r="Z1165" s="50">
        <f>'Agents'' Final Roster 0913-0919'!J1087</f>
        <v>0</v>
      </c>
    </row>
    <row r="1166" spans="26:26">
      <c r="Z1166" s="50">
        <f>'Agents'' Final Roster 0913-0919'!J1088</f>
        <v>0</v>
      </c>
    </row>
    <row r="1167" spans="26:26">
      <c r="Z1167" s="50">
        <f>'Agents'' Final Roster 0913-0919'!J1089</f>
        <v>0</v>
      </c>
    </row>
    <row r="1168" spans="26:26">
      <c r="Z1168" s="50">
        <f>'Agents'' Final Roster 0913-0919'!J1090</f>
        <v>0</v>
      </c>
    </row>
    <row r="1169" spans="26:26">
      <c r="Z1169" s="50">
        <f>'Agents'' Final Roster 0913-0919'!J1091</f>
        <v>0</v>
      </c>
    </row>
    <row r="1170" spans="26:26">
      <c r="Z1170" s="50">
        <f>'Agents'' Final Roster 0913-0919'!J1092</f>
        <v>0</v>
      </c>
    </row>
    <row r="1171" spans="26:26">
      <c r="Z1171" s="50">
        <f>'Agents'' Final Roster 0913-0919'!J1093</f>
        <v>0</v>
      </c>
    </row>
    <row r="1172" spans="26:26">
      <c r="Z1172" s="50">
        <f>'Agents'' Final Roster 0913-0919'!J1094</f>
        <v>0</v>
      </c>
    </row>
    <row r="1173" spans="26:26">
      <c r="Z1173" s="50">
        <f>'Agents'' Final Roster 0913-0919'!J1095</f>
        <v>0</v>
      </c>
    </row>
    <row r="1174" spans="26:26">
      <c r="Z1174" s="50">
        <f>'Agents'' Final Roster 0913-0919'!J1096</f>
        <v>0</v>
      </c>
    </row>
    <row r="1175" spans="26:26">
      <c r="Z1175" s="50">
        <f>'Agents'' Final Roster 0913-0919'!J1097</f>
        <v>0</v>
      </c>
    </row>
    <row r="1176" spans="26:26">
      <c r="Z1176" s="50">
        <f>'Agents'' Final Roster 0913-0919'!J1098</f>
        <v>0</v>
      </c>
    </row>
    <row r="1177" spans="26:26">
      <c r="Z1177" s="50">
        <f>'Agents'' Final Roster 0913-0919'!J1099</f>
        <v>0</v>
      </c>
    </row>
    <row r="1178" spans="26:26">
      <c r="Z1178" s="50">
        <f>'Agents'' Final Roster 0913-0919'!J1100</f>
        <v>0</v>
      </c>
    </row>
    <row r="1179" spans="26:26">
      <c r="Z1179" s="50">
        <f>'Agents'' Final Roster 0913-0919'!J1101</f>
        <v>0</v>
      </c>
    </row>
    <row r="1180" spans="26:26">
      <c r="Z1180" s="50">
        <f>'Agents'' Final Roster 0913-0919'!J1102</f>
        <v>0</v>
      </c>
    </row>
    <row r="1181" spans="26:26">
      <c r="Z1181" s="50">
        <f>'Agents'' Final Roster 0913-0919'!J1103</f>
        <v>0</v>
      </c>
    </row>
    <row r="1182" spans="26:26">
      <c r="Z1182" s="50">
        <f>'Agents'' Final Roster 0913-0919'!J1104</f>
        <v>0</v>
      </c>
    </row>
    <row r="1183" spans="26:26">
      <c r="Z1183" s="50">
        <f>'Agents'' Final Roster 0913-0919'!J1105</f>
        <v>0</v>
      </c>
    </row>
    <row r="1184" spans="26:26">
      <c r="Z1184" s="50">
        <f>'Agents'' Final Roster 0913-0919'!J1106</f>
        <v>0</v>
      </c>
    </row>
    <row r="1185" spans="26:26">
      <c r="Z1185" s="50">
        <f>'Agents'' Final Roster 0913-0919'!J1107</f>
        <v>0</v>
      </c>
    </row>
    <row r="1186" spans="26:26">
      <c r="Z1186" s="50">
        <f>'Agents'' Final Roster 0913-0919'!J1108</f>
        <v>0</v>
      </c>
    </row>
    <row r="1187" spans="26:26">
      <c r="Z1187" s="50">
        <f>'Agents'' Final Roster 0913-0919'!J1109</f>
        <v>0</v>
      </c>
    </row>
    <row r="1188" spans="26:26">
      <c r="Z1188" s="50">
        <f>'Agents'' Final Roster 0913-0919'!J1110</f>
        <v>0</v>
      </c>
    </row>
    <row r="1189" spans="26:26">
      <c r="Z1189" s="50">
        <f>'Agents'' Final Roster 0913-0919'!J1111</f>
        <v>0</v>
      </c>
    </row>
    <row r="1190" spans="26:26">
      <c r="Z1190" s="50">
        <f>'Agents'' Final Roster 0913-0919'!J1112</f>
        <v>0</v>
      </c>
    </row>
    <row r="1191" spans="26:26">
      <c r="Z1191" s="50">
        <f>'Agents'' Final Roster 0913-0919'!J1113</f>
        <v>0</v>
      </c>
    </row>
    <row r="1192" spans="26:26">
      <c r="Z1192" s="50">
        <f>'Agents'' Final Roster 0913-0919'!J1114</f>
        <v>0</v>
      </c>
    </row>
    <row r="1193" spans="26:26">
      <c r="Z1193" s="50">
        <f>'Agents'' Final Roster 0913-0919'!J1115</f>
        <v>0</v>
      </c>
    </row>
    <row r="1194" spans="26:26">
      <c r="Z1194" s="50">
        <f>'Agents'' Final Roster 0913-0919'!J1116</f>
        <v>0</v>
      </c>
    </row>
    <row r="1195" spans="26:26">
      <c r="Z1195" s="50">
        <f>'Agents'' Final Roster 0913-0919'!J1117</f>
        <v>0</v>
      </c>
    </row>
    <row r="1196" spans="26:26">
      <c r="Z1196" s="50">
        <f>'Agents'' Final Roster 0913-0919'!J1118</f>
        <v>0</v>
      </c>
    </row>
    <row r="1197" spans="26:26">
      <c r="Z1197" s="50">
        <f>'Agents'' Final Roster 0913-0919'!J1119</f>
        <v>0</v>
      </c>
    </row>
    <row r="1198" spans="26:26">
      <c r="Z1198" s="50">
        <f>'Agents'' Final Roster 0913-0919'!J1120</f>
        <v>0</v>
      </c>
    </row>
    <row r="1199" spans="26:26">
      <c r="Z1199" s="50">
        <f>'Agents'' Final Roster 0913-0919'!J1121</f>
        <v>0</v>
      </c>
    </row>
    <row r="1200" spans="26:26">
      <c r="Z1200" s="50">
        <f>'Agents'' Final Roster 0913-0919'!J1122</f>
        <v>0</v>
      </c>
    </row>
    <row r="1201" spans="26:26">
      <c r="Z1201" s="50">
        <f>'Agents'' Final Roster 0913-0919'!J1123</f>
        <v>0</v>
      </c>
    </row>
    <row r="1202" spans="26:26">
      <c r="Z1202" s="50">
        <f>'Agents'' Final Roster 0913-0919'!J1124</f>
        <v>0</v>
      </c>
    </row>
    <row r="1203" spans="26:26">
      <c r="Z1203" s="50">
        <f>'Agents'' Final Roster 0913-0919'!J1125</f>
        <v>0</v>
      </c>
    </row>
    <row r="1204" spans="26:26">
      <c r="Z1204" s="50">
        <f>'Agents'' Final Roster 0913-0919'!J1126</f>
        <v>0</v>
      </c>
    </row>
    <row r="1205" spans="26:26">
      <c r="Z1205" s="50">
        <f>'Agents'' Final Roster 0913-0919'!J1127</f>
        <v>0</v>
      </c>
    </row>
    <row r="1206" spans="26:26">
      <c r="Z1206" s="50">
        <f>'Agents'' Final Roster 0913-0919'!J1128</f>
        <v>0</v>
      </c>
    </row>
    <row r="1207" spans="26:26">
      <c r="Z1207" s="50">
        <f>'Agents'' Final Roster 0913-0919'!J1129</f>
        <v>0</v>
      </c>
    </row>
    <row r="1208" spans="26:26">
      <c r="Z1208" s="50">
        <f>'Agents'' Final Roster 0913-0919'!J1130</f>
        <v>0</v>
      </c>
    </row>
    <row r="1209" spans="26:26">
      <c r="Z1209" s="50">
        <f>'Agents'' Final Roster 0913-0919'!J1131</f>
        <v>0</v>
      </c>
    </row>
    <row r="1210" spans="26:26">
      <c r="Z1210" s="50">
        <f>'Agents'' Final Roster 0913-0919'!J1132</f>
        <v>0</v>
      </c>
    </row>
    <row r="1211" spans="26:26">
      <c r="Z1211" s="50">
        <f>'Agents'' Final Roster 0913-0919'!J1133</f>
        <v>0</v>
      </c>
    </row>
    <row r="1212" spans="26:26">
      <c r="Z1212" s="50">
        <f>'Agents'' Final Roster 0913-0919'!J1134</f>
        <v>0</v>
      </c>
    </row>
    <row r="1213" spans="26:26">
      <c r="Z1213" s="50">
        <f>'Agents'' Final Roster 0913-0919'!J1135</f>
        <v>0</v>
      </c>
    </row>
    <row r="1214" spans="26:26">
      <c r="Z1214" s="50">
        <f>'Agents'' Final Roster 0913-0919'!J1136</f>
        <v>0</v>
      </c>
    </row>
    <row r="1215" spans="26:26">
      <c r="Z1215" s="50">
        <f>'Agents'' Final Roster 0913-0919'!J1137</f>
        <v>0</v>
      </c>
    </row>
    <row r="1216" spans="26:26">
      <c r="Z1216" s="50">
        <f>'Agents'' Final Roster 0913-0919'!J1138</f>
        <v>0</v>
      </c>
    </row>
    <row r="1217" spans="26:26">
      <c r="Z1217" s="50">
        <f>'Agents'' Final Roster 0913-0919'!J1139</f>
        <v>0</v>
      </c>
    </row>
    <row r="1218" spans="26:26">
      <c r="Z1218" s="50">
        <f>'Agents'' Final Roster 0913-0919'!J1140</f>
        <v>0</v>
      </c>
    </row>
    <row r="1219" spans="26:26">
      <c r="Z1219" s="50">
        <f>'Agents'' Final Roster 0913-0919'!J1141</f>
        <v>0</v>
      </c>
    </row>
    <row r="1220" spans="26:26">
      <c r="Z1220" s="50">
        <f>'Agents'' Final Roster 0913-0919'!J1142</f>
        <v>0</v>
      </c>
    </row>
    <row r="1221" spans="26:26">
      <c r="Z1221" s="50">
        <f>'Agents'' Final Roster 0913-0919'!J1143</f>
        <v>0</v>
      </c>
    </row>
    <row r="1222" spans="26:26">
      <c r="Z1222" s="50">
        <f>'Agents'' Final Roster 0913-0919'!J1144</f>
        <v>0</v>
      </c>
    </row>
    <row r="1223" spans="26:26">
      <c r="Z1223" s="50">
        <f>'Agents'' Final Roster 0913-0919'!J1145</f>
        <v>0</v>
      </c>
    </row>
    <row r="1224" spans="26:26">
      <c r="Z1224" s="50">
        <f>'Agents'' Final Roster 0913-0919'!J1146</f>
        <v>0</v>
      </c>
    </row>
    <row r="1225" spans="26:26">
      <c r="Z1225" s="50">
        <f>'Agents'' Final Roster 0913-0919'!J1147</f>
        <v>0</v>
      </c>
    </row>
    <row r="1226" spans="26:26">
      <c r="Z1226" s="50">
        <f>'Agents'' Final Roster 0913-0919'!J1148</f>
        <v>0</v>
      </c>
    </row>
    <row r="1227" spans="26:26">
      <c r="Z1227" s="50">
        <f>'Agents'' Final Roster 0913-0919'!J1149</f>
        <v>0</v>
      </c>
    </row>
    <row r="1228" spans="26:26">
      <c r="Z1228" s="50">
        <f>'Agents'' Final Roster 0913-0919'!J1150</f>
        <v>0</v>
      </c>
    </row>
    <row r="1229" spans="26:26">
      <c r="Z1229" s="50">
        <f>'Agents'' Final Roster 0913-0919'!J1151</f>
        <v>0</v>
      </c>
    </row>
    <row r="1230" spans="26:26">
      <c r="Z1230" s="50">
        <f>'Agents'' Final Roster 0913-0919'!J1152</f>
        <v>0</v>
      </c>
    </row>
    <row r="1231" spans="26:26">
      <c r="Z1231" s="50">
        <f>'Agents'' Final Roster 0913-0919'!J1153</f>
        <v>0</v>
      </c>
    </row>
    <row r="1232" spans="26:26">
      <c r="Z1232" s="50">
        <f>'Agents'' Final Roster 0913-0919'!J1154</f>
        <v>0</v>
      </c>
    </row>
    <row r="1233" spans="26:26">
      <c r="Z1233" s="50">
        <f>'Agents'' Final Roster 0913-0919'!J1155</f>
        <v>0</v>
      </c>
    </row>
    <row r="1234" spans="26:26">
      <c r="Z1234" s="50">
        <f>'Agents'' Final Roster 0913-0919'!J1156</f>
        <v>0</v>
      </c>
    </row>
    <row r="1235" spans="26:26">
      <c r="Z1235" s="50">
        <f>'Agents'' Final Roster 0913-0919'!J1157</f>
        <v>0</v>
      </c>
    </row>
    <row r="1236" spans="26:26">
      <c r="Z1236" s="50">
        <f>'Agents'' Final Roster 0913-0919'!J1158</f>
        <v>0</v>
      </c>
    </row>
    <row r="1237" spans="26:26">
      <c r="Z1237" s="50">
        <f>'Agents'' Final Roster 0913-0919'!J1159</f>
        <v>0</v>
      </c>
    </row>
    <row r="1238" spans="26:26">
      <c r="Z1238" s="50">
        <f>'Agents'' Final Roster 0913-0919'!J1160</f>
        <v>0</v>
      </c>
    </row>
    <row r="1239" spans="26:26">
      <c r="Z1239" s="50">
        <f>'Agents'' Final Roster 0913-0919'!J1161</f>
        <v>0</v>
      </c>
    </row>
    <row r="1240" spans="26:26">
      <c r="Z1240" s="50">
        <f>'Agents'' Final Roster 0913-0919'!J1162</f>
        <v>0</v>
      </c>
    </row>
    <row r="1241" spans="26:26">
      <c r="Z1241" s="50">
        <f>'Agents'' Final Roster 0913-0919'!J1163</f>
        <v>0</v>
      </c>
    </row>
    <row r="1242" spans="26:26">
      <c r="Z1242" s="50">
        <f>'Agents'' Final Roster 0913-0919'!J1164</f>
        <v>0</v>
      </c>
    </row>
    <row r="1243" spans="26:26">
      <c r="Z1243" s="50">
        <f>'Agents'' Final Roster 0913-0919'!J1165</f>
        <v>0</v>
      </c>
    </row>
    <row r="1244" spans="26:26">
      <c r="Z1244" s="50">
        <f>'Agents'' Final Roster 0913-0919'!J1166</f>
        <v>0</v>
      </c>
    </row>
    <row r="1245" spans="26:26">
      <c r="Z1245" s="50">
        <f>'Agents'' Final Roster 0913-0919'!J1167</f>
        <v>0</v>
      </c>
    </row>
    <row r="1246" spans="26:26">
      <c r="Z1246" s="50">
        <f>'Agents'' Final Roster 0913-0919'!J1168</f>
        <v>0</v>
      </c>
    </row>
    <row r="1247" spans="26:26">
      <c r="Z1247" s="50">
        <f>'Agents'' Final Roster 0913-0919'!J1169</f>
        <v>0</v>
      </c>
    </row>
    <row r="1248" spans="26:26">
      <c r="Z1248" s="50">
        <f>'Agents'' Final Roster 0913-0919'!J1170</f>
        <v>0</v>
      </c>
    </row>
    <row r="1249" spans="26:26">
      <c r="Z1249" s="50">
        <f>'Agents'' Final Roster 0913-0919'!J1171</f>
        <v>0</v>
      </c>
    </row>
    <row r="1250" spans="26:26">
      <c r="Z1250" s="50">
        <f>'Agents'' Final Roster 0913-0919'!J1172</f>
        <v>0</v>
      </c>
    </row>
    <row r="1251" spans="26:26">
      <c r="Z1251" s="50">
        <f>'Agents'' Final Roster 0913-0919'!J1173</f>
        <v>0</v>
      </c>
    </row>
    <row r="1252" spans="26:26">
      <c r="Z1252" s="50">
        <f>'Agents'' Final Roster 0913-0919'!J1174</f>
        <v>0</v>
      </c>
    </row>
    <row r="1253" spans="26:26">
      <c r="Z1253" s="50">
        <f>'Agents'' Final Roster 0913-0919'!J1175</f>
        <v>0</v>
      </c>
    </row>
    <row r="1254" spans="26:26">
      <c r="Z1254" s="50">
        <f>'Agents'' Final Roster 0913-0919'!J1176</f>
        <v>0</v>
      </c>
    </row>
    <row r="1255" spans="26:26">
      <c r="Z1255" s="50">
        <f>'Agents'' Final Roster 0913-0919'!J1177</f>
        <v>0</v>
      </c>
    </row>
    <row r="1256" spans="26:26">
      <c r="Z1256" s="50">
        <f>'Agents'' Final Roster 0913-0919'!J1178</f>
        <v>0</v>
      </c>
    </row>
    <row r="1257" spans="26:26">
      <c r="Z1257" s="50">
        <f>'Agents'' Final Roster 0913-0919'!J1179</f>
        <v>0</v>
      </c>
    </row>
    <row r="1258" spans="26:26">
      <c r="Z1258" s="50">
        <f>'Agents'' Final Roster 0913-0919'!J1180</f>
        <v>0</v>
      </c>
    </row>
    <row r="1259" spans="26:26">
      <c r="Z1259" s="50">
        <f>'Agents'' Final Roster 0913-0919'!J1181</f>
        <v>0</v>
      </c>
    </row>
    <row r="1260" spans="26:26">
      <c r="Z1260" s="50">
        <f>'Agents'' Final Roster 0913-0919'!J1182</f>
        <v>0</v>
      </c>
    </row>
    <row r="1261" spans="26:26">
      <c r="Z1261" s="50">
        <f>'Agents'' Final Roster 0913-0919'!J1183</f>
        <v>0</v>
      </c>
    </row>
    <row r="1262" spans="26:26">
      <c r="Z1262" s="50">
        <f>'Agents'' Final Roster 0913-0919'!J1184</f>
        <v>0</v>
      </c>
    </row>
    <row r="1263" spans="26:26">
      <c r="Z1263" s="50">
        <f>'Agents'' Final Roster 0913-0919'!J1185</f>
        <v>0</v>
      </c>
    </row>
    <row r="1264" spans="26:26">
      <c r="Z1264" s="50">
        <f>'Agents'' Final Roster 0913-0919'!J1186</f>
        <v>0</v>
      </c>
    </row>
    <row r="1265" spans="26:26">
      <c r="Z1265" s="50">
        <f>'Agents'' Final Roster 0913-0919'!J1187</f>
        <v>0</v>
      </c>
    </row>
    <row r="1266" spans="26:26">
      <c r="Z1266" s="50">
        <f>'Agents'' Final Roster 0913-0919'!J1188</f>
        <v>0</v>
      </c>
    </row>
    <row r="1267" spans="26:26">
      <c r="Z1267" s="50">
        <f>'Agents'' Final Roster 0913-0919'!J1189</f>
        <v>0</v>
      </c>
    </row>
    <row r="1268" spans="26:26">
      <c r="Z1268" s="50">
        <f>'Agents'' Final Roster 0913-0919'!J1190</f>
        <v>0</v>
      </c>
    </row>
    <row r="1269" spans="26:26">
      <c r="Z1269" s="50">
        <f>'Agents'' Final Roster 0913-0919'!J1191</f>
        <v>0</v>
      </c>
    </row>
    <row r="1270" spans="26:26">
      <c r="Z1270" s="50">
        <f>'Agents'' Final Roster 0913-0919'!J1192</f>
        <v>0</v>
      </c>
    </row>
    <row r="1271" spans="26:26">
      <c r="Z1271" s="50">
        <f>'Agents'' Final Roster 0913-0919'!J1193</f>
        <v>0</v>
      </c>
    </row>
    <row r="1272" spans="26:26">
      <c r="Z1272" s="50">
        <f>'Agents'' Final Roster 0913-0919'!J1194</f>
        <v>0</v>
      </c>
    </row>
    <row r="1273" spans="26:26">
      <c r="Z1273" s="50">
        <f>'Agents'' Final Roster 0913-0919'!J1195</f>
        <v>0</v>
      </c>
    </row>
    <row r="1274" spans="26:26">
      <c r="Z1274" s="50">
        <f>'Agents'' Final Roster 0913-0919'!J1196</f>
        <v>0</v>
      </c>
    </row>
    <row r="1275" spans="26:26">
      <c r="Z1275" s="50">
        <f>'Agents'' Final Roster 0913-0919'!J1197</f>
        <v>0</v>
      </c>
    </row>
    <row r="1276" spans="26:26">
      <c r="Z1276" s="50">
        <f>'Agents'' Final Roster 0913-0919'!J1198</f>
        <v>0</v>
      </c>
    </row>
    <row r="1277" spans="26:26">
      <c r="Z1277" s="50">
        <f>'Agents'' Final Roster 0913-0919'!J1199</f>
        <v>0</v>
      </c>
    </row>
    <row r="1278" spans="26:26">
      <c r="Z1278" s="50">
        <f>'Agents'' Final Roster 0913-0919'!J1200</f>
        <v>0</v>
      </c>
    </row>
    <row r="1279" spans="26:26">
      <c r="Z1279" s="50">
        <f>'Agents'' Final Roster 0913-0919'!J1201</f>
        <v>0</v>
      </c>
    </row>
    <row r="1280" spans="26:26">
      <c r="Z1280" s="50">
        <f>'Agents'' Final Roster 0913-0919'!J1202</f>
        <v>0</v>
      </c>
    </row>
    <row r="1281" spans="26:26">
      <c r="Z1281" s="50">
        <f>'Agents'' Final Roster 0913-0919'!J1203</f>
        <v>0</v>
      </c>
    </row>
    <row r="1282" spans="26:26">
      <c r="Z1282" s="50">
        <f>'Agents'' Final Roster 0913-0919'!J1204</f>
        <v>0</v>
      </c>
    </row>
    <row r="1283" spans="26:26">
      <c r="Z1283" s="50">
        <f>'Agents'' Final Roster 0913-0919'!J1205</f>
        <v>0</v>
      </c>
    </row>
    <row r="1284" spans="26:26">
      <c r="Z1284" s="50">
        <f>'Agents'' Final Roster 0913-0919'!J1206</f>
        <v>0</v>
      </c>
    </row>
    <row r="1285" spans="26:26">
      <c r="Z1285" s="50">
        <f>'Agents'' Final Roster 0913-0919'!J1207</f>
        <v>0</v>
      </c>
    </row>
    <row r="1286" spans="26:26">
      <c r="Z1286" s="50">
        <f>'Agents'' Final Roster 0913-0919'!J1208</f>
        <v>0</v>
      </c>
    </row>
    <row r="1287" spans="26:26">
      <c r="Z1287" s="50">
        <f>'Agents'' Final Roster 0913-0919'!J1209</f>
        <v>0</v>
      </c>
    </row>
    <row r="1288" spans="26:26">
      <c r="Z1288" s="50">
        <f>'Agents'' Final Roster 0913-0919'!J1210</f>
        <v>0</v>
      </c>
    </row>
    <row r="1289" spans="26:26">
      <c r="Z1289" s="50">
        <f>'Agents'' Final Roster 0913-0919'!J1211</f>
        <v>0</v>
      </c>
    </row>
    <row r="1290" spans="26:26">
      <c r="Z1290" s="50">
        <f>'Agents'' Final Roster 0913-0919'!J1212</f>
        <v>0</v>
      </c>
    </row>
    <row r="1291" spans="26:26">
      <c r="Z1291" s="50">
        <f>'Agents'' Final Roster 0913-0919'!J1213</f>
        <v>0</v>
      </c>
    </row>
    <row r="1292" spans="26:26">
      <c r="Z1292" s="50">
        <f>'Agents'' Final Roster 0913-0919'!J1214</f>
        <v>0</v>
      </c>
    </row>
    <row r="1293" spans="26:26">
      <c r="Z1293" s="50">
        <f>'Agents'' Final Roster 0913-0919'!J1215</f>
        <v>0</v>
      </c>
    </row>
    <row r="1294" spans="26:26">
      <c r="Z1294" s="50">
        <f>'Agents'' Final Roster 0913-0919'!J1216</f>
        <v>0</v>
      </c>
    </row>
    <row r="1295" spans="26:26">
      <c r="Z1295" s="50">
        <f>'Agents'' Final Roster 0913-0919'!J1217</f>
        <v>0</v>
      </c>
    </row>
    <row r="1296" spans="26:26">
      <c r="Z1296" s="50">
        <f>'Agents'' Final Roster 0913-0919'!J1218</f>
        <v>0</v>
      </c>
    </row>
    <row r="1297" spans="26:26">
      <c r="Z1297" s="50">
        <f>'Agents'' Final Roster 0913-0919'!J1219</f>
        <v>0</v>
      </c>
    </row>
    <row r="1298" spans="26:26">
      <c r="Z1298" s="50">
        <f>'Agents'' Final Roster 0913-0919'!J1220</f>
        <v>0</v>
      </c>
    </row>
    <row r="1299" spans="26:26">
      <c r="Z1299" s="50">
        <f>'Agents'' Final Roster 0913-0919'!J1221</f>
        <v>0</v>
      </c>
    </row>
    <row r="1300" spans="26:26">
      <c r="Z1300" s="50">
        <f>'Agents'' Final Roster 0913-0919'!J1222</f>
        <v>0</v>
      </c>
    </row>
    <row r="1301" spans="26:26">
      <c r="Z1301" s="50">
        <f>'Agents'' Final Roster 0913-0919'!J1223</f>
        <v>0</v>
      </c>
    </row>
    <row r="1302" spans="26:26">
      <c r="Z1302" s="50">
        <f>'Agents'' Final Roster 0913-0919'!J1224</f>
        <v>0</v>
      </c>
    </row>
    <row r="1303" spans="26:26">
      <c r="Z1303" s="50">
        <f>'Agents'' Final Roster 0913-0919'!J1225</f>
        <v>0</v>
      </c>
    </row>
  </sheetData>
  <autoFilter ref="A1:AP1303">
    <extLst/>
  </autoFilter>
  <sortState ref="A2:AO708">
    <sortCondition ref="A2:A708"/>
    <sortCondition ref="B2:B708"/>
    <sortCondition ref="C2:C708"/>
  </sortState>
  <conditionalFormatting sqref="D1:P1">
    <cfRule type="cellIs" dxfId="9" priority="4737" operator="equal">
      <formula>"FER"</formula>
    </cfRule>
  </conditionalFormatting>
  <conditionalFormatting sqref="E1:K1">
    <cfRule type="cellIs" dxfId="9" priority="4723" operator="equal">
      <formula>"Pending Term"</formula>
    </cfRule>
  </conditionalFormatting>
  <conditionalFormatting sqref="F1:L1">
    <cfRule type="cellIs" dxfId="10" priority="4708" operator="equal">
      <formula>"off"</formula>
    </cfRule>
    <cfRule type="cellIs" dxfId="9" priority="4707" operator="equal">
      <formula>"LOA"</formula>
    </cfRule>
  </conditionalFormatting>
  <conditionalFormatting sqref="X3">
    <cfRule type="duplicateValues" dxfId="16" priority="818"/>
  </conditionalFormatting>
  <conditionalFormatting sqref="Y3">
    <cfRule type="duplicateValues" dxfId="16" priority="819"/>
  </conditionalFormatting>
  <conditionalFormatting sqref="AH3">
    <cfRule type="duplicateValues" dxfId="16" priority="820"/>
  </conditionalFormatting>
  <conditionalFormatting sqref="AI3">
    <cfRule type="duplicateValues" dxfId="16" priority="821"/>
  </conditionalFormatting>
  <conditionalFormatting sqref="A4">
    <cfRule type="cellIs" dxfId="9" priority="786" operator="equal">
      <formula>"LOA"</formula>
    </cfRule>
    <cfRule type="cellIs" dxfId="11" priority="787" operator="equal">
      <formula>"PENDING TERM"</formula>
    </cfRule>
    <cfRule type="cellIs" dxfId="12" priority="788" operator="equal">
      <formula>"PROMOTED"</formula>
    </cfRule>
    <cfRule type="cellIs" dxfId="13" priority="789" operator="equal">
      <formula>"REINSTATEMENT"</formula>
    </cfRule>
    <cfRule type="cellIs" dxfId="14" priority="790" operator="equal">
      <formula>"TERM"</formula>
    </cfRule>
    <cfRule type="cellIs" dxfId="9" priority="791" operator="equal">
      <formula>"TRANSFER"</formula>
    </cfRule>
  </conditionalFormatting>
  <conditionalFormatting sqref="E4:K4">
    <cfRule type="cellIs" dxfId="9" priority="792" operator="equal">
      <formula>"Approved Off"</formula>
    </cfRule>
    <cfRule type="cellIs" dxfId="9" priority="793" operator="equal">
      <formula>"LOA"</formula>
    </cfRule>
    <cfRule type="cellIs" dxfId="15" priority="794" operator="equal">
      <formula>"nesting"</formula>
    </cfRule>
    <cfRule type="cellIs" dxfId="10" priority="795" operator="equal">
      <formula>"off"</formula>
    </cfRule>
    <cfRule type="cellIs" dxfId="9" priority="796" operator="equal">
      <formula>"vac"</formula>
    </cfRule>
  </conditionalFormatting>
  <conditionalFormatting sqref="V4">
    <cfRule type="cellIs" dxfId="19" priority="797" operator="greaterThan">
      <formula>45</formula>
    </cfRule>
  </conditionalFormatting>
  <conditionalFormatting sqref="X4">
    <cfRule type="duplicateValues" dxfId="16" priority="798"/>
  </conditionalFormatting>
  <conditionalFormatting sqref="Y4">
    <cfRule type="duplicateValues" dxfId="16" priority="799"/>
  </conditionalFormatting>
  <conditionalFormatting sqref="AH4">
    <cfRule type="duplicateValues" dxfId="16" priority="800"/>
  </conditionalFormatting>
  <conditionalFormatting sqref="AI4">
    <cfRule type="duplicateValues" dxfId="16" priority="801"/>
  </conditionalFormatting>
  <conditionalFormatting sqref="A5">
    <cfRule type="cellIs" dxfId="9" priority="774" operator="equal">
      <formula>"LOA"</formula>
    </cfRule>
    <cfRule type="cellIs" dxfId="11" priority="775" operator="equal">
      <formula>"PENDING TERM"</formula>
    </cfRule>
    <cfRule type="cellIs" dxfId="12" priority="776" operator="equal">
      <formula>"PROMOTED"</formula>
    </cfRule>
    <cfRule type="cellIs" dxfId="13" priority="777" operator="equal">
      <formula>"REINSTATEMENT"</formula>
    </cfRule>
    <cfRule type="cellIs" dxfId="14" priority="778" operator="equal">
      <formula>"TERM"</formula>
    </cfRule>
    <cfRule type="cellIs" dxfId="9" priority="779" operator="equal">
      <formula>"TRANSFER"</formula>
    </cfRule>
  </conditionalFormatting>
  <conditionalFormatting sqref="E5:K5">
    <cfRule type="cellIs" dxfId="9" priority="780" operator="equal">
      <formula>"Approved Off"</formula>
    </cfRule>
    <cfRule type="cellIs" dxfId="9" priority="781" operator="equal">
      <formula>"LOA"</formula>
    </cfRule>
    <cfRule type="cellIs" dxfId="15" priority="782" operator="equal">
      <formula>"nesting"</formula>
    </cfRule>
    <cfRule type="cellIs" dxfId="10" priority="783" operator="equal">
      <formula>"off"</formula>
    </cfRule>
    <cfRule type="cellIs" dxfId="9" priority="784" operator="equal">
      <formula>"vac"</formula>
    </cfRule>
  </conditionalFormatting>
  <conditionalFormatting sqref="V5">
    <cfRule type="cellIs" dxfId="19" priority="785" operator="greaterThan">
      <formula>45</formula>
    </cfRule>
  </conditionalFormatting>
  <conditionalFormatting sqref="X5">
    <cfRule type="duplicateValues" dxfId="16" priority="814"/>
  </conditionalFormatting>
  <conditionalFormatting sqref="Y5">
    <cfRule type="duplicateValues" dxfId="16" priority="815"/>
  </conditionalFormatting>
  <conditionalFormatting sqref="AH5">
    <cfRule type="duplicateValues" dxfId="16" priority="816"/>
  </conditionalFormatting>
  <conditionalFormatting sqref="AI5">
    <cfRule type="duplicateValues" dxfId="16" priority="817"/>
  </conditionalFormatting>
  <conditionalFormatting sqref="W11">
    <cfRule type="duplicateValues" dxfId="16" priority="826"/>
  </conditionalFormatting>
  <conditionalFormatting sqref="X11">
    <cfRule type="duplicateValues" dxfId="16" priority="822"/>
  </conditionalFormatting>
  <conditionalFormatting sqref="Y11">
    <cfRule type="duplicateValues" dxfId="16" priority="823"/>
  </conditionalFormatting>
  <conditionalFormatting sqref="AH11">
    <cfRule type="duplicateValues" dxfId="16" priority="824"/>
  </conditionalFormatting>
  <conditionalFormatting sqref="AI11">
    <cfRule type="duplicateValues" dxfId="16" priority="825"/>
  </conditionalFormatting>
  <conditionalFormatting sqref="Z28">
    <cfRule type="duplicateValues" dxfId="16" priority="741"/>
  </conditionalFormatting>
  <conditionalFormatting sqref="AA28">
    <cfRule type="duplicateValues" dxfId="16" priority="735"/>
  </conditionalFormatting>
  <conditionalFormatting sqref="M30">
    <cfRule type="cellIs" dxfId="9" priority="361" operator="equal">
      <formula>"FER"</formula>
    </cfRule>
  </conditionalFormatting>
  <conditionalFormatting sqref="M34">
    <cfRule type="cellIs" dxfId="9" priority="358" operator="equal">
      <formula>"FER"</formula>
    </cfRule>
  </conditionalFormatting>
  <conditionalFormatting sqref="W35">
    <cfRule type="duplicateValues" dxfId="16" priority="860"/>
  </conditionalFormatting>
  <conditionalFormatting sqref="X35">
    <cfRule type="duplicateValues" dxfId="16" priority="856"/>
  </conditionalFormatting>
  <conditionalFormatting sqref="Y35">
    <cfRule type="duplicateValues" dxfId="16" priority="857"/>
  </conditionalFormatting>
  <conditionalFormatting sqref="AH35">
    <cfRule type="duplicateValues" dxfId="16" priority="858"/>
  </conditionalFormatting>
  <conditionalFormatting sqref="AI35">
    <cfRule type="duplicateValues" dxfId="16" priority="859"/>
  </conditionalFormatting>
  <conditionalFormatting sqref="A38">
    <cfRule type="cellIs" dxfId="9" priority="722" operator="equal">
      <formula>"LOA"</formula>
    </cfRule>
    <cfRule type="cellIs" dxfId="11" priority="723" operator="equal">
      <formula>"PENDING TERM"</formula>
    </cfRule>
    <cfRule type="cellIs" dxfId="12" priority="724" operator="equal">
      <formula>"PROMOTED"</formula>
    </cfRule>
    <cfRule type="cellIs" dxfId="13" priority="725" operator="equal">
      <formula>"REINSTATEMENT"</formula>
    </cfRule>
    <cfRule type="cellIs" dxfId="14" priority="726" operator="equal">
      <formula>"TERM"</formula>
    </cfRule>
    <cfRule type="cellIs" dxfId="9" priority="727" operator="equal">
      <formula>"TRANSFER"</formula>
    </cfRule>
  </conditionalFormatting>
  <conditionalFormatting sqref="E38:K38">
    <cfRule type="cellIs" dxfId="9" priority="761" operator="equal">
      <formula>"Approved Off"</formula>
    </cfRule>
    <cfRule type="cellIs" dxfId="9" priority="762" operator="equal">
      <formula>"LOA"</formula>
    </cfRule>
    <cfRule type="cellIs" dxfId="15" priority="763" operator="equal">
      <formula>"nesting"</formula>
    </cfRule>
    <cfRule type="cellIs" dxfId="10" priority="764" operator="equal">
      <formula>"off"</formula>
    </cfRule>
    <cfRule type="cellIs" dxfId="9" priority="765" operator="equal">
      <formula>"vac"</formula>
    </cfRule>
    <cfRule type="cellIs" dxfId="9" priority="760" operator="equal">
      <formula>"Study Day"</formula>
    </cfRule>
    <cfRule type="cellIs" dxfId="9" priority="759" operator="equal">
      <formula>"FER"</formula>
    </cfRule>
  </conditionalFormatting>
  <conditionalFormatting sqref="V38">
    <cfRule type="cellIs" dxfId="19" priority="766" operator="greaterThan">
      <formula>45</formula>
    </cfRule>
  </conditionalFormatting>
  <conditionalFormatting sqref="W38">
    <cfRule type="duplicateValues" dxfId="16" priority="771"/>
  </conditionalFormatting>
  <conditionalFormatting sqref="X38">
    <cfRule type="duplicateValues" dxfId="16" priority="767"/>
  </conditionalFormatting>
  <conditionalFormatting sqref="Y38">
    <cfRule type="duplicateValues" dxfId="16" priority="768"/>
  </conditionalFormatting>
  <conditionalFormatting sqref="Z38">
    <cfRule type="duplicateValues" dxfId="16" priority="740"/>
  </conditionalFormatting>
  <conditionalFormatting sqref="AA38">
    <cfRule type="duplicateValues" dxfId="16" priority="734"/>
  </conditionalFormatting>
  <conditionalFormatting sqref="AH38">
    <cfRule type="duplicateValues" dxfId="16" priority="769"/>
  </conditionalFormatting>
  <conditionalFormatting sqref="AI38">
    <cfRule type="duplicateValues" dxfId="16" priority="770"/>
  </conditionalFormatting>
  <conditionalFormatting sqref="Z42">
    <cfRule type="duplicateValues" dxfId="16" priority="739"/>
  </conditionalFormatting>
  <conditionalFormatting sqref="AA42">
    <cfRule type="duplicateValues" dxfId="16" priority="733"/>
  </conditionalFormatting>
  <conditionalFormatting sqref="A54">
    <cfRule type="cellIs" dxfId="9" priority="716" operator="equal">
      <formula>"LOA"</formula>
    </cfRule>
    <cfRule type="cellIs" dxfId="11" priority="717" operator="equal">
      <formula>"PENDING TERM"</formula>
    </cfRule>
    <cfRule type="cellIs" dxfId="12" priority="718" operator="equal">
      <formula>"PROMOTED"</formula>
    </cfRule>
    <cfRule type="cellIs" dxfId="13" priority="719" operator="equal">
      <formula>"REINSTATEMENT"</formula>
    </cfRule>
    <cfRule type="cellIs" dxfId="14" priority="720" operator="equal">
      <formula>"TERM"</formula>
    </cfRule>
    <cfRule type="cellIs" dxfId="9" priority="721" operator="equal">
      <formula>"TRANSFER"</formula>
    </cfRule>
  </conditionalFormatting>
  <conditionalFormatting sqref="E54:K54">
    <cfRule type="cellIs" dxfId="9" priority="747" operator="equal">
      <formula>"Approved Off"</formula>
    </cfRule>
    <cfRule type="cellIs" dxfId="9" priority="748" operator="equal">
      <formula>"LOA"</formula>
    </cfRule>
    <cfRule type="cellIs" dxfId="15" priority="749" operator="equal">
      <formula>"nesting"</formula>
    </cfRule>
    <cfRule type="cellIs" dxfId="10" priority="750" operator="equal">
      <formula>"off"</formula>
    </cfRule>
    <cfRule type="cellIs" dxfId="9" priority="751" operator="equal">
      <formula>"vac"</formula>
    </cfRule>
    <cfRule type="cellIs" dxfId="9" priority="746" operator="equal">
      <formula>"Study Day"</formula>
    </cfRule>
    <cfRule type="cellIs" dxfId="9" priority="745" operator="equal">
      <formula>"FER"</formula>
    </cfRule>
    <cfRule type="cellIs" dxfId="9" priority="744" operator="equal">
      <formula>"Pending Term"</formula>
    </cfRule>
  </conditionalFormatting>
  <conditionalFormatting sqref="V54">
    <cfRule type="cellIs" dxfId="19" priority="752" operator="greaterThan">
      <formula>45</formula>
    </cfRule>
  </conditionalFormatting>
  <conditionalFormatting sqref="W54">
    <cfRule type="duplicateValues" dxfId="16" priority="757"/>
  </conditionalFormatting>
  <conditionalFormatting sqref="X54">
    <cfRule type="duplicateValues" dxfId="16" priority="753"/>
  </conditionalFormatting>
  <conditionalFormatting sqref="Y54">
    <cfRule type="duplicateValues" dxfId="16" priority="754"/>
  </conditionalFormatting>
  <conditionalFormatting sqref="AH54">
    <cfRule type="duplicateValues" dxfId="16" priority="755"/>
  </conditionalFormatting>
  <conditionalFormatting sqref="AI54">
    <cfRule type="duplicateValues" dxfId="16" priority="756"/>
  </conditionalFormatting>
  <conditionalFormatting sqref="Z71">
    <cfRule type="duplicateValues" dxfId="16" priority="738"/>
  </conditionalFormatting>
  <conditionalFormatting sqref="AA71">
    <cfRule type="duplicateValues" dxfId="16" priority="732"/>
  </conditionalFormatting>
  <conditionalFormatting sqref="M72">
    <cfRule type="cellIs" dxfId="9" priority="357" operator="equal">
      <formula>"FER"</formula>
    </cfRule>
  </conditionalFormatting>
  <conditionalFormatting sqref="M74">
    <cfRule type="cellIs" dxfId="9" priority="356" operator="equal">
      <formula>"FER"</formula>
    </cfRule>
  </conditionalFormatting>
  <conditionalFormatting sqref="M76">
    <cfRule type="cellIs" dxfId="9" priority="355" operator="equal">
      <formula>"FER"</formula>
    </cfRule>
  </conditionalFormatting>
  <conditionalFormatting sqref="M80">
    <cfRule type="cellIs" dxfId="9" priority="354" operator="equal">
      <formula>"FER"</formula>
    </cfRule>
  </conditionalFormatting>
  <conditionalFormatting sqref="Z87">
    <cfRule type="duplicateValues" dxfId="16" priority="737"/>
  </conditionalFormatting>
  <conditionalFormatting sqref="AA87">
    <cfRule type="duplicateValues" dxfId="16" priority="731"/>
  </conditionalFormatting>
  <conditionalFormatting sqref="Z88">
    <cfRule type="duplicateValues" dxfId="16" priority="736"/>
  </conditionalFormatting>
  <conditionalFormatting sqref="AA88">
    <cfRule type="duplicateValues" dxfId="16" priority="730"/>
  </conditionalFormatting>
  <conditionalFormatting sqref="M89">
    <cfRule type="cellIs" dxfId="9" priority="353" operator="equal">
      <formula>"FER"</formula>
    </cfRule>
  </conditionalFormatting>
  <conditionalFormatting sqref="A90">
    <cfRule type="cellIs" dxfId="9" priority="710" operator="equal">
      <formula>"LOA"</formula>
    </cfRule>
    <cfRule type="cellIs" dxfId="11" priority="711" operator="equal">
      <formula>"PENDING TERM"</formula>
    </cfRule>
    <cfRule type="cellIs" dxfId="12" priority="712" operator="equal">
      <formula>"PROMOTED"</formula>
    </cfRule>
    <cfRule type="cellIs" dxfId="13" priority="713" operator="equal">
      <formula>"REINSTATEMENT"</formula>
    </cfRule>
    <cfRule type="cellIs" dxfId="14" priority="714" operator="equal">
      <formula>"TERM"</formula>
    </cfRule>
    <cfRule type="cellIs" dxfId="9" priority="715" operator="equal">
      <formula>"TRANSFER"</formula>
    </cfRule>
  </conditionalFormatting>
  <conditionalFormatting sqref="M90">
    <cfRule type="cellIs" dxfId="9" priority="360" operator="equal">
      <formula>"FER"</formula>
    </cfRule>
  </conditionalFormatting>
  <conditionalFormatting sqref="A91">
    <cfRule type="cellIs" dxfId="9" priority="704" operator="equal">
      <formula>"LOA"</formula>
    </cfRule>
    <cfRule type="cellIs" dxfId="11" priority="705" operator="equal">
      <formula>"PENDING TERM"</formula>
    </cfRule>
    <cfRule type="cellIs" dxfId="12" priority="706" operator="equal">
      <formula>"PROMOTED"</formula>
    </cfRule>
    <cfRule type="cellIs" dxfId="13" priority="707" operator="equal">
      <formula>"REINSTATEMENT"</formula>
    </cfRule>
    <cfRule type="cellIs" dxfId="14" priority="708" operator="equal">
      <formula>"TERM"</formula>
    </cfRule>
    <cfRule type="cellIs" dxfId="9" priority="709" operator="equal">
      <formula>"TRANSFER"</formula>
    </cfRule>
  </conditionalFormatting>
  <conditionalFormatting sqref="A97">
    <cfRule type="cellIs" dxfId="9" priority="698" operator="equal">
      <formula>"LOA"</formula>
    </cfRule>
    <cfRule type="cellIs" dxfId="11" priority="699" operator="equal">
      <formula>"PENDING TERM"</formula>
    </cfRule>
    <cfRule type="cellIs" dxfId="12" priority="700" operator="equal">
      <formula>"PROMOTED"</formula>
    </cfRule>
    <cfRule type="cellIs" dxfId="13" priority="701" operator="equal">
      <formula>"REINSTATEMENT"</formula>
    </cfRule>
    <cfRule type="cellIs" dxfId="14" priority="702" operator="equal">
      <formula>"TERM"</formula>
    </cfRule>
    <cfRule type="cellIs" dxfId="9" priority="703" operator="equal">
      <formula>"TRANSFER"</formula>
    </cfRule>
  </conditionalFormatting>
  <conditionalFormatting sqref="M103">
    <cfRule type="cellIs" dxfId="9" priority="352" operator="equal">
      <formula>"FER"</formula>
    </cfRule>
  </conditionalFormatting>
  <conditionalFormatting sqref="M106">
    <cfRule type="cellIs" dxfId="9" priority="728" operator="equal">
      <formula>"FER"</formula>
    </cfRule>
  </conditionalFormatting>
  <conditionalFormatting sqref="A107">
    <cfRule type="cellIs" dxfId="9" priority="692" operator="equal">
      <formula>"LOA"</formula>
    </cfRule>
    <cfRule type="cellIs" dxfId="11" priority="693" operator="equal">
      <formula>"PENDING TERM"</formula>
    </cfRule>
    <cfRule type="cellIs" dxfId="12" priority="694" operator="equal">
      <formula>"PROMOTED"</formula>
    </cfRule>
    <cfRule type="cellIs" dxfId="13" priority="695" operator="equal">
      <formula>"REINSTATEMENT"</formula>
    </cfRule>
    <cfRule type="cellIs" dxfId="14" priority="696" operator="equal">
      <formula>"TERM"</formula>
    </cfRule>
    <cfRule type="cellIs" dxfId="9" priority="697" operator="equal">
      <formula>"TRANSFER"</formula>
    </cfRule>
  </conditionalFormatting>
  <conditionalFormatting sqref="A115">
    <cfRule type="cellIs" dxfId="9" priority="686" operator="equal">
      <formula>"LOA"</formula>
    </cfRule>
    <cfRule type="cellIs" dxfId="11" priority="687" operator="equal">
      <formula>"PENDING TERM"</formula>
    </cfRule>
    <cfRule type="cellIs" dxfId="12" priority="688" operator="equal">
      <formula>"PROMOTED"</formula>
    </cfRule>
    <cfRule type="cellIs" dxfId="13" priority="689" operator="equal">
      <formula>"REINSTATEMENT"</formula>
    </cfRule>
    <cfRule type="cellIs" dxfId="14" priority="690" operator="equal">
      <formula>"TERM"</formula>
    </cfRule>
    <cfRule type="cellIs" dxfId="9" priority="691" operator="equal">
      <formula>"TRANSFER"</formula>
    </cfRule>
  </conditionalFormatting>
  <conditionalFormatting sqref="A123">
    <cfRule type="cellIs" dxfId="9" priority="680" operator="equal">
      <formula>"LOA"</formula>
    </cfRule>
    <cfRule type="cellIs" dxfId="11" priority="681" operator="equal">
      <formula>"PENDING TERM"</formula>
    </cfRule>
    <cfRule type="cellIs" dxfId="12" priority="682" operator="equal">
      <formula>"PROMOTED"</formula>
    </cfRule>
    <cfRule type="cellIs" dxfId="13" priority="683" operator="equal">
      <formula>"REINSTATEMENT"</formula>
    </cfRule>
    <cfRule type="cellIs" dxfId="14" priority="684" operator="equal">
      <formula>"TERM"</formula>
    </cfRule>
    <cfRule type="cellIs" dxfId="9" priority="685" operator="equal">
      <formula>"TRANSFER"</formula>
    </cfRule>
  </conditionalFormatting>
  <conditionalFormatting sqref="M124">
    <cfRule type="cellIs" dxfId="9" priority="351" operator="equal">
      <formula>"FER"</formula>
    </cfRule>
  </conditionalFormatting>
  <conditionalFormatting sqref="M125">
    <cfRule type="cellIs" dxfId="9" priority="350" operator="equal">
      <formula>"FER"</formula>
    </cfRule>
  </conditionalFormatting>
  <conditionalFormatting sqref="A127">
    <cfRule type="cellIs" dxfId="9" priority="674" operator="equal">
      <formula>"LOA"</formula>
    </cfRule>
    <cfRule type="cellIs" dxfId="11" priority="675" operator="equal">
      <formula>"PENDING TERM"</formula>
    </cfRule>
    <cfRule type="cellIs" dxfId="12" priority="676" operator="equal">
      <formula>"PROMOTED"</formula>
    </cfRule>
    <cfRule type="cellIs" dxfId="13" priority="677" operator="equal">
      <formula>"REINSTATEMENT"</formula>
    </cfRule>
    <cfRule type="cellIs" dxfId="14" priority="678" operator="equal">
      <formula>"TERM"</formula>
    </cfRule>
    <cfRule type="cellIs" dxfId="9" priority="679" operator="equal">
      <formula>"TRANSFER"</formula>
    </cfRule>
  </conditionalFormatting>
  <conditionalFormatting sqref="A136">
    <cfRule type="cellIs" dxfId="9" priority="668" operator="equal">
      <formula>"LOA"</formula>
    </cfRule>
    <cfRule type="cellIs" dxfId="11" priority="669" operator="equal">
      <formula>"PENDING TERM"</formula>
    </cfRule>
    <cfRule type="cellIs" dxfId="12" priority="670" operator="equal">
      <formula>"PROMOTED"</formula>
    </cfRule>
    <cfRule type="cellIs" dxfId="13" priority="671" operator="equal">
      <formula>"REINSTATEMENT"</formula>
    </cfRule>
    <cfRule type="cellIs" dxfId="14" priority="672" operator="equal">
      <formula>"TERM"</formula>
    </cfRule>
    <cfRule type="cellIs" dxfId="9" priority="673" operator="equal">
      <formula>"TRANSFER"</formula>
    </cfRule>
  </conditionalFormatting>
  <conditionalFormatting sqref="M136">
    <cfRule type="cellIs" dxfId="9" priority="359" operator="equal">
      <formula>"FER"</formula>
    </cfRule>
  </conditionalFormatting>
  <conditionalFormatting sqref="A137">
    <cfRule type="cellIs" dxfId="9" priority="662" operator="equal">
      <formula>"LOA"</formula>
    </cfRule>
    <cfRule type="cellIs" dxfId="11" priority="663" operator="equal">
      <formula>"PENDING TERM"</formula>
    </cfRule>
    <cfRule type="cellIs" dxfId="12" priority="664" operator="equal">
      <formula>"PROMOTED"</formula>
    </cfRule>
    <cfRule type="cellIs" dxfId="13" priority="665" operator="equal">
      <formula>"REINSTATEMENT"</formula>
    </cfRule>
    <cfRule type="cellIs" dxfId="14" priority="666" operator="equal">
      <formula>"TERM"</formula>
    </cfRule>
    <cfRule type="cellIs" dxfId="9" priority="667" operator="equal">
      <formula>"TRANSFER"</formula>
    </cfRule>
  </conditionalFormatting>
  <conditionalFormatting sqref="A138">
    <cfRule type="cellIs" dxfId="9" priority="656" operator="equal">
      <formula>"LOA"</formula>
    </cfRule>
    <cfRule type="cellIs" dxfId="11" priority="657" operator="equal">
      <formula>"PENDING TERM"</formula>
    </cfRule>
    <cfRule type="cellIs" dxfId="12" priority="658" operator="equal">
      <formula>"PROMOTED"</formula>
    </cfRule>
    <cfRule type="cellIs" dxfId="13" priority="659" operator="equal">
      <formula>"REINSTATEMENT"</formula>
    </cfRule>
    <cfRule type="cellIs" dxfId="14" priority="660" operator="equal">
      <formula>"TERM"</formula>
    </cfRule>
    <cfRule type="cellIs" dxfId="9" priority="661" operator="equal">
      <formula>"TRANSFER"</formula>
    </cfRule>
  </conditionalFormatting>
  <conditionalFormatting sqref="M138">
    <cfRule type="cellIs" dxfId="9" priority="349" operator="equal">
      <formula>"FER"</formula>
    </cfRule>
  </conditionalFormatting>
  <conditionalFormatting sqref="A139">
    <cfRule type="cellIs" dxfId="9" priority="650" operator="equal">
      <formula>"LOA"</formula>
    </cfRule>
    <cfRule type="cellIs" dxfId="11" priority="651" operator="equal">
      <formula>"PENDING TERM"</formula>
    </cfRule>
    <cfRule type="cellIs" dxfId="12" priority="652" operator="equal">
      <formula>"PROMOTED"</formula>
    </cfRule>
    <cfRule type="cellIs" dxfId="13" priority="653" operator="equal">
      <formula>"REINSTATEMENT"</formula>
    </cfRule>
    <cfRule type="cellIs" dxfId="14" priority="654" operator="equal">
      <formula>"TERM"</formula>
    </cfRule>
    <cfRule type="cellIs" dxfId="9" priority="655" operator="equal">
      <formula>"TRANSFER"</formula>
    </cfRule>
  </conditionalFormatting>
  <conditionalFormatting sqref="A140">
    <cfRule type="cellIs" dxfId="9" priority="644" operator="equal">
      <formula>"LOA"</formula>
    </cfRule>
    <cfRule type="cellIs" dxfId="11" priority="645" operator="equal">
      <formula>"PENDING TERM"</formula>
    </cfRule>
    <cfRule type="cellIs" dxfId="12" priority="646" operator="equal">
      <formula>"PROMOTED"</formula>
    </cfRule>
    <cfRule type="cellIs" dxfId="13" priority="647" operator="equal">
      <formula>"REINSTATEMENT"</formula>
    </cfRule>
    <cfRule type="cellIs" dxfId="14" priority="648" operator="equal">
      <formula>"TERM"</formula>
    </cfRule>
    <cfRule type="cellIs" dxfId="9" priority="649" operator="equal">
      <formula>"TRANSFER"</formula>
    </cfRule>
  </conditionalFormatting>
  <conditionalFormatting sqref="A141">
    <cfRule type="cellIs" dxfId="9" priority="638" operator="equal">
      <formula>"LOA"</formula>
    </cfRule>
    <cfRule type="cellIs" dxfId="11" priority="639" operator="equal">
      <formula>"PENDING TERM"</formula>
    </cfRule>
    <cfRule type="cellIs" dxfId="12" priority="640" operator="equal">
      <formula>"PROMOTED"</formula>
    </cfRule>
    <cfRule type="cellIs" dxfId="13" priority="641" operator="equal">
      <formula>"REINSTATEMENT"</formula>
    </cfRule>
    <cfRule type="cellIs" dxfId="14" priority="642" operator="equal">
      <formula>"TERM"</formula>
    </cfRule>
    <cfRule type="cellIs" dxfId="9" priority="643" operator="equal">
      <formula>"TRANSFER"</formula>
    </cfRule>
  </conditionalFormatting>
  <conditionalFormatting sqref="A142">
    <cfRule type="cellIs" dxfId="9" priority="632" operator="equal">
      <formula>"LOA"</formula>
    </cfRule>
    <cfRule type="cellIs" dxfId="11" priority="633" operator="equal">
      <formula>"PENDING TERM"</formula>
    </cfRule>
    <cfRule type="cellIs" dxfId="12" priority="634" operator="equal">
      <formula>"PROMOTED"</formula>
    </cfRule>
    <cfRule type="cellIs" dxfId="13" priority="635" operator="equal">
      <formula>"REINSTATEMENT"</formula>
    </cfRule>
    <cfRule type="cellIs" dxfId="14" priority="636" operator="equal">
      <formula>"TERM"</formula>
    </cfRule>
    <cfRule type="cellIs" dxfId="9" priority="637" operator="equal">
      <formula>"TRANSFER"</formula>
    </cfRule>
  </conditionalFormatting>
  <conditionalFormatting sqref="A143">
    <cfRule type="cellIs" dxfId="9" priority="626" operator="equal">
      <formula>"LOA"</formula>
    </cfRule>
    <cfRule type="cellIs" dxfId="11" priority="627" operator="equal">
      <formula>"PENDING TERM"</formula>
    </cfRule>
    <cfRule type="cellIs" dxfId="12" priority="628" operator="equal">
      <formula>"PROMOTED"</formula>
    </cfRule>
    <cfRule type="cellIs" dxfId="13" priority="629" operator="equal">
      <formula>"REINSTATEMENT"</formula>
    </cfRule>
    <cfRule type="cellIs" dxfId="14" priority="630" operator="equal">
      <formula>"TERM"</formula>
    </cfRule>
    <cfRule type="cellIs" dxfId="9" priority="631" operator="equal">
      <formula>"TRANSFER"</formula>
    </cfRule>
  </conditionalFormatting>
  <conditionalFormatting sqref="A144">
    <cfRule type="cellIs" dxfId="9" priority="620" operator="equal">
      <formula>"LOA"</formula>
    </cfRule>
    <cfRule type="cellIs" dxfId="11" priority="621" operator="equal">
      <formula>"PENDING TERM"</formula>
    </cfRule>
    <cfRule type="cellIs" dxfId="12" priority="622" operator="equal">
      <formula>"PROMOTED"</formula>
    </cfRule>
    <cfRule type="cellIs" dxfId="13" priority="623" operator="equal">
      <formula>"REINSTATEMENT"</formula>
    </cfRule>
    <cfRule type="cellIs" dxfId="14" priority="624" operator="equal">
      <formula>"TERM"</formula>
    </cfRule>
    <cfRule type="cellIs" dxfId="9" priority="625" operator="equal">
      <formula>"TRANSFER"</formula>
    </cfRule>
  </conditionalFormatting>
  <conditionalFormatting sqref="A145">
    <cfRule type="cellIs" dxfId="9" priority="614" operator="equal">
      <formula>"LOA"</formula>
    </cfRule>
    <cfRule type="cellIs" dxfId="11" priority="615" operator="equal">
      <formula>"PENDING TERM"</formula>
    </cfRule>
    <cfRule type="cellIs" dxfId="12" priority="616" operator="equal">
      <formula>"PROMOTED"</formula>
    </cfRule>
    <cfRule type="cellIs" dxfId="13" priority="617" operator="equal">
      <formula>"REINSTATEMENT"</formula>
    </cfRule>
    <cfRule type="cellIs" dxfId="14" priority="618" operator="equal">
      <formula>"TERM"</formula>
    </cfRule>
    <cfRule type="cellIs" dxfId="9" priority="619" operator="equal">
      <formula>"TRANSFER"</formula>
    </cfRule>
  </conditionalFormatting>
  <conditionalFormatting sqref="A146">
    <cfRule type="cellIs" dxfId="9" priority="608" operator="equal">
      <formula>"LOA"</formula>
    </cfRule>
    <cfRule type="cellIs" dxfId="11" priority="609" operator="equal">
      <formula>"PENDING TERM"</formula>
    </cfRule>
    <cfRule type="cellIs" dxfId="12" priority="610" operator="equal">
      <formula>"PROMOTED"</formula>
    </cfRule>
    <cfRule type="cellIs" dxfId="13" priority="611" operator="equal">
      <formula>"REINSTATEMENT"</formula>
    </cfRule>
    <cfRule type="cellIs" dxfId="14" priority="612" operator="equal">
      <formula>"TERM"</formula>
    </cfRule>
    <cfRule type="cellIs" dxfId="9" priority="613" operator="equal">
      <formula>"TRANSFER"</formula>
    </cfRule>
  </conditionalFormatting>
  <conditionalFormatting sqref="A147">
    <cfRule type="cellIs" dxfId="9" priority="602" operator="equal">
      <formula>"LOA"</formula>
    </cfRule>
    <cfRule type="cellIs" dxfId="11" priority="603" operator="equal">
      <formula>"PENDING TERM"</formula>
    </cfRule>
    <cfRule type="cellIs" dxfId="12" priority="604" operator="equal">
      <formula>"PROMOTED"</formula>
    </cfRule>
    <cfRule type="cellIs" dxfId="13" priority="605" operator="equal">
      <formula>"REINSTATEMENT"</formula>
    </cfRule>
    <cfRule type="cellIs" dxfId="14" priority="606" operator="equal">
      <formula>"TERM"</formula>
    </cfRule>
    <cfRule type="cellIs" dxfId="9" priority="607" operator="equal">
      <formula>"TRANSFER"</formula>
    </cfRule>
  </conditionalFormatting>
  <conditionalFormatting sqref="A148">
    <cfRule type="cellIs" dxfId="9" priority="596" operator="equal">
      <formula>"LOA"</formula>
    </cfRule>
    <cfRule type="cellIs" dxfId="11" priority="597" operator="equal">
      <formula>"PENDING TERM"</formula>
    </cfRule>
    <cfRule type="cellIs" dxfId="12" priority="598" operator="equal">
      <formula>"PROMOTED"</formula>
    </cfRule>
    <cfRule type="cellIs" dxfId="13" priority="599" operator="equal">
      <formula>"REINSTATEMENT"</formula>
    </cfRule>
    <cfRule type="cellIs" dxfId="14" priority="600" operator="equal">
      <formula>"TERM"</formula>
    </cfRule>
    <cfRule type="cellIs" dxfId="9" priority="601" operator="equal">
      <formula>"TRANSFER"</formula>
    </cfRule>
  </conditionalFormatting>
  <conditionalFormatting sqref="A149">
    <cfRule type="cellIs" dxfId="9" priority="590" operator="equal">
      <formula>"LOA"</formula>
    </cfRule>
    <cfRule type="cellIs" dxfId="11" priority="591" operator="equal">
      <formula>"PENDING TERM"</formula>
    </cfRule>
    <cfRule type="cellIs" dxfId="12" priority="592" operator="equal">
      <formula>"PROMOTED"</formula>
    </cfRule>
    <cfRule type="cellIs" dxfId="13" priority="593" operator="equal">
      <formula>"REINSTATEMENT"</formula>
    </cfRule>
    <cfRule type="cellIs" dxfId="14" priority="594" operator="equal">
      <formula>"TERM"</formula>
    </cfRule>
    <cfRule type="cellIs" dxfId="9" priority="595" operator="equal">
      <formula>"TRANSFER"</formula>
    </cfRule>
  </conditionalFormatting>
  <conditionalFormatting sqref="A150">
    <cfRule type="cellIs" dxfId="9" priority="584" operator="equal">
      <formula>"LOA"</formula>
    </cfRule>
    <cfRule type="cellIs" dxfId="11" priority="585" operator="equal">
      <formula>"PENDING TERM"</formula>
    </cfRule>
    <cfRule type="cellIs" dxfId="12" priority="586" operator="equal">
      <formula>"PROMOTED"</formula>
    </cfRule>
    <cfRule type="cellIs" dxfId="13" priority="587" operator="equal">
      <formula>"REINSTATEMENT"</formula>
    </cfRule>
    <cfRule type="cellIs" dxfId="14" priority="588" operator="equal">
      <formula>"TERM"</formula>
    </cfRule>
    <cfRule type="cellIs" dxfId="9" priority="589" operator="equal">
      <formula>"TRANSFER"</formula>
    </cfRule>
  </conditionalFormatting>
  <conditionalFormatting sqref="A151">
    <cfRule type="cellIs" dxfId="9" priority="578" operator="equal">
      <formula>"LOA"</formula>
    </cfRule>
    <cfRule type="cellIs" dxfId="11" priority="579" operator="equal">
      <formula>"PENDING TERM"</formula>
    </cfRule>
    <cfRule type="cellIs" dxfId="12" priority="580" operator="equal">
      <formula>"PROMOTED"</formula>
    </cfRule>
    <cfRule type="cellIs" dxfId="13" priority="581" operator="equal">
      <formula>"REINSTATEMENT"</formula>
    </cfRule>
    <cfRule type="cellIs" dxfId="14" priority="582" operator="equal">
      <formula>"TERM"</formula>
    </cfRule>
    <cfRule type="cellIs" dxfId="9" priority="583" operator="equal">
      <formula>"TRANSFER"</formula>
    </cfRule>
  </conditionalFormatting>
  <conditionalFormatting sqref="A152">
    <cfRule type="cellIs" dxfId="9" priority="572" operator="equal">
      <formula>"LOA"</formula>
    </cfRule>
    <cfRule type="cellIs" dxfId="11" priority="573" operator="equal">
      <formula>"PENDING TERM"</formula>
    </cfRule>
    <cfRule type="cellIs" dxfId="12" priority="574" operator="equal">
      <formula>"PROMOTED"</formula>
    </cfRule>
    <cfRule type="cellIs" dxfId="13" priority="575" operator="equal">
      <formula>"REINSTATEMENT"</formula>
    </cfRule>
    <cfRule type="cellIs" dxfId="14" priority="576" operator="equal">
      <formula>"TERM"</formula>
    </cfRule>
    <cfRule type="cellIs" dxfId="9" priority="577" operator="equal">
      <formula>"TRANSFER"</formula>
    </cfRule>
  </conditionalFormatting>
  <conditionalFormatting sqref="A153">
    <cfRule type="cellIs" dxfId="9" priority="566" operator="equal">
      <formula>"LOA"</formula>
    </cfRule>
    <cfRule type="cellIs" dxfId="11" priority="567" operator="equal">
      <formula>"PENDING TERM"</formula>
    </cfRule>
    <cfRule type="cellIs" dxfId="12" priority="568" operator="equal">
      <formula>"PROMOTED"</formula>
    </cfRule>
    <cfRule type="cellIs" dxfId="13" priority="569" operator="equal">
      <formula>"REINSTATEMENT"</formula>
    </cfRule>
    <cfRule type="cellIs" dxfId="14" priority="570" operator="equal">
      <formula>"TERM"</formula>
    </cfRule>
    <cfRule type="cellIs" dxfId="9" priority="571" operator="equal">
      <formula>"TRANSFER"</formula>
    </cfRule>
  </conditionalFormatting>
  <conditionalFormatting sqref="A154">
    <cfRule type="cellIs" dxfId="9" priority="560" operator="equal">
      <formula>"LOA"</formula>
    </cfRule>
    <cfRule type="cellIs" dxfId="11" priority="561" operator="equal">
      <formula>"PENDING TERM"</formula>
    </cfRule>
    <cfRule type="cellIs" dxfId="12" priority="562" operator="equal">
      <formula>"PROMOTED"</formula>
    </cfRule>
    <cfRule type="cellIs" dxfId="13" priority="563" operator="equal">
      <formula>"REINSTATEMENT"</formula>
    </cfRule>
    <cfRule type="cellIs" dxfId="14" priority="564" operator="equal">
      <formula>"TERM"</formula>
    </cfRule>
    <cfRule type="cellIs" dxfId="9" priority="565" operator="equal">
      <formula>"TRANSFER"</formula>
    </cfRule>
  </conditionalFormatting>
  <conditionalFormatting sqref="A155">
    <cfRule type="cellIs" dxfId="9" priority="554" operator="equal">
      <formula>"LOA"</formula>
    </cfRule>
    <cfRule type="cellIs" dxfId="11" priority="555" operator="equal">
      <formula>"PENDING TERM"</formula>
    </cfRule>
    <cfRule type="cellIs" dxfId="12" priority="556" operator="equal">
      <formula>"PROMOTED"</formula>
    </cfRule>
    <cfRule type="cellIs" dxfId="13" priority="557" operator="equal">
      <formula>"REINSTATEMENT"</formula>
    </cfRule>
    <cfRule type="cellIs" dxfId="14" priority="558" operator="equal">
      <formula>"TERM"</formula>
    </cfRule>
    <cfRule type="cellIs" dxfId="9" priority="559" operator="equal">
      <formula>"TRANSFER"</formula>
    </cfRule>
  </conditionalFormatting>
  <conditionalFormatting sqref="A156">
    <cfRule type="cellIs" dxfId="9" priority="548" operator="equal">
      <formula>"LOA"</formula>
    </cfRule>
    <cfRule type="cellIs" dxfId="11" priority="549" operator="equal">
      <formula>"PENDING TERM"</formula>
    </cfRule>
    <cfRule type="cellIs" dxfId="12" priority="550" operator="equal">
      <formula>"PROMOTED"</formula>
    </cfRule>
    <cfRule type="cellIs" dxfId="13" priority="551" operator="equal">
      <formula>"REINSTATEMENT"</formula>
    </cfRule>
    <cfRule type="cellIs" dxfId="14" priority="552" operator="equal">
      <formula>"TERM"</formula>
    </cfRule>
    <cfRule type="cellIs" dxfId="9" priority="553" operator="equal">
      <formula>"TRANSFER"</formula>
    </cfRule>
  </conditionalFormatting>
  <conditionalFormatting sqref="A157">
    <cfRule type="cellIs" dxfId="9" priority="542" operator="equal">
      <formula>"LOA"</formula>
    </cfRule>
    <cfRule type="cellIs" dxfId="11" priority="543" operator="equal">
      <formula>"PENDING TERM"</formula>
    </cfRule>
    <cfRule type="cellIs" dxfId="12" priority="544" operator="equal">
      <formula>"PROMOTED"</formula>
    </cfRule>
    <cfRule type="cellIs" dxfId="13" priority="545" operator="equal">
      <formula>"REINSTATEMENT"</formula>
    </cfRule>
    <cfRule type="cellIs" dxfId="14" priority="546" operator="equal">
      <formula>"TERM"</formula>
    </cfRule>
    <cfRule type="cellIs" dxfId="9" priority="547" operator="equal">
      <formula>"TRANSFER"</formula>
    </cfRule>
  </conditionalFormatting>
  <conditionalFormatting sqref="A158">
    <cfRule type="cellIs" dxfId="9" priority="536" operator="equal">
      <formula>"LOA"</formula>
    </cfRule>
    <cfRule type="cellIs" dxfId="11" priority="537" operator="equal">
      <formula>"PENDING TERM"</formula>
    </cfRule>
    <cfRule type="cellIs" dxfId="12" priority="538" operator="equal">
      <formula>"PROMOTED"</formula>
    </cfRule>
    <cfRule type="cellIs" dxfId="13" priority="539" operator="equal">
      <formula>"REINSTATEMENT"</formula>
    </cfRule>
    <cfRule type="cellIs" dxfId="14" priority="540" operator="equal">
      <formula>"TERM"</formula>
    </cfRule>
    <cfRule type="cellIs" dxfId="9" priority="541" operator="equal">
      <formula>"TRANSFER"</formula>
    </cfRule>
  </conditionalFormatting>
  <conditionalFormatting sqref="A159">
    <cfRule type="cellIs" dxfId="9" priority="530" operator="equal">
      <formula>"LOA"</formula>
    </cfRule>
    <cfRule type="cellIs" dxfId="11" priority="531" operator="equal">
      <formula>"PENDING TERM"</formula>
    </cfRule>
    <cfRule type="cellIs" dxfId="12" priority="532" operator="equal">
      <formula>"PROMOTED"</formula>
    </cfRule>
    <cfRule type="cellIs" dxfId="13" priority="533" operator="equal">
      <formula>"REINSTATEMENT"</formula>
    </cfRule>
    <cfRule type="cellIs" dxfId="14" priority="534" operator="equal">
      <formula>"TERM"</formula>
    </cfRule>
    <cfRule type="cellIs" dxfId="9" priority="535" operator="equal">
      <formula>"TRANSFER"</formula>
    </cfRule>
  </conditionalFormatting>
  <conditionalFormatting sqref="A160">
    <cfRule type="cellIs" dxfId="9" priority="524" operator="equal">
      <formula>"LOA"</formula>
    </cfRule>
    <cfRule type="cellIs" dxfId="11" priority="525" operator="equal">
      <formula>"PENDING TERM"</formula>
    </cfRule>
    <cfRule type="cellIs" dxfId="12" priority="526" operator="equal">
      <formula>"PROMOTED"</formula>
    </cfRule>
    <cfRule type="cellIs" dxfId="13" priority="527" operator="equal">
      <formula>"REINSTATEMENT"</formula>
    </cfRule>
    <cfRule type="cellIs" dxfId="14" priority="528" operator="equal">
      <formula>"TERM"</formula>
    </cfRule>
    <cfRule type="cellIs" dxfId="9" priority="529" operator="equal">
      <formula>"TRANSFER"</formula>
    </cfRule>
  </conditionalFormatting>
  <conditionalFormatting sqref="A161">
    <cfRule type="cellIs" dxfId="9" priority="518" operator="equal">
      <formula>"LOA"</formula>
    </cfRule>
    <cfRule type="cellIs" dxfId="11" priority="519" operator="equal">
      <formula>"PENDING TERM"</formula>
    </cfRule>
    <cfRule type="cellIs" dxfId="12" priority="520" operator="equal">
      <formula>"PROMOTED"</formula>
    </cfRule>
    <cfRule type="cellIs" dxfId="13" priority="521" operator="equal">
      <formula>"REINSTATEMENT"</formula>
    </cfRule>
    <cfRule type="cellIs" dxfId="14" priority="522" operator="equal">
      <formula>"TERM"</formula>
    </cfRule>
    <cfRule type="cellIs" dxfId="9" priority="523" operator="equal">
      <formula>"TRANSFER"</formula>
    </cfRule>
  </conditionalFormatting>
  <conditionalFormatting sqref="A162">
    <cfRule type="cellIs" dxfId="9" priority="512" operator="equal">
      <formula>"LOA"</formula>
    </cfRule>
    <cfRule type="cellIs" dxfId="11" priority="513" operator="equal">
      <formula>"PENDING TERM"</formula>
    </cfRule>
    <cfRule type="cellIs" dxfId="12" priority="514" operator="equal">
      <formula>"PROMOTED"</formula>
    </cfRule>
    <cfRule type="cellIs" dxfId="13" priority="515" operator="equal">
      <formula>"REINSTATEMENT"</formula>
    </cfRule>
    <cfRule type="cellIs" dxfId="14" priority="516" operator="equal">
      <formula>"TERM"</formula>
    </cfRule>
    <cfRule type="cellIs" dxfId="9" priority="517" operator="equal">
      <formula>"TRANSFER"</formula>
    </cfRule>
  </conditionalFormatting>
  <conditionalFormatting sqref="A163">
    <cfRule type="cellIs" dxfId="9" priority="506" operator="equal">
      <formula>"LOA"</formula>
    </cfRule>
    <cfRule type="cellIs" dxfId="11" priority="507" operator="equal">
      <formula>"PENDING TERM"</formula>
    </cfRule>
    <cfRule type="cellIs" dxfId="12" priority="508" operator="equal">
      <formula>"PROMOTED"</formula>
    </cfRule>
    <cfRule type="cellIs" dxfId="13" priority="509" operator="equal">
      <formula>"REINSTATEMENT"</formula>
    </cfRule>
    <cfRule type="cellIs" dxfId="14" priority="510" operator="equal">
      <formula>"TERM"</formula>
    </cfRule>
    <cfRule type="cellIs" dxfId="9" priority="511" operator="equal">
      <formula>"TRANSFER"</formula>
    </cfRule>
  </conditionalFormatting>
  <conditionalFormatting sqref="A164">
    <cfRule type="cellIs" dxfId="9" priority="500" operator="equal">
      <formula>"LOA"</formula>
    </cfRule>
    <cfRule type="cellIs" dxfId="11" priority="501" operator="equal">
      <formula>"PENDING TERM"</formula>
    </cfRule>
    <cfRule type="cellIs" dxfId="12" priority="502" operator="equal">
      <formula>"PROMOTED"</formula>
    </cfRule>
    <cfRule type="cellIs" dxfId="13" priority="503" operator="equal">
      <formula>"REINSTATEMENT"</formula>
    </cfRule>
    <cfRule type="cellIs" dxfId="14" priority="504" operator="equal">
      <formula>"TERM"</formula>
    </cfRule>
    <cfRule type="cellIs" dxfId="9" priority="505" operator="equal">
      <formula>"TRANSFER"</formula>
    </cfRule>
  </conditionalFormatting>
  <conditionalFormatting sqref="A165">
    <cfRule type="cellIs" dxfId="9" priority="494" operator="equal">
      <formula>"LOA"</formula>
    </cfRule>
    <cfRule type="cellIs" dxfId="11" priority="495" operator="equal">
      <formula>"PENDING TERM"</formula>
    </cfRule>
    <cfRule type="cellIs" dxfId="12" priority="496" operator="equal">
      <formula>"PROMOTED"</formula>
    </cfRule>
    <cfRule type="cellIs" dxfId="13" priority="497" operator="equal">
      <formula>"REINSTATEMENT"</formula>
    </cfRule>
    <cfRule type="cellIs" dxfId="14" priority="498" operator="equal">
      <formula>"TERM"</formula>
    </cfRule>
    <cfRule type="cellIs" dxfId="9" priority="499" operator="equal">
      <formula>"TRANSFER"</formula>
    </cfRule>
  </conditionalFormatting>
  <conditionalFormatting sqref="A166">
    <cfRule type="cellIs" dxfId="9" priority="488" operator="equal">
      <formula>"LOA"</formula>
    </cfRule>
    <cfRule type="cellIs" dxfId="11" priority="489" operator="equal">
      <formula>"PENDING TERM"</formula>
    </cfRule>
    <cfRule type="cellIs" dxfId="12" priority="490" operator="equal">
      <formula>"PROMOTED"</formula>
    </cfRule>
    <cfRule type="cellIs" dxfId="13" priority="491" operator="equal">
      <formula>"REINSTATEMENT"</formula>
    </cfRule>
    <cfRule type="cellIs" dxfId="14" priority="492" operator="equal">
      <formula>"TERM"</formula>
    </cfRule>
    <cfRule type="cellIs" dxfId="9" priority="493" operator="equal">
      <formula>"TRANSFER"</formula>
    </cfRule>
  </conditionalFormatting>
  <conditionalFormatting sqref="A167">
    <cfRule type="cellIs" dxfId="9" priority="482" operator="equal">
      <formula>"LOA"</formula>
    </cfRule>
    <cfRule type="cellIs" dxfId="11" priority="483" operator="equal">
      <formula>"PENDING TERM"</formula>
    </cfRule>
    <cfRule type="cellIs" dxfId="12" priority="484" operator="equal">
      <formula>"PROMOTED"</formula>
    </cfRule>
    <cfRule type="cellIs" dxfId="13" priority="485" operator="equal">
      <formula>"REINSTATEMENT"</formula>
    </cfRule>
    <cfRule type="cellIs" dxfId="14" priority="486" operator="equal">
      <formula>"TERM"</formula>
    </cfRule>
    <cfRule type="cellIs" dxfId="9" priority="487" operator="equal">
      <formula>"TRANSFER"</formula>
    </cfRule>
  </conditionalFormatting>
  <conditionalFormatting sqref="A168">
    <cfRule type="cellIs" dxfId="9" priority="476" operator="equal">
      <formula>"LOA"</formula>
    </cfRule>
    <cfRule type="cellIs" dxfId="11" priority="477" operator="equal">
      <formula>"PENDING TERM"</formula>
    </cfRule>
    <cfRule type="cellIs" dxfId="12" priority="478" operator="equal">
      <formula>"PROMOTED"</formula>
    </cfRule>
    <cfRule type="cellIs" dxfId="13" priority="479" operator="equal">
      <formula>"REINSTATEMENT"</formula>
    </cfRule>
    <cfRule type="cellIs" dxfId="14" priority="480" operator="equal">
      <formula>"TERM"</formula>
    </cfRule>
    <cfRule type="cellIs" dxfId="9" priority="481" operator="equal">
      <formula>"TRANSFER"</formula>
    </cfRule>
  </conditionalFormatting>
  <conditionalFormatting sqref="A169">
    <cfRule type="cellIs" dxfId="9" priority="470" operator="equal">
      <formula>"LOA"</formula>
    </cfRule>
    <cfRule type="cellIs" dxfId="11" priority="471" operator="equal">
      <formula>"PENDING TERM"</formula>
    </cfRule>
    <cfRule type="cellIs" dxfId="12" priority="472" operator="equal">
      <formula>"PROMOTED"</formula>
    </cfRule>
    <cfRule type="cellIs" dxfId="13" priority="473" operator="equal">
      <formula>"REINSTATEMENT"</formula>
    </cfRule>
    <cfRule type="cellIs" dxfId="14" priority="474" operator="equal">
      <formula>"TERM"</formula>
    </cfRule>
    <cfRule type="cellIs" dxfId="9" priority="475" operator="equal">
      <formula>"TRANSFER"</formula>
    </cfRule>
  </conditionalFormatting>
  <conditionalFormatting sqref="A170">
    <cfRule type="cellIs" dxfId="9" priority="464" operator="equal">
      <formula>"LOA"</formula>
    </cfRule>
    <cfRule type="cellIs" dxfId="11" priority="465" operator="equal">
      <formula>"PENDING TERM"</formula>
    </cfRule>
    <cfRule type="cellIs" dxfId="12" priority="466" operator="equal">
      <formula>"PROMOTED"</formula>
    </cfRule>
    <cfRule type="cellIs" dxfId="13" priority="467" operator="equal">
      <formula>"REINSTATEMENT"</formula>
    </cfRule>
    <cfRule type="cellIs" dxfId="14" priority="468" operator="equal">
      <formula>"TERM"</formula>
    </cfRule>
    <cfRule type="cellIs" dxfId="9" priority="469" operator="equal">
      <formula>"TRANSFER"</formula>
    </cfRule>
  </conditionalFormatting>
  <conditionalFormatting sqref="A171">
    <cfRule type="cellIs" dxfId="9" priority="458" operator="equal">
      <formula>"LOA"</formula>
    </cfRule>
    <cfRule type="cellIs" dxfId="11" priority="459" operator="equal">
      <formula>"PENDING TERM"</formula>
    </cfRule>
    <cfRule type="cellIs" dxfId="12" priority="460" operator="equal">
      <formula>"PROMOTED"</formula>
    </cfRule>
    <cfRule type="cellIs" dxfId="13" priority="461" operator="equal">
      <formula>"REINSTATEMENT"</formula>
    </cfRule>
    <cfRule type="cellIs" dxfId="14" priority="462" operator="equal">
      <formula>"TERM"</formula>
    </cfRule>
    <cfRule type="cellIs" dxfId="9" priority="463" operator="equal">
      <formula>"TRANSFER"</formula>
    </cfRule>
  </conditionalFormatting>
  <conditionalFormatting sqref="A172">
    <cfRule type="cellIs" dxfId="9" priority="452" operator="equal">
      <formula>"LOA"</formula>
    </cfRule>
    <cfRule type="cellIs" dxfId="11" priority="453" operator="equal">
      <formula>"PENDING TERM"</formula>
    </cfRule>
    <cfRule type="cellIs" dxfId="12" priority="454" operator="equal">
      <formula>"PROMOTED"</formula>
    </cfRule>
    <cfRule type="cellIs" dxfId="13" priority="455" operator="equal">
      <formula>"REINSTATEMENT"</formula>
    </cfRule>
    <cfRule type="cellIs" dxfId="14" priority="456" operator="equal">
      <formula>"TERM"</formula>
    </cfRule>
    <cfRule type="cellIs" dxfId="9" priority="457" operator="equal">
      <formula>"TRANSFER"</formula>
    </cfRule>
  </conditionalFormatting>
  <conditionalFormatting sqref="A173">
    <cfRule type="cellIs" dxfId="9" priority="446" operator="equal">
      <formula>"LOA"</formula>
    </cfRule>
    <cfRule type="cellIs" dxfId="11" priority="447" operator="equal">
      <formula>"PENDING TERM"</formula>
    </cfRule>
    <cfRule type="cellIs" dxfId="12" priority="448" operator="equal">
      <formula>"PROMOTED"</formula>
    </cfRule>
    <cfRule type="cellIs" dxfId="13" priority="449" operator="equal">
      <formula>"REINSTATEMENT"</formula>
    </cfRule>
    <cfRule type="cellIs" dxfId="14" priority="450" operator="equal">
      <formula>"TERM"</formula>
    </cfRule>
    <cfRule type="cellIs" dxfId="9" priority="451" operator="equal">
      <formula>"TRANSFER"</formula>
    </cfRule>
  </conditionalFormatting>
  <conditionalFormatting sqref="A174">
    <cfRule type="cellIs" dxfId="9" priority="440" operator="equal">
      <formula>"LOA"</formula>
    </cfRule>
    <cfRule type="cellIs" dxfId="11" priority="441" operator="equal">
      <formula>"PENDING TERM"</formula>
    </cfRule>
    <cfRule type="cellIs" dxfId="12" priority="442" operator="equal">
      <formula>"PROMOTED"</formula>
    </cfRule>
    <cfRule type="cellIs" dxfId="13" priority="443" operator="equal">
      <formula>"REINSTATEMENT"</formula>
    </cfRule>
    <cfRule type="cellIs" dxfId="14" priority="444" operator="equal">
      <formula>"TERM"</formula>
    </cfRule>
    <cfRule type="cellIs" dxfId="9" priority="445" operator="equal">
      <formula>"TRANSFER"</formula>
    </cfRule>
  </conditionalFormatting>
  <conditionalFormatting sqref="A175">
    <cfRule type="cellIs" dxfId="9" priority="434" operator="equal">
      <formula>"LOA"</formula>
    </cfRule>
    <cfRule type="cellIs" dxfId="11" priority="435" operator="equal">
      <formula>"PENDING TERM"</formula>
    </cfRule>
    <cfRule type="cellIs" dxfId="12" priority="436" operator="equal">
      <formula>"PROMOTED"</formula>
    </cfRule>
    <cfRule type="cellIs" dxfId="13" priority="437" operator="equal">
      <formula>"REINSTATEMENT"</formula>
    </cfRule>
    <cfRule type="cellIs" dxfId="14" priority="438" operator="equal">
      <formula>"TERM"</formula>
    </cfRule>
    <cfRule type="cellIs" dxfId="9" priority="439" operator="equal">
      <formula>"TRANSFER"</formula>
    </cfRule>
  </conditionalFormatting>
  <conditionalFormatting sqref="A176">
    <cfRule type="cellIs" dxfId="9" priority="428" operator="equal">
      <formula>"LOA"</formula>
    </cfRule>
    <cfRule type="cellIs" dxfId="11" priority="429" operator="equal">
      <formula>"PENDING TERM"</formula>
    </cfRule>
    <cfRule type="cellIs" dxfId="12" priority="430" operator="equal">
      <formula>"PROMOTED"</formula>
    </cfRule>
    <cfRule type="cellIs" dxfId="13" priority="431" operator="equal">
      <formula>"REINSTATEMENT"</formula>
    </cfRule>
    <cfRule type="cellIs" dxfId="14" priority="432" operator="equal">
      <formula>"TERM"</formula>
    </cfRule>
    <cfRule type="cellIs" dxfId="9" priority="433" operator="equal">
      <formula>"TRANSFER"</formula>
    </cfRule>
  </conditionalFormatting>
  <conditionalFormatting sqref="A177">
    <cfRule type="cellIs" dxfId="9" priority="422" operator="equal">
      <formula>"LOA"</formula>
    </cfRule>
    <cfRule type="cellIs" dxfId="11" priority="423" operator="equal">
      <formula>"PENDING TERM"</formula>
    </cfRule>
    <cfRule type="cellIs" dxfId="12" priority="424" operator="equal">
      <formula>"PROMOTED"</formula>
    </cfRule>
    <cfRule type="cellIs" dxfId="13" priority="425" operator="equal">
      <formula>"REINSTATEMENT"</formula>
    </cfRule>
    <cfRule type="cellIs" dxfId="14" priority="426" operator="equal">
      <formula>"TERM"</formula>
    </cfRule>
    <cfRule type="cellIs" dxfId="9" priority="427" operator="equal">
      <formula>"TRANSFER"</formula>
    </cfRule>
  </conditionalFormatting>
  <conditionalFormatting sqref="A178">
    <cfRule type="cellIs" dxfId="9" priority="416" operator="equal">
      <formula>"LOA"</formula>
    </cfRule>
    <cfRule type="cellIs" dxfId="11" priority="417" operator="equal">
      <formula>"PENDING TERM"</formula>
    </cfRule>
    <cfRule type="cellIs" dxfId="12" priority="418" operator="equal">
      <formula>"PROMOTED"</formula>
    </cfRule>
    <cfRule type="cellIs" dxfId="13" priority="419" operator="equal">
      <formula>"REINSTATEMENT"</formula>
    </cfRule>
    <cfRule type="cellIs" dxfId="14" priority="420" operator="equal">
      <formula>"TERM"</formula>
    </cfRule>
    <cfRule type="cellIs" dxfId="9" priority="421" operator="equal">
      <formula>"TRANSFER"</formula>
    </cfRule>
  </conditionalFormatting>
  <conditionalFormatting sqref="A179">
    <cfRule type="cellIs" dxfId="9" priority="362" operator="equal">
      <formula>"LOA"</formula>
    </cfRule>
    <cfRule type="cellIs" dxfId="11" priority="363" operator="equal">
      <formula>"PENDING TERM"</formula>
    </cfRule>
    <cfRule type="cellIs" dxfId="12" priority="364" operator="equal">
      <formula>"PROMOTED"</formula>
    </cfRule>
    <cfRule type="cellIs" dxfId="13" priority="365" operator="equal">
      <formula>"REINSTATEMENT"</formula>
    </cfRule>
    <cfRule type="cellIs" dxfId="14" priority="366" operator="equal">
      <formula>"TERM"</formula>
    </cfRule>
    <cfRule type="cellIs" dxfId="9" priority="367" operator="equal">
      <formula>"TRANSFER"</formula>
    </cfRule>
  </conditionalFormatting>
  <conditionalFormatting sqref="A180">
    <cfRule type="cellIs" dxfId="9" priority="368" operator="equal">
      <formula>"LOA"</formula>
    </cfRule>
    <cfRule type="cellIs" dxfId="11" priority="369" operator="equal">
      <formula>"PENDING TERM"</formula>
    </cfRule>
    <cfRule type="cellIs" dxfId="12" priority="370" operator="equal">
      <formula>"PROMOTED"</formula>
    </cfRule>
    <cfRule type="cellIs" dxfId="13" priority="371" operator="equal">
      <formula>"REINSTATEMENT"</formula>
    </cfRule>
    <cfRule type="cellIs" dxfId="14" priority="372" operator="equal">
      <formula>"TERM"</formula>
    </cfRule>
    <cfRule type="cellIs" dxfId="9" priority="373" operator="equal">
      <formula>"TRANSFER"</formula>
    </cfRule>
  </conditionalFormatting>
  <conditionalFormatting sqref="A181">
    <cfRule type="cellIs" dxfId="9" priority="374" operator="equal">
      <formula>"LOA"</formula>
    </cfRule>
    <cfRule type="cellIs" dxfId="11" priority="375" operator="equal">
      <formula>"PENDING TERM"</formula>
    </cfRule>
    <cfRule type="cellIs" dxfId="12" priority="376" operator="equal">
      <formula>"PROMOTED"</formula>
    </cfRule>
    <cfRule type="cellIs" dxfId="13" priority="377" operator="equal">
      <formula>"REINSTATEMENT"</formula>
    </cfRule>
    <cfRule type="cellIs" dxfId="14" priority="378" operator="equal">
      <formula>"TERM"</formula>
    </cfRule>
    <cfRule type="cellIs" dxfId="9" priority="379" operator="equal">
      <formula>"TRANSFER"</formula>
    </cfRule>
  </conditionalFormatting>
  <conditionalFormatting sqref="A182">
    <cfRule type="cellIs" dxfId="9" priority="380" operator="equal">
      <formula>"LOA"</formula>
    </cfRule>
    <cfRule type="cellIs" dxfId="11" priority="381" operator="equal">
      <formula>"PENDING TERM"</formula>
    </cfRule>
    <cfRule type="cellIs" dxfId="12" priority="382" operator="equal">
      <formula>"PROMOTED"</formula>
    </cfRule>
    <cfRule type="cellIs" dxfId="13" priority="383" operator="equal">
      <formula>"REINSTATEMENT"</formula>
    </cfRule>
    <cfRule type="cellIs" dxfId="14" priority="384" operator="equal">
      <formula>"TERM"</formula>
    </cfRule>
    <cfRule type="cellIs" dxfId="9" priority="385" operator="equal">
      <formula>"TRANSFER"</formula>
    </cfRule>
  </conditionalFormatting>
  <conditionalFormatting sqref="A183">
    <cfRule type="cellIs" dxfId="9" priority="386" operator="equal">
      <formula>"LOA"</formula>
    </cfRule>
    <cfRule type="cellIs" dxfId="11" priority="387" operator="equal">
      <formula>"PENDING TERM"</formula>
    </cfRule>
    <cfRule type="cellIs" dxfId="12" priority="388" operator="equal">
      <formula>"PROMOTED"</formula>
    </cfRule>
    <cfRule type="cellIs" dxfId="13" priority="389" operator="equal">
      <formula>"REINSTATEMENT"</formula>
    </cfRule>
    <cfRule type="cellIs" dxfId="14" priority="390" operator="equal">
      <formula>"TERM"</formula>
    </cfRule>
    <cfRule type="cellIs" dxfId="9" priority="391" operator="equal">
      <formula>"TRANSFER"</formula>
    </cfRule>
  </conditionalFormatting>
  <conditionalFormatting sqref="A184">
    <cfRule type="cellIs" dxfId="9" priority="392" operator="equal">
      <formula>"LOA"</formula>
    </cfRule>
    <cfRule type="cellIs" dxfId="11" priority="393" operator="equal">
      <formula>"PENDING TERM"</formula>
    </cfRule>
    <cfRule type="cellIs" dxfId="12" priority="394" operator="equal">
      <formula>"PROMOTED"</formula>
    </cfRule>
    <cfRule type="cellIs" dxfId="13" priority="395" operator="equal">
      <formula>"REINSTATEMENT"</formula>
    </cfRule>
    <cfRule type="cellIs" dxfId="14" priority="396" operator="equal">
      <formula>"TERM"</formula>
    </cfRule>
    <cfRule type="cellIs" dxfId="9" priority="397" operator="equal">
      <formula>"TRANSFER"</formula>
    </cfRule>
  </conditionalFormatting>
  <conditionalFormatting sqref="A185">
    <cfRule type="cellIs" dxfId="9" priority="398" operator="equal">
      <formula>"LOA"</formula>
    </cfRule>
    <cfRule type="cellIs" dxfId="11" priority="399" operator="equal">
      <formula>"PENDING TERM"</formula>
    </cfRule>
    <cfRule type="cellIs" dxfId="12" priority="400" operator="equal">
      <formula>"PROMOTED"</formula>
    </cfRule>
    <cfRule type="cellIs" dxfId="13" priority="401" operator="equal">
      <formula>"REINSTATEMENT"</formula>
    </cfRule>
    <cfRule type="cellIs" dxfId="14" priority="402" operator="equal">
      <formula>"TERM"</formula>
    </cfRule>
    <cfRule type="cellIs" dxfId="9" priority="403" operator="equal">
      <formula>"TRANSFER"</formula>
    </cfRule>
  </conditionalFormatting>
  <conditionalFormatting sqref="A186">
    <cfRule type="cellIs" dxfId="9" priority="404" operator="equal">
      <formula>"LOA"</formula>
    </cfRule>
    <cfRule type="cellIs" dxfId="11" priority="405" operator="equal">
      <formula>"PENDING TERM"</formula>
    </cfRule>
    <cfRule type="cellIs" dxfId="12" priority="406" operator="equal">
      <formula>"PROMOTED"</formula>
    </cfRule>
    <cfRule type="cellIs" dxfId="13" priority="407" operator="equal">
      <formula>"REINSTATEMENT"</formula>
    </cfRule>
    <cfRule type="cellIs" dxfId="14" priority="408" operator="equal">
      <formula>"TERM"</formula>
    </cfRule>
    <cfRule type="cellIs" dxfId="9" priority="409" operator="equal">
      <formula>"TRANSFER"</formula>
    </cfRule>
  </conditionalFormatting>
  <conditionalFormatting sqref="A187">
    <cfRule type="cellIs" dxfId="9" priority="410" operator="equal">
      <formula>"LOA"</formula>
    </cfRule>
    <cfRule type="cellIs" dxfId="11" priority="411" operator="equal">
      <formula>"PENDING TERM"</formula>
    </cfRule>
    <cfRule type="cellIs" dxfId="12" priority="412" operator="equal">
      <formula>"PROMOTED"</formula>
    </cfRule>
    <cfRule type="cellIs" dxfId="13" priority="413" operator="equal">
      <formula>"REINSTATEMENT"</formula>
    </cfRule>
    <cfRule type="cellIs" dxfId="14" priority="414" operator="equal">
      <formula>"TERM"</formula>
    </cfRule>
    <cfRule type="cellIs" dxfId="9" priority="415" operator="equal">
      <formula>"TRANSFER"</formula>
    </cfRule>
  </conditionalFormatting>
  <conditionalFormatting sqref="M189">
    <cfRule type="cellIs" dxfId="9" priority="12" operator="equal">
      <formula>"FER"</formula>
    </cfRule>
  </conditionalFormatting>
  <conditionalFormatting sqref="M192">
    <cfRule type="cellIs" dxfId="9" priority="11" operator="equal">
      <formula>"FER"</formula>
    </cfRule>
  </conditionalFormatting>
  <conditionalFormatting sqref="M196">
    <cfRule type="cellIs" dxfId="9" priority="10" operator="equal">
      <formula>"FER"</formula>
    </cfRule>
  </conditionalFormatting>
  <conditionalFormatting sqref="E206">
    <cfRule type="cellIs" dxfId="10" priority="41" operator="equal">
      <formula>"off"</formula>
    </cfRule>
    <cfRule type="cellIs" dxfId="9" priority="40" operator="equal">
      <formula>"LOA"</formula>
    </cfRule>
  </conditionalFormatting>
  <conditionalFormatting sqref="E207:K207">
    <cfRule type="cellIs" dxfId="9" priority="225" operator="equal">
      <formula>"Approved Off"</formula>
    </cfRule>
    <cfRule type="cellIs" dxfId="9" priority="226" operator="equal">
      <formula>"LOA"</formula>
    </cfRule>
    <cfRule type="cellIs" dxfId="15" priority="227" operator="equal">
      <formula>"nesting"</formula>
    </cfRule>
    <cfRule type="cellIs" dxfId="10" priority="228" operator="equal">
      <formula>"off"</formula>
    </cfRule>
    <cfRule type="cellIs" dxfId="9" priority="229" operator="equal">
      <formula>"vac"</formula>
    </cfRule>
    <cfRule type="cellIs" dxfId="9" priority="224" operator="equal">
      <formula>"Study Day"</formula>
    </cfRule>
    <cfRule type="cellIs" dxfId="9" priority="223" operator="equal">
      <formula>"FER"</formula>
    </cfRule>
    <cfRule type="cellIs" dxfId="9" priority="222" operator="equal">
      <formula>"Pending Term"</formula>
    </cfRule>
  </conditionalFormatting>
  <conditionalFormatting sqref="F207:K207">
    <cfRule type="cellIs" dxfId="10" priority="221" operator="equal">
      <formula>"off"</formula>
    </cfRule>
    <cfRule type="cellIs" dxfId="9" priority="220" operator="equal">
      <formula>"LOA"</formula>
    </cfRule>
  </conditionalFormatting>
  <conditionalFormatting sqref="M207">
    <cfRule type="cellIs" dxfId="9" priority="9" operator="equal">
      <formula>"FER"</formula>
    </cfRule>
  </conditionalFormatting>
  <conditionalFormatting sqref="E209">
    <cfRule type="cellIs" dxfId="10" priority="39" operator="equal">
      <formula>"off"</formula>
    </cfRule>
    <cfRule type="cellIs" dxfId="9" priority="38" operator="equal">
      <formula>"LOA"</formula>
    </cfRule>
  </conditionalFormatting>
  <conditionalFormatting sqref="A219">
    <cfRule type="cellIs" dxfId="9" priority="48" operator="equal">
      <formula>"LOA"</formula>
    </cfRule>
    <cfRule type="cellIs" dxfId="11" priority="49" operator="equal">
      <formula>"PENDING TERM"</formula>
    </cfRule>
    <cfRule type="cellIs" dxfId="12" priority="50" operator="equal">
      <formula>"PROMOTED"</formula>
    </cfRule>
    <cfRule type="cellIs" dxfId="13" priority="51" operator="equal">
      <formula>"REINSTATEMENT"</formula>
    </cfRule>
    <cfRule type="cellIs" dxfId="14" priority="52" operator="equal">
      <formula>"TERM"</formula>
    </cfRule>
    <cfRule type="cellIs" dxfId="9" priority="53" operator="equal">
      <formula>"TRANSFER"</formula>
    </cfRule>
  </conditionalFormatting>
  <conditionalFormatting sqref="E219:K219">
    <cfRule type="cellIs" dxfId="9" priority="265" operator="equal">
      <formula>"Approved Off"</formula>
    </cfRule>
    <cfRule type="cellIs" dxfId="9" priority="266" operator="equal">
      <formula>"LOA"</formula>
    </cfRule>
    <cfRule type="cellIs" dxfId="15" priority="267" operator="equal">
      <formula>"nesting"</formula>
    </cfRule>
    <cfRule type="cellIs" dxfId="10" priority="268" operator="equal">
      <formula>"off"</formula>
    </cfRule>
    <cfRule type="cellIs" dxfId="9" priority="269" operator="equal">
      <formula>"vac"</formula>
    </cfRule>
    <cfRule type="cellIs" dxfId="9" priority="264" operator="equal">
      <formula>"FER"</formula>
    </cfRule>
    <cfRule type="cellIs" dxfId="9" priority="253" operator="equal">
      <formula>"Approved Off"</formula>
    </cfRule>
    <cfRule type="cellIs" dxfId="9" priority="254" operator="equal">
      <formula>"LOA"</formula>
    </cfRule>
    <cfRule type="cellIs" dxfId="15" priority="255" operator="equal">
      <formula>"nesting"</formula>
    </cfRule>
    <cfRule type="cellIs" dxfId="10" priority="256" operator="equal">
      <formula>"off"</formula>
    </cfRule>
    <cfRule type="cellIs" dxfId="9" priority="257" operator="equal">
      <formula>"vac"</formula>
    </cfRule>
    <cfRule type="cellIs" dxfId="9" priority="252" operator="equal">
      <formula>"Study Day"</formula>
    </cfRule>
    <cfRule type="cellIs" dxfId="9" priority="251" operator="equal">
      <formula>"FER"</formula>
    </cfRule>
    <cfRule type="cellIs" dxfId="9" priority="250" operator="equal">
      <formula>"Pending Term"</formula>
    </cfRule>
  </conditionalFormatting>
  <conditionalFormatting sqref="F219:L219">
    <cfRule type="cellIs" dxfId="10" priority="249" operator="equal">
      <formula>"off"</formula>
    </cfRule>
    <cfRule type="cellIs" dxfId="9" priority="248" operator="equal">
      <formula>"LOA"</formula>
    </cfRule>
  </conditionalFormatting>
  <conditionalFormatting sqref="V219">
    <cfRule type="cellIs" dxfId="19" priority="270" operator="greaterThan">
      <formula>45</formula>
    </cfRule>
    <cfRule type="cellIs" dxfId="19" priority="258" operator="greaterThan">
      <formula>45</formula>
    </cfRule>
  </conditionalFormatting>
  <conditionalFormatting sqref="W219">
    <cfRule type="duplicateValues" dxfId="16" priority="263"/>
  </conditionalFormatting>
  <conditionalFormatting sqref="X219">
    <cfRule type="duplicateValues" dxfId="16" priority="271"/>
    <cfRule type="duplicateValues" dxfId="16" priority="259"/>
  </conditionalFormatting>
  <conditionalFormatting sqref="Y219">
    <cfRule type="duplicateValues" dxfId="16" priority="272"/>
    <cfRule type="duplicateValues" dxfId="16" priority="260"/>
  </conditionalFormatting>
  <conditionalFormatting sqref="AH219">
    <cfRule type="duplicateValues" dxfId="16" priority="273"/>
    <cfRule type="duplicateValues" dxfId="16" priority="261"/>
  </conditionalFormatting>
  <conditionalFormatting sqref="AI219">
    <cfRule type="duplicateValues" dxfId="16" priority="274"/>
    <cfRule type="duplicateValues" dxfId="16" priority="262"/>
  </conditionalFormatting>
  <conditionalFormatting sqref="M231">
    <cfRule type="cellIs" dxfId="9" priority="8" operator="equal">
      <formula>"FER"</formula>
    </cfRule>
  </conditionalFormatting>
  <conditionalFormatting sqref="E234">
    <cfRule type="cellIs" dxfId="10" priority="37" operator="equal">
      <formula>"off"</formula>
    </cfRule>
    <cfRule type="cellIs" dxfId="9" priority="36" operator="equal">
      <formula>"LOA"</formula>
    </cfRule>
  </conditionalFormatting>
  <conditionalFormatting sqref="M237">
    <cfRule type="cellIs" dxfId="9" priority="7" operator="equal">
      <formula>"FER"</formula>
    </cfRule>
  </conditionalFormatting>
  <conditionalFormatting sqref="E238">
    <cfRule type="cellIs" dxfId="9" priority="54" operator="equal">
      <formula>"LOA"</formula>
    </cfRule>
    <cfRule type="cellIs" dxfId="10" priority="55" operator="equal">
      <formula>"off"</formula>
    </cfRule>
  </conditionalFormatting>
  <conditionalFormatting sqref="M240">
    <cfRule type="cellIs" dxfId="9" priority="6" operator="equal">
      <formula>"FER"</formula>
    </cfRule>
  </conditionalFormatting>
  <conditionalFormatting sqref="M241">
    <cfRule type="cellIs" dxfId="9" priority="5" operator="equal">
      <formula>"FER"</formula>
    </cfRule>
  </conditionalFormatting>
  <conditionalFormatting sqref="M244">
    <cfRule type="cellIs" dxfId="9" priority="4" operator="equal">
      <formula>"FER"</formula>
    </cfRule>
  </conditionalFormatting>
  <conditionalFormatting sqref="M245">
    <cfRule type="cellIs" dxfId="9" priority="3" operator="equal">
      <formula>"FER"</formula>
    </cfRule>
  </conditionalFormatting>
  <conditionalFormatting sqref="M249">
    <cfRule type="cellIs" dxfId="9" priority="2" operator="equal">
      <formula>"FER"</formula>
    </cfRule>
  </conditionalFormatting>
  <conditionalFormatting sqref="M250">
    <cfRule type="cellIs" dxfId="9" priority="1" operator="equal">
      <formula>"FER"</formula>
    </cfRule>
  </conditionalFormatting>
  <conditionalFormatting sqref="M257">
    <cfRule type="cellIs" dxfId="9" priority="15" operator="equal">
      <formula>"FER"</formula>
    </cfRule>
  </conditionalFormatting>
  <conditionalFormatting sqref="A261">
    <cfRule type="cellIs" dxfId="9" priority="203" operator="equal">
      <formula>"LOA"</formula>
    </cfRule>
    <cfRule type="cellIs" dxfId="11" priority="204" operator="equal">
      <formula>"PENDING TERM"</formula>
    </cfRule>
    <cfRule type="cellIs" dxfId="12" priority="205" operator="equal">
      <formula>"PROMOTED"</formula>
    </cfRule>
    <cfRule type="cellIs" dxfId="13" priority="206" operator="equal">
      <formula>"REINSTATEMENT"</formula>
    </cfRule>
    <cfRule type="cellIs" dxfId="14" priority="207" operator="equal">
      <formula>"TERM"</formula>
    </cfRule>
    <cfRule type="cellIs" dxfId="9" priority="208" operator="equal">
      <formula>"TRANSFER"</formula>
    </cfRule>
  </conditionalFormatting>
  <conditionalFormatting sqref="E261:K261">
    <cfRule type="cellIs" dxfId="9" priority="209" operator="equal">
      <formula>"Approved Off"</formula>
    </cfRule>
    <cfRule type="cellIs" dxfId="9" priority="210" operator="equal">
      <formula>"LOA"</formula>
    </cfRule>
    <cfRule type="cellIs" dxfId="15" priority="211" operator="equal">
      <formula>"nesting"</formula>
    </cfRule>
    <cfRule type="cellIs" dxfId="10" priority="212" operator="equal">
      <formula>"off"</formula>
    </cfRule>
    <cfRule type="cellIs" dxfId="9" priority="213" operator="equal">
      <formula>"vac"</formula>
    </cfRule>
    <cfRule type="cellIs" dxfId="9" priority="202" operator="equal">
      <formula>"Study Day"</formula>
    </cfRule>
    <cfRule type="cellIs" dxfId="9" priority="201" operator="equal">
      <formula>"FER"</formula>
    </cfRule>
    <cfRule type="cellIs" dxfId="9" priority="200" operator="equal">
      <formula>"Pending Term"</formula>
    </cfRule>
    <cfRule type="cellIs" dxfId="9" priority="197" operator="equal">
      <formula>"SUS"</formula>
    </cfRule>
  </conditionalFormatting>
  <conditionalFormatting sqref="F261:L261">
    <cfRule type="cellIs" dxfId="10" priority="199" operator="equal">
      <formula>"off"</formula>
    </cfRule>
    <cfRule type="cellIs" dxfId="9" priority="198" operator="equal">
      <formula>"LOA"</formula>
    </cfRule>
  </conditionalFormatting>
  <conditionalFormatting sqref="V261">
    <cfRule type="cellIs" dxfId="19" priority="214" operator="greaterThan">
      <formula>45</formula>
    </cfRule>
  </conditionalFormatting>
  <conditionalFormatting sqref="W261">
    <cfRule type="duplicateValues" dxfId="16" priority="219"/>
  </conditionalFormatting>
  <conditionalFormatting sqref="X261">
    <cfRule type="duplicateValues" dxfId="16" priority="215"/>
  </conditionalFormatting>
  <conditionalFormatting sqref="Y261">
    <cfRule type="duplicateValues" dxfId="16" priority="216"/>
  </conditionalFormatting>
  <conditionalFormatting sqref="AH261">
    <cfRule type="duplicateValues" dxfId="16" priority="217"/>
  </conditionalFormatting>
  <conditionalFormatting sqref="AI261">
    <cfRule type="duplicateValues" dxfId="16" priority="218"/>
  </conditionalFormatting>
  <conditionalFormatting sqref="A262">
    <cfRule type="cellIs" dxfId="9" priority="179" operator="equal">
      <formula>"LOA"</formula>
    </cfRule>
    <cfRule type="cellIs" dxfId="11" priority="180" operator="equal">
      <formula>"PENDING TERM"</formula>
    </cfRule>
    <cfRule type="cellIs" dxfId="12" priority="181" operator="equal">
      <formula>"PROMOTED"</formula>
    </cfRule>
    <cfRule type="cellIs" dxfId="13" priority="182" operator="equal">
      <formula>"REINSTATEMENT"</formula>
    </cfRule>
    <cfRule type="cellIs" dxfId="14" priority="183" operator="equal">
      <formula>"TERM"</formula>
    </cfRule>
    <cfRule type="cellIs" dxfId="9" priority="184" operator="equal">
      <formula>"TRANSFER"</formula>
    </cfRule>
  </conditionalFormatting>
  <conditionalFormatting sqref="D262:P262">
    <cfRule type="cellIs" dxfId="9" priority="196" operator="equal">
      <formula>"FER"</formula>
    </cfRule>
  </conditionalFormatting>
  <conditionalFormatting sqref="E262:K262">
    <cfRule type="cellIs" dxfId="9" priority="185" operator="equal">
      <formula>"Approved Off"</formula>
    </cfRule>
    <cfRule type="cellIs" dxfId="9" priority="186" operator="equal">
      <formula>"LOA"</formula>
    </cfRule>
    <cfRule type="cellIs" dxfId="15" priority="187" operator="equal">
      <formula>"nesting"</formula>
    </cfRule>
    <cfRule type="cellIs" dxfId="10" priority="188" operator="equal">
      <formula>"off"</formula>
    </cfRule>
    <cfRule type="cellIs" dxfId="9" priority="189" operator="equal">
      <formula>"vac"</formula>
    </cfRule>
    <cfRule type="cellIs" dxfId="9" priority="178" operator="equal">
      <formula>"Study Day"</formula>
    </cfRule>
    <cfRule type="cellIs" dxfId="9" priority="177" operator="equal">
      <formula>"FER"</formula>
    </cfRule>
    <cfRule type="cellIs" dxfId="9" priority="176" operator="equal">
      <formula>"Pending Term"</formula>
    </cfRule>
    <cfRule type="cellIs" dxfId="9" priority="173" operator="equal">
      <formula>"SUS"</formula>
    </cfRule>
  </conditionalFormatting>
  <conditionalFormatting sqref="F262:L262">
    <cfRule type="cellIs" dxfId="10" priority="175" operator="equal">
      <formula>"off"</formula>
    </cfRule>
    <cfRule type="cellIs" dxfId="9" priority="174" operator="equal">
      <formula>"LOA"</formula>
    </cfRule>
  </conditionalFormatting>
  <conditionalFormatting sqref="V262">
    <cfRule type="cellIs" dxfId="19" priority="190" operator="greaterThan">
      <formula>45</formula>
    </cfRule>
  </conditionalFormatting>
  <conditionalFormatting sqref="W262">
    <cfRule type="duplicateValues" dxfId="16" priority="195"/>
  </conditionalFormatting>
  <conditionalFormatting sqref="X262">
    <cfRule type="duplicateValues" dxfId="16" priority="191"/>
  </conditionalFormatting>
  <conditionalFormatting sqref="Y262">
    <cfRule type="duplicateValues" dxfId="16" priority="192"/>
  </conditionalFormatting>
  <conditionalFormatting sqref="AH262">
    <cfRule type="duplicateValues" dxfId="16" priority="193"/>
  </conditionalFormatting>
  <conditionalFormatting sqref="AI262">
    <cfRule type="duplicateValues" dxfId="16" priority="194"/>
  </conditionalFormatting>
  <conditionalFormatting sqref="A263">
    <cfRule type="cellIs" dxfId="9" priority="167" operator="equal">
      <formula>"LOA"</formula>
    </cfRule>
    <cfRule type="cellIs" dxfId="11" priority="168" operator="equal">
      <formula>"PENDING TERM"</formula>
    </cfRule>
    <cfRule type="cellIs" dxfId="12" priority="169" operator="equal">
      <formula>"PROMOTED"</formula>
    </cfRule>
    <cfRule type="cellIs" dxfId="13" priority="170" operator="equal">
      <formula>"REINSTATEMENT"</formula>
    </cfRule>
    <cfRule type="cellIs" dxfId="14" priority="171" operator="equal">
      <formula>"TERM"</formula>
    </cfRule>
    <cfRule type="cellIs" dxfId="9" priority="172" operator="equal">
      <formula>"TRANSFER"</formula>
    </cfRule>
  </conditionalFormatting>
  <conditionalFormatting sqref="E267">
    <cfRule type="cellIs" dxfId="10" priority="35" operator="equal">
      <formula>"off"</formula>
    </cfRule>
    <cfRule type="cellIs" dxfId="9" priority="34" operator="equal">
      <formula>"LOA"</formula>
    </cfRule>
  </conditionalFormatting>
  <conditionalFormatting sqref="E268">
    <cfRule type="cellIs" dxfId="10" priority="33" operator="equal">
      <formula>"off"</formula>
    </cfRule>
    <cfRule type="cellIs" dxfId="9" priority="32" operator="equal">
      <formula>"LOA"</formula>
    </cfRule>
  </conditionalFormatting>
  <conditionalFormatting sqref="E271">
    <cfRule type="cellIs" dxfId="10" priority="29" operator="equal">
      <formula>"off"</formula>
    </cfRule>
    <cfRule type="cellIs" dxfId="9" priority="28" operator="equal">
      <formula>"LOA"</formula>
    </cfRule>
  </conditionalFormatting>
  <conditionalFormatting sqref="E273">
    <cfRule type="cellIs" dxfId="10" priority="27" operator="equal">
      <formula>"off"</formula>
    </cfRule>
    <cfRule type="cellIs" dxfId="9" priority="26" operator="equal">
      <formula>"LOA"</formula>
    </cfRule>
  </conditionalFormatting>
  <conditionalFormatting sqref="E275">
    <cfRule type="cellIs" dxfId="10" priority="25" operator="equal">
      <formula>"off"</formula>
    </cfRule>
    <cfRule type="cellIs" dxfId="9" priority="24" operator="equal">
      <formula>"LOA"</formula>
    </cfRule>
  </conditionalFormatting>
  <conditionalFormatting sqref="A276">
    <cfRule type="cellIs" dxfId="9" priority="114" operator="equal">
      <formula>"LOA"</formula>
    </cfRule>
    <cfRule type="cellIs" dxfId="11" priority="115" operator="equal">
      <formula>"PENDING TERM"</formula>
    </cfRule>
    <cfRule type="cellIs" dxfId="12" priority="116" operator="equal">
      <formula>"PROMOTED"</formula>
    </cfRule>
    <cfRule type="cellIs" dxfId="13" priority="117" operator="equal">
      <formula>"REINSTATEMENT"</formula>
    </cfRule>
    <cfRule type="cellIs" dxfId="14" priority="118" operator="equal">
      <formula>"TERM"</formula>
    </cfRule>
    <cfRule type="cellIs" dxfId="9" priority="119" operator="equal">
      <formula>"TRANSFER"</formula>
    </cfRule>
  </conditionalFormatting>
  <conditionalFormatting sqref="D276:P276">
    <cfRule type="cellIs" dxfId="9" priority="136" operator="equal">
      <formula>"FER"</formula>
    </cfRule>
  </conditionalFormatting>
  <conditionalFormatting sqref="E276:K276">
    <cfRule type="cellIs" dxfId="9" priority="126" operator="equal">
      <formula>"Approved Off"</formula>
    </cfRule>
    <cfRule type="cellIs" dxfId="9" priority="127" operator="equal">
      <formula>"LOA"</formula>
    </cfRule>
    <cfRule type="cellIs" dxfId="15" priority="128" operator="equal">
      <formula>"nesting"</formula>
    </cfRule>
    <cfRule type="cellIs" dxfId="10" priority="129" operator="equal">
      <formula>"off"</formula>
    </cfRule>
    <cfRule type="cellIs" dxfId="9" priority="130" operator="equal">
      <formula>"vac"</formula>
    </cfRule>
    <cfRule type="cellIs" dxfId="9" priority="125" operator="equal">
      <formula>"Study Day"</formula>
    </cfRule>
    <cfRule type="cellIs" dxfId="9" priority="124" operator="equal">
      <formula>"FER"</formula>
    </cfRule>
    <cfRule type="cellIs" dxfId="9" priority="123" operator="equal">
      <formula>"Pending Term"</formula>
    </cfRule>
    <cfRule type="cellIs" dxfId="9" priority="120" operator="equal">
      <formula>"SUS"</formula>
    </cfRule>
  </conditionalFormatting>
  <conditionalFormatting sqref="E276">
    <cfRule type="cellIs" dxfId="10" priority="31" operator="equal">
      <formula>"off"</formula>
    </cfRule>
    <cfRule type="cellIs" dxfId="9" priority="30" operator="equal">
      <formula>"LOA"</formula>
    </cfRule>
  </conditionalFormatting>
  <conditionalFormatting sqref="F276:L276">
    <cfRule type="cellIs" dxfId="10" priority="122" operator="equal">
      <formula>"off"</formula>
    </cfRule>
    <cfRule type="cellIs" dxfId="9" priority="121" operator="equal">
      <formula>"LOA"</formula>
    </cfRule>
  </conditionalFormatting>
  <conditionalFormatting sqref="V276">
    <cfRule type="cellIs" dxfId="19" priority="131" operator="greaterThan">
      <formula>45</formula>
    </cfRule>
  </conditionalFormatting>
  <conditionalFormatting sqref="W276">
    <cfRule type="duplicateValues" dxfId="16" priority="135"/>
  </conditionalFormatting>
  <conditionalFormatting sqref="X276">
    <cfRule type="duplicateValues" dxfId="16" priority="132"/>
  </conditionalFormatting>
  <conditionalFormatting sqref="Y276">
    <cfRule type="duplicateValues" dxfId="16" priority="113"/>
  </conditionalFormatting>
  <conditionalFormatting sqref="AH276">
    <cfRule type="duplicateValues" dxfId="16" priority="133"/>
  </conditionalFormatting>
  <conditionalFormatting sqref="AI276">
    <cfRule type="duplicateValues" dxfId="16" priority="134"/>
  </conditionalFormatting>
  <conditionalFormatting sqref="A277">
    <cfRule type="cellIs" dxfId="9" priority="144" operator="equal">
      <formula>"LOA"</formula>
    </cfRule>
    <cfRule type="cellIs" dxfId="11" priority="145" operator="equal">
      <formula>"PENDING TERM"</formula>
    </cfRule>
    <cfRule type="cellIs" dxfId="12" priority="146" operator="equal">
      <formula>"PROMOTED"</formula>
    </cfRule>
    <cfRule type="cellIs" dxfId="13" priority="147" operator="equal">
      <formula>"REINSTATEMENT"</formula>
    </cfRule>
    <cfRule type="cellIs" dxfId="14" priority="148" operator="equal">
      <formula>"TERM"</formula>
    </cfRule>
    <cfRule type="cellIs" dxfId="9" priority="149" operator="equal">
      <formula>"TRANSFER"</formula>
    </cfRule>
  </conditionalFormatting>
  <conditionalFormatting sqref="E279">
    <cfRule type="cellIs" dxfId="10" priority="23" operator="equal">
      <formula>"off"</formula>
    </cfRule>
    <cfRule type="cellIs" dxfId="9" priority="22" operator="equal">
      <formula>"LOA"</formula>
    </cfRule>
  </conditionalFormatting>
  <conditionalFormatting sqref="E281">
    <cfRule type="cellIs" dxfId="10" priority="21" operator="equal">
      <formula>"off"</formula>
    </cfRule>
    <cfRule type="cellIs" dxfId="9" priority="20" operator="equal">
      <formula>"LOA"</formula>
    </cfRule>
  </conditionalFormatting>
  <conditionalFormatting sqref="E282">
    <cfRule type="cellIs" dxfId="10" priority="19" operator="equal">
      <formula>"off"</formula>
    </cfRule>
    <cfRule type="cellIs" dxfId="9" priority="18" operator="equal">
      <formula>"LOA"</formula>
    </cfRule>
  </conditionalFormatting>
  <conditionalFormatting sqref="E283">
    <cfRule type="cellIs" dxfId="10" priority="17" operator="equal">
      <formula>"off"</formula>
    </cfRule>
    <cfRule type="cellIs" dxfId="9" priority="16" operator="equal">
      <formula>"LOA"</formula>
    </cfRule>
  </conditionalFormatting>
  <conditionalFormatting sqref="A291">
    <cfRule type="cellIs" dxfId="9" priority="89" operator="equal">
      <formula>"LOA"</formula>
    </cfRule>
    <cfRule type="cellIs" dxfId="11" priority="90" operator="equal">
      <formula>"PENDING TERM"</formula>
    </cfRule>
    <cfRule type="cellIs" dxfId="12" priority="91" operator="equal">
      <formula>"PROMOTED"</formula>
    </cfRule>
    <cfRule type="cellIs" dxfId="13" priority="92" operator="equal">
      <formula>"REINSTATEMENT"</formula>
    </cfRule>
    <cfRule type="cellIs" dxfId="14" priority="93" operator="equal">
      <formula>"TERM"</formula>
    </cfRule>
    <cfRule type="cellIs" dxfId="9" priority="94" operator="equal">
      <formula>"TRANSFER"</formula>
    </cfRule>
  </conditionalFormatting>
  <conditionalFormatting sqref="E291:K291">
    <cfRule type="cellIs" dxfId="9" priority="102" operator="equal">
      <formula>"Approved Off"</formula>
    </cfRule>
    <cfRule type="cellIs" dxfId="9" priority="103" operator="equal">
      <formula>"LOA"</formula>
    </cfRule>
    <cfRule type="cellIs" dxfId="15" priority="104" operator="equal">
      <formula>"nesting"</formula>
    </cfRule>
    <cfRule type="cellIs" dxfId="10" priority="105" operator="equal">
      <formula>"off"</formula>
    </cfRule>
    <cfRule type="cellIs" dxfId="9" priority="106" operator="equal">
      <formula>"vac"</formula>
    </cfRule>
    <cfRule type="cellIs" dxfId="9" priority="101" operator="equal">
      <formula>"Study Day"</formula>
    </cfRule>
    <cfRule type="cellIs" dxfId="9" priority="100" operator="equal">
      <formula>"FER"</formula>
    </cfRule>
    <cfRule type="cellIs" dxfId="9" priority="99" operator="equal">
      <formula>"Pending Term"</formula>
    </cfRule>
    <cfRule type="cellIs" dxfId="9" priority="96" operator="equal">
      <formula>"SUS"</formula>
    </cfRule>
  </conditionalFormatting>
  <conditionalFormatting sqref="F291:L291">
    <cfRule type="cellIs" dxfId="10" priority="98" operator="equal">
      <formula>"off"</formula>
    </cfRule>
    <cfRule type="cellIs" dxfId="9" priority="97" operator="equal">
      <formula>"LOA"</formula>
    </cfRule>
  </conditionalFormatting>
  <conditionalFormatting sqref="M291">
    <cfRule type="cellIs" dxfId="9" priority="14" operator="equal">
      <formula>"FER"</formula>
    </cfRule>
  </conditionalFormatting>
  <conditionalFormatting sqref="V291">
    <cfRule type="cellIs" dxfId="19" priority="107" operator="greaterThan">
      <formula>45</formula>
    </cfRule>
  </conditionalFormatting>
  <conditionalFormatting sqref="W291">
    <cfRule type="duplicateValues" dxfId="16" priority="111"/>
  </conditionalFormatting>
  <conditionalFormatting sqref="X291">
    <cfRule type="duplicateValues" dxfId="16" priority="108"/>
  </conditionalFormatting>
  <conditionalFormatting sqref="Y291">
    <cfRule type="duplicateValues" dxfId="16" priority="95"/>
  </conditionalFormatting>
  <conditionalFormatting sqref="AH291">
    <cfRule type="duplicateValues" dxfId="16" priority="109"/>
  </conditionalFormatting>
  <conditionalFormatting sqref="AI291">
    <cfRule type="duplicateValues" dxfId="16" priority="110"/>
  </conditionalFormatting>
  <conditionalFormatting sqref="M292">
    <cfRule type="cellIs" dxfId="9" priority="13" operator="equal">
      <formula>"FER"</formula>
    </cfRule>
  </conditionalFormatting>
  <conditionalFormatting sqref="W292">
    <cfRule type="duplicateValues" dxfId="16" priority="76"/>
  </conditionalFormatting>
  <conditionalFormatting sqref="X292">
    <cfRule type="duplicateValues" dxfId="16" priority="74"/>
  </conditionalFormatting>
  <conditionalFormatting sqref="Y292">
    <cfRule type="duplicateValues" dxfId="16" priority="75"/>
  </conditionalFormatting>
  <conditionalFormatting sqref="Z292">
    <cfRule type="duplicateValues" dxfId="16" priority="73"/>
  </conditionalFormatting>
  <conditionalFormatting sqref="AA292">
    <cfRule type="duplicateValues" dxfId="16" priority="72"/>
  </conditionalFormatting>
  <conditionalFormatting sqref="W293">
    <cfRule type="duplicateValues" dxfId="16" priority="71"/>
  </conditionalFormatting>
  <conditionalFormatting sqref="X293">
    <cfRule type="duplicateValues" dxfId="16" priority="69"/>
  </conditionalFormatting>
  <conditionalFormatting sqref="Y293">
    <cfRule type="duplicateValues" dxfId="16" priority="70"/>
  </conditionalFormatting>
  <conditionalFormatting sqref="A306">
    <cfRule type="cellIs" dxfId="9" priority="42" operator="equal">
      <formula>"LOA"</formula>
    </cfRule>
    <cfRule type="cellIs" dxfId="11" priority="43" operator="equal">
      <formula>"PENDING TERM"</formula>
    </cfRule>
    <cfRule type="cellIs" dxfId="12" priority="44" operator="equal">
      <formula>"PROMOTED"</formula>
    </cfRule>
    <cfRule type="cellIs" dxfId="13" priority="45" operator="equal">
      <formula>"REINSTATEMENT"</formula>
    </cfRule>
    <cfRule type="cellIs" dxfId="14" priority="46" operator="equal">
      <formula>"TERM"</formula>
    </cfRule>
    <cfRule type="cellIs" dxfId="9" priority="47" operator="equal">
      <formula>"TRANSFER"</formula>
    </cfRule>
  </conditionalFormatting>
  <conditionalFormatting sqref="A205:A206">
    <cfRule type="cellIs" dxfId="9" priority="298" operator="equal">
      <formula>"LOA"</formula>
    </cfRule>
    <cfRule type="cellIs" dxfId="11" priority="299" operator="equal">
      <formula>"PENDING TERM"</formula>
    </cfRule>
    <cfRule type="cellIs" dxfId="12" priority="300" operator="equal">
      <formula>"PROMOTED"</formula>
    </cfRule>
    <cfRule type="cellIs" dxfId="13" priority="301" operator="equal">
      <formula>"REINSTATEMENT"</formula>
    </cfRule>
    <cfRule type="cellIs" dxfId="14" priority="302" operator="equal">
      <formula>"TERM"</formula>
    </cfRule>
    <cfRule type="cellIs" dxfId="9" priority="303" operator="equal">
      <formula>"TRANSFER"</formula>
    </cfRule>
    <cfRule type="cellIs" dxfId="9" priority="280" operator="equal">
      <formula>"LOA"</formula>
    </cfRule>
    <cfRule type="cellIs" dxfId="11" priority="281" operator="equal">
      <formula>"PENDING TERM"</formula>
    </cfRule>
    <cfRule type="cellIs" dxfId="12" priority="282" operator="equal">
      <formula>"PROMOTED"</formula>
    </cfRule>
    <cfRule type="cellIs" dxfId="13" priority="283" operator="equal">
      <formula>"REINSTATEMENT"</formula>
    </cfRule>
    <cfRule type="cellIs" dxfId="14" priority="284" operator="equal">
      <formula>"TERM"</formula>
    </cfRule>
    <cfRule type="cellIs" dxfId="9" priority="285" operator="equal">
      <formula>"TRANSFER"</formula>
    </cfRule>
  </conditionalFormatting>
  <conditionalFormatting sqref="A242:A260">
    <cfRule type="cellIs" dxfId="9" priority="236" operator="equal">
      <formula>"LOA"</formula>
    </cfRule>
    <cfRule type="cellIs" dxfId="11" priority="237" operator="equal">
      <formula>"PENDING TERM"</formula>
    </cfRule>
    <cfRule type="cellIs" dxfId="12" priority="238" operator="equal">
      <formula>"PROMOTED"</formula>
    </cfRule>
    <cfRule type="cellIs" dxfId="13" priority="239" operator="equal">
      <formula>"REINSTATEMENT"</formula>
    </cfRule>
    <cfRule type="cellIs" dxfId="14" priority="240" operator="equal">
      <formula>"TERM"</formula>
    </cfRule>
    <cfRule type="cellIs" dxfId="9" priority="241" operator="equal">
      <formula>"TRANSFER"</formula>
    </cfRule>
  </conditionalFormatting>
  <conditionalFormatting sqref="A278:A290">
    <cfRule type="cellIs" dxfId="9" priority="137" operator="equal">
      <formula>"LOA"</formula>
    </cfRule>
    <cfRule type="cellIs" dxfId="11" priority="138" operator="equal">
      <formula>"PENDING TERM"</formula>
    </cfRule>
    <cfRule type="cellIs" dxfId="12" priority="139" operator="equal">
      <formula>"PROMOTED"</formula>
    </cfRule>
    <cfRule type="cellIs" dxfId="13" priority="140" operator="equal">
      <formula>"REINSTATEMENT"</formula>
    </cfRule>
    <cfRule type="cellIs" dxfId="14" priority="141" operator="equal">
      <formula>"TERM"</formula>
    </cfRule>
    <cfRule type="cellIs" dxfId="9" priority="142" operator="equal">
      <formula>"TRANSFER"</formula>
    </cfRule>
  </conditionalFormatting>
  <conditionalFormatting sqref="A292:A294">
    <cfRule type="cellIs" dxfId="9" priority="77" operator="equal">
      <formula>"LOA"</formula>
    </cfRule>
    <cfRule type="cellIs" dxfId="11" priority="78" operator="equal">
      <formula>"PENDING TERM"</formula>
    </cfRule>
    <cfRule type="cellIs" dxfId="12" priority="79" operator="equal">
      <formula>"PROMOTED"</formula>
    </cfRule>
    <cfRule type="cellIs" dxfId="13" priority="80" operator="equal">
      <formula>"REINSTATEMENT"</formula>
    </cfRule>
    <cfRule type="cellIs" dxfId="14" priority="81" operator="equal">
      <formula>"TERM"</formula>
    </cfRule>
    <cfRule type="cellIs" dxfId="9" priority="82" operator="equal">
      <formula>"TRANSFER"</formula>
    </cfRule>
  </conditionalFormatting>
  <conditionalFormatting sqref="L292:L295">
    <cfRule type="cellIs" dxfId="10" priority="84" operator="equal">
      <formula>"off"</formula>
    </cfRule>
    <cfRule type="cellIs" dxfId="9" priority="83" operator="equal">
      <formula>"LOA"</formula>
    </cfRule>
  </conditionalFormatting>
  <conditionalFormatting sqref="V205:V206">
    <cfRule type="cellIs" dxfId="19" priority="309" operator="greaterThan">
      <formula>45</formula>
    </cfRule>
    <cfRule type="cellIs" dxfId="19" priority="291" operator="greaterThan">
      <formula>45</formula>
    </cfRule>
  </conditionalFormatting>
  <conditionalFormatting sqref="V242:V260">
    <cfRule type="cellIs" dxfId="19" priority="247" operator="greaterThan">
      <formula>45</formula>
    </cfRule>
  </conditionalFormatting>
  <conditionalFormatting sqref="V277:V290">
    <cfRule type="cellIs" dxfId="19" priority="161" operator="greaterThan">
      <formula>45</formula>
    </cfRule>
  </conditionalFormatting>
  <conditionalFormatting sqref="V292:V295">
    <cfRule type="cellIs" dxfId="19" priority="85" operator="greaterThan">
      <formula>45</formula>
    </cfRule>
  </conditionalFormatting>
  <conditionalFormatting sqref="W12:W14">
    <cfRule type="duplicateValues" dxfId="16" priority="885"/>
  </conditionalFormatting>
  <conditionalFormatting sqref="W15:W21">
    <cfRule type="duplicateValues" dxfId="16" priority="870"/>
  </conditionalFormatting>
  <conditionalFormatting sqref="W22:W25">
    <cfRule type="duplicateValues" dxfId="16" priority="836"/>
  </conditionalFormatting>
  <conditionalFormatting sqref="W26:W27">
    <cfRule type="duplicateValues" dxfId="16" priority="841"/>
  </conditionalFormatting>
  <conditionalFormatting sqref="W28:W31">
    <cfRule type="duplicateValues" dxfId="16" priority="875"/>
  </conditionalFormatting>
  <conditionalFormatting sqref="W32:W34">
    <cfRule type="duplicateValues" dxfId="16" priority="831"/>
  </conditionalFormatting>
  <conditionalFormatting sqref="W36:W37">
    <cfRule type="duplicateValues" dxfId="16" priority="850"/>
  </conditionalFormatting>
  <conditionalFormatting sqref="W39:W44">
    <cfRule type="duplicateValues" dxfId="16" priority="865"/>
  </conditionalFormatting>
  <conditionalFormatting sqref="W45:W53">
    <cfRule type="duplicateValues" dxfId="16" priority="880"/>
  </conditionalFormatting>
  <conditionalFormatting sqref="W55:W59">
    <cfRule type="duplicateValues" dxfId="16" priority="855"/>
  </conditionalFormatting>
  <conditionalFormatting sqref="W60:W187">
    <cfRule type="duplicateValues" dxfId="16" priority="895"/>
  </conditionalFormatting>
  <conditionalFormatting sqref="W188:W198">
    <cfRule type="duplicateValues" dxfId="16" priority="338"/>
  </conditionalFormatting>
  <conditionalFormatting sqref="W199:W204">
    <cfRule type="duplicateValues" dxfId="16" priority="328"/>
  </conditionalFormatting>
  <conditionalFormatting sqref="W205:W206">
    <cfRule type="duplicateValues" dxfId="16" priority="296"/>
  </conditionalFormatting>
  <conditionalFormatting sqref="W207:W218">
    <cfRule type="duplicateValues" dxfId="16" priority="323"/>
  </conditionalFormatting>
  <conditionalFormatting sqref="W220:W241">
    <cfRule type="duplicateValues" dxfId="16" priority="348"/>
  </conditionalFormatting>
  <conditionalFormatting sqref="W242:W260">
    <cfRule type="duplicateValues" dxfId="16" priority="318"/>
  </conditionalFormatting>
  <conditionalFormatting sqref="W263:W275">
    <cfRule type="duplicateValues" dxfId="16" priority="332"/>
  </conditionalFormatting>
  <conditionalFormatting sqref="W277:W290">
    <cfRule type="duplicateValues" dxfId="16" priority="165"/>
  </conditionalFormatting>
  <conditionalFormatting sqref="W294:W295">
    <cfRule type="duplicateValues" dxfId="16" priority="68"/>
  </conditionalFormatting>
  <conditionalFormatting sqref="W296:W310">
    <cfRule type="duplicateValues" dxfId="16" priority="343"/>
  </conditionalFormatting>
  <conditionalFormatting sqref="X6:X10">
    <cfRule type="duplicateValues" dxfId="16" priority="842"/>
  </conditionalFormatting>
  <conditionalFormatting sqref="X12:X14">
    <cfRule type="duplicateValues" dxfId="16" priority="881"/>
  </conditionalFormatting>
  <conditionalFormatting sqref="X15:X21">
    <cfRule type="duplicateValues" dxfId="16" priority="866"/>
  </conditionalFormatting>
  <conditionalFormatting sqref="X22:X25">
    <cfRule type="duplicateValues" dxfId="16" priority="832"/>
  </conditionalFormatting>
  <conditionalFormatting sqref="X26:X27">
    <cfRule type="duplicateValues" dxfId="16" priority="837"/>
  </conditionalFormatting>
  <conditionalFormatting sqref="X28:X31">
    <cfRule type="duplicateValues" dxfId="16" priority="871"/>
  </conditionalFormatting>
  <conditionalFormatting sqref="X32:X34">
    <cfRule type="duplicateValues" dxfId="16" priority="827"/>
  </conditionalFormatting>
  <conditionalFormatting sqref="X36:X37">
    <cfRule type="duplicateValues" dxfId="16" priority="846"/>
  </conditionalFormatting>
  <conditionalFormatting sqref="X39:X44">
    <cfRule type="duplicateValues" dxfId="16" priority="861"/>
  </conditionalFormatting>
  <conditionalFormatting sqref="X45:X53">
    <cfRule type="duplicateValues" dxfId="16" priority="876"/>
  </conditionalFormatting>
  <conditionalFormatting sqref="X55:X59">
    <cfRule type="duplicateValues" dxfId="16" priority="851"/>
  </conditionalFormatting>
  <conditionalFormatting sqref="X60:X187">
    <cfRule type="duplicateValues" dxfId="16" priority="891"/>
  </conditionalFormatting>
  <conditionalFormatting sqref="X188:X198">
    <cfRule type="duplicateValues" dxfId="16" priority="334"/>
  </conditionalFormatting>
  <conditionalFormatting sqref="X199:X204">
    <cfRule type="duplicateValues" dxfId="16" priority="324"/>
  </conditionalFormatting>
  <conditionalFormatting sqref="X205:X206">
    <cfRule type="duplicateValues" dxfId="16" priority="310"/>
    <cfRule type="duplicateValues" dxfId="16" priority="292"/>
  </conditionalFormatting>
  <conditionalFormatting sqref="X207:X218">
    <cfRule type="duplicateValues" dxfId="16" priority="319"/>
  </conditionalFormatting>
  <conditionalFormatting sqref="X220:X241">
    <cfRule type="duplicateValues" dxfId="16" priority="344"/>
  </conditionalFormatting>
  <conditionalFormatting sqref="X242:X260">
    <cfRule type="duplicateValues" dxfId="16" priority="314"/>
  </conditionalFormatting>
  <conditionalFormatting sqref="X263:X275">
    <cfRule type="duplicateValues" dxfId="16" priority="329"/>
  </conditionalFormatting>
  <conditionalFormatting sqref="X277:X290">
    <cfRule type="duplicateValues" dxfId="16" priority="162"/>
  </conditionalFormatting>
  <conditionalFormatting sqref="X294:X295">
    <cfRule type="duplicateValues" dxfId="16" priority="66"/>
  </conditionalFormatting>
  <conditionalFormatting sqref="X296:X310">
    <cfRule type="duplicateValues" dxfId="16" priority="341"/>
  </conditionalFormatting>
  <conditionalFormatting sqref="Y6:Y10">
    <cfRule type="duplicateValues" dxfId="16" priority="843"/>
  </conditionalFormatting>
  <conditionalFormatting sqref="Y12:Y14">
    <cfRule type="duplicateValues" dxfId="16" priority="882"/>
  </conditionalFormatting>
  <conditionalFormatting sqref="Y15:Y21">
    <cfRule type="duplicateValues" dxfId="16" priority="867"/>
  </conditionalFormatting>
  <conditionalFormatting sqref="Y22:Y25">
    <cfRule type="duplicateValues" dxfId="16" priority="833"/>
  </conditionalFormatting>
  <conditionalFormatting sqref="Y26:Y27">
    <cfRule type="duplicateValues" dxfId="16" priority="838"/>
  </conditionalFormatting>
  <conditionalFormatting sqref="Y28:Y31">
    <cfRule type="duplicateValues" dxfId="16" priority="872"/>
  </conditionalFormatting>
  <conditionalFormatting sqref="Y32:Y34">
    <cfRule type="duplicateValues" dxfId="16" priority="828"/>
  </conditionalFormatting>
  <conditionalFormatting sqref="Y36:Y37">
    <cfRule type="duplicateValues" dxfId="16" priority="847"/>
  </conditionalFormatting>
  <conditionalFormatting sqref="Y39:Y44">
    <cfRule type="duplicateValues" dxfId="16" priority="862"/>
  </conditionalFormatting>
  <conditionalFormatting sqref="Y45:Y53">
    <cfRule type="duplicateValues" dxfId="16" priority="877"/>
  </conditionalFormatting>
  <conditionalFormatting sqref="Y55:Y59">
    <cfRule type="duplicateValues" dxfId="16" priority="852"/>
  </conditionalFormatting>
  <conditionalFormatting sqref="Y60:Y187">
    <cfRule type="duplicateValues" dxfId="16" priority="892"/>
  </conditionalFormatting>
  <conditionalFormatting sqref="Y188:Y198">
    <cfRule type="duplicateValues" dxfId="16" priority="335"/>
  </conditionalFormatting>
  <conditionalFormatting sqref="Y199:Y204">
    <cfRule type="duplicateValues" dxfId="16" priority="325"/>
  </conditionalFormatting>
  <conditionalFormatting sqref="Y205:Y206">
    <cfRule type="duplicateValues" dxfId="16" priority="311"/>
    <cfRule type="duplicateValues" dxfId="16" priority="293"/>
  </conditionalFormatting>
  <conditionalFormatting sqref="Y207:Y218">
    <cfRule type="duplicateValues" dxfId="16" priority="320"/>
  </conditionalFormatting>
  <conditionalFormatting sqref="Y220:Y241">
    <cfRule type="duplicateValues" dxfId="16" priority="345"/>
  </conditionalFormatting>
  <conditionalFormatting sqref="Y242:Y260">
    <cfRule type="duplicateValues" dxfId="16" priority="315"/>
  </conditionalFormatting>
  <conditionalFormatting sqref="Y263:Y275">
    <cfRule type="duplicateValues" dxfId="16" priority="333"/>
  </conditionalFormatting>
  <conditionalFormatting sqref="Y277:Y290">
    <cfRule type="duplicateValues" dxfId="16" priority="143"/>
  </conditionalFormatting>
  <conditionalFormatting sqref="Y294:Y295">
    <cfRule type="duplicateValues" dxfId="16" priority="67"/>
  </conditionalFormatting>
  <conditionalFormatting sqref="Y296:Y310">
    <cfRule type="duplicateValues" dxfId="16" priority="342"/>
  </conditionalFormatting>
  <conditionalFormatting sqref="AH6:AH10">
    <cfRule type="duplicateValues" dxfId="16" priority="844"/>
  </conditionalFormatting>
  <conditionalFormatting sqref="AH12:AH14">
    <cfRule type="duplicateValues" dxfId="16" priority="883"/>
  </conditionalFormatting>
  <conditionalFormatting sqref="AH15:AH21">
    <cfRule type="duplicateValues" dxfId="16" priority="868"/>
  </conditionalFormatting>
  <conditionalFormatting sqref="AH22:AH25">
    <cfRule type="duplicateValues" dxfId="16" priority="834"/>
  </conditionalFormatting>
  <conditionalFormatting sqref="AH26:AH27">
    <cfRule type="duplicateValues" dxfId="16" priority="839"/>
  </conditionalFormatting>
  <conditionalFormatting sqref="AH28:AH31">
    <cfRule type="duplicateValues" dxfId="16" priority="873"/>
  </conditionalFormatting>
  <conditionalFormatting sqref="AH32:AH34">
    <cfRule type="duplicateValues" dxfId="16" priority="829"/>
  </conditionalFormatting>
  <conditionalFormatting sqref="AH36:AH37">
    <cfRule type="duplicateValues" dxfId="16" priority="848"/>
  </conditionalFormatting>
  <conditionalFormatting sqref="AH39:AH44">
    <cfRule type="duplicateValues" dxfId="16" priority="863"/>
  </conditionalFormatting>
  <conditionalFormatting sqref="AH45:AH53">
    <cfRule type="duplicateValues" dxfId="16" priority="878"/>
  </conditionalFormatting>
  <conditionalFormatting sqref="AH55:AH59">
    <cfRule type="duplicateValues" dxfId="16" priority="853"/>
  </conditionalFormatting>
  <conditionalFormatting sqref="AH60:AH187">
    <cfRule type="duplicateValues" dxfId="16" priority="893"/>
  </conditionalFormatting>
  <conditionalFormatting sqref="AH188:AH198">
    <cfRule type="duplicateValues" dxfId="16" priority="336"/>
  </conditionalFormatting>
  <conditionalFormatting sqref="AH199:AH204">
    <cfRule type="duplicateValues" dxfId="16" priority="326"/>
  </conditionalFormatting>
  <conditionalFormatting sqref="AH205:AH206">
    <cfRule type="duplicateValues" dxfId="16" priority="312"/>
    <cfRule type="duplicateValues" dxfId="16" priority="294"/>
  </conditionalFormatting>
  <conditionalFormatting sqref="AH207:AH218">
    <cfRule type="duplicateValues" dxfId="16" priority="321"/>
  </conditionalFormatting>
  <conditionalFormatting sqref="AH220:AH241">
    <cfRule type="duplicateValues" dxfId="16" priority="346"/>
  </conditionalFormatting>
  <conditionalFormatting sqref="AH242:AH260">
    <cfRule type="duplicateValues" dxfId="16" priority="316"/>
  </conditionalFormatting>
  <conditionalFormatting sqref="AH263:AH275">
    <cfRule type="duplicateValues" dxfId="16" priority="330"/>
  </conditionalFormatting>
  <conditionalFormatting sqref="AH277:AH290">
    <cfRule type="duplicateValues" dxfId="16" priority="163"/>
  </conditionalFormatting>
  <conditionalFormatting sqref="AH292:AH295">
    <cfRule type="duplicateValues" dxfId="16" priority="86"/>
  </conditionalFormatting>
  <conditionalFormatting sqref="AH296:AH310">
    <cfRule type="duplicateValues" dxfId="16" priority="339"/>
  </conditionalFormatting>
  <conditionalFormatting sqref="AI6:AI10">
    <cfRule type="duplicateValues" dxfId="16" priority="845"/>
  </conditionalFormatting>
  <conditionalFormatting sqref="AI12:AI14">
    <cfRule type="duplicateValues" dxfId="16" priority="884"/>
  </conditionalFormatting>
  <conditionalFormatting sqref="AI15:AI21">
    <cfRule type="duplicateValues" dxfId="16" priority="869"/>
  </conditionalFormatting>
  <conditionalFormatting sqref="AI22:AI25">
    <cfRule type="duplicateValues" dxfId="16" priority="835"/>
  </conditionalFormatting>
  <conditionalFormatting sqref="AI26:AI27">
    <cfRule type="duplicateValues" dxfId="16" priority="840"/>
  </conditionalFormatting>
  <conditionalFormatting sqref="AI28:AI31">
    <cfRule type="duplicateValues" dxfId="16" priority="874"/>
  </conditionalFormatting>
  <conditionalFormatting sqref="AI32:AI34">
    <cfRule type="duplicateValues" dxfId="16" priority="830"/>
  </conditionalFormatting>
  <conditionalFormatting sqref="AI36:AI37">
    <cfRule type="duplicateValues" dxfId="16" priority="849"/>
  </conditionalFormatting>
  <conditionalFormatting sqref="AI39:AI44">
    <cfRule type="duplicateValues" dxfId="16" priority="864"/>
  </conditionalFormatting>
  <conditionalFormatting sqref="AI45:AI53">
    <cfRule type="duplicateValues" dxfId="16" priority="879"/>
  </conditionalFormatting>
  <conditionalFormatting sqref="AI55:AI59">
    <cfRule type="duplicateValues" dxfId="16" priority="854"/>
  </conditionalFormatting>
  <conditionalFormatting sqref="AI60:AI187">
    <cfRule type="duplicateValues" dxfId="16" priority="894"/>
  </conditionalFormatting>
  <conditionalFormatting sqref="AI188:AI198">
    <cfRule type="duplicateValues" dxfId="16" priority="337"/>
  </conditionalFormatting>
  <conditionalFormatting sqref="AI199:AI204">
    <cfRule type="duplicateValues" dxfId="16" priority="327"/>
  </conditionalFormatting>
  <conditionalFormatting sqref="AI205:AI206">
    <cfRule type="duplicateValues" dxfId="16" priority="313"/>
    <cfRule type="duplicateValues" dxfId="16" priority="295"/>
  </conditionalFormatting>
  <conditionalFormatting sqref="AI207:AI218">
    <cfRule type="duplicateValues" dxfId="16" priority="322"/>
  </conditionalFormatting>
  <conditionalFormatting sqref="AI220:AI241">
    <cfRule type="duplicateValues" dxfId="16" priority="347"/>
  </conditionalFormatting>
  <conditionalFormatting sqref="AI242:AI260">
    <cfRule type="duplicateValues" dxfId="16" priority="317"/>
  </conditionalFormatting>
  <conditionalFormatting sqref="AI263:AI275">
    <cfRule type="duplicateValues" dxfId="16" priority="331"/>
  </conditionalFormatting>
  <conditionalFormatting sqref="AI277:AI290">
    <cfRule type="duplicateValues" dxfId="16" priority="164"/>
  </conditionalFormatting>
  <conditionalFormatting sqref="AI292:AI295">
    <cfRule type="duplicateValues" dxfId="16" priority="87"/>
  </conditionalFormatting>
  <conditionalFormatting sqref="AI296:AI310">
    <cfRule type="duplicateValues" dxfId="16" priority="340"/>
  </conditionalFormatting>
  <conditionalFormatting sqref="A207:A218;A264:A275;A220:A241;A188:A204;A2:A3;A39:A53;A92:A96;A116:A122;A128:A135;A124:A126;A55:A89;A98:A106;A6:A37;A108:A114">
    <cfRule type="cellIs" dxfId="9" priority="802" operator="equal">
      <formula>"LOA"</formula>
    </cfRule>
    <cfRule type="cellIs" dxfId="11" priority="803" operator="equal">
      <formula>"PENDING TERM"</formula>
    </cfRule>
    <cfRule type="cellIs" dxfId="12" priority="804" operator="equal">
      <formula>"PROMOTED"</formula>
    </cfRule>
    <cfRule type="cellIs" dxfId="13" priority="805" operator="equal">
      <formula>"REINSTATEMENT"</formula>
    </cfRule>
    <cfRule type="cellIs" dxfId="14" priority="806" operator="equal">
      <formula>"TERM"</formula>
    </cfRule>
    <cfRule type="cellIs" dxfId="9" priority="807" operator="equal">
      <formula>"TRANSFER"</formula>
    </cfRule>
  </conditionalFormatting>
  <conditionalFormatting sqref="D263:P275;D258:P261;D257:L257;N257:P257;D296:P310;D190:P191;D189:L189;N189:P189;D193:P195;D192:L192;N192:P192;D197:P206;D196:L196;N196:P196;D208:P230;D207:L207;N207:P207;D232:P236;D231:L231;N231:P231;D238:P239;D237:L237;N237:P237;D242:P243;D240:L241;N240:P241;D246:P248;D244:L245;N244:P245;D251:P256;D249:L250;N249:P250;D106:L106;N106:P106;D30:L30;N30:P30;D136:L136;N136:P136;D31:P33;D137:P137;D35:P71;D34:L34;N34:P34;D73:P73;D72:L72;N72:P72;D75:P75;D74:L74;N74:P74;D77:P79;D76:L76;N76:P76;D81:P88;D80:L80;N80:P80;D89:L90;N89:P90;D91:P102;D104:P105;D103:L103;N103:P103;D126:P135;D124:L125;N124:P125;D138:L138;N138:P138;D139:P188;D2:P29;D107:P123">
    <cfRule type="cellIs" dxfId="9" priority="772" operator="equal">
      <formula>"FER"</formula>
    </cfRule>
  </conditionalFormatting>
  <conditionalFormatting sqref="E207:K218;E263:K275;E220:K241;E296:K310;E2:K3;E39:K53;E6:K37;E55:K205">
    <cfRule type="cellIs" dxfId="9" priority="808" operator="equal">
      <formula>"Approved Off"</formula>
    </cfRule>
    <cfRule type="cellIs" dxfId="9" priority="809" operator="equal">
      <formula>"LOA"</formula>
    </cfRule>
    <cfRule type="cellIs" dxfId="15" priority="810" operator="equal">
      <formula>"nesting"</formula>
    </cfRule>
    <cfRule type="cellIs" dxfId="10" priority="811" operator="equal">
      <formula>"off"</formula>
    </cfRule>
    <cfRule type="cellIs" dxfId="9" priority="812" operator="equal">
      <formula>"vac"</formula>
    </cfRule>
  </conditionalFormatting>
  <conditionalFormatting sqref="E207:K218;E263:K275;E220:K241;E296:K310;E39:K53;E2:K37;E55:K205">
    <cfRule type="cellIs" dxfId="9" priority="773" operator="equal">
      <formula>"Study Day"</formula>
    </cfRule>
  </conditionalFormatting>
  <conditionalFormatting sqref="E207:K218;E263:K275;E220:K241;E296:K310;E2:K53;E55:K205">
    <cfRule type="cellIs" dxfId="9" priority="758" operator="equal">
      <formula>"Pending Term"</formula>
    </cfRule>
  </conditionalFormatting>
  <conditionalFormatting sqref="E263:K275;E2:K241">
    <cfRule type="cellIs" dxfId="9" priority="729" operator="equal">
      <formula>"SUS"</formula>
    </cfRule>
  </conditionalFormatting>
  <conditionalFormatting sqref="F207:L218;F263:L275;F220:L241;L188:L204;F296:L310;F188:K205;F2:L187">
    <cfRule type="cellIs" dxfId="10" priority="743" operator="equal">
      <formula>"off"</formula>
    </cfRule>
    <cfRule type="cellIs" dxfId="9" priority="742" operator="equal">
      <formula>"LOA"</formula>
    </cfRule>
  </conditionalFormatting>
  <conditionalFormatting sqref="V207:V218;V263:V275;V296:V310;V220:V241;V2:V3;V39:V53;V6:V37;V55:V204">
    <cfRule type="cellIs" dxfId="19" priority="813" operator="greaterThan">
      <formula>45</formula>
    </cfRule>
  </conditionalFormatting>
  <conditionalFormatting sqref="W63:W179;W2:W10">
    <cfRule type="duplicateValues" dxfId="16" priority="886"/>
  </conditionalFormatting>
  <conditionalFormatting sqref="X63:X187;X2">
    <cfRule type="duplicateValues" dxfId="16" priority="887"/>
  </conditionalFormatting>
  <conditionalFormatting sqref="Y63:Y187;Y2">
    <cfRule type="duplicateValues" dxfId="16" priority="888"/>
  </conditionalFormatting>
  <conditionalFormatting sqref="AH63:AH187;AH2">
    <cfRule type="duplicateValues" dxfId="16" priority="889"/>
  </conditionalFormatting>
  <conditionalFormatting sqref="AI63:AI187;AI2">
    <cfRule type="duplicateValues" dxfId="16" priority="890"/>
  </conditionalFormatting>
  <conditionalFormatting sqref="E205:K206">
    <cfRule type="cellIs" dxfId="9" priority="304" operator="equal">
      <formula>"Approved Off"</formula>
    </cfRule>
    <cfRule type="cellIs" dxfId="9" priority="305" operator="equal">
      <formula>"LOA"</formula>
    </cfRule>
    <cfRule type="cellIs" dxfId="15" priority="306" operator="equal">
      <formula>"nesting"</formula>
    </cfRule>
    <cfRule type="cellIs" dxfId="10" priority="307" operator="equal">
      <formula>"off"</formula>
    </cfRule>
    <cfRule type="cellIs" dxfId="9" priority="308" operator="equal">
      <formula>"vac"</formula>
    </cfRule>
    <cfRule type="cellIs" dxfId="9" priority="297" operator="equal">
      <formula>"FER"</formula>
    </cfRule>
    <cfRule type="cellIs" dxfId="9" priority="286" operator="equal">
      <formula>"Approved Off"</formula>
    </cfRule>
    <cfRule type="cellIs" dxfId="9" priority="287" operator="equal">
      <formula>"LOA"</formula>
    </cfRule>
    <cfRule type="cellIs" dxfId="15" priority="288" operator="equal">
      <formula>"nesting"</formula>
    </cfRule>
    <cfRule type="cellIs" dxfId="10" priority="289" operator="equal">
      <formula>"off"</formula>
    </cfRule>
    <cfRule type="cellIs" dxfId="9" priority="290" operator="equal">
      <formula>"vac"</formula>
    </cfRule>
    <cfRule type="cellIs" dxfId="9" priority="279" operator="equal">
      <formula>"Study Day"</formula>
    </cfRule>
    <cfRule type="cellIs" dxfId="9" priority="278" operator="equal">
      <formula>"FER"</formula>
    </cfRule>
    <cfRule type="cellIs" dxfId="9" priority="277" operator="equal">
      <formula>"Pending Term"</formula>
    </cfRule>
  </conditionalFormatting>
  <conditionalFormatting sqref="F205:L206">
    <cfRule type="cellIs" dxfId="10" priority="276" operator="equal">
      <formula>"off"</formula>
    </cfRule>
    <cfRule type="cellIs" dxfId="9" priority="275" operator="equal">
      <formula>"LOA"</formula>
    </cfRule>
  </conditionalFormatting>
  <conditionalFormatting sqref="E242:K260">
    <cfRule type="cellIs" dxfId="9" priority="242" operator="equal">
      <formula>"Approved Off"</formula>
    </cfRule>
    <cfRule type="cellIs" dxfId="9" priority="243" operator="equal">
      <formula>"LOA"</formula>
    </cfRule>
    <cfRule type="cellIs" dxfId="15" priority="244" operator="equal">
      <formula>"nesting"</formula>
    </cfRule>
    <cfRule type="cellIs" dxfId="10" priority="245" operator="equal">
      <formula>"off"</formula>
    </cfRule>
    <cfRule type="cellIs" dxfId="9" priority="246" operator="equal">
      <formula>"vac"</formula>
    </cfRule>
    <cfRule type="cellIs" dxfId="9" priority="235" operator="equal">
      <formula>"Study Day"</formula>
    </cfRule>
    <cfRule type="cellIs" dxfId="9" priority="234" operator="equal">
      <formula>"FER"</formula>
    </cfRule>
    <cfRule type="cellIs" dxfId="9" priority="233" operator="equal">
      <formula>"Pending Term"</formula>
    </cfRule>
    <cfRule type="cellIs" dxfId="9" priority="230" operator="equal">
      <formula>"SUS"</formula>
    </cfRule>
  </conditionalFormatting>
  <conditionalFormatting sqref="F242:L260">
    <cfRule type="cellIs" dxfId="10" priority="232" operator="equal">
      <formula>"off"</formula>
    </cfRule>
    <cfRule type="cellIs" dxfId="9" priority="231" operator="equal">
      <formula>"LOA"</formula>
    </cfRule>
  </conditionalFormatting>
  <conditionalFormatting sqref="D277:P290">
    <cfRule type="cellIs" dxfId="9" priority="166" operator="equal">
      <formula>"FER"</formula>
    </cfRule>
  </conditionalFormatting>
  <conditionalFormatting sqref="E277:K290">
    <cfRule type="cellIs" dxfId="9" priority="156" operator="equal">
      <formula>"Approved Off"</formula>
    </cfRule>
    <cfRule type="cellIs" dxfId="9" priority="157" operator="equal">
      <formula>"LOA"</formula>
    </cfRule>
    <cfRule type="cellIs" dxfId="15" priority="158" operator="equal">
      <formula>"nesting"</formula>
    </cfRule>
    <cfRule type="cellIs" dxfId="10" priority="159" operator="equal">
      <formula>"off"</formula>
    </cfRule>
    <cfRule type="cellIs" dxfId="9" priority="160" operator="equal">
      <formula>"vac"</formula>
    </cfRule>
    <cfRule type="cellIs" dxfId="9" priority="155" operator="equal">
      <formula>"Study Day"</formula>
    </cfRule>
    <cfRule type="cellIs" dxfId="9" priority="154" operator="equal">
      <formula>"FER"</formula>
    </cfRule>
    <cfRule type="cellIs" dxfId="9" priority="153" operator="equal">
      <formula>"Pending Term"</formula>
    </cfRule>
    <cfRule type="cellIs" dxfId="9" priority="150" operator="equal">
      <formula>"SUS"</formula>
    </cfRule>
  </conditionalFormatting>
  <conditionalFormatting sqref="F277:L290">
    <cfRule type="cellIs" dxfId="10" priority="152" operator="equal">
      <formula>"off"</formula>
    </cfRule>
    <cfRule type="cellIs" dxfId="9" priority="151" operator="equal">
      <formula>"LOA"</formula>
    </cfRule>
  </conditionalFormatting>
  <conditionalFormatting sqref="D291:L291;N291:P291">
    <cfRule type="cellIs" dxfId="9" priority="112" operator="equal">
      <formula>"FER"</formula>
    </cfRule>
  </conditionalFormatting>
  <conditionalFormatting sqref="D292:D295;L293:P295;L292;N292:P292">
    <cfRule type="cellIs" dxfId="9" priority="88" operator="equal">
      <formula>"FER"</formula>
    </cfRule>
  </conditionalFormatting>
  <conditionalFormatting sqref="E292:K295">
    <cfRule type="cellIs" dxfId="9" priority="61" operator="equal">
      <formula>"Approved Off"</formula>
    </cfRule>
    <cfRule type="cellIs" dxfId="9" priority="62" operator="equal">
      <formula>"LOA"</formula>
    </cfRule>
    <cfRule type="cellIs" dxfId="15" priority="63" operator="equal">
      <formula>"nesting"</formula>
    </cfRule>
    <cfRule type="cellIs" dxfId="10" priority="64" operator="equal">
      <formula>"off"</formula>
    </cfRule>
    <cfRule type="cellIs" dxfId="9" priority="65" operator="equal">
      <formula>"vac"</formula>
    </cfRule>
    <cfRule type="cellIs" dxfId="9" priority="60" operator="equal">
      <formula>"Study Day"</formula>
    </cfRule>
    <cfRule type="cellIs" dxfId="9" priority="59" operator="equal">
      <formula>"FER"</formula>
    </cfRule>
    <cfRule type="cellIs" dxfId="9" priority="58" operator="equal">
      <formula>"Pending Term"</formula>
    </cfRule>
  </conditionalFormatting>
  <conditionalFormatting sqref="F292:K295">
    <cfRule type="cellIs" dxfId="10" priority="57" operator="equal">
      <formula>"off"</formula>
    </cfRule>
    <cfRule type="cellIs" dxfId="9" priority="56" operator="equal">
      <formula>"LOA"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6"/>
  <sheetViews>
    <sheetView showGridLines="0" zoomScale="70" zoomScaleNormal="70" workbookViewId="0">
      <pane ySplit="1" topLeftCell="A4" activePane="bottomLeft" state="frozen"/>
      <selection/>
      <selection pane="bottomLeft" activeCell="A1" sqref="A1"/>
    </sheetView>
  </sheetViews>
  <sheetFormatPr defaultColWidth="0" defaultRowHeight="0" customHeight="1" zeroHeight="1"/>
  <cols>
    <col min="1" max="1" width="31.1428571428571" customWidth="1"/>
    <col min="2" max="2" width="34.8571428571429" customWidth="1"/>
    <col min="3" max="9" width="15" customWidth="1"/>
    <col min="10" max="10" width="14.8571428571429" customWidth="1"/>
    <col min="11" max="11" width="16.8571428571429" customWidth="1"/>
    <col min="12" max="12" width="20" customWidth="1"/>
    <col min="13" max="13" width="20.5714285714286" customWidth="1"/>
    <col min="14" max="14" width="3.57142857142857" customWidth="1"/>
    <col min="15" max="16384" width="20.5714285714286" hidden="1"/>
  </cols>
  <sheetData>
    <row r="1" ht="30.75" customHeight="1" spans="1:13">
      <c r="A1" s="35" t="s">
        <v>0</v>
      </c>
      <c r="B1" s="36" t="s">
        <v>1</v>
      </c>
      <c r="C1" s="36" t="s">
        <v>1893</v>
      </c>
      <c r="D1" s="36" t="s">
        <v>1894</v>
      </c>
      <c r="E1" s="36" t="s">
        <v>5</v>
      </c>
      <c r="F1" s="36" t="s">
        <v>1895</v>
      </c>
      <c r="G1" s="36" t="s">
        <v>1896</v>
      </c>
      <c r="H1" s="36" t="s">
        <v>1897</v>
      </c>
      <c r="I1" s="36" t="s">
        <v>1898</v>
      </c>
      <c r="J1" s="36" t="s">
        <v>1899</v>
      </c>
      <c r="K1" s="36" t="s">
        <v>8</v>
      </c>
      <c r="L1" s="36" t="s">
        <v>1930</v>
      </c>
      <c r="M1" s="45" t="s">
        <v>9</v>
      </c>
    </row>
    <row r="2" s="34" customFormat="1" ht="15" customHeight="1" spans="1:16384">
      <c r="A2" s="37" t="str">
        <f>'Sups'' Final Roster 0913-0919'!A2</f>
        <v>Campero Juarez Maria Guadalupe</v>
      </c>
      <c r="B2" s="38" t="str">
        <f>'Sups'' Final Roster 0913-0919'!B2</f>
        <v>Arias Juan José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46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="34" customFormat="1" ht="15" customHeight="1" spans="1:16384">
      <c r="A3" s="40" t="str">
        <f>'Sups'' Final Roster 0913-0919'!A3</f>
        <v>Campero Juarez Maria Guadalupe</v>
      </c>
      <c r="B3" s="39" t="str">
        <f>'Sups'' Final Roster 0913-0919'!B3</f>
        <v>Corbera Susana Sofía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46"/>
      <c r="N3" s="47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  <c r="XFC3"/>
      <c r="XFD3"/>
    </row>
    <row r="4" s="34" customFormat="1" ht="15" customHeight="1" spans="1:16384">
      <c r="A4" s="40" t="str">
        <f>'Sups'' Final Roster 0913-0919'!A4</f>
        <v>Campero Juarez Maria Guadalupe</v>
      </c>
      <c r="B4" s="39" t="str">
        <f>'Sups'' Final Roster 0913-0919'!B4</f>
        <v>Podazza Villagra Daniel Matias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46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  <c r="XFC4"/>
      <c r="XFD4"/>
    </row>
    <row r="5" s="34" customFormat="1" ht="15" customHeight="1" spans="1:16384">
      <c r="A5" s="40" t="str">
        <f>'Sups'' Final Roster 0913-0919'!A5</f>
        <v>Campero Juarez Maria Guadalupe</v>
      </c>
      <c r="B5" s="39" t="str">
        <f>'Sups'' Final Roster 0913-0919'!B5</f>
        <v>Gregoratti Juan Carlos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46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  <c r="XFC5"/>
      <c r="XFD5"/>
    </row>
    <row r="6" s="34" customFormat="1" ht="15" customHeight="1" spans="1:16384">
      <c r="A6" s="40" t="str">
        <f>'Sups'' Final Roster 0913-0919'!A6</f>
        <v>Pérez Zitzke Agustina</v>
      </c>
      <c r="B6" s="39" t="str">
        <f>'Sups'' Final Roster 0913-0919'!B6</f>
        <v>Vazquez Valladares Eduardo Alejandro</v>
      </c>
      <c r="C6" s="39"/>
      <c r="D6" s="39"/>
      <c r="E6" s="39"/>
      <c r="F6" s="39"/>
      <c r="G6" s="39"/>
      <c r="H6" s="39"/>
      <c r="I6" s="39"/>
      <c r="J6" s="39"/>
      <c r="K6" s="39"/>
      <c r="L6" s="39"/>
      <c r="M6" s="4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  <c r="XFC6"/>
      <c r="XFD6"/>
    </row>
    <row r="7" s="34" customFormat="1" ht="15" customHeight="1" spans="1:16384">
      <c r="A7" s="40" t="str">
        <f>'Sups'' Final Roster 0913-0919'!A7</f>
        <v>Pérez Zitzke Agustina</v>
      </c>
      <c r="B7" s="39" t="str">
        <f>'Sups'' Final Roster 0913-0919'!B7</f>
        <v>Ramallo Jose Emanuel</v>
      </c>
      <c r="C7" s="39"/>
      <c r="D7" s="39"/>
      <c r="E7" s="39"/>
      <c r="F7" s="39"/>
      <c r="G7" s="39"/>
      <c r="H7" s="39"/>
      <c r="I7" s="39"/>
      <c r="J7" s="39"/>
      <c r="K7" s="39"/>
      <c r="L7" s="39"/>
      <c r="M7" s="46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  <c r="XFC7"/>
      <c r="XFD7"/>
    </row>
    <row r="8" ht="15" customHeight="1" spans="1:13">
      <c r="A8" s="37" t="str">
        <f>'Sups'' Final Roster 0913-0919'!A8</f>
        <v>Campero Juarez Maria Guadalupe</v>
      </c>
      <c r="B8" s="38" t="str">
        <f>'Sups'' Final Roster 0913-0919'!B8</f>
        <v>Criado Esteban</v>
      </c>
      <c r="C8" s="38"/>
      <c r="D8" s="38"/>
      <c r="E8" s="38"/>
      <c r="F8" s="38"/>
      <c r="G8" s="38"/>
      <c r="H8" s="38"/>
      <c r="I8" s="38"/>
      <c r="J8" s="39"/>
      <c r="K8" s="39"/>
      <c r="L8" s="39"/>
      <c r="M8" s="46"/>
    </row>
    <row r="9" ht="15" customHeight="1" spans="1:13">
      <c r="A9" s="40" t="str">
        <f>'Sups'' Final Roster 0913-0919'!A10</f>
        <v>Pérez Zitzke Agustina</v>
      </c>
      <c r="B9" s="39" t="str">
        <f>'Sups'' Final Roster 0913-0919'!B10</f>
        <v>Villa Aleman Alejandro Roberto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46"/>
    </row>
    <row r="10" ht="15" customHeight="1" spans="1:13">
      <c r="A10" s="40" t="str">
        <f>'Sups'' Final Roster 0913-0919'!A11</f>
        <v>Ortiz Jose María</v>
      </c>
      <c r="B10" s="39" t="str">
        <f>'Sups'' Final Roster 0913-0919'!B11</f>
        <v>Brandan Ernesto Alejandro</v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46"/>
    </row>
    <row r="11" ht="15" customHeight="1" spans="1:13">
      <c r="A11" s="40" t="str">
        <f>'Sups'' Final Roster 0913-0919'!A12</f>
        <v>Ortiz Jose María</v>
      </c>
      <c r="B11" s="39" t="str">
        <f>'Sups'' Final Roster 0913-0919'!B12</f>
        <v>Britos Fernando José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46"/>
    </row>
    <row r="12" ht="15" customHeight="1" spans="1:13">
      <c r="A12" s="40" t="e">
        <f>'Sups'' Final Roster 0913-0919'!#REF!</f>
        <v>#REF!</v>
      </c>
      <c r="B12" s="39" t="e">
        <f>'Sups'' Final Roster 0913-0919'!#REF!</f>
        <v>#REF!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6"/>
    </row>
    <row r="13" ht="15" customHeight="1" spans="1:13">
      <c r="A13" s="40" t="e">
        <f>'Sups'' Final Roster 0913-0919'!#REF!</f>
        <v>#REF!</v>
      </c>
      <c r="B13" s="39" t="e">
        <f>'Sups'' Final Roster 0913-0919'!#REF!</f>
        <v>#REF!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46"/>
    </row>
    <row r="14" ht="15" customHeight="1" spans="1:13">
      <c r="A14" s="41" t="e">
        <f>'Sups'' Final Roster 0913-0919'!#REF!</f>
        <v>#REF!</v>
      </c>
      <c r="B14" s="42" t="e">
        <f>'Sups'' Final Roster 0913-0919'!#REF!</f>
        <v>#REF!</v>
      </c>
      <c r="C14" s="42"/>
      <c r="D14" s="42"/>
      <c r="E14" s="42"/>
      <c r="F14" s="42"/>
      <c r="G14" s="42"/>
      <c r="H14" s="42"/>
      <c r="I14" s="42"/>
      <c r="J14" s="39"/>
      <c r="K14" s="39"/>
      <c r="L14" s="39"/>
      <c r="M14" s="46"/>
    </row>
    <row r="15" ht="15" customHeight="1" spans="1:13">
      <c r="A15" s="41" t="e">
        <f>'Sups'' Final Roster 0913-0919'!#REF!</f>
        <v>#REF!</v>
      </c>
      <c r="B15" s="42" t="e">
        <f>'Sups'' Final Roster 0913-0919'!#REF!</f>
        <v>#REF!</v>
      </c>
      <c r="C15" s="42"/>
      <c r="D15" s="42"/>
      <c r="E15" s="42"/>
      <c r="F15" s="42"/>
      <c r="G15" s="42"/>
      <c r="H15" s="42"/>
      <c r="I15" s="42"/>
      <c r="J15" s="39"/>
      <c r="K15" s="39"/>
      <c r="L15" s="39"/>
      <c r="M15" s="46"/>
    </row>
    <row r="16" ht="15" customHeight="1" spans="1:13">
      <c r="A16" s="41" t="e">
        <f>'Sups'' Final Roster 0913-0919'!#REF!</f>
        <v>#REF!</v>
      </c>
      <c r="B16" s="42" t="e">
        <f>'Sups'' Final Roster 0913-0919'!#REF!</f>
        <v>#REF!</v>
      </c>
      <c r="C16" s="42"/>
      <c r="D16" s="42"/>
      <c r="E16" s="42"/>
      <c r="F16" s="42"/>
      <c r="G16" s="42"/>
      <c r="H16" s="42"/>
      <c r="I16" s="42"/>
      <c r="J16" s="39"/>
      <c r="K16" s="39"/>
      <c r="L16" s="39"/>
      <c r="M16" s="46"/>
    </row>
    <row r="17" ht="15" customHeight="1" spans="1:13">
      <c r="A17" s="43" t="e">
        <f>'Sups'' Final Roster 0913-0919'!#REF!</f>
        <v>#REF!</v>
      </c>
      <c r="B17" s="44" t="e">
        <f>'Sups'' Final Roster 0913-0919'!#REF!</f>
        <v>#REF!</v>
      </c>
      <c r="C17" s="44"/>
      <c r="D17" s="44"/>
      <c r="E17" s="44"/>
      <c r="F17" s="44"/>
      <c r="G17" s="44"/>
      <c r="H17" s="44"/>
      <c r="I17" s="44"/>
      <c r="J17" s="48"/>
      <c r="K17" s="48"/>
      <c r="L17" s="48"/>
      <c r="M17" s="49"/>
    </row>
    <row r="18" ht="15" customHeight="1" spans="1:2">
      <c r="A18" t="e">
        <f>'Sups'' Final Roster 0913-0919'!#REF!</f>
        <v>#REF!</v>
      </c>
      <c r="B18" t="e">
        <f>'Sups'' Final Roster 0913-0919'!#REF!</f>
        <v>#REF!</v>
      </c>
    </row>
    <row r="19" ht="15" customHeight="1" spans="1:2">
      <c r="A19" t="e">
        <f>'Sups'' Final Roster 0913-0919'!#REF!</f>
        <v>#REF!</v>
      </c>
      <c r="B19" t="e">
        <f>'Sups'' Final Roster 0913-0919'!#REF!</f>
        <v>#REF!</v>
      </c>
    </row>
    <row r="20" ht="15" customHeight="1" spans="1:2">
      <c r="A20" t="e">
        <f>'Sups'' Final Roster 0913-0919'!#REF!</f>
        <v>#REF!</v>
      </c>
      <c r="B20" t="e">
        <f>'Sups'' Final Roster 0913-0919'!#REF!</f>
        <v>#REF!</v>
      </c>
    </row>
    <row r="21" ht="15" customHeight="1" spans="1:2">
      <c r="A21" t="e">
        <f>'Sups'' Final Roster 0913-0919'!#REF!</f>
        <v>#REF!</v>
      </c>
      <c r="B21" t="e">
        <f>'Sups'' Final Roster 0913-0919'!#REF!</f>
        <v>#REF!</v>
      </c>
    </row>
    <row r="22" ht="15" customHeight="1" spans="1:2">
      <c r="A22" t="e">
        <f>'Sups'' Final Roster 0913-0919'!#REF!</f>
        <v>#REF!</v>
      </c>
      <c r="B22" t="e">
        <f>'Sups'' Final Roster 0913-0919'!#REF!</f>
        <v>#REF!</v>
      </c>
    </row>
    <row r="23" ht="15" customHeight="1" spans="1:2">
      <c r="A23" t="e">
        <f>'Sups'' Final Roster 0913-0919'!#REF!</f>
        <v>#REF!</v>
      </c>
      <c r="B23" t="e">
        <f>'Sups'' Final Roster 0913-0919'!#REF!</f>
        <v>#REF!</v>
      </c>
    </row>
    <row r="24" ht="15" customHeight="1" spans="1:2">
      <c r="A24" t="str">
        <f>'Sups'' Final Roster 0913-0919'!A13</f>
        <v>Ortiz Jose María</v>
      </c>
      <c r="B24" t="str">
        <f>'Sups'' Final Roster 0913-0919'!B13</f>
        <v>Esquivel Pavan Pamela Sol</v>
      </c>
    </row>
    <row r="25" ht="15" customHeight="1" spans="1:2">
      <c r="A25" t="str">
        <f>'Sups'' Final Roster 0913-0919'!A14</f>
        <v>Ortiz Jose María</v>
      </c>
      <c r="B25" t="str">
        <f>'Sups'' Final Roster 0913-0919'!B14</f>
        <v>Gerez Andrea Soledad</v>
      </c>
    </row>
    <row r="26" ht="15" customHeight="1" spans="1:2">
      <c r="A26" t="e">
        <f>'Sups'' Final Roster 0913-0919'!#REF!</f>
        <v>#REF!</v>
      </c>
      <c r="B26" t="e">
        <f>'Sups'' Final Roster 0913-0919'!#REF!</f>
        <v>#REF!</v>
      </c>
    </row>
    <row r="27" ht="15" customHeight="1" spans="1:2">
      <c r="A27" t="e">
        <f>'Sups'' Final Roster 0913-0919'!#REF!</f>
        <v>#REF!</v>
      </c>
      <c r="B27" t="e">
        <f>'Sups'' Final Roster 0913-0919'!#REF!</f>
        <v>#REF!</v>
      </c>
    </row>
    <row r="28" ht="15" customHeight="1" spans="1:2">
      <c r="A28" t="e">
        <f>'Sups'' Final Roster 0913-0919'!#REF!</f>
        <v>#REF!</v>
      </c>
      <c r="B28" t="e">
        <f>'Sups'' Final Roster 0913-0919'!#REF!</f>
        <v>#REF!</v>
      </c>
    </row>
    <row r="29" ht="15" customHeight="1" spans="1:2">
      <c r="A29" t="e">
        <f>'Sups'' Final Roster 0913-0919'!#REF!</f>
        <v>#REF!</v>
      </c>
      <c r="B29" t="e">
        <f>'Sups'' Final Roster 0913-0919'!#REF!</f>
        <v>#REF!</v>
      </c>
    </row>
    <row r="30" ht="15" customHeight="1" spans="1:2">
      <c r="A30" t="e">
        <f>'Sups'' Final Roster 0913-0919'!#REF!</f>
        <v>#REF!</v>
      </c>
      <c r="B30" t="e">
        <f>'Sups'' Final Roster 0913-0919'!#REF!</f>
        <v>#REF!</v>
      </c>
    </row>
    <row r="31" ht="15" customHeight="1" spans="1:2">
      <c r="A31" t="e">
        <f>'Sups'' Final Roster 0913-0919'!#REF!</f>
        <v>#REF!</v>
      </c>
      <c r="B31" t="e">
        <f>'Sups'' Final Roster 0913-0919'!#REF!</f>
        <v>#REF!</v>
      </c>
    </row>
    <row r="32" ht="15" customHeight="1" spans="1:2">
      <c r="A32" t="e">
        <f>'Sups'' Final Roster 0913-0919'!#REF!</f>
        <v>#REF!</v>
      </c>
      <c r="B32" t="e">
        <f>'Sups'' Final Roster 0913-0919'!#REF!</f>
        <v>#REF!</v>
      </c>
    </row>
    <row r="33" ht="15" customHeight="1" spans="1:2">
      <c r="A33" t="e">
        <f>'Sups'' Final Roster 0913-0919'!#REF!</f>
        <v>#REF!</v>
      </c>
      <c r="B33" t="e">
        <f>'Sups'' Final Roster 0913-0919'!#REF!</f>
        <v>#REF!</v>
      </c>
    </row>
    <row r="34" ht="15" customHeight="1" spans="1:2">
      <c r="A34" t="e">
        <f>'Sups'' Final Roster 0913-0919'!#REF!</f>
        <v>#REF!</v>
      </c>
      <c r="B34" t="e">
        <f>'Sups'' Final Roster 0913-0919'!#REF!</f>
        <v>#REF!</v>
      </c>
    </row>
    <row r="35" ht="15" customHeight="1" spans="1:2">
      <c r="A35" t="e">
        <f>'Sups'' Final Roster 0913-0919'!#REF!</f>
        <v>#REF!</v>
      </c>
      <c r="B35" t="e">
        <f>'Sups'' Final Roster 0913-0919'!#REF!</f>
        <v>#REF!</v>
      </c>
    </row>
    <row r="36" ht="15" customHeight="1" spans="1:2">
      <c r="A36" t="e">
        <f>'Sups'' Final Roster 0913-0919'!#REF!</f>
        <v>#REF!</v>
      </c>
      <c r="B36" t="e">
        <f>'Sups'' Final Roster 0913-0919'!#REF!</f>
        <v>#REF!</v>
      </c>
    </row>
    <row r="37" ht="15" customHeight="1" spans="1:2">
      <c r="A37" t="e">
        <f>'Sups'' Final Roster 0913-0919'!#REF!</f>
        <v>#REF!</v>
      </c>
      <c r="B37" t="e">
        <f>'Sups'' Final Roster 0913-0919'!#REF!</f>
        <v>#REF!</v>
      </c>
    </row>
    <row r="38" ht="15" customHeight="1" spans="1:2">
      <c r="A38" t="e">
        <f>'Sups'' Final Roster 0913-0919'!#REF!</f>
        <v>#REF!</v>
      </c>
      <c r="B38" t="e">
        <f>'Sups'' Final Roster 0913-0919'!#REF!</f>
        <v>#REF!</v>
      </c>
    </row>
    <row r="39" ht="15" customHeight="1" spans="1:2">
      <c r="A39" t="e">
        <f>'Sups'' Final Roster 0913-0919'!#REF!</f>
        <v>#REF!</v>
      </c>
      <c r="B39" t="e">
        <f>'Sups'' Final Roster 0913-0919'!#REF!</f>
        <v>#REF!</v>
      </c>
    </row>
    <row r="40" ht="15" customHeight="1" spans="1:2">
      <c r="A40" t="e">
        <f>'Sups'' Final Roster 0913-0919'!#REF!</f>
        <v>#REF!</v>
      </c>
      <c r="B40" t="e">
        <f>'Sups'' Final Roster 0913-0919'!#REF!</f>
        <v>#REF!</v>
      </c>
    </row>
    <row r="41" ht="15" customHeight="1" spans="1:2">
      <c r="A41" t="e">
        <f>'Sups'' Final Roster 0913-0919'!#REF!</f>
        <v>#REF!</v>
      </c>
      <c r="B41" t="e">
        <f>'Sups'' Final Roster 0913-0919'!#REF!</f>
        <v>#REF!</v>
      </c>
    </row>
    <row r="42" ht="15" customHeight="1" spans="1:2">
      <c r="A42" t="e">
        <f>'Sups'' Final Roster 0913-0919'!#REF!</f>
        <v>#REF!</v>
      </c>
      <c r="B42" t="e">
        <f>'Sups'' Final Roster 0913-0919'!#REF!</f>
        <v>#REF!</v>
      </c>
    </row>
    <row r="43" ht="15" customHeight="1" spans="1:2">
      <c r="A43" t="e">
        <f>'Sups'' Final Roster 0913-0919'!#REF!</f>
        <v>#REF!</v>
      </c>
      <c r="B43" t="e">
        <f>'Sups'' Final Roster 0913-0919'!#REF!</f>
        <v>#REF!</v>
      </c>
    </row>
    <row r="44" ht="15" customHeight="1" spans="1:2">
      <c r="A44" t="str">
        <f>'Sups'' Final Roster 0913-0919'!A15</f>
        <v>Pérez Zitzke Agustina</v>
      </c>
      <c r="B44" t="str">
        <f>'Sups'' Final Roster 0913-0919'!B15</f>
        <v>Grimaldi Agustina Sofía</v>
      </c>
    </row>
    <row r="45" ht="15" customHeight="1" spans="1:2">
      <c r="A45" t="str">
        <f>'Sups'' Final Roster 0913-0919'!A16</f>
        <v>Pérez Zitzke Agustina</v>
      </c>
      <c r="B45" t="str">
        <f>'Sups'' Final Roster 0913-0919'!B16</f>
        <v>Palomino Juan Pablo</v>
      </c>
    </row>
    <row r="46" ht="15" customHeight="1" spans="1:2">
      <c r="A46" t="e">
        <f>'Sups'' Final Roster 0913-0919'!#REF!</f>
        <v>#REF!</v>
      </c>
      <c r="B46" t="e">
        <f>'Sups'' Final Roster 0913-0919'!#REF!</f>
        <v>#REF!</v>
      </c>
    </row>
    <row r="47" ht="15" customHeight="1" spans="1:2">
      <c r="A47" t="e">
        <f>'Sups'' Final Roster 0913-0919'!#REF!</f>
        <v>#REF!</v>
      </c>
      <c r="B47" t="e">
        <f>'Sups'' Final Roster 0913-0919'!#REF!</f>
        <v>#REF!</v>
      </c>
    </row>
    <row r="48" ht="15" customHeight="1" spans="1:2">
      <c r="A48" t="e">
        <f>'Sups'' Final Roster 0913-0919'!#REF!</f>
        <v>#REF!</v>
      </c>
      <c r="B48" t="e">
        <f>'Sups'' Final Roster 0913-0919'!#REF!</f>
        <v>#REF!</v>
      </c>
    </row>
    <row r="49" ht="15" customHeight="1" spans="1:2">
      <c r="A49" t="e">
        <f>'Sups'' Final Roster 0913-0919'!#REF!</f>
        <v>#REF!</v>
      </c>
      <c r="B49" t="e">
        <f>'Sups'' Final Roster 0913-0919'!#REF!</f>
        <v>#REF!</v>
      </c>
    </row>
    <row r="50" ht="15" customHeight="1" spans="1:2">
      <c r="A50" t="str">
        <f>'Sups'' Final Roster 0913-0919'!A17</f>
        <v>Campero Juarez Maria Guadalupe</v>
      </c>
      <c r="B50" t="str">
        <f>'Sups'' Final Roster 0913-0919'!B17</f>
        <v>Bachur Karim</v>
      </c>
    </row>
    <row r="51" ht="15" customHeight="1" spans="1:2">
      <c r="A51" t="str">
        <f>'Sups'' Final Roster 0913-0919'!A18</f>
        <v>Campero Juarez Maria Guadalupe</v>
      </c>
      <c r="B51" t="str">
        <f>'Sups'' Final Roster 0913-0919'!B18</f>
        <v>Mendoza Norma Mercedes</v>
      </c>
    </row>
    <row r="52" ht="15" customHeight="1" spans="1:2">
      <c r="A52" t="str">
        <f>'Sups'' Final Roster 0913-0919'!A19</f>
        <v>Pérez Zitzke Agustina</v>
      </c>
      <c r="B52" t="str">
        <f>'Sups'' Final Roster 0913-0919'!B19</f>
        <v>Albornoz Miguel </v>
      </c>
    </row>
    <row r="53" ht="15" customHeight="1" spans="1:2">
      <c r="A53" t="str">
        <f>'Sups'' Final Roster 0913-0919'!A20</f>
        <v>Ortiz Jose María</v>
      </c>
      <c r="B53" t="str">
        <f>'Sups'' Final Roster 0913-0919'!B20</f>
        <v>Silva Gabriel Alberto</v>
      </c>
    </row>
    <row r="54" ht="15" customHeight="1" spans="1:2">
      <c r="A54">
        <f>'Sups'' Final Roster 0913-0919'!A21</f>
        <v>0</v>
      </c>
      <c r="B54">
        <f>'Sups'' Final Roster 0913-0919'!B21</f>
        <v>0</v>
      </c>
    </row>
    <row r="55" ht="15" customHeight="1" spans="1:2">
      <c r="A55">
        <f>'Sups'' Final Roster 0913-0919'!A22</f>
        <v>0</v>
      </c>
      <c r="B55">
        <f>'Sups'' Final Roster 0913-0919'!B22</f>
        <v>0</v>
      </c>
    </row>
    <row r="56" ht="15" customHeight="1" spans="1:2">
      <c r="A56">
        <f>'Sups'' Final Roster 0913-0919'!A23</f>
        <v>0</v>
      </c>
      <c r="B56">
        <f>'Sups'' Final Roster 0913-0919'!B23</f>
        <v>0</v>
      </c>
    </row>
  </sheetData>
  <autoFilter ref="A1:M56">
    <extLst/>
  </autoFilter>
  <conditionalFormatting sqref="B4">
    <cfRule type="duplicateValues" dxfId="16" priority="47"/>
  </conditionalFormatting>
  <conditionalFormatting sqref="B5">
    <cfRule type="duplicateValues" dxfId="16" priority="46"/>
    <cfRule type="duplicateValues" dxfId="16" priority="45"/>
  </conditionalFormatting>
  <conditionalFormatting sqref="B6">
    <cfRule type="duplicateValues" dxfId="16" priority="44"/>
    <cfRule type="duplicateValues" dxfId="16" priority="43"/>
    <cfRule type="duplicateValues" dxfId="16" priority="42"/>
    <cfRule type="duplicateValues" dxfId="16" priority="40"/>
    <cfRule type="duplicateValues" dxfId="16" priority="39"/>
  </conditionalFormatting>
  <conditionalFormatting sqref="B7">
    <cfRule type="duplicateValues" dxfId="16" priority="41"/>
    <cfRule type="duplicateValues" dxfId="16" priority="38"/>
    <cfRule type="duplicateValues" dxfId="16" priority="37"/>
    <cfRule type="duplicateValues" dxfId="16" priority="36"/>
    <cfRule type="duplicateValues" dxfId="16" priority="35"/>
    <cfRule type="duplicateValues" dxfId="16" priority="34"/>
    <cfRule type="duplicateValues" dxfId="16" priority="33"/>
    <cfRule type="duplicateValues" dxfId="16" priority="32"/>
    <cfRule type="duplicateValues" dxfId="16" priority="31"/>
  </conditionalFormatting>
  <conditionalFormatting sqref="A14:L14">
    <cfRule type="cellIs" dxfId="9" priority="10" operator="equal">
      <formula>"FER"</formula>
    </cfRule>
  </conditionalFormatting>
  <conditionalFormatting sqref="B14">
    <cfRule type="duplicateValues" dxfId="16" priority="8"/>
    <cfRule type="duplicateValues" dxfId="16" priority="9"/>
    <cfRule type="duplicateValues" dxfId="16" priority="1"/>
    <cfRule type="duplicateValues" dxfId="16" priority="2"/>
  </conditionalFormatting>
  <conditionalFormatting sqref="C14:I14">
    <cfRule type="cellIs" dxfId="10" priority="7" operator="equal">
      <formula>"off"</formula>
    </cfRule>
    <cfRule type="cellIs" dxfId="9" priority="5" operator="equal">
      <formula>"vac"</formula>
    </cfRule>
    <cfRule type="cellIs" dxfId="9" priority="6" operator="equal">
      <formula>"LOA"</formula>
    </cfRule>
    <cfRule type="cellIs" dxfId="9" priority="4" operator="equal">
      <formula>"FER"</formula>
    </cfRule>
  </conditionalFormatting>
  <conditionalFormatting sqref="M14">
    <cfRule type="cellIs" dxfId="9" priority="3" operator="equal">
      <formula>"FER"</formula>
    </cfRule>
  </conditionalFormatting>
  <conditionalFormatting sqref="B2:B3">
    <cfRule type="duplicateValues" dxfId="16" priority="48"/>
  </conditionalFormatting>
  <conditionalFormatting sqref="B6:B13">
    <cfRule type="duplicateValues" dxfId="16" priority="49"/>
  </conditionalFormatting>
  <conditionalFormatting sqref="B8:B13">
    <cfRule type="duplicateValues" dxfId="16" priority="50"/>
  </conditionalFormatting>
  <conditionalFormatting sqref="B15:B17">
    <cfRule type="duplicateValues" dxfId="16" priority="18"/>
    <cfRule type="duplicateValues" dxfId="16" priority="19"/>
    <cfRule type="duplicateValues" dxfId="16" priority="11"/>
    <cfRule type="duplicateValues" dxfId="16" priority="12"/>
  </conditionalFormatting>
  <conditionalFormatting sqref="M15:M17">
    <cfRule type="cellIs" dxfId="9" priority="13" operator="equal">
      <formula>"FER"</formula>
    </cfRule>
  </conditionalFormatting>
  <conditionalFormatting sqref="A2:M13">
    <cfRule type="cellIs" dxfId="9" priority="30" operator="equal">
      <formula>"FER"</formula>
    </cfRule>
  </conditionalFormatting>
  <conditionalFormatting sqref="C2:I13">
    <cfRule type="cellIs" dxfId="10" priority="29" operator="equal">
      <formula>"off"</formula>
    </cfRule>
    <cfRule type="cellIs" dxfId="9" priority="27" operator="equal">
      <formula>"vac"</formula>
    </cfRule>
    <cfRule type="cellIs" dxfId="9" priority="28" operator="equal">
      <formula>"LOA"</formula>
    </cfRule>
  </conditionalFormatting>
  <conditionalFormatting sqref="A15:L17">
    <cfRule type="cellIs" dxfId="9" priority="20" operator="equal">
      <formula>"FER"</formula>
    </cfRule>
  </conditionalFormatting>
  <conditionalFormatting sqref="C15:I17">
    <cfRule type="cellIs" dxfId="10" priority="17" operator="equal">
      <formula>"off"</formula>
    </cfRule>
    <cfRule type="cellIs" dxfId="9" priority="15" operator="equal">
      <formula>"vac"</formula>
    </cfRule>
    <cfRule type="cellIs" dxfId="9" priority="16" operator="equal">
      <formula>"LOA"</formula>
    </cfRule>
    <cfRule type="cellIs" dxfId="9" priority="14" operator="equal">
      <formula>"FER"</formula>
    </cfRule>
  </conditionalFormatting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76"/>
  <sheetViews>
    <sheetView showGridLines="0" zoomScale="70" zoomScaleNormal="70" workbookViewId="0">
      <selection activeCell="K1" sqref="K$1:XFD$1048576"/>
    </sheetView>
  </sheetViews>
  <sheetFormatPr defaultColWidth="0" defaultRowHeight="15" customHeight="1" zeroHeight="1"/>
  <cols>
    <col min="1" max="1" width="3.85714285714286" style="1" customWidth="1"/>
    <col min="2" max="2" width="36.8571428571429" style="1" customWidth="1"/>
    <col min="3" max="6" width="15.7142857142857" style="1" customWidth="1"/>
    <col min="7" max="9" width="15.7142857142857" style="2" customWidth="1"/>
    <col min="10" max="10" width="3.85714285714286" style="1" customWidth="1"/>
    <col min="11" max="16384" width="9.14285714285714" style="1" hidden="1"/>
  </cols>
  <sheetData>
    <row r="1" ht="15.75" spans="7:7">
      <c r="G1" s="2" t="s">
        <v>1931</v>
      </c>
    </row>
    <row r="2" ht="15.75" spans="2:5">
      <c r="B2" s="3" t="s">
        <v>1932</v>
      </c>
      <c r="C2" s="4" t="s">
        <v>1933</v>
      </c>
      <c r="D2" s="5" t="s">
        <v>1934</v>
      </c>
      <c r="E2" s="6" t="s">
        <v>1935</v>
      </c>
    </row>
    <row r="3" spans="2:7">
      <c r="B3" s="7" t="s">
        <v>1936</v>
      </c>
      <c r="C3" s="8">
        <f>+COUNTIF(Agents!$Z$2:$Z$149,Resumen!B3)</f>
        <v>0</v>
      </c>
      <c r="D3" s="8">
        <f>+SUMIF(Agents!$Z$2:$Z$149,Resumen!B3,Agents!$AP$2:$AP$149)</f>
        <v>0</v>
      </c>
      <c r="E3" s="9" t="e">
        <f>D3/C3</f>
        <v>#DIV/0!</v>
      </c>
      <c r="G3" s="10"/>
    </row>
    <row r="4" spans="2:5">
      <c r="B4" s="11" t="s">
        <v>1937</v>
      </c>
      <c r="C4" s="12">
        <f>+COUNTIF(Agents!$Z$2:$Z$149,Resumen!B4)</f>
        <v>0</v>
      </c>
      <c r="D4" s="12">
        <f>+SUMIF(Agents!$Z$2:$Z$149,Resumen!B4,Agents!$AP$2:$AP$149)</f>
        <v>0</v>
      </c>
      <c r="E4" s="13" t="e">
        <f t="shared" ref="E4:E5" si="0">D4/C4</f>
        <v>#DIV/0!</v>
      </c>
    </row>
    <row r="5" spans="2:5">
      <c r="B5" s="11" t="s">
        <v>1938</v>
      </c>
      <c r="C5" s="12">
        <f>+COUNTIF(Agents!$Z$2:$Z$149,Resumen!B5)</f>
        <v>0</v>
      </c>
      <c r="D5" s="12">
        <f>+SUMIF(Agents!$Z$2:$Z$149,Resumen!B5,Agents!$AP$2:$AP$149)</f>
        <v>0</v>
      </c>
      <c r="E5" s="13" t="e">
        <f t="shared" si="0"/>
        <v>#DIV/0!</v>
      </c>
    </row>
    <row r="6" ht="15.75" spans="2:5">
      <c r="B6" s="11" t="s">
        <v>1939</v>
      </c>
      <c r="C6" s="12">
        <f>+COUNTIF(Agents!$Z$2:$Z$149,Resumen!B6)</f>
        <v>0</v>
      </c>
      <c r="D6" s="12">
        <f>+SUMIF(Agents!$Z$2:$Z$149,Resumen!B6,Agents!$AP$2:$AP$149)</f>
        <v>0</v>
      </c>
      <c r="E6" s="13" t="e">
        <f t="shared" ref="E6" si="1">D6/C6</f>
        <v>#DIV/0!</v>
      </c>
    </row>
    <row r="7" ht="15.75" spans="2:5">
      <c r="B7" s="14" t="s">
        <v>1940</v>
      </c>
      <c r="C7" s="15">
        <f>SUM(C3:C6)</f>
        <v>0</v>
      </c>
      <c r="D7" s="15">
        <f>SUM(D3:D6)</f>
        <v>0</v>
      </c>
      <c r="E7" s="16" t="e">
        <f t="shared" ref="E7" si="2">D7/C7</f>
        <v>#DIV/0!</v>
      </c>
    </row>
    <row r="8" spans="2:5">
      <c r="B8" s="17"/>
      <c r="C8" s="18"/>
      <c r="D8" s="18"/>
      <c r="E8" s="19"/>
    </row>
    <row r="9" spans="2:5">
      <c r="B9" s="17" t="s">
        <v>1936</v>
      </c>
      <c r="C9" s="18"/>
      <c r="D9" s="18"/>
      <c r="E9" s="19"/>
    </row>
    <row r="10" ht="15.75" spans="2:5">
      <c r="B10" s="17"/>
      <c r="C10" s="18"/>
      <c r="D10" s="18"/>
      <c r="E10" s="19"/>
    </row>
    <row r="11" ht="15.75" spans="2:9">
      <c r="B11" s="3"/>
      <c r="C11" s="4" t="s">
        <v>1893</v>
      </c>
      <c r="D11" s="4" t="s">
        <v>1894</v>
      </c>
      <c r="E11" s="4" t="s">
        <v>5</v>
      </c>
      <c r="F11" s="4" t="s">
        <v>1895</v>
      </c>
      <c r="G11" s="4" t="s">
        <v>1896</v>
      </c>
      <c r="H11" s="4" t="s">
        <v>1897</v>
      </c>
      <c r="I11" s="28" t="s">
        <v>1898</v>
      </c>
    </row>
    <row r="12" spans="2:9">
      <c r="B12" s="7" t="s">
        <v>1941</v>
      </c>
      <c r="C12" s="20">
        <v>0</v>
      </c>
      <c r="D12" s="20">
        <f t="shared" ref="D12:I12" si="3">+C12</f>
        <v>0</v>
      </c>
      <c r="E12" s="20">
        <f t="shared" si="3"/>
        <v>0</v>
      </c>
      <c r="F12" s="20">
        <f t="shared" si="3"/>
        <v>0</v>
      </c>
      <c r="G12" s="20">
        <f t="shared" si="3"/>
        <v>0</v>
      </c>
      <c r="H12" s="20">
        <f t="shared" si="3"/>
        <v>0</v>
      </c>
      <c r="I12" s="29">
        <f t="shared" si="3"/>
        <v>0</v>
      </c>
    </row>
    <row r="13" spans="2:9">
      <c r="B13" s="7" t="s">
        <v>41</v>
      </c>
      <c r="C13" s="20">
        <f>+COUNTIFS(Agents!E$2:E$149,Resumen!$B13,Agents!$Z$2:$Z$149,Resumen!$B$3)</f>
        <v>0</v>
      </c>
      <c r="D13" s="20">
        <f>+COUNTIFS(Agents!F$2:F$149,Resumen!$B13,Agents!$Z$2:$Z$149,Resumen!$B$3)</f>
        <v>0</v>
      </c>
      <c r="E13" s="20">
        <f>+COUNTIFS(Agents!G$2:G$149,Resumen!$B13,Agents!$Z$2:$Z$149,Resumen!$B$3)</f>
        <v>0</v>
      </c>
      <c r="F13" s="20">
        <f>+COUNTIFS(Agents!H$2:H$149,Resumen!$B13,Agents!$Z$2:$Z$149,Resumen!$B$3)</f>
        <v>0</v>
      </c>
      <c r="G13" s="20">
        <f>+COUNTIFS(Agents!I$2:I$149,Resumen!$B13,Agents!$Z$2:$Z$149,Resumen!$B$3)</f>
        <v>0</v>
      </c>
      <c r="H13" s="20">
        <f>+COUNTIFS(Agents!J$2:J$149,Resumen!$B13,Agents!$Z$2:$Z$149,Resumen!$B$3)</f>
        <v>0</v>
      </c>
      <c r="I13" s="29">
        <f>+COUNTIFS(Agents!K$2:K$149,Resumen!$B13,Agents!$Z$2:$Z$149,Resumen!$B$3)</f>
        <v>0</v>
      </c>
    </row>
    <row r="14" spans="2:9">
      <c r="B14" s="7" t="s">
        <v>59</v>
      </c>
      <c r="C14" s="20">
        <f>+COUNTIFS(Agents!E$2:E$149,Resumen!$B14,Agents!$Z$2:$Z$149,Resumen!$B$3)</f>
        <v>0</v>
      </c>
      <c r="D14" s="20">
        <f>+COUNTIFS(Agents!F$2:F$149,Resumen!$B14,Agents!$Z$2:$Z$149,Resumen!$B$3)</f>
        <v>0</v>
      </c>
      <c r="E14" s="20">
        <f>+COUNTIFS(Agents!G$2:G$149,Resumen!$B14,Agents!$Z$2:$Z$149,Resumen!$B$3)</f>
        <v>0</v>
      </c>
      <c r="F14" s="20">
        <f>+COUNTIFS(Agents!H$2:H$149,Resumen!$B14,Agents!$Z$2:$Z$149,Resumen!$B$3)</f>
        <v>0</v>
      </c>
      <c r="G14" s="20">
        <f>+COUNTIFS(Agents!I$2:I$149,Resumen!$B14,Agents!$Z$2:$Z$149,Resumen!$B$3)</f>
        <v>0</v>
      </c>
      <c r="H14" s="20">
        <f>+COUNTIFS(Agents!J$2:J$149,Resumen!$B14,Agents!$Z$2:$Z$149,Resumen!$B$3)</f>
        <v>0</v>
      </c>
      <c r="I14" s="29">
        <v>0</v>
      </c>
    </row>
    <row r="15" spans="2:9">
      <c r="B15" s="7" t="s">
        <v>1900</v>
      </c>
      <c r="C15" s="20">
        <f>+COUNTIFS(Agents!E$2:E$149,Resumen!$B15,Agents!$Z$2:$Z$149,Resumen!$B$3)</f>
        <v>0</v>
      </c>
      <c r="D15" s="20">
        <f>+COUNTIFS(Agents!F$2:F$149,Resumen!$B15,Agents!$Z$2:$Z$149,Resumen!$B$3)</f>
        <v>0</v>
      </c>
      <c r="E15" s="20">
        <f>+COUNTIFS(Agents!G$2:G$149,Resumen!$B15,Agents!$Z$2:$Z$149,Resumen!$B$3)</f>
        <v>0</v>
      </c>
      <c r="F15" s="20">
        <f>+COUNTIFS(Agents!H$2:H$149,Resumen!$B15,Agents!$Z$2:$Z$149,Resumen!$B$3)</f>
        <v>0</v>
      </c>
      <c r="G15" s="20">
        <v>0</v>
      </c>
      <c r="H15" s="20">
        <f>+COUNTIFS(Agents!J$2:J$149,Resumen!$B15,Agents!$Z$2:$Z$149,Resumen!$B$3)</f>
        <v>0</v>
      </c>
      <c r="I15" s="29">
        <f>+COUNTIFS(Agents!K$2:K$149,Resumen!$B15,Agents!$Z$2:$Z$149,Resumen!$B$3)</f>
        <v>0</v>
      </c>
    </row>
    <row r="16" spans="2:9">
      <c r="B16" s="7" t="s">
        <v>1942</v>
      </c>
      <c r="C16" s="20">
        <f>+COUNTIFS(Agents!E$2:E$149,Resumen!$B16,Agents!$Z$2:$Z$149,Resumen!$B$3)</f>
        <v>0</v>
      </c>
      <c r="D16" s="20">
        <f>+COUNTIFS(Agents!F$2:F$149,Resumen!$B16,Agents!$Z$2:$Z$149,Resumen!$B$3)</f>
        <v>0</v>
      </c>
      <c r="E16" s="20">
        <f>+COUNTIFS(Agents!G$2:G$149,Resumen!$B16,Agents!$Z$2:$Z$149,Resumen!$B$3)</f>
        <v>0</v>
      </c>
      <c r="F16" s="20">
        <f>+COUNTIFS(Agents!H$2:H$149,Resumen!$B16,Agents!$Z$2:$Z$149,Resumen!$B$3)</f>
        <v>0</v>
      </c>
      <c r="G16" s="20">
        <f>+COUNTIFS(Agents!I$2:I$149,Resumen!$B16,Agents!$Z$2:$Z$149,Resumen!$B$3)</f>
        <v>0</v>
      </c>
      <c r="H16" s="20">
        <f>+COUNTIFS(Agents!J$2:J$149,Resumen!$B16,Agents!$Z$2:$Z$149,Resumen!$B$3)</f>
        <v>0</v>
      </c>
      <c r="I16" s="29">
        <f>+COUNTIFS(Agents!K$2:K$149,Resumen!$B16,Agents!$Z$2:$Z$149,Resumen!$B$3)</f>
        <v>0</v>
      </c>
    </row>
    <row r="17" spans="2:9">
      <c r="B17" s="7" t="s">
        <v>1093</v>
      </c>
      <c r="C17" s="20">
        <f>+COUNTIFS(Agents!E$2:E$149,Resumen!$B17,Agents!$Z$2:$Z$149,Resumen!$B$3)</f>
        <v>0</v>
      </c>
      <c r="D17" s="20">
        <f>+COUNTIFS(Agents!F$2:F$149,Resumen!$B17,Agents!$Z$2:$Z$149,Resumen!$B$3)</f>
        <v>0</v>
      </c>
      <c r="E17" s="20">
        <f>+COUNTIFS(Agents!G$2:G$149,Resumen!$B17,Agents!$Z$2:$Z$149,Resumen!$B$3)</f>
        <v>0</v>
      </c>
      <c r="F17" s="20">
        <f>+COUNTIFS(Agents!H$2:H$149,Resumen!$B17,Agents!$Z$2:$Z$149,Resumen!$B$3)</f>
        <v>0</v>
      </c>
      <c r="G17" s="20">
        <f>+COUNTIFS(Agents!I$2:I$149,Resumen!$B17,Agents!$Z$2:$Z$149,Resumen!$B$3)</f>
        <v>0</v>
      </c>
      <c r="H17" s="20">
        <f>+COUNTIFS(Agents!J$2:J$149,Resumen!$B17,Agents!$Z$2:$Z$149,Resumen!$B$3)</f>
        <v>0</v>
      </c>
      <c r="I17" s="29">
        <f>+COUNTIFS(Agents!K$2:K$149,Resumen!$B17,Agents!$Z$2:$Z$149,Resumen!$B$3)</f>
        <v>0</v>
      </c>
    </row>
    <row r="18" spans="2:9">
      <c r="B18" s="7" t="s">
        <v>1943</v>
      </c>
      <c r="C18" s="20">
        <f>+COUNTIFS(Agents!E$2:E$149,Resumen!$B18,Agents!$Z$2:$Z$149,Resumen!$B$3)</f>
        <v>0</v>
      </c>
      <c r="D18" s="20">
        <f>+COUNTIFS(Agents!F$2:F$149,Resumen!$B18,Agents!$Z$2:$Z$149,Resumen!$B$3)</f>
        <v>0</v>
      </c>
      <c r="E18" s="20">
        <f>+COUNTIFS(Agents!G$2:G$149,Resumen!$B18,Agents!$Z$2:$Z$149,Resumen!$B$3)</f>
        <v>0</v>
      </c>
      <c r="F18" s="20">
        <f>+COUNTIFS(Agents!H$2:H$149,Resumen!$B18,Agents!$Z$2:$Z$149,Resumen!$B$3)</f>
        <v>0</v>
      </c>
      <c r="G18" s="20">
        <f>+COUNTIFS(Agents!I$2:I$149,Resumen!$B18,Agents!$Z$2:$Z$149,Resumen!$B$3)</f>
        <v>0</v>
      </c>
      <c r="H18" s="20">
        <f>+COUNTIFS(Agents!J$2:J$149,Resumen!$B18,Agents!$Z$2:$Z$149,Resumen!$B$3)</f>
        <v>0</v>
      </c>
      <c r="I18" s="29">
        <f>+COUNTIFS(Agents!K$2:K$149,Resumen!$B18,Agents!$Z$2:$Z$149,Resumen!$B$3)</f>
        <v>0</v>
      </c>
    </row>
    <row r="19" ht="15.75" spans="2:9">
      <c r="B19" s="21" t="s">
        <v>1944</v>
      </c>
      <c r="C19" s="22">
        <f t="shared" ref="C19:I19" si="4">+C12-SUM(C13:C18)</f>
        <v>0</v>
      </c>
      <c r="D19" s="22">
        <f t="shared" si="4"/>
        <v>0</v>
      </c>
      <c r="E19" s="22">
        <f t="shared" si="4"/>
        <v>0</v>
      </c>
      <c r="F19" s="22">
        <f t="shared" si="4"/>
        <v>0</v>
      </c>
      <c r="G19" s="22">
        <f t="shared" si="4"/>
        <v>0</v>
      </c>
      <c r="H19" s="22">
        <f t="shared" si="4"/>
        <v>0</v>
      </c>
      <c r="I19" s="30">
        <f t="shared" si="4"/>
        <v>0</v>
      </c>
    </row>
    <row r="20" ht="15.75" spans="2:9">
      <c r="B20" s="23" t="s">
        <v>1945</v>
      </c>
      <c r="C20" s="24">
        <f t="shared" ref="C20:I20" si="5">+C12-C15-C13</f>
        <v>0</v>
      </c>
      <c r="D20" s="24">
        <f t="shared" si="5"/>
        <v>0</v>
      </c>
      <c r="E20" s="24">
        <f t="shared" si="5"/>
        <v>0</v>
      </c>
      <c r="F20" s="24">
        <f t="shared" si="5"/>
        <v>0</v>
      </c>
      <c r="G20" s="24">
        <f t="shared" si="5"/>
        <v>0</v>
      </c>
      <c r="H20" s="24">
        <f t="shared" si="5"/>
        <v>0</v>
      </c>
      <c r="I20" s="31">
        <f t="shared" si="5"/>
        <v>0</v>
      </c>
    </row>
    <row r="21" ht="15.75" spans="2:9">
      <c r="B21" s="25"/>
      <c r="C21" s="25"/>
      <c r="D21" s="25"/>
      <c r="E21" s="25"/>
      <c r="F21" s="25"/>
      <c r="G21" s="25"/>
      <c r="H21" s="25"/>
      <c r="I21" s="25"/>
    </row>
    <row r="22" ht="15.75" spans="2:9">
      <c r="B22" s="3"/>
      <c r="C22" s="4" t="str">
        <f t="shared" ref="C22:I22" si="6">+C11</f>
        <v>Sunday</v>
      </c>
      <c r="D22" s="4" t="str">
        <f t="shared" si="6"/>
        <v>Monday</v>
      </c>
      <c r="E22" s="4" t="str">
        <f t="shared" si="6"/>
        <v>Tuesday</v>
      </c>
      <c r="F22" s="4" t="str">
        <f t="shared" si="6"/>
        <v>Wednesday</v>
      </c>
      <c r="G22" s="4" t="str">
        <f t="shared" si="6"/>
        <v>Thrusday</v>
      </c>
      <c r="H22" s="4" t="str">
        <f t="shared" si="6"/>
        <v>Friday</v>
      </c>
      <c r="I22" s="28" t="str">
        <f t="shared" si="6"/>
        <v>Saturday</v>
      </c>
    </row>
    <row r="23" ht="15.75" spans="2:9">
      <c r="B23" s="21" t="s">
        <v>1946</v>
      </c>
      <c r="C23" s="26">
        <f>+SUMIF(Agents!$Z$2:$Z$149,Resumen!$B$3,Agents!O$2:O$149)</f>
        <v>0</v>
      </c>
      <c r="D23" s="26">
        <f>+SUMIF(Agents!$Z$2:$Z$149,Resumen!$B$3,Agents!P$2:P$149)</f>
        <v>0</v>
      </c>
      <c r="E23" s="26">
        <f>+SUMIF(Agents!$Z$2:$Z$149,Resumen!$B$3,Agents!Q$2:Q$149)</f>
        <v>0</v>
      </c>
      <c r="F23" s="26">
        <f>+SUMIF(Agents!$Z$2:$Z$149,Resumen!$B$3,Agents!R$2:R$149)</f>
        <v>0</v>
      </c>
      <c r="G23" s="26">
        <f>+SUMIF(Agents!$Z$2:$Z$149,Resumen!$B$3,Agents!S$2:S$149)</f>
        <v>0</v>
      </c>
      <c r="H23" s="26">
        <f>+SUMIF(Agents!$Z$2:$Z$149,Resumen!$B$3,Agents!T$2:T$149)</f>
        <v>0</v>
      </c>
      <c r="I23" s="32">
        <f>+SUMIF(Agents!$Z$2:$Z$149,Resumen!$B$3,Agents!U$2:U$149)</f>
        <v>0</v>
      </c>
    </row>
    <row r="24" ht="15.75" spans="2:9">
      <c r="B24" s="23" t="s">
        <v>1947</v>
      </c>
      <c r="C24" s="27">
        <f>IFERROR(C23/C19,0)</f>
        <v>0</v>
      </c>
      <c r="D24" s="27">
        <f t="shared" ref="D24:I24" si="7">IFERROR(D23/D19,0)</f>
        <v>0</v>
      </c>
      <c r="E24" s="27">
        <f t="shared" si="7"/>
        <v>0</v>
      </c>
      <c r="F24" s="27">
        <f t="shared" si="7"/>
        <v>0</v>
      </c>
      <c r="G24" s="27">
        <f t="shared" si="7"/>
        <v>0</v>
      </c>
      <c r="H24" s="27">
        <f t="shared" si="7"/>
        <v>0</v>
      </c>
      <c r="I24" s="33">
        <f t="shared" si="7"/>
        <v>0</v>
      </c>
    </row>
    <row r="25" customHeight="1"/>
    <row r="26" customHeight="1" spans="2:5">
      <c r="B26" s="17" t="s">
        <v>1937</v>
      </c>
      <c r="C26" s="18"/>
      <c r="D26" s="18"/>
      <c r="E26" s="19"/>
    </row>
    <row r="27" customHeight="1" spans="2:5">
      <c r="B27" s="17"/>
      <c r="C27" s="18"/>
      <c r="D27" s="18"/>
      <c r="E27" s="19"/>
    </row>
    <row r="28" customHeight="1" spans="2:9">
      <c r="B28" s="3"/>
      <c r="C28" s="4" t="s">
        <v>1893</v>
      </c>
      <c r="D28" s="4" t="s">
        <v>1894</v>
      </c>
      <c r="E28" s="4" t="s">
        <v>5</v>
      </c>
      <c r="F28" s="4" t="s">
        <v>1895</v>
      </c>
      <c r="G28" s="4" t="s">
        <v>1896</v>
      </c>
      <c r="H28" s="4" t="s">
        <v>1897</v>
      </c>
      <c r="I28" s="28" t="s">
        <v>1898</v>
      </c>
    </row>
    <row r="29" customHeight="1" spans="2:9">
      <c r="B29" s="7" t="s">
        <v>1941</v>
      </c>
      <c r="C29" s="20">
        <f>+COUNTIF(Agents!$Z$2:$Z$149,Resumen!B4)</f>
        <v>0</v>
      </c>
      <c r="D29" s="20">
        <f t="shared" ref="D29" si="8">+C29</f>
        <v>0</v>
      </c>
      <c r="E29" s="20">
        <f t="shared" ref="E29" si="9">+D29</f>
        <v>0</v>
      </c>
      <c r="F29" s="20">
        <f t="shared" ref="F29" si="10">+E29</f>
        <v>0</v>
      </c>
      <c r="G29" s="20">
        <f t="shared" ref="G29" si="11">+F29</f>
        <v>0</v>
      </c>
      <c r="H29" s="20">
        <f t="shared" ref="H29" si="12">+G29</f>
        <v>0</v>
      </c>
      <c r="I29" s="29">
        <f t="shared" ref="I29" si="13">+H29</f>
        <v>0</v>
      </c>
    </row>
    <row r="30" customHeight="1" spans="2:9">
      <c r="B30" s="7" t="s">
        <v>41</v>
      </c>
      <c r="C30" s="20">
        <f>+COUNTIFS(Agents!E$2:E$149,Resumen!$B30,Agents!$Z$2:$Z$149,Resumen!$B$4)</f>
        <v>0</v>
      </c>
      <c r="D30" s="20">
        <f>+COUNTIFS(Agents!F$2:F$149,Resumen!$B30,Agents!$Z$2:$Z$149,Resumen!$B$4)</f>
        <v>0</v>
      </c>
      <c r="E30" s="20">
        <f>+COUNTIFS(Agents!G$2:G$149,Resumen!$B30,Agents!$Z$2:$Z$149,Resumen!$B$4)</f>
        <v>0</v>
      </c>
      <c r="F30" s="20">
        <f>+COUNTIFS(Agents!H$2:H$149,Resumen!$B30,Agents!$Z$2:$Z$149,Resumen!$B$4)</f>
        <v>0</v>
      </c>
      <c r="G30" s="20">
        <f>+COUNTIFS(Agents!I$2:I$149,Resumen!$B30,Agents!$Z$2:$Z$149,Resumen!$B$4)</f>
        <v>0</v>
      </c>
      <c r="H30" s="20">
        <f>+COUNTIFS(Agents!J$2:J$149,Resumen!$B30,Agents!$Z$2:$Z$149,Resumen!$B$4)</f>
        <v>0</v>
      </c>
      <c r="I30" s="29">
        <f>+COUNTIFS(Agents!K$2:K$149,Resumen!$B30,Agents!$Z$2:$Z$149,Resumen!$B$4)</f>
        <v>0</v>
      </c>
    </row>
    <row r="31" customHeight="1" spans="2:9">
      <c r="B31" s="7" t="s">
        <v>59</v>
      </c>
      <c r="C31" s="20">
        <f>+COUNTIFS(Agents!E$2:E$149,Resumen!$B31,Agents!$Z$2:$Z$149,Resumen!$B$4)</f>
        <v>0</v>
      </c>
      <c r="D31" s="20">
        <f>+COUNTIFS(Agents!F$2:F$149,Resumen!$B31,Agents!$Z$2:$Z$149,Resumen!$B$4)</f>
        <v>0</v>
      </c>
      <c r="E31" s="20">
        <f>+COUNTIFS(Agents!G$2:G$149,Resumen!$B31,Agents!$Z$2:$Z$149,Resumen!$B$4)</f>
        <v>0</v>
      </c>
      <c r="F31" s="20">
        <f>+COUNTIFS(Agents!H$2:H$149,Resumen!$B31,Agents!$Z$2:$Z$149,Resumen!$B$4)</f>
        <v>0</v>
      </c>
      <c r="G31" s="20">
        <f>+COUNTIFS(Agents!I$2:I$149,Resumen!$B31,Agents!$Z$2:$Z$149,Resumen!$B$4)</f>
        <v>0</v>
      </c>
      <c r="H31" s="20">
        <f>+COUNTIFS(Agents!J$2:J$149,Resumen!$B31,Agents!$Z$2:$Z$149,Resumen!$B$4)</f>
        <v>0</v>
      </c>
      <c r="I31" s="29">
        <f>+COUNTIFS(Agents!K$2:K$149,Resumen!$B31,Agents!$Z$2:$Z$149,Resumen!$B$4)</f>
        <v>0</v>
      </c>
    </row>
    <row r="32" customHeight="1" spans="2:9">
      <c r="B32" s="7" t="s">
        <v>1900</v>
      </c>
      <c r="C32" s="20">
        <f>+COUNTIFS(Agents!E$2:E$149,Resumen!$B32,Agents!$Z$2:$Z$149,Resumen!$B$4)</f>
        <v>0</v>
      </c>
      <c r="D32" s="20">
        <f>+COUNTIFS(Agents!F$2:F$149,Resumen!$B32,Agents!$Z$2:$Z$149,Resumen!$B$4)</f>
        <v>0</v>
      </c>
      <c r="E32" s="20">
        <f>+COUNTIFS(Agents!G$2:G$149,Resumen!$B32,Agents!$Z$2:$Z$149,Resumen!$B$4)</f>
        <v>0</v>
      </c>
      <c r="F32" s="20">
        <f>+COUNTIFS(Agents!H$2:H$149,Resumen!$B32,Agents!$Z$2:$Z$149,Resumen!$B$4)</f>
        <v>0</v>
      </c>
      <c r="G32" s="20">
        <f>+COUNTIFS(Agents!I$2:I$149,Resumen!$B32,Agents!$Z$2:$Z$149,Resumen!$B$4)</f>
        <v>0</v>
      </c>
      <c r="H32" s="20">
        <f>+COUNTIFS(Agents!J$2:J$149,Resumen!$B32,Agents!$Z$2:$Z$149,Resumen!$B$4)</f>
        <v>0</v>
      </c>
      <c r="I32" s="29">
        <f>+COUNTIFS(Agents!K$2:K$149,Resumen!$B32,Agents!$Z$2:$Z$149,Resumen!$B$4)</f>
        <v>0</v>
      </c>
    </row>
    <row r="33" customHeight="1" spans="2:9">
      <c r="B33" s="7" t="s">
        <v>1942</v>
      </c>
      <c r="C33" s="20">
        <f>+COUNTIFS(Agents!E$2:E$149,Resumen!$B33,Agents!$Z$2:$Z$149,Resumen!$B$4)</f>
        <v>0</v>
      </c>
      <c r="D33" s="20">
        <f>+COUNTIFS(Agents!F$2:F$149,Resumen!$B33,Agents!$Z$2:$Z$149,Resumen!$B$4)</f>
        <v>0</v>
      </c>
      <c r="E33" s="20">
        <f>+COUNTIFS(Agents!G$2:G$149,Resumen!$B33,Agents!$Z$2:$Z$149,Resumen!$B$4)</f>
        <v>0</v>
      </c>
      <c r="F33" s="20">
        <f>+COUNTIFS(Agents!H$2:H$149,Resumen!$B33,Agents!$Z$2:$Z$149,Resumen!$B$4)</f>
        <v>0</v>
      </c>
      <c r="G33" s="20">
        <f>+COUNTIFS(Agents!I$2:I$149,Resumen!$B33,Agents!$Z$2:$Z$149,Resumen!$B$4)</f>
        <v>0</v>
      </c>
      <c r="H33" s="20">
        <f>+COUNTIFS(Agents!J$2:J$149,Resumen!$B33,Agents!$Z$2:$Z$149,Resumen!$B$4)</f>
        <v>0</v>
      </c>
      <c r="I33" s="29">
        <f>+COUNTIFS(Agents!K$2:K$149,Resumen!$B33,Agents!$Z$2:$Z$149,Resumen!$B$4)</f>
        <v>0</v>
      </c>
    </row>
    <row r="34" customHeight="1" spans="2:9">
      <c r="B34" s="7" t="s">
        <v>1093</v>
      </c>
      <c r="C34" s="20">
        <f>+COUNTIFS(Agents!E$2:E$149,Resumen!$B34,Agents!$Z$2:$Z$149,Resumen!$B$4)</f>
        <v>0</v>
      </c>
      <c r="D34" s="20">
        <f>+COUNTIFS(Agents!F$2:F$149,Resumen!$B34,Agents!$Z$2:$Z$149,Resumen!$B$4)</f>
        <v>0</v>
      </c>
      <c r="E34" s="20">
        <f>+COUNTIFS(Agents!G$2:G$149,Resumen!$B34,Agents!$Z$2:$Z$149,Resumen!$B$4)</f>
        <v>0</v>
      </c>
      <c r="F34" s="20">
        <f>+COUNTIFS(Agents!H$2:H$149,Resumen!$B34,Agents!$Z$2:$Z$149,Resumen!$B$4)</f>
        <v>0</v>
      </c>
      <c r="G34" s="20">
        <f>+COUNTIFS(Agents!I$2:I$149,Resumen!$B34,Agents!$Z$2:$Z$149,Resumen!$B$4)</f>
        <v>0</v>
      </c>
      <c r="H34" s="20">
        <f>+COUNTIFS(Agents!J$2:J$149,Resumen!$B34,Agents!$Z$2:$Z$149,Resumen!$B$4)</f>
        <v>0</v>
      </c>
      <c r="I34" s="29">
        <f>+COUNTIFS(Agents!K$2:K$149,Resumen!$B34,Agents!$Z$2:$Z$149,Resumen!$B$4)</f>
        <v>0</v>
      </c>
    </row>
    <row r="35" customHeight="1" spans="2:9">
      <c r="B35" s="7" t="s">
        <v>1943</v>
      </c>
      <c r="C35" s="20">
        <f>+COUNTIFS(Agents!E$2:E$149,Resumen!$B35,Agents!$Z$2:$Z$149,Resumen!$B$4)</f>
        <v>0</v>
      </c>
      <c r="D35" s="20">
        <f>+COUNTIFS(Agents!F$2:F$149,Resumen!$B35,Agents!$Z$2:$Z$149,Resumen!$B$4)</f>
        <v>0</v>
      </c>
      <c r="E35" s="20">
        <f>+COUNTIFS(Agents!G$2:G$149,Resumen!$B35,Agents!$Z$2:$Z$149,Resumen!$B$4)</f>
        <v>0</v>
      </c>
      <c r="F35" s="20">
        <f>+COUNTIFS(Agents!H$2:H$149,Resumen!$B35,Agents!$Z$2:$Z$149,Resumen!$B$4)</f>
        <v>0</v>
      </c>
      <c r="G35" s="20">
        <f>+COUNTIFS(Agents!I$2:I$149,Resumen!$B35,Agents!$Z$2:$Z$149,Resumen!$B$4)</f>
        <v>0</v>
      </c>
      <c r="H35" s="20">
        <f>+COUNTIFS(Agents!J$2:J$149,Resumen!$B35,Agents!$Z$2:$Z$149,Resumen!$B$4)</f>
        <v>0</v>
      </c>
      <c r="I35" s="29">
        <f>+COUNTIFS(Agents!K$2:K$149,Resumen!$B35,Agents!$Z$2:$Z$149,Resumen!$B$4)</f>
        <v>0</v>
      </c>
    </row>
    <row r="36" customHeight="1" spans="2:9">
      <c r="B36" s="21" t="s">
        <v>1944</v>
      </c>
      <c r="C36" s="22">
        <f t="shared" ref="C36:I36" si="14">+C29-SUM(C30:C35)</f>
        <v>0</v>
      </c>
      <c r="D36" s="22">
        <f t="shared" si="14"/>
        <v>0</v>
      </c>
      <c r="E36" s="22">
        <f t="shared" si="14"/>
        <v>0</v>
      </c>
      <c r="F36" s="22">
        <f t="shared" si="14"/>
        <v>0</v>
      </c>
      <c r="G36" s="22">
        <f t="shared" si="14"/>
        <v>0</v>
      </c>
      <c r="H36" s="22">
        <f t="shared" si="14"/>
        <v>0</v>
      </c>
      <c r="I36" s="30">
        <f t="shared" si="14"/>
        <v>0</v>
      </c>
    </row>
    <row r="37" customHeight="1" spans="2:9">
      <c r="B37" s="23" t="s">
        <v>1945</v>
      </c>
      <c r="C37" s="24">
        <f t="shared" ref="C37:I37" si="15">+C29-C32-C30</f>
        <v>0</v>
      </c>
      <c r="D37" s="24">
        <f t="shared" si="15"/>
        <v>0</v>
      </c>
      <c r="E37" s="24">
        <f t="shared" si="15"/>
        <v>0</v>
      </c>
      <c r="F37" s="24">
        <f t="shared" si="15"/>
        <v>0</v>
      </c>
      <c r="G37" s="24">
        <f t="shared" si="15"/>
        <v>0</v>
      </c>
      <c r="H37" s="24">
        <f t="shared" si="15"/>
        <v>0</v>
      </c>
      <c r="I37" s="31">
        <f t="shared" si="15"/>
        <v>0</v>
      </c>
    </row>
    <row r="38" customHeight="1" spans="2:9">
      <c r="B38" s="25"/>
      <c r="C38" s="25"/>
      <c r="D38" s="25"/>
      <c r="E38" s="25"/>
      <c r="F38" s="25"/>
      <c r="G38" s="25"/>
      <c r="H38" s="25"/>
      <c r="I38" s="25"/>
    </row>
    <row r="39" customHeight="1" spans="2:9">
      <c r="B39" s="3"/>
      <c r="C39" s="4" t="str">
        <f t="shared" ref="C39:I39" si="16">+C28</f>
        <v>Sunday</v>
      </c>
      <c r="D39" s="4" t="str">
        <f t="shared" si="16"/>
        <v>Monday</v>
      </c>
      <c r="E39" s="4" t="str">
        <f t="shared" si="16"/>
        <v>Tuesday</v>
      </c>
      <c r="F39" s="4" t="str">
        <f t="shared" si="16"/>
        <v>Wednesday</v>
      </c>
      <c r="G39" s="4" t="str">
        <f t="shared" si="16"/>
        <v>Thrusday</v>
      </c>
      <c r="H39" s="4" t="str">
        <f t="shared" si="16"/>
        <v>Friday</v>
      </c>
      <c r="I39" s="28" t="str">
        <f t="shared" si="16"/>
        <v>Saturday</v>
      </c>
    </row>
    <row r="40" customHeight="1" spans="2:9">
      <c r="B40" s="21" t="s">
        <v>1946</v>
      </c>
      <c r="C40" s="26">
        <f>+SUMIF(Agents!$Z$2:$Z$149,Resumen!$B$4,Agents!O$2:O$149)</f>
        <v>0</v>
      </c>
      <c r="D40" s="26">
        <f>+SUMIF(Agents!$Z$2:$Z$149,Resumen!$B$4,Agents!P$2:P$149)</f>
        <v>0</v>
      </c>
      <c r="E40" s="26">
        <f>+SUMIF(Agents!$Z$2:$Z$149,Resumen!$B$4,Agents!Q$2:Q$149)</f>
        <v>0</v>
      </c>
      <c r="F40" s="26">
        <f>+SUMIF(Agents!$Z$2:$Z$149,Resumen!$B$4,Agents!R$2:R$149)</f>
        <v>0</v>
      </c>
      <c r="G40" s="26">
        <f>+SUMIF(Agents!$Z$2:$Z$149,Resumen!$B$4,Agents!S$2:S$149)</f>
        <v>0</v>
      </c>
      <c r="H40" s="26">
        <f>+SUMIF(Agents!$Z$2:$Z$149,Resumen!$B$4,Agents!T$2:T$149)</f>
        <v>0</v>
      </c>
      <c r="I40" s="32">
        <f>+SUMIF(Agents!$Z$2:$Z$149,Resumen!$B$4,Agents!U$2:U$149)</f>
        <v>0</v>
      </c>
    </row>
    <row r="41" customHeight="1" spans="2:9">
      <c r="B41" s="23" t="s">
        <v>1947</v>
      </c>
      <c r="C41" s="27">
        <f>IFERROR(C40/C36,0)</f>
        <v>0</v>
      </c>
      <c r="D41" s="27">
        <f t="shared" ref="D41:I41" si="17">IFERROR(D40/D36,0)</f>
        <v>0</v>
      </c>
      <c r="E41" s="27">
        <f t="shared" si="17"/>
        <v>0</v>
      </c>
      <c r="F41" s="27">
        <f t="shared" si="17"/>
        <v>0</v>
      </c>
      <c r="G41" s="27">
        <f t="shared" si="17"/>
        <v>0</v>
      </c>
      <c r="H41" s="27">
        <f t="shared" si="17"/>
        <v>0</v>
      </c>
      <c r="I41" s="33">
        <f t="shared" si="17"/>
        <v>0</v>
      </c>
    </row>
    <row r="42" customHeight="1"/>
    <row r="43" customHeight="1" spans="2:5">
      <c r="B43" s="17" t="s">
        <v>1938</v>
      </c>
      <c r="C43" s="18"/>
      <c r="D43" s="18"/>
      <c r="E43" s="19"/>
    </row>
    <row r="44" customHeight="1" spans="2:5">
      <c r="B44" s="17"/>
      <c r="C44" s="18"/>
      <c r="D44" s="18"/>
      <c r="E44" s="19"/>
    </row>
    <row r="45" customHeight="1" spans="2:9">
      <c r="B45" s="3"/>
      <c r="C45" s="4" t="s">
        <v>1893</v>
      </c>
      <c r="D45" s="4" t="s">
        <v>1894</v>
      </c>
      <c r="E45" s="4" t="s">
        <v>5</v>
      </c>
      <c r="F45" s="4" t="s">
        <v>1895</v>
      </c>
      <c r="G45" s="4" t="s">
        <v>1896</v>
      </c>
      <c r="H45" s="4" t="s">
        <v>1897</v>
      </c>
      <c r="I45" s="28" t="s">
        <v>1898</v>
      </c>
    </row>
    <row r="46" customHeight="1" spans="2:9">
      <c r="B46" s="7" t="s">
        <v>1941</v>
      </c>
      <c r="C46" s="20">
        <f>+COUNTIF(Agents!$Z$2:$Z$149,Resumen!B5)</f>
        <v>0</v>
      </c>
      <c r="D46" s="20">
        <f t="shared" ref="D46" si="18">+C46</f>
        <v>0</v>
      </c>
      <c r="E46" s="20">
        <f t="shared" ref="E46" si="19">+D46</f>
        <v>0</v>
      </c>
      <c r="F46" s="20">
        <f t="shared" ref="F46" si="20">+E46</f>
        <v>0</v>
      </c>
      <c r="G46" s="20">
        <f t="shared" ref="G46" si="21">+F46</f>
        <v>0</v>
      </c>
      <c r="H46" s="20">
        <f t="shared" ref="H46" si="22">+G46</f>
        <v>0</v>
      </c>
      <c r="I46" s="29">
        <f t="shared" ref="I46" si="23">+H46</f>
        <v>0</v>
      </c>
    </row>
    <row r="47" customHeight="1" spans="2:9">
      <c r="B47" s="7" t="s">
        <v>41</v>
      </c>
      <c r="C47" s="20">
        <f>+COUNTIFS(Agents!E$2:E$149,Resumen!$B47,Agents!$Z$2:$Z$149,Resumen!$B$5)</f>
        <v>0</v>
      </c>
      <c r="D47" s="20">
        <f>+COUNTIFS(Agents!F$2:F$149,Resumen!$B47,Agents!$Z$2:$Z$149,Resumen!$B$5)</f>
        <v>0</v>
      </c>
      <c r="E47" s="20">
        <f>+COUNTIFS(Agents!G$2:G$149,Resumen!$B47,Agents!$Z$2:$Z$149,Resumen!$B$5)</f>
        <v>0</v>
      </c>
      <c r="F47" s="20">
        <f>+COUNTIFS(Agents!H$2:H$149,Resumen!$B47,Agents!$Z$2:$Z$149,Resumen!$B$5)</f>
        <v>0</v>
      </c>
      <c r="G47" s="20">
        <f>+COUNTIFS(Agents!I$2:I$149,Resumen!$B47,Agents!$Z$2:$Z$149,Resumen!$B$5)</f>
        <v>0</v>
      </c>
      <c r="H47" s="20">
        <f>+COUNTIFS(Agents!J$2:J$149,Resumen!$B47,Agents!$Z$2:$Z$149,Resumen!$B$5)</f>
        <v>0</v>
      </c>
      <c r="I47" s="29">
        <f>+COUNTIFS(Agents!K$2:K$149,Resumen!$B47,Agents!$Z$2:$Z$149,Resumen!$B$5)</f>
        <v>0</v>
      </c>
    </row>
    <row r="48" customHeight="1" spans="2:9">
      <c r="B48" s="7" t="s">
        <v>59</v>
      </c>
      <c r="C48" s="20">
        <f>+COUNTIFS(Agents!E$2:E$149,Resumen!$B48,Agents!$Z$2:$Z$149,Resumen!$B$5)</f>
        <v>0</v>
      </c>
      <c r="D48" s="20">
        <f>+COUNTIFS(Agents!F$2:F$149,Resumen!$B48,Agents!$Z$2:$Z$149,Resumen!$B$5)</f>
        <v>0</v>
      </c>
      <c r="E48" s="20">
        <f>+COUNTIFS(Agents!G$2:G$149,Resumen!$B48,Agents!$Z$2:$Z$149,Resumen!$B$5)</f>
        <v>0</v>
      </c>
      <c r="F48" s="20">
        <f>+COUNTIFS(Agents!H$2:H$149,Resumen!$B48,Agents!$Z$2:$Z$149,Resumen!$B$5)</f>
        <v>0</v>
      </c>
      <c r="G48" s="20">
        <f>+COUNTIFS(Agents!I$2:I$149,Resumen!$B48,Agents!$Z$2:$Z$149,Resumen!$B$5)</f>
        <v>0</v>
      </c>
      <c r="H48" s="20">
        <f>+COUNTIFS(Agents!J$2:J$149,Resumen!$B48,Agents!$Z$2:$Z$149,Resumen!$B$5)</f>
        <v>0</v>
      </c>
      <c r="I48" s="29">
        <f>+COUNTIFS(Agents!K$2:K$149,Resumen!$B48,Agents!$Z$2:$Z$149,Resumen!$B$5)</f>
        <v>0</v>
      </c>
    </row>
    <row r="49" customHeight="1" spans="2:9">
      <c r="B49" s="7" t="s">
        <v>1900</v>
      </c>
      <c r="C49" s="20">
        <f>+COUNTIFS(Agents!E$2:E$149,Resumen!$B49,Agents!$Z$2:$Z$149,Resumen!$B$5)</f>
        <v>0</v>
      </c>
      <c r="D49" s="20">
        <f>+COUNTIFS(Agents!F$2:F$149,Resumen!$B49,Agents!$Z$2:$Z$149,Resumen!$B$5)</f>
        <v>0</v>
      </c>
      <c r="E49" s="20">
        <f>+COUNTIFS(Agents!G$2:G$149,Resumen!$B49,Agents!$Z$2:$Z$149,Resumen!$B$5)</f>
        <v>0</v>
      </c>
      <c r="F49" s="20">
        <f>+COUNTIFS(Agents!H$2:H$149,Resumen!$B49,Agents!$Z$2:$Z$149,Resumen!$B$5)</f>
        <v>0</v>
      </c>
      <c r="G49" s="20">
        <f>+COUNTIFS(Agents!I$2:I$149,Resumen!$B49,Agents!$Z$2:$Z$149,Resumen!$B$5)</f>
        <v>0</v>
      </c>
      <c r="H49" s="20">
        <f>+COUNTIFS(Agents!J$2:J$149,Resumen!$B49,Agents!$Z$2:$Z$149,Resumen!$B$5)</f>
        <v>0</v>
      </c>
      <c r="I49" s="29">
        <f>+COUNTIFS(Agents!K$2:K$149,Resumen!$B49,Agents!$Z$2:$Z$149,Resumen!$B$5)</f>
        <v>0</v>
      </c>
    </row>
    <row r="50" customHeight="1" spans="2:9">
      <c r="B50" s="7" t="s">
        <v>1942</v>
      </c>
      <c r="C50" s="20">
        <f>+COUNTIFS(Agents!E$2:E$149,Resumen!$B50,Agents!$Z$2:$Z$149,Resumen!$B$5)</f>
        <v>0</v>
      </c>
      <c r="D50" s="20">
        <f>+COUNTIFS(Agents!F$2:F$149,Resumen!$B50,Agents!$Z$2:$Z$149,Resumen!$B$5)</f>
        <v>0</v>
      </c>
      <c r="E50" s="20">
        <f>+COUNTIFS(Agents!G$2:G$149,Resumen!$B50,Agents!$Z$2:$Z$149,Resumen!$B$5)</f>
        <v>0</v>
      </c>
      <c r="F50" s="20">
        <f>+COUNTIFS(Agents!H$2:H$149,Resumen!$B50,Agents!$Z$2:$Z$149,Resumen!$B$5)</f>
        <v>0</v>
      </c>
      <c r="G50" s="20">
        <f>+COUNTIFS(Agents!I$2:I$149,Resumen!$B50,Agents!$Z$2:$Z$149,Resumen!$B$5)</f>
        <v>0</v>
      </c>
      <c r="H50" s="20">
        <f>+COUNTIFS(Agents!J$2:J$149,Resumen!$B50,Agents!$Z$2:$Z$149,Resumen!$B$5)</f>
        <v>0</v>
      </c>
      <c r="I50" s="29">
        <f>+COUNTIFS(Agents!K$2:K$149,Resumen!$B50,Agents!$Z$2:$Z$149,Resumen!$B$5)</f>
        <v>0</v>
      </c>
    </row>
    <row r="51" customHeight="1" spans="2:9">
      <c r="B51" s="7" t="s">
        <v>1093</v>
      </c>
      <c r="C51" s="20">
        <f>+COUNTIFS(Agents!E$2:E$149,Resumen!$B51,Agents!$Z$2:$Z$149,Resumen!$B$5)</f>
        <v>0</v>
      </c>
      <c r="D51" s="20">
        <f>+COUNTIFS(Agents!F$2:F$149,Resumen!$B51,Agents!$Z$2:$Z$149,Resumen!$B$5)</f>
        <v>0</v>
      </c>
      <c r="E51" s="20">
        <f>+COUNTIFS(Agents!G$2:G$149,Resumen!$B51,Agents!$Z$2:$Z$149,Resumen!$B$5)</f>
        <v>0</v>
      </c>
      <c r="F51" s="20">
        <f>+COUNTIFS(Agents!H$2:H$149,Resumen!$B51,Agents!$Z$2:$Z$149,Resumen!$B$5)</f>
        <v>0</v>
      </c>
      <c r="G51" s="20">
        <f>+COUNTIFS(Agents!I$2:I$149,Resumen!$B51,Agents!$Z$2:$Z$149,Resumen!$B$5)</f>
        <v>0</v>
      </c>
      <c r="H51" s="20">
        <f>+COUNTIFS(Agents!J$2:J$149,Resumen!$B51,Agents!$Z$2:$Z$149,Resumen!$B$5)</f>
        <v>0</v>
      </c>
      <c r="I51" s="29">
        <f>+COUNTIFS(Agents!K$2:K$149,Resumen!$B51,Agents!$Z$2:$Z$149,Resumen!$B$5)</f>
        <v>0</v>
      </c>
    </row>
    <row r="52" customHeight="1" spans="2:9">
      <c r="B52" s="7" t="s">
        <v>1943</v>
      </c>
      <c r="C52" s="20">
        <f>+COUNTIFS(Agents!E$2:E$149,Resumen!$B52,Agents!$Z$2:$Z$149,Resumen!$B$5)</f>
        <v>0</v>
      </c>
      <c r="D52" s="20">
        <f>+COUNTIFS(Agents!F$2:F$149,Resumen!$B52,Agents!$Z$2:$Z$149,Resumen!$B$5)</f>
        <v>0</v>
      </c>
      <c r="E52" s="20">
        <f>+COUNTIFS(Agents!G$2:G$149,Resumen!$B52,Agents!$Z$2:$Z$149,Resumen!$B$5)</f>
        <v>0</v>
      </c>
      <c r="F52" s="20">
        <f>+COUNTIFS(Agents!H$2:H$149,Resumen!$B52,Agents!$Z$2:$Z$149,Resumen!$B$5)</f>
        <v>0</v>
      </c>
      <c r="G52" s="20">
        <f>+COUNTIFS(Agents!I$2:I$149,Resumen!$B52,Agents!$Z$2:$Z$149,Resumen!$B$5)</f>
        <v>0</v>
      </c>
      <c r="H52" s="20">
        <f>+COUNTIFS(Agents!J$2:J$149,Resumen!$B52,Agents!$Z$2:$Z$149,Resumen!$B$5)</f>
        <v>0</v>
      </c>
      <c r="I52" s="29">
        <f>+COUNTIFS(Agents!K$2:K$149,Resumen!$B52,Agents!$Z$2:$Z$149,Resumen!$B$5)</f>
        <v>0</v>
      </c>
    </row>
    <row r="53" customHeight="1" spans="2:9">
      <c r="B53" s="21" t="s">
        <v>1944</v>
      </c>
      <c r="C53" s="22">
        <f t="shared" ref="C53:I53" si="24">+C46-SUM(C47:C52)</f>
        <v>0</v>
      </c>
      <c r="D53" s="22">
        <f t="shared" si="24"/>
        <v>0</v>
      </c>
      <c r="E53" s="22">
        <f t="shared" si="24"/>
        <v>0</v>
      </c>
      <c r="F53" s="22">
        <f t="shared" si="24"/>
        <v>0</v>
      </c>
      <c r="G53" s="22">
        <f t="shared" si="24"/>
        <v>0</v>
      </c>
      <c r="H53" s="22">
        <f t="shared" si="24"/>
        <v>0</v>
      </c>
      <c r="I53" s="30">
        <f t="shared" si="24"/>
        <v>0</v>
      </c>
    </row>
    <row r="54" customHeight="1" spans="2:9">
      <c r="B54" s="23" t="s">
        <v>1945</v>
      </c>
      <c r="C54" s="24">
        <f t="shared" ref="C54:I54" si="25">+C46-C49-C47</f>
        <v>0</v>
      </c>
      <c r="D54" s="24">
        <f t="shared" si="25"/>
        <v>0</v>
      </c>
      <c r="E54" s="24">
        <f t="shared" si="25"/>
        <v>0</v>
      </c>
      <c r="F54" s="24">
        <f t="shared" si="25"/>
        <v>0</v>
      </c>
      <c r="G54" s="24">
        <f t="shared" si="25"/>
        <v>0</v>
      </c>
      <c r="H54" s="24">
        <f t="shared" si="25"/>
        <v>0</v>
      </c>
      <c r="I54" s="31">
        <f t="shared" si="25"/>
        <v>0</v>
      </c>
    </row>
    <row r="55" customHeight="1" spans="2:9">
      <c r="B55" s="25"/>
      <c r="C55" s="25"/>
      <c r="D55" s="25"/>
      <c r="E55" s="25"/>
      <c r="F55" s="25"/>
      <c r="G55" s="25"/>
      <c r="H55" s="25"/>
      <c r="I55" s="25"/>
    </row>
    <row r="56" customHeight="1" spans="2:9">
      <c r="B56" s="3"/>
      <c r="C56" s="4" t="str">
        <f t="shared" ref="C56:I56" si="26">+C45</f>
        <v>Sunday</v>
      </c>
      <c r="D56" s="4" t="str">
        <f t="shared" si="26"/>
        <v>Monday</v>
      </c>
      <c r="E56" s="4" t="str">
        <f t="shared" si="26"/>
        <v>Tuesday</v>
      </c>
      <c r="F56" s="4" t="str">
        <f t="shared" si="26"/>
        <v>Wednesday</v>
      </c>
      <c r="G56" s="4" t="str">
        <f t="shared" si="26"/>
        <v>Thrusday</v>
      </c>
      <c r="H56" s="4" t="str">
        <f t="shared" si="26"/>
        <v>Friday</v>
      </c>
      <c r="I56" s="28" t="str">
        <f t="shared" si="26"/>
        <v>Saturday</v>
      </c>
    </row>
    <row r="57" customHeight="1" spans="2:9">
      <c r="B57" s="21" t="s">
        <v>1946</v>
      </c>
      <c r="C57" s="26">
        <f>+SUMIF(Agents!$Z$2:$Z$149,Resumen!$B$5,Agents!O$2:O$149)</f>
        <v>0</v>
      </c>
      <c r="D57" s="26">
        <f>+SUMIF(Agents!$Z$2:$Z$149,Resumen!$B$5,Agents!P$2:P$149)</f>
        <v>0</v>
      </c>
      <c r="E57" s="26">
        <f>+SUMIF(Agents!$Z$2:$Z$149,Resumen!$B$5,Agents!Q$2:Q$149)</f>
        <v>0</v>
      </c>
      <c r="F57" s="26">
        <f>+SUMIF(Agents!$Z$2:$Z$149,Resumen!$B$5,Agents!R$2:R$149)</f>
        <v>0</v>
      </c>
      <c r="G57" s="26">
        <f>+SUMIF(Agents!$Z$2:$Z$149,Resumen!$B$5,Agents!S$2:S$149)</f>
        <v>0</v>
      </c>
      <c r="H57" s="26">
        <f>+SUMIF(Agents!$Z$2:$Z$149,Resumen!$B$5,Agents!T$2:T$149)</f>
        <v>0</v>
      </c>
      <c r="I57" s="32">
        <f>+SUMIF(Agents!$Z$2:$Z$149,Resumen!$B$5,Agents!U$2:U$149)</f>
        <v>0</v>
      </c>
    </row>
    <row r="58" customHeight="1" spans="2:9">
      <c r="B58" s="23" t="s">
        <v>1947</v>
      </c>
      <c r="C58" s="27">
        <f>IFERROR(C57/C53,0)</f>
        <v>0</v>
      </c>
      <c r="D58" s="27">
        <f t="shared" ref="D58:I58" si="27">IFERROR(D57/D53,0)</f>
        <v>0</v>
      </c>
      <c r="E58" s="27">
        <f t="shared" si="27"/>
        <v>0</v>
      </c>
      <c r="F58" s="27">
        <f t="shared" si="27"/>
        <v>0</v>
      </c>
      <c r="G58" s="27">
        <f t="shared" si="27"/>
        <v>0</v>
      </c>
      <c r="H58" s="27">
        <f t="shared" si="27"/>
        <v>0</v>
      </c>
      <c r="I58" s="33">
        <f t="shared" si="27"/>
        <v>0</v>
      </c>
    </row>
    <row r="59" customHeight="1"/>
    <row r="60" customHeight="1" spans="2:5">
      <c r="B60" s="17" t="s">
        <v>1939</v>
      </c>
      <c r="C60" s="18"/>
      <c r="D60" s="18"/>
      <c r="E60" s="19"/>
    </row>
    <row r="61" customHeight="1" spans="2:5">
      <c r="B61" s="17"/>
      <c r="C61" s="18"/>
      <c r="D61" s="18"/>
      <c r="E61" s="19"/>
    </row>
    <row r="62" customHeight="1" spans="2:9">
      <c r="B62" s="3"/>
      <c r="C62" s="4" t="s">
        <v>1893</v>
      </c>
      <c r="D62" s="4" t="s">
        <v>1894</v>
      </c>
      <c r="E62" s="4" t="s">
        <v>5</v>
      </c>
      <c r="F62" s="4" t="s">
        <v>1895</v>
      </c>
      <c r="G62" s="4" t="s">
        <v>1896</v>
      </c>
      <c r="H62" s="4" t="s">
        <v>1897</v>
      </c>
      <c r="I62" s="28" t="s">
        <v>1898</v>
      </c>
    </row>
    <row r="63" customHeight="1" spans="2:9">
      <c r="B63" s="7" t="s">
        <v>1941</v>
      </c>
      <c r="C63" s="20">
        <f>+COUNTIF(Agents!$Z$2:$Z$149,Resumen!B6)</f>
        <v>0</v>
      </c>
      <c r="D63" s="20">
        <f t="shared" ref="D63" si="28">+C63</f>
        <v>0</v>
      </c>
      <c r="E63" s="20">
        <f t="shared" ref="E63" si="29">+D63</f>
        <v>0</v>
      </c>
      <c r="F63" s="20">
        <f t="shared" ref="F63" si="30">+E63</f>
        <v>0</v>
      </c>
      <c r="G63" s="20">
        <f t="shared" ref="G63" si="31">+F63</f>
        <v>0</v>
      </c>
      <c r="H63" s="20">
        <f t="shared" ref="H63" si="32">+G63</f>
        <v>0</v>
      </c>
      <c r="I63" s="29">
        <f t="shared" ref="I63" si="33">+H63</f>
        <v>0</v>
      </c>
    </row>
    <row r="64" customHeight="1" spans="2:9">
      <c r="B64" s="7" t="s">
        <v>41</v>
      </c>
      <c r="C64" s="20">
        <f>+COUNTIFS(Agents!E$2:E$149,Resumen!$B64,Agents!$Z$2:$Z$149,Resumen!$B$6)</f>
        <v>0</v>
      </c>
      <c r="D64" s="20">
        <f>+COUNTIFS(Agents!F$2:F$149,Resumen!$B64,Agents!$Z$2:$Z$149,Resumen!$B$3)</f>
        <v>0</v>
      </c>
      <c r="E64" s="20">
        <f>+COUNTIFS(Agents!G$2:G$149,Resumen!$B64,Agents!$Z$2:$Z$149,Resumen!$B$3)</f>
        <v>0</v>
      </c>
      <c r="F64" s="20">
        <f>+COUNTIFS(Agents!H$2:H$149,Resumen!$B64,Agents!$Z$2:$Z$149,Resumen!$B$3)</f>
        <v>0</v>
      </c>
      <c r="G64" s="20">
        <f>+COUNTIFS(Agents!I$2:I$149,Resumen!$B64,Agents!$Z$2:$Z$149,Resumen!$B$3)</f>
        <v>0</v>
      </c>
      <c r="H64" s="20">
        <f>+COUNTIFS(Agents!J$2:J$149,Resumen!$B64,Agents!$Z$2:$Z$149,Resumen!$B$3)</f>
        <v>0</v>
      </c>
      <c r="I64" s="29">
        <f>+COUNTIFS(Agents!K$2:K$149,Resumen!$B64,Agents!$Z$2:$Z$149,Resumen!$B$3)</f>
        <v>0</v>
      </c>
    </row>
    <row r="65" customHeight="1" spans="2:9">
      <c r="B65" s="7" t="s">
        <v>59</v>
      </c>
      <c r="C65" s="20">
        <f>+COUNTIFS(Agents!E$2:E$149,Resumen!$B65,Agents!$Z$2:$Z$149,Resumen!$B$6)</f>
        <v>0</v>
      </c>
      <c r="D65" s="20">
        <f>+COUNTIFS(Agents!F$2:F$149,Resumen!$B65,Agents!$Z$2:$Z$149,Resumen!$B$6)</f>
        <v>0</v>
      </c>
      <c r="E65" s="20">
        <f>+COUNTIFS(Agents!G$2:G$149,Resumen!$B65,Agents!$Z$2:$Z$149,Resumen!$B$6)</f>
        <v>0</v>
      </c>
      <c r="F65" s="20">
        <f>+COUNTIFS(Agents!H$2:H$149,Resumen!$B65,Agents!$Z$2:$Z$149,Resumen!$B$6)</f>
        <v>0</v>
      </c>
      <c r="G65" s="20">
        <f>+COUNTIFS(Agents!I$2:I$149,Resumen!$B65,Agents!$Z$2:$Z$149,Resumen!$B$6)</f>
        <v>0</v>
      </c>
      <c r="H65" s="20">
        <f>+COUNTIFS(Agents!J$2:J$149,Resumen!$B65,Agents!$Z$2:$Z$149,Resumen!$B$6)</f>
        <v>0</v>
      </c>
      <c r="I65" s="29">
        <f>+COUNTIFS(Agents!K$2:K$149,Resumen!$B65,Agents!$Z$2:$Z$149,Resumen!$B$6)</f>
        <v>0</v>
      </c>
    </row>
    <row r="66" customHeight="1" spans="2:9">
      <c r="B66" s="7" t="s">
        <v>1900</v>
      </c>
      <c r="C66" s="20">
        <f>+COUNTIFS(Agents!E$2:E$149,Resumen!$B66,Agents!$Z$2:$Z$149,Resumen!$B$6)</f>
        <v>0</v>
      </c>
      <c r="D66" s="20">
        <f>+COUNTIFS(Agents!F$2:F$149,Resumen!$B66,Agents!$Z$2:$Z$149,Resumen!$B$6)</f>
        <v>0</v>
      </c>
      <c r="E66" s="20">
        <f>+COUNTIFS(Agents!G$2:G$149,Resumen!$B66,Agents!$Z$2:$Z$149,Resumen!$B$6)</f>
        <v>0</v>
      </c>
      <c r="F66" s="20">
        <f>+COUNTIFS(Agents!H$2:H$149,Resumen!$B66,Agents!$Z$2:$Z$149,Resumen!$B$6)</f>
        <v>0</v>
      </c>
      <c r="G66" s="20">
        <f>+COUNTIFS(Agents!I$2:I$149,Resumen!$B66,Agents!$Z$2:$Z$149,Resumen!$B$6)</f>
        <v>0</v>
      </c>
      <c r="H66" s="20">
        <f>+COUNTIFS(Agents!J$2:J$149,Resumen!$B66,Agents!$Z$2:$Z$149,Resumen!$B$6)</f>
        <v>0</v>
      </c>
      <c r="I66" s="29">
        <f>+COUNTIFS(Agents!K$2:K$149,Resumen!$B66,Agents!$Z$2:$Z$149,Resumen!$B$6)</f>
        <v>0</v>
      </c>
    </row>
    <row r="67" customHeight="1" spans="2:9">
      <c r="B67" s="7" t="s">
        <v>1942</v>
      </c>
      <c r="C67" s="20">
        <f>+COUNTIFS(Agents!E$2:E$149,Resumen!$B67,Agents!$Z$2:$Z$149,Resumen!$B$6)</f>
        <v>0</v>
      </c>
      <c r="D67" s="20">
        <f>+COUNTIFS(Agents!F$2:F$149,Resumen!$B67,Agents!$Z$2:$Z$149,Resumen!$B$6)</f>
        <v>0</v>
      </c>
      <c r="E67" s="20">
        <f>+COUNTIFS(Agents!G$2:G$149,Resumen!$B67,Agents!$Z$2:$Z$149,Resumen!$B$6)</f>
        <v>0</v>
      </c>
      <c r="F67" s="20">
        <f>+COUNTIFS(Agents!H$2:H$149,Resumen!$B67,Agents!$Z$2:$Z$149,Resumen!$B$6)</f>
        <v>0</v>
      </c>
      <c r="G67" s="20">
        <f>+COUNTIFS(Agents!I$2:I$149,Resumen!$B67,Agents!$Z$2:$Z$149,Resumen!$B$6)</f>
        <v>0</v>
      </c>
      <c r="H67" s="20">
        <f>+COUNTIFS(Agents!J$2:J$149,Resumen!$B67,Agents!$Z$2:$Z$149,Resumen!$B$6)</f>
        <v>0</v>
      </c>
      <c r="I67" s="29">
        <f>+COUNTIFS(Agents!K$2:K$149,Resumen!$B67,Agents!$Z$2:$Z$149,Resumen!$B$6)</f>
        <v>0</v>
      </c>
    </row>
    <row r="68" customHeight="1" spans="2:9">
      <c r="B68" s="7" t="s">
        <v>1093</v>
      </c>
      <c r="C68" s="20">
        <f>+COUNTIFS(Agents!E$2:E$149,Resumen!$B68,Agents!$Z$2:$Z$149,Resumen!$B$6)</f>
        <v>0</v>
      </c>
      <c r="D68" s="20">
        <f>+COUNTIFS(Agents!F$2:F$149,Resumen!$B68,Agents!$Z$2:$Z$149,Resumen!$B$6)</f>
        <v>0</v>
      </c>
      <c r="E68" s="20">
        <f>+COUNTIFS(Agents!G$2:G$149,Resumen!$B68,Agents!$Z$2:$Z$149,Resumen!$B$6)</f>
        <v>0</v>
      </c>
      <c r="F68" s="20">
        <f>+COUNTIFS(Agents!H$2:H$149,Resumen!$B68,Agents!$Z$2:$Z$149,Resumen!$B$6)</f>
        <v>0</v>
      </c>
      <c r="G68" s="20">
        <f>+COUNTIFS(Agents!I$2:I$149,Resumen!$B68,Agents!$Z$2:$Z$149,Resumen!$B$6)</f>
        <v>0</v>
      </c>
      <c r="H68" s="20">
        <f>+COUNTIFS(Agents!J$2:J$149,Resumen!$B68,Agents!$Z$2:$Z$149,Resumen!$B$6)</f>
        <v>0</v>
      </c>
      <c r="I68" s="29">
        <f>+COUNTIFS(Agents!K$2:K$149,Resumen!$B68,Agents!$Z$2:$Z$149,Resumen!$B$6)</f>
        <v>0</v>
      </c>
    </row>
    <row r="69" customHeight="1" spans="2:9">
      <c r="B69" s="7" t="s">
        <v>1943</v>
      </c>
      <c r="C69" s="20">
        <f>+COUNTIFS(Agents!E$2:E$149,Resumen!$B69,Agents!$Z$2:$Z$149,Resumen!$B$6)</f>
        <v>0</v>
      </c>
      <c r="D69" s="20">
        <f>+COUNTIFS(Agents!F$2:F$149,Resumen!$B69,Agents!$Z$2:$Z$149,Resumen!$B$6)</f>
        <v>0</v>
      </c>
      <c r="E69" s="20">
        <f>+COUNTIFS(Agents!G$2:G$149,Resumen!$B69,Agents!$Z$2:$Z$149,Resumen!$B$6)</f>
        <v>0</v>
      </c>
      <c r="F69" s="20">
        <f>+COUNTIFS(Agents!H$2:H$149,Resumen!$B69,Agents!$Z$2:$Z$149,Resumen!$B$6)</f>
        <v>0</v>
      </c>
      <c r="G69" s="20">
        <f>+COUNTIFS(Agents!I$2:I$149,Resumen!$B69,Agents!$Z$2:$Z$149,Resumen!$B$6)</f>
        <v>0</v>
      </c>
      <c r="H69" s="20">
        <f>+COUNTIFS(Agents!J$2:J$149,Resumen!$B69,Agents!$Z$2:$Z$149,Resumen!$B$6)</f>
        <v>0</v>
      </c>
      <c r="I69" s="29">
        <f>+COUNTIFS(Agents!K$2:K$149,Resumen!$B69,Agents!$Z$2:$Z$149,Resumen!$B$6)</f>
        <v>0</v>
      </c>
    </row>
    <row r="70" customHeight="1" spans="2:9">
      <c r="B70" s="21" t="s">
        <v>1944</v>
      </c>
      <c r="C70" s="22">
        <f t="shared" ref="C70:I70" si="34">+C63-SUM(C64:C69)</f>
        <v>0</v>
      </c>
      <c r="D70" s="22">
        <f t="shared" si="34"/>
        <v>0</v>
      </c>
      <c r="E70" s="22">
        <f t="shared" si="34"/>
        <v>0</v>
      </c>
      <c r="F70" s="22">
        <f t="shared" si="34"/>
        <v>0</v>
      </c>
      <c r="G70" s="22">
        <f t="shared" si="34"/>
        <v>0</v>
      </c>
      <c r="H70" s="22">
        <f t="shared" si="34"/>
        <v>0</v>
      </c>
      <c r="I70" s="30">
        <f t="shared" si="34"/>
        <v>0</v>
      </c>
    </row>
    <row r="71" customHeight="1" spans="2:9">
      <c r="B71" s="23" t="s">
        <v>1945</v>
      </c>
      <c r="C71" s="24">
        <f t="shared" ref="C71:I71" si="35">+C63-C66-C64</f>
        <v>0</v>
      </c>
      <c r="D71" s="24">
        <f t="shared" si="35"/>
        <v>0</v>
      </c>
      <c r="E71" s="24">
        <f t="shared" si="35"/>
        <v>0</v>
      </c>
      <c r="F71" s="24">
        <f t="shared" si="35"/>
        <v>0</v>
      </c>
      <c r="G71" s="24">
        <f t="shared" si="35"/>
        <v>0</v>
      </c>
      <c r="H71" s="24">
        <f t="shared" si="35"/>
        <v>0</v>
      </c>
      <c r="I71" s="31">
        <f t="shared" si="35"/>
        <v>0</v>
      </c>
    </row>
    <row r="72" customHeight="1" spans="2:9">
      <c r="B72" s="25"/>
      <c r="C72" s="25"/>
      <c r="D72" s="25"/>
      <c r="E72" s="25"/>
      <c r="F72" s="25"/>
      <c r="G72" s="25"/>
      <c r="H72" s="25"/>
      <c r="I72" s="25"/>
    </row>
    <row r="73" customHeight="1" spans="2:9">
      <c r="B73" s="3"/>
      <c r="C73" s="4" t="str">
        <f t="shared" ref="C73:I73" si="36">+C62</f>
        <v>Sunday</v>
      </c>
      <c r="D73" s="4" t="str">
        <f t="shared" si="36"/>
        <v>Monday</v>
      </c>
      <c r="E73" s="4" t="str">
        <f t="shared" si="36"/>
        <v>Tuesday</v>
      </c>
      <c r="F73" s="4" t="str">
        <f t="shared" si="36"/>
        <v>Wednesday</v>
      </c>
      <c r="G73" s="4" t="str">
        <f t="shared" si="36"/>
        <v>Thrusday</v>
      </c>
      <c r="H73" s="4" t="str">
        <f t="shared" si="36"/>
        <v>Friday</v>
      </c>
      <c r="I73" s="28" t="str">
        <f t="shared" si="36"/>
        <v>Saturday</v>
      </c>
    </row>
    <row r="74" customHeight="1" spans="2:9">
      <c r="B74" s="21" t="s">
        <v>1946</v>
      </c>
      <c r="C74" s="26">
        <f>+SUMIF(Agents!$Z$2:$Z$149,Resumen!$B$6,Agents!O$2:O$149)</f>
        <v>0</v>
      </c>
      <c r="D74" s="26">
        <f>+SUMIF(Agents!$Z$2:$Z$149,Resumen!$B$6,Agents!P$2:P$149)</f>
        <v>0</v>
      </c>
      <c r="E74" s="26">
        <f>+SUMIF(Agents!$Z$2:$Z$149,Resumen!$B$6,Agents!Q$2:Q$149)</f>
        <v>0</v>
      </c>
      <c r="F74" s="26">
        <f>+SUMIF(Agents!$Z$2:$Z$149,Resumen!$B$6,Agents!R$2:R$149)</f>
        <v>0</v>
      </c>
      <c r="G74" s="26">
        <f>+SUMIF(Agents!$Z$2:$Z$149,Resumen!$B$6,Agents!S$2:S$149)</f>
        <v>0</v>
      </c>
      <c r="H74" s="26">
        <f>+SUMIF(Agents!$Z$2:$Z$149,Resumen!$B$6,Agents!T$2:T$149)</f>
        <v>0</v>
      </c>
      <c r="I74" s="32">
        <f>+SUMIF(Agents!$Z$2:$Z$149,Resumen!$B$6,Agents!U$2:U$149)</f>
        <v>0</v>
      </c>
    </row>
    <row r="75" customHeight="1" spans="2:9">
      <c r="B75" s="23" t="s">
        <v>1947</v>
      </c>
      <c r="C75" s="27">
        <f>IFERROR(C74/C70,0)</f>
        <v>0</v>
      </c>
      <c r="D75" s="27">
        <f t="shared" ref="D75:I75" si="37">IFERROR(D74/D70,0)</f>
        <v>0</v>
      </c>
      <c r="E75" s="27">
        <f t="shared" si="37"/>
        <v>0</v>
      </c>
      <c r="F75" s="27">
        <f t="shared" si="37"/>
        <v>0</v>
      </c>
      <c r="G75" s="27">
        <f t="shared" si="37"/>
        <v>0</v>
      </c>
      <c r="H75" s="27">
        <f t="shared" si="37"/>
        <v>0</v>
      </c>
      <c r="I75" s="33">
        <f t="shared" si="37"/>
        <v>0</v>
      </c>
    </row>
    <row r="76" customHeight="1"/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654B823-D9C6-4FF8-8395-88523714480B}">
  <ds:schemaRefs/>
</ds:datastoreItem>
</file>

<file path=customXml/itemProps2.xml><?xml version="1.0" encoding="utf-8"?>
<ds:datastoreItem xmlns:ds="http://schemas.openxmlformats.org/officeDocument/2006/customXml" ds:itemID="{CD66DC88-F4D1-40E9-94B0-AAE9D8B46D68}">
  <ds:schemaRefs/>
</ds:datastoreItem>
</file>

<file path=customXml/itemProps3.xml><?xml version="1.0" encoding="utf-8"?>
<ds:datastoreItem xmlns:ds="http://schemas.openxmlformats.org/officeDocument/2006/customXml" ds:itemID="{541C8B7E-C8E2-498B-8A86-9B184F53A38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Agents' Final Roster 0913-0919</vt:lpstr>
      <vt:lpstr>Sups' Final Roster 0913-0919</vt:lpstr>
      <vt:lpstr>ACMs' Final Roster 0913-0919</vt:lpstr>
      <vt:lpstr>Ratios</vt:lpstr>
      <vt:lpstr>Agents</vt:lpstr>
      <vt:lpstr>Sups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2011-10-05T17:27:00Z</dcterms:created>
  <dcterms:modified xsi:type="dcterms:W3CDTF">2020-09-11T21:41:47Z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  <property fmtid="{D5CDD505-2E9C-101B-9397-08002B2CF9AE}" pid="3" name="KSOProductBuildVer">
    <vt:lpwstr>2058-11.2.0.9665</vt:lpwstr>
  </property>
</Properties>
</file>