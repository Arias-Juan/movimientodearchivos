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 Arias\Desktop\Home Office\Archivos\"/>
    </mc:Choice>
  </mc:AlternateContent>
  <bookViews>
    <workbookView xWindow="0" yWindow="0" windowWidth="20490" windowHeight="8355" activeTab="1"/>
  </bookViews>
  <sheets>
    <sheet name="Summary" sheetId="2" r:id="rId1"/>
    <sheet name="Recomendaciones" sheetId="4" r:id="rId2"/>
  </sheets>
  <definedNames>
    <definedName name="_xlnm._FilterDatabase" localSheetId="1" hidden="1">Recomendaciones!$B$2:$L$2</definedName>
  </definedNames>
  <calcPr calcId="152511"/>
</workbook>
</file>

<file path=xl/calcChain.xml><?xml version="1.0" encoding="utf-8"?>
<calcChain xmlns="http://schemas.openxmlformats.org/spreadsheetml/2006/main">
  <c r="B6" i="2" l="1"/>
  <c r="A6" i="2"/>
  <c r="C6" i="2" s="1"/>
  <c r="B7" i="2" l="1"/>
  <c r="B8" i="2" l="1"/>
  <c r="C7" i="2"/>
  <c r="B9" i="2" l="1"/>
  <c r="C8" i="2"/>
  <c r="B10" i="2" l="1"/>
  <c r="C9" i="2"/>
  <c r="B11" i="2" l="1"/>
  <c r="C10" i="2"/>
  <c r="B12" i="2" l="1"/>
  <c r="C12" i="2" s="1"/>
  <c r="D6" i="2" s="1"/>
  <c r="C11" i="2"/>
</calcChain>
</file>

<file path=xl/sharedStrings.xml><?xml version="1.0" encoding="utf-8"?>
<sst xmlns="http://schemas.openxmlformats.org/spreadsheetml/2006/main" count="132" uniqueCount="35">
  <si>
    <t>0830 - 0905</t>
  </si>
  <si>
    <t>Recomendaciones</t>
  </si>
  <si>
    <t>Prisma</t>
  </si>
  <si>
    <t>Día</t>
  </si>
  <si>
    <t>#</t>
  </si>
  <si>
    <t xml:space="preserve">Total </t>
  </si>
  <si>
    <t>Number</t>
  </si>
  <si>
    <t>LOB</t>
  </si>
  <si>
    <t>ACM</t>
  </si>
  <si>
    <t>Supervisor</t>
  </si>
  <si>
    <t>Last Name</t>
  </si>
  <si>
    <t>Frist Name</t>
  </si>
  <si>
    <t>Payroll Number</t>
  </si>
  <si>
    <t>CCMS</t>
  </si>
  <si>
    <t>Fecha</t>
  </si>
  <si>
    <t>Schedule Actual</t>
  </si>
  <si>
    <t>Schedule Recomendado</t>
  </si>
  <si>
    <t>Feedback</t>
  </si>
  <si>
    <t>Perez Zitzke Agustina</t>
  </si>
  <si>
    <t>Grimaldi Agustina Sofía</t>
  </si>
  <si>
    <t>Avellaneda</t>
  </si>
  <si>
    <t>Nicolás Alfredo</t>
  </si>
  <si>
    <t>09:00 - 15:00</t>
  </si>
  <si>
    <t>10:00 - 16:00</t>
  </si>
  <si>
    <t>Monges</t>
  </si>
  <si>
    <t>Elina Teresa</t>
  </si>
  <si>
    <t>Zamorano Ortiz</t>
  </si>
  <si>
    <t>Gabriel Martin</t>
  </si>
  <si>
    <t>Palomino Juan Pablo</t>
  </si>
  <si>
    <t>Soria Juarez</t>
  </si>
  <si>
    <t>Eugenia Soledad</t>
  </si>
  <si>
    <t>Ortiz Jose María</t>
  </si>
  <si>
    <t>Britos Fernando José</t>
  </si>
  <si>
    <t>Infante Marcello</t>
  </si>
  <si>
    <t>Christian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</si>
</sst>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5" formatCode="ddd\ dd/mm"/>
    <numFmt numFmtId="167" formatCode="dddd"/>
    <numFmt numFmtId="168" formatCode="ddd\ mm/dd"/>
  </numFmts>
  <fonts count="9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4"/>
      <color rgb="FFFFFF00"/>
      <name val="Calibri"/>
      <charset val="134"/>
      <scheme val="minor"/>
    </font>
    <font>
      <b/>
      <sz val="8"/>
      <color theme="3" tint="-0.249977111117893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3" tint="-0.249977111117893"/>
      <name val="Calibri"/>
      <charset val="134"/>
      <scheme val="minor"/>
    </font>
    <font>
      <b/>
      <sz val="9"/>
      <color theme="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79995117038483843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theme="0" tint="-0.34998626667073579"/>
      </right>
      <top style="medium">
        <color auto="1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/>
      <bottom style="hair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medium">
        <color auto="1"/>
      </bottom>
      <diagonal/>
    </border>
    <border>
      <left style="thin">
        <color theme="0" tint="-0.34998626667073579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theme="1" tint="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theme="1" tint="0.499984740745262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left"/>
    </xf>
    <xf numFmtId="16" fontId="3" fillId="0" borderId="0" xfId="0" applyNumberFormat="1" applyFont="1"/>
    <xf numFmtId="0" fontId="4" fillId="2" borderId="8" xfId="0" applyFont="1" applyFill="1" applyBorder="1" applyAlignment="1">
      <alignment horizontal="center" vertical="center" wrapText="1"/>
    </xf>
    <xf numFmtId="165" fontId="2" fillId="0" borderId="4" xfId="0" applyNumberFormat="1" applyFont="1" applyFill="1" applyBorder="1" applyAlignment="1">
      <alignment horizontal="center"/>
    </xf>
    <xf numFmtId="14" fontId="2" fillId="0" borderId="4" xfId="0" applyNumberFormat="1" applyFont="1" applyFill="1" applyBorder="1" applyAlignment="1">
      <alignment horizontal="center" vertical="center"/>
    </xf>
    <xf numFmtId="14" fontId="2" fillId="0" borderId="9" xfId="0" applyNumberFormat="1" applyFont="1" applyFill="1" applyBorder="1" applyAlignment="1">
      <alignment horizontal="center" vertical="center"/>
    </xf>
    <xf numFmtId="165" fontId="2" fillId="0" borderId="7" xfId="0" applyNumberFormat="1" applyFont="1" applyFill="1" applyBorder="1" applyAlignment="1">
      <alignment horizontal="center"/>
    </xf>
    <xf numFmtId="14" fontId="2" fillId="0" borderId="7" xfId="0" applyNumberFormat="1" applyFont="1" applyFill="1" applyBorder="1" applyAlignment="1">
      <alignment horizontal="center" vertical="center"/>
    </xf>
    <xf numFmtId="14" fontId="2" fillId="0" borderId="10" xfId="0" applyNumberFormat="1" applyFont="1" applyFill="1" applyBorder="1" applyAlignment="1">
      <alignment horizontal="center" vertical="center"/>
    </xf>
    <xf numFmtId="0" fontId="0" fillId="0" borderId="0" xfId="0" applyBorder="1"/>
    <xf numFmtId="0" fontId="5" fillId="3" borderId="20" xfId="0" applyFont="1" applyFill="1" applyBorder="1" applyAlignment="1">
      <alignment horizontal="center" wrapText="1"/>
    </xf>
    <xf numFmtId="0" fontId="7" fillId="3" borderId="20" xfId="0" applyFont="1" applyFill="1" applyBorder="1" applyAlignment="1">
      <alignment horizontal="center" vertical="center" wrapText="1"/>
    </xf>
    <xf numFmtId="0" fontId="3" fillId="0" borderId="0" xfId="0" applyFont="1"/>
    <xf numFmtId="167" fontId="8" fillId="2" borderId="20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168" fontId="8" fillId="2" borderId="20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wrapText="1"/>
    </xf>
    <xf numFmtId="0" fontId="6" fillId="4" borderId="15" xfId="0" applyFont="1" applyFill="1" applyBorder="1" applyAlignment="1">
      <alignment horizontal="center" wrapText="1"/>
    </xf>
    <xf numFmtId="0" fontId="6" fillId="4" borderId="16" xfId="0" applyFont="1" applyFill="1" applyBorder="1" applyAlignment="1">
      <alignment horizontal="center" wrapText="1"/>
    </xf>
    <xf numFmtId="0" fontId="6" fillId="4" borderId="17" xfId="0" applyFont="1" applyFill="1" applyBorder="1" applyAlignment="1">
      <alignment horizontal="center" wrapText="1"/>
    </xf>
    <xf numFmtId="0" fontId="6" fillId="4" borderId="18" xfId="0" applyFont="1" applyFill="1" applyBorder="1" applyAlignment="1">
      <alignment horizontal="center" wrapText="1"/>
    </xf>
    <xf numFmtId="0" fontId="6" fillId="4" borderId="19" xfId="0" applyFont="1" applyFill="1" applyBorder="1" applyAlignment="1">
      <alignment horizontal="center" wrapTex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</cellXfs>
  <cellStyles count="1">
    <cellStyle name="Normal" xfId="0" builtinId="0"/>
  </cellStyles>
  <dxfs count="503"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</dxfs>
  <tableStyles count="0" defaultTableStyle="TableStyleMedium9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3"/>
  <sheetViews>
    <sheetView showGridLines="0" zoomScale="90" zoomScaleNormal="90" workbookViewId="0">
      <selection activeCell="B2" sqref="B2:D2"/>
    </sheetView>
  </sheetViews>
  <sheetFormatPr baseColWidth="10" defaultColWidth="0" defaultRowHeight="15" zeroHeight="1"/>
  <cols>
    <col min="1" max="1" width="3.85546875" customWidth="1"/>
    <col min="2" max="2" width="11.5703125" customWidth="1"/>
    <col min="3" max="4" width="8.5703125" customWidth="1"/>
    <col min="5" max="5" width="4.28515625" customWidth="1"/>
    <col min="6" max="8" width="0" hidden="1" customWidth="1"/>
    <col min="9" max="16384" width="9.140625" hidden="1"/>
  </cols>
  <sheetData>
    <row r="1" spans="1:4" ht="30" customHeight="1"/>
    <row r="2" spans="1:4">
      <c r="B2" s="29" t="s">
        <v>0</v>
      </c>
      <c r="C2" s="30"/>
      <c r="D2" s="31"/>
    </row>
    <row r="3" spans="1:4" ht="15.75" customHeight="1">
      <c r="B3" s="32" t="s">
        <v>1</v>
      </c>
      <c r="C3" s="33"/>
      <c r="D3" s="34"/>
    </row>
    <row r="4" spans="1:4" ht="15.75" customHeight="1">
      <c r="B4" s="35" t="s">
        <v>2</v>
      </c>
      <c r="C4" s="36"/>
      <c r="D4" s="37"/>
    </row>
    <row r="5" spans="1:4" ht="15.75" customHeight="1">
      <c r="B5" s="20" t="s">
        <v>3</v>
      </c>
      <c r="C5" s="21" t="s">
        <v>4</v>
      </c>
      <c r="D5" s="21" t="s">
        <v>5</v>
      </c>
    </row>
    <row r="6" spans="1:4" ht="20.100000000000001" customHeight="1">
      <c r="A6" s="22" t="str">
        <f>CONCATENATE(MID($B$2,3,2),"/",LEFT($B$2,2))</f>
        <v>30/08</v>
      </c>
      <c r="B6" s="23" t="str">
        <f>TEXT(CONCATENATE(MID($B$2,3,2),"/",LEFT($B$2,2)),"ddd mm/dd")</f>
        <v>dom 08/30</v>
      </c>
      <c r="C6" s="24">
        <f>COUNTIF(Recomendaciones!J:J,Summary!A6)</f>
        <v>0</v>
      </c>
      <c r="D6" s="38">
        <f>SUM(C6:C12)</f>
        <v>22</v>
      </c>
    </row>
    <row r="7" spans="1:4" ht="20.100000000000001" customHeight="1">
      <c r="B7" s="25">
        <f>A6+1</f>
        <v>44074</v>
      </c>
      <c r="C7" s="26">
        <f>COUNTIF(Recomendaciones!J:J,Summary!B7)</f>
        <v>5</v>
      </c>
      <c r="D7" s="39"/>
    </row>
    <row r="8" spans="1:4" ht="20.100000000000001" customHeight="1">
      <c r="B8" s="25">
        <f t="shared" ref="B8:B12" si="0">B7+1</f>
        <v>44075</v>
      </c>
      <c r="C8" s="26">
        <f>COUNTIF(Recomendaciones!J:J,Summary!B8)</f>
        <v>5</v>
      </c>
      <c r="D8" s="39"/>
    </row>
    <row r="9" spans="1:4" ht="20.100000000000001" customHeight="1">
      <c r="B9" s="25">
        <f t="shared" si="0"/>
        <v>44076</v>
      </c>
      <c r="C9" s="26">
        <f>COUNTIF(Recomendaciones!J:J,Summary!B9)</f>
        <v>4</v>
      </c>
      <c r="D9" s="39"/>
    </row>
    <row r="10" spans="1:4" ht="20.100000000000001" customHeight="1">
      <c r="B10" s="25">
        <f t="shared" si="0"/>
        <v>44077</v>
      </c>
      <c r="C10" s="26">
        <f>COUNTIF(Recomendaciones!J:J,Summary!B10)</f>
        <v>4</v>
      </c>
      <c r="D10" s="39"/>
    </row>
    <row r="11" spans="1:4" ht="20.100000000000001" customHeight="1">
      <c r="B11" s="25">
        <f t="shared" si="0"/>
        <v>44078</v>
      </c>
      <c r="C11" s="26">
        <f>COUNTIF(Recomendaciones!J:J,Summary!B11)</f>
        <v>4</v>
      </c>
      <c r="D11" s="39"/>
    </row>
    <row r="12" spans="1:4" ht="20.100000000000001" customHeight="1">
      <c r="B12" s="25">
        <f t="shared" si="0"/>
        <v>44079</v>
      </c>
      <c r="C12" s="27">
        <f>COUNTIF(Recomendaciones!J:J,Summary!B12)</f>
        <v>0</v>
      </c>
      <c r="D12" s="40"/>
    </row>
    <row r="13" spans="1:4" s="19" customFormat="1" ht="13.5" customHeight="1">
      <c r="C13" s="28"/>
      <c r="D13" s="28"/>
    </row>
  </sheetData>
  <mergeCells count="4">
    <mergeCell ref="B2:D2"/>
    <mergeCell ref="B3:D3"/>
    <mergeCell ref="B4:D4"/>
    <mergeCell ref="D6:D12"/>
  </mergeCells>
  <pageMargins left="0.69930555555555596" right="0.69930555555555596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5"/>
  <sheetViews>
    <sheetView showGridLines="0" tabSelected="1" zoomScale="70" zoomScaleNormal="70" workbookViewId="0">
      <selection activeCell="I16" sqref="I16"/>
    </sheetView>
  </sheetViews>
  <sheetFormatPr baseColWidth="10" defaultColWidth="0" defaultRowHeight="15" zeroHeight="1"/>
  <cols>
    <col min="1" max="1" width="4.85546875" customWidth="1"/>
    <col min="2" max="2" width="10.7109375" customWidth="1"/>
    <col min="3" max="3" width="14.5703125" customWidth="1"/>
    <col min="4" max="4" width="28.5703125" customWidth="1"/>
    <col min="5" max="5" width="27.42578125" customWidth="1"/>
    <col min="6" max="6" width="15.140625" customWidth="1"/>
    <col min="7" max="7" width="21.5703125" customWidth="1"/>
    <col min="8" max="8" width="19.5703125" customWidth="1"/>
    <col min="9" max="9" width="15.28515625" customWidth="1"/>
    <col min="10" max="10" width="15.140625" customWidth="1"/>
    <col min="11" max="11" width="29.85546875" customWidth="1"/>
    <col min="12" max="12" width="33" customWidth="1"/>
    <col min="13" max="13" width="33.7109375" style="1" customWidth="1"/>
    <col min="14" max="14" width="2.140625" style="1" customWidth="1"/>
    <col min="15" max="46" width="9.140625" style="1" hidden="1" customWidth="1"/>
    <col min="47" max="16384" width="9.140625" hidden="1"/>
  </cols>
  <sheetData>
    <row r="1" spans="2:13" s="1" customFormat="1" ht="24.75" customHeight="1">
      <c r="B1"/>
      <c r="C1"/>
      <c r="D1"/>
      <c r="E1"/>
      <c r="F1"/>
      <c r="G1"/>
      <c r="H1"/>
      <c r="I1"/>
      <c r="J1"/>
      <c r="K1" s="11">
        <v>41399</v>
      </c>
      <c r="L1"/>
    </row>
    <row r="2" spans="2:13" s="1" customFormat="1" ht="27.75" customHeight="1"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12" t="s">
        <v>16</v>
      </c>
      <c r="M2" s="12" t="s">
        <v>17</v>
      </c>
    </row>
    <row r="3" spans="2:13">
      <c r="B3" s="4">
        <v>1</v>
      </c>
      <c r="C3" s="5" t="s">
        <v>2</v>
      </c>
      <c r="D3" s="6" t="s">
        <v>18</v>
      </c>
      <c r="E3" s="7" t="s">
        <v>19</v>
      </c>
      <c r="F3" s="7" t="s">
        <v>20</v>
      </c>
      <c r="G3" s="7" t="s">
        <v>21</v>
      </c>
      <c r="H3" s="7">
        <v>87868</v>
      </c>
      <c r="I3" s="7">
        <v>1831428</v>
      </c>
      <c r="J3" s="13">
        <v>44074</v>
      </c>
      <c r="K3" s="14" t="s">
        <v>22</v>
      </c>
      <c r="L3" s="15" t="s">
        <v>23</v>
      </c>
      <c r="M3" s="15"/>
    </row>
    <row r="4" spans="2:13">
      <c r="B4" s="4">
        <v>2</v>
      </c>
      <c r="C4" s="5" t="s">
        <v>2</v>
      </c>
      <c r="D4" s="6" t="s">
        <v>18</v>
      </c>
      <c r="E4" s="7" t="s">
        <v>19</v>
      </c>
      <c r="F4" s="7" t="s">
        <v>24</v>
      </c>
      <c r="G4" s="7" t="s">
        <v>25</v>
      </c>
      <c r="H4" s="7">
        <v>60260</v>
      </c>
      <c r="I4" s="7">
        <v>433236</v>
      </c>
      <c r="J4" s="13">
        <v>44074</v>
      </c>
      <c r="K4" s="14" t="s">
        <v>22</v>
      </c>
      <c r="L4" s="15" t="s">
        <v>23</v>
      </c>
      <c r="M4" s="15"/>
    </row>
    <row r="5" spans="2:13">
      <c r="B5" s="4">
        <v>3</v>
      </c>
      <c r="C5" s="5" t="s">
        <v>2</v>
      </c>
      <c r="D5" s="6" t="s">
        <v>18</v>
      </c>
      <c r="E5" s="7" t="s">
        <v>19</v>
      </c>
      <c r="F5" s="7" t="s">
        <v>26</v>
      </c>
      <c r="G5" s="7" t="s">
        <v>27</v>
      </c>
      <c r="H5" s="7">
        <v>87891</v>
      </c>
      <c r="I5" s="7">
        <v>3522061</v>
      </c>
      <c r="J5" s="13">
        <v>44074</v>
      </c>
      <c r="K5" s="14" t="s">
        <v>22</v>
      </c>
      <c r="L5" s="15" t="s">
        <v>23</v>
      </c>
      <c r="M5" s="15"/>
    </row>
    <row r="6" spans="2:13">
      <c r="B6" s="4">
        <v>4</v>
      </c>
      <c r="C6" s="5" t="s">
        <v>2</v>
      </c>
      <c r="D6" s="6" t="s">
        <v>18</v>
      </c>
      <c r="E6" s="7" t="s">
        <v>28</v>
      </c>
      <c r="F6" s="7" t="s">
        <v>29</v>
      </c>
      <c r="G6" s="7" t="s">
        <v>30</v>
      </c>
      <c r="H6" s="7">
        <v>83489</v>
      </c>
      <c r="I6" s="7">
        <v>2490376</v>
      </c>
      <c r="J6" s="13">
        <v>44074</v>
      </c>
      <c r="K6" s="14" t="s">
        <v>22</v>
      </c>
      <c r="L6" s="15" t="s">
        <v>23</v>
      </c>
      <c r="M6" s="15"/>
    </row>
    <row r="7" spans="2:13">
      <c r="B7" s="4">
        <v>5</v>
      </c>
      <c r="C7" s="5" t="s">
        <v>2</v>
      </c>
      <c r="D7" s="6"/>
      <c r="E7" s="7"/>
      <c r="F7" s="7"/>
      <c r="G7" s="7"/>
      <c r="H7" s="7"/>
      <c r="I7" s="7"/>
      <c r="J7" s="13">
        <v>44074</v>
      </c>
      <c r="K7" s="14" t="s">
        <v>22</v>
      </c>
      <c r="L7" s="15" t="s">
        <v>23</v>
      </c>
      <c r="M7" s="15"/>
    </row>
    <row r="8" spans="2:13">
      <c r="B8" s="4">
        <v>6</v>
      </c>
      <c r="C8" s="5" t="s">
        <v>2</v>
      </c>
      <c r="D8" s="6" t="s">
        <v>18</v>
      </c>
      <c r="E8" s="7" t="s">
        <v>19</v>
      </c>
      <c r="F8" s="7" t="s">
        <v>24</v>
      </c>
      <c r="G8" s="7" t="s">
        <v>25</v>
      </c>
      <c r="H8" s="7">
        <v>60260</v>
      </c>
      <c r="I8" s="7">
        <v>433236</v>
      </c>
      <c r="J8" s="13">
        <v>44075</v>
      </c>
      <c r="K8" s="14" t="s">
        <v>22</v>
      </c>
      <c r="L8" s="15" t="s">
        <v>23</v>
      </c>
      <c r="M8" s="15"/>
    </row>
    <row r="9" spans="2:13">
      <c r="B9" s="4">
        <v>7</v>
      </c>
      <c r="C9" s="5" t="s">
        <v>2</v>
      </c>
      <c r="D9" s="6" t="s">
        <v>31</v>
      </c>
      <c r="E9" s="7" t="s">
        <v>32</v>
      </c>
      <c r="F9" s="7" t="s">
        <v>33</v>
      </c>
      <c r="G9" s="7" t="s">
        <v>34</v>
      </c>
      <c r="H9" s="7">
        <v>86282</v>
      </c>
      <c r="I9" s="7">
        <v>3133234</v>
      </c>
      <c r="J9" s="13">
        <v>44075</v>
      </c>
      <c r="K9" s="14" t="s">
        <v>22</v>
      </c>
      <c r="L9" s="15" t="s">
        <v>23</v>
      </c>
      <c r="M9" s="15"/>
    </row>
    <row r="10" spans="2:13">
      <c r="B10" s="4">
        <v>8</v>
      </c>
      <c r="C10" s="5" t="s">
        <v>2</v>
      </c>
      <c r="D10" s="6"/>
      <c r="E10" s="7"/>
      <c r="F10" s="7"/>
      <c r="G10" s="7"/>
      <c r="H10" s="7"/>
      <c r="I10" s="7"/>
      <c r="J10" s="13">
        <v>44075</v>
      </c>
      <c r="K10" s="14" t="s">
        <v>22</v>
      </c>
      <c r="L10" s="15" t="s">
        <v>23</v>
      </c>
      <c r="M10" s="15"/>
    </row>
    <row r="11" spans="2:13">
      <c r="B11" s="4">
        <v>9</v>
      </c>
      <c r="C11" s="5" t="s">
        <v>2</v>
      </c>
      <c r="D11" s="6"/>
      <c r="E11" s="7"/>
      <c r="F11" s="7"/>
      <c r="G11" s="7"/>
      <c r="H11" s="7"/>
      <c r="I11" s="7"/>
      <c r="J11" s="13">
        <v>44075</v>
      </c>
      <c r="K11" s="14" t="s">
        <v>22</v>
      </c>
      <c r="L11" s="15" t="s">
        <v>23</v>
      </c>
      <c r="M11" s="15"/>
    </row>
    <row r="12" spans="2:13">
      <c r="B12" s="4">
        <v>10</v>
      </c>
      <c r="C12" s="5" t="s">
        <v>2</v>
      </c>
      <c r="D12" s="6"/>
      <c r="E12" s="7"/>
      <c r="F12" s="7"/>
      <c r="G12" s="7"/>
      <c r="H12" s="7"/>
      <c r="I12" s="7"/>
      <c r="J12" s="13">
        <v>44075</v>
      </c>
      <c r="K12" s="14" t="s">
        <v>22</v>
      </c>
      <c r="L12" s="15" t="s">
        <v>23</v>
      </c>
      <c r="M12" s="15"/>
    </row>
    <row r="13" spans="2:13">
      <c r="B13" s="4">
        <v>11</v>
      </c>
      <c r="C13" s="5" t="s">
        <v>2</v>
      </c>
      <c r="D13" s="6" t="s">
        <v>18</v>
      </c>
      <c r="E13" s="7" t="s">
        <v>19</v>
      </c>
      <c r="F13" s="7" t="s">
        <v>24</v>
      </c>
      <c r="G13" s="7" t="s">
        <v>25</v>
      </c>
      <c r="H13" s="7">
        <v>60260</v>
      </c>
      <c r="I13" s="7">
        <v>433236</v>
      </c>
      <c r="J13" s="13">
        <v>44076</v>
      </c>
      <c r="K13" s="14" t="s">
        <v>22</v>
      </c>
      <c r="L13" s="15" t="s">
        <v>23</v>
      </c>
      <c r="M13" s="15"/>
    </row>
    <row r="14" spans="2:13">
      <c r="B14" s="4">
        <v>12</v>
      </c>
      <c r="C14" s="5" t="s">
        <v>2</v>
      </c>
      <c r="D14" s="6"/>
      <c r="E14" s="7"/>
      <c r="F14" s="7"/>
      <c r="G14" s="7"/>
      <c r="H14" s="7">
        <v>88033</v>
      </c>
      <c r="I14" s="7">
        <v>3553104</v>
      </c>
      <c r="J14" s="13">
        <v>44076</v>
      </c>
      <c r="K14" s="14" t="s">
        <v>22</v>
      </c>
      <c r="L14" s="15" t="s">
        <v>23</v>
      </c>
      <c r="M14" s="15"/>
    </row>
    <row r="15" spans="2:13">
      <c r="B15" s="4">
        <v>13</v>
      </c>
      <c r="C15" s="5" t="s">
        <v>2</v>
      </c>
      <c r="D15" s="6" t="s">
        <v>31</v>
      </c>
      <c r="E15" s="7" t="s">
        <v>32</v>
      </c>
      <c r="F15" s="7" t="s">
        <v>33</v>
      </c>
      <c r="G15" s="7" t="s">
        <v>34</v>
      </c>
      <c r="H15" s="7">
        <v>86282</v>
      </c>
      <c r="I15" s="7">
        <v>3133234</v>
      </c>
      <c r="J15" s="13">
        <v>44076</v>
      </c>
      <c r="K15" s="14" t="s">
        <v>22</v>
      </c>
      <c r="L15" s="15" t="s">
        <v>23</v>
      </c>
      <c r="M15" s="15"/>
    </row>
    <row r="16" spans="2:13">
      <c r="B16" s="4">
        <v>14</v>
      </c>
      <c r="C16" s="5" t="s">
        <v>2</v>
      </c>
      <c r="D16" s="6"/>
      <c r="E16" s="7"/>
      <c r="F16" s="7"/>
      <c r="G16" s="7"/>
      <c r="H16" s="7"/>
      <c r="I16" s="7"/>
      <c r="J16" s="13">
        <v>44076</v>
      </c>
      <c r="K16" s="14" t="s">
        <v>22</v>
      </c>
      <c r="L16" s="15" t="s">
        <v>23</v>
      </c>
      <c r="M16" s="15"/>
    </row>
    <row r="17" spans="2:13">
      <c r="B17" s="4">
        <v>15</v>
      </c>
      <c r="C17" s="5" t="s">
        <v>2</v>
      </c>
      <c r="D17" s="6" t="s">
        <v>18</v>
      </c>
      <c r="E17" s="7" t="s">
        <v>19</v>
      </c>
      <c r="F17" s="7" t="s">
        <v>24</v>
      </c>
      <c r="G17" s="7" t="s">
        <v>25</v>
      </c>
      <c r="H17" s="7">
        <v>60260</v>
      </c>
      <c r="I17" s="7">
        <v>433236</v>
      </c>
      <c r="J17" s="13">
        <v>44077</v>
      </c>
      <c r="K17" s="14" t="s">
        <v>22</v>
      </c>
      <c r="L17" s="15" t="s">
        <v>23</v>
      </c>
      <c r="M17" s="15"/>
    </row>
    <row r="18" spans="2:13">
      <c r="B18" s="4">
        <v>16</v>
      </c>
      <c r="C18" s="5" t="s">
        <v>2</v>
      </c>
      <c r="D18" s="6" t="s">
        <v>31</v>
      </c>
      <c r="E18" s="7" t="s">
        <v>32</v>
      </c>
      <c r="F18" s="7" t="s">
        <v>33</v>
      </c>
      <c r="G18" s="7" t="s">
        <v>34</v>
      </c>
      <c r="H18" s="7">
        <v>86282</v>
      </c>
      <c r="I18" s="7">
        <v>3133234</v>
      </c>
      <c r="J18" s="13">
        <v>44077</v>
      </c>
      <c r="K18" s="14" t="s">
        <v>22</v>
      </c>
      <c r="L18" s="15" t="s">
        <v>23</v>
      </c>
      <c r="M18" s="15"/>
    </row>
    <row r="19" spans="2:13">
      <c r="B19" s="4">
        <v>17</v>
      </c>
      <c r="C19" s="5" t="s">
        <v>2</v>
      </c>
      <c r="D19" s="6"/>
      <c r="E19" s="7"/>
      <c r="F19" s="7"/>
      <c r="G19" s="7"/>
      <c r="H19" s="7"/>
      <c r="I19" s="7"/>
      <c r="J19" s="13">
        <v>44077</v>
      </c>
      <c r="K19" s="14" t="s">
        <v>22</v>
      </c>
      <c r="L19" s="15" t="s">
        <v>23</v>
      </c>
      <c r="M19" s="15"/>
    </row>
    <row r="20" spans="2:13">
      <c r="B20" s="4">
        <v>18</v>
      </c>
      <c r="C20" s="5" t="s">
        <v>2</v>
      </c>
      <c r="D20" s="6"/>
      <c r="E20" s="7"/>
      <c r="F20" s="7"/>
      <c r="G20" s="7"/>
      <c r="H20" s="7"/>
      <c r="I20" s="7"/>
      <c r="J20" s="13">
        <v>44077</v>
      </c>
      <c r="K20" s="14" t="s">
        <v>22</v>
      </c>
      <c r="L20" s="15" t="s">
        <v>23</v>
      </c>
      <c r="M20" s="15"/>
    </row>
    <row r="21" spans="2:13">
      <c r="B21" s="4">
        <v>19</v>
      </c>
      <c r="C21" s="5" t="s">
        <v>2</v>
      </c>
      <c r="D21" s="6" t="s">
        <v>18</v>
      </c>
      <c r="E21" s="7" t="s">
        <v>19</v>
      </c>
      <c r="F21" s="7" t="s">
        <v>24</v>
      </c>
      <c r="G21" s="7" t="s">
        <v>25</v>
      </c>
      <c r="H21" s="7">
        <v>60260</v>
      </c>
      <c r="I21" s="7">
        <v>433236</v>
      </c>
      <c r="J21" s="13">
        <v>44078</v>
      </c>
      <c r="K21" s="14" t="s">
        <v>22</v>
      </c>
      <c r="L21" s="15" t="s">
        <v>23</v>
      </c>
      <c r="M21" s="15"/>
    </row>
    <row r="22" spans="2:13">
      <c r="B22" s="4">
        <v>20</v>
      </c>
      <c r="C22" s="5" t="s">
        <v>2</v>
      </c>
      <c r="D22" s="6" t="s">
        <v>31</v>
      </c>
      <c r="E22" s="7" t="s">
        <v>32</v>
      </c>
      <c r="F22" s="7" t="s">
        <v>33</v>
      </c>
      <c r="G22" s="7" t="s">
        <v>34</v>
      </c>
      <c r="H22" s="7">
        <v>86282</v>
      </c>
      <c r="I22" s="7">
        <v>3133234</v>
      </c>
      <c r="J22" s="13">
        <v>44078</v>
      </c>
      <c r="K22" s="14" t="s">
        <v>22</v>
      </c>
      <c r="L22" s="15" t="s">
        <v>23</v>
      </c>
      <c r="M22" s="15"/>
    </row>
    <row r="23" spans="2:13">
      <c r="B23" s="4">
        <v>21</v>
      </c>
      <c r="C23" s="5" t="s">
        <v>2</v>
      </c>
      <c r="D23" s="6"/>
      <c r="E23" s="7"/>
      <c r="F23" s="7"/>
      <c r="G23" s="7"/>
      <c r="H23" s="7"/>
      <c r="I23" s="7"/>
      <c r="J23" s="13">
        <v>44078</v>
      </c>
      <c r="K23" s="14" t="s">
        <v>22</v>
      </c>
      <c r="L23" s="15" t="s">
        <v>23</v>
      </c>
      <c r="M23" s="15"/>
    </row>
    <row r="24" spans="2:13">
      <c r="B24" s="8">
        <v>22</v>
      </c>
      <c r="C24" s="9" t="s">
        <v>2</v>
      </c>
      <c r="D24" s="10"/>
      <c r="E24" s="10"/>
      <c r="F24" s="10"/>
      <c r="G24" s="10"/>
      <c r="H24" s="9"/>
      <c r="I24" s="9"/>
      <c r="J24" s="16">
        <v>44078</v>
      </c>
      <c r="K24" s="17" t="s">
        <v>22</v>
      </c>
      <c r="L24" s="18" t="s">
        <v>23</v>
      </c>
      <c r="M24" s="18"/>
    </row>
    <row r="25" spans="2:13"/>
  </sheetData>
  <sortState ref="B3:M221">
    <sortCondition ref="J3:J221"/>
    <sortCondition ref="K3:K221"/>
  </sortState>
  <conditionalFormatting sqref="D3:G3">
    <cfRule type="cellIs" dxfId="502" priority="222" operator="equal">
      <formula>"TRANSFER"</formula>
    </cfRule>
    <cfRule type="cellIs" dxfId="501" priority="221" operator="equal">
      <formula>"TERM"</formula>
    </cfRule>
    <cfRule type="cellIs" dxfId="500" priority="220" operator="equal">
      <formula>"REINSTATEMENT"</formula>
    </cfRule>
    <cfRule type="cellIs" dxfId="499" priority="219" operator="equal">
      <formula>"PROMOTED"</formula>
    </cfRule>
    <cfRule type="cellIs" dxfId="498" priority="218" operator="equal">
      <formula>"PENDING TERM"</formula>
    </cfRule>
    <cfRule type="cellIs" dxfId="497" priority="217" operator="equal">
      <formula>"LOA"</formula>
    </cfRule>
  </conditionalFormatting>
  <conditionalFormatting sqref="H3">
    <cfRule type="duplicateValues" dxfId="496" priority="214"/>
    <cfRule type="duplicateValues" dxfId="495" priority="212"/>
  </conditionalFormatting>
  <conditionalFormatting sqref="H3:I3">
    <cfRule type="cellIs" dxfId="494" priority="211" operator="equal">
      <formula>"TRANSFER"</formula>
    </cfRule>
    <cfRule type="cellIs" dxfId="493" priority="210" operator="equal">
      <formula>"TERM"</formula>
    </cfRule>
    <cfRule type="cellIs" dxfId="492" priority="209" operator="equal">
      <formula>"REINSTATEMENT"</formula>
    </cfRule>
    <cfRule type="cellIs" dxfId="491" priority="208" operator="equal">
      <formula>"PROMOTED"</formula>
    </cfRule>
    <cfRule type="cellIs" dxfId="490" priority="207" operator="equal">
      <formula>"PENDING TERM"</formula>
    </cfRule>
    <cfRule type="cellIs" dxfId="489" priority="206" operator="equal">
      <formula>"LOA"</formula>
    </cfRule>
  </conditionalFormatting>
  <conditionalFormatting sqref="I3">
    <cfRule type="duplicateValues" dxfId="488" priority="216"/>
    <cfRule type="duplicateValues" dxfId="487" priority="215"/>
    <cfRule type="duplicateValues" dxfId="486" priority="213"/>
  </conditionalFormatting>
  <conditionalFormatting sqref="D4:G4">
    <cfRule type="cellIs" dxfId="485" priority="205" operator="equal">
      <formula>"TRANSFER"</formula>
    </cfRule>
    <cfRule type="cellIs" dxfId="484" priority="204" operator="equal">
      <formula>"TERM"</formula>
    </cfRule>
    <cfRule type="cellIs" dxfId="483" priority="203" operator="equal">
      <formula>"REINSTATEMENT"</formula>
    </cfRule>
    <cfRule type="cellIs" dxfId="482" priority="202" operator="equal">
      <formula>"PROMOTED"</formula>
    </cfRule>
    <cfRule type="cellIs" dxfId="481" priority="201" operator="equal">
      <formula>"PENDING TERM"</formula>
    </cfRule>
    <cfRule type="cellIs" dxfId="480" priority="200" operator="equal">
      <formula>"LOA"</formula>
    </cfRule>
  </conditionalFormatting>
  <conditionalFormatting sqref="H4">
    <cfRule type="duplicateValues" dxfId="479" priority="197"/>
    <cfRule type="duplicateValues" dxfId="478" priority="195"/>
  </conditionalFormatting>
  <conditionalFormatting sqref="H4:I4">
    <cfRule type="cellIs" dxfId="477" priority="194" operator="equal">
      <formula>"TRANSFER"</formula>
    </cfRule>
    <cfRule type="cellIs" dxfId="476" priority="193" operator="equal">
      <formula>"TERM"</formula>
    </cfRule>
    <cfRule type="cellIs" dxfId="475" priority="192" operator="equal">
      <formula>"REINSTATEMENT"</formula>
    </cfRule>
    <cfRule type="cellIs" dxfId="474" priority="191" operator="equal">
      <formula>"PROMOTED"</formula>
    </cfRule>
    <cfRule type="cellIs" dxfId="473" priority="190" operator="equal">
      <formula>"PENDING TERM"</formula>
    </cfRule>
    <cfRule type="cellIs" dxfId="472" priority="189" operator="equal">
      <formula>"LOA"</formula>
    </cfRule>
  </conditionalFormatting>
  <conditionalFormatting sqref="I4">
    <cfRule type="duplicateValues" dxfId="471" priority="199"/>
    <cfRule type="duplicateValues" dxfId="470" priority="198"/>
    <cfRule type="duplicateValues" dxfId="469" priority="196"/>
  </conditionalFormatting>
  <conditionalFormatting sqref="D5:G5">
    <cfRule type="cellIs" dxfId="468" priority="87" operator="equal">
      <formula>"TRANSFER"</formula>
    </cfRule>
    <cfRule type="cellIs" dxfId="467" priority="86" operator="equal">
      <formula>"TERM"</formula>
    </cfRule>
    <cfRule type="cellIs" dxfId="466" priority="85" operator="equal">
      <formula>"REINSTATEMENT"</formula>
    </cfRule>
    <cfRule type="cellIs" dxfId="465" priority="84" operator="equal">
      <formula>"PROMOTED"</formula>
    </cfRule>
    <cfRule type="cellIs" dxfId="464" priority="83" operator="equal">
      <formula>"PENDING TERM"</formula>
    </cfRule>
    <cfRule type="cellIs" dxfId="463" priority="82" operator="equal">
      <formula>"LOA"</formula>
    </cfRule>
  </conditionalFormatting>
  <conditionalFormatting sqref="H5">
    <cfRule type="duplicateValues" dxfId="462" priority="79"/>
    <cfRule type="duplicateValues" dxfId="461" priority="77"/>
  </conditionalFormatting>
  <conditionalFormatting sqref="H5:I5">
    <cfRule type="cellIs" dxfId="460" priority="76" operator="equal">
      <formula>"TRANSFER"</formula>
    </cfRule>
    <cfRule type="cellIs" dxfId="459" priority="75" operator="equal">
      <formula>"TERM"</formula>
    </cfRule>
    <cfRule type="cellIs" dxfId="458" priority="74" operator="equal">
      <formula>"REINSTATEMENT"</formula>
    </cfRule>
    <cfRule type="cellIs" dxfId="457" priority="73" operator="equal">
      <formula>"PROMOTED"</formula>
    </cfRule>
    <cfRule type="cellIs" dxfId="456" priority="72" operator="equal">
      <formula>"PENDING TERM"</formula>
    </cfRule>
    <cfRule type="cellIs" dxfId="455" priority="71" operator="equal">
      <formula>"LOA"</formula>
    </cfRule>
  </conditionalFormatting>
  <conditionalFormatting sqref="I5">
    <cfRule type="duplicateValues" dxfId="454" priority="81"/>
    <cfRule type="duplicateValues" dxfId="453" priority="80"/>
    <cfRule type="duplicateValues" dxfId="452" priority="78"/>
  </conditionalFormatting>
  <conditionalFormatting sqref="D6:G23">
    <cfRule type="cellIs" dxfId="253" priority="12" operator="equal">
      <formula>"LOA"</formula>
    </cfRule>
    <cfRule type="cellIs" dxfId="254" priority="13" operator="equal">
      <formula>"PENDING TERM"</formula>
    </cfRule>
    <cfRule type="cellIs" dxfId="255" priority="14" operator="equal">
      <formula>"PROMOTED"</formula>
    </cfRule>
    <cfRule type="cellIs" dxfId="256" priority="15" operator="equal">
      <formula>"REINSTATEMENT"</formula>
    </cfRule>
    <cfRule type="cellIs" dxfId="257" priority="16" operator="equal">
      <formula>"TERM"</formula>
    </cfRule>
    <cfRule type="cellIs" dxfId="258" priority="17" operator="equal">
      <formula>"TRANSFER"</formula>
    </cfRule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Summary</vt:lpstr>
      <vt:lpstr>Recomendaciones</vt:lpstr>
    </vt:vector>
  </TitlesOfParts>
  <Company>Teleperformance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Zelarayan</dc:creator>
  <cp:lastModifiedBy>Juan Arias</cp:lastModifiedBy>
  <dcterms:created xsi:type="dcterms:W3CDTF">2013-03-26T17:23:00Z</dcterms:created>
  <dcterms:modified xsi:type="dcterms:W3CDTF">2020-08-31T20:47:49Z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3082-10.2.0.7646</vt:lpwstr>
  </property>
</Properties>
</file>