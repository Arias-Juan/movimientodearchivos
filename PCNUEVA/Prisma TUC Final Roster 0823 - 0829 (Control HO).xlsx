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19200" windowHeight="6735" tabRatio="842" activeTab="2"/>
  </bookViews>
  <sheets>
    <sheet name="Agents' Final Roster" sheetId="12" r:id="rId1"/>
    <sheet name="Break" sheetId="71" r:id="rId2"/>
    <sheet name="AHT PDA" sheetId="69" r:id="rId3"/>
    <sheet name="CMS" sheetId="37" r:id="rId4"/>
    <sheet name="Roster" sheetId="48" state="hidden" r:id="rId5"/>
    <sheet name="Bitacora" sheetId="45" r:id="rId6"/>
    <sheet name="Clean Desk" sheetId="55" r:id="rId7"/>
    <sheet name="ROSTER + Ext" sheetId="72" r:id="rId8"/>
    <sheet name="Monitoreos" sheetId="70" r:id="rId9"/>
    <sheet name="Monitoreos Base" sheetId="14" state="hidden" r:id="rId10"/>
    <sheet name="Couching" sheetId="15" r:id="rId11"/>
    <sheet name="AHT CMS CSV" sheetId="33" r:id="rId12"/>
    <sheet name="Metricas" sheetId="68" r:id="rId13"/>
  </sheets>
  <definedNames>
    <definedName name="_xlnm._FilterDatabase" localSheetId="0" hidden="1">'Agents'' Final Roster'!$A$1:$P$19</definedName>
    <definedName name="_xlnm._FilterDatabase" localSheetId="8" hidden="1">Monitoreos!$A$2:$C$9</definedName>
    <definedName name="_xlnm._FilterDatabase" localSheetId="9" hidden="1">'Monitoreos Base'!$A$2:$C$20</definedName>
    <definedName name="_xlnm._FilterDatabase" localSheetId="7" hidden="1">'ROSTER + Ext'!$A$1:$AM$329</definedName>
  </definedNames>
  <calcPr calcId="152511"/>
</workbook>
</file>

<file path=xl/calcChain.xml><?xml version="1.0" encoding="utf-8"?>
<calcChain xmlns="http://schemas.openxmlformats.org/spreadsheetml/2006/main">
  <c r="L35" i="70" l="1"/>
  <c r="K35" i="70"/>
  <c r="L11" i="70" l="1"/>
  <c r="K11" i="70"/>
  <c r="L71" i="70" l="1"/>
  <c r="K71" i="70"/>
  <c r="L48" i="70"/>
  <c r="K48" i="70"/>
  <c r="L24" i="70"/>
  <c r="K24" i="70"/>
  <c r="F13" i="15" l="1"/>
  <c r="F14" i="15"/>
  <c r="I13" i="69" l="1"/>
  <c r="F15" i="15" l="1"/>
  <c r="F3" i="15"/>
  <c r="F4" i="15"/>
  <c r="F5" i="15"/>
  <c r="F6" i="15"/>
  <c r="F7" i="15"/>
  <c r="F8" i="15"/>
  <c r="F9" i="15"/>
  <c r="F10" i="15"/>
  <c r="F11" i="15"/>
  <c r="F12" i="15"/>
  <c r="F2" i="15"/>
  <c r="L114" i="14" l="1"/>
  <c r="K114" i="14"/>
  <c r="L91" i="14"/>
  <c r="K91" i="14"/>
  <c r="L68" i="14"/>
  <c r="K68" i="14"/>
  <c r="L44" i="14"/>
  <c r="K44" i="14"/>
  <c r="L21" i="14"/>
  <c r="K21" i="14"/>
  <c r="C20" i="37" l="1"/>
  <c r="J21" i="12" l="1"/>
  <c r="K21" i="12" s="1"/>
</calcChain>
</file>

<file path=xl/sharedStrings.xml><?xml version="1.0" encoding="utf-8"?>
<sst xmlns="http://schemas.openxmlformats.org/spreadsheetml/2006/main" count="4422" uniqueCount="1038">
  <si>
    <t>Supervisor</t>
  </si>
  <si>
    <t>Last Name</t>
  </si>
  <si>
    <t>First Name</t>
  </si>
  <si>
    <t>ACDID</t>
  </si>
  <si>
    <t>CCMSID</t>
  </si>
  <si>
    <t>Secondary Skill</t>
  </si>
  <si>
    <t>Legajo</t>
  </si>
  <si>
    <t>Agent´s Payroll Number</t>
  </si>
  <si>
    <t>Total</t>
  </si>
  <si>
    <t>User #1</t>
  </si>
  <si>
    <t>Arias Juan José</t>
  </si>
  <si>
    <t>Brandan Ernesto Alejandro</t>
  </si>
  <si>
    <t>Corbera Susana Sofía</t>
  </si>
  <si>
    <t>Diaz Jesica Luciana</t>
  </si>
  <si>
    <t>Podazza Villagra Daniel Matias</t>
  </si>
  <si>
    <t>Esquivel Pavan Pamela Sol</t>
  </si>
  <si>
    <t>Gerez Andrea Soledad</t>
  </si>
  <si>
    <t>Alvarez</t>
  </si>
  <si>
    <t xml:space="preserve">Alejandra Liliana </t>
  </si>
  <si>
    <t>15:00 - 21:00</t>
  </si>
  <si>
    <t>Lucas Gabriel</t>
  </si>
  <si>
    <t>15:00 - 20:00</t>
  </si>
  <si>
    <t>Alvarez Maziad</t>
  </si>
  <si>
    <t>Monica Carolina</t>
  </si>
  <si>
    <t>Azubel</t>
  </si>
  <si>
    <t xml:space="preserve">Solange </t>
  </si>
  <si>
    <t>CSV2</t>
  </si>
  <si>
    <t>Blanco Brandan</t>
  </si>
  <si>
    <t>Bianca Abigail</t>
  </si>
  <si>
    <t>Brito</t>
  </si>
  <si>
    <t>Jesus Exequiel</t>
  </si>
  <si>
    <t>Caamaño</t>
  </si>
  <si>
    <t>Emmanuel David</t>
  </si>
  <si>
    <t>Cáceres</t>
  </si>
  <si>
    <t>Jose Maximo</t>
  </si>
  <si>
    <t>Carabajal</t>
  </si>
  <si>
    <t>Priscila Daiana</t>
  </si>
  <si>
    <t>Corbera</t>
  </si>
  <si>
    <t>Elena Beatriz</t>
  </si>
  <si>
    <t>Diaz</t>
  </si>
  <si>
    <t>Fernando Gabriel</t>
  </si>
  <si>
    <t>Elias</t>
  </si>
  <si>
    <t>Mario Jorge</t>
  </si>
  <si>
    <t>Escobar</t>
  </si>
  <si>
    <t>Carolina del Valle</t>
  </si>
  <si>
    <t>Marcos Nahuel</t>
  </si>
  <si>
    <t>Garcia Jerez</t>
  </si>
  <si>
    <t xml:space="preserve">Matias Agustin </t>
  </si>
  <si>
    <t>Juarez</t>
  </si>
  <si>
    <t>Carlos Luciano</t>
  </si>
  <si>
    <t>Muratore</t>
  </si>
  <si>
    <t>Daiana Gabriela</t>
  </si>
  <si>
    <t>Pavone</t>
  </si>
  <si>
    <t>David Emanuel</t>
  </si>
  <si>
    <t>Prado</t>
  </si>
  <si>
    <t>Maria de los Angeles</t>
  </si>
  <si>
    <t>Rojas</t>
  </si>
  <si>
    <t>Maria Florencia</t>
  </si>
  <si>
    <t>Arias</t>
  </si>
  <si>
    <t>Daniela Beatriz</t>
  </si>
  <si>
    <t>Barros</t>
  </si>
  <si>
    <t>Juan Carlos</t>
  </si>
  <si>
    <t>Campos</t>
  </si>
  <si>
    <t>Rodrigo Federico</t>
  </si>
  <si>
    <t>Cuello</t>
  </si>
  <si>
    <t>Paula Mariana</t>
  </si>
  <si>
    <t>Delgado</t>
  </si>
  <si>
    <t>Maria Celeste</t>
  </si>
  <si>
    <t>Fernandez</t>
  </si>
  <si>
    <t xml:space="preserve">Carolina del Valle </t>
  </si>
  <si>
    <t>Jorge</t>
  </si>
  <si>
    <t>German Omar</t>
  </si>
  <si>
    <t xml:space="preserve">Loto </t>
  </si>
  <si>
    <t>Fernanda</t>
  </si>
  <si>
    <t>Mansilla</t>
  </si>
  <si>
    <t>Micaela Belen</t>
  </si>
  <si>
    <t>Martinez</t>
  </si>
  <si>
    <t>Lorena Macarena</t>
  </si>
  <si>
    <t>Morales</t>
  </si>
  <si>
    <t>Lucas Santiago</t>
  </si>
  <si>
    <t>Moreira</t>
  </si>
  <si>
    <t>Fernando Ezequiel</t>
  </si>
  <si>
    <t>Moreno</t>
  </si>
  <si>
    <t>Damaris</t>
  </si>
  <si>
    <t>Nuñez</t>
  </si>
  <si>
    <t>Roxana Marcela</t>
  </si>
  <si>
    <t>Rivadeneira</t>
  </si>
  <si>
    <t>Maira Belén</t>
  </si>
  <si>
    <t>Rotondo</t>
  </si>
  <si>
    <t>Eliana Romina</t>
  </si>
  <si>
    <t>Salas</t>
  </si>
  <si>
    <t>Romina Mercedes</t>
  </si>
  <si>
    <t>Sanchez</t>
  </si>
  <si>
    <t>Maria Victoria</t>
  </si>
  <si>
    <t>Santucho</t>
  </si>
  <si>
    <t>Ramon Eduardo</t>
  </si>
  <si>
    <t>Vidal</t>
  </si>
  <si>
    <t>Maria Elisa</t>
  </si>
  <si>
    <t>Alcorta</t>
  </si>
  <si>
    <t>Carla Andrea</t>
  </si>
  <si>
    <t>Argañaráz</t>
  </si>
  <si>
    <t>Luciano</t>
  </si>
  <si>
    <t>Bonadelli</t>
  </si>
  <si>
    <t>Angel Fabian</t>
  </si>
  <si>
    <t>Jessica Elizabeth</t>
  </si>
  <si>
    <t>Fernandez Lafuente</t>
  </si>
  <si>
    <t>Eliana</t>
  </si>
  <si>
    <t>Galarce</t>
  </si>
  <si>
    <t>Diego Jose</t>
  </si>
  <si>
    <t>Lopez</t>
  </si>
  <si>
    <t>Ana Valentina</t>
  </si>
  <si>
    <t>Ruth Micaela</t>
  </si>
  <si>
    <t>Pacheco</t>
  </si>
  <si>
    <t>Miguel Alfredo</t>
  </si>
  <si>
    <t>Palavecino</t>
  </si>
  <si>
    <t>Marta Erika del Valle</t>
  </si>
  <si>
    <t>Parrado Quiroga</t>
  </si>
  <si>
    <t>Gimena Marisol</t>
  </si>
  <si>
    <t>Ponce</t>
  </si>
  <si>
    <t>Lucia Emilia</t>
  </si>
  <si>
    <t>Reinoso Cisnero</t>
  </si>
  <si>
    <t>Gaspar</t>
  </si>
  <si>
    <t xml:space="preserve">Reyna </t>
  </si>
  <si>
    <t>Edith Macarena</t>
  </si>
  <si>
    <t>Rodriguez</t>
  </si>
  <si>
    <t xml:space="preserve">Maria Florencia </t>
  </si>
  <si>
    <t>Soria</t>
  </si>
  <si>
    <t>Agustín Said</t>
  </si>
  <si>
    <t>Teves</t>
  </si>
  <si>
    <t>Emiliano Gabriel</t>
  </si>
  <si>
    <t>Valverde</t>
  </si>
  <si>
    <t>Lourdes Oriana</t>
  </si>
  <si>
    <t>Vargas</t>
  </si>
  <si>
    <t>Ivan Xavier</t>
  </si>
  <si>
    <t>Agüero</t>
  </si>
  <si>
    <t>Maria Micaela</t>
  </si>
  <si>
    <t>Bazan</t>
  </si>
  <si>
    <t>Melina Soledad</t>
  </si>
  <si>
    <t>Cantos</t>
  </si>
  <si>
    <t xml:space="preserve">Horacio Nicolas </t>
  </si>
  <si>
    <t>Cisneros</t>
  </si>
  <si>
    <t>Roxana Natalia</t>
  </si>
  <si>
    <t>Solana Abigail</t>
  </si>
  <si>
    <t>Giolito</t>
  </si>
  <si>
    <t>Maira Elizabeth</t>
  </si>
  <si>
    <t>Gjugum</t>
  </si>
  <si>
    <t>Sofia Denise</t>
  </si>
  <si>
    <t>Gomez</t>
  </si>
  <si>
    <t>Maria Emilia</t>
  </si>
  <si>
    <t>Martinez Teseyra</t>
  </si>
  <si>
    <t>Mayra Belen</t>
  </si>
  <si>
    <t>Nasif</t>
  </si>
  <si>
    <t>Mara Belen</t>
  </si>
  <si>
    <t>Ochoa</t>
  </si>
  <si>
    <t>Florencia Belen</t>
  </si>
  <si>
    <t>Pachao Medina</t>
  </si>
  <si>
    <t>Romano</t>
  </si>
  <si>
    <t xml:space="preserve">Juan Pablo </t>
  </si>
  <si>
    <t>Ruiz</t>
  </si>
  <si>
    <t>Soto</t>
  </si>
  <si>
    <t>Fatima Belen</t>
  </si>
  <si>
    <t>Vellido</t>
  </si>
  <si>
    <t>Sergio Agustin</t>
  </si>
  <si>
    <t>Alcaraz</t>
  </si>
  <si>
    <t>Maria Gabriela</t>
  </si>
  <si>
    <t>Barros Fernandez</t>
  </si>
  <si>
    <t>Maria Luciana</t>
  </si>
  <si>
    <t>Blac Sleiman</t>
  </si>
  <si>
    <t>David Exequiel</t>
  </si>
  <si>
    <t>Daiana Melina</t>
  </si>
  <si>
    <t>Emeterio Toscano</t>
  </si>
  <si>
    <t>Anabela</t>
  </si>
  <si>
    <t xml:space="preserve">Felipe </t>
  </si>
  <si>
    <t>Erika Tamara</t>
  </si>
  <si>
    <t>Gonzalez</t>
  </si>
  <si>
    <t>Cristian Daniel Antonio</t>
  </si>
  <si>
    <t>Guevara</t>
  </si>
  <si>
    <t>Carlos Augusto</t>
  </si>
  <si>
    <t>Infante Marcello</t>
  </si>
  <si>
    <t>Christian Sebastian</t>
  </si>
  <si>
    <t xml:space="preserve">Isa Massa </t>
  </si>
  <si>
    <t>Leila Gabriela</t>
  </si>
  <si>
    <t>Jeréz</t>
  </si>
  <si>
    <t>Eliana Del Milagro</t>
  </si>
  <si>
    <t>Luna</t>
  </si>
  <si>
    <t>Veronica Alejandra</t>
  </si>
  <si>
    <t xml:space="preserve">Molina </t>
  </si>
  <si>
    <t>María Jimena</t>
  </si>
  <si>
    <t>Morales Casen</t>
  </si>
  <si>
    <t>Zaida Yamile</t>
  </si>
  <si>
    <t>Pavón</t>
  </si>
  <si>
    <t>Marcos Fidel</t>
  </si>
  <si>
    <t>Rossi</t>
  </si>
  <si>
    <t>Griselda Analia</t>
  </si>
  <si>
    <t>Melina del Carmen</t>
  </si>
  <si>
    <t>Serra</t>
  </si>
  <si>
    <t xml:space="preserve">Tamara </t>
  </si>
  <si>
    <t>Silva</t>
  </si>
  <si>
    <t>Franco Gabriel</t>
  </si>
  <si>
    <t>Suarez</t>
  </si>
  <si>
    <t>Matias Emanuel</t>
  </si>
  <si>
    <t>Trionfini</t>
  </si>
  <si>
    <t>Monica Luciana</t>
  </si>
  <si>
    <t>Maria Belen</t>
  </si>
  <si>
    <t>Almaraz</t>
  </si>
  <si>
    <t>Julio Cesar</t>
  </si>
  <si>
    <t>Alonso</t>
  </si>
  <si>
    <t>Facundo ismael</t>
  </si>
  <si>
    <t>Avellaneda</t>
  </si>
  <si>
    <t>Juan Jose</t>
  </si>
  <si>
    <t>Ayala</t>
  </si>
  <si>
    <t>Noelia Elizabeth</t>
  </si>
  <si>
    <t>Burgos</t>
  </si>
  <si>
    <t>Damaris Nahir</t>
  </si>
  <si>
    <t>Carmona</t>
  </si>
  <si>
    <t>Camila Belen</t>
  </si>
  <si>
    <t>Del Rio</t>
  </si>
  <si>
    <t>Virginia Natalia</t>
  </si>
  <si>
    <t>Alejandra Noemi</t>
  </si>
  <si>
    <t>Elizabeth de los Angeles</t>
  </si>
  <si>
    <t>Lescano</t>
  </si>
  <si>
    <t>Daiana Gissel</t>
  </si>
  <si>
    <t>Palladini</t>
  </si>
  <si>
    <t>Federico</t>
  </si>
  <si>
    <t>Romero</t>
  </si>
  <si>
    <t>Romina Ailen</t>
  </si>
  <si>
    <t>Acosta</t>
  </si>
  <si>
    <t>Joaquin Nicolas</t>
  </si>
  <si>
    <t>Aguero Peralta</t>
  </si>
  <si>
    <t>Edith Alejandra Mabel</t>
  </si>
  <si>
    <t>Ale</t>
  </si>
  <si>
    <t>Micaela Estefania</t>
  </si>
  <si>
    <t>Almada</t>
  </si>
  <si>
    <t>Nancy Alejandra</t>
  </si>
  <si>
    <t>Concha</t>
  </si>
  <si>
    <t>Maria de las Mercedes</t>
  </si>
  <si>
    <t>Del Valle</t>
  </si>
  <si>
    <t>Silvina</t>
  </si>
  <si>
    <t>Sofia Anahi</t>
  </si>
  <si>
    <t>Lugones Agüero</t>
  </si>
  <si>
    <t>Alejo Ezequiel</t>
  </si>
  <si>
    <t>Marín</t>
  </si>
  <si>
    <t>Melisa Betsabé</t>
  </si>
  <si>
    <t>Merlo</t>
  </si>
  <si>
    <t>Rocio Agustina</t>
  </si>
  <si>
    <t>Ocaranza</t>
  </si>
  <si>
    <t xml:space="preserve">Jonathan Franco </t>
  </si>
  <si>
    <t>Ricci</t>
  </si>
  <si>
    <t>Rocio del Valle</t>
  </si>
  <si>
    <t>Suarez Yapura</t>
  </si>
  <si>
    <t>Agostina</t>
  </si>
  <si>
    <t>Tula</t>
  </si>
  <si>
    <t>Luciana Belen</t>
  </si>
  <si>
    <t>Villa</t>
  </si>
  <si>
    <t>Luciana Pamela</t>
  </si>
  <si>
    <t>Vizgarra</t>
  </si>
  <si>
    <t>Valentina Ercilia</t>
  </si>
  <si>
    <t>Zottoli</t>
  </si>
  <si>
    <t>Gonzalo</t>
  </si>
  <si>
    <t>Alvaro Rodrigo</t>
  </si>
  <si>
    <t>Banegas</t>
  </si>
  <si>
    <t>Antonio Maximiliano</t>
  </si>
  <si>
    <t>Barrionuevo</t>
  </si>
  <si>
    <t>Natalia Elizabeth</t>
  </si>
  <si>
    <t>Boffa</t>
  </si>
  <si>
    <t>Maria de Los Angeles</t>
  </si>
  <si>
    <t>Bulacio Pereyra</t>
  </si>
  <si>
    <t>Leandro Emiliano</t>
  </si>
  <si>
    <t>Castro</t>
  </si>
  <si>
    <t xml:space="preserve">Diego Nicolas </t>
  </si>
  <si>
    <t>Ana Florencia</t>
  </si>
  <si>
    <t>Correa</t>
  </si>
  <si>
    <t>David Maximiliano</t>
  </si>
  <si>
    <t>Cortes Jozami</t>
  </si>
  <si>
    <t>Ana Sofia</t>
  </si>
  <si>
    <t>Guzman</t>
  </si>
  <si>
    <t>Nahuel Maximiliano</t>
  </si>
  <si>
    <t>Lazarte</t>
  </si>
  <si>
    <t>Carlos Enrique</t>
  </si>
  <si>
    <t xml:space="preserve">Lopez </t>
  </si>
  <si>
    <t xml:space="preserve">Rosa Mariana </t>
  </si>
  <si>
    <t>Maria De Los Angeles</t>
  </si>
  <si>
    <t>Malinar</t>
  </si>
  <si>
    <t>Lorena</t>
  </si>
  <si>
    <t>Navarro</t>
  </si>
  <si>
    <t>Florencia Yudith</t>
  </si>
  <si>
    <t>Milagro Belen</t>
  </si>
  <si>
    <t>Rodriguez Ciccio</t>
  </si>
  <si>
    <t>Nicolas Exequiel</t>
  </si>
  <si>
    <t xml:space="preserve"> Bautista Boloña</t>
  </si>
  <si>
    <t>Luciana Florencia</t>
  </si>
  <si>
    <t xml:space="preserve">Ignacio Matias </t>
  </si>
  <si>
    <t xml:space="preserve">Alarcon </t>
  </si>
  <si>
    <t>Yanet Micaela</t>
  </si>
  <si>
    <t>Albarracin</t>
  </si>
  <si>
    <t xml:space="preserve">Heber Wilson </t>
  </si>
  <si>
    <t>Chavarria Bevacqua</t>
  </si>
  <si>
    <t>Silvana Carolina</t>
  </si>
  <si>
    <t>Ciccarelli</t>
  </si>
  <si>
    <t>Marycel Rocio</t>
  </si>
  <si>
    <t>De la Rosa</t>
  </si>
  <si>
    <t>Solana</t>
  </si>
  <si>
    <t>Del Pino</t>
  </si>
  <si>
    <t>Agustin Alejandro</t>
  </si>
  <si>
    <t>Galindez</t>
  </si>
  <si>
    <t>Yuliana Lilia Denis</t>
  </si>
  <si>
    <t xml:space="preserve">Mariano Julian </t>
  </si>
  <si>
    <t>Karen Nicole</t>
  </si>
  <si>
    <t>Monteros</t>
  </si>
  <si>
    <t>Maximiliano Leopoldo</t>
  </si>
  <si>
    <t>Nieva del Rio</t>
  </si>
  <si>
    <t>Micaela Anabel</t>
  </si>
  <si>
    <t>Quiroga Castro</t>
  </si>
  <si>
    <t>Franco Nicolas</t>
  </si>
  <si>
    <t>Ruiz Barrionuevo</t>
  </si>
  <si>
    <t xml:space="preserve">Isabella Catalina </t>
  </si>
  <si>
    <t>Serrano</t>
  </si>
  <si>
    <t>Maria Catalina</t>
  </si>
  <si>
    <t>Valenzuela</t>
  </si>
  <si>
    <t>Gonzalo Rene</t>
  </si>
  <si>
    <t>Yapura</t>
  </si>
  <si>
    <t>Benito Javier</t>
  </si>
  <si>
    <t>Albornoz Perez</t>
  </si>
  <si>
    <t>Jose Ezequiel</t>
  </si>
  <si>
    <t>Bachur</t>
  </si>
  <si>
    <t>Karim</t>
  </si>
  <si>
    <t>Bravo</t>
  </si>
  <si>
    <t>Agustin Gonzalo</t>
  </si>
  <si>
    <t>Bustos</t>
  </si>
  <si>
    <t>Cecilia Leonor</t>
  </si>
  <si>
    <t>Caballero</t>
  </si>
  <si>
    <t>Matias Nahuel</t>
  </si>
  <si>
    <t>Casares</t>
  </si>
  <si>
    <t>Diego Jesus</t>
  </si>
  <si>
    <t>Castillo</t>
  </si>
  <si>
    <t xml:space="preserve">Angel Alberto </t>
  </si>
  <si>
    <t xml:space="preserve">Cipolla </t>
  </si>
  <si>
    <t>Naim</t>
  </si>
  <si>
    <t xml:space="preserve">Garcia </t>
  </si>
  <si>
    <t>Guillermo Eduardo</t>
  </si>
  <si>
    <t>Gómez</t>
  </si>
  <si>
    <t xml:space="preserve">Jonás </t>
  </si>
  <si>
    <t>Lafuente</t>
  </si>
  <si>
    <t>Facundo Edel</t>
  </si>
  <si>
    <t>Laitán Landro</t>
  </si>
  <si>
    <t>Gimena María</t>
  </si>
  <si>
    <t>Medina</t>
  </si>
  <si>
    <t>Leyla Maria</t>
  </si>
  <si>
    <t>Nunez</t>
  </si>
  <si>
    <t>Marcelo Nahuel</t>
  </si>
  <si>
    <t>Ortiz</t>
  </si>
  <si>
    <t>Silvina Gabriela</t>
  </si>
  <si>
    <t>Pockorny</t>
  </si>
  <si>
    <t>Tomás Agustín</t>
  </si>
  <si>
    <t>Marcos Jose</t>
  </si>
  <si>
    <t>Juan Jorge Augusto</t>
  </si>
  <si>
    <t>Villagra</t>
  </si>
  <si>
    <t xml:space="preserve">Daniela Alejandra </t>
  </si>
  <si>
    <t>Vitar</t>
  </si>
  <si>
    <t>Nuria Mariel</t>
  </si>
  <si>
    <t>Cintia Elena del Valle</t>
  </si>
  <si>
    <t>Carrasco Paiva</t>
  </si>
  <si>
    <t>Jhonny Daniel</t>
  </si>
  <si>
    <t>Décima</t>
  </si>
  <si>
    <t>Alejo Nicolas</t>
  </si>
  <si>
    <t>Mendez</t>
  </si>
  <si>
    <t>Maria Laura</t>
  </si>
  <si>
    <t>Guerra</t>
  </si>
  <si>
    <t>Carlos Martin</t>
  </si>
  <si>
    <t>Casella Lorca</t>
  </si>
  <si>
    <t>Gianfranco</t>
  </si>
  <si>
    <t>Paula</t>
  </si>
  <si>
    <t>Maria Jose</t>
  </si>
  <si>
    <t>Antenucci</t>
  </si>
  <si>
    <t>Aldana Belén</t>
  </si>
  <si>
    <t>González</t>
  </si>
  <si>
    <t>Enzo Javier</t>
  </si>
  <si>
    <t>Vizcarra</t>
  </si>
  <si>
    <t>Ayelén Magalí del Valle</t>
  </si>
  <si>
    <t>Dominguez</t>
  </si>
  <si>
    <t>Julian Ernesto</t>
  </si>
  <si>
    <t>Jerez</t>
  </si>
  <si>
    <t>Sevilla</t>
  </si>
  <si>
    <t>Lourdes Florencia</t>
  </si>
  <si>
    <t>Perez Aguirre</t>
  </si>
  <si>
    <t>Luis Alejandro</t>
  </si>
  <si>
    <t>89322 </t>
  </si>
  <si>
    <t>Rodriguez Paola Graciela</t>
  </si>
  <si>
    <t>Gregoratti Juan Carlos</t>
  </si>
  <si>
    <t>Vazquez Valladares Eduardo Alejandro</t>
  </si>
  <si>
    <t>Villa Aleman Alejandro Roberto</t>
  </si>
  <si>
    <t>Britos Fernando José</t>
  </si>
  <si>
    <t>WAHA</t>
  </si>
  <si>
    <t>SI</t>
  </si>
  <si>
    <t>PCRC</t>
  </si>
  <si>
    <t>HD</t>
  </si>
  <si>
    <t>SP</t>
  </si>
  <si>
    <t>CCMS</t>
  </si>
  <si>
    <t>Datos</t>
  </si>
  <si>
    <t>Observaciones</t>
  </si>
  <si>
    <t>Contacto</t>
  </si>
  <si>
    <t>Tarjeta</t>
  </si>
  <si>
    <t>Duracion</t>
  </si>
  <si>
    <t>Fecha</t>
  </si>
  <si>
    <t>Monitoreo Lunes</t>
  </si>
  <si>
    <t>Monitoreo Martes</t>
  </si>
  <si>
    <t>Monitoreo Miercoles</t>
  </si>
  <si>
    <t>Monitoreo Viernes</t>
  </si>
  <si>
    <t>VCTDICAS</t>
  </si>
  <si>
    <t>VCTCIYAP</t>
  </si>
  <si>
    <t>VCTJEBRI</t>
  </si>
  <si>
    <t xml:space="preserve">VCTPRCAR </t>
  </si>
  <si>
    <t xml:space="preserve">VCTCAJUA </t>
  </si>
  <si>
    <t xml:space="preserve">VCTMANUN </t>
  </si>
  <si>
    <t>VCTSIORT</t>
  </si>
  <si>
    <t>VCTDAPAV</t>
  </si>
  <si>
    <t>VCTTOPOC</t>
  </si>
  <si>
    <t xml:space="preserve">VCTMAROJ </t>
  </si>
  <si>
    <t xml:space="preserve">VCTLUBAU </t>
  </si>
  <si>
    <t>VCTELCOR</t>
  </si>
  <si>
    <t xml:space="preserve">VCTMAESC </t>
  </si>
  <si>
    <t>VCTDAMUR</t>
  </si>
  <si>
    <t>VCTFLOCH</t>
  </si>
  <si>
    <t>Monitoreo Jueves</t>
  </si>
  <si>
    <t>Apellido</t>
  </si>
  <si>
    <t>Nombre</t>
  </si>
  <si>
    <t>ID</t>
  </si>
  <si>
    <t>Claves telefonicas</t>
  </si>
  <si>
    <t>Juan José</t>
  </si>
  <si>
    <t>VCTJUARI</t>
  </si>
  <si>
    <t>Carrizo</t>
  </si>
  <si>
    <t>Ulises Joel</t>
  </si>
  <si>
    <t>Latina</t>
  </si>
  <si>
    <t>Walter Fabian</t>
  </si>
  <si>
    <t>Roibon Mesias</t>
  </si>
  <si>
    <t>Tomas</t>
  </si>
  <si>
    <t xml:space="preserve">Mendoza </t>
  </si>
  <si>
    <t>Norma Mercedes</t>
  </si>
  <si>
    <t>Moya</t>
  </si>
  <si>
    <t>Nadia Florencia</t>
  </si>
  <si>
    <t>María del Rosario</t>
  </si>
  <si>
    <t>Antoni</t>
  </si>
  <si>
    <t>Pablo Sebastian</t>
  </si>
  <si>
    <t>Héctor Gonzalo</t>
  </si>
  <si>
    <t>Cerdeira</t>
  </si>
  <si>
    <t>Rosana Valeria</t>
  </si>
  <si>
    <t>Dilodovico</t>
  </si>
  <si>
    <t>Patricia Isabel</t>
  </si>
  <si>
    <t>Fatima Noemi</t>
  </si>
  <si>
    <t>Leonela María del Valle</t>
  </si>
  <si>
    <t>Martinez Lorenzo</t>
  </si>
  <si>
    <t>Nayla Ayelen</t>
  </si>
  <si>
    <t>Grimaldi Agustina Sofía</t>
  </si>
  <si>
    <t>Ramallo Jose Emanuel</t>
  </si>
  <si>
    <t>Visuara</t>
  </si>
  <si>
    <t>Alberto Nicolas Emanuel</t>
  </si>
  <si>
    <t>Zerrizuela</t>
  </si>
  <si>
    <t>Mariana Agostina</t>
  </si>
  <si>
    <t>Olga Tamara</t>
  </si>
  <si>
    <t>Sánchez</t>
  </si>
  <si>
    <t>Pedro Alejandro</t>
  </si>
  <si>
    <t>Eric Emanuel</t>
  </si>
  <si>
    <t>Formoselle</t>
  </si>
  <si>
    <t>Ivana Veronica</t>
  </si>
  <si>
    <t>Coronel</t>
  </si>
  <si>
    <t>Artaza</t>
  </si>
  <si>
    <t>Quiroga</t>
  </si>
  <si>
    <t>Marianella Stefania</t>
  </si>
  <si>
    <t>Rocío Agustina</t>
  </si>
  <si>
    <t>Canseco</t>
  </si>
  <si>
    <t>Cejas</t>
  </si>
  <si>
    <t>Ignacio Martin</t>
  </si>
  <si>
    <t>Ferroni</t>
  </si>
  <si>
    <t>Carlos Agustin</t>
  </si>
  <si>
    <t>Torres</t>
  </si>
  <si>
    <t>Aragón</t>
  </si>
  <si>
    <t>López</t>
  </si>
  <si>
    <t>Ríos Yeser</t>
  </si>
  <si>
    <t>Pomo</t>
  </si>
  <si>
    <t>Figueroa</t>
  </si>
  <si>
    <t>Aranda María</t>
  </si>
  <si>
    <t>Perez Flores</t>
  </si>
  <si>
    <t>Leandro Nahuel</t>
  </si>
  <si>
    <t>Franco Daniel</t>
  </si>
  <si>
    <t>Luciano Matias</t>
  </si>
  <si>
    <t>Gamero Albornoz</t>
  </si>
  <si>
    <t>Romina</t>
  </si>
  <si>
    <t>Leandro Dario</t>
  </si>
  <si>
    <t>Monges</t>
  </si>
  <si>
    <t>Elina Teresa</t>
  </si>
  <si>
    <t>Porello</t>
  </si>
  <si>
    <t>Maria Belén</t>
  </si>
  <si>
    <t>Uncos</t>
  </si>
  <si>
    <t>Cristian Carlos</t>
  </si>
  <si>
    <t>Zamorano Ortiz</t>
  </si>
  <si>
    <t>Gabriel Martin</t>
  </si>
  <si>
    <t>Nicolás Alfredo</t>
  </si>
  <si>
    <t>Sosa</t>
  </si>
  <si>
    <t>Maria Lucia</t>
  </si>
  <si>
    <t>Alejandra Isabel</t>
  </si>
  <si>
    <t>AHT</t>
  </si>
  <si>
    <t>Totales</t>
  </si>
  <si>
    <t>ACW</t>
  </si>
  <si>
    <t>Llamadas</t>
  </si>
  <si>
    <t>ACD ID</t>
  </si>
  <si>
    <t>Pegar Abajo</t>
  </si>
  <si>
    <t>:00:00</t>
  </si>
  <si>
    <t>ACD</t>
  </si>
  <si>
    <t>CSV3</t>
  </si>
  <si>
    <t>ID Buscar</t>
  </si>
  <si>
    <t>CSV2/HD/ CSV3</t>
  </si>
  <si>
    <t>CSV2/HD</t>
  </si>
  <si>
    <t>CSV2/HD/CSV3</t>
  </si>
  <si>
    <t>CSV1 / CSV2</t>
  </si>
  <si>
    <t>CSV2/CSV3</t>
  </si>
  <si>
    <t>CSV1</t>
  </si>
  <si>
    <t>CSV2/ HD</t>
  </si>
  <si>
    <t>CSV1; servicions WEB; Compras Referidas</t>
  </si>
  <si>
    <t>DVH / Compras Referidas/ Servicios Web</t>
  </si>
  <si>
    <t>Contrera Mayra Lucia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</si>
  <si>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</si>
  <si>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</si>
  <si>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</si>
  <si>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</si>
  <si>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</si>
  <si>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</si>
  <si>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</si>
  <si>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</si>
  <si>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</si>
  <si>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Parraga</t>
  </si>
  <si>
    <t>Guillermo Nicolas</t>
  </si>
  <si>
    <t>Ramirez Zorrilla</t>
  </si>
  <si>
    <t>Maria Fernanda</t>
  </si>
  <si>
    <t>Rivas</t>
  </si>
  <si>
    <t>Yanina Del Valle</t>
  </si>
  <si>
    <t>Sanna</t>
  </si>
  <si>
    <t>Luis Fernando</t>
  </si>
  <si>
    <t>Alicia Veronica</t>
  </si>
  <si>
    <t>CSV2 / HD</t>
  </si>
  <si>
    <t>Criado Esteban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</si>
  <si>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</si>
  <si>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</si>
  <si>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</si>
  <si>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</si>
  <si>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</si>
  <si>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</si>
  <si>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</si>
  <si>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</si>
  <si>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</si>
  <si>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</si>
  <si>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</si>
  <si>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</si>
  <si>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María Celeste</t>
  </si>
  <si>
    <t>Juarez Fernandez</t>
  </si>
  <si>
    <t>Juan Gabriel</t>
  </si>
  <si>
    <t>Juri</t>
  </si>
  <si>
    <t>Aida Del Valle</t>
  </si>
  <si>
    <t>Leal Martinez</t>
  </si>
  <si>
    <t>Lizárraga</t>
  </si>
  <si>
    <t>Lucas Iván</t>
  </si>
  <si>
    <t>Paz</t>
  </si>
  <si>
    <t>Robles Marquez</t>
  </si>
  <si>
    <t>Emilse Nahir</t>
  </si>
  <si>
    <t>Daniel Antonio</t>
  </si>
  <si>
    <t>Salinas</t>
  </si>
  <si>
    <t>Mariana Josefina</t>
  </si>
  <si>
    <t>DVH / Compras Referidas / Servicios web / Formularios de contacto Débito/TLMK</t>
  </si>
  <si>
    <t>DVH – Compras referidas – Habilitaciones – Servicio Web – Clave PIN</t>
  </si>
  <si>
    <t>Palomino Juan Pablo</t>
  </si>
  <si>
    <t>Ana Elizabeth</t>
  </si>
  <si>
    <t>Ezquer Texeira</t>
  </si>
  <si>
    <t>Mariana del Rosario</t>
  </si>
  <si>
    <t>Garcia</t>
  </si>
  <si>
    <t>Francisco Antonio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</si>
  <si>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</si>
  <si>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</si>
  <si>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</si>
  <si>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</si>
  <si>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</si>
  <si>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</si>
  <si>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</si>
  <si>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</si>
  <si>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</si>
  <si>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 xml:space="preserve"> Rocío Agustina</t>
  </si>
  <si>
    <t xml:space="preserve"> Milagro Ileana Maribel</t>
  </si>
  <si>
    <t xml:space="preserve"> Lucila Celeste</t>
  </si>
  <si>
    <t xml:space="preserve"> José Benjamín</t>
  </si>
  <si>
    <t xml:space="preserve"> Matias Gonzalo</t>
  </si>
  <si>
    <t xml:space="preserve"> Pablo Mauricio</t>
  </si>
  <si>
    <t xml:space="preserve"> Daniel Nicolas</t>
  </si>
  <si>
    <t xml:space="preserve"> Marianella Stefania</t>
  </si>
  <si>
    <t xml:space="preserve"> María Florencia</t>
  </si>
  <si>
    <t>Caro</t>
  </si>
  <si>
    <t>Carolina Analia</t>
  </si>
  <si>
    <t>Chico</t>
  </si>
  <si>
    <t>Jessica Liliana</t>
  </si>
  <si>
    <t>DVH</t>
  </si>
  <si>
    <t>Auditoria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</si>
  <si>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</si>
  <si>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</si>
  <si>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Onsite</t>
  </si>
  <si>
    <t>Transfer</t>
  </si>
  <si>
    <t>Extension</t>
  </si>
  <si>
    <t>Usuario</t>
  </si>
  <si>
    <t>CCMS ID</t>
  </si>
  <si>
    <t>CSV3/HD</t>
  </si>
  <si>
    <t>VCTJOALB</t>
  </si>
  <si>
    <t>VCTROCIS</t>
  </si>
  <si>
    <t>VIP/HD</t>
  </si>
  <si>
    <t>VIP</t>
  </si>
  <si>
    <t>00000</t>
  </si>
  <si>
    <t>LOA</t>
  </si>
  <si>
    <t>VCTROALE</t>
  </si>
  <si>
    <t>VCTMAARA</t>
  </si>
  <si>
    <t>VCTIGCEJ</t>
  </si>
  <si>
    <t>VCTMAQUI</t>
  </si>
  <si>
    <t>Host/TS</t>
  </si>
  <si>
    <t>FB</t>
  </si>
  <si>
    <t>Capacitacion</t>
  </si>
  <si>
    <t>Llamadas atendidas</t>
  </si>
  <si>
    <t xml:space="preserve"> AHT STD</t>
  </si>
  <si>
    <t xml:space="preserve"> AHT Real</t>
  </si>
  <si>
    <t>% Cumplimiento AHT</t>
  </si>
  <si>
    <t>Corbera, Elena Beatriz</t>
  </si>
  <si>
    <t>Nunez, Marcelo Nahuel</t>
  </si>
  <si>
    <t>Casares, Diego Jesus</t>
  </si>
  <si>
    <t>Bautista Boloña, Luciana Florencia</t>
  </si>
  <si>
    <t>Cisneros, Roxana Natalia</t>
  </si>
  <si>
    <t>Ortiz, Silvina Gabriela</t>
  </si>
  <si>
    <t>Muratore, Daiana Gabriela</t>
  </si>
  <si>
    <t>Pockorny, Tomas Agustin</t>
  </si>
  <si>
    <t>Yapura, Cintia Elena Del Valle</t>
  </si>
  <si>
    <t>Carabajal, Priscila Daiana</t>
  </si>
  <si>
    <t>Escobar, Marcos Nahuel</t>
  </si>
  <si>
    <t>Juarez, Carlos Luciano</t>
  </si>
  <si>
    <t>Ale, Rocio Agustina</t>
  </si>
  <si>
    <t>Albornoz Perez, Jose Ezequiel</t>
  </si>
  <si>
    <t>Cejas, Ignacio Martin</t>
  </si>
  <si>
    <t>Compras Referidas</t>
  </si>
  <si>
    <t>Habilitaciones</t>
  </si>
  <si>
    <t>Help Desk</t>
  </si>
  <si>
    <t>Servicios Web</t>
  </si>
  <si>
    <t>Total general</t>
  </si>
  <si>
    <t>*S3_Carabajal Prisci</t>
  </si>
  <si>
    <t>*S3_Ortiz Silvina</t>
  </si>
  <si>
    <t>Operador</t>
  </si>
  <si>
    <t>Break</t>
  </si>
  <si>
    <t>Baño</t>
  </si>
  <si>
    <t>Devolucion</t>
  </si>
  <si>
    <t>HOLD</t>
  </si>
  <si>
    <t>AHT STD</t>
  </si>
  <si>
    <t>%Desvio Aht</t>
  </si>
  <si>
    <t>Quiroga, Marianella Stefania</t>
  </si>
  <si>
    <t>Q de Monitoreos</t>
  </si>
  <si>
    <t>Cisneros Roxana Natalia</t>
  </si>
  <si>
    <t>Muratore Daiana Gabriela</t>
  </si>
  <si>
    <t>Corbera Elena Beatriz</t>
  </si>
  <si>
    <t>Casares Diego Jesus</t>
  </si>
  <si>
    <t>Nunez Marcelo Nahuel</t>
  </si>
  <si>
    <t>Yapura Cintia Elena Del Valle</t>
  </si>
  <si>
    <t>Brito Jesus Exequiel</t>
  </si>
  <si>
    <t>Juarez Carlos Luciano</t>
  </si>
  <si>
    <t>Carabajal Priscila Daiana</t>
  </si>
  <si>
    <t>Bautista Boloña Luciana Florencia</t>
  </si>
  <si>
    <t>Ortiz Silvina Gabriela</t>
  </si>
  <si>
    <t>Cejas Ignacio Martin</t>
  </si>
  <si>
    <t>Ale Rocio Agustina</t>
  </si>
  <si>
    <t>Quiroga Marianella Stefania</t>
  </si>
  <si>
    <t>Escobar Marcos Nahuel</t>
  </si>
  <si>
    <t>Albornoz Perez Jose Ezequiel</t>
  </si>
  <si>
    <t>ACUMULADO AHT - AGOSTO</t>
  </si>
  <si>
    <t>ACUMULADO QA - AGOSTO</t>
  </si>
  <si>
    <t>Llamadas Atendidas</t>
  </si>
  <si>
    <t>AHT Real</t>
  </si>
  <si>
    <t>Nota Promedio</t>
  </si>
  <si>
    <t>Informas de manera correcta.</t>
  </si>
  <si>
    <t>Socio solicita habilitar su tarjeta de credito.</t>
  </si>
  <si>
    <t>Brito, Jesus Exequiel</t>
  </si>
  <si>
    <t>*VIP_Yapura Cintia E</t>
  </si>
  <si>
    <t>Fechas</t>
  </si>
  <si>
    <t>Cumplimiento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</si>
  <si>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</si>
  <si>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</si>
  <si>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</si>
  <si>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</si>
  <si>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</si>
  <si>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</si>
  <si>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</si>
  <si>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</si>
  <si>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</si>
  <si>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</si>
  <si>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</si>
  <si>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HOLD (Promedio)</t>
  </si>
  <si>
    <t>HOLD (Total)</t>
  </si>
  <si>
    <t>2020-08-19</t>
  </si>
  <si>
    <t>AHT W-1</t>
  </si>
  <si>
    <t>Objetivo al 27-ago</t>
  </si>
  <si>
    <t>%</t>
  </si>
  <si>
    <t>PDA</t>
  </si>
  <si>
    <t>SW</t>
  </si>
  <si>
    <t>LOB</t>
  </si>
  <si>
    <t>Se comenzo a trabajar mediante couching en los cuales se refuerzan dudas frecuentes y la correcta estructura de llamada, en especial el momento correcto de hacer IPE.</t>
  </si>
  <si>
    <t>Al ser nueva en el skill luego de capacitacion se trata mediante de couching de explicar procedimiento de manera limpia y correcta respetando su curva de aprendizaje.</t>
  </si>
  <si>
    <t>-</t>
  </si>
  <si>
    <t>Se explica mediante couching el procedimiento de la estructura basica de SW, se lleva estricto control al momento de atender debido a ausencias.</t>
  </si>
  <si>
    <t>Se comenzo a trabajar reforzando aun mas derivacion a VHS ya que la asesora presenta habilidades para inducir al socio a su uso y autogestion.</t>
  </si>
  <si>
    <t>Se trabajara con couching en los cuales reforzaremos las tipificaciones mas frecuentes y asi evitar que la llamada se extienda innecesariamente por conocimiento.</t>
  </si>
  <si>
    <t>Mediante couching control de uso ineficaz de hold debido a excesos innecesarios.</t>
  </si>
  <si>
    <t>2020-08-20</t>
  </si>
  <si>
    <t>2020-08-21</t>
  </si>
  <si>
    <t>:00:18</t>
  </si>
  <si>
    <t>Breck 1</t>
  </si>
  <si>
    <t>Break 2</t>
  </si>
  <si>
    <t>S2_Brito Jesus Exe</t>
  </si>
  <si>
    <t>:00:03</t>
  </si>
  <si>
    <t>21/08/2020 15:15:43</t>
  </si>
  <si>
    <t>00:00:39</t>
  </si>
  <si>
    <t>Socio consulta por una refinanciacion (Plan V) que no ingreso.</t>
  </si>
  <si>
    <t>Informacion: Debes informarle al socio que lo tansferiras antes de hacerlo.</t>
  </si>
  <si>
    <t>Recorda que es importante decirle al socio que sera transferido.</t>
  </si>
  <si>
    <t>21/08/2020 19:56:07</t>
  </si>
  <si>
    <t>00:01:03</t>
  </si>
  <si>
    <t>4304970013290118</t>
  </si>
  <si>
    <t>Informas de manera correcta debido a que la tarjeta se encuentran en 25 NC.</t>
  </si>
  <si>
    <t>Excelente Nati!</t>
  </si>
  <si>
    <t>21/08/2020 18:34:04</t>
  </si>
  <si>
    <t>00:03:39</t>
  </si>
  <si>
    <t>4546408005495963</t>
  </si>
  <si>
    <t>Socio consulta por un Plan V, como realizar para solicitar uno.</t>
  </si>
  <si>
    <t>Informas de manera correcta que debido a que no cuenta con disponible no podra realizar dicha solicitud.</t>
  </si>
  <si>
    <t>Bien Gaby, a pesar, de los incovenientes de conexión pudiste resolver dicha consulta.</t>
  </si>
  <si>
    <t>21/08/2020 19:14:25</t>
  </si>
  <si>
    <t>00:00:40</t>
  </si>
  <si>
    <t>Operador se contacta por un caso de cod de cuarta linea del banco provincia.</t>
  </si>
  <si>
    <t>Gestionas de manera correcta.</t>
  </si>
  <si>
    <t>Bien!!</t>
  </si>
  <si>
    <t>21/08/2020 20:03:32</t>
  </si>
  <si>
    <t>00:02:42</t>
  </si>
  <si>
    <t>Socio consulta por el estado de su tarjeta recargable y solicitar la clave pin-</t>
  </si>
  <si>
    <t>Informas de manera correcta y realizas la gestion de la clave</t>
  </si>
  <si>
    <t>Bien Luciano!</t>
  </si>
  <si>
    <t>21/08/2020 16:47:38</t>
  </si>
  <si>
    <t>00:05:00</t>
  </si>
  <si>
    <t>4338120000153636</t>
  </si>
  <si>
    <t>Socia quiere cancelar la refinanciacion del bcra.</t>
  </si>
  <si>
    <t>Excelente explicacion Cin.</t>
  </si>
  <si>
    <t>21/08/2020 18:13:49</t>
  </si>
  <si>
    <t>00:04:16</t>
  </si>
  <si>
    <t>Socio consulta por el estado de una reposicion de su tarjeta de credito.</t>
  </si>
  <si>
    <t>Informacion: Ante este tipo de consultas se debe derivar a Denuncias para corroborar la reposicion.</t>
  </si>
  <si>
    <t>Dai, ante reposiciones no generadas debemos derivar a Denuncias.</t>
  </si>
  <si>
    <t>21/08/2020 16:40:43</t>
  </si>
  <si>
    <t>Operadora se contacta por un caso de tarjeta sin consumos.</t>
  </si>
  <si>
    <t>Bien ahí!</t>
  </si>
  <si>
    <t>2020-08-24</t>
  </si>
  <si>
    <t>Pockorny Tomas Agustin</t>
  </si>
  <si>
    <t>ACM</t>
  </si>
  <si>
    <t>Extensión</t>
  </si>
  <si>
    <t>Graba?</t>
  </si>
  <si>
    <t>Campero Juarez Maria Guadalupe</t>
  </si>
  <si>
    <t>Si</t>
  </si>
  <si>
    <t>No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</si>
  <si>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</si>
  <si>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</si>
  <si>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</si>
  <si>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</si>
  <si>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</si>
  <si>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</si>
  <si>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</si>
  <si>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</si>
  <si>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</si>
  <si>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</si>
  <si>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</si>
  <si>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</si>
  <si>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</si>
  <si>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</si>
  <si>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</si>
  <si>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</si>
  <si>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</si>
  <si>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</si>
  <si>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</si>
  <si>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</si>
  <si>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</si>
  <si>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</si>
  <si>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</si>
  <si>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</si>
  <si>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</si>
  <si>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</si>
  <si>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</si>
  <si>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</si>
  <si>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</si>
  <si>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</si>
  <si>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</si>
  <si>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</si>
  <si>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</si>
  <si>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</si>
  <si>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</si>
  <si>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</si>
  <si>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</si>
  <si>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</si>
  <si>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</si>
  <si>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</si>
  <si>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</si>
  <si>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</si>
  <si>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</si>
  <si>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</si>
  <si>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</si>
  <si>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</si>
  <si>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</si>
  <si>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</si>
  <si>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</si>
  <si>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</si>
  <si>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</si>
  <si>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</si>
  <si>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</si>
  <si>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</si>
  <si>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</si>
  <si>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</si>
  <si>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</si>
  <si>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</si>
  <si>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</si>
  <si>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</si>
  <si>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</si>
  <si>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</si>
  <si>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</si>
  <si>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</si>
  <si>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</si>
  <si>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</si>
  <si>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</si>
  <si>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</si>
  <si>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</si>
  <si>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</si>
  <si>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</si>
  <si>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</si>
  <si>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</si>
  <si>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</si>
  <si>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</si>
  <si>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</si>
  <si>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</si>
  <si>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</si>
  <si>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</si>
  <si>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</si>
  <si>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</si>
  <si>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</si>
  <si>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</si>
  <si>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</si>
  <si>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</si>
  <si>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</si>
  <si>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</si>
  <si>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</si>
  <si>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</si>
  <si>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</si>
  <si>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</si>
  <si>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</si>
  <si>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</si>
  <si>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</si>
  <si>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</si>
  <si>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</si>
  <si>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</si>
  <si>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</si>
  <si>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</si>
  <si>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</si>
  <si>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</si>
  <si>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</si>
  <si>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</si>
  <si>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</si>
  <si>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</si>
  <si>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25/08/2020 17:12:20</t>
  </si>
  <si>
    <t>Socia solicita acceso a la pagina web de VHS ya que su clave se encuentra bloqueada.</t>
  </si>
  <si>
    <t>Informas de manera correcta a la socia.</t>
  </si>
  <si>
    <t>Excelente!</t>
  </si>
  <si>
    <t>03:20</t>
  </si>
  <si>
    <t>:43:33</t>
  </si>
  <si>
    <t>:11:55</t>
  </si>
  <si>
    <t>17:25 - 17:45</t>
  </si>
  <si>
    <t>VPN</t>
  </si>
  <si>
    <t>24/08/2020 15:41:11</t>
  </si>
  <si>
    <t>Operador consulta por el numero de derivacion interno de Clave Unica Telefonica.</t>
  </si>
  <si>
    <t>Informas de manera correcta el interno correspondiente.</t>
  </si>
  <si>
    <t>Bien Diego!!</t>
  </si>
  <si>
    <t>24/08/2020 18:00:56</t>
  </si>
  <si>
    <t>00:01:09</t>
  </si>
  <si>
    <t>Operadora consulta por un reinicio de IP por error de tipeo.</t>
  </si>
  <si>
    <t>Corroboras correctamente.</t>
  </si>
  <si>
    <t>Verificas de manera correcta.</t>
  </si>
  <si>
    <t>24/08/2020 20:15:19</t>
  </si>
  <si>
    <t>00:01:22</t>
  </si>
  <si>
    <t>Operadora se contacta por un caso de tarjetas sin consumos.</t>
  </si>
  <si>
    <t>24/08/2020 17:57:15</t>
  </si>
  <si>
    <t>00:03:01</t>
  </si>
  <si>
    <t>4546420024838925</t>
  </si>
  <si>
    <t>Socia se contacta para rrealizar una baja de una debito automatico.</t>
  </si>
  <si>
    <t>Agilidad: Exceso de mas de 1 minuto de hold sin anticipar al socio mayor tiempo de espera, de igual manera no era necesario utilizar dicho hold.</t>
  </si>
  <si>
    <t>Atento a este tipo de uso de hold.</t>
  </si>
  <si>
    <t>24/08/2020 18:14:55</t>
  </si>
  <si>
    <t>00:04:06</t>
  </si>
  <si>
    <t>4509948000246155</t>
  </si>
  <si>
    <t>Socio reclama un consumo que desconoce de su ultimo resumen.</t>
  </si>
  <si>
    <t>Luego de las verificaciones correspodientes, derivas de manera correcta al tratarse de un debito automatico.</t>
  </si>
  <si>
    <t>Bien Flor!!! :)</t>
  </si>
  <si>
    <t>24/08/2020 20:17:35</t>
  </si>
  <si>
    <t>Socio consulta por su disponible para realizar compras.</t>
  </si>
  <si>
    <t>Informas de manera correcta e informas que puede ser debido al saldo impago, pero de igual manera debe comunicarse con el banco.</t>
  </si>
  <si>
    <t>Excelente explicacion Nahuel.</t>
  </si>
  <si>
    <t>24/08/2020 16:21:43</t>
  </si>
  <si>
    <t>00:03:22</t>
  </si>
  <si>
    <t>Socia solicita ingresar a VHS para ver sus resumenes.</t>
  </si>
  <si>
    <t>4793760003021914</t>
  </si>
  <si>
    <t>Bien Marianella, fue agil, recorda que podes recordarle usar el asistente virtual Emilia para sus consultas consecuentes.</t>
  </si>
  <si>
    <t>2020-08-25</t>
  </si>
  <si>
    <t>:03:10</t>
  </si>
  <si>
    <t>Arias Juan Jose</t>
  </si>
  <si>
    <t>25 DE AGOSTO</t>
  </si>
  <si>
    <t>Enroque</t>
  </si>
  <si>
    <t>:02:53</t>
  </si>
  <si>
    <t>:00:11</t>
  </si>
  <si>
    <t>Objetivo al 28-ago</t>
  </si>
  <si>
    <t>25/08/2020 17:18:09</t>
  </si>
  <si>
    <t>00:00:46</t>
  </si>
  <si>
    <t>4546590912308486</t>
  </si>
  <si>
    <t>Socio solicita la baja de un Debito Automatico.</t>
  </si>
  <si>
    <t>Ofreces de manera correcta el uso de VHS</t>
  </si>
  <si>
    <t>25/08/2020 15:13:29</t>
  </si>
  <si>
    <t>00:01:12</t>
  </si>
  <si>
    <t>Informas de manera correcta que ya esta habilitada.</t>
  </si>
  <si>
    <t>25/08/2020 17:59:23</t>
  </si>
  <si>
    <t>Operador consulta por una tarjeta con leyenda Supera IPE Incorrectas a Resolver.</t>
  </si>
  <si>
    <t>Verificas mediante sondeo que se trata de una tarjeta Signature e informas correcta derivacion.</t>
  </si>
  <si>
    <t>25/08/2020 17:39:23</t>
  </si>
  <si>
    <t>00:00:30</t>
  </si>
  <si>
    <t>Operadora consulta por un movimiento para corroborar si es movimiento o consumo.</t>
  </si>
  <si>
    <t>25/08/2020 19:57:29</t>
  </si>
  <si>
    <t>00:00:52</t>
  </si>
  <si>
    <t>Operadora se contacta para informar un caso de tarjetas sin consumos.</t>
  </si>
  <si>
    <t>Corroboras y tomas el caso de manera correcta.</t>
  </si>
  <si>
    <t>S1_Cisneros Roxana</t>
  </si>
  <si>
    <t>:27:11</t>
  </si>
  <si>
    <t>:09:38</t>
  </si>
  <si>
    <t>:00:50</t>
  </si>
  <si>
    <t>:02:01</t>
  </si>
  <si>
    <t>S1_Albornoz P Jose E</t>
  </si>
  <si>
    <t>S1_Quiroga Marianell</t>
  </si>
  <si>
    <t>S1_Cejas Ignacio</t>
  </si>
  <si>
    <t>:00:12</t>
  </si>
  <si>
    <t>S1_Ale Rocio Agustin</t>
  </si>
  <si>
    <t>:30:01</t>
  </si>
  <si>
    <t>:06:12</t>
  </si>
  <si>
    <t>:00:26</t>
  </si>
  <si>
    <t>:30:55</t>
  </si>
  <si>
    <t>*S3_Pockorny Tomas</t>
  </si>
  <si>
    <t>*VIP_Nuñez Marcelo</t>
  </si>
  <si>
    <t>*VIP_Casares Diego J</t>
  </si>
  <si>
    <t>*S3_Escobar Marcos</t>
  </si>
  <si>
    <t>*S3_Brito Jesus Exe</t>
  </si>
  <si>
    <t>:09:00</t>
  </si>
  <si>
    <t>:00:21</t>
  </si>
  <si>
    <t>:05:56</t>
  </si>
  <si>
    <t>26/08/2020 11:03:25</t>
  </si>
  <si>
    <t>00:00:58</t>
  </si>
  <si>
    <t>Socio consulta por la generacion de su Clave Pin</t>
  </si>
  <si>
    <t>Informas de manera correcta que debe gestionarla por medio de VHS.</t>
  </si>
  <si>
    <t>26/08/2020 15:54:31</t>
  </si>
  <si>
    <t>00:01:23</t>
  </si>
  <si>
    <t>4941730009772589</t>
  </si>
  <si>
    <t>Socio consulta por los gastos que posee la tarjeta.</t>
  </si>
  <si>
    <t>Indicas de manera correcta que la tarjeta se encuentra inhibida por decision bancaria.</t>
  </si>
  <si>
    <t>26/08/2020 20:25:13</t>
  </si>
  <si>
    <t>00:03:20</t>
  </si>
  <si>
    <t>Socio consulta por una compra que realizo, si se trata de una compra en cuotas o en un solo pago.</t>
  </si>
  <si>
    <t>Informas de manera correcta que la compra en figura en cuotas.</t>
  </si>
  <si>
    <t>26/08/2020 20:35:44</t>
  </si>
  <si>
    <t>00:04:15</t>
  </si>
  <si>
    <t>4258210005589086</t>
  </si>
  <si>
    <t>Socio solicita su clave pin para realizar adelantos en efectivo.</t>
  </si>
  <si>
    <t>Procedes de manera correcta según la particularidad de IPE ante la pregunta de plan v.</t>
  </si>
  <si>
    <t>26/08/2020 18:50:46</t>
  </si>
  <si>
    <t>Operadora se contacta por una referida nivel VIP.</t>
  </si>
  <si>
    <t>Procedes de manera correcta.</t>
  </si>
  <si>
    <t>26/08/2020 18:51:38</t>
  </si>
  <si>
    <t>00:01:01</t>
  </si>
  <si>
    <t>Operador se contacta por una referida nivel VIP.</t>
  </si>
  <si>
    <t>26/08/2020 18:12:05</t>
  </si>
  <si>
    <t>00:02:12</t>
  </si>
  <si>
    <t>377790034290115</t>
  </si>
  <si>
    <t>Socio reclama un desconocimiento en su tarjeta de credito.</t>
  </si>
  <si>
    <t>Derivas de manera correcta ya que se trata de un DA.</t>
  </si>
  <si>
    <t>26/08/2020 18:27:50</t>
  </si>
  <si>
    <t>00:09:10</t>
  </si>
  <si>
    <t>4555998001355466</t>
  </si>
  <si>
    <t>Explicas de manera correcta y el socio reconoce los consumos. // Explicas de manera correcta la financiacion realizada que posee en su cuenta.</t>
  </si>
  <si>
    <t xml:space="preserve"> 6:29:32</t>
  </si>
  <si>
    <t>:58:16</t>
  </si>
  <si>
    <t>:06:07</t>
  </si>
  <si>
    <t xml:space="preserve"> 7:01:06</t>
  </si>
  <si>
    <t>:03:50</t>
  </si>
  <si>
    <t>:29:25</t>
  </si>
  <si>
    <t>:04:55</t>
  </si>
  <si>
    <t>:02:19</t>
  </si>
  <si>
    <t>:30:07</t>
  </si>
  <si>
    <t>:13:46</t>
  </si>
  <si>
    <t>:02:20</t>
  </si>
  <si>
    <t>:27:56</t>
  </si>
  <si>
    <t>:03:29</t>
  </si>
  <si>
    <t>:01:54</t>
  </si>
  <si>
    <t>:15:30</t>
  </si>
  <si>
    <t>:02:30</t>
  </si>
  <si>
    <t>:25:05</t>
  </si>
  <si>
    <t>:05:39</t>
  </si>
  <si>
    <t>:17:40</t>
  </si>
  <si>
    <t>:02:38</t>
  </si>
  <si>
    <t>:32:57</t>
  </si>
  <si>
    <t>:00:08</t>
  </si>
  <si>
    <t>:00:45</t>
  </si>
  <si>
    <t>:52:37</t>
  </si>
  <si>
    <t>:03:12</t>
  </si>
  <si>
    <t>:34:17</t>
  </si>
  <si>
    <t>:00:43</t>
  </si>
  <si>
    <t>:42:44</t>
  </si>
  <si>
    <t>:04:58</t>
  </si>
  <si>
    <t>:32:34</t>
  </si>
  <si>
    <t>:14:31</t>
  </si>
  <si>
    <t>:28:05</t>
  </si>
  <si>
    <t>:05:26</t>
  </si>
  <si>
    <t>:31:52</t>
  </si>
  <si>
    <t>:07:53</t>
  </si>
  <si>
    <t>:41:19</t>
  </si>
  <si>
    <t>:05:38</t>
  </si>
  <si>
    <t>:29:46</t>
  </si>
  <si>
    <t>:00:47</t>
  </si>
  <si>
    <t>:05:59</t>
  </si>
  <si>
    <t>:29:32</t>
  </si>
  <si>
    <t>:04:48</t>
  </si>
  <si>
    <t>:00:24</t>
  </si>
  <si>
    <t xml:space="preserve"> 1:02:19</t>
  </si>
  <si>
    <t>:06:43</t>
  </si>
  <si>
    <t>:28:34</t>
  </si>
  <si>
    <t xml:space="preserve"> 1:35:32</t>
  </si>
  <si>
    <t>:14:11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</si>
</sst>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"/>
    <numFmt numFmtId="165" formatCode="h:mm:ss;@"/>
    <numFmt numFmtId="166" formatCode="[$-F400]h:mm:ss\ AM/PM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rgb="FFFFA500"/>
      <name val="Calibri"/>
      <family val="2"/>
    </font>
    <font>
      <b/>
      <sz val="9"/>
      <color rgb="FFFF0000"/>
      <name val="Calibri"/>
      <family val="2"/>
    </font>
    <font>
      <b/>
      <sz val="9"/>
      <color rgb="FF2E8B57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FFFFFF"/>
      </right>
      <top/>
      <bottom/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7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" fillId="0" borderId="0">
      <alignment vertical="center"/>
    </xf>
    <xf numFmtId="0" fontId="13" fillId="0" borderId="0">
      <alignment vertical="center"/>
    </xf>
    <xf numFmtId="0" fontId="19" fillId="23" borderId="0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/>
  </cellStyleXfs>
  <cellXfs count="2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wrapText="1"/>
    </xf>
    <xf numFmtId="0" fontId="9" fillId="9" borderId="15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11" borderId="13" xfId="0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5" fillId="0" borderId="0" xfId="0" applyFont="1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5" fillId="0" borderId="11" xfId="0" applyFont="1" applyFill="1" applyBorder="1"/>
    <xf numFmtId="14" fontId="0" fillId="0" borderId="11" xfId="0" applyNumberFormat="1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46" fontId="0" fillId="0" borderId="11" xfId="0" applyNumberFormat="1" applyFill="1" applyBorder="1"/>
    <xf numFmtId="21" fontId="0" fillId="0" borderId="11" xfId="0" applyNumberFormat="1" applyFill="1" applyBorder="1" applyAlignment="1">
      <alignment horizontal="center"/>
    </xf>
    <xf numFmtId="21" fontId="0" fillId="0" borderId="11" xfId="0" applyNumberFormat="1" applyFill="1" applyBorder="1"/>
    <xf numFmtId="0" fontId="1" fillId="16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49" fontId="4" fillId="0" borderId="17" xfId="0" applyNumberFormat="1" applyFont="1" applyFill="1" applyBorder="1" applyAlignment="1">
      <alignment horizontal="left" vertical="center"/>
    </xf>
    <xf numFmtId="0" fontId="0" fillId="17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9" fillId="23" borderId="3" xfId="72" applyNumberFormat="1" applyBorder="1" applyAlignment="1">
      <alignment horizontal="center" vertical="center"/>
    </xf>
    <xf numFmtId="0" fontId="9" fillId="10" borderId="22" xfId="0" applyFont="1" applyFill="1" applyBorder="1" applyAlignment="1">
      <alignment horizontal="center" wrapText="1"/>
    </xf>
    <xf numFmtId="14" fontId="0" fillId="0" borderId="0" xfId="0" applyNumberFormat="1"/>
    <xf numFmtId="0" fontId="5" fillId="0" borderId="0" xfId="0" applyFont="1"/>
    <xf numFmtId="0" fontId="4" fillId="24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4" fillId="0" borderId="23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5" fillId="8" borderId="0" xfId="0" applyFont="1" applyFill="1" applyBorder="1" applyAlignment="1">
      <alignment horizontal="center"/>
    </xf>
    <xf numFmtId="0" fontId="4" fillId="25" borderId="3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1" fillId="26" borderId="24" xfId="0" applyFont="1" applyFill="1" applyBorder="1" applyAlignment="1">
      <alignment horizontal="center" vertical="center" wrapText="1"/>
    </xf>
    <xf numFmtId="0" fontId="11" fillId="27" borderId="0" xfId="0" applyFont="1" applyFill="1" applyAlignment="1">
      <alignment horizontal="left"/>
    </xf>
    <xf numFmtId="165" fontId="11" fillId="27" borderId="0" xfId="0" applyNumberFormat="1" applyFont="1" applyFill="1" applyAlignment="1">
      <alignment horizontal="center"/>
    </xf>
    <xf numFmtId="0" fontId="1" fillId="26" borderId="24" xfId="0" applyFont="1" applyFill="1" applyBorder="1" applyAlignment="1">
      <alignment horizontal="left" vertical="center"/>
    </xf>
    <xf numFmtId="21" fontId="14" fillId="0" borderId="20" xfId="0" applyNumberFormat="1" applyFont="1" applyBorder="1" applyAlignment="1">
      <alignment vertical="center" wrapText="1"/>
    </xf>
    <xf numFmtId="21" fontId="14" fillId="0" borderId="21" xfId="0" applyNumberFormat="1" applyFont="1" applyBorder="1" applyAlignment="1">
      <alignment vertical="center" wrapText="1"/>
    </xf>
    <xf numFmtId="21" fontId="15" fillId="20" borderId="20" xfId="0" applyNumberFormat="1" applyFont="1" applyFill="1" applyBorder="1" applyAlignment="1">
      <alignment vertical="center" wrapText="1"/>
    </xf>
    <xf numFmtId="21" fontId="15" fillId="20" borderId="21" xfId="0" applyNumberFormat="1" applyFont="1" applyFill="1" applyBorder="1" applyAlignment="1">
      <alignment vertical="center" wrapText="1"/>
    </xf>
    <xf numFmtId="21" fontId="16" fillId="21" borderId="20" xfId="0" applyNumberFormat="1" applyFont="1" applyFill="1" applyBorder="1" applyAlignment="1">
      <alignment vertical="center" wrapText="1"/>
    </xf>
    <xf numFmtId="21" fontId="16" fillId="21" borderId="21" xfId="0" applyNumberFormat="1" applyFont="1" applyFill="1" applyBorder="1" applyAlignment="1">
      <alignment vertical="center" wrapText="1"/>
    </xf>
    <xf numFmtId="21" fontId="17" fillId="20" borderId="20" xfId="0" applyNumberFormat="1" applyFont="1" applyFill="1" applyBorder="1" applyAlignment="1">
      <alignment vertical="center" wrapText="1"/>
    </xf>
    <xf numFmtId="21" fontId="17" fillId="20" borderId="21" xfId="0" applyNumberFormat="1" applyFont="1" applyFill="1" applyBorder="1" applyAlignment="1">
      <alignment vertical="center" wrapText="1"/>
    </xf>
    <xf numFmtId="21" fontId="18" fillId="22" borderId="20" xfId="0" applyNumberFormat="1" applyFont="1" applyFill="1" applyBorder="1" applyAlignment="1">
      <alignment vertical="center" wrapText="1"/>
    </xf>
    <xf numFmtId="21" fontId="18" fillId="22" borderId="21" xfId="0" applyNumberFormat="1" applyFont="1" applyFill="1" applyBorder="1" applyAlignment="1">
      <alignment vertical="center" wrapText="1"/>
    </xf>
    <xf numFmtId="0" fontId="23" fillId="26" borderId="25" xfId="0" applyFont="1" applyFill="1" applyBorder="1" applyAlignment="1">
      <alignment horizontal="center" wrapText="1"/>
    </xf>
    <xf numFmtId="0" fontId="24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1" fillId="28" borderId="26" xfId="0" applyFont="1" applyFill="1" applyBorder="1" applyAlignment="1">
      <alignment horizontal="left"/>
    </xf>
    <xf numFmtId="0" fontId="11" fillId="28" borderId="26" xfId="0" applyNumberFormat="1" applyFont="1" applyFill="1" applyBorder="1" applyAlignment="1">
      <alignment horizontal="center"/>
    </xf>
    <xf numFmtId="165" fontId="11" fillId="28" borderId="26" xfId="0" applyNumberFormat="1" applyFont="1" applyFill="1" applyBorder="1" applyAlignment="1">
      <alignment horizontal="center"/>
    </xf>
    <xf numFmtId="0" fontId="1" fillId="26" borderId="2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1" fillId="26" borderId="24" xfId="0" applyFont="1" applyFill="1" applyBorder="1"/>
    <xf numFmtId="0" fontId="1" fillId="26" borderId="24" xfId="0" applyFont="1" applyFill="1" applyBorder="1" applyAlignment="1">
      <alignment horizontal="center"/>
    </xf>
    <xf numFmtId="166" fontId="0" fillId="0" borderId="0" xfId="0" applyNumberFormat="1" applyFont="1" applyAlignment="1">
      <alignment horizontal="center"/>
    </xf>
    <xf numFmtId="166" fontId="11" fillId="28" borderId="26" xfId="0" applyNumberFormat="1" applyFont="1" applyFill="1" applyBorder="1" applyAlignment="1">
      <alignment horizontal="center"/>
    </xf>
    <xf numFmtId="0" fontId="1" fillId="26" borderId="0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0" fontId="11" fillId="28" borderId="26" xfId="0" applyNumberFormat="1" applyFont="1" applyFill="1" applyBorder="1" applyAlignment="1">
      <alignment horizontal="center"/>
    </xf>
    <xf numFmtId="20" fontId="0" fillId="19" borderId="0" xfId="0" applyNumberFormat="1" applyFill="1"/>
    <xf numFmtId="46" fontId="0" fillId="19" borderId="0" xfId="0" applyNumberFormat="1" applyFill="1"/>
    <xf numFmtId="20" fontId="0" fillId="30" borderId="0" xfId="0" applyNumberFormat="1" applyFill="1"/>
    <xf numFmtId="20" fontId="0" fillId="18" borderId="0" xfId="0" applyNumberFormat="1" applyFill="1"/>
    <xf numFmtId="20" fontId="0" fillId="0" borderId="0" xfId="0" applyNumberFormat="1"/>
    <xf numFmtId="167" fontId="0" fillId="0" borderId="0" xfId="74" applyNumberFormat="1" applyFont="1"/>
    <xf numFmtId="0" fontId="25" fillId="26" borderId="27" xfId="0" applyFont="1" applyFill="1" applyBorder="1" applyAlignment="1">
      <alignment horizontal="center" vertical="center" wrapText="1"/>
    </xf>
    <xf numFmtId="0" fontId="23" fillId="26" borderId="2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0" fillId="31" borderId="27" xfId="0" applyNumberFormat="1" applyFont="1" applyFill="1" applyBorder="1" applyAlignment="1">
      <alignment horizontal="center" vertical="center"/>
    </xf>
    <xf numFmtId="10" fontId="0" fillId="31" borderId="27" xfId="0" applyNumberFormat="1" applyFont="1" applyFill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/>
    </xf>
    <xf numFmtId="10" fontId="0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20" fontId="11" fillId="31" borderId="27" xfId="0" applyNumberFormat="1" applyFont="1" applyFill="1" applyBorder="1" applyAlignment="1">
      <alignment horizontal="center" vertical="center"/>
    </xf>
    <xf numFmtId="9" fontId="11" fillId="31" borderId="27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 wrapText="1"/>
    </xf>
    <xf numFmtId="165" fontId="0" fillId="32" borderId="27" xfId="0" applyNumberFormat="1" applyFont="1" applyFill="1" applyBorder="1" applyAlignment="1">
      <alignment horizontal="center" vertical="center"/>
    </xf>
    <xf numFmtId="10" fontId="0" fillId="32" borderId="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indent="1"/>
    </xf>
    <xf numFmtId="166" fontId="0" fillId="30" borderId="0" xfId="0" applyNumberFormat="1" applyFill="1" applyAlignment="1">
      <alignment horizontal="center"/>
    </xf>
    <xf numFmtId="10" fontId="0" fillId="18" borderId="0" xfId="0" applyNumberFormat="1" applyFont="1" applyFill="1" applyAlignment="1">
      <alignment horizontal="center"/>
    </xf>
    <xf numFmtId="165" fontId="0" fillId="18" borderId="0" xfId="0" applyNumberFormat="1" applyFont="1" applyFill="1" applyAlignment="1">
      <alignment horizontal="center"/>
    </xf>
    <xf numFmtId="20" fontId="0" fillId="30" borderId="0" xfId="0" applyNumberFormat="1" applyFill="1" applyAlignment="1">
      <alignment horizontal="right"/>
    </xf>
    <xf numFmtId="0" fontId="0" fillId="5" borderId="3" xfId="0" applyFill="1" applyBorder="1" applyAlignment="1">
      <alignment horizontal="center" vertical="center"/>
    </xf>
    <xf numFmtId="0" fontId="11" fillId="33" borderId="28" xfId="0" applyFont="1" applyFill="1" applyBorder="1"/>
    <xf numFmtId="0" fontId="11" fillId="33" borderId="29" xfId="0" applyFont="1" applyFill="1" applyBorder="1"/>
    <xf numFmtId="0" fontId="11" fillId="33" borderId="29" xfId="0" applyFont="1" applyFill="1" applyBorder="1" applyAlignment="1">
      <alignment horizontal="center"/>
    </xf>
    <xf numFmtId="20" fontId="11" fillId="0" borderId="29" xfId="0" applyNumberFormat="1" applyFont="1" applyBorder="1" applyAlignment="1">
      <alignment horizontal="center"/>
    </xf>
    <xf numFmtId="20" fontId="11" fillId="15" borderId="30" xfId="0" applyNumberFormat="1" applyFont="1" applyFill="1" applyBorder="1" applyAlignment="1">
      <alignment horizontal="center"/>
    </xf>
    <xf numFmtId="0" fontId="0" fillId="34" borderId="31" xfId="0" applyFill="1" applyBorder="1"/>
    <xf numFmtId="0" fontId="0" fillId="34" borderId="11" xfId="0" applyFill="1" applyBorder="1"/>
    <xf numFmtId="0" fontId="0" fillId="34" borderId="0" xfId="0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20" fontId="0" fillId="15" borderId="32" xfId="0" applyNumberFormat="1" applyFill="1" applyBorder="1" applyAlignment="1">
      <alignment horizontal="center"/>
    </xf>
    <xf numFmtId="0" fontId="0" fillId="0" borderId="31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34" borderId="11" xfId="0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 vertical="center"/>
    </xf>
    <xf numFmtId="21" fontId="0" fillId="0" borderId="0" xfId="0" quotePrefix="1" applyNumberFormat="1" applyAlignment="1">
      <alignment horizontal="center"/>
    </xf>
    <xf numFmtId="0" fontId="0" fillId="25" borderId="0" xfId="0" applyFont="1" applyFill="1" applyAlignment="1">
      <alignment horizontal="left"/>
    </xf>
    <xf numFmtId="46" fontId="0" fillId="30" borderId="0" xfId="0" applyNumberFormat="1" applyFill="1"/>
    <xf numFmtId="46" fontId="11" fillId="19" borderId="0" xfId="0" applyNumberFormat="1" applyFont="1" applyFill="1"/>
    <xf numFmtId="20" fontId="11" fillId="19" borderId="0" xfId="0" applyNumberFormat="1" applyFont="1" applyFill="1"/>
    <xf numFmtId="0" fontId="0" fillId="0" borderId="33" xfId="0" applyFont="1" applyBorder="1" applyAlignment="1">
      <alignment horizontal="left" indent="1"/>
    </xf>
    <xf numFmtId="9" fontId="0" fillId="0" borderId="34" xfId="0" applyNumberFormat="1" applyFont="1" applyBorder="1" applyAlignment="1">
      <alignment horizontal="center"/>
    </xf>
    <xf numFmtId="1" fontId="0" fillId="0" borderId="34" xfId="0" applyNumberFormat="1" applyFont="1" applyBorder="1" applyAlignment="1">
      <alignment horizontal="center"/>
    </xf>
    <xf numFmtId="9" fontId="11" fillId="27" borderId="34" xfId="0" applyNumberFormat="1" applyFont="1" applyFill="1" applyBorder="1" applyAlignment="1">
      <alignment horizontal="center"/>
    </xf>
    <xf numFmtId="1" fontId="11" fillId="27" borderId="34" xfId="0" applyNumberFormat="1" applyFont="1" applyFill="1" applyBorder="1" applyAlignment="1">
      <alignment horizontal="center"/>
    </xf>
    <xf numFmtId="0" fontId="1" fillId="2" borderId="35" xfId="69" applyFont="1" applyFill="1" applyBorder="1" applyAlignment="1">
      <alignment horizontal="center" vertical="center" wrapText="1"/>
    </xf>
    <xf numFmtId="0" fontId="1" fillId="2" borderId="1" xfId="69" applyFont="1" applyFill="1" applyBorder="1" applyAlignment="1">
      <alignment horizontal="center" vertical="center" wrapText="1"/>
    </xf>
    <xf numFmtId="0" fontId="1" fillId="2" borderId="5" xfId="69" applyFont="1" applyFill="1" applyBorder="1" applyAlignment="1">
      <alignment horizontal="center" vertical="center" wrapText="1"/>
    </xf>
    <xf numFmtId="0" fontId="26" fillId="35" borderId="11" xfId="69" applyFont="1" applyFill="1" applyBorder="1" applyAlignment="1">
      <alignment horizontal="center" vertical="center"/>
    </xf>
    <xf numFmtId="0" fontId="1" fillId="2" borderId="2" xfId="69" applyFont="1" applyFill="1" applyBorder="1" applyAlignment="1">
      <alignment horizontal="center" vertical="center" wrapText="1"/>
    </xf>
    <xf numFmtId="0" fontId="7" fillId="0" borderId="0" xfId="69"/>
    <xf numFmtId="0" fontId="4" fillId="4" borderId="36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/>
    </xf>
    <xf numFmtId="0" fontId="1" fillId="29" borderId="37" xfId="69" applyFont="1" applyFill="1" applyBorder="1" applyAlignment="1">
      <alignment horizontal="center" vertical="center"/>
    </xf>
    <xf numFmtId="0" fontId="2" fillId="12" borderId="11" xfId="69" applyFont="1" applyFill="1" applyBorder="1" applyAlignment="1">
      <alignment horizontal="center" vertical="center"/>
    </xf>
    <xf numFmtId="0" fontId="4" fillId="4" borderId="38" xfId="69" applyFont="1" applyFill="1" applyBorder="1" applyAlignment="1">
      <alignment horizontal="center" vertical="center"/>
    </xf>
    <xf numFmtId="0" fontId="4" fillId="4" borderId="17" xfId="69" applyNumberFormat="1" applyFont="1" applyFill="1" applyBorder="1" applyAlignment="1">
      <alignment horizontal="center" vertical="center"/>
    </xf>
    <xf numFmtId="0" fontId="4" fillId="4" borderId="37" xfId="69" applyFont="1" applyFill="1" applyBorder="1" applyAlignment="1">
      <alignment horizontal="center" vertical="center"/>
    </xf>
    <xf numFmtId="0" fontId="27" fillId="4" borderId="36" xfId="69" applyFont="1" applyFill="1" applyBorder="1" applyAlignment="1">
      <alignment horizontal="center" vertical="center"/>
    </xf>
    <xf numFmtId="0" fontId="27" fillId="4" borderId="17" xfId="69" applyFont="1" applyFill="1" applyBorder="1" applyAlignment="1">
      <alignment horizontal="center" vertical="center"/>
    </xf>
    <xf numFmtId="0" fontId="27" fillId="4" borderId="17" xfId="69" applyNumberFormat="1" applyFont="1" applyFill="1" applyBorder="1" applyAlignment="1">
      <alignment horizontal="center" vertical="center"/>
    </xf>
    <xf numFmtId="0" fontId="27" fillId="4" borderId="37" xfId="69" applyFont="1" applyFill="1" applyBorder="1" applyAlignment="1">
      <alignment horizontal="center" vertical="center"/>
    </xf>
    <xf numFmtId="0" fontId="28" fillId="12" borderId="11" xfId="69" applyFont="1" applyFill="1" applyBorder="1" applyAlignment="1">
      <alignment horizontal="center" vertical="center"/>
    </xf>
    <xf numFmtId="0" fontId="27" fillId="4" borderId="38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 wrapText="1"/>
    </xf>
    <xf numFmtId="0" fontId="4" fillId="5" borderId="36" xfId="69" applyFont="1" applyFill="1" applyBorder="1" applyAlignment="1">
      <alignment horizontal="center" vertical="center"/>
    </xf>
    <xf numFmtId="0" fontId="4" fillId="5" borderId="17" xfId="69" applyFont="1" applyFill="1" applyBorder="1" applyAlignment="1">
      <alignment horizontal="center" vertical="center"/>
    </xf>
    <xf numFmtId="0" fontId="7" fillId="36" borderId="0" xfId="69" applyFill="1"/>
    <xf numFmtId="0" fontId="1" fillId="36" borderId="37" xfId="69" applyFont="1" applyFill="1" applyBorder="1" applyAlignment="1">
      <alignment horizontal="center" vertical="center"/>
    </xf>
    <xf numFmtId="0" fontId="4" fillId="3" borderId="36" xfId="69" applyFont="1" applyFill="1" applyBorder="1" applyAlignment="1">
      <alignment horizontal="center" vertical="center"/>
    </xf>
    <xf numFmtId="0" fontId="4" fillId="3" borderId="17" xfId="69" applyFont="1" applyFill="1" applyBorder="1" applyAlignment="1">
      <alignment horizontal="center" vertical="center"/>
    </xf>
    <xf numFmtId="0" fontId="25" fillId="2" borderId="11" xfId="69" applyFont="1" applyFill="1" applyBorder="1" applyAlignment="1">
      <alignment horizontal="center" vertical="center" wrapText="1"/>
    </xf>
    <xf numFmtId="0" fontId="7" fillId="0" borderId="11" xfId="69" applyBorder="1"/>
    <xf numFmtId="0" fontId="2" fillId="0" borderId="0" xfId="69" applyFont="1" applyFill="1" applyBorder="1" applyAlignment="1"/>
    <xf numFmtId="0" fontId="2" fillId="0" borderId="0" xfId="69" applyFont="1" applyFill="1" applyAlignment="1">
      <alignment vertical="center"/>
    </xf>
    <xf numFmtId="0" fontId="2" fillId="15" borderId="11" xfId="69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" fontId="4" fillId="0" borderId="17" xfId="0" applyNumberFormat="1" applyFont="1" applyFill="1" applyBorder="1" applyAlignment="1">
      <alignment horizontal="center" vertical="center"/>
    </xf>
    <xf numFmtId="49" fontId="4" fillId="0" borderId="9" xfId="0" quotePrefix="1" applyNumberFormat="1" applyFont="1" applyFill="1" applyBorder="1" applyAlignment="1">
      <alignment horizontal="center" vertical="center"/>
    </xf>
    <xf numFmtId="46" fontId="0" fillId="4" borderId="0" xfId="0" applyNumberFormat="1" applyFill="1"/>
    <xf numFmtId="0" fontId="25" fillId="26" borderId="27" xfId="0" applyFont="1" applyFill="1" applyBorder="1" applyAlignment="1">
      <alignment horizontal="center" vertical="center" wrapText="1"/>
    </xf>
    <xf numFmtId="0" fontId="11" fillId="27" borderId="33" xfId="0" applyFont="1" applyFill="1" applyBorder="1" applyAlignment="1">
      <alignment horizontal="left"/>
    </xf>
    <xf numFmtId="165" fontId="0" fillId="37" borderId="27" xfId="0" applyNumberFormat="1" applyFont="1" applyFill="1" applyBorder="1" applyAlignment="1">
      <alignment horizontal="center" vertical="center"/>
    </xf>
    <xf numFmtId="10" fontId="0" fillId="37" borderId="27" xfId="0" applyNumberFormat="1" applyFont="1" applyFill="1" applyBorder="1" applyAlignment="1">
      <alignment horizontal="center" vertical="center"/>
    </xf>
    <xf numFmtId="0" fontId="4" fillId="0" borderId="39" xfId="0" quotePrefix="1" applyFont="1" applyFill="1" applyBorder="1" applyAlignment="1">
      <alignment horizontal="center" vertical="center"/>
    </xf>
    <xf numFmtId="16" fontId="25" fillId="26" borderId="40" xfId="0" applyNumberFormat="1" applyFont="1" applyFill="1" applyBorder="1" applyAlignment="1">
      <alignment horizontal="center" vertical="center" wrapText="1"/>
    </xf>
    <xf numFmtId="16" fontId="25" fillId="26" borderId="41" xfId="0" applyNumberFormat="1" applyFont="1" applyFill="1" applyBorder="1" applyAlignment="1">
      <alignment horizontal="center" vertical="center" wrapText="1"/>
    </xf>
    <xf numFmtId="16" fontId="25" fillId="26" borderId="27" xfId="0" applyNumberFormat="1" applyFont="1" applyFill="1" applyBorder="1" applyAlignment="1">
      <alignment horizontal="center" vertical="center" wrapText="1"/>
    </xf>
    <xf numFmtId="0" fontId="25" fillId="26" borderId="40" xfId="0" applyFont="1" applyFill="1" applyBorder="1" applyAlignment="1">
      <alignment horizontal="center" vertical="center" wrapText="1"/>
    </xf>
    <xf numFmtId="0" fontId="25" fillId="26" borderId="4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5" fillId="26" borderId="27" xfId="0" applyFont="1" applyFill="1" applyBorder="1" applyAlignment="1">
      <alignment horizontal="center" vertical="center" wrapText="1"/>
    </xf>
    <xf numFmtId="16" fontId="23" fillId="26" borderId="2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11" xfId="69" applyBorder="1" applyAlignment="1">
      <alignment horizontal="center"/>
    </xf>
    <xf numFmtId="0" fontId="25" fillId="2" borderId="11" xfId="69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9" xfId="0" quotePrefix="1" applyNumberFormat="1" applyFont="1" applyFill="1" applyBorder="1" applyAlignment="1">
      <alignment horizontal="center" vertical="center"/>
    </xf>
  </cellXfs>
  <cellStyles count="75">
    <cellStyle name="%" xfId="62"/>
    <cellStyle name="Buena" xfId="72" builtinId="26"/>
    <cellStyle name="Excel Built-in Normal" xfId="63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69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4"/>
    <cellStyle name="Normal 4" xfId="65"/>
    <cellStyle name="Normal 4 18" xfId="44"/>
    <cellStyle name="Normal 5" xfId="66"/>
    <cellStyle name="Normal 6" xfId="67"/>
    <cellStyle name="Normal 7" xfId="68"/>
    <cellStyle name="Normal 8" xfId="70"/>
    <cellStyle name="Normal 9" xfId="71"/>
    <cellStyle name="Normal 9 2" xfId="73"/>
    <cellStyle name="Porcentaje" xfId="74" builtinId="5"/>
  </cellStyles>
  <dxfs count="1035"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theme="0"/>
      </font>
      <fill>
        <patternFill>
          <bgColor rgb="FFC00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9" defaultPivotStyle="PivotStyleLight16"/>
  <colors>
    <mruColors>
      <color rgb="FFFFFFCC"/>
      <color rgb="FFFFFF99"/>
      <color rgb="FFFFBDBD"/>
      <color rgb="FFFF8B8B"/>
      <color rgb="FFFF7C80"/>
      <color rgb="FFFE7272"/>
      <color rgb="FFFF5B5B"/>
      <color rgb="FF28659C"/>
      <color rgb="FF3584CB"/>
      <color rgb="FF60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 macro="" textlink="">
      <xdr:nvSpPr>
        <xdr:cNvPr id="12295" name="AutoShape 7" descr="Expandir AHT CSV2"/>
        <xdr:cNvSpPr>
          <a:spLocks noChangeAspect="1" noChangeArrowheads="1"/>
        </xdr:cNvSpPr>
      </xdr:nvSpPr>
      <xdr:spPr bwMode="auto">
        <a:xfrm>
          <a:off x="1609725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12296" name="AutoShape 8" descr="Expandir AHT CSV3"/>
        <xdr:cNvSpPr>
          <a:spLocks noChangeAspect="1" noChangeArrowheads="1"/>
        </xdr:cNvSpPr>
      </xdr:nvSpPr>
      <xdr:spPr bwMode="auto">
        <a:xfrm>
          <a:off x="1609725" y="1774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 macro="" textlink="">
      <xdr:nvSpPr>
        <xdr:cNvPr id="12297" name="AutoShape 9" descr="Expandir AHT CSV2"/>
        <xdr:cNvSpPr>
          <a:spLocks noChangeAspect="1" noChangeArrowheads="1"/>
        </xdr:cNvSpPr>
      </xdr:nvSpPr>
      <xdr:spPr bwMode="auto">
        <a:xfrm>
          <a:off x="16097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 macro="" textlink="">
      <xdr:nvSpPr>
        <xdr:cNvPr id="12298" name="AutoShape 10" descr="Expandir AHT CSV3"/>
        <xdr:cNvSpPr>
          <a:spLocks noChangeAspect="1" noChangeArrowheads="1"/>
        </xdr:cNvSpPr>
      </xdr:nvSpPr>
      <xdr:spPr bwMode="auto">
        <a:xfrm>
          <a:off x="1609725" y="185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12299" name="AutoShape 11" descr="Expandir AHT CSV2"/>
        <xdr:cNvSpPr>
          <a:spLocks noChangeAspect="1" noChangeArrowheads="1"/>
        </xdr:cNvSpPr>
      </xdr:nvSpPr>
      <xdr:spPr bwMode="auto">
        <a:xfrm>
          <a:off x="1609725" y="189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 macro="" textlink="">
      <xdr:nvSpPr>
        <xdr:cNvPr id="12300" name="AutoShape 12" descr="Expandir AHT CSV3"/>
        <xdr:cNvSpPr>
          <a:spLocks noChangeAspect="1" noChangeArrowheads="1"/>
        </xdr:cNvSpPr>
      </xdr:nvSpPr>
      <xdr:spPr bwMode="auto">
        <a:xfrm>
          <a:off x="1609725" y="193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12301" name="AutoShape 13" descr="Expandir AHT CSV2"/>
        <xdr:cNvSpPr>
          <a:spLocks noChangeAspect="1" noChangeArrowheads="1"/>
        </xdr:cNvSpPr>
      </xdr:nvSpPr>
      <xdr:spPr bwMode="auto">
        <a:xfrm>
          <a:off x="1609725" y="200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 macro="" textlink="">
      <xdr:nvSpPr>
        <xdr:cNvPr id="12302" name="AutoShape 14" descr="Expandir AHT CSV3"/>
        <xdr:cNvSpPr>
          <a:spLocks noChangeAspect="1" noChangeArrowheads="1"/>
        </xdr:cNvSpPr>
      </xdr:nvSpPr>
      <xdr:spPr bwMode="auto">
        <a:xfrm>
          <a:off x="1609725" y="204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 macro="" textlink="">
      <xdr:nvSpPr>
        <xdr:cNvPr id="12303" name="AutoShape 15" descr="Expandir AHT CSV2"/>
        <xdr:cNvSpPr>
          <a:spLocks noChangeAspect="1" noChangeArrowheads="1"/>
        </xdr:cNvSpPr>
      </xdr:nvSpPr>
      <xdr:spPr bwMode="auto">
        <a:xfrm>
          <a:off x="1609725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12304" name="AutoShape 16" descr="Expandir AHT CSV3"/>
        <xdr:cNvSpPr>
          <a:spLocks noChangeAspect="1" noChangeArrowheads="1"/>
        </xdr:cNvSpPr>
      </xdr:nvSpPr>
      <xdr:spPr bwMode="auto">
        <a:xfrm>
          <a:off x="1609725" y="212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 macro="" textlink="">
      <xdr:nvSpPr>
        <xdr:cNvPr id="12305" name="AutoShape 17" descr="Expandir AHT CSV2"/>
        <xdr:cNvSpPr>
          <a:spLocks noChangeAspect="1" noChangeArrowheads="1"/>
        </xdr:cNvSpPr>
      </xdr:nvSpPr>
      <xdr:spPr bwMode="auto">
        <a:xfrm>
          <a:off x="1609725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 macro="" textlink="">
      <xdr:nvSpPr>
        <xdr:cNvPr id="12306" name="AutoShape 18" descr="Expandir AHT CSV3"/>
        <xdr:cNvSpPr>
          <a:spLocks noChangeAspect="1" noChangeArrowheads="1"/>
        </xdr:cNvSpPr>
      </xdr:nvSpPr>
      <xdr:spPr bwMode="auto">
        <a:xfrm>
          <a:off x="1609725" y="220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273"/>
  <sheetViews>
    <sheetView showGridLines="0" zoomScaleNormal="100" workbookViewId="0">
      <pane ySplit="1" topLeftCell="A2" activePane="bottomLeft" state="frozen"/>
      <selection pane="bottomLeft" sqref="A1:C1"/>
    </sheetView>
  </sheetViews>
  <sheetFormatPr baseColWidth="10" defaultColWidth="0" defaultRowHeight="15" zeroHeight="1" x14ac:dyDescent="0.25"/>
  <cols>
    <col min="1" max="1" width="23.5703125" style="4" customWidth="1"/>
    <col min="2" max="2" width="19.28515625" style="4" customWidth="1"/>
    <col min="3" max="3" width="19.7109375" style="4" customWidth="1"/>
    <col min="4" max="4" width="16.5703125" style="4" customWidth="1"/>
    <col min="5" max="7" width="15.85546875" style="4" customWidth="1"/>
    <col min="8" max="8" width="17.28515625" style="4" customWidth="1"/>
    <col min="9" max="9" width="12.28515625" style="4" customWidth="1"/>
    <col min="10" max="10" width="14.7109375" style="4" customWidth="1"/>
    <col min="11" max="13" width="12.28515625" style="4" customWidth="1"/>
    <col min="14" max="14" width="13.42578125" style="4" customWidth="1"/>
    <col min="15" max="47" width="0" style="4" hidden="1" customWidth="1"/>
    <col min="48" max="16384" width="9.140625" style="4" hidden="1"/>
  </cols>
  <sheetData>
    <row r="1" spans="1:14" customFormat="1" ht="30.75" customHeight="1" thickBot="1" x14ac:dyDescent="0.3">
      <c r="A1" s="1" t="s">
        <v>0</v>
      </c>
      <c r="B1" s="1" t="s">
        <v>1</v>
      </c>
      <c r="C1" s="1" t="s">
        <v>2</v>
      </c>
      <c r="D1" s="47">
        <v>44067</v>
      </c>
      <c r="E1" s="47">
        <v>44068</v>
      </c>
      <c r="F1" s="47">
        <v>44069</v>
      </c>
      <c r="G1" s="47">
        <v>44070</v>
      </c>
      <c r="H1" s="47">
        <v>44071</v>
      </c>
      <c r="I1" s="1" t="s">
        <v>3</v>
      </c>
      <c r="J1" s="1" t="s">
        <v>7</v>
      </c>
      <c r="K1" s="1" t="s">
        <v>4</v>
      </c>
      <c r="L1" s="1" t="s">
        <v>9</v>
      </c>
      <c r="M1" s="9" t="s">
        <v>394</v>
      </c>
      <c r="N1" s="2" t="s">
        <v>392</v>
      </c>
    </row>
    <row r="2" spans="1:14" x14ac:dyDescent="0.25">
      <c r="A2" s="45" t="s">
        <v>10</v>
      </c>
      <c r="B2" s="45" t="s">
        <v>332</v>
      </c>
      <c r="C2" s="45" t="s">
        <v>333</v>
      </c>
      <c r="D2" s="6" t="s">
        <v>19</v>
      </c>
      <c r="E2" s="6" t="s">
        <v>19</v>
      </c>
      <c r="F2" s="6" t="s">
        <v>19</v>
      </c>
      <c r="G2" s="6" t="s">
        <v>19</v>
      </c>
      <c r="H2" s="6" t="s">
        <v>19</v>
      </c>
      <c r="I2" s="45">
        <v>89061</v>
      </c>
      <c r="J2" s="45">
        <v>81099</v>
      </c>
      <c r="K2" s="45">
        <v>1880623</v>
      </c>
      <c r="L2" s="45" t="s">
        <v>408</v>
      </c>
      <c r="M2" s="61" t="s">
        <v>608</v>
      </c>
      <c r="N2" s="10" t="s">
        <v>393</v>
      </c>
    </row>
    <row r="3" spans="1:14" x14ac:dyDescent="0.25">
      <c r="A3" s="45" t="s">
        <v>10</v>
      </c>
      <c r="B3" s="45" t="s">
        <v>320</v>
      </c>
      <c r="C3" s="45" t="s">
        <v>360</v>
      </c>
      <c r="D3" s="6" t="s">
        <v>19</v>
      </c>
      <c r="E3" s="6" t="s">
        <v>19</v>
      </c>
      <c r="F3" s="6" t="s">
        <v>19</v>
      </c>
      <c r="G3" s="6" t="s">
        <v>19</v>
      </c>
      <c r="H3" s="6" t="s">
        <v>19</v>
      </c>
      <c r="I3" s="45">
        <v>89059</v>
      </c>
      <c r="J3" s="45">
        <v>85474</v>
      </c>
      <c r="K3" s="45">
        <v>2832262</v>
      </c>
      <c r="L3" s="45" t="s">
        <v>409</v>
      </c>
      <c r="M3" s="61" t="s">
        <v>608</v>
      </c>
      <c r="N3" s="10" t="s">
        <v>393</v>
      </c>
    </row>
    <row r="4" spans="1:14" x14ac:dyDescent="0.25">
      <c r="A4" s="45" t="s">
        <v>10</v>
      </c>
      <c r="B4" s="45" t="s">
        <v>48</v>
      </c>
      <c r="C4" s="45" t="s">
        <v>49</v>
      </c>
      <c r="D4" s="69" t="s">
        <v>618</v>
      </c>
      <c r="E4" s="69" t="s">
        <v>618</v>
      </c>
      <c r="F4" s="69" t="s">
        <v>618</v>
      </c>
      <c r="G4" s="69" t="s">
        <v>618</v>
      </c>
      <c r="H4" s="69" t="s">
        <v>618</v>
      </c>
      <c r="I4" s="45">
        <v>89125</v>
      </c>
      <c r="J4" s="45">
        <v>86141</v>
      </c>
      <c r="K4" s="45">
        <v>3118306</v>
      </c>
      <c r="L4" s="45" t="s">
        <v>412</v>
      </c>
      <c r="M4" s="60" t="s">
        <v>609</v>
      </c>
      <c r="N4" s="10" t="s">
        <v>393</v>
      </c>
    </row>
    <row r="5" spans="1:14" x14ac:dyDescent="0.25">
      <c r="A5" s="45" t="s">
        <v>10</v>
      </c>
      <c r="B5" s="45" t="s">
        <v>348</v>
      </c>
      <c r="C5" s="45" t="s">
        <v>349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45">
        <v>89164</v>
      </c>
      <c r="J5" s="45">
        <v>86296</v>
      </c>
      <c r="K5" s="45">
        <v>3133293</v>
      </c>
      <c r="L5" s="45" t="s">
        <v>413</v>
      </c>
      <c r="M5" s="60" t="s">
        <v>609</v>
      </c>
      <c r="N5" s="10" t="s">
        <v>393</v>
      </c>
    </row>
    <row r="6" spans="1:14" x14ac:dyDescent="0.25">
      <c r="A6" s="45" t="s">
        <v>10</v>
      </c>
      <c r="B6" s="70" t="s">
        <v>352</v>
      </c>
      <c r="C6" s="70" t="s">
        <v>353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45">
        <v>89024</v>
      </c>
      <c r="J6" s="45">
        <v>85621</v>
      </c>
      <c r="K6" s="45">
        <v>2873911</v>
      </c>
      <c r="L6" s="45" t="s">
        <v>416</v>
      </c>
      <c r="M6" s="60" t="s">
        <v>605</v>
      </c>
      <c r="N6" s="10" t="s">
        <v>393</v>
      </c>
    </row>
    <row r="7" spans="1:14" x14ac:dyDescent="0.25">
      <c r="A7" s="45" t="s">
        <v>10</v>
      </c>
      <c r="B7" s="70" t="s">
        <v>29</v>
      </c>
      <c r="C7" s="70" t="s">
        <v>30</v>
      </c>
      <c r="D7" s="69" t="s">
        <v>618</v>
      </c>
      <c r="E7" s="69" t="s">
        <v>618</v>
      </c>
      <c r="F7" s="69" t="s">
        <v>618</v>
      </c>
      <c r="G7" s="69" t="s">
        <v>618</v>
      </c>
      <c r="H7" s="69" t="s">
        <v>618</v>
      </c>
      <c r="I7" s="45">
        <v>89069</v>
      </c>
      <c r="J7" s="45">
        <v>82613</v>
      </c>
      <c r="K7" s="45">
        <v>2313015</v>
      </c>
      <c r="L7" s="45" t="s">
        <v>410</v>
      </c>
      <c r="M7" s="60" t="s">
        <v>508</v>
      </c>
      <c r="N7" s="10" t="s">
        <v>393</v>
      </c>
    </row>
    <row r="8" spans="1:14" x14ac:dyDescent="0.25">
      <c r="A8" s="45" t="s">
        <v>10</v>
      </c>
      <c r="B8" s="45" t="s">
        <v>35</v>
      </c>
      <c r="C8" s="45" t="s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45">
        <v>89118</v>
      </c>
      <c r="J8" s="45">
        <v>86145</v>
      </c>
      <c r="K8" s="45">
        <v>2358095</v>
      </c>
      <c r="L8" s="45" t="s">
        <v>411</v>
      </c>
      <c r="M8" s="60" t="s">
        <v>508</v>
      </c>
      <c r="N8" s="10" t="s">
        <v>393</v>
      </c>
    </row>
    <row r="9" spans="1:14" x14ac:dyDescent="0.25">
      <c r="A9" s="45" t="s">
        <v>10</v>
      </c>
      <c r="B9" s="45" t="s">
        <v>43</v>
      </c>
      <c r="C9" s="45" t="s">
        <v>45</v>
      </c>
      <c r="D9" s="69" t="s">
        <v>618</v>
      </c>
      <c r="E9" s="69" t="s">
        <v>618</v>
      </c>
      <c r="F9" s="69" t="s">
        <v>618</v>
      </c>
      <c r="G9" s="69" t="s">
        <v>618</v>
      </c>
      <c r="H9" s="69" t="s">
        <v>618</v>
      </c>
      <c r="I9" s="45">
        <v>89121</v>
      </c>
      <c r="J9" s="45">
        <v>86155</v>
      </c>
      <c r="K9" s="45">
        <v>2783079</v>
      </c>
      <c r="L9" s="45" t="s">
        <v>420</v>
      </c>
      <c r="M9" s="60" t="s">
        <v>508</v>
      </c>
      <c r="N9" s="10" t="s">
        <v>393</v>
      </c>
    </row>
    <row r="10" spans="1:14" x14ac:dyDescent="0.25">
      <c r="A10" s="45" t="s">
        <v>10</v>
      </c>
      <c r="B10" s="45" t="s">
        <v>350</v>
      </c>
      <c r="C10" s="45" t="s">
        <v>351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45">
        <v>89027</v>
      </c>
      <c r="J10" s="45">
        <v>85614</v>
      </c>
      <c r="K10" s="45">
        <v>2873639</v>
      </c>
      <c r="L10" s="45" t="s">
        <v>414</v>
      </c>
      <c r="M10" s="60" t="s">
        <v>508</v>
      </c>
      <c r="N10" s="10" t="s">
        <v>393</v>
      </c>
    </row>
    <row r="11" spans="1:14" x14ac:dyDescent="0.25">
      <c r="A11" s="45" t="s">
        <v>10</v>
      </c>
      <c r="B11" s="45" t="s">
        <v>289</v>
      </c>
      <c r="C11" s="45" t="s">
        <v>290</v>
      </c>
      <c r="D11" s="6" t="s">
        <v>19</v>
      </c>
      <c r="E11" s="6" t="s">
        <v>21</v>
      </c>
      <c r="F11" s="6" t="s">
        <v>21</v>
      </c>
      <c r="G11" s="6" t="s">
        <v>21</v>
      </c>
      <c r="H11" s="6" t="s">
        <v>21</v>
      </c>
      <c r="I11" s="70">
        <v>89206</v>
      </c>
      <c r="J11" s="45">
        <v>87043</v>
      </c>
      <c r="K11" s="45">
        <v>3409624</v>
      </c>
      <c r="L11" s="45" t="s">
        <v>418</v>
      </c>
      <c r="M11" s="12" t="s">
        <v>26</v>
      </c>
      <c r="N11" s="10" t="s">
        <v>393</v>
      </c>
    </row>
    <row r="12" spans="1:14" x14ac:dyDescent="0.25">
      <c r="A12" s="45" t="s">
        <v>10</v>
      </c>
      <c r="B12" s="70" t="s">
        <v>37</v>
      </c>
      <c r="C12" s="70" t="s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54">
        <v>89227</v>
      </c>
      <c r="J12" s="45">
        <v>87314</v>
      </c>
      <c r="K12" s="45">
        <v>3462518</v>
      </c>
      <c r="L12" s="45" t="s">
        <v>419</v>
      </c>
      <c r="M12" s="12" t="s">
        <v>26</v>
      </c>
      <c r="N12" s="10" t="s">
        <v>393</v>
      </c>
    </row>
    <row r="13" spans="1:14" x14ac:dyDescent="0.25">
      <c r="A13" s="45" t="s">
        <v>10</v>
      </c>
      <c r="B13" s="70" t="s">
        <v>50</v>
      </c>
      <c r="C13" s="70" t="s">
        <v>51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45">
        <v>89053</v>
      </c>
      <c r="J13" s="45">
        <v>82401</v>
      </c>
      <c r="K13" s="45">
        <v>1063468</v>
      </c>
      <c r="L13" s="45" t="s">
        <v>421</v>
      </c>
      <c r="M13" s="12" t="s">
        <v>26</v>
      </c>
      <c r="N13" s="10" t="s">
        <v>393</v>
      </c>
    </row>
    <row r="14" spans="1:14" x14ac:dyDescent="0.25">
      <c r="A14" s="63" t="s">
        <v>10</v>
      </c>
      <c r="B14" s="63" t="s">
        <v>322</v>
      </c>
      <c r="C14" s="63" t="s">
        <v>323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3">
        <v>648060</v>
      </c>
      <c r="J14" s="63">
        <v>88037</v>
      </c>
      <c r="K14" s="63">
        <v>3553112</v>
      </c>
      <c r="L14" s="71" t="s">
        <v>606</v>
      </c>
      <c r="M14" s="62" t="s">
        <v>515</v>
      </c>
      <c r="N14" s="10" t="s">
        <v>393</v>
      </c>
    </row>
    <row r="15" spans="1:14" x14ac:dyDescent="0.25">
      <c r="A15" s="63" t="s">
        <v>10</v>
      </c>
      <c r="B15" s="63" t="s">
        <v>230</v>
      </c>
      <c r="C15" s="63" t="s">
        <v>583</v>
      </c>
      <c r="D15" s="6" t="s">
        <v>21</v>
      </c>
      <c r="E15" s="6" t="s">
        <v>21</v>
      </c>
      <c r="F15" s="6" t="s">
        <v>21</v>
      </c>
      <c r="G15" s="6" t="s">
        <v>21</v>
      </c>
      <c r="H15" s="6" t="s">
        <v>21</v>
      </c>
      <c r="I15" s="66">
        <v>648302</v>
      </c>
      <c r="J15" s="66">
        <v>87695</v>
      </c>
      <c r="K15" s="66">
        <v>3526421</v>
      </c>
      <c r="L15" s="66" t="s">
        <v>612</v>
      </c>
      <c r="M15" s="62" t="s">
        <v>515</v>
      </c>
      <c r="N15" s="10" t="s">
        <v>393</v>
      </c>
    </row>
    <row r="16" spans="1:14" x14ac:dyDescent="0.25">
      <c r="A16" s="63" t="s">
        <v>10</v>
      </c>
      <c r="B16" s="63" t="s">
        <v>475</v>
      </c>
      <c r="C16" s="63" t="s">
        <v>67</v>
      </c>
      <c r="D16" s="132" t="s">
        <v>611</v>
      </c>
      <c r="E16" s="132" t="s">
        <v>611</v>
      </c>
      <c r="F16" s="132" t="s">
        <v>611</v>
      </c>
      <c r="G16" s="132" t="s">
        <v>611</v>
      </c>
      <c r="H16" s="132" t="s">
        <v>611</v>
      </c>
      <c r="I16" s="45">
        <v>648303</v>
      </c>
      <c r="J16" s="45">
        <v>87688</v>
      </c>
      <c r="K16" s="45">
        <v>1546296</v>
      </c>
      <c r="L16" s="45" t="s">
        <v>613</v>
      </c>
      <c r="M16" s="62" t="s">
        <v>515</v>
      </c>
      <c r="N16" s="10" t="s">
        <v>393</v>
      </c>
    </row>
    <row r="17" spans="1:14" x14ac:dyDescent="0.25">
      <c r="A17" s="63" t="s">
        <v>10</v>
      </c>
      <c r="B17" s="63" t="s">
        <v>470</v>
      </c>
      <c r="C17" s="63" t="s">
        <v>471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45">
        <v>648306</v>
      </c>
      <c r="J17" s="45">
        <v>87262</v>
      </c>
      <c r="K17" s="45">
        <v>2837797</v>
      </c>
      <c r="L17" s="45" t="s">
        <v>614</v>
      </c>
      <c r="M17" s="62" t="s">
        <v>515</v>
      </c>
      <c r="N17" s="10" t="s">
        <v>393</v>
      </c>
    </row>
    <row r="18" spans="1:14" x14ac:dyDescent="0.25">
      <c r="A18" s="63" t="s">
        <v>10</v>
      </c>
      <c r="B18" s="63" t="s">
        <v>140</v>
      </c>
      <c r="C18" s="63" t="s">
        <v>141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7">
        <v>89237</v>
      </c>
      <c r="J18" s="67">
        <v>87304</v>
      </c>
      <c r="K18" s="67">
        <v>3462502</v>
      </c>
      <c r="L18" s="67" t="s">
        <v>607</v>
      </c>
      <c r="M18" s="62" t="s">
        <v>515</v>
      </c>
      <c r="N18" s="10" t="s">
        <v>393</v>
      </c>
    </row>
    <row r="19" spans="1:14" x14ac:dyDescent="0.25">
      <c r="A19" s="63" t="s">
        <v>10</v>
      </c>
      <c r="B19" s="63" t="s">
        <v>466</v>
      </c>
      <c r="C19" s="63" t="s">
        <v>590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45">
        <v>648315</v>
      </c>
      <c r="J19" s="45">
        <v>87719</v>
      </c>
      <c r="K19" s="45">
        <v>3526375</v>
      </c>
      <c r="L19" s="45" t="s">
        <v>615</v>
      </c>
      <c r="M19" s="62" t="s">
        <v>515</v>
      </c>
      <c r="N19" s="10" t="s">
        <v>393</v>
      </c>
    </row>
    <row r="20" spans="1:14" ht="15.75" thickBot="1" x14ac:dyDescent="0.3">
      <c r="A20"/>
      <c r="B20"/>
      <c r="C20"/>
      <c r="D20" s="5"/>
      <c r="E20"/>
      <c r="F20"/>
      <c r="G20"/>
      <c r="H20"/>
      <c r="I20" s="5"/>
      <c r="J20"/>
      <c r="K20"/>
      <c r="L20"/>
      <c r="M20"/>
      <c r="N20"/>
    </row>
    <row r="21" spans="1:14" ht="15.75" thickBot="1" x14ac:dyDescent="0.3">
      <c r="A21" s="1" t="s">
        <v>3</v>
      </c>
      <c r="B21" s="1" t="s">
        <v>1</v>
      </c>
      <c r="C21" s="1" t="s">
        <v>2</v>
      </c>
      <c r="D21" s="47">
        <v>44067</v>
      </c>
      <c r="E21" s="47">
        <v>44068</v>
      </c>
      <c r="F21" s="47">
        <v>44069</v>
      </c>
      <c r="G21" s="47">
        <v>44070</v>
      </c>
      <c r="H21" s="47">
        <v>44071</v>
      </c>
      <c r="I21"/>
      <c r="J21" t="str">
        <f>", "</f>
        <v xml:space="preserve">, </v>
      </c>
      <c r="K21" t="str">
        <f>CONCATENATE(K2,J21,K3,J21,K4,J21,K5,J21,K6,J21,K7,J21,K8,J21,K9,J21,K10,J21,K11,J21,K12,J21,K13,J21,K14,J21,K15,J21,K16,J21,K17,J21,K18,J21)</f>
        <v xml:space="preserve">1880623, 2832262, 3118306, 3133293, 2873911, 2313015, 2358095, 2783079, 2873639, 3409624, 3462518, 1063468, 3553112, 3526421, 1546296, 2837797, 3462502, </v>
      </c>
      <c r="L21"/>
      <c r="M21"/>
      <c r="N21"/>
    </row>
    <row r="22" spans="1:14" x14ac:dyDescent="0.25">
      <c r="A22" s="6">
        <v>89061</v>
      </c>
      <c r="B22" s="6" t="s">
        <v>332</v>
      </c>
      <c r="C22" s="6" t="s">
        <v>333</v>
      </c>
      <c r="D22" s="25" t="s">
        <v>395</v>
      </c>
      <c r="E22" s="25" t="s">
        <v>395</v>
      </c>
      <c r="F22" s="25" t="s">
        <v>395</v>
      </c>
      <c r="G22" s="25" t="s">
        <v>395</v>
      </c>
      <c r="H22" s="25" t="s">
        <v>395</v>
      </c>
      <c r="I22"/>
      <c r="J22"/>
      <c r="K22"/>
      <c r="L22"/>
      <c r="M22"/>
      <c r="N22"/>
    </row>
    <row r="23" spans="1:14" x14ac:dyDescent="0.25">
      <c r="A23" s="6">
        <v>89007</v>
      </c>
      <c r="B23" s="6" t="s">
        <v>336</v>
      </c>
      <c r="C23" s="6" t="s">
        <v>337</v>
      </c>
      <c r="D23" s="25" t="s">
        <v>395</v>
      </c>
      <c r="E23" s="25" t="s">
        <v>395</v>
      </c>
      <c r="F23" s="25" t="s">
        <v>395</v>
      </c>
      <c r="G23" s="25" t="s">
        <v>395</v>
      </c>
      <c r="H23" s="25" t="s">
        <v>395</v>
      </c>
      <c r="I23"/>
      <c r="J23"/>
      <c r="K23"/>
      <c r="L23"/>
      <c r="M23"/>
      <c r="N23"/>
    </row>
    <row r="24" spans="1:14" x14ac:dyDescent="0.25">
      <c r="A24" s="6">
        <v>89059</v>
      </c>
      <c r="B24" s="6" t="s">
        <v>320</v>
      </c>
      <c r="C24" s="6" t="s">
        <v>360</v>
      </c>
      <c r="D24" s="25" t="s">
        <v>395</v>
      </c>
      <c r="E24" s="25" t="s">
        <v>395</v>
      </c>
      <c r="F24" s="25" t="s">
        <v>395</v>
      </c>
      <c r="G24" s="25" t="s">
        <v>395</v>
      </c>
      <c r="H24" s="25" t="s">
        <v>395</v>
      </c>
      <c r="I24"/>
      <c r="J24"/>
      <c r="K24"/>
      <c r="L24"/>
      <c r="M24"/>
      <c r="N24"/>
    </row>
    <row r="25" spans="1:14" x14ac:dyDescent="0.25">
      <c r="A25" s="45">
        <v>89024</v>
      </c>
      <c r="B25" s="45" t="s">
        <v>352</v>
      </c>
      <c r="C25" s="45" t="s">
        <v>353</v>
      </c>
      <c r="D25" s="68" t="s">
        <v>395</v>
      </c>
      <c r="E25" s="68" t="s">
        <v>395</v>
      </c>
      <c r="F25" s="68" t="s">
        <v>395</v>
      </c>
      <c r="G25" s="68" t="s">
        <v>395</v>
      </c>
      <c r="H25" s="68" t="s">
        <v>395</v>
      </c>
      <c r="J25"/>
      <c r="K25"/>
      <c r="L25"/>
      <c r="M25"/>
      <c r="N25"/>
    </row>
    <row r="26" spans="1:14" ht="15.75" hidden="1" thickBot="1" x14ac:dyDescent="0.3">
      <c r="A26" s="19" t="s">
        <v>58</v>
      </c>
      <c r="B26" s="20" t="s">
        <v>428</v>
      </c>
      <c r="C26" s="21">
        <v>84825</v>
      </c>
      <c r="D26" s="21">
        <v>89250</v>
      </c>
      <c r="E26" s="21" t="s">
        <v>429</v>
      </c>
      <c r="F26" s="21">
        <v>140970</v>
      </c>
      <c r="G26" s="19">
        <v>89714</v>
      </c>
      <c r="J26" s="14" t="s">
        <v>415</v>
      </c>
    </row>
    <row r="27" spans="1:14" hidden="1" x14ac:dyDescent="0.25">
      <c r="B27" s="6">
        <v>3118306</v>
      </c>
      <c r="J27" s="14" t="s">
        <v>416</v>
      </c>
    </row>
    <row r="28" spans="1:14" hidden="1" x14ac:dyDescent="0.25">
      <c r="B28" s="6">
        <v>3133293</v>
      </c>
      <c r="J28" s="14" t="s">
        <v>417</v>
      </c>
    </row>
    <row r="29" spans="1:14" hidden="1" x14ac:dyDescent="0.25">
      <c r="B29" s="6">
        <v>2873639</v>
      </c>
      <c r="J29" s="14" t="s">
        <v>418</v>
      </c>
    </row>
    <row r="30" spans="1:14" hidden="1" x14ac:dyDescent="0.25">
      <c r="B30" s="6">
        <v>2178550</v>
      </c>
      <c r="J30" s="14" t="s">
        <v>419</v>
      </c>
    </row>
    <row r="31" spans="1:14" hidden="1" x14ac:dyDescent="0.25">
      <c r="B31" s="6">
        <v>2873911</v>
      </c>
      <c r="J31" s="14" t="s">
        <v>420</v>
      </c>
    </row>
    <row r="32" spans="1:14" hidden="1" x14ac:dyDescent="0.25">
      <c r="B32" s="6">
        <v>3118304</v>
      </c>
      <c r="J32" s="15" t="s">
        <v>421</v>
      </c>
    </row>
    <row r="33" spans="1:11" hidden="1" x14ac:dyDescent="0.25">
      <c r="B33" s="6">
        <v>3462518</v>
      </c>
      <c r="J33" s="14" t="s">
        <v>422</v>
      </c>
    </row>
    <row r="34" spans="1:11" hidden="1" x14ac:dyDescent="0.25">
      <c r="B34" s="6">
        <v>2783079</v>
      </c>
    </row>
    <row r="35" spans="1:11" ht="15.75" thickBot="1" x14ac:dyDescent="0.3"/>
    <row r="36" spans="1:11" ht="15.75" thickBot="1" x14ac:dyDescent="0.3">
      <c r="A36" s="16" t="s">
        <v>424</v>
      </c>
      <c r="B36" s="17" t="s">
        <v>425</v>
      </c>
      <c r="C36" s="18" t="s">
        <v>6</v>
      </c>
      <c r="D36" s="18" t="s">
        <v>507</v>
      </c>
      <c r="E36" s="18" t="s">
        <v>604</v>
      </c>
      <c r="F36" s="18" t="s">
        <v>603</v>
      </c>
      <c r="G36" s="18" t="s">
        <v>427</v>
      </c>
      <c r="H36" s="57" t="s">
        <v>602</v>
      </c>
    </row>
    <row r="37" spans="1:11" ht="15.75" thickBot="1" x14ac:dyDescent="0.3">
      <c r="A37" s="19" t="s">
        <v>58</v>
      </c>
      <c r="B37" s="20" t="s">
        <v>428</v>
      </c>
      <c r="C37" s="21">
        <v>84825</v>
      </c>
      <c r="D37" s="21">
        <v>89250</v>
      </c>
      <c r="E37" s="21">
        <v>2770365</v>
      </c>
      <c r="F37" s="21" t="s">
        <v>429</v>
      </c>
      <c r="G37" s="21">
        <v>140970</v>
      </c>
      <c r="H37" s="19">
        <v>89714</v>
      </c>
    </row>
    <row r="38" spans="1:11" x14ac:dyDescent="0.25">
      <c r="A38"/>
      <c r="B38"/>
      <c r="C38"/>
      <c r="D38"/>
      <c r="E38"/>
      <c r="F38"/>
      <c r="G38"/>
    </row>
    <row r="39" spans="1:11" x14ac:dyDescent="0.25">
      <c r="A39"/>
      <c r="B39"/>
      <c r="C39"/>
      <c r="D39"/>
      <c r="E39"/>
      <c r="F39"/>
      <c r="G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customFormat="1" x14ac:dyDescent="0.25"/>
    <row r="42" spans="1:11" customFormat="1" x14ac:dyDescent="0.25"/>
    <row r="43" spans="1:11" customFormat="1" x14ac:dyDescent="0.25"/>
    <row r="44" spans="1:11" customFormat="1" x14ac:dyDescent="0.25"/>
    <row r="45" spans="1:11" customFormat="1" x14ac:dyDescent="0.25"/>
    <row r="46" spans="1:11" x14ac:dyDescent="0.25">
      <c r="A46"/>
      <c r="B46"/>
      <c r="C46"/>
      <c r="D46"/>
      <c r="E46"/>
    </row>
    <row r="47" spans="1:11" x14ac:dyDescent="0.25">
      <c r="A47"/>
      <c r="B47"/>
      <c r="C47"/>
      <c r="D47"/>
      <c r="E47"/>
    </row>
    <row r="48" spans="1:11" x14ac:dyDescent="0.25">
      <c r="A48"/>
      <c r="B48"/>
      <c r="C48"/>
      <c r="D48"/>
      <c r="E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</sheetData>
  <autoFilter ref="A1:P19">
    <sortState ref="A2:P19">
      <sortCondition ref="B1:B218"/>
    </sortState>
  </autoFilter>
  <sortState ref="A2:N19">
    <sortCondition descending="1" ref="M2:M19"/>
    <sortCondition ref="B2:B19"/>
  </sortState>
  <conditionalFormatting sqref="I20 D2:H15">
    <cfRule type="cellIs" dxfId="1030" priority="5829" operator="equal">
      <formula>"Pending Term"</formula>
    </cfRule>
  </conditionalFormatting>
  <conditionalFormatting sqref="I20 D2:H15">
    <cfRule type="cellIs" dxfId="1029" priority="5808" operator="equal">
      <formula>"off"</formula>
    </cfRule>
  </conditionalFormatting>
  <conditionalFormatting sqref="I20 D2:H15">
    <cfRule type="cellIs" dxfId="1028" priority="5807" operator="equal">
      <formula>"LOA"</formula>
    </cfRule>
  </conditionalFormatting>
  <conditionalFormatting sqref="I20 D20 D2:H15">
    <cfRule type="cellIs" dxfId="1027" priority="3947" operator="equal">
      <formula>"LOA"</formula>
    </cfRule>
    <cfRule type="cellIs" dxfId="1026" priority="3948" operator="equal">
      <formula>"PENDING TERM"</formula>
    </cfRule>
    <cfRule type="cellIs" dxfId="1025" priority="3949" operator="equal">
      <formula>"PROMOTED"</formula>
    </cfRule>
    <cfRule type="cellIs" dxfId="1024" priority="3950" operator="equal">
      <formula>"REINSTATEMENT"</formula>
    </cfRule>
    <cfRule type="cellIs" dxfId="1023" priority="3951" operator="equal">
      <formula>"TERM"</formula>
    </cfRule>
    <cfRule type="cellIs" dxfId="1022" priority="3952" operator="equal">
      <formula>"TRANSFER"</formula>
    </cfRule>
  </conditionalFormatting>
  <conditionalFormatting sqref="I20 D2:H15">
    <cfRule type="cellIs" dxfId="1021" priority="3953" operator="equal">
      <formula>"Approved Off"</formula>
    </cfRule>
    <cfRule type="cellIs" dxfId="1020" priority="3954" operator="equal">
      <formula>"LOA"</formula>
    </cfRule>
    <cfRule type="cellIs" dxfId="1019" priority="3955" operator="equal">
      <formula>"nesting"</formula>
    </cfRule>
    <cfRule type="cellIs" dxfId="1018" priority="3956" operator="equal">
      <formula>"off"</formula>
    </cfRule>
    <cfRule type="cellIs" dxfId="1017" priority="3957" operator="equal">
      <formula>"vac"</formula>
    </cfRule>
  </conditionalFormatting>
  <conditionalFormatting sqref="I20 D2:H15">
    <cfRule type="cellIs" dxfId="1016" priority="3934" operator="equal">
      <formula>"Study Day"</formula>
    </cfRule>
  </conditionalFormatting>
  <conditionalFormatting sqref="I20 D2:H15">
    <cfRule type="cellIs" dxfId="1015" priority="3933" operator="equal">
      <formula>"FER"</formula>
    </cfRule>
  </conditionalFormatting>
  <conditionalFormatting sqref="A22">
    <cfRule type="duplicateValues" dxfId="1014" priority="2978"/>
  </conditionalFormatting>
  <conditionalFormatting sqref="A23:A24">
    <cfRule type="duplicateValues" dxfId="1013" priority="2977"/>
  </conditionalFormatting>
  <conditionalFormatting sqref="B26:B27">
    <cfRule type="duplicateValues" dxfId="1012" priority="2199"/>
  </conditionalFormatting>
  <conditionalFormatting sqref="B28">
    <cfRule type="duplicateValues" dxfId="1011" priority="2198"/>
  </conditionalFormatting>
  <conditionalFormatting sqref="B29:B30">
    <cfRule type="duplicateValues" dxfId="1010" priority="2196"/>
  </conditionalFormatting>
  <conditionalFormatting sqref="B29:B30">
    <cfRule type="duplicateValues" dxfId="1009" priority="2197"/>
  </conditionalFormatting>
  <conditionalFormatting sqref="B30:B34">
    <cfRule type="cellIs" dxfId="1008" priority="2189" operator="equal">
      <formula>"LOA"</formula>
    </cfRule>
    <cfRule type="cellIs" dxfId="1007" priority="2190" operator="equal">
      <formula>"PENDING TERM"</formula>
    </cfRule>
    <cfRule type="cellIs" dxfId="1006" priority="2191" operator="equal">
      <formula>"PROMOTED"</formula>
    </cfRule>
    <cfRule type="cellIs" dxfId="1005" priority="2192" operator="equal">
      <formula>"REINSTATEMENT"</formula>
    </cfRule>
    <cfRule type="cellIs" dxfId="1004" priority="2193" operator="equal">
      <formula>"TERM"</formula>
    </cfRule>
    <cfRule type="cellIs" dxfId="1003" priority="2194" operator="equal">
      <formula>"TRANSFER"</formula>
    </cfRule>
  </conditionalFormatting>
  <conditionalFormatting sqref="B30">
    <cfRule type="duplicateValues" dxfId="1002" priority="2195"/>
  </conditionalFormatting>
  <conditionalFormatting sqref="B31:B34">
    <cfRule type="duplicateValues" dxfId="1001" priority="2188"/>
  </conditionalFormatting>
  <conditionalFormatting sqref="D26">
    <cfRule type="cellIs" dxfId="1000" priority="2046" operator="equal">
      <formula>"LOA"</formula>
    </cfRule>
    <cfRule type="cellIs" dxfId="999" priority="2047" operator="equal">
      <formula>"PENDING TERM"</formula>
    </cfRule>
    <cfRule type="cellIs" dxfId="998" priority="2048" operator="equal">
      <formula>"PROMOTED"</formula>
    </cfRule>
    <cfRule type="cellIs" dxfId="997" priority="2049" operator="equal">
      <formula>"REINSTATEMENT"</formula>
    </cfRule>
    <cfRule type="cellIs" dxfId="996" priority="2050" operator="equal">
      <formula>"TERM"</formula>
    </cfRule>
    <cfRule type="cellIs" dxfId="995" priority="2051" operator="equal">
      <formula>"TRANSFER"</formula>
    </cfRule>
  </conditionalFormatting>
  <conditionalFormatting sqref="D26">
    <cfRule type="duplicateValues" dxfId="994" priority="2052"/>
  </conditionalFormatting>
  <conditionalFormatting sqref="D26">
    <cfRule type="duplicateValues" dxfId="993" priority="2053"/>
  </conditionalFormatting>
  <conditionalFormatting sqref="D26">
    <cfRule type="duplicateValues" dxfId="992" priority="2054"/>
  </conditionalFormatting>
  <conditionalFormatting sqref="D1:H1">
    <cfRule type="cellIs" dxfId="991" priority="1888" operator="equal">
      <formula>"Pending Term"</formula>
    </cfRule>
  </conditionalFormatting>
  <conditionalFormatting sqref="D1:H1">
    <cfRule type="cellIs" dxfId="990" priority="1887" operator="equal">
      <formula>"off"</formula>
    </cfRule>
  </conditionalFormatting>
  <conditionalFormatting sqref="D1:H1">
    <cfRule type="cellIs" dxfId="989" priority="1886" operator="equal">
      <formula>"LOA"</formula>
    </cfRule>
  </conditionalFormatting>
  <conditionalFormatting sqref="D1:H1">
    <cfRule type="cellIs" dxfId="988" priority="1875" operator="equal">
      <formula>"LOA"</formula>
    </cfRule>
    <cfRule type="cellIs" dxfId="987" priority="1876" operator="equal">
      <formula>"PENDING TERM"</formula>
    </cfRule>
    <cfRule type="cellIs" dxfId="986" priority="1877" operator="equal">
      <formula>"PROMOTED"</formula>
    </cfRule>
    <cfRule type="cellIs" dxfId="985" priority="1878" operator="equal">
      <formula>"REINSTATEMENT"</formula>
    </cfRule>
    <cfRule type="cellIs" dxfId="984" priority="1879" operator="equal">
      <formula>"TERM"</formula>
    </cfRule>
    <cfRule type="cellIs" dxfId="983" priority="1880" operator="equal">
      <formula>"TRANSFER"</formula>
    </cfRule>
  </conditionalFormatting>
  <conditionalFormatting sqref="D1:H1">
    <cfRule type="cellIs" dxfId="982" priority="1881" operator="equal">
      <formula>"Approved Off"</formula>
    </cfRule>
    <cfRule type="cellIs" dxfId="981" priority="1882" operator="equal">
      <formula>"LOA"</formula>
    </cfRule>
    <cfRule type="cellIs" dxfId="980" priority="1883" operator="equal">
      <formula>"nesting"</formula>
    </cfRule>
    <cfRule type="cellIs" dxfId="979" priority="1884" operator="equal">
      <formula>"off"</formula>
    </cfRule>
    <cfRule type="cellIs" dxfId="978" priority="1885" operator="equal">
      <formula>"vac"</formula>
    </cfRule>
  </conditionalFormatting>
  <conditionalFormatting sqref="D1:H1">
    <cfRule type="cellIs" dxfId="977" priority="1874" operator="equal">
      <formula>"Study Day"</formula>
    </cfRule>
  </conditionalFormatting>
  <conditionalFormatting sqref="D1:H1">
    <cfRule type="cellIs" dxfId="976" priority="1873" operator="equal">
      <formula>"FER"</formula>
    </cfRule>
  </conditionalFormatting>
  <conditionalFormatting sqref="E1 G1">
    <cfRule type="cellIs" dxfId="975" priority="1872" operator="equal">
      <formula>"Pending Term"</formula>
    </cfRule>
  </conditionalFormatting>
  <conditionalFormatting sqref="E1 G1">
    <cfRule type="cellIs" dxfId="974" priority="1871" operator="equal">
      <formula>"off"</formula>
    </cfRule>
  </conditionalFormatting>
  <conditionalFormatting sqref="E1 G1">
    <cfRule type="cellIs" dxfId="973" priority="1870" operator="equal">
      <formula>"LOA"</formula>
    </cfRule>
  </conditionalFormatting>
  <conditionalFormatting sqref="E1 G1">
    <cfRule type="cellIs" dxfId="972" priority="1865" operator="equal">
      <formula>"Approved Off"</formula>
    </cfRule>
    <cfRule type="cellIs" dxfId="971" priority="1866" operator="equal">
      <formula>"LOA"</formula>
    </cfRule>
    <cfRule type="cellIs" dxfId="970" priority="1867" operator="equal">
      <formula>"nesting"</formula>
    </cfRule>
    <cfRule type="cellIs" dxfId="969" priority="1868" operator="equal">
      <formula>"off"</formula>
    </cfRule>
    <cfRule type="cellIs" dxfId="968" priority="1869" operator="equal">
      <formula>"vac"</formula>
    </cfRule>
  </conditionalFormatting>
  <conditionalFormatting sqref="E1 G1">
    <cfRule type="cellIs" dxfId="967" priority="1864" operator="equal">
      <formula>"Study Day"</formula>
    </cfRule>
  </conditionalFormatting>
  <conditionalFormatting sqref="E1 G1">
    <cfRule type="cellIs" dxfId="966" priority="1863" operator="equal">
      <formula>"FER"</formula>
    </cfRule>
  </conditionalFormatting>
  <conditionalFormatting sqref="D1:H1">
    <cfRule type="cellIs" dxfId="965" priority="1862" operator="equal">
      <formula>"Pending Term"</formula>
    </cfRule>
  </conditionalFormatting>
  <conditionalFormatting sqref="D1:H1">
    <cfRule type="cellIs" dxfId="964" priority="1861" operator="equal">
      <formula>"off"</formula>
    </cfRule>
  </conditionalFormatting>
  <conditionalFormatting sqref="D1:H1">
    <cfRule type="cellIs" dxfId="963" priority="1860" operator="equal">
      <formula>"LOA"</formula>
    </cfRule>
  </conditionalFormatting>
  <conditionalFormatting sqref="D1:H1">
    <cfRule type="cellIs" dxfId="962" priority="1853" operator="equal">
      <formula>"Approved Off"</formula>
    </cfRule>
    <cfRule type="cellIs" dxfId="961" priority="1854" operator="equal">
      <formula>"LOA"</formula>
    </cfRule>
    <cfRule type="cellIs" dxfId="960" priority="1855" operator="equal">
      <formula>"nesting"</formula>
    </cfRule>
    <cfRule type="cellIs" dxfId="959" priority="1856" operator="equal">
      <formula>"off"</formula>
    </cfRule>
    <cfRule type="cellIs" dxfId="958" priority="1857" operator="equal">
      <formula>"vac"</formula>
    </cfRule>
  </conditionalFormatting>
  <conditionalFormatting sqref="D1:H1">
    <cfRule type="cellIs" dxfId="957" priority="1852" operator="equal">
      <formula>"Study Day"</formula>
    </cfRule>
  </conditionalFormatting>
  <conditionalFormatting sqref="D1:H1">
    <cfRule type="cellIs" dxfId="956" priority="1851" operator="equal">
      <formula>"FER"</formula>
    </cfRule>
  </conditionalFormatting>
  <conditionalFormatting sqref="E1 G1">
    <cfRule type="duplicateValues" dxfId="955" priority="1858"/>
  </conditionalFormatting>
  <conditionalFormatting sqref="E1">
    <cfRule type="duplicateValues" dxfId="954" priority="1859"/>
  </conditionalFormatting>
  <conditionalFormatting sqref="E1">
    <cfRule type="duplicateValues" dxfId="953" priority="1850"/>
  </conditionalFormatting>
  <conditionalFormatting sqref="E1">
    <cfRule type="duplicateValues" dxfId="952" priority="1849"/>
  </conditionalFormatting>
  <conditionalFormatting sqref="E1">
    <cfRule type="duplicateValues" dxfId="951" priority="1847"/>
  </conditionalFormatting>
  <conditionalFormatting sqref="D1:H1">
    <cfRule type="duplicateValues" dxfId="950" priority="1848"/>
  </conditionalFormatting>
  <conditionalFormatting sqref="D1:H1">
    <cfRule type="duplicateValues" dxfId="949" priority="1889"/>
  </conditionalFormatting>
  <conditionalFormatting sqref="E1 G1">
    <cfRule type="cellIs" dxfId="948" priority="1845" operator="equal">
      <formula>"Pending Term"</formula>
    </cfRule>
  </conditionalFormatting>
  <conditionalFormatting sqref="E1 G1">
    <cfRule type="cellIs" dxfId="947" priority="1844" operator="equal">
      <formula>"off"</formula>
    </cfRule>
  </conditionalFormatting>
  <conditionalFormatting sqref="E1 G1">
    <cfRule type="cellIs" dxfId="946" priority="1843" operator="equal">
      <formula>"LOA"</formula>
    </cfRule>
  </conditionalFormatting>
  <conditionalFormatting sqref="E1 G1">
    <cfRule type="cellIs" dxfId="945" priority="1838" operator="equal">
      <formula>"Approved Off"</formula>
    </cfRule>
    <cfRule type="cellIs" dxfId="944" priority="1839" operator="equal">
      <formula>"LOA"</formula>
    </cfRule>
    <cfRule type="cellIs" dxfId="943" priority="1840" operator="equal">
      <formula>"nesting"</formula>
    </cfRule>
    <cfRule type="cellIs" dxfId="942" priority="1841" operator="equal">
      <formula>"off"</formula>
    </cfRule>
    <cfRule type="cellIs" dxfId="941" priority="1842" operator="equal">
      <formula>"vac"</formula>
    </cfRule>
  </conditionalFormatting>
  <conditionalFormatting sqref="E1 G1">
    <cfRule type="cellIs" dxfId="940" priority="1837" operator="equal">
      <formula>"Study Day"</formula>
    </cfRule>
  </conditionalFormatting>
  <conditionalFormatting sqref="E1 G1">
    <cfRule type="cellIs" dxfId="939" priority="1836" operator="equal">
      <formula>"FER"</formula>
    </cfRule>
  </conditionalFormatting>
  <conditionalFormatting sqref="E1">
    <cfRule type="duplicateValues" dxfId="938" priority="1835"/>
  </conditionalFormatting>
  <conditionalFormatting sqref="E1">
    <cfRule type="duplicateValues" dxfId="937" priority="1846"/>
  </conditionalFormatting>
  <conditionalFormatting sqref="D1:H1">
    <cfRule type="cellIs" dxfId="936" priority="1425" operator="equal">
      <formula>"Pending Term"</formula>
    </cfRule>
  </conditionalFormatting>
  <conditionalFormatting sqref="D1:H1">
    <cfRule type="cellIs" dxfId="935" priority="1424" operator="equal">
      <formula>"off"</formula>
    </cfRule>
  </conditionalFormatting>
  <conditionalFormatting sqref="D1:H1">
    <cfRule type="cellIs" dxfId="934" priority="1423" operator="equal">
      <formula>"LOA"</formula>
    </cfRule>
  </conditionalFormatting>
  <conditionalFormatting sqref="D1:H1">
    <cfRule type="cellIs" dxfId="933" priority="1418" operator="equal">
      <formula>"Approved Off"</formula>
    </cfRule>
    <cfRule type="cellIs" dxfId="932" priority="1419" operator="equal">
      <formula>"LOA"</formula>
    </cfRule>
    <cfRule type="cellIs" dxfId="931" priority="1420" operator="equal">
      <formula>"nesting"</formula>
    </cfRule>
    <cfRule type="cellIs" dxfId="930" priority="1421" operator="equal">
      <formula>"off"</formula>
    </cfRule>
    <cfRule type="cellIs" dxfId="929" priority="1422" operator="equal">
      <formula>"vac"</formula>
    </cfRule>
  </conditionalFormatting>
  <conditionalFormatting sqref="D1:H1">
    <cfRule type="cellIs" dxfId="928" priority="1417" operator="equal">
      <formula>"Study Day"</formula>
    </cfRule>
  </conditionalFormatting>
  <conditionalFormatting sqref="D1:H1">
    <cfRule type="cellIs" dxfId="927" priority="1416" operator="equal">
      <formula>"FER"</formula>
    </cfRule>
  </conditionalFormatting>
  <conditionalFormatting sqref="D1:H1">
    <cfRule type="duplicateValues" dxfId="926" priority="1414"/>
  </conditionalFormatting>
  <conditionalFormatting sqref="D1:H1">
    <cfRule type="duplicateValues" dxfId="925" priority="1415"/>
  </conditionalFormatting>
  <conditionalFormatting sqref="D1:H1">
    <cfRule type="duplicateValues" dxfId="924" priority="1413"/>
  </conditionalFormatting>
  <conditionalFormatting sqref="D1:H1">
    <cfRule type="duplicateValues" dxfId="923" priority="1412"/>
  </conditionalFormatting>
  <conditionalFormatting sqref="D1:H1">
    <cfRule type="duplicateValues" dxfId="922" priority="1411"/>
  </conditionalFormatting>
  <conditionalFormatting sqref="D1:H1">
    <cfRule type="cellIs" dxfId="921" priority="1409" operator="equal">
      <formula>"Pending Term"</formula>
    </cfRule>
  </conditionalFormatting>
  <conditionalFormatting sqref="D1:H1">
    <cfRule type="cellIs" dxfId="920" priority="1408" operator="equal">
      <formula>"off"</formula>
    </cfRule>
  </conditionalFormatting>
  <conditionalFormatting sqref="D1:H1">
    <cfRule type="cellIs" dxfId="919" priority="1407" operator="equal">
      <formula>"LOA"</formula>
    </cfRule>
  </conditionalFormatting>
  <conditionalFormatting sqref="D1:H1">
    <cfRule type="cellIs" dxfId="918" priority="1402" operator="equal">
      <formula>"Approved Off"</formula>
    </cfRule>
    <cfRule type="cellIs" dxfId="917" priority="1403" operator="equal">
      <formula>"LOA"</formula>
    </cfRule>
    <cfRule type="cellIs" dxfId="916" priority="1404" operator="equal">
      <formula>"nesting"</formula>
    </cfRule>
    <cfRule type="cellIs" dxfId="915" priority="1405" operator="equal">
      <formula>"off"</formula>
    </cfRule>
    <cfRule type="cellIs" dxfId="914" priority="1406" operator="equal">
      <formula>"vac"</formula>
    </cfRule>
  </conditionalFormatting>
  <conditionalFormatting sqref="D1:H1">
    <cfRule type="cellIs" dxfId="913" priority="1401" operator="equal">
      <formula>"Study Day"</formula>
    </cfRule>
  </conditionalFormatting>
  <conditionalFormatting sqref="D1:H1">
    <cfRule type="cellIs" dxfId="912" priority="1400" operator="equal">
      <formula>"FER"</formula>
    </cfRule>
  </conditionalFormatting>
  <conditionalFormatting sqref="D1:H1">
    <cfRule type="duplicateValues" dxfId="911" priority="1399"/>
  </conditionalFormatting>
  <conditionalFormatting sqref="D1:H1">
    <cfRule type="duplicateValues" dxfId="910" priority="1410"/>
  </conditionalFormatting>
  <conditionalFormatting sqref="D2:H2">
    <cfRule type="cellIs" dxfId="909" priority="727" operator="equal">
      <formula>"Pending Term"</formula>
    </cfRule>
  </conditionalFormatting>
  <conditionalFormatting sqref="D2:H2">
    <cfRule type="cellIs" dxfId="908" priority="726" operator="equal">
      <formula>"off"</formula>
    </cfRule>
  </conditionalFormatting>
  <conditionalFormatting sqref="D2:H2">
    <cfRule type="cellIs" dxfId="907" priority="725" operator="equal">
      <formula>"LOA"</formula>
    </cfRule>
  </conditionalFormatting>
  <conditionalFormatting sqref="D2:H2">
    <cfRule type="cellIs" dxfId="906" priority="714" operator="equal">
      <formula>"LOA"</formula>
    </cfRule>
    <cfRule type="cellIs" dxfId="905" priority="715" operator="equal">
      <formula>"PENDING TERM"</formula>
    </cfRule>
    <cfRule type="cellIs" dxfId="904" priority="716" operator="equal">
      <formula>"PROMOTED"</formula>
    </cfRule>
    <cfRule type="cellIs" dxfId="903" priority="717" operator="equal">
      <formula>"REINSTATEMENT"</formula>
    </cfRule>
    <cfRule type="cellIs" dxfId="902" priority="718" operator="equal">
      <formula>"TERM"</formula>
    </cfRule>
    <cfRule type="cellIs" dxfId="901" priority="719" operator="equal">
      <formula>"TRANSFER"</formula>
    </cfRule>
  </conditionalFormatting>
  <conditionalFormatting sqref="D2:H2">
    <cfRule type="cellIs" dxfId="900" priority="720" operator="equal">
      <formula>"Approved Off"</formula>
    </cfRule>
    <cfRule type="cellIs" dxfId="899" priority="721" operator="equal">
      <formula>"LOA"</formula>
    </cfRule>
    <cfRule type="cellIs" dxfId="898" priority="722" operator="equal">
      <formula>"nesting"</formula>
    </cfRule>
    <cfRule type="cellIs" dxfId="897" priority="723" operator="equal">
      <formula>"off"</formula>
    </cfRule>
    <cfRule type="cellIs" dxfId="896" priority="724" operator="equal">
      <formula>"vac"</formula>
    </cfRule>
  </conditionalFormatting>
  <conditionalFormatting sqref="D2:H2">
    <cfRule type="cellIs" dxfId="895" priority="713" operator="equal">
      <formula>"Study Day"</formula>
    </cfRule>
  </conditionalFormatting>
  <conditionalFormatting sqref="D2:H2">
    <cfRule type="cellIs" dxfId="894" priority="712" operator="equal">
      <formula>"FER"</formula>
    </cfRule>
  </conditionalFormatting>
  <conditionalFormatting sqref="J6">
    <cfRule type="duplicateValues" dxfId="893" priority="679"/>
  </conditionalFormatting>
  <conditionalFormatting sqref="K6">
    <cfRule type="duplicateValues" dxfId="892" priority="680"/>
  </conditionalFormatting>
  <conditionalFormatting sqref="I6">
    <cfRule type="duplicateValues" dxfId="891" priority="681"/>
  </conditionalFormatting>
  <conditionalFormatting sqref="J7:J11">
    <cfRule type="duplicateValues" dxfId="890" priority="682"/>
  </conditionalFormatting>
  <conditionalFormatting sqref="K7:K11">
    <cfRule type="duplicateValues" dxfId="889" priority="683"/>
  </conditionalFormatting>
  <conditionalFormatting sqref="I7:I11">
    <cfRule type="duplicateValues" dxfId="888" priority="684"/>
  </conditionalFormatting>
  <conditionalFormatting sqref="J3:J5">
    <cfRule type="duplicateValues" dxfId="887" priority="685"/>
  </conditionalFormatting>
  <conditionalFormatting sqref="K3:K5">
    <cfRule type="duplicateValues" dxfId="886" priority="686"/>
  </conditionalFormatting>
  <conditionalFormatting sqref="I11 I2:I5">
    <cfRule type="duplicateValues" dxfId="885" priority="687"/>
  </conditionalFormatting>
  <conditionalFormatting sqref="J11 J2">
    <cfRule type="duplicateValues" dxfId="884" priority="688"/>
  </conditionalFormatting>
  <conditionalFormatting sqref="K11 K2">
    <cfRule type="duplicateValues" dxfId="883" priority="689"/>
  </conditionalFormatting>
  <conditionalFormatting sqref="A14:C15">
    <cfRule type="cellIs" dxfId="882" priority="589" operator="equal">
      <formula>"LOA"</formula>
    </cfRule>
    <cfRule type="cellIs" dxfId="881" priority="590" operator="equal">
      <formula>"PENDING TERM"</formula>
    </cfRule>
    <cfRule type="cellIs" dxfId="880" priority="591" operator="equal">
      <formula>"PROMOTED"</formula>
    </cfRule>
    <cfRule type="cellIs" dxfId="879" priority="592" operator="equal">
      <formula>"REINSTATEMENT"</formula>
    </cfRule>
    <cfRule type="cellIs" dxfId="878" priority="593" operator="equal">
      <formula>"TERM"</formula>
    </cfRule>
    <cfRule type="cellIs" dxfId="877" priority="594" operator="equal">
      <formula>"TRANSFER"</formula>
    </cfRule>
  </conditionalFormatting>
  <conditionalFormatting sqref="I14:K15">
    <cfRule type="cellIs" dxfId="876" priority="577" operator="equal">
      <formula>"LOA"</formula>
    </cfRule>
    <cfRule type="cellIs" dxfId="875" priority="578" operator="equal">
      <formula>"PENDING TERM"</formula>
    </cfRule>
    <cfRule type="cellIs" dxfId="874" priority="579" operator="equal">
      <formula>"PROMOTED"</formula>
    </cfRule>
    <cfRule type="cellIs" dxfId="873" priority="580" operator="equal">
      <formula>"REINSTATEMENT"</formula>
    </cfRule>
    <cfRule type="cellIs" dxfId="872" priority="581" operator="equal">
      <formula>"TERM"</formula>
    </cfRule>
    <cfRule type="cellIs" dxfId="871" priority="582" operator="equal">
      <formula>"TRANSFER"</formula>
    </cfRule>
  </conditionalFormatting>
  <conditionalFormatting sqref="J14:J15">
    <cfRule type="duplicateValues" dxfId="870" priority="583"/>
  </conditionalFormatting>
  <conditionalFormatting sqref="K14:K15">
    <cfRule type="duplicateValues" dxfId="869" priority="584"/>
  </conditionalFormatting>
  <conditionalFormatting sqref="J14:J15">
    <cfRule type="duplicateValues" dxfId="868" priority="585"/>
  </conditionalFormatting>
  <conditionalFormatting sqref="K14:K15">
    <cfRule type="duplicateValues" dxfId="867" priority="586"/>
  </conditionalFormatting>
  <conditionalFormatting sqref="I14:I15">
    <cfRule type="duplicateValues" dxfId="866" priority="587"/>
  </conditionalFormatting>
  <conditionalFormatting sqref="K14:K15">
    <cfRule type="duplicateValues" dxfId="865" priority="588"/>
  </conditionalFormatting>
  <conditionalFormatting sqref="L14:L15">
    <cfRule type="cellIs" dxfId="864" priority="571" operator="equal">
      <formula>"LOA"</formula>
    </cfRule>
    <cfRule type="cellIs" dxfId="863" priority="572" operator="equal">
      <formula>"PENDING TERM"</formula>
    </cfRule>
    <cfRule type="cellIs" dxfId="862" priority="573" operator="equal">
      <formula>"PROMOTED"</formula>
    </cfRule>
    <cfRule type="cellIs" dxfId="861" priority="574" operator="equal">
      <formula>"REINSTATEMENT"</formula>
    </cfRule>
    <cfRule type="cellIs" dxfId="860" priority="575" operator="equal">
      <formula>"TERM"</formula>
    </cfRule>
    <cfRule type="cellIs" dxfId="859" priority="576" operator="equal">
      <formula>"TRANSFER"</formula>
    </cfRule>
  </conditionalFormatting>
  <conditionalFormatting sqref="A25">
    <cfRule type="duplicateValues" dxfId="858" priority="570"/>
  </conditionalFormatting>
  <conditionalFormatting sqref="A16:C19">
    <cfRule type="cellIs" dxfId="857" priority="400" operator="equal">
      <formula>"LOA"</formula>
    </cfRule>
    <cfRule type="cellIs" dxfId="856" priority="401" operator="equal">
      <formula>"PENDING TERM"</formula>
    </cfRule>
    <cfRule type="cellIs" dxfId="855" priority="402" operator="equal">
      <formula>"PROMOTED"</formula>
    </cfRule>
    <cfRule type="cellIs" dxfId="854" priority="403" operator="equal">
      <formula>"REINSTATEMENT"</formula>
    </cfRule>
    <cfRule type="cellIs" dxfId="853" priority="404" operator="equal">
      <formula>"TERM"</formula>
    </cfRule>
    <cfRule type="cellIs" dxfId="852" priority="405" operator="equal">
      <formula>"TRANSFER"</formula>
    </cfRule>
  </conditionalFormatting>
  <conditionalFormatting sqref="D18:H19">
    <cfRule type="cellIs" dxfId="851" priority="363" operator="equal">
      <formula>"Pending Term"</formula>
    </cfRule>
  </conditionalFormatting>
  <conditionalFormatting sqref="D18:H19">
    <cfRule type="cellIs" dxfId="850" priority="362" operator="equal">
      <formula>"off"</formula>
    </cfRule>
  </conditionalFormatting>
  <conditionalFormatting sqref="D18:H19">
    <cfRule type="cellIs" dxfId="849" priority="361" operator="equal">
      <formula>"LOA"</formula>
    </cfRule>
  </conditionalFormatting>
  <conditionalFormatting sqref="D18:H19">
    <cfRule type="cellIs" dxfId="848" priority="350" operator="equal">
      <formula>"LOA"</formula>
    </cfRule>
    <cfRule type="cellIs" dxfId="847" priority="351" operator="equal">
      <formula>"PENDING TERM"</formula>
    </cfRule>
    <cfRule type="cellIs" dxfId="846" priority="352" operator="equal">
      <formula>"PROMOTED"</formula>
    </cfRule>
    <cfRule type="cellIs" dxfId="845" priority="353" operator="equal">
      <formula>"REINSTATEMENT"</formula>
    </cfRule>
    <cfRule type="cellIs" dxfId="844" priority="354" operator="equal">
      <formula>"TERM"</formula>
    </cfRule>
    <cfRule type="cellIs" dxfId="843" priority="355" operator="equal">
      <formula>"TRANSFER"</formula>
    </cfRule>
  </conditionalFormatting>
  <conditionalFormatting sqref="D18:H19">
    <cfRule type="cellIs" dxfId="842" priority="356" operator="equal">
      <formula>"Approved Off"</formula>
    </cfRule>
    <cfRule type="cellIs" dxfId="841" priority="357" operator="equal">
      <formula>"LOA"</formula>
    </cfRule>
    <cfRule type="cellIs" dxfId="840" priority="358" operator="equal">
      <formula>"nesting"</formula>
    </cfRule>
    <cfRule type="cellIs" dxfId="839" priority="359" operator="equal">
      <formula>"off"</formula>
    </cfRule>
    <cfRule type="cellIs" dxfId="838" priority="360" operator="equal">
      <formula>"vac"</formula>
    </cfRule>
  </conditionalFormatting>
  <conditionalFormatting sqref="D18:H19">
    <cfRule type="cellIs" dxfId="837" priority="349" operator="equal">
      <formula>"Study Day"</formula>
    </cfRule>
  </conditionalFormatting>
  <conditionalFormatting sqref="D18:H19">
    <cfRule type="cellIs" dxfId="836" priority="348" operator="equal">
      <formula>"FER"</formula>
    </cfRule>
  </conditionalFormatting>
  <conditionalFormatting sqref="L16:L19">
    <cfRule type="cellIs" dxfId="835" priority="332" operator="equal">
      <formula>"LOA"</formula>
    </cfRule>
    <cfRule type="cellIs" dxfId="834" priority="333" operator="equal">
      <formula>"PENDING TERM"</formula>
    </cfRule>
    <cfRule type="cellIs" dxfId="833" priority="334" operator="equal">
      <formula>"PROMOTED"</formula>
    </cfRule>
    <cfRule type="cellIs" dxfId="832" priority="335" operator="equal">
      <formula>"REINSTATEMENT"</formula>
    </cfRule>
    <cfRule type="cellIs" dxfId="831" priority="336" operator="equal">
      <formula>"TERM"</formula>
    </cfRule>
    <cfRule type="cellIs" dxfId="830" priority="337" operator="equal">
      <formula>"TRANSFER"</formula>
    </cfRule>
  </conditionalFormatting>
  <conditionalFormatting sqref="I16:K19">
    <cfRule type="cellIs" dxfId="829" priority="338" operator="equal">
      <formula>"LOA"</formula>
    </cfRule>
    <cfRule type="cellIs" dxfId="828" priority="339" operator="equal">
      <formula>"PENDING TERM"</formula>
    </cfRule>
    <cfRule type="cellIs" dxfId="827" priority="340" operator="equal">
      <formula>"PROMOTED"</formula>
    </cfRule>
    <cfRule type="cellIs" dxfId="826" priority="341" operator="equal">
      <formula>"REINSTATEMENT"</formula>
    </cfRule>
    <cfRule type="cellIs" dxfId="825" priority="342" operator="equal">
      <formula>"TERM"</formula>
    </cfRule>
    <cfRule type="cellIs" dxfId="824" priority="343" operator="equal">
      <formula>"TRANSFER"</formula>
    </cfRule>
  </conditionalFormatting>
  <conditionalFormatting sqref="J16:J19">
    <cfRule type="duplicateValues" dxfId="823" priority="344"/>
  </conditionalFormatting>
  <conditionalFormatting sqref="K16:K19">
    <cfRule type="duplicateValues" dxfId="822" priority="345"/>
  </conditionalFormatting>
  <conditionalFormatting sqref="I16:I19">
    <cfRule type="duplicateValues" dxfId="821" priority="346"/>
  </conditionalFormatting>
  <conditionalFormatting sqref="K16:K19">
    <cfRule type="duplicateValues" dxfId="820" priority="347"/>
  </conditionalFormatting>
  <conditionalFormatting sqref="J12:J13">
    <cfRule type="duplicateValues" dxfId="819" priority="8090"/>
  </conditionalFormatting>
  <conditionalFormatting sqref="K12:K13">
    <cfRule type="duplicateValues" dxfId="818" priority="8091"/>
  </conditionalFormatting>
  <conditionalFormatting sqref="I12:I13">
    <cfRule type="duplicateValues" dxfId="817" priority="8092"/>
  </conditionalFormatting>
  <conditionalFormatting sqref="D16:H16">
    <cfRule type="cellIs" dxfId="816" priority="300" operator="equal">
      <formula>"Pending Term"</formula>
    </cfRule>
  </conditionalFormatting>
  <conditionalFormatting sqref="D16:H16">
    <cfRule type="cellIs" dxfId="815" priority="299" operator="equal">
      <formula>"off"</formula>
    </cfRule>
  </conditionalFormatting>
  <conditionalFormatting sqref="D16:H16">
    <cfRule type="cellIs" dxfId="814" priority="298" operator="equal">
      <formula>"LOA"</formula>
    </cfRule>
  </conditionalFormatting>
  <conditionalFormatting sqref="D16:H16">
    <cfRule type="cellIs" dxfId="813" priority="287" operator="equal">
      <formula>"LOA"</formula>
    </cfRule>
    <cfRule type="cellIs" dxfId="812" priority="288" operator="equal">
      <formula>"PENDING TERM"</formula>
    </cfRule>
    <cfRule type="cellIs" dxfId="811" priority="289" operator="equal">
      <formula>"PROMOTED"</formula>
    </cfRule>
    <cfRule type="cellIs" dxfId="810" priority="290" operator="equal">
      <formula>"REINSTATEMENT"</formula>
    </cfRule>
    <cfRule type="cellIs" dxfId="809" priority="291" operator="equal">
      <formula>"TERM"</formula>
    </cfRule>
    <cfRule type="cellIs" dxfId="808" priority="292" operator="equal">
      <formula>"TRANSFER"</formula>
    </cfRule>
  </conditionalFormatting>
  <conditionalFormatting sqref="D16:H16">
    <cfRule type="cellIs" dxfId="807" priority="293" operator="equal">
      <formula>"Approved Off"</formula>
    </cfRule>
    <cfRule type="cellIs" dxfId="806" priority="294" operator="equal">
      <formula>"LOA"</formula>
    </cfRule>
    <cfRule type="cellIs" dxfId="805" priority="295" operator="equal">
      <formula>"nesting"</formula>
    </cfRule>
    <cfRule type="cellIs" dxfId="804" priority="296" operator="equal">
      <formula>"off"</formula>
    </cfRule>
    <cfRule type="cellIs" dxfId="803" priority="297" operator="equal">
      <formula>"vac"</formula>
    </cfRule>
  </conditionalFormatting>
  <conditionalFormatting sqref="D16:H16">
    <cfRule type="cellIs" dxfId="802" priority="286" operator="equal">
      <formula>"Study Day"</formula>
    </cfRule>
  </conditionalFormatting>
  <conditionalFormatting sqref="D16:H16">
    <cfRule type="cellIs" dxfId="801" priority="285" operator="equal">
      <formula>"FER"</formula>
    </cfRule>
  </conditionalFormatting>
  <conditionalFormatting sqref="E21">
    <cfRule type="duplicateValues" dxfId="800" priority="78"/>
  </conditionalFormatting>
  <conditionalFormatting sqref="E21">
    <cfRule type="duplicateValues" dxfId="799" priority="77"/>
  </conditionalFormatting>
  <conditionalFormatting sqref="D21:H21">
    <cfRule type="duplicateValues" dxfId="798" priority="52"/>
  </conditionalFormatting>
  <conditionalFormatting sqref="D21:H21">
    <cfRule type="duplicateValues" dxfId="797" priority="51"/>
  </conditionalFormatting>
  <conditionalFormatting sqref="D21:H21">
    <cfRule type="duplicateValues" dxfId="796" priority="50"/>
  </conditionalFormatting>
  <conditionalFormatting sqref="D21:H21">
    <cfRule type="cellIs" dxfId="795" priority="116" operator="equal">
      <formula>"Pending Term"</formula>
    </cfRule>
  </conditionalFormatting>
  <conditionalFormatting sqref="D21:H21">
    <cfRule type="cellIs" dxfId="794" priority="115" operator="equal">
      <formula>"off"</formula>
    </cfRule>
  </conditionalFormatting>
  <conditionalFormatting sqref="D21:H21">
    <cfRule type="cellIs" dxfId="793" priority="114" operator="equal">
      <formula>"LOA"</formula>
    </cfRule>
  </conditionalFormatting>
  <conditionalFormatting sqref="D21:H21">
    <cfRule type="cellIs" dxfId="792" priority="103" operator="equal">
      <formula>"LOA"</formula>
    </cfRule>
    <cfRule type="cellIs" dxfId="791" priority="104" operator="equal">
      <formula>"PENDING TERM"</formula>
    </cfRule>
    <cfRule type="cellIs" dxfId="790" priority="105" operator="equal">
      <formula>"PROMOTED"</formula>
    </cfRule>
    <cfRule type="cellIs" dxfId="789" priority="106" operator="equal">
      <formula>"REINSTATEMENT"</formula>
    </cfRule>
    <cfRule type="cellIs" dxfId="788" priority="107" operator="equal">
      <formula>"TERM"</formula>
    </cfRule>
    <cfRule type="cellIs" dxfId="787" priority="108" operator="equal">
      <formula>"TRANSFER"</formula>
    </cfRule>
  </conditionalFormatting>
  <conditionalFormatting sqref="D21:H21">
    <cfRule type="cellIs" dxfId="786" priority="109" operator="equal">
      <formula>"Approved Off"</formula>
    </cfRule>
    <cfRule type="cellIs" dxfId="785" priority="110" operator="equal">
      <formula>"LOA"</formula>
    </cfRule>
    <cfRule type="cellIs" dxfId="784" priority="111" operator="equal">
      <formula>"nesting"</formula>
    </cfRule>
    <cfRule type="cellIs" dxfId="783" priority="112" operator="equal">
      <formula>"off"</formula>
    </cfRule>
    <cfRule type="cellIs" dxfId="782" priority="113" operator="equal">
      <formula>"vac"</formula>
    </cfRule>
  </conditionalFormatting>
  <conditionalFormatting sqref="D21:H21">
    <cfRule type="cellIs" dxfId="781" priority="102" operator="equal">
      <formula>"Study Day"</formula>
    </cfRule>
  </conditionalFormatting>
  <conditionalFormatting sqref="D21:H21">
    <cfRule type="cellIs" dxfId="780" priority="101" operator="equal">
      <formula>"FER"</formula>
    </cfRule>
  </conditionalFormatting>
  <conditionalFormatting sqref="E21 G21">
    <cfRule type="cellIs" dxfId="779" priority="100" operator="equal">
      <formula>"Pending Term"</formula>
    </cfRule>
  </conditionalFormatting>
  <conditionalFormatting sqref="E21 G21">
    <cfRule type="cellIs" dxfId="778" priority="99" operator="equal">
      <formula>"off"</formula>
    </cfRule>
  </conditionalFormatting>
  <conditionalFormatting sqref="E21 G21">
    <cfRule type="cellIs" dxfId="777" priority="98" operator="equal">
      <formula>"LOA"</formula>
    </cfRule>
  </conditionalFormatting>
  <conditionalFormatting sqref="E21 G21">
    <cfRule type="cellIs" dxfId="776" priority="93" operator="equal">
      <formula>"Approved Off"</formula>
    </cfRule>
    <cfRule type="cellIs" dxfId="775" priority="94" operator="equal">
      <formula>"LOA"</formula>
    </cfRule>
    <cfRule type="cellIs" dxfId="774" priority="95" operator="equal">
      <formula>"nesting"</formula>
    </cfRule>
    <cfRule type="cellIs" dxfId="773" priority="96" operator="equal">
      <formula>"off"</formula>
    </cfRule>
    <cfRule type="cellIs" dxfId="772" priority="97" operator="equal">
      <formula>"vac"</formula>
    </cfRule>
  </conditionalFormatting>
  <conditionalFormatting sqref="E21 G21">
    <cfRule type="cellIs" dxfId="771" priority="92" operator="equal">
      <formula>"Study Day"</formula>
    </cfRule>
  </conditionalFormatting>
  <conditionalFormatting sqref="E21 G21">
    <cfRule type="cellIs" dxfId="770" priority="91" operator="equal">
      <formula>"FER"</formula>
    </cfRule>
  </conditionalFormatting>
  <conditionalFormatting sqref="D21:H21">
    <cfRule type="cellIs" dxfId="769" priority="90" operator="equal">
      <formula>"Pending Term"</formula>
    </cfRule>
  </conditionalFormatting>
  <conditionalFormatting sqref="D21:H21">
    <cfRule type="cellIs" dxfId="768" priority="89" operator="equal">
      <formula>"off"</formula>
    </cfRule>
  </conditionalFormatting>
  <conditionalFormatting sqref="D21:H21">
    <cfRule type="cellIs" dxfId="767" priority="88" operator="equal">
      <formula>"LOA"</formula>
    </cfRule>
  </conditionalFormatting>
  <conditionalFormatting sqref="D21:H21">
    <cfRule type="cellIs" dxfId="766" priority="81" operator="equal">
      <formula>"Approved Off"</formula>
    </cfRule>
    <cfRule type="cellIs" dxfId="765" priority="82" operator="equal">
      <formula>"LOA"</formula>
    </cfRule>
    <cfRule type="cellIs" dxfId="764" priority="83" operator="equal">
      <formula>"nesting"</formula>
    </cfRule>
    <cfRule type="cellIs" dxfId="763" priority="84" operator="equal">
      <formula>"off"</formula>
    </cfRule>
    <cfRule type="cellIs" dxfId="762" priority="85" operator="equal">
      <formula>"vac"</formula>
    </cfRule>
  </conditionalFormatting>
  <conditionalFormatting sqref="D21:H21">
    <cfRule type="cellIs" dxfId="761" priority="80" operator="equal">
      <formula>"Study Day"</formula>
    </cfRule>
  </conditionalFormatting>
  <conditionalFormatting sqref="D21:H21">
    <cfRule type="cellIs" dxfId="760" priority="79" operator="equal">
      <formula>"FER"</formula>
    </cfRule>
  </conditionalFormatting>
  <conditionalFormatting sqref="E21 G21">
    <cfRule type="duplicateValues" dxfId="759" priority="86"/>
  </conditionalFormatting>
  <conditionalFormatting sqref="E21">
    <cfRule type="duplicateValues" dxfId="758" priority="87"/>
  </conditionalFormatting>
  <conditionalFormatting sqref="E21">
    <cfRule type="duplicateValues" dxfId="757" priority="75"/>
  </conditionalFormatting>
  <conditionalFormatting sqref="D21:H21">
    <cfRule type="duplicateValues" dxfId="756" priority="76"/>
  </conditionalFormatting>
  <conditionalFormatting sqref="D21:H21">
    <cfRule type="duplicateValues" dxfId="755" priority="117"/>
  </conditionalFormatting>
  <conditionalFormatting sqref="E21 G21">
    <cfRule type="cellIs" dxfId="754" priority="73" operator="equal">
      <formula>"Pending Term"</formula>
    </cfRule>
  </conditionalFormatting>
  <conditionalFormatting sqref="E21 G21">
    <cfRule type="cellIs" dxfId="753" priority="72" operator="equal">
      <formula>"off"</formula>
    </cfRule>
  </conditionalFormatting>
  <conditionalFormatting sqref="E21 G21">
    <cfRule type="cellIs" dxfId="752" priority="71" operator="equal">
      <formula>"LOA"</formula>
    </cfRule>
  </conditionalFormatting>
  <conditionalFormatting sqref="E21 G21">
    <cfRule type="cellIs" dxfId="751" priority="66" operator="equal">
      <formula>"Approved Off"</formula>
    </cfRule>
    <cfRule type="cellIs" dxfId="750" priority="67" operator="equal">
      <formula>"LOA"</formula>
    </cfRule>
    <cfRule type="cellIs" dxfId="749" priority="68" operator="equal">
      <formula>"nesting"</formula>
    </cfRule>
    <cfRule type="cellIs" dxfId="748" priority="69" operator="equal">
      <formula>"off"</formula>
    </cfRule>
    <cfRule type="cellIs" dxfId="747" priority="70" operator="equal">
      <formula>"vac"</formula>
    </cfRule>
  </conditionalFormatting>
  <conditionalFormatting sqref="E21 G21">
    <cfRule type="cellIs" dxfId="746" priority="65" operator="equal">
      <formula>"Study Day"</formula>
    </cfRule>
  </conditionalFormatting>
  <conditionalFormatting sqref="E21 G21">
    <cfRule type="cellIs" dxfId="745" priority="64" operator="equal">
      <formula>"FER"</formula>
    </cfRule>
  </conditionalFormatting>
  <conditionalFormatting sqref="E21">
    <cfRule type="duplicateValues" dxfId="744" priority="63"/>
  </conditionalFormatting>
  <conditionalFormatting sqref="E21">
    <cfRule type="duplicateValues" dxfId="743" priority="74"/>
  </conditionalFormatting>
  <conditionalFormatting sqref="D21:H21">
    <cfRule type="cellIs" dxfId="742" priority="62" operator="equal">
      <formula>"Pending Term"</formula>
    </cfRule>
  </conditionalFormatting>
  <conditionalFormatting sqref="D21:H21">
    <cfRule type="cellIs" dxfId="741" priority="61" operator="equal">
      <formula>"off"</formula>
    </cfRule>
  </conditionalFormatting>
  <conditionalFormatting sqref="D21:H21">
    <cfRule type="cellIs" dxfId="740" priority="60" operator="equal">
      <formula>"LOA"</formula>
    </cfRule>
  </conditionalFormatting>
  <conditionalFormatting sqref="D21:H21">
    <cfRule type="cellIs" dxfId="739" priority="55" operator="equal">
      <formula>"Approved Off"</formula>
    </cfRule>
    <cfRule type="cellIs" dxfId="738" priority="56" operator="equal">
      <formula>"LOA"</formula>
    </cfRule>
    <cfRule type="cellIs" dxfId="737" priority="57" operator="equal">
      <formula>"nesting"</formula>
    </cfRule>
    <cfRule type="cellIs" dxfId="736" priority="58" operator="equal">
      <formula>"off"</formula>
    </cfRule>
    <cfRule type="cellIs" dxfId="735" priority="59" operator="equal">
      <formula>"vac"</formula>
    </cfRule>
  </conditionalFormatting>
  <conditionalFormatting sqref="D21:H21">
    <cfRule type="cellIs" dxfId="734" priority="54" operator="equal">
      <formula>"Study Day"</formula>
    </cfRule>
  </conditionalFormatting>
  <conditionalFormatting sqref="D21:H21">
    <cfRule type="cellIs" dxfId="733" priority="53" operator="equal">
      <formula>"FER"</formula>
    </cfRule>
  </conditionalFormatting>
  <conditionalFormatting sqref="D21:H21">
    <cfRule type="duplicateValues" dxfId="732" priority="49"/>
  </conditionalFormatting>
  <conditionalFormatting sqref="D21:H21">
    <cfRule type="duplicateValues" dxfId="731" priority="48"/>
  </conditionalFormatting>
  <conditionalFormatting sqref="D21:H21">
    <cfRule type="cellIs" dxfId="730" priority="46" operator="equal">
      <formula>"Pending Term"</formula>
    </cfRule>
  </conditionalFormatting>
  <conditionalFormatting sqref="D21:H21">
    <cfRule type="cellIs" dxfId="729" priority="45" operator="equal">
      <formula>"off"</formula>
    </cfRule>
  </conditionalFormatting>
  <conditionalFormatting sqref="D21:H21">
    <cfRule type="cellIs" dxfId="728" priority="44" operator="equal">
      <formula>"LOA"</formula>
    </cfRule>
  </conditionalFormatting>
  <conditionalFormatting sqref="D21:H21">
    <cfRule type="cellIs" dxfId="727" priority="39" operator="equal">
      <formula>"Approved Off"</formula>
    </cfRule>
    <cfRule type="cellIs" dxfId="726" priority="40" operator="equal">
      <formula>"LOA"</formula>
    </cfRule>
    <cfRule type="cellIs" dxfId="725" priority="41" operator="equal">
      <formula>"nesting"</formula>
    </cfRule>
    <cfRule type="cellIs" dxfId="724" priority="42" operator="equal">
      <formula>"off"</formula>
    </cfRule>
    <cfRule type="cellIs" dxfId="723" priority="43" operator="equal">
      <formula>"vac"</formula>
    </cfRule>
  </conditionalFormatting>
  <conditionalFormatting sqref="D21:H21">
    <cfRule type="cellIs" dxfId="722" priority="38" operator="equal">
      <formula>"Study Day"</formula>
    </cfRule>
  </conditionalFormatting>
  <conditionalFormatting sqref="D21:H21">
    <cfRule type="cellIs" dxfId="721" priority="37" operator="equal">
      <formula>"FER"</formula>
    </cfRule>
  </conditionalFormatting>
  <conditionalFormatting sqref="D21:H21">
    <cfRule type="duplicateValues" dxfId="720" priority="36"/>
  </conditionalFormatting>
  <conditionalFormatting sqref="D21:H21">
    <cfRule type="duplicateValues" dxfId="719" priority="47"/>
  </conditionalFormatting>
  <conditionalFormatting sqref="D17:H17">
    <cfRule type="cellIs" dxfId="718" priority="16" operator="equal">
      <formula>"Pending Term"</formula>
    </cfRule>
  </conditionalFormatting>
  <conditionalFormatting sqref="D17:H17">
    <cfRule type="cellIs" dxfId="717" priority="15" operator="equal">
      <formula>"off"</formula>
    </cfRule>
  </conditionalFormatting>
  <conditionalFormatting sqref="D17:H17">
    <cfRule type="cellIs" dxfId="716" priority="14" operator="equal">
      <formula>"LOA"</formula>
    </cfRule>
  </conditionalFormatting>
  <conditionalFormatting sqref="D17:H17">
    <cfRule type="cellIs" dxfId="715" priority="3" operator="equal">
      <formula>"LOA"</formula>
    </cfRule>
    <cfRule type="cellIs" dxfId="714" priority="4" operator="equal">
      <formula>"PENDING TERM"</formula>
    </cfRule>
    <cfRule type="cellIs" dxfId="713" priority="5" operator="equal">
      <formula>"PROMOTED"</formula>
    </cfRule>
    <cfRule type="cellIs" dxfId="712" priority="6" operator="equal">
      <formula>"REINSTATEMENT"</formula>
    </cfRule>
    <cfRule type="cellIs" dxfId="711" priority="7" operator="equal">
      <formula>"TERM"</formula>
    </cfRule>
    <cfRule type="cellIs" dxfId="710" priority="8" operator="equal">
      <formula>"TRANSFER"</formula>
    </cfRule>
  </conditionalFormatting>
  <conditionalFormatting sqref="D17:H17">
    <cfRule type="cellIs" dxfId="709" priority="9" operator="equal">
      <formula>"Approved Off"</formula>
    </cfRule>
    <cfRule type="cellIs" dxfId="708" priority="10" operator="equal">
      <formula>"LOA"</formula>
    </cfRule>
    <cfRule type="cellIs" dxfId="707" priority="11" operator="equal">
      <formula>"nesting"</formula>
    </cfRule>
    <cfRule type="cellIs" dxfId="706" priority="12" operator="equal">
      <formula>"off"</formula>
    </cfRule>
    <cfRule type="cellIs" dxfId="705" priority="13" operator="equal">
      <formula>"vac"</formula>
    </cfRule>
  </conditionalFormatting>
  <conditionalFormatting sqref="D17:H17">
    <cfRule type="cellIs" dxfId="704" priority="2" operator="equal">
      <formula>"Study Day"</formula>
    </cfRule>
  </conditionalFormatting>
  <conditionalFormatting sqref="D17:H17">
    <cfRule type="cellIs" dxfId="703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16" sqref="G16"/>
    </sheetView>
  </sheetViews>
  <sheetFormatPr baseColWidth="10" defaultRowHeight="15" x14ac:dyDescent="0.25"/>
  <cols>
    <col min="1" max="1" width="21.85546875" customWidth="1"/>
    <col min="2" max="2" width="17.42578125" customWidth="1"/>
    <col min="3" max="3" width="20" customWidth="1"/>
  </cols>
  <sheetData>
    <row r="1" spans="1:6" x14ac:dyDescent="0.25">
      <c r="A1" s="133" t="s">
        <v>0</v>
      </c>
      <c r="B1" s="134" t="s">
        <v>1</v>
      </c>
      <c r="C1" s="134" t="s">
        <v>2</v>
      </c>
      <c r="D1" s="135" t="s">
        <v>507</v>
      </c>
      <c r="E1" s="136" t="s">
        <v>711</v>
      </c>
      <c r="F1" s="137" t="s">
        <v>712</v>
      </c>
    </row>
    <row r="2" spans="1:6" x14ac:dyDescent="0.25">
      <c r="A2" s="138" t="s">
        <v>10</v>
      </c>
      <c r="B2" s="139" t="s">
        <v>320</v>
      </c>
      <c r="C2" s="139" t="s">
        <v>360</v>
      </c>
      <c r="D2" s="140">
        <v>89059</v>
      </c>
      <c r="E2" s="141">
        <v>0.67708333333333337</v>
      </c>
      <c r="F2" s="142">
        <v>0.76041666666666663</v>
      </c>
    </row>
    <row r="3" spans="1:6" x14ac:dyDescent="0.25">
      <c r="A3" s="143" t="s">
        <v>10</v>
      </c>
      <c r="B3" s="144" t="s">
        <v>466</v>
      </c>
      <c r="C3" s="144" t="s">
        <v>590</v>
      </c>
      <c r="D3" s="145">
        <v>648315</v>
      </c>
      <c r="E3" s="141">
        <v>0.6875</v>
      </c>
      <c r="F3" s="142">
        <v>0.77083333333333692</v>
      </c>
    </row>
    <row r="4" spans="1:6" x14ac:dyDescent="0.25">
      <c r="A4" s="143" t="s">
        <v>10</v>
      </c>
      <c r="B4" s="144" t="s">
        <v>352</v>
      </c>
      <c r="C4" s="144" t="s">
        <v>353</v>
      </c>
      <c r="D4" s="145">
        <v>89024</v>
      </c>
      <c r="E4" s="141">
        <v>0.6875</v>
      </c>
      <c r="F4" s="142">
        <v>0.77083333333333692</v>
      </c>
    </row>
    <row r="5" spans="1:6" x14ac:dyDescent="0.25">
      <c r="A5" s="143" t="s">
        <v>10</v>
      </c>
      <c r="B5" s="144" t="s">
        <v>350</v>
      </c>
      <c r="C5" s="144" t="s">
        <v>351</v>
      </c>
      <c r="D5" s="145">
        <v>89027</v>
      </c>
      <c r="E5" s="141">
        <v>0.6875</v>
      </c>
      <c r="F5" s="142">
        <v>0.77083333333333692</v>
      </c>
    </row>
    <row r="6" spans="1:6" x14ac:dyDescent="0.25">
      <c r="A6" s="143" t="s">
        <v>10</v>
      </c>
      <c r="B6" s="144" t="s">
        <v>348</v>
      </c>
      <c r="C6" s="144" t="s">
        <v>349</v>
      </c>
      <c r="D6" s="145">
        <v>89164</v>
      </c>
      <c r="E6" s="141">
        <v>0.6875</v>
      </c>
      <c r="F6" s="142">
        <v>0.77083333333333692</v>
      </c>
    </row>
    <row r="7" spans="1:6" x14ac:dyDescent="0.25">
      <c r="A7" s="143" t="s">
        <v>10</v>
      </c>
      <c r="B7" s="144" t="s">
        <v>50</v>
      </c>
      <c r="C7" s="144" t="s">
        <v>51</v>
      </c>
      <c r="D7" s="145">
        <v>89053</v>
      </c>
      <c r="E7" s="141">
        <v>0.6875</v>
      </c>
      <c r="F7" s="142">
        <v>0.77083333333333692</v>
      </c>
    </row>
    <row r="8" spans="1:6" x14ac:dyDescent="0.25">
      <c r="A8" s="138" t="s">
        <v>10</v>
      </c>
      <c r="B8" s="139" t="s">
        <v>37</v>
      </c>
      <c r="C8" s="139" t="s">
        <v>38</v>
      </c>
      <c r="D8" s="146">
        <v>89227</v>
      </c>
      <c r="E8" s="141">
        <v>0.718750000000004</v>
      </c>
      <c r="F8" s="142">
        <v>0.80208333333333692</v>
      </c>
    </row>
    <row r="9" spans="1:6" x14ac:dyDescent="0.25">
      <c r="A9" s="138" t="s">
        <v>10</v>
      </c>
      <c r="B9" s="139" t="s">
        <v>140</v>
      </c>
      <c r="C9" s="139" t="s">
        <v>141</v>
      </c>
      <c r="D9" s="146">
        <v>89237</v>
      </c>
      <c r="E9" s="141">
        <v>0.718750000000004</v>
      </c>
      <c r="F9" s="142">
        <v>0.80208333333333692</v>
      </c>
    </row>
    <row r="10" spans="1:6" x14ac:dyDescent="0.25">
      <c r="A10" s="143" t="s">
        <v>10</v>
      </c>
      <c r="B10" s="144" t="s">
        <v>470</v>
      </c>
      <c r="C10" s="144" t="s">
        <v>471</v>
      </c>
      <c r="D10" s="145">
        <v>648306</v>
      </c>
      <c r="E10" s="141">
        <v>0.72916666666666996</v>
      </c>
      <c r="F10" s="142">
        <v>0.812500000000004</v>
      </c>
    </row>
    <row r="11" spans="1:6" x14ac:dyDescent="0.25">
      <c r="A11" s="143" t="s">
        <v>10</v>
      </c>
      <c r="B11" s="144" t="s">
        <v>332</v>
      </c>
      <c r="C11" s="144" t="s">
        <v>333</v>
      </c>
      <c r="D11" s="145">
        <v>89061</v>
      </c>
      <c r="E11" s="141">
        <v>0.72916666666666996</v>
      </c>
      <c r="F11" s="142">
        <v>0.812500000000004</v>
      </c>
    </row>
    <row r="12" spans="1:6" x14ac:dyDescent="0.25">
      <c r="A12" s="143" t="s">
        <v>10</v>
      </c>
      <c r="B12" s="144" t="s">
        <v>35</v>
      </c>
      <c r="C12" s="144" t="s">
        <v>36</v>
      </c>
      <c r="D12" s="145">
        <v>89118</v>
      </c>
      <c r="E12" s="141">
        <v>0.72916666666666996</v>
      </c>
      <c r="F12" s="142">
        <v>0.812500000000004</v>
      </c>
    </row>
    <row r="13" spans="1:6" x14ac:dyDescent="0.25">
      <c r="A13" s="138" t="s">
        <v>10</v>
      </c>
      <c r="B13" s="139" t="s">
        <v>230</v>
      </c>
      <c r="C13" s="139" t="s">
        <v>583</v>
      </c>
      <c r="D13" s="146">
        <v>648302</v>
      </c>
      <c r="E13" s="141">
        <v>0.73958333333333703</v>
      </c>
      <c r="F13" s="142">
        <v>0.82291666666667096</v>
      </c>
    </row>
    <row r="14" spans="1:6" x14ac:dyDescent="0.25">
      <c r="A14" s="138" t="s">
        <v>10</v>
      </c>
      <c r="B14" s="139" t="s">
        <v>322</v>
      </c>
      <c r="C14" s="139" t="s">
        <v>323</v>
      </c>
      <c r="D14" s="146">
        <v>648060</v>
      </c>
      <c r="E14" s="141">
        <v>0.73958333333333703</v>
      </c>
      <c r="F14" s="142">
        <v>0.82291666666667096</v>
      </c>
    </row>
    <row r="15" spans="1:6" x14ac:dyDescent="0.25">
      <c r="A15" s="138" t="s">
        <v>10</v>
      </c>
      <c r="B15" s="139" t="s">
        <v>289</v>
      </c>
      <c r="C15" s="139" t="s">
        <v>290</v>
      </c>
      <c r="D15" s="146">
        <v>89206</v>
      </c>
      <c r="E15" s="141">
        <v>0.73958333333333337</v>
      </c>
      <c r="F15" s="142">
        <v>0.82291666666667096</v>
      </c>
    </row>
    <row r="16" spans="1:6" x14ac:dyDescent="0.25">
      <c r="D16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E16" sqref="E16:T18"/>
    </sheetView>
  </sheetViews>
  <sheetFormatPr baseColWidth="10" defaultRowHeight="15" x14ac:dyDescent="0.25"/>
  <cols>
    <col min="1" max="2" width="16.42578125" customWidth="1"/>
    <col min="3" max="3" width="18.7109375" bestFit="1" customWidth="1"/>
    <col min="4" max="4" width="16.42578125" customWidth="1"/>
    <col min="5" max="7" width="7.140625" bestFit="1" customWidth="1"/>
    <col min="8" max="8" width="8.140625" bestFit="1" customWidth="1"/>
    <col min="9" max="9" width="7.140625" bestFit="1" customWidth="1"/>
    <col min="10" max="10" width="8.140625" bestFit="1" customWidth="1"/>
    <col min="11" max="12" width="6.85546875" customWidth="1"/>
    <col min="13" max="17" width="7.140625" bestFit="1" customWidth="1"/>
    <col min="18" max="18" width="6.85546875" customWidth="1"/>
    <col min="19" max="20" width="8.140625" customWidth="1"/>
    <col min="21" max="21" width="46.28515625" customWidth="1"/>
  </cols>
  <sheetData>
    <row r="1" spans="1:21" ht="22.5" customHeight="1" x14ac:dyDescent="0.25">
      <c r="A1" s="204" t="s">
        <v>0</v>
      </c>
      <c r="B1" s="204" t="s">
        <v>1</v>
      </c>
      <c r="C1" s="204" t="s">
        <v>2</v>
      </c>
      <c r="D1" s="204" t="s">
        <v>700</v>
      </c>
      <c r="E1" s="205" t="s">
        <v>695</v>
      </c>
      <c r="F1" s="205"/>
      <c r="G1" s="201">
        <v>44063</v>
      </c>
      <c r="H1" s="201"/>
      <c r="I1" s="201">
        <v>44064</v>
      </c>
      <c r="J1" s="201"/>
      <c r="K1" s="201">
        <v>44067</v>
      </c>
      <c r="L1" s="201"/>
      <c r="M1" s="201">
        <v>44068</v>
      </c>
      <c r="N1" s="201"/>
      <c r="O1" s="201">
        <v>44069</v>
      </c>
      <c r="P1" s="201"/>
      <c r="Q1" s="201">
        <v>44070</v>
      </c>
      <c r="R1" s="201"/>
      <c r="S1" s="201" t="s">
        <v>696</v>
      </c>
      <c r="T1" s="201"/>
      <c r="U1" s="206" t="s">
        <v>698</v>
      </c>
    </row>
    <row r="2" spans="1:21" ht="24.75" customHeight="1" x14ac:dyDescent="0.25">
      <c r="A2" s="204"/>
      <c r="B2" s="204"/>
      <c r="C2" s="204"/>
      <c r="D2" s="204"/>
      <c r="E2" s="111" t="s">
        <v>500</v>
      </c>
      <c r="F2" s="112" t="s">
        <v>697</v>
      </c>
      <c r="G2" s="111" t="s">
        <v>500</v>
      </c>
      <c r="H2" s="112" t="s">
        <v>697</v>
      </c>
      <c r="I2" s="111" t="s">
        <v>500</v>
      </c>
      <c r="J2" s="112" t="s">
        <v>697</v>
      </c>
      <c r="K2" s="111" t="s">
        <v>500</v>
      </c>
      <c r="L2" s="112" t="s">
        <v>697</v>
      </c>
      <c r="M2" s="111" t="s">
        <v>500</v>
      </c>
      <c r="N2" s="112" t="s">
        <v>697</v>
      </c>
      <c r="O2" s="111" t="s">
        <v>500</v>
      </c>
      <c r="P2" s="112" t="s">
        <v>697</v>
      </c>
      <c r="Q2" s="111" t="s">
        <v>500</v>
      </c>
      <c r="R2" s="112" t="s">
        <v>697</v>
      </c>
      <c r="S2" s="111" t="s">
        <v>500</v>
      </c>
      <c r="T2" s="112" t="s">
        <v>697</v>
      </c>
      <c r="U2" s="206"/>
    </row>
    <row r="3" spans="1:21" ht="60" x14ac:dyDescent="0.25">
      <c r="A3" s="113" t="s">
        <v>10</v>
      </c>
      <c r="B3" s="114" t="s">
        <v>322</v>
      </c>
      <c r="C3" s="114" t="s">
        <v>323</v>
      </c>
      <c r="D3" s="114" t="s">
        <v>699</v>
      </c>
      <c r="E3" s="115">
        <v>2.9362416107382547E-3</v>
      </c>
      <c r="F3" s="116">
        <v>0.46247712019524112</v>
      </c>
      <c r="G3" s="117">
        <v>2.1876564064064064E-3</v>
      </c>
      <c r="H3" s="118">
        <v>0.85446355446355404</v>
      </c>
      <c r="I3" s="196">
        <v>3.1287037037037034E-3</v>
      </c>
      <c r="J3" s="197">
        <v>0.36169696969696985</v>
      </c>
      <c r="K3" s="117">
        <v>2.1811868686868689E-3</v>
      </c>
      <c r="L3" s="118">
        <v>0.85785123966942134</v>
      </c>
      <c r="M3" s="117">
        <v>2.1378086419753086E-3</v>
      </c>
      <c r="N3" s="118">
        <v>0.88056565656565655</v>
      </c>
      <c r="O3" s="215">
        <v>2.0013145861911292E-3</v>
      </c>
      <c r="P3" s="216">
        <v>0.9520389075944633</v>
      </c>
      <c r="Q3" s="119"/>
      <c r="R3" s="119"/>
      <c r="S3" s="120">
        <v>0.125</v>
      </c>
      <c r="T3" s="121">
        <v>0.9</v>
      </c>
      <c r="U3" s="124" t="s">
        <v>701</v>
      </c>
    </row>
    <row r="4" spans="1:21" ht="60" x14ac:dyDescent="0.25">
      <c r="A4" s="113" t="s">
        <v>10</v>
      </c>
      <c r="B4" s="71" t="s">
        <v>230</v>
      </c>
      <c r="C4" s="71" t="s">
        <v>583</v>
      </c>
      <c r="D4" s="114" t="s">
        <v>699</v>
      </c>
      <c r="E4" s="115">
        <v>2.7440200617283952E-3</v>
      </c>
      <c r="F4" s="116">
        <v>0.58808933002481378</v>
      </c>
      <c r="G4" s="117">
        <v>1.851379440665155E-3</v>
      </c>
      <c r="H4" s="118">
        <v>1.0305504019789735</v>
      </c>
      <c r="I4" s="117">
        <v>1.835375816993464E-3</v>
      </c>
      <c r="J4" s="118">
        <v>1.0389304812834226</v>
      </c>
      <c r="K4" s="117">
        <v>1.9960921943448827E-3</v>
      </c>
      <c r="L4" s="118">
        <v>0.95477354187031582</v>
      </c>
      <c r="M4" s="196">
        <v>2.24510120585702E-3</v>
      </c>
      <c r="N4" s="197">
        <v>0.82438336856941485</v>
      </c>
      <c r="O4" s="215">
        <v>2.0510662177328845E-3</v>
      </c>
      <c r="P4" s="216">
        <v>0.92598714416896222</v>
      </c>
      <c r="Q4" s="119"/>
      <c r="R4" s="119"/>
      <c r="S4" s="120">
        <v>0.12152777777777778</v>
      </c>
      <c r="T4" s="121">
        <v>0.94</v>
      </c>
      <c r="U4" s="124" t="s">
        <v>702</v>
      </c>
    </row>
    <row r="5" spans="1:21" ht="60" x14ac:dyDescent="0.25">
      <c r="A5" s="113" t="s">
        <v>10</v>
      </c>
      <c r="B5" s="71" t="s">
        <v>466</v>
      </c>
      <c r="C5" s="71" t="s">
        <v>590</v>
      </c>
      <c r="D5" s="114" t="s">
        <v>699</v>
      </c>
      <c r="E5" s="115">
        <v>2.5528922739944246E-3</v>
      </c>
      <c r="F5" s="116">
        <v>0.6632127728901922</v>
      </c>
      <c r="G5" s="122" t="s">
        <v>703</v>
      </c>
      <c r="H5" s="122" t="s">
        <v>703</v>
      </c>
      <c r="I5" s="122" t="s">
        <v>703</v>
      </c>
      <c r="J5" s="122" t="s">
        <v>703</v>
      </c>
      <c r="K5" s="196">
        <v>2.4234729132117192E-3</v>
      </c>
      <c r="L5" s="197">
        <v>0.73098145635459066</v>
      </c>
      <c r="M5" s="117">
        <v>2.2966269841269839E-3</v>
      </c>
      <c r="N5" s="118">
        <v>0.79740259740259756</v>
      </c>
      <c r="O5" s="117">
        <v>1.9749025341130604E-3</v>
      </c>
      <c r="P5" s="118">
        <v>0.96586921850079754</v>
      </c>
      <c r="Q5" s="119"/>
      <c r="R5" s="119"/>
      <c r="S5" s="120">
        <v>0.13541666666666666</v>
      </c>
      <c r="T5" s="121">
        <v>0.85</v>
      </c>
      <c r="U5" s="123" t="s">
        <v>704</v>
      </c>
    </row>
    <row r="6" spans="1:21" ht="60" x14ac:dyDescent="0.25">
      <c r="A6" s="113" t="s">
        <v>10</v>
      </c>
      <c r="B6" s="70" t="s">
        <v>35</v>
      </c>
      <c r="C6" s="70" t="s">
        <v>36</v>
      </c>
      <c r="D6" s="114" t="s">
        <v>508</v>
      </c>
      <c r="E6" s="125">
        <v>3.832195543000628E-3</v>
      </c>
      <c r="F6" s="126">
        <v>0.85189538642374374</v>
      </c>
      <c r="G6" s="117">
        <v>3.2389132553606241E-3</v>
      </c>
      <c r="H6" s="118">
        <v>1.0522844750757532</v>
      </c>
      <c r="I6" s="117">
        <v>3.5107282763532765E-3</v>
      </c>
      <c r="J6" s="118">
        <v>0.95418379525261909</v>
      </c>
      <c r="K6" s="196">
        <v>4.8623294346978561E-3</v>
      </c>
      <c r="L6" s="197">
        <v>0.60222397338236555</v>
      </c>
      <c r="M6" s="196">
        <v>4.1810699588477373E-3</v>
      </c>
      <c r="N6" s="197">
        <v>0.75889448770804679</v>
      </c>
      <c r="O6" s="117">
        <v>4.6798780487804876E-3</v>
      </c>
      <c r="P6" s="118">
        <v>0.62957758121848406</v>
      </c>
      <c r="Q6" s="119"/>
      <c r="R6" s="119"/>
      <c r="S6" s="120">
        <v>0.21180555555555555</v>
      </c>
      <c r="T6" s="121">
        <v>0.96</v>
      </c>
      <c r="U6" s="123" t="s">
        <v>705</v>
      </c>
    </row>
    <row r="7" spans="1:21" ht="60" x14ac:dyDescent="0.25">
      <c r="A7" s="113" t="s">
        <v>10</v>
      </c>
      <c r="B7" s="70" t="s">
        <v>48</v>
      </c>
      <c r="C7" s="70" t="s">
        <v>49</v>
      </c>
      <c r="D7" s="114" t="s">
        <v>508</v>
      </c>
      <c r="E7" s="125">
        <v>4.5467916060164971E-3</v>
      </c>
      <c r="F7" s="126">
        <v>0.66489069619032071</v>
      </c>
      <c r="G7" s="117">
        <v>4.3790991512345683E-3</v>
      </c>
      <c r="H7" s="118">
        <v>0.72213622291021662</v>
      </c>
      <c r="I7" s="117">
        <v>4.4157723063973061E-3</v>
      </c>
      <c r="J7" s="118">
        <v>0.66526198616522225</v>
      </c>
      <c r="K7" s="122" t="s">
        <v>703</v>
      </c>
      <c r="L7" s="122" t="s">
        <v>703</v>
      </c>
      <c r="M7" s="122" t="s">
        <v>703</v>
      </c>
      <c r="N7" s="122" t="s">
        <v>703</v>
      </c>
      <c r="O7" s="122" t="s">
        <v>703</v>
      </c>
      <c r="P7" s="122" t="s">
        <v>703</v>
      </c>
      <c r="Q7" s="122" t="s">
        <v>703</v>
      </c>
      <c r="R7" s="122" t="s">
        <v>703</v>
      </c>
      <c r="S7" s="120">
        <v>0.22361111111111109</v>
      </c>
      <c r="T7" s="121">
        <v>0.9</v>
      </c>
      <c r="U7" s="123" t="s">
        <v>706</v>
      </c>
    </row>
    <row r="8" spans="1:21" ht="51.75" customHeight="1" x14ac:dyDescent="0.25">
      <c r="A8" s="113" t="s">
        <v>10</v>
      </c>
      <c r="B8" s="70" t="s">
        <v>350</v>
      </c>
      <c r="C8" s="70" t="s">
        <v>351</v>
      </c>
      <c r="D8" s="114" t="s">
        <v>508</v>
      </c>
      <c r="E8" s="125">
        <v>5.0713541666666667E-3</v>
      </c>
      <c r="F8" s="126">
        <v>0.49845790068880436</v>
      </c>
      <c r="G8" s="117">
        <v>4.1090325018896447E-3</v>
      </c>
      <c r="H8" s="118">
        <v>0.7924475912814104</v>
      </c>
      <c r="I8" s="117">
        <v>4.4409219001610304E-3</v>
      </c>
      <c r="J8" s="118">
        <v>0.67183384754308073</v>
      </c>
      <c r="K8" s="196">
        <v>5.640753600823045E-3</v>
      </c>
      <c r="L8" s="197">
        <v>0.32329892966360885</v>
      </c>
      <c r="M8" s="196">
        <v>5.8755630630630629E-3</v>
      </c>
      <c r="N8" s="197">
        <v>0.26404805914972296</v>
      </c>
      <c r="O8" s="117">
        <v>5.1758694670280036E-3</v>
      </c>
      <c r="P8" s="118">
        <v>0.46169980703079117</v>
      </c>
      <c r="Q8" s="117">
        <v>3.9930555555555561E-3</v>
      </c>
      <c r="R8" s="118">
        <v>0.82899999999999996</v>
      </c>
      <c r="S8" s="120">
        <v>0.23750000000000002</v>
      </c>
      <c r="T8" s="121">
        <v>0.85</v>
      </c>
      <c r="U8" s="123" t="s">
        <v>707</v>
      </c>
    </row>
    <row r="10" spans="1:21" x14ac:dyDescent="0.25">
      <c r="H10" s="109"/>
    </row>
    <row r="13" spans="1:21" x14ac:dyDescent="0.25">
      <c r="G13" s="109">
        <v>0.1986111111111111</v>
      </c>
      <c r="H13" s="109">
        <v>0.23958333333333334</v>
      </c>
      <c r="I13" s="110">
        <f>G13/H13</f>
        <v>0.82898550724637676</v>
      </c>
    </row>
    <row r="16" spans="1:21" x14ac:dyDescent="0.25">
      <c r="E16" s="202" t="s">
        <v>695</v>
      </c>
      <c r="F16" s="203"/>
      <c r="G16" s="199">
        <v>44063</v>
      </c>
      <c r="H16" s="200"/>
      <c r="I16" s="199">
        <v>44064</v>
      </c>
      <c r="J16" s="200"/>
      <c r="K16" s="199">
        <v>44067</v>
      </c>
      <c r="L16" s="200"/>
      <c r="M16" s="199">
        <v>44068</v>
      </c>
      <c r="N16" s="200"/>
      <c r="O16" s="199">
        <v>44069</v>
      </c>
      <c r="P16" s="200"/>
      <c r="Q16" s="199">
        <v>44070</v>
      </c>
      <c r="R16" s="200"/>
      <c r="S16" s="201" t="s">
        <v>916</v>
      </c>
      <c r="T16" s="200"/>
    </row>
    <row r="17" spans="5:20" ht="15.75" x14ac:dyDescent="0.25">
      <c r="E17" s="194" t="s">
        <v>500</v>
      </c>
      <c r="F17" s="112" t="s">
        <v>697</v>
      </c>
      <c r="G17" s="194" t="s">
        <v>500</v>
      </c>
      <c r="H17" s="112" t="s">
        <v>697</v>
      </c>
      <c r="I17" s="194" t="s">
        <v>500</v>
      </c>
      <c r="J17" s="112" t="s">
        <v>697</v>
      </c>
      <c r="K17" s="194" t="s">
        <v>500</v>
      </c>
      <c r="L17" s="112" t="s">
        <v>697</v>
      </c>
      <c r="M17" s="194" t="s">
        <v>500</v>
      </c>
      <c r="N17" s="112" t="s">
        <v>697</v>
      </c>
      <c r="O17" s="194" t="s">
        <v>500</v>
      </c>
      <c r="P17" s="112" t="s">
        <v>697</v>
      </c>
      <c r="Q17" s="194" t="s">
        <v>500</v>
      </c>
      <c r="R17" s="112" t="s">
        <v>697</v>
      </c>
      <c r="S17" s="194" t="s">
        <v>500</v>
      </c>
      <c r="T17" s="112" t="s">
        <v>697</v>
      </c>
    </row>
    <row r="18" spans="5:20" x14ac:dyDescent="0.25">
      <c r="E18" s="125">
        <v>5.0713541666666667E-3</v>
      </c>
      <c r="F18" s="126">
        <v>0.49845790068880436</v>
      </c>
      <c r="G18" s="117">
        <v>4.1090325018896447E-3</v>
      </c>
      <c r="H18" s="118">
        <v>0.7924475912814104</v>
      </c>
      <c r="I18" s="117">
        <v>4.4409219001610304E-3</v>
      </c>
      <c r="J18" s="118">
        <v>0.67183384754308073</v>
      </c>
      <c r="K18" s="196">
        <v>5.640753600823045E-3</v>
      </c>
      <c r="L18" s="197">
        <v>0.32329892966360885</v>
      </c>
      <c r="M18" s="196">
        <v>5.8755630630630629E-3</v>
      </c>
      <c r="N18" s="197">
        <v>0.26404805914972296</v>
      </c>
      <c r="O18" s="117">
        <v>5.1758694670280036E-3</v>
      </c>
      <c r="P18" s="118">
        <v>0.46169980703079117</v>
      </c>
      <c r="Q18" s="117">
        <v>3.9930555555555561E-3</v>
      </c>
      <c r="R18" s="118">
        <v>0.82899999999999996</v>
      </c>
      <c r="S18" s="120">
        <v>0.23750000000000002</v>
      </c>
      <c r="T18" s="121">
        <v>0.85</v>
      </c>
    </row>
  </sheetData>
  <mergeCells count="21">
    <mergeCell ref="S1:T1"/>
    <mergeCell ref="U1:U2"/>
    <mergeCell ref="G1:H1"/>
    <mergeCell ref="I1:J1"/>
    <mergeCell ref="K1:L1"/>
    <mergeCell ref="M1:N1"/>
    <mergeCell ref="O1:P1"/>
    <mergeCell ref="Q1:R1"/>
    <mergeCell ref="A1:A2"/>
    <mergeCell ref="B1:B2"/>
    <mergeCell ref="C1:C2"/>
    <mergeCell ref="D1:D2"/>
    <mergeCell ref="E1:F1"/>
    <mergeCell ref="O16:P16"/>
    <mergeCell ref="Q16:R16"/>
    <mergeCell ref="S16:T16"/>
    <mergeCell ref="E16:F16"/>
    <mergeCell ref="G16:H16"/>
    <mergeCell ref="I16:J16"/>
    <mergeCell ref="K16:L16"/>
    <mergeCell ref="M16:N16"/>
  </mergeCells>
  <conditionalFormatting sqref="H3">
    <cfRule type="cellIs" dxfId="702" priority="193" operator="between">
      <formula>0.97</formula>
      <formula>0.999</formula>
    </cfRule>
  </conditionalFormatting>
  <conditionalFormatting sqref="F3">
    <cfRule type="cellIs" dxfId="701" priority="200" operator="greaterThan">
      <formula>1</formula>
    </cfRule>
  </conditionalFormatting>
  <conditionalFormatting sqref="F3">
    <cfRule type="cellIs" dxfId="700" priority="201" operator="lessThan">
      <formula>0.9699</formula>
    </cfRule>
  </conditionalFormatting>
  <conditionalFormatting sqref="F3">
    <cfRule type="cellIs" dxfId="699" priority="199" operator="between">
      <formula>0.97</formula>
      <formula>0.999</formula>
    </cfRule>
  </conditionalFormatting>
  <conditionalFormatting sqref="H6">
    <cfRule type="cellIs" dxfId="698" priority="140" operator="greaterThan">
      <formula>1</formula>
    </cfRule>
  </conditionalFormatting>
  <conditionalFormatting sqref="H6">
    <cfRule type="cellIs" dxfId="697" priority="141" operator="lessThan">
      <formula>0.9699</formula>
    </cfRule>
  </conditionalFormatting>
  <conditionalFormatting sqref="H6">
    <cfRule type="cellIs" dxfId="696" priority="139" operator="between">
      <formula>0.97</formula>
      <formula>0.999</formula>
    </cfRule>
  </conditionalFormatting>
  <conditionalFormatting sqref="H3">
    <cfRule type="cellIs" dxfId="695" priority="194" operator="greaterThan">
      <formula>1</formula>
    </cfRule>
  </conditionalFormatting>
  <conditionalFormatting sqref="H3">
    <cfRule type="cellIs" dxfId="694" priority="195" operator="lessThan">
      <formula>0.9699</formula>
    </cfRule>
  </conditionalFormatting>
  <conditionalFormatting sqref="H7:H8">
    <cfRule type="cellIs" dxfId="693" priority="136" operator="between">
      <formula>0.97</formula>
      <formula>0.999</formula>
    </cfRule>
  </conditionalFormatting>
  <conditionalFormatting sqref="B3:D3">
    <cfRule type="cellIs" dxfId="692" priority="187" operator="equal">
      <formula>"LOA"</formula>
    </cfRule>
    <cfRule type="cellIs" dxfId="691" priority="188" operator="equal">
      <formula>"PENDING TERM"</formula>
    </cfRule>
    <cfRule type="cellIs" dxfId="690" priority="189" operator="equal">
      <formula>"PROMOTED"</formula>
    </cfRule>
    <cfRule type="cellIs" dxfId="689" priority="190" operator="equal">
      <formula>"REINSTATEMENT"</formula>
    </cfRule>
    <cfRule type="cellIs" dxfId="688" priority="191" operator="equal">
      <formula>"TERM"</formula>
    </cfRule>
    <cfRule type="cellIs" dxfId="687" priority="192" operator="equal">
      <formula>"TRANSFER"</formula>
    </cfRule>
  </conditionalFormatting>
  <conditionalFormatting sqref="H4">
    <cfRule type="cellIs" dxfId="686" priority="185" operator="greaterThan">
      <formula>1</formula>
    </cfRule>
  </conditionalFormatting>
  <conditionalFormatting sqref="H4">
    <cfRule type="cellIs" dxfId="685" priority="186" operator="lessThan">
      <formula>0.9699</formula>
    </cfRule>
  </conditionalFormatting>
  <conditionalFormatting sqref="H4">
    <cfRule type="cellIs" dxfId="684" priority="184" operator="between">
      <formula>0.97</formula>
      <formula>0.999</formula>
    </cfRule>
  </conditionalFormatting>
  <conditionalFormatting sqref="H7:H8">
    <cfRule type="cellIs" dxfId="683" priority="137" operator="greaterThan">
      <formula>1</formula>
    </cfRule>
  </conditionalFormatting>
  <conditionalFormatting sqref="H7:H8">
    <cfRule type="cellIs" dxfId="682" priority="138" operator="lessThan">
      <formula>0.9699</formula>
    </cfRule>
  </conditionalFormatting>
  <conditionalFormatting sqref="F4 F6:F7">
    <cfRule type="cellIs" dxfId="681" priority="179" operator="greaterThan">
      <formula>1</formula>
    </cfRule>
  </conditionalFormatting>
  <conditionalFormatting sqref="F4 F6:F7">
    <cfRule type="cellIs" dxfId="680" priority="180" operator="lessThan">
      <formula>0.9699</formula>
    </cfRule>
  </conditionalFormatting>
  <conditionalFormatting sqref="F4 F6:F7">
    <cfRule type="cellIs" dxfId="679" priority="178" operator="between">
      <formula>0.97</formula>
      <formula>0.999</formula>
    </cfRule>
  </conditionalFormatting>
  <conditionalFormatting sqref="D4">
    <cfRule type="cellIs" dxfId="678" priority="172" operator="equal">
      <formula>"LOA"</formula>
    </cfRule>
    <cfRule type="cellIs" dxfId="677" priority="173" operator="equal">
      <formula>"PENDING TERM"</formula>
    </cfRule>
    <cfRule type="cellIs" dxfId="676" priority="174" operator="equal">
      <formula>"PROMOTED"</formula>
    </cfRule>
    <cfRule type="cellIs" dxfId="675" priority="175" operator="equal">
      <formula>"REINSTATEMENT"</formula>
    </cfRule>
    <cfRule type="cellIs" dxfId="674" priority="176" operator="equal">
      <formula>"TERM"</formula>
    </cfRule>
    <cfRule type="cellIs" dxfId="673" priority="177" operator="equal">
      <formula>"TRANSFER"</formula>
    </cfRule>
  </conditionalFormatting>
  <conditionalFormatting sqref="D5">
    <cfRule type="cellIs" dxfId="672" priority="166" operator="equal">
      <formula>"LOA"</formula>
    </cfRule>
    <cfRule type="cellIs" dxfId="671" priority="167" operator="equal">
      <formula>"PENDING TERM"</formula>
    </cfRule>
    <cfRule type="cellIs" dxfId="670" priority="168" operator="equal">
      <formula>"PROMOTED"</formula>
    </cfRule>
    <cfRule type="cellIs" dxfId="669" priority="169" operator="equal">
      <formula>"REINSTATEMENT"</formula>
    </cfRule>
    <cfRule type="cellIs" dxfId="668" priority="170" operator="equal">
      <formula>"TERM"</formula>
    </cfRule>
    <cfRule type="cellIs" dxfId="667" priority="171" operator="equal">
      <formula>"TRANSFER"</formula>
    </cfRule>
  </conditionalFormatting>
  <conditionalFormatting sqref="B4:C4">
    <cfRule type="cellIs" dxfId="666" priority="160" operator="equal">
      <formula>"LOA"</formula>
    </cfRule>
    <cfRule type="cellIs" dxfId="665" priority="161" operator="equal">
      <formula>"PENDING TERM"</formula>
    </cfRule>
    <cfRule type="cellIs" dxfId="664" priority="162" operator="equal">
      <formula>"PROMOTED"</formula>
    </cfRule>
    <cfRule type="cellIs" dxfId="663" priority="163" operator="equal">
      <formula>"REINSTATEMENT"</formula>
    </cfRule>
    <cfRule type="cellIs" dxfId="662" priority="164" operator="equal">
      <formula>"TERM"</formula>
    </cfRule>
    <cfRule type="cellIs" dxfId="661" priority="165" operator="equal">
      <formula>"TRANSFER"</formula>
    </cfRule>
  </conditionalFormatting>
  <conditionalFormatting sqref="B5:C5">
    <cfRule type="cellIs" dxfId="660" priority="154" operator="equal">
      <formula>"LOA"</formula>
    </cfRule>
    <cfRule type="cellIs" dxfId="659" priority="155" operator="equal">
      <formula>"PENDING TERM"</formula>
    </cfRule>
    <cfRule type="cellIs" dxfId="658" priority="156" operator="equal">
      <formula>"PROMOTED"</formula>
    </cfRule>
    <cfRule type="cellIs" dxfId="657" priority="157" operator="equal">
      <formula>"REINSTATEMENT"</formula>
    </cfRule>
    <cfRule type="cellIs" dxfId="656" priority="158" operator="equal">
      <formula>"TERM"</formula>
    </cfRule>
    <cfRule type="cellIs" dxfId="655" priority="159" operator="equal">
      <formula>"TRANSFER"</formula>
    </cfRule>
  </conditionalFormatting>
  <conditionalFormatting sqref="F5">
    <cfRule type="cellIs" dxfId="654" priority="152" operator="greaterThan">
      <formula>1</formula>
    </cfRule>
  </conditionalFormatting>
  <conditionalFormatting sqref="F5">
    <cfRule type="cellIs" dxfId="653" priority="153" operator="lessThan">
      <formula>0.9699</formula>
    </cfRule>
  </conditionalFormatting>
  <conditionalFormatting sqref="F5">
    <cfRule type="cellIs" dxfId="652" priority="151" operator="between">
      <formula>0.97</formula>
      <formula>0.999</formula>
    </cfRule>
  </conditionalFormatting>
  <conditionalFormatting sqref="D6:D8">
    <cfRule type="cellIs" dxfId="651" priority="145" operator="equal">
      <formula>"LOA"</formula>
    </cfRule>
    <cfRule type="cellIs" dxfId="650" priority="146" operator="equal">
      <formula>"PENDING TERM"</formula>
    </cfRule>
    <cfRule type="cellIs" dxfId="649" priority="147" operator="equal">
      <formula>"PROMOTED"</formula>
    </cfRule>
    <cfRule type="cellIs" dxfId="648" priority="148" operator="equal">
      <formula>"REINSTATEMENT"</formula>
    </cfRule>
    <cfRule type="cellIs" dxfId="647" priority="149" operator="equal">
      <formula>"TERM"</formula>
    </cfRule>
    <cfRule type="cellIs" dxfId="646" priority="150" operator="equal">
      <formula>"TRANSFER"</formula>
    </cfRule>
  </conditionalFormatting>
  <conditionalFormatting sqref="F8">
    <cfRule type="cellIs" dxfId="645" priority="143" operator="greaterThan">
      <formula>1</formula>
    </cfRule>
  </conditionalFormatting>
  <conditionalFormatting sqref="F8">
    <cfRule type="cellIs" dxfId="644" priority="144" operator="lessThan">
      <formula>0.9699</formula>
    </cfRule>
  </conditionalFormatting>
  <conditionalFormatting sqref="F8">
    <cfRule type="cellIs" dxfId="643" priority="142" operator="between">
      <formula>0.97</formula>
      <formula>0.999</formula>
    </cfRule>
  </conditionalFormatting>
  <conditionalFormatting sqref="J3 L3 N3">
    <cfRule type="cellIs" dxfId="642" priority="133" operator="between">
      <formula>0.97</formula>
      <formula>0.999</formula>
    </cfRule>
  </conditionalFormatting>
  <conditionalFormatting sqref="J3 L3 N3">
    <cfRule type="cellIs" dxfId="641" priority="134" operator="greaterThan">
      <formula>1</formula>
    </cfRule>
  </conditionalFormatting>
  <conditionalFormatting sqref="J3 L3 N3">
    <cfRule type="cellIs" dxfId="640" priority="135" operator="lessThan">
      <formula>0.9699</formula>
    </cfRule>
  </conditionalFormatting>
  <conditionalFormatting sqref="N4">
    <cfRule type="cellIs" dxfId="639" priority="130" operator="between">
      <formula>0.97</formula>
      <formula>0.999</formula>
    </cfRule>
  </conditionalFormatting>
  <conditionalFormatting sqref="N4">
    <cfRule type="cellIs" dxfId="638" priority="131" operator="greaterThan">
      <formula>1</formula>
    </cfRule>
  </conditionalFormatting>
  <conditionalFormatting sqref="N4">
    <cfRule type="cellIs" dxfId="637" priority="132" operator="lessThan">
      <formula>0.9699</formula>
    </cfRule>
  </conditionalFormatting>
  <conditionalFormatting sqref="J4 L4">
    <cfRule type="cellIs" dxfId="636" priority="128" operator="greaterThan">
      <formula>1</formula>
    </cfRule>
  </conditionalFormatting>
  <conditionalFormatting sqref="J4 L4">
    <cfRule type="cellIs" dxfId="635" priority="129" operator="lessThan">
      <formula>0.9699</formula>
    </cfRule>
  </conditionalFormatting>
  <conditionalFormatting sqref="J4 L4">
    <cfRule type="cellIs" dxfId="634" priority="127" operator="between">
      <formula>0.97</formula>
      <formula>0.999</formula>
    </cfRule>
  </conditionalFormatting>
  <conditionalFormatting sqref="N5">
    <cfRule type="cellIs" dxfId="633" priority="125" operator="greaterThan">
      <formula>1</formula>
    </cfRule>
  </conditionalFormatting>
  <conditionalFormatting sqref="N5">
    <cfRule type="cellIs" dxfId="632" priority="126" operator="lessThan">
      <formula>0.9699</formula>
    </cfRule>
  </conditionalFormatting>
  <conditionalFormatting sqref="N5">
    <cfRule type="cellIs" dxfId="631" priority="124" operator="between">
      <formula>0.97</formula>
      <formula>0.999</formula>
    </cfRule>
  </conditionalFormatting>
  <conditionalFormatting sqref="J6">
    <cfRule type="cellIs" dxfId="630" priority="122" operator="greaterThan">
      <formula>1</formula>
    </cfRule>
  </conditionalFormatting>
  <conditionalFormatting sqref="J6">
    <cfRule type="cellIs" dxfId="629" priority="123" operator="lessThan">
      <formula>0.9699</formula>
    </cfRule>
  </conditionalFormatting>
  <conditionalFormatting sqref="J6">
    <cfRule type="cellIs" dxfId="628" priority="121" operator="between">
      <formula>0.97</formula>
      <formula>0.999</formula>
    </cfRule>
  </conditionalFormatting>
  <conditionalFormatting sqref="L5">
    <cfRule type="cellIs" dxfId="627" priority="115" operator="between">
      <formula>0.97</formula>
      <formula>0.999</formula>
    </cfRule>
  </conditionalFormatting>
  <conditionalFormatting sqref="L5">
    <cfRule type="cellIs" dxfId="626" priority="116" operator="greaterThan">
      <formula>1</formula>
    </cfRule>
  </conditionalFormatting>
  <conditionalFormatting sqref="L5">
    <cfRule type="cellIs" dxfId="625" priority="117" operator="lessThan">
      <formula>0.9699</formula>
    </cfRule>
  </conditionalFormatting>
  <conditionalFormatting sqref="L6 N6">
    <cfRule type="cellIs" dxfId="624" priority="112" operator="between">
      <formula>0.97</formula>
      <formula>0.999</formula>
    </cfRule>
  </conditionalFormatting>
  <conditionalFormatting sqref="L6 N6">
    <cfRule type="cellIs" dxfId="623" priority="113" operator="greaterThan">
      <formula>1</formula>
    </cfRule>
  </conditionalFormatting>
  <conditionalFormatting sqref="L6 N6">
    <cfRule type="cellIs" dxfId="622" priority="114" operator="lessThan">
      <formula>0.9699</formula>
    </cfRule>
  </conditionalFormatting>
  <conditionalFormatting sqref="J7">
    <cfRule type="cellIs" dxfId="621" priority="109" operator="between">
      <formula>0.97</formula>
      <formula>0.999</formula>
    </cfRule>
  </conditionalFormatting>
  <conditionalFormatting sqref="J7">
    <cfRule type="cellIs" dxfId="620" priority="110" operator="greaterThan">
      <formula>1</formula>
    </cfRule>
  </conditionalFormatting>
  <conditionalFormatting sqref="J7">
    <cfRule type="cellIs" dxfId="619" priority="111" operator="lessThan">
      <formula>0.9699</formula>
    </cfRule>
  </conditionalFormatting>
  <conditionalFormatting sqref="J8">
    <cfRule type="cellIs" dxfId="618" priority="106" operator="between">
      <formula>0.97</formula>
      <formula>0.999</formula>
    </cfRule>
  </conditionalFormatting>
  <conditionalFormatting sqref="J8">
    <cfRule type="cellIs" dxfId="617" priority="107" operator="greaterThan">
      <formula>1</formula>
    </cfRule>
  </conditionalFormatting>
  <conditionalFormatting sqref="J8">
    <cfRule type="cellIs" dxfId="616" priority="108" operator="lessThan">
      <formula>0.9699</formula>
    </cfRule>
  </conditionalFormatting>
  <conditionalFormatting sqref="L8 N8">
    <cfRule type="cellIs" dxfId="615" priority="103" operator="between">
      <formula>0.97</formula>
      <formula>0.999</formula>
    </cfRule>
  </conditionalFormatting>
  <conditionalFormatting sqref="L8 N8">
    <cfRule type="cellIs" dxfId="614" priority="104" operator="greaterThan">
      <formula>1</formula>
    </cfRule>
  </conditionalFormatting>
  <conditionalFormatting sqref="L8 N8">
    <cfRule type="cellIs" dxfId="613" priority="105" operator="lessThan">
      <formula>0.9699</formula>
    </cfRule>
  </conditionalFormatting>
  <conditionalFormatting sqref="P6">
    <cfRule type="cellIs" dxfId="612" priority="49" operator="between">
      <formula>0.97</formula>
      <formula>0.999</formula>
    </cfRule>
  </conditionalFormatting>
  <conditionalFormatting sqref="P6">
    <cfRule type="cellIs" dxfId="611" priority="50" operator="greaterThan">
      <formula>1</formula>
    </cfRule>
  </conditionalFormatting>
  <conditionalFormatting sqref="P6">
    <cfRule type="cellIs" dxfId="610" priority="51" operator="lessThan">
      <formula>0.9699</formula>
    </cfRule>
  </conditionalFormatting>
  <conditionalFormatting sqref="P5">
    <cfRule type="cellIs" dxfId="608" priority="59" operator="greaterThan">
      <formula>1</formula>
    </cfRule>
  </conditionalFormatting>
  <conditionalFormatting sqref="P5">
    <cfRule type="cellIs" dxfId="607" priority="60" operator="lessThan">
      <formula>0.9699</formula>
    </cfRule>
  </conditionalFormatting>
  <conditionalFormatting sqref="P5">
    <cfRule type="cellIs" dxfId="606" priority="58" operator="between">
      <formula>0.97</formula>
      <formula>0.999</formula>
    </cfRule>
  </conditionalFormatting>
  <conditionalFormatting sqref="P8">
    <cfRule type="cellIs" dxfId="604" priority="47" operator="greaterThan">
      <formula>1</formula>
    </cfRule>
  </conditionalFormatting>
  <conditionalFormatting sqref="P8">
    <cfRule type="cellIs" dxfId="603" priority="48" operator="lessThan">
      <formula>0.9699</formula>
    </cfRule>
  </conditionalFormatting>
  <conditionalFormatting sqref="P8">
    <cfRule type="cellIs" dxfId="602" priority="46" operator="between">
      <formula>0.97</formula>
      <formula>0.999</formula>
    </cfRule>
  </conditionalFormatting>
  <conditionalFormatting sqref="P4">
    <cfRule type="cellIs" dxfId="601" priority="45" operator="greaterThan">
      <formula>1</formula>
    </cfRule>
  </conditionalFormatting>
  <conditionalFormatting sqref="P4">
    <cfRule type="cellIs" dxfId="600" priority="44" operator="lessThan">
      <formula>0.9699</formula>
    </cfRule>
  </conditionalFormatting>
  <conditionalFormatting sqref="P4">
    <cfRule type="cellIs" dxfId="599" priority="43" operator="between">
      <formula>0.97</formula>
      <formula>0.999</formula>
    </cfRule>
  </conditionalFormatting>
  <conditionalFormatting sqref="P3">
    <cfRule type="cellIs" dxfId="598" priority="42" operator="greaterThan">
      <formula>1</formula>
    </cfRule>
  </conditionalFormatting>
  <conditionalFormatting sqref="P3">
    <cfRule type="cellIs" dxfId="597" priority="41" operator="lessThan">
      <formula>0.9699</formula>
    </cfRule>
  </conditionalFormatting>
  <conditionalFormatting sqref="P3">
    <cfRule type="cellIs" dxfId="596" priority="40" operator="between">
      <formula>0.97</formula>
      <formula>0.999</formula>
    </cfRule>
  </conditionalFormatting>
  <conditionalFormatting sqref="R8">
    <cfRule type="cellIs" dxfId="47" priority="23" operator="greaterThan">
      <formula>1</formula>
    </cfRule>
  </conditionalFormatting>
  <conditionalFormatting sqref="R8">
    <cfRule type="cellIs" dxfId="45" priority="24" operator="lessThan">
      <formula>0.9699</formula>
    </cfRule>
  </conditionalFormatting>
  <conditionalFormatting sqref="R8">
    <cfRule type="cellIs" dxfId="43" priority="22" operator="between">
      <formula>0.97</formula>
      <formula>0.999</formula>
    </cfRule>
  </conditionalFormatting>
  <conditionalFormatting sqref="H18">
    <cfRule type="cellIs" dxfId="35" priority="13" operator="between">
      <formula>0.97</formula>
      <formula>0.999</formula>
    </cfRule>
  </conditionalFormatting>
  <conditionalFormatting sqref="H18">
    <cfRule type="cellIs" dxfId="33" priority="14" operator="greaterThan">
      <formula>1</formula>
    </cfRule>
  </conditionalFormatting>
  <conditionalFormatting sqref="H18">
    <cfRule type="cellIs" dxfId="31" priority="15" operator="lessThan">
      <formula>0.9699</formula>
    </cfRule>
  </conditionalFormatting>
  <conditionalFormatting sqref="F18">
    <cfRule type="cellIs" dxfId="29" priority="17" operator="greaterThan">
      <formula>1</formula>
    </cfRule>
  </conditionalFormatting>
  <conditionalFormatting sqref="F18">
    <cfRule type="cellIs" dxfId="27" priority="18" operator="lessThan">
      <formula>0.9699</formula>
    </cfRule>
  </conditionalFormatting>
  <conditionalFormatting sqref="F18">
    <cfRule type="cellIs" dxfId="25" priority="16" operator="between">
      <formula>0.97</formula>
      <formula>0.999</formula>
    </cfRule>
  </conditionalFormatting>
  <conditionalFormatting sqref="J18">
    <cfRule type="cellIs" dxfId="23" priority="10" operator="between">
      <formula>0.97</formula>
      <formula>0.999</formula>
    </cfRule>
  </conditionalFormatting>
  <conditionalFormatting sqref="J18">
    <cfRule type="cellIs" dxfId="21" priority="11" operator="greaterThan">
      <formula>1</formula>
    </cfRule>
  </conditionalFormatting>
  <conditionalFormatting sqref="J18">
    <cfRule type="cellIs" dxfId="19" priority="12" operator="lessThan">
      <formula>0.9699</formula>
    </cfRule>
  </conditionalFormatting>
  <conditionalFormatting sqref="L18 N18">
    <cfRule type="cellIs" dxfId="17" priority="7" operator="between">
      <formula>0.97</formula>
      <formula>0.999</formula>
    </cfRule>
  </conditionalFormatting>
  <conditionalFormatting sqref="L18 N18">
    <cfRule type="cellIs" dxfId="15" priority="8" operator="greaterThan">
      <formula>1</formula>
    </cfRule>
  </conditionalFormatting>
  <conditionalFormatting sqref="L18 N18">
    <cfRule type="cellIs" dxfId="13" priority="9" operator="lessThan">
      <formula>0.9699</formula>
    </cfRule>
  </conditionalFormatting>
  <conditionalFormatting sqref="P18">
    <cfRule type="cellIs" dxfId="11" priority="5" operator="greaterThan">
      <formula>1</formula>
    </cfRule>
  </conditionalFormatting>
  <conditionalFormatting sqref="P18">
    <cfRule type="cellIs" dxfId="9" priority="6" operator="lessThan">
      <formula>0.9699</formula>
    </cfRule>
  </conditionalFormatting>
  <conditionalFormatting sqref="P18">
    <cfRule type="cellIs" dxfId="7" priority="4" operator="between">
      <formula>0.97</formula>
      <formula>0.999</formula>
    </cfRule>
  </conditionalFormatting>
  <conditionalFormatting sqref="R18">
    <cfRule type="cellIs" dxfId="5" priority="2" operator="greaterThan">
      <formula>1</formula>
    </cfRule>
  </conditionalFormatting>
  <conditionalFormatting sqref="R18">
    <cfRule type="cellIs" dxfId="3" priority="3" operator="lessThan">
      <formula>0.9699</formula>
    </cfRule>
  </conditionalFormatting>
  <conditionalFormatting sqref="R18">
    <cfRule type="cellIs" dxfId="1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20"/>
  <sheetViews>
    <sheetView workbookViewId="0">
      <selection activeCell="G19" sqref="G19"/>
    </sheetView>
  </sheetViews>
  <sheetFormatPr baseColWidth="10" defaultRowHeight="15" x14ac:dyDescent="0.25"/>
  <cols>
    <col min="1" max="1" width="12.5703125" customWidth="1"/>
    <col min="2" max="2" width="19" customWidth="1"/>
    <col min="3" max="3" width="20.7109375" customWidth="1"/>
    <col min="4" max="4" width="20.28515625" customWidth="1"/>
    <col min="5" max="5" width="13.140625" customWidth="1"/>
    <col min="6" max="6" width="20.28515625" customWidth="1"/>
    <col min="8" max="8" width="30.140625" customWidth="1"/>
    <col min="9" max="9" width="14" customWidth="1"/>
    <col min="10" max="10" width="59.42578125" customWidth="1"/>
    <col min="11" max="11" width="31.140625" customWidth="1"/>
  </cols>
  <sheetData>
    <row r="1" spans="1:5" x14ac:dyDescent="0.25">
      <c r="B1" s="39" t="s">
        <v>426</v>
      </c>
      <c r="C1" s="39" t="s">
        <v>509</v>
      </c>
      <c r="D1" s="39" t="s">
        <v>425</v>
      </c>
      <c r="E1" s="88"/>
    </row>
    <row r="2" spans="1:5" x14ac:dyDescent="0.25">
      <c r="A2" s="64"/>
      <c r="B2" s="26">
        <v>89118</v>
      </c>
      <c r="C2" s="45">
        <v>89061</v>
      </c>
      <c r="D2" s="70" t="s">
        <v>332</v>
      </c>
      <c r="E2" s="88"/>
    </row>
    <row r="3" spans="1:5" x14ac:dyDescent="0.25">
      <c r="A3" s="64"/>
      <c r="B3" s="40">
        <v>89027</v>
      </c>
      <c r="C3" s="45">
        <v>89059</v>
      </c>
      <c r="D3" s="70" t="s">
        <v>320</v>
      </c>
      <c r="E3" s="88"/>
    </row>
    <row r="4" spans="1:5" x14ac:dyDescent="0.25">
      <c r="A4" s="64"/>
      <c r="B4" s="40">
        <v>89069</v>
      </c>
      <c r="C4" s="45">
        <v>89164</v>
      </c>
      <c r="D4" s="70" t="s">
        <v>348</v>
      </c>
      <c r="E4" s="88"/>
    </row>
    <row r="5" spans="1:5" x14ac:dyDescent="0.25">
      <c r="A5" s="64"/>
      <c r="B5" s="40">
        <v>648306</v>
      </c>
      <c r="C5" s="45">
        <v>89024</v>
      </c>
      <c r="D5" s="70" t="s">
        <v>352</v>
      </c>
      <c r="E5" s="88"/>
    </row>
    <row r="6" spans="1:5" x14ac:dyDescent="0.25">
      <c r="A6" s="64"/>
      <c r="B6" s="40">
        <v>648060</v>
      </c>
      <c r="C6" s="45">
        <v>89118</v>
      </c>
      <c r="D6" s="70" t="s">
        <v>35</v>
      </c>
      <c r="E6" s="88"/>
    </row>
    <row r="7" spans="1:5" x14ac:dyDescent="0.25">
      <c r="A7" s="64"/>
      <c r="B7" s="46">
        <v>89059</v>
      </c>
      <c r="C7" s="45">
        <v>89125</v>
      </c>
      <c r="D7" s="70" t="s">
        <v>48</v>
      </c>
      <c r="E7" s="88" t="s">
        <v>618</v>
      </c>
    </row>
    <row r="8" spans="1:5" x14ac:dyDescent="0.25">
      <c r="A8" s="65"/>
      <c r="B8" s="40">
        <v>89164</v>
      </c>
      <c r="C8" s="45">
        <v>89027</v>
      </c>
      <c r="D8" s="70" t="s">
        <v>350</v>
      </c>
      <c r="E8" s="88"/>
    </row>
    <row r="9" spans="1:5" x14ac:dyDescent="0.25">
      <c r="A9" s="65"/>
      <c r="B9" s="40">
        <v>89121</v>
      </c>
      <c r="C9" s="45">
        <v>89206</v>
      </c>
      <c r="D9" s="70" t="s">
        <v>289</v>
      </c>
      <c r="E9" s="88"/>
    </row>
    <row r="10" spans="1:5" x14ac:dyDescent="0.25">
      <c r="A10" s="65"/>
      <c r="B10" s="40">
        <v>89206</v>
      </c>
      <c r="C10" s="45">
        <v>89069</v>
      </c>
      <c r="D10" s="70" t="s">
        <v>29</v>
      </c>
      <c r="E10" s="88" t="s">
        <v>618</v>
      </c>
    </row>
    <row r="11" spans="1:5" x14ac:dyDescent="0.25">
      <c r="A11" s="65"/>
      <c r="B11" s="40">
        <v>89125</v>
      </c>
      <c r="C11" s="54">
        <v>89227</v>
      </c>
      <c r="D11" s="70" t="s">
        <v>37</v>
      </c>
      <c r="E11" s="88"/>
    </row>
    <row r="12" spans="1:5" x14ac:dyDescent="0.25">
      <c r="B12" s="40">
        <v>89061</v>
      </c>
      <c r="C12" s="45">
        <v>89121</v>
      </c>
      <c r="D12" s="70" t="s">
        <v>43</v>
      </c>
      <c r="E12" s="88" t="s">
        <v>618</v>
      </c>
    </row>
    <row r="13" spans="1:5" x14ac:dyDescent="0.25">
      <c r="B13" s="40">
        <v>89227</v>
      </c>
      <c r="C13" s="45">
        <v>89053</v>
      </c>
      <c r="D13" s="70" t="s">
        <v>50</v>
      </c>
      <c r="E13" s="88"/>
    </row>
    <row r="14" spans="1:5" x14ac:dyDescent="0.25">
      <c r="B14" s="40">
        <v>89024</v>
      </c>
      <c r="C14" s="63">
        <v>648060</v>
      </c>
      <c r="D14" s="71" t="s">
        <v>322</v>
      </c>
      <c r="E14" s="88"/>
    </row>
    <row r="15" spans="1:5" x14ac:dyDescent="0.25">
      <c r="B15" s="40">
        <v>648315</v>
      </c>
      <c r="C15" s="63">
        <v>89237</v>
      </c>
      <c r="D15" s="71" t="s">
        <v>140</v>
      </c>
      <c r="E15" s="88" t="s">
        <v>913</v>
      </c>
    </row>
    <row r="16" spans="1:5" x14ac:dyDescent="0.25">
      <c r="B16" s="40"/>
      <c r="C16" s="45">
        <v>648302</v>
      </c>
      <c r="D16" s="71" t="s">
        <v>230</v>
      </c>
      <c r="E16" s="88" t="s">
        <v>913</v>
      </c>
    </row>
    <row r="17" spans="2:5" x14ac:dyDescent="0.25">
      <c r="B17" s="40"/>
      <c r="C17" s="45">
        <v>648303</v>
      </c>
      <c r="D17" s="71" t="s">
        <v>475</v>
      </c>
      <c r="E17" s="88" t="s">
        <v>611</v>
      </c>
    </row>
    <row r="18" spans="2:5" x14ac:dyDescent="0.25">
      <c r="B18" s="40"/>
      <c r="C18" s="45">
        <v>648306</v>
      </c>
      <c r="D18" s="71" t="s">
        <v>470</v>
      </c>
      <c r="E18" s="88"/>
    </row>
    <row r="19" spans="2:5" x14ac:dyDescent="0.25">
      <c r="B19" s="40"/>
      <c r="C19" s="45">
        <v>648315</v>
      </c>
      <c r="D19" s="71" t="s">
        <v>466</v>
      </c>
      <c r="E19" s="88"/>
    </row>
    <row r="20" spans="2:5" x14ac:dyDescent="0.25">
      <c r="C20">
        <f>COUNT(C2:C19)</f>
        <v>18</v>
      </c>
      <c r="E20" s="88"/>
    </row>
  </sheetData>
  <conditionalFormatting sqref="B2:C19">
    <cfRule type="uniqueValues" dxfId="582" priority="65"/>
  </conditionalFormatting>
  <conditionalFormatting sqref="D14:D15">
    <cfRule type="cellIs" dxfId="581" priority="7" operator="equal">
      <formula>"LOA"</formula>
    </cfRule>
    <cfRule type="cellIs" dxfId="580" priority="8" operator="equal">
      <formula>"PENDING TERM"</formula>
    </cfRule>
    <cfRule type="cellIs" dxfId="579" priority="9" operator="equal">
      <formula>"PROMOTED"</formula>
    </cfRule>
    <cfRule type="cellIs" dxfId="578" priority="10" operator="equal">
      <formula>"REINSTATEMENT"</formula>
    </cfRule>
    <cfRule type="cellIs" dxfId="577" priority="11" operator="equal">
      <formula>"TERM"</formula>
    </cfRule>
    <cfRule type="cellIs" dxfId="576" priority="12" operator="equal">
      <formula>"TRANSFER"</formula>
    </cfRule>
  </conditionalFormatting>
  <conditionalFormatting sqref="D16:D19">
    <cfRule type="cellIs" dxfId="575" priority="1" operator="equal">
      <formula>"LOA"</formula>
    </cfRule>
    <cfRule type="cellIs" dxfId="574" priority="2" operator="equal">
      <formula>"PENDING TERM"</formula>
    </cfRule>
    <cfRule type="cellIs" dxfId="573" priority="3" operator="equal">
      <formula>"PROMOTED"</formula>
    </cfRule>
    <cfRule type="cellIs" dxfId="572" priority="4" operator="equal">
      <formula>"REINSTATEMENT"</formula>
    </cfRule>
    <cfRule type="cellIs" dxfId="571" priority="5" operator="equal">
      <formula>"TERM"</formula>
    </cfRule>
    <cfRule type="cellIs" dxfId="570" priority="6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F280"/>
  <sheetViews>
    <sheetView topLeftCell="A151" workbookViewId="0">
      <selection activeCell="D166" sqref="D166"/>
    </sheetView>
  </sheetViews>
  <sheetFormatPr baseColWidth="10" defaultRowHeight="15" x14ac:dyDescent="0.25"/>
  <cols>
    <col min="1" max="1" width="35.5703125" style="4" bestFit="1" customWidth="1"/>
    <col min="2" max="2" width="18.7109375" style="4" bestFit="1" customWidth="1"/>
    <col min="3" max="3" width="23" style="4" bestFit="1" customWidth="1"/>
    <col min="4" max="4" width="7" style="4" bestFit="1" customWidth="1"/>
    <col min="5" max="5" width="8" style="4" bestFit="1" customWidth="1"/>
    <col min="6" max="6" width="73.7109375" style="4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9" t="s">
        <v>10</v>
      </c>
      <c r="B2" s="49" t="s">
        <v>324</v>
      </c>
      <c r="C2" s="49" t="s">
        <v>325</v>
      </c>
      <c r="D2" s="49">
        <v>89065</v>
      </c>
      <c r="E2" s="49">
        <v>2592570</v>
      </c>
      <c r="F2" s="49" t="s">
        <v>510</v>
      </c>
    </row>
    <row r="3" spans="1:6" x14ac:dyDescent="0.25">
      <c r="A3" s="45" t="s">
        <v>10</v>
      </c>
      <c r="B3" s="45" t="s">
        <v>29</v>
      </c>
      <c r="C3" s="45" t="s">
        <v>30</v>
      </c>
      <c r="D3" s="45">
        <v>89069</v>
      </c>
      <c r="E3" s="45">
        <v>2313015</v>
      </c>
      <c r="F3" s="45" t="s">
        <v>26</v>
      </c>
    </row>
    <row r="4" spans="1:6" x14ac:dyDescent="0.25">
      <c r="A4" s="45" t="s">
        <v>10</v>
      </c>
      <c r="B4" s="45" t="s">
        <v>35</v>
      </c>
      <c r="C4" s="45" t="s">
        <v>36</v>
      </c>
      <c r="D4" s="45">
        <v>89118</v>
      </c>
      <c r="E4" s="45">
        <v>2358095</v>
      </c>
      <c r="F4" s="45" t="s">
        <v>26</v>
      </c>
    </row>
    <row r="5" spans="1:6" x14ac:dyDescent="0.25">
      <c r="A5" s="49" t="s">
        <v>10</v>
      </c>
      <c r="B5" s="49" t="s">
        <v>332</v>
      </c>
      <c r="C5" s="49" t="s">
        <v>333</v>
      </c>
      <c r="D5" s="49">
        <v>89061</v>
      </c>
      <c r="E5" s="49">
        <v>1880623</v>
      </c>
      <c r="F5" s="49" t="s">
        <v>511</v>
      </c>
    </row>
    <row r="6" spans="1:6" x14ac:dyDescent="0.25">
      <c r="A6" s="49" t="s">
        <v>10</v>
      </c>
      <c r="B6" s="49" t="s">
        <v>336</v>
      </c>
      <c r="C6" s="49" t="s">
        <v>337</v>
      </c>
      <c r="D6" s="49">
        <v>89007</v>
      </c>
      <c r="E6" s="49">
        <v>2453507</v>
      </c>
      <c r="F6" s="49" t="s">
        <v>512</v>
      </c>
    </row>
    <row r="7" spans="1:6" x14ac:dyDescent="0.25">
      <c r="A7" s="49" t="s">
        <v>10</v>
      </c>
      <c r="B7" s="49" t="s">
        <v>37</v>
      </c>
      <c r="C7" s="49" t="s">
        <v>38</v>
      </c>
      <c r="D7" s="50">
        <v>89227</v>
      </c>
      <c r="E7" s="49">
        <v>3462518</v>
      </c>
      <c r="F7" s="49" t="s">
        <v>513</v>
      </c>
    </row>
    <row r="8" spans="1:6" x14ac:dyDescent="0.25">
      <c r="A8" s="45" t="s">
        <v>10</v>
      </c>
      <c r="B8" s="45" t="s">
        <v>39</v>
      </c>
      <c r="C8" s="45" t="s">
        <v>40</v>
      </c>
      <c r="D8" s="45">
        <v>89064</v>
      </c>
      <c r="E8" s="45">
        <v>2811367</v>
      </c>
      <c r="F8" s="45" t="s">
        <v>26</v>
      </c>
    </row>
    <row r="9" spans="1:6" x14ac:dyDescent="0.25">
      <c r="A9" s="45" t="s">
        <v>10</v>
      </c>
      <c r="B9" s="45" t="s">
        <v>340</v>
      </c>
      <c r="C9" s="45" t="s">
        <v>341</v>
      </c>
      <c r="D9" s="45">
        <v>89187</v>
      </c>
      <c r="E9" s="45">
        <v>3138449</v>
      </c>
      <c r="F9" s="45" t="s">
        <v>26</v>
      </c>
    </row>
    <row r="10" spans="1:6" x14ac:dyDescent="0.25">
      <c r="A10" s="45" t="s">
        <v>10</v>
      </c>
      <c r="B10" s="45" t="s">
        <v>48</v>
      </c>
      <c r="C10" s="45" t="s">
        <v>49</v>
      </c>
      <c r="D10" s="45">
        <v>89125</v>
      </c>
      <c r="E10" s="45">
        <v>3118306</v>
      </c>
      <c r="F10" s="45" t="s">
        <v>26</v>
      </c>
    </row>
    <row r="11" spans="1:6" x14ac:dyDescent="0.25">
      <c r="A11" s="49" t="s">
        <v>10</v>
      </c>
      <c r="B11" s="49" t="s">
        <v>344</v>
      </c>
      <c r="C11" s="49" t="s">
        <v>345</v>
      </c>
      <c r="D11" s="49">
        <v>89056</v>
      </c>
      <c r="E11" s="49">
        <v>2811372</v>
      </c>
      <c r="F11" s="49" t="s">
        <v>514</v>
      </c>
    </row>
    <row r="12" spans="1:6" x14ac:dyDescent="0.25">
      <c r="A12" s="49" t="s">
        <v>10</v>
      </c>
      <c r="B12" s="49" t="s">
        <v>50</v>
      </c>
      <c r="C12" s="49" t="s">
        <v>51</v>
      </c>
      <c r="D12" s="45">
        <v>89053</v>
      </c>
      <c r="E12" s="45">
        <v>1063468</v>
      </c>
      <c r="F12" s="45" t="s">
        <v>515</v>
      </c>
    </row>
    <row r="13" spans="1:6" x14ac:dyDescent="0.25">
      <c r="A13" s="49" t="s">
        <v>10</v>
      </c>
      <c r="B13" s="49" t="s">
        <v>348</v>
      </c>
      <c r="C13" s="49" t="s">
        <v>349</v>
      </c>
      <c r="D13" s="49">
        <v>89164</v>
      </c>
      <c r="E13" s="49">
        <v>3133293</v>
      </c>
      <c r="F13" s="49" t="s">
        <v>514</v>
      </c>
    </row>
    <row r="14" spans="1:6" x14ac:dyDescent="0.25">
      <c r="A14" s="45" t="s">
        <v>10</v>
      </c>
      <c r="B14" s="45" t="s">
        <v>350</v>
      </c>
      <c r="C14" s="45" t="s">
        <v>351</v>
      </c>
      <c r="D14" s="45">
        <v>89027</v>
      </c>
      <c r="E14" s="45">
        <v>2873639</v>
      </c>
      <c r="F14" s="45" t="s">
        <v>26</v>
      </c>
    </row>
    <row r="15" spans="1:6" x14ac:dyDescent="0.25">
      <c r="A15" s="45" t="s">
        <v>10</v>
      </c>
      <c r="B15" s="45" t="s">
        <v>52</v>
      </c>
      <c r="C15" s="45" t="s">
        <v>53</v>
      </c>
      <c r="D15" s="45">
        <v>89101</v>
      </c>
      <c r="E15" s="45">
        <v>2178550</v>
      </c>
      <c r="F15" s="45" t="s">
        <v>26</v>
      </c>
    </row>
    <row r="16" spans="1:6" x14ac:dyDescent="0.25">
      <c r="A16" s="49" t="s">
        <v>10</v>
      </c>
      <c r="B16" s="49" t="s">
        <v>352</v>
      </c>
      <c r="C16" s="49" t="s">
        <v>353</v>
      </c>
      <c r="D16" s="49">
        <v>89024</v>
      </c>
      <c r="E16" s="49">
        <v>2873911</v>
      </c>
      <c r="F16" s="49" t="s">
        <v>514</v>
      </c>
    </row>
    <row r="17" spans="1:6" x14ac:dyDescent="0.25">
      <c r="A17" s="45" t="s">
        <v>10</v>
      </c>
      <c r="B17" s="45" t="s">
        <v>56</v>
      </c>
      <c r="C17" s="45" t="s">
        <v>57</v>
      </c>
      <c r="D17" s="45">
        <v>89131</v>
      </c>
      <c r="E17" s="45">
        <v>3118304</v>
      </c>
      <c r="F17" s="45" t="s">
        <v>26</v>
      </c>
    </row>
    <row r="18" spans="1:6" x14ac:dyDescent="0.25">
      <c r="A18" s="49" t="s">
        <v>10</v>
      </c>
      <c r="B18" s="49" t="s">
        <v>320</v>
      </c>
      <c r="C18" s="49" t="s">
        <v>360</v>
      </c>
      <c r="D18" s="49">
        <v>89059</v>
      </c>
      <c r="E18" s="49">
        <v>2832262</v>
      </c>
      <c r="F18" s="49" t="s">
        <v>511</v>
      </c>
    </row>
    <row r="19" spans="1:6" x14ac:dyDescent="0.25">
      <c r="A19" s="45" t="s">
        <v>11</v>
      </c>
      <c r="B19" s="45" t="s">
        <v>100</v>
      </c>
      <c r="C19" s="45" t="s">
        <v>101</v>
      </c>
      <c r="D19" s="45">
        <v>89017</v>
      </c>
      <c r="E19" s="45">
        <v>1584478</v>
      </c>
      <c r="F19" s="45" t="s">
        <v>26</v>
      </c>
    </row>
    <row r="20" spans="1:6" x14ac:dyDescent="0.25">
      <c r="A20" s="49" t="s">
        <v>11</v>
      </c>
      <c r="B20" s="49" t="s">
        <v>58</v>
      </c>
      <c r="C20" s="49" t="s">
        <v>59</v>
      </c>
      <c r="D20" s="49">
        <v>89025</v>
      </c>
      <c r="E20" s="49">
        <v>2873635</v>
      </c>
      <c r="F20" s="49" t="s">
        <v>514</v>
      </c>
    </row>
    <row r="21" spans="1:6" x14ac:dyDescent="0.25">
      <c r="A21" s="49" t="s">
        <v>11</v>
      </c>
      <c r="B21" s="49" t="s">
        <v>62</v>
      </c>
      <c r="C21" s="49" t="s">
        <v>63</v>
      </c>
      <c r="D21" s="49">
        <v>89009</v>
      </c>
      <c r="E21" s="49">
        <v>1159887</v>
      </c>
      <c r="F21" s="49" t="s">
        <v>514</v>
      </c>
    </row>
    <row r="22" spans="1:6" x14ac:dyDescent="0.25">
      <c r="A22" s="49" t="s">
        <v>11</v>
      </c>
      <c r="B22" s="49" t="s">
        <v>66</v>
      </c>
      <c r="C22" s="49" t="s">
        <v>104</v>
      </c>
      <c r="D22" s="49">
        <v>89181</v>
      </c>
      <c r="E22" s="49">
        <v>3138477</v>
      </c>
      <c r="F22" s="49" t="s">
        <v>513</v>
      </c>
    </row>
    <row r="23" spans="1:6" x14ac:dyDescent="0.25">
      <c r="A23" s="45" t="s">
        <v>11</v>
      </c>
      <c r="B23" s="45" t="s">
        <v>107</v>
      </c>
      <c r="C23" s="45" t="s">
        <v>108</v>
      </c>
      <c r="D23" s="45">
        <v>89037</v>
      </c>
      <c r="E23" s="45">
        <v>796797</v>
      </c>
      <c r="F23" s="45" t="s">
        <v>26</v>
      </c>
    </row>
    <row r="24" spans="1:6" x14ac:dyDescent="0.25">
      <c r="A24" s="49" t="s">
        <v>11</v>
      </c>
      <c r="B24" s="49" t="s">
        <v>109</v>
      </c>
      <c r="C24" s="49" t="s">
        <v>110</v>
      </c>
      <c r="D24" s="49">
        <v>89126</v>
      </c>
      <c r="E24" s="49">
        <v>3118280</v>
      </c>
      <c r="F24" s="49" t="s">
        <v>513</v>
      </c>
    </row>
    <row r="25" spans="1:6" x14ac:dyDescent="0.25">
      <c r="A25" s="45" t="s">
        <v>11</v>
      </c>
      <c r="B25" s="45" t="s">
        <v>72</v>
      </c>
      <c r="C25" s="45" t="s">
        <v>73</v>
      </c>
      <c r="D25" s="45">
        <v>89003</v>
      </c>
      <c r="E25" s="45">
        <v>1313201</v>
      </c>
      <c r="F25" s="45" t="s">
        <v>26</v>
      </c>
    </row>
    <row r="26" spans="1:6" x14ac:dyDescent="0.25">
      <c r="A26" s="49" t="s">
        <v>11</v>
      </c>
      <c r="B26" s="49" t="s">
        <v>74</v>
      </c>
      <c r="C26" s="49" t="s">
        <v>75</v>
      </c>
      <c r="D26" s="49">
        <v>89045</v>
      </c>
      <c r="E26" s="49">
        <v>2593757</v>
      </c>
      <c r="F26" s="49" t="s">
        <v>516</v>
      </c>
    </row>
    <row r="27" spans="1:6" x14ac:dyDescent="0.25">
      <c r="A27" s="45" t="s">
        <v>11</v>
      </c>
      <c r="B27" s="45" t="s">
        <v>76</v>
      </c>
      <c r="C27" s="45" t="s">
        <v>77</v>
      </c>
      <c r="D27" s="45">
        <v>89020</v>
      </c>
      <c r="E27" s="45">
        <v>2445213</v>
      </c>
      <c r="F27" s="45" t="s">
        <v>26</v>
      </c>
    </row>
    <row r="28" spans="1:6" x14ac:dyDescent="0.25">
      <c r="A28" s="49" t="s">
        <v>11</v>
      </c>
      <c r="B28" s="49" t="s">
        <v>78</v>
      </c>
      <c r="C28" s="49" t="s">
        <v>79</v>
      </c>
      <c r="D28" s="49">
        <v>89000</v>
      </c>
      <c r="E28" s="49">
        <v>1704898</v>
      </c>
      <c r="F28" s="49" t="s">
        <v>516</v>
      </c>
    </row>
    <row r="29" spans="1:6" x14ac:dyDescent="0.25">
      <c r="A29" s="51" t="s">
        <v>11</v>
      </c>
      <c r="B29" s="51" t="s">
        <v>84</v>
      </c>
      <c r="C29" s="51" t="s">
        <v>85</v>
      </c>
      <c r="D29" s="45">
        <v>89011</v>
      </c>
      <c r="E29" s="45">
        <v>513017</v>
      </c>
      <c r="F29" s="45" t="s">
        <v>515</v>
      </c>
    </row>
    <row r="30" spans="1:6" x14ac:dyDescent="0.25">
      <c r="A30" s="49" t="s">
        <v>11</v>
      </c>
      <c r="B30" s="49" t="s">
        <v>114</v>
      </c>
      <c r="C30" s="49" t="s">
        <v>115</v>
      </c>
      <c r="D30" s="49">
        <v>89038</v>
      </c>
      <c r="E30" s="49">
        <v>961948</v>
      </c>
      <c r="F30" s="49" t="s">
        <v>514</v>
      </c>
    </row>
    <row r="31" spans="1:6" x14ac:dyDescent="0.25">
      <c r="A31" s="45" t="s">
        <v>11</v>
      </c>
      <c r="B31" s="45" t="s">
        <v>86</v>
      </c>
      <c r="C31" s="45" t="s">
        <v>87</v>
      </c>
      <c r="D31" s="45">
        <v>89006</v>
      </c>
      <c r="E31" s="45">
        <v>2523177</v>
      </c>
      <c r="F31" s="45" t="s">
        <v>26</v>
      </c>
    </row>
    <row r="32" spans="1:6" x14ac:dyDescent="0.25">
      <c r="A32" s="49" t="s">
        <v>11</v>
      </c>
      <c r="B32" s="49" t="s">
        <v>287</v>
      </c>
      <c r="C32" s="49" t="s">
        <v>288</v>
      </c>
      <c r="D32" s="49">
        <v>89193</v>
      </c>
      <c r="E32" s="49">
        <v>3138527</v>
      </c>
      <c r="F32" s="49" t="s">
        <v>514</v>
      </c>
    </row>
    <row r="33" spans="1:6" x14ac:dyDescent="0.25">
      <c r="A33" s="45" t="s">
        <v>11</v>
      </c>
      <c r="B33" s="45" t="s">
        <v>88</v>
      </c>
      <c r="C33" s="45" t="s">
        <v>89</v>
      </c>
      <c r="D33" s="45">
        <v>89046</v>
      </c>
      <c r="E33" s="45">
        <v>2811272</v>
      </c>
      <c r="F33" s="45" t="s">
        <v>515</v>
      </c>
    </row>
    <row r="34" spans="1:6" x14ac:dyDescent="0.25">
      <c r="A34" s="49" t="s">
        <v>11</v>
      </c>
      <c r="B34" s="49" t="s">
        <v>94</v>
      </c>
      <c r="C34" s="49" t="s">
        <v>95</v>
      </c>
      <c r="D34" s="49">
        <v>89035</v>
      </c>
      <c r="E34" s="49">
        <v>2592591</v>
      </c>
      <c r="F34" s="49" t="s">
        <v>514</v>
      </c>
    </row>
    <row r="35" spans="1:6" x14ac:dyDescent="0.25">
      <c r="A35" s="49" t="s">
        <v>11</v>
      </c>
      <c r="B35" s="49" t="s">
        <v>132</v>
      </c>
      <c r="C35" s="49" t="s">
        <v>133</v>
      </c>
      <c r="D35" s="49">
        <v>89175</v>
      </c>
      <c r="E35" s="49">
        <v>2831528</v>
      </c>
      <c r="F35" s="49" t="s">
        <v>515</v>
      </c>
    </row>
    <row r="36" spans="1:6" x14ac:dyDescent="0.25">
      <c r="A36" s="45" t="s">
        <v>391</v>
      </c>
      <c r="B36" s="45" t="s">
        <v>228</v>
      </c>
      <c r="C36" s="45" t="s">
        <v>229</v>
      </c>
      <c r="D36" s="45">
        <v>648041</v>
      </c>
      <c r="E36" s="45">
        <v>3553153</v>
      </c>
      <c r="F36" s="52" t="s">
        <v>515</v>
      </c>
    </row>
    <row r="37" spans="1:6" x14ac:dyDescent="0.25">
      <c r="A37" s="45" t="s">
        <v>391</v>
      </c>
      <c r="B37" s="45" t="s">
        <v>163</v>
      </c>
      <c r="C37" s="45" t="s">
        <v>164</v>
      </c>
      <c r="D37" s="45">
        <v>89295</v>
      </c>
      <c r="E37" s="45">
        <v>3624105</v>
      </c>
      <c r="F37" s="45" t="s">
        <v>515</v>
      </c>
    </row>
    <row r="38" spans="1:6" x14ac:dyDescent="0.25">
      <c r="A38" s="45" t="s">
        <v>391</v>
      </c>
      <c r="B38" s="45" t="s">
        <v>232</v>
      </c>
      <c r="C38" s="45" t="s">
        <v>233</v>
      </c>
      <c r="D38" s="45">
        <v>648038</v>
      </c>
      <c r="E38" s="45">
        <v>3553100</v>
      </c>
      <c r="F38" s="52" t="s">
        <v>515</v>
      </c>
    </row>
    <row r="39" spans="1:6" x14ac:dyDescent="0.25">
      <c r="A39" s="45" t="s">
        <v>391</v>
      </c>
      <c r="B39" s="45" t="s">
        <v>58</v>
      </c>
      <c r="C39" s="45" t="s">
        <v>259</v>
      </c>
      <c r="D39" s="45">
        <v>89297</v>
      </c>
      <c r="E39" s="45">
        <v>3542988</v>
      </c>
      <c r="F39" s="45" t="s">
        <v>515</v>
      </c>
    </row>
    <row r="40" spans="1:6" x14ac:dyDescent="0.25">
      <c r="A40" s="49" t="s">
        <v>391</v>
      </c>
      <c r="B40" s="49" t="s">
        <v>444</v>
      </c>
      <c r="C40" s="49" t="s">
        <v>445</v>
      </c>
      <c r="D40" s="45">
        <v>648225</v>
      </c>
      <c r="E40" s="45">
        <v>946453</v>
      </c>
      <c r="F40" s="52" t="s">
        <v>517</v>
      </c>
    </row>
    <row r="41" spans="1:6" x14ac:dyDescent="0.25">
      <c r="A41" s="49" t="s">
        <v>391</v>
      </c>
      <c r="B41" s="49" t="s">
        <v>66</v>
      </c>
      <c r="C41" s="49" t="s">
        <v>67</v>
      </c>
      <c r="D41" s="49">
        <v>89278</v>
      </c>
      <c r="E41" s="49">
        <v>3623922</v>
      </c>
      <c r="F41" s="49" t="s">
        <v>515</v>
      </c>
    </row>
    <row r="42" spans="1:6" x14ac:dyDescent="0.25">
      <c r="A42" s="49" t="s">
        <v>391</v>
      </c>
      <c r="B42" s="49" t="s">
        <v>446</v>
      </c>
      <c r="C42" s="49" t="s">
        <v>57</v>
      </c>
      <c r="D42" s="45">
        <v>648226</v>
      </c>
      <c r="E42" s="45">
        <v>2714192</v>
      </c>
      <c r="F42" s="52" t="s">
        <v>517</v>
      </c>
    </row>
    <row r="43" spans="1:6" x14ac:dyDescent="0.25">
      <c r="A43" s="49" t="s">
        <v>391</v>
      </c>
      <c r="B43" s="49" t="s">
        <v>170</v>
      </c>
      <c r="C43" s="49" t="s">
        <v>171</v>
      </c>
      <c r="D43" s="45">
        <v>89183</v>
      </c>
      <c r="E43" s="45">
        <v>3138530</v>
      </c>
      <c r="F43" s="45" t="s">
        <v>515</v>
      </c>
    </row>
    <row r="44" spans="1:6" x14ac:dyDescent="0.25">
      <c r="A44" s="49" t="s">
        <v>391</v>
      </c>
      <c r="B44" s="49" t="s">
        <v>68</v>
      </c>
      <c r="C44" s="49" t="s">
        <v>69</v>
      </c>
      <c r="D44" s="49">
        <v>89184</v>
      </c>
      <c r="E44" s="49">
        <v>3138516</v>
      </c>
      <c r="F44" s="49" t="s">
        <v>515</v>
      </c>
    </row>
    <row r="45" spans="1:6" x14ac:dyDescent="0.25">
      <c r="A45" s="49" t="s">
        <v>391</v>
      </c>
      <c r="B45" s="49" t="s">
        <v>174</v>
      </c>
      <c r="C45" s="49" t="s">
        <v>175</v>
      </c>
      <c r="D45" s="45">
        <v>89094</v>
      </c>
      <c r="E45" s="45">
        <v>2911897</v>
      </c>
      <c r="F45" s="45" t="s">
        <v>515</v>
      </c>
    </row>
    <row r="46" spans="1:6" x14ac:dyDescent="0.25">
      <c r="A46" s="45" t="s">
        <v>391</v>
      </c>
      <c r="B46" s="45" t="s">
        <v>178</v>
      </c>
      <c r="C46" s="45" t="s">
        <v>179</v>
      </c>
      <c r="D46" s="45">
        <v>89161</v>
      </c>
      <c r="E46" s="45">
        <v>3133234</v>
      </c>
      <c r="F46" s="45" t="s">
        <v>518</v>
      </c>
    </row>
    <row r="47" spans="1:6" x14ac:dyDescent="0.25">
      <c r="A47" s="45" t="s">
        <v>391</v>
      </c>
      <c r="B47" s="45" t="s">
        <v>70</v>
      </c>
      <c r="C47" s="45" t="s">
        <v>71</v>
      </c>
      <c r="D47" s="45">
        <v>89124</v>
      </c>
      <c r="E47" s="45">
        <v>3118297</v>
      </c>
      <c r="F47" s="45" t="s">
        <v>515</v>
      </c>
    </row>
    <row r="48" spans="1:6" x14ac:dyDescent="0.25">
      <c r="A48" s="49" t="s">
        <v>391</v>
      </c>
      <c r="B48" s="49" t="s">
        <v>48</v>
      </c>
      <c r="C48" s="49" t="s">
        <v>447</v>
      </c>
      <c r="D48" s="45">
        <v>648228</v>
      </c>
      <c r="E48" s="45">
        <v>2068786</v>
      </c>
      <c r="F48" s="52" t="s">
        <v>517</v>
      </c>
    </row>
    <row r="49" spans="1:6" x14ac:dyDescent="0.25">
      <c r="A49" s="45" t="s">
        <v>391</v>
      </c>
      <c r="B49" s="45" t="s">
        <v>243</v>
      </c>
      <c r="C49" s="45" t="s">
        <v>244</v>
      </c>
      <c r="D49" s="45">
        <v>648053</v>
      </c>
      <c r="E49" s="45">
        <v>3553091</v>
      </c>
      <c r="F49" s="52" t="s">
        <v>515</v>
      </c>
    </row>
    <row r="50" spans="1:6" x14ac:dyDescent="0.25">
      <c r="A50" s="49" t="s">
        <v>391</v>
      </c>
      <c r="B50" s="49" t="s">
        <v>80</v>
      </c>
      <c r="C50" s="49" t="s">
        <v>81</v>
      </c>
      <c r="D50" s="49">
        <v>89288</v>
      </c>
      <c r="E50" s="49">
        <v>2837489</v>
      </c>
      <c r="F50" s="49" t="s">
        <v>515</v>
      </c>
    </row>
    <row r="51" spans="1:6" x14ac:dyDescent="0.25">
      <c r="A51" s="45" t="s">
        <v>391</v>
      </c>
      <c r="B51" s="45" t="s">
        <v>124</v>
      </c>
      <c r="C51" s="45" t="s">
        <v>125</v>
      </c>
      <c r="D51" s="45">
        <v>89169</v>
      </c>
      <c r="E51" s="45">
        <v>2464942</v>
      </c>
      <c r="F51" s="45" t="s">
        <v>515</v>
      </c>
    </row>
    <row r="52" spans="1:6" x14ac:dyDescent="0.25">
      <c r="A52" s="49" t="s">
        <v>391</v>
      </c>
      <c r="B52" s="49" t="s">
        <v>92</v>
      </c>
      <c r="C52" s="49" t="s">
        <v>93</v>
      </c>
      <c r="D52" s="49">
        <v>89289</v>
      </c>
      <c r="E52" s="49">
        <v>1690062</v>
      </c>
      <c r="F52" s="49" t="s">
        <v>515</v>
      </c>
    </row>
    <row r="53" spans="1:6" x14ac:dyDescent="0.25">
      <c r="A53" s="45" t="s">
        <v>391</v>
      </c>
      <c r="B53" s="45" t="s">
        <v>96</v>
      </c>
      <c r="C53" s="45" t="s">
        <v>97</v>
      </c>
      <c r="D53" s="45">
        <v>89282</v>
      </c>
      <c r="E53" s="45">
        <v>3624024</v>
      </c>
      <c r="F53" s="45" t="s">
        <v>515</v>
      </c>
    </row>
    <row r="54" spans="1:6" x14ac:dyDescent="0.25">
      <c r="A54" s="49" t="s">
        <v>519</v>
      </c>
      <c r="B54" s="49" t="s">
        <v>230</v>
      </c>
      <c r="C54" s="49" t="s">
        <v>231</v>
      </c>
      <c r="D54" s="49">
        <v>89292</v>
      </c>
      <c r="E54" s="49">
        <v>3624040</v>
      </c>
      <c r="F54" s="49" t="s">
        <v>515</v>
      </c>
    </row>
    <row r="55" spans="1:6" x14ac:dyDescent="0.25">
      <c r="A55" s="49" t="s">
        <v>519</v>
      </c>
      <c r="B55" s="49" t="s">
        <v>520</v>
      </c>
      <c r="C55" s="49" t="s">
        <v>521</v>
      </c>
      <c r="D55" s="49">
        <v>648368</v>
      </c>
      <c r="E55" s="49">
        <v>765954</v>
      </c>
      <c r="F55" s="53" t="s">
        <v>515</v>
      </c>
    </row>
    <row r="56" spans="1:6" x14ac:dyDescent="0.25">
      <c r="A56" s="49" t="s">
        <v>519</v>
      </c>
      <c r="B56" s="49" t="s">
        <v>522</v>
      </c>
      <c r="C56" s="49" t="s">
        <v>523</v>
      </c>
      <c r="D56" s="49">
        <v>648375</v>
      </c>
      <c r="E56" s="49">
        <v>765944</v>
      </c>
      <c r="F56" s="53" t="s">
        <v>515</v>
      </c>
    </row>
    <row r="57" spans="1:6" x14ac:dyDescent="0.25">
      <c r="A57" s="49" t="s">
        <v>519</v>
      </c>
      <c r="B57" s="49" t="s">
        <v>524</v>
      </c>
      <c r="C57" s="49" t="s">
        <v>525</v>
      </c>
      <c r="D57" s="49">
        <v>648391</v>
      </c>
      <c r="E57" s="49">
        <v>2024635</v>
      </c>
      <c r="F57" s="53" t="s">
        <v>515</v>
      </c>
    </row>
    <row r="58" spans="1:6" x14ac:dyDescent="0.25">
      <c r="A58" s="49" t="s">
        <v>519</v>
      </c>
      <c r="B58" s="49" t="s">
        <v>526</v>
      </c>
      <c r="C58" s="49" t="s">
        <v>527</v>
      </c>
      <c r="D58" s="49">
        <v>648359</v>
      </c>
      <c r="E58" s="49">
        <v>730819</v>
      </c>
      <c r="F58" s="53" t="s">
        <v>515</v>
      </c>
    </row>
    <row r="59" spans="1:6" x14ac:dyDescent="0.25">
      <c r="A59" s="49" t="s">
        <v>519</v>
      </c>
      <c r="B59" s="49" t="s">
        <v>528</v>
      </c>
      <c r="C59" s="49" t="s">
        <v>525</v>
      </c>
      <c r="D59" s="45">
        <v>648366</v>
      </c>
      <c r="E59" s="45">
        <v>3405729</v>
      </c>
      <c r="F59" s="52" t="s">
        <v>515</v>
      </c>
    </row>
    <row r="60" spans="1:6" x14ac:dyDescent="0.25">
      <c r="A60" s="45" t="s">
        <v>519</v>
      </c>
      <c r="B60" s="45" t="s">
        <v>112</v>
      </c>
      <c r="C60" s="45" t="s">
        <v>113</v>
      </c>
      <c r="D60" s="45">
        <v>89018</v>
      </c>
      <c r="E60" s="45">
        <v>2873906</v>
      </c>
      <c r="F60" s="45" t="s">
        <v>515</v>
      </c>
    </row>
    <row r="61" spans="1:6" x14ac:dyDescent="0.25">
      <c r="A61" s="49" t="s">
        <v>519</v>
      </c>
      <c r="B61" s="49" t="s">
        <v>529</v>
      </c>
      <c r="C61" s="49" t="s">
        <v>530</v>
      </c>
      <c r="D61" s="49">
        <v>648356</v>
      </c>
      <c r="E61" s="49">
        <v>500872</v>
      </c>
      <c r="F61" s="53" t="s">
        <v>515</v>
      </c>
    </row>
    <row r="62" spans="1:6" x14ac:dyDescent="0.25">
      <c r="A62" s="49" t="s">
        <v>519</v>
      </c>
      <c r="B62" s="49" t="s">
        <v>531</v>
      </c>
      <c r="C62" s="49" t="s">
        <v>532</v>
      </c>
      <c r="D62" s="49">
        <v>648362</v>
      </c>
      <c r="E62" s="49">
        <v>487637</v>
      </c>
      <c r="F62" s="53" t="s">
        <v>515</v>
      </c>
    </row>
    <row r="63" spans="1:6" x14ac:dyDescent="0.25">
      <c r="A63" s="49" t="s">
        <v>519</v>
      </c>
      <c r="B63" s="49" t="s">
        <v>533</v>
      </c>
      <c r="C63" s="49" t="s">
        <v>534</v>
      </c>
      <c r="D63" s="49">
        <v>648360</v>
      </c>
      <c r="E63" s="49">
        <v>1915088</v>
      </c>
      <c r="F63" s="53" t="s">
        <v>515</v>
      </c>
    </row>
    <row r="64" spans="1:6" x14ac:dyDescent="0.25">
      <c r="A64" s="49" t="s">
        <v>519</v>
      </c>
      <c r="B64" s="49" t="s">
        <v>56</v>
      </c>
      <c r="C64" s="49" t="s">
        <v>203</v>
      </c>
      <c r="D64" s="49">
        <v>648364</v>
      </c>
      <c r="E64" s="49">
        <v>717244</v>
      </c>
      <c r="F64" s="53" t="s">
        <v>515</v>
      </c>
    </row>
    <row r="65" spans="1:6" x14ac:dyDescent="0.25">
      <c r="A65" s="49" t="s">
        <v>519</v>
      </c>
      <c r="B65" s="49" t="s">
        <v>535</v>
      </c>
      <c r="C65" s="49" t="s">
        <v>536</v>
      </c>
      <c r="D65" s="49">
        <v>648357</v>
      </c>
      <c r="E65" s="49">
        <v>432923</v>
      </c>
      <c r="F65" s="53" t="s">
        <v>515</v>
      </c>
    </row>
    <row r="66" spans="1:6" x14ac:dyDescent="0.25">
      <c r="A66" s="49" t="s">
        <v>519</v>
      </c>
      <c r="B66" s="49" t="s">
        <v>199</v>
      </c>
      <c r="C66" s="49" t="s">
        <v>537</v>
      </c>
      <c r="D66" s="49">
        <v>648365</v>
      </c>
      <c r="E66" s="49">
        <v>796746</v>
      </c>
      <c r="F66" s="53" t="s">
        <v>515</v>
      </c>
    </row>
    <row r="67" spans="1:6" x14ac:dyDescent="0.25">
      <c r="A67" s="49" t="s">
        <v>519</v>
      </c>
      <c r="B67" s="49" t="s">
        <v>454</v>
      </c>
      <c r="C67" s="49" t="s">
        <v>455</v>
      </c>
      <c r="D67" s="45">
        <v>648237</v>
      </c>
      <c r="E67" s="45">
        <v>1154719</v>
      </c>
      <c r="F67" s="52" t="s">
        <v>517</v>
      </c>
    </row>
    <row r="68" spans="1:6" x14ac:dyDescent="0.25">
      <c r="A68" s="49" t="s">
        <v>12</v>
      </c>
      <c r="B68" s="49" t="s">
        <v>289</v>
      </c>
      <c r="C68" s="49" t="s">
        <v>290</v>
      </c>
      <c r="D68" s="49">
        <v>89206</v>
      </c>
      <c r="E68" s="49">
        <v>3409624</v>
      </c>
      <c r="F68" s="49" t="s">
        <v>513</v>
      </c>
    </row>
    <row r="69" spans="1:6" x14ac:dyDescent="0.25">
      <c r="A69" s="49" t="s">
        <v>12</v>
      </c>
      <c r="B69" s="49" t="s">
        <v>22</v>
      </c>
      <c r="C69" s="49" t="s">
        <v>23</v>
      </c>
      <c r="D69" s="49">
        <v>89057</v>
      </c>
      <c r="E69" s="49">
        <v>2523112</v>
      </c>
      <c r="F69" s="49" t="s">
        <v>513</v>
      </c>
    </row>
    <row r="70" spans="1:6" x14ac:dyDescent="0.25">
      <c r="A70" s="45" t="s">
        <v>12</v>
      </c>
      <c r="B70" s="45" t="s">
        <v>24</v>
      </c>
      <c r="C70" s="45" t="s">
        <v>25</v>
      </c>
      <c r="D70" s="54">
        <v>89225</v>
      </c>
      <c r="E70" s="45">
        <v>1100247</v>
      </c>
      <c r="F70" s="45" t="s">
        <v>26</v>
      </c>
    </row>
    <row r="71" spans="1:6" x14ac:dyDescent="0.25">
      <c r="A71" s="45" t="s">
        <v>12</v>
      </c>
      <c r="B71" s="45" t="s">
        <v>330</v>
      </c>
      <c r="C71" s="45" t="s">
        <v>331</v>
      </c>
      <c r="D71" s="45">
        <v>89022</v>
      </c>
      <c r="E71" s="45">
        <v>2873657</v>
      </c>
      <c r="F71" s="45" t="s">
        <v>511</v>
      </c>
    </row>
    <row r="72" spans="1:6" x14ac:dyDescent="0.25">
      <c r="A72" s="45" t="s">
        <v>12</v>
      </c>
      <c r="B72" s="45" t="s">
        <v>138</v>
      </c>
      <c r="C72" s="45" t="s">
        <v>139</v>
      </c>
      <c r="D72" s="54">
        <v>89236</v>
      </c>
      <c r="E72" s="45">
        <v>3462509</v>
      </c>
      <c r="F72" s="45" t="s">
        <v>26</v>
      </c>
    </row>
    <row r="73" spans="1:6" x14ac:dyDescent="0.25">
      <c r="A73" s="45" t="s">
        <v>12</v>
      </c>
      <c r="B73" s="45" t="s">
        <v>334</v>
      </c>
      <c r="C73" s="45" t="s">
        <v>335</v>
      </c>
      <c r="D73" s="45">
        <v>89104</v>
      </c>
      <c r="E73" s="45">
        <v>2803851</v>
      </c>
      <c r="F73" s="45" t="s">
        <v>26</v>
      </c>
    </row>
    <row r="74" spans="1:6" x14ac:dyDescent="0.25">
      <c r="A74" s="49" t="s">
        <v>12</v>
      </c>
      <c r="B74" s="49" t="s">
        <v>296</v>
      </c>
      <c r="C74" s="49" t="s">
        <v>297</v>
      </c>
      <c r="D74" s="49">
        <v>89207</v>
      </c>
      <c r="E74" s="49">
        <v>3409666</v>
      </c>
      <c r="F74" s="49" t="s">
        <v>513</v>
      </c>
    </row>
    <row r="75" spans="1:6" x14ac:dyDescent="0.25">
      <c r="A75" s="49" t="s">
        <v>12</v>
      </c>
      <c r="B75" s="49" t="s">
        <v>41</v>
      </c>
      <c r="C75" s="49" t="s">
        <v>42</v>
      </c>
      <c r="D75" s="45">
        <v>89119</v>
      </c>
      <c r="E75" s="45">
        <v>3118300</v>
      </c>
      <c r="F75" s="45" t="s">
        <v>515</v>
      </c>
    </row>
    <row r="76" spans="1:6" x14ac:dyDescent="0.25">
      <c r="A76" s="49" t="s">
        <v>12</v>
      </c>
      <c r="B76" s="49" t="s">
        <v>43</v>
      </c>
      <c r="C76" s="49" t="s">
        <v>45</v>
      </c>
      <c r="D76" s="49">
        <v>89121</v>
      </c>
      <c r="E76" s="49">
        <v>2783079</v>
      </c>
      <c r="F76" s="49" t="s">
        <v>513</v>
      </c>
    </row>
    <row r="77" spans="1:6" x14ac:dyDescent="0.25">
      <c r="A77" s="45" t="s">
        <v>12</v>
      </c>
      <c r="B77" s="45" t="s">
        <v>338</v>
      </c>
      <c r="C77" s="45" t="s">
        <v>339</v>
      </c>
      <c r="D77" s="45">
        <v>89001</v>
      </c>
      <c r="E77" s="45">
        <v>2657668</v>
      </c>
      <c r="F77" s="45" t="s">
        <v>26</v>
      </c>
    </row>
    <row r="78" spans="1:6" x14ac:dyDescent="0.25">
      <c r="A78" s="45" t="s">
        <v>12</v>
      </c>
      <c r="B78" s="45" t="s">
        <v>145</v>
      </c>
      <c r="C78" s="45" t="s">
        <v>146</v>
      </c>
      <c r="D78" s="54">
        <v>89229</v>
      </c>
      <c r="E78" s="45">
        <v>3462512</v>
      </c>
      <c r="F78" s="45" t="s">
        <v>26</v>
      </c>
    </row>
    <row r="79" spans="1:6" x14ac:dyDescent="0.25">
      <c r="A79" s="49" t="s">
        <v>12</v>
      </c>
      <c r="B79" s="49" t="s">
        <v>149</v>
      </c>
      <c r="C79" s="49" t="s">
        <v>150</v>
      </c>
      <c r="D79" s="49">
        <v>89215</v>
      </c>
      <c r="E79" s="49">
        <v>3409628</v>
      </c>
      <c r="F79" s="49" t="s">
        <v>513</v>
      </c>
    </row>
    <row r="80" spans="1:6" x14ac:dyDescent="0.25">
      <c r="A80" s="49" t="s">
        <v>12</v>
      </c>
      <c r="B80" s="49" t="s">
        <v>346</v>
      </c>
      <c r="C80" s="49" t="s">
        <v>347</v>
      </c>
      <c r="D80" s="50">
        <v>89241</v>
      </c>
      <c r="E80" s="49">
        <v>1729885</v>
      </c>
      <c r="F80" s="49" t="s">
        <v>538</v>
      </c>
    </row>
    <row r="81" spans="1:6" x14ac:dyDescent="0.25">
      <c r="A81" s="45" t="s">
        <v>12</v>
      </c>
      <c r="B81" s="45" t="s">
        <v>151</v>
      </c>
      <c r="C81" s="45" t="s">
        <v>152</v>
      </c>
      <c r="D81" s="54">
        <v>89242</v>
      </c>
      <c r="E81" s="45">
        <v>3462489</v>
      </c>
      <c r="F81" s="45" t="s">
        <v>515</v>
      </c>
    </row>
    <row r="82" spans="1:6" x14ac:dyDescent="0.25">
      <c r="A82" s="49" t="s">
        <v>12</v>
      </c>
      <c r="B82" s="49" t="s">
        <v>222</v>
      </c>
      <c r="C82" s="49" t="s">
        <v>223</v>
      </c>
      <c r="D82" s="49">
        <v>89310</v>
      </c>
      <c r="E82" s="49">
        <v>3624177</v>
      </c>
      <c r="F82" s="49" t="s">
        <v>513</v>
      </c>
    </row>
    <row r="83" spans="1:6" x14ac:dyDescent="0.25">
      <c r="A83" s="49" t="s">
        <v>12</v>
      </c>
      <c r="B83" s="49" t="s">
        <v>247</v>
      </c>
      <c r="C83" s="49" t="s">
        <v>354</v>
      </c>
      <c r="D83" s="45">
        <v>89168</v>
      </c>
      <c r="E83" s="45">
        <v>3133272</v>
      </c>
      <c r="F83" s="45" t="s">
        <v>26</v>
      </c>
    </row>
    <row r="84" spans="1:6" x14ac:dyDescent="0.25">
      <c r="A84" s="49" t="s">
        <v>12</v>
      </c>
      <c r="B84" s="49" t="s">
        <v>314</v>
      </c>
      <c r="C84" s="49" t="s">
        <v>315</v>
      </c>
      <c r="D84" s="49">
        <v>89218</v>
      </c>
      <c r="E84" s="49">
        <v>3409729</v>
      </c>
      <c r="F84" s="49" t="s">
        <v>513</v>
      </c>
    </row>
    <row r="85" spans="1:6" x14ac:dyDescent="0.25">
      <c r="A85" s="49" t="s">
        <v>12</v>
      </c>
      <c r="B85" s="49" t="s">
        <v>161</v>
      </c>
      <c r="C85" s="49" t="s">
        <v>162</v>
      </c>
      <c r="D85" s="50">
        <v>89234</v>
      </c>
      <c r="E85" s="49">
        <v>3462516</v>
      </c>
      <c r="F85" s="49" t="s">
        <v>26</v>
      </c>
    </row>
    <row r="86" spans="1:6" x14ac:dyDescent="0.25">
      <c r="A86" s="45" t="s">
        <v>539</v>
      </c>
      <c r="B86" s="45" t="s">
        <v>17</v>
      </c>
      <c r="C86" s="45" t="s">
        <v>18</v>
      </c>
      <c r="D86" s="54">
        <v>89224</v>
      </c>
      <c r="E86" s="45">
        <v>3462526</v>
      </c>
      <c r="F86" s="45" t="s">
        <v>515</v>
      </c>
    </row>
    <row r="87" spans="1:6" x14ac:dyDescent="0.25">
      <c r="A87" s="49" t="s">
        <v>539</v>
      </c>
      <c r="B87" s="49" t="s">
        <v>540</v>
      </c>
      <c r="C87" s="49" t="s">
        <v>541</v>
      </c>
      <c r="D87" s="49">
        <v>648384</v>
      </c>
      <c r="E87" s="49">
        <v>3120478</v>
      </c>
      <c r="F87" s="53" t="s">
        <v>515</v>
      </c>
    </row>
    <row r="88" spans="1:6" x14ac:dyDescent="0.25">
      <c r="A88" s="49" t="s">
        <v>539</v>
      </c>
      <c r="B88" s="49" t="s">
        <v>58</v>
      </c>
      <c r="C88" s="49" t="s">
        <v>542</v>
      </c>
      <c r="D88" s="49">
        <v>648392</v>
      </c>
      <c r="E88" s="49">
        <v>3119977</v>
      </c>
      <c r="F88" s="53" t="s">
        <v>515</v>
      </c>
    </row>
    <row r="89" spans="1:6" x14ac:dyDescent="0.25">
      <c r="A89" s="49" t="s">
        <v>539</v>
      </c>
      <c r="B89" s="49" t="s">
        <v>543</v>
      </c>
      <c r="C89" s="49" t="s">
        <v>544</v>
      </c>
      <c r="D89" s="49">
        <v>648378</v>
      </c>
      <c r="E89" s="49">
        <v>3290393</v>
      </c>
      <c r="F89" s="53" t="s">
        <v>515</v>
      </c>
    </row>
    <row r="90" spans="1:6" x14ac:dyDescent="0.25">
      <c r="A90" s="49" t="s">
        <v>539</v>
      </c>
      <c r="B90" s="49" t="s">
        <v>545</v>
      </c>
      <c r="C90" s="49" t="s">
        <v>546</v>
      </c>
      <c r="D90" s="49">
        <v>648379</v>
      </c>
      <c r="E90" s="49">
        <v>433384</v>
      </c>
      <c r="F90" s="53" t="s">
        <v>515</v>
      </c>
    </row>
    <row r="91" spans="1:6" x14ac:dyDescent="0.25">
      <c r="A91" s="49" t="s">
        <v>539</v>
      </c>
      <c r="B91" s="49" t="s">
        <v>68</v>
      </c>
      <c r="C91" s="49" t="s">
        <v>547</v>
      </c>
      <c r="D91" s="49">
        <v>648353</v>
      </c>
      <c r="E91" s="49">
        <v>464833</v>
      </c>
      <c r="F91" s="53" t="s">
        <v>515</v>
      </c>
    </row>
    <row r="92" spans="1:6" x14ac:dyDescent="0.25">
      <c r="A92" s="49" t="s">
        <v>539</v>
      </c>
      <c r="B92" s="49" t="s">
        <v>548</v>
      </c>
      <c r="C92" s="49" t="s">
        <v>549</v>
      </c>
      <c r="D92" s="49">
        <v>648382</v>
      </c>
      <c r="E92" s="49">
        <v>3526348</v>
      </c>
      <c r="F92" s="53" t="s">
        <v>515</v>
      </c>
    </row>
    <row r="93" spans="1:6" x14ac:dyDescent="0.25">
      <c r="A93" s="49" t="s">
        <v>539</v>
      </c>
      <c r="B93" s="49" t="s">
        <v>550</v>
      </c>
      <c r="C93" s="49" t="s">
        <v>551</v>
      </c>
      <c r="D93" s="49">
        <v>648390</v>
      </c>
      <c r="E93" s="49">
        <v>2657804</v>
      </c>
      <c r="F93" s="53" t="s">
        <v>515</v>
      </c>
    </row>
    <row r="94" spans="1:6" x14ac:dyDescent="0.25">
      <c r="A94" s="49" t="s">
        <v>539</v>
      </c>
      <c r="B94" s="49" t="s">
        <v>381</v>
      </c>
      <c r="C94" s="49" t="s">
        <v>552</v>
      </c>
      <c r="D94" s="49">
        <v>648385</v>
      </c>
      <c r="E94" s="49">
        <v>1988450</v>
      </c>
      <c r="F94" s="53" t="s">
        <v>515</v>
      </c>
    </row>
    <row r="95" spans="1:6" x14ac:dyDescent="0.25">
      <c r="A95" s="49" t="s">
        <v>539</v>
      </c>
      <c r="B95" s="49" t="s">
        <v>553</v>
      </c>
      <c r="C95" s="49" t="s">
        <v>554</v>
      </c>
      <c r="D95" s="49">
        <v>648388</v>
      </c>
      <c r="E95" s="49">
        <v>2746225</v>
      </c>
      <c r="F95" s="53" t="s">
        <v>515</v>
      </c>
    </row>
    <row r="96" spans="1:6" x14ac:dyDescent="0.25">
      <c r="A96" s="49" t="s">
        <v>539</v>
      </c>
      <c r="B96" s="49" t="s">
        <v>555</v>
      </c>
      <c r="C96" s="49" t="s">
        <v>556</v>
      </c>
      <c r="D96" s="49">
        <v>648386</v>
      </c>
      <c r="E96" s="49">
        <v>3116938</v>
      </c>
      <c r="F96" s="53" t="s">
        <v>515</v>
      </c>
    </row>
    <row r="97" spans="1:6" x14ac:dyDescent="0.25">
      <c r="A97" s="49" t="s">
        <v>539</v>
      </c>
      <c r="B97" s="49" t="s">
        <v>557</v>
      </c>
      <c r="C97" s="49" t="s">
        <v>200</v>
      </c>
      <c r="D97" s="49">
        <v>648352</v>
      </c>
      <c r="E97" s="49">
        <v>1567502</v>
      </c>
      <c r="F97" s="53" t="s">
        <v>515</v>
      </c>
    </row>
    <row r="98" spans="1:6" x14ac:dyDescent="0.25">
      <c r="A98" s="49" t="s">
        <v>539</v>
      </c>
      <c r="B98" s="49" t="s">
        <v>558</v>
      </c>
      <c r="C98" s="49" t="s">
        <v>559</v>
      </c>
      <c r="D98" s="49">
        <v>648389</v>
      </c>
      <c r="E98" s="49">
        <v>3526355</v>
      </c>
      <c r="F98" s="53" t="s">
        <v>515</v>
      </c>
    </row>
    <row r="99" spans="1:6" x14ac:dyDescent="0.25">
      <c r="A99" s="49" t="s">
        <v>539</v>
      </c>
      <c r="B99" s="49" t="s">
        <v>560</v>
      </c>
      <c r="C99" s="49" t="s">
        <v>376</v>
      </c>
      <c r="D99" s="49">
        <v>648361</v>
      </c>
      <c r="E99" s="49">
        <v>3116792</v>
      </c>
      <c r="F99" s="53" t="s">
        <v>515</v>
      </c>
    </row>
    <row r="100" spans="1:6" x14ac:dyDescent="0.25">
      <c r="A100" s="49" t="s">
        <v>539</v>
      </c>
      <c r="B100" s="49" t="s">
        <v>561</v>
      </c>
      <c r="C100" s="49" t="s">
        <v>562</v>
      </c>
      <c r="D100" s="49">
        <v>648351</v>
      </c>
      <c r="E100" s="49">
        <v>3118459</v>
      </c>
      <c r="F100" s="53" t="s">
        <v>515</v>
      </c>
    </row>
    <row r="101" spans="1:6" x14ac:dyDescent="0.25">
      <c r="A101" s="49" t="s">
        <v>539</v>
      </c>
      <c r="B101" s="49" t="s">
        <v>158</v>
      </c>
      <c r="C101" s="49" t="s">
        <v>563</v>
      </c>
      <c r="D101" s="49">
        <v>648383</v>
      </c>
      <c r="E101" s="49">
        <v>2765889</v>
      </c>
      <c r="F101" s="53" t="s">
        <v>515</v>
      </c>
    </row>
    <row r="102" spans="1:6" x14ac:dyDescent="0.25">
      <c r="A102" s="49" t="s">
        <v>539</v>
      </c>
      <c r="B102" s="49" t="s">
        <v>564</v>
      </c>
      <c r="C102" s="49" t="s">
        <v>565</v>
      </c>
      <c r="D102" s="49">
        <v>648387</v>
      </c>
      <c r="E102" s="49">
        <v>1441889</v>
      </c>
      <c r="F102" s="53" t="s">
        <v>515</v>
      </c>
    </row>
    <row r="103" spans="1:6" x14ac:dyDescent="0.25">
      <c r="A103" s="49" t="s">
        <v>539</v>
      </c>
      <c r="B103" s="49" t="s">
        <v>94</v>
      </c>
      <c r="C103" s="49" t="s">
        <v>440</v>
      </c>
      <c r="D103" s="45">
        <v>648235</v>
      </c>
      <c r="E103" s="45">
        <v>2855603</v>
      </c>
      <c r="F103" s="52" t="s">
        <v>517</v>
      </c>
    </row>
    <row r="104" spans="1:6" x14ac:dyDescent="0.25">
      <c r="A104" s="45" t="s">
        <v>13</v>
      </c>
      <c r="B104" s="45" t="s">
        <v>60</v>
      </c>
      <c r="C104" s="45" t="s">
        <v>61</v>
      </c>
      <c r="D104" s="45">
        <v>89106</v>
      </c>
      <c r="E104" s="45">
        <v>2804853</v>
      </c>
      <c r="F104" s="45" t="s">
        <v>26</v>
      </c>
    </row>
    <row r="105" spans="1:6" x14ac:dyDescent="0.25">
      <c r="A105" s="45" t="s">
        <v>13</v>
      </c>
      <c r="B105" s="45" t="s">
        <v>266</v>
      </c>
      <c r="C105" s="45" t="s">
        <v>267</v>
      </c>
      <c r="D105" s="45">
        <v>89117</v>
      </c>
      <c r="E105" s="45">
        <v>3118266</v>
      </c>
      <c r="F105" s="45" t="s">
        <v>26</v>
      </c>
    </row>
    <row r="106" spans="1:6" x14ac:dyDescent="0.25">
      <c r="A106" s="45" t="s">
        <v>13</v>
      </c>
      <c r="B106" s="45" t="s">
        <v>62</v>
      </c>
      <c r="C106" s="45" t="s">
        <v>203</v>
      </c>
      <c r="D106" s="45">
        <v>89097</v>
      </c>
      <c r="E106" s="45">
        <v>2426406</v>
      </c>
      <c r="F106" s="45" t="s">
        <v>26</v>
      </c>
    </row>
    <row r="107" spans="1:6" x14ac:dyDescent="0.25">
      <c r="A107" s="45" t="s">
        <v>13</v>
      </c>
      <c r="B107" s="45" t="s">
        <v>66</v>
      </c>
      <c r="C107" s="45" t="s">
        <v>169</v>
      </c>
      <c r="D107" s="45">
        <v>89182</v>
      </c>
      <c r="E107" s="45">
        <v>3138445</v>
      </c>
      <c r="F107" s="45" t="s">
        <v>566</v>
      </c>
    </row>
    <row r="108" spans="1:6" x14ac:dyDescent="0.25">
      <c r="A108" s="49" t="s">
        <v>13</v>
      </c>
      <c r="B108" s="49" t="s">
        <v>172</v>
      </c>
      <c r="C108" s="49" t="s">
        <v>173</v>
      </c>
      <c r="D108" s="49">
        <v>89008</v>
      </c>
      <c r="E108" s="49">
        <v>2426435</v>
      </c>
      <c r="F108" s="49" t="s">
        <v>26</v>
      </c>
    </row>
    <row r="109" spans="1:6" x14ac:dyDescent="0.25">
      <c r="A109" s="45" t="s">
        <v>13</v>
      </c>
      <c r="B109" s="45" t="s">
        <v>176</v>
      </c>
      <c r="C109" s="45" t="s">
        <v>177</v>
      </c>
      <c r="D109" s="45">
        <v>89160</v>
      </c>
      <c r="E109" s="45">
        <v>3133265</v>
      </c>
      <c r="F109" s="45" t="s">
        <v>26</v>
      </c>
    </row>
    <row r="110" spans="1:6" x14ac:dyDescent="0.25">
      <c r="A110" s="45" t="s">
        <v>13</v>
      </c>
      <c r="B110" s="45" t="s">
        <v>180</v>
      </c>
      <c r="C110" s="45" t="s">
        <v>181</v>
      </c>
      <c r="D110" s="45">
        <v>89010</v>
      </c>
      <c r="E110" s="45">
        <v>1167531</v>
      </c>
      <c r="F110" s="45" t="s">
        <v>515</v>
      </c>
    </row>
    <row r="111" spans="1:6" x14ac:dyDescent="0.25">
      <c r="A111" s="49" t="s">
        <v>13</v>
      </c>
      <c r="B111" s="49" t="s">
        <v>182</v>
      </c>
      <c r="C111" s="49" t="s">
        <v>183</v>
      </c>
      <c r="D111" s="49">
        <v>89004</v>
      </c>
      <c r="E111" s="49">
        <v>433692</v>
      </c>
      <c r="F111" s="49" t="s">
        <v>538</v>
      </c>
    </row>
    <row r="112" spans="1:6" x14ac:dyDescent="0.25">
      <c r="A112" s="45" t="s">
        <v>13</v>
      </c>
      <c r="B112" s="45" t="s">
        <v>109</v>
      </c>
      <c r="C112" s="45" t="s">
        <v>111</v>
      </c>
      <c r="D112" s="45">
        <v>89162</v>
      </c>
      <c r="E112" s="45">
        <v>3133281</v>
      </c>
      <c r="F112" s="45" t="s">
        <v>26</v>
      </c>
    </row>
    <row r="113" spans="1:6" x14ac:dyDescent="0.25">
      <c r="A113" s="49" t="s">
        <v>13</v>
      </c>
      <c r="B113" s="49" t="s">
        <v>184</v>
      </c>
      <c r="C113" s="49" t="s">
        <v>185</v>
      </c>
      <c r="D113" s="49">
        <v>89127</v>
      </c>
      <c r="E113" s="49">
        <v>3118251</v>
      </c>
      <c r="F113" s="49" t="s">
        <v>513</v>
      </c>
    </row>
    <row r="114" spans="1:6" x14ac:dyDescent="0.25">
      <c r="A114" s="45" t="s">
        <v>13</v>
      </c>
      <c r="B114" s="45" t="s">
        <v>282</v>
      </c>
      <c r="C114" s="45" t="s">
        <v>283</v>
      </c>
      <c r="D114" s="45">
        <v>89086</v>
      </c>
      <c r="E114" s="45">
        <v>2313063</v>
      </c>
      <c r="F114" s="45" t="s">
        <v>26</v>
      </c>
    </row>
    <row r="115" spans="1:6" x14ac:dyDescent="0.25">
      <c r="A115" s="45" t="s">
        <v>13</v>
      </c>
      <c r="B115" s="45" t="s">
        <v>186</v>
      </c>
      <c r="C115" s="45" t="s">
        <v>187</v>
      </c>
      <c r="D115" s="45">
        <v>89005</v>
      </c>
      <c r="E115" s="45">
        <v>1535349</v>
      </c>
      <c r="F115" s="45" t="s">
        <v>515</v>
      </c>
    </row>
    <row r="116" spans="1:6" x14ac:dyDescent="0.25">
      <c r="A116" s="49" t="s">
        <v>13</v>
      </c>
      <c r="B116" s="49" t="s">
        <v>188</v>
      </c>
      <c r="C116" s="49" t="s">
        <v>189</v>
      </c>
      <c r="D116" s="45">
        <v>89190</v>
      </c>
      <c r="E116" s="45">
        <v>3138452</v>
      </c>
      <c r="F116" s="45" t="s">
        <v>515</v>
      </c>
    </row>
    <row r="117" spans="1:6" x14ac:dyDescent="0.25">
      <c r="A117" s="49" t="s">
        <v>13</v>
      </c>
      <c r="B117" s="49" t="s">
        <v>112</v>
      </c>
      <c r="C117" s="49" t="s">
        <v>286</v>
      </c>
      <c r="D117" s="45">
        <v>89093</v>
      </c>
      <c r="E117" s="45">
        <v>2557023</v>
      </c>
      <c r="F117" s="45" t="s">
        <v>26</v>
      </c>
    </row>
    <row r="118" spans="1:6" x14ac:dyDescent="0.25">
      <c r="A118" s="45" t="s">
        <v>13</v>
      </c>
      <c r="B118" s="45" t="s">
        <v>190</v>
      </c>
      <c r="C118" s="45" t="s">
        <v>191</v>
      </c>
      <c r="D118" s="45">
        <v>89033</v>
      </c>
      <c r="E118" s="45">
        <v>1846621</v>
      </c>
      <c r="F118" s="45" t="s">
        <v>26</v>
      </c>
    </row>
    <row r="119" spans="1:6" x14ac:dyDescent="0.25">
      <c r="A119" s="49" t="s">
        <v>13</v>
      </c>
      <c r="B119" s="49" t="s">
        <v>118</v>
      </c>
      <c r="C119" s="49" t="s">
        <v>119</v>
      </c>
      <c r="D119" s="45">
        <v>89130</v>
      </c>
      <c r="E119" s="45">
        <v>1947342</v>
      </c>
      <c r="F119" s="45" t="s">
        <v>26</v>
      </c>
    </row>
    <row r="120" spans="1:6" x14ac:dyDescent="0.25">
      <c r="A120" s="49" t="s">
        <v>13</v>
      </c>
      <c r="B120" s="49" t="s">
        <v>197</v>
      </c>
      <c r="C120" s="49" t="s">
        <v>198</v>
      </c>
      <c r="D120" s="49">
        <v>89172</v>
      </c>
      <c r="E120" s="49">
        <v>3133292</v>
      </c>
      <c r="F120" s="49" t="s">
        <v>513</v>
      </c>
    </row>
    <row r="121" spans="1:6" x14ac:dyDescent="0.25">
      <c r="A121" s="45" t="s">
        <v>13</v>
      </c>
      <c r="B121" s="45" t="s">
        <v>199</v>
      </c>
      <c r="C121" s="45" t="s">
        <v>57</v>
      </c>
      <c r="D121" s="45">
        <v>89034</v>
      </c>
      <c r="E121" s="45">
        <v>1880542</v>
      </c>
      <c r="F121" s="45" t="s">
        <v>26</v>
      </c>
    </row>
    <row r="122" spans="1:6" x14ac:dyDescent="0.25">
      <c r="A122" s="45" t="s">
        <v>13</v>
      </c>
      <c r="B122" s="45" t="s">
        <v>130</v>
      </c>
      <c r="C122" s="45" t="s">
        <v>131</v>
      </c>
      <c r="D122" s="45">
        <v>89134</v>
      </c>
      <c r="E122" s="45">
        <v>3118276</v>
      </c>
      <c r="F122" s="45" t="s">
        <v>26</v>
      </c>
    </row>
    <row r="123" spans="1:6" x14ac:dyDescent="0.25">
      <c r="A123" s="49" t="s">
        <v>15</v>
      </c>
      <c r="B123" s="49" t="s">
        <v>204</v>
      </c>
      <c r="C123" s="49" t="s">
        <v>449</v>
      </c>
      <c r="D123" s="45">
        <v>648221</v>
      </c>
      <c r="E123" s="45">
        <v>2758426</v>
      </c>
      <c r="F123" s="52" t="s">
        <v>517</v>
      </c>
    </row>
    <row r="124" spans="1:6" x14ac:dyDescent="0.25">
      <c r="A124" s="45" t="s">
        <v>15</v>
      </c>
      <c r="B124" s="45" t="s">
        <v>262</v>
      </c>
      <c r="C124" s="45" t="s">
        <v>263</v>
      </c>
      <c r="D124" s="45">
        <v>89116</v>
      </c>
      <c r="E124" s="45">
        <v>3118248</v>
      </c>
      <c r="F124" s="45" t="s">
        <v>515</v>
      </c>
    </row>
    <row r="125" spans="1:6" x14ac:dyDescent="0.25">
      <c r="A125" s="45" t="s">
        <v>15</v>
      </c>
      <c r="B125" s="45" t="s">
        <v>264</v>
      </c>
      <c r="C125" s="45" t="s">
        <v>265</v>
      </c>
      <c r="D125" s="45">
        <v>89039</v>
      </c>
      <c r="E125" s="45">
        <v>2811355</v>
      </c>
      <c r="F125" s="45" t="s">
        <v>515</v>
      </c>
    </row>
    <row r="126" spans="1:6" x14ac:dyDescent="0.25">
      <c r="A126" s="45" t="s">
        <v>15</v>
      </c>
      <c r="B126" s="45" t="s">
        <v>35</v>
      </c>
      <c r="C126" s="45" t="s">
        <v>371</v>
      </c>
      <c r="D126" s="45">
        <v>648069</v>
      </c>
      <c r="E126" s="45">
        <v>3667094</v>
      </c>
      <c r="F126" s="52" t="s">
        <v>515</v>
      </c>
    </row>
    <row r="127" spans="1:6" x14ac:dyDescent="0.25">
      <c r="A127" s="45" t="s">
        <v>15</v>
      </c>
      <c r="B127" s="45" t="s">
        <v>271</v>
      </c>
      <c r="C127" s="45" t="s">
        <v>272</v>
      </c>
      <c r="D127" s="45">
        <v>89159</v>
      </c>
      <c r="E127" s="45">
        <v>3133223</v>
      </c>
      <c r="F127" s="45" t="s">
        <v>515</v>
      </c>
    </row>
    <row r="128" spans="1:6" x14ac:dyDescent="0.25">
      <c r="A128" s="45" t="s">
        <v>15</v>
      </c>
      <c r="B128" s="45" t="s">
        <v>273</v>
      </c>
      <c r="C128" s="45" t="s">
        <v>274</v>
      </c>
      <c r="D128" s="45">
        <v>89280</v>
      </c>
      <c r="E128" s="45">
        <v>3624021</v>
      </c>
      <c r="F128" s="45" t="s">
        <v>515</v>
      </c>
    </row>
    <row r="129" spans="1:6" x14ac:dyDescent="0.25">
      <c r="A129" s="49" t="s">
        <v>15</v>
      </c>
      <c r="B129" s="49" t="s">
        <v>363</v>
      </c>
      <c r="C129" s="49" t="s">
        <v>364</v>
      </c>
      <c r="D129" s="49">
        <v>89317</v>
      </c>
      <c r="E129" s="49">
        <v>3123167</v>
      </c>
      <c r="F129" s="49" t="s">
        <v>515</v>
      </c>
    </row>
    <row r="130" spans="1:6" x14ac:dyDescent="0.25">
      <c r="A130" s="49" t="s">
        <v>15</v>
      </c>
      <c r="B130" s="49" t="s">
        <v>275</v>
      </c>
      <c r="C130" s="49" t="s">
        <v>276</v>
      </c>
      <c r="D130" s="49">
        <v>89188</v>
      </c>
      <c r="E130" s="49">
        <v>3138508</v>
      </c>
      <c r="F130" s="49" t="s">
        <v>513</v>
      </c>
    </row>
    <row r="131" spans="1:6" x14ac:dyDescent="0.25">
      <c r="A131" s="45" t="s">
        <v>15</v>
      </c>
      <c r="B131" s="45" t="s">
        <v>277</v>
      </c>
      <c r="C131" s="45" t="s">
        <v>278</v>
      </c>
      <c r="D131" s="45">
        <v>89087</v>
      </c>
      <c r="E131" s="45">
        <v>2455222</v>
      </c>
      <c r="F131" s="45" t="s">
        <v>515</v>
      </c>
    </row>
    <row r="132" spans="1:6" x14ac:dyDescent="0.25">
      <c r="A132" s="45" t="s">
        <v>15</v>
      </c>
      <c r="B132" s="45" t="s">
        <v>184</v>
      </c>
      <c r="C132" s="45" t="s">
        <v>281</v>
      </c>
      <c r="D132" s="45">
        <v>89085</v>
      </c>
      <c r="E132" s="45">
        <v>1581549</v>
      </c>
      <c r="F132" s="45" t="s">
        <v>515</v>
      </c>
    </row>
    <row r="133" spans="1:6" x14ac:dyDescent="0.25">
      <c r="A133" s="49" t="s">
        <v>15</v>
      </c>
      <c r="B133" s="49" t="s">
        <v>450</v>
      </c>
      <c r="C133" s="49" t="s">
        <v>451</v>
      </c>
      <c r="D133" s="45">
        <v>648230</v>
      </c>
      <c r="E133" s="45">
        <v>2024463</v>
      </c>
      <c r="F133" s="52" t="s">
        <v>517</v>
      </c>
    </row>
    <row r="134" spans="1:6" x14ac:dyDescent="0.25">
      <c r="A134" s="51" t="s">
        <v>15</v>
      </c>
      <c r="B134" s="51" t="s">
        <v>120</v>
      </c>
      <c r="C134" s="51" t="s">
        <v>121</v>
      </c>
      <c r="D134" s="45">
        <v>89192</v>
      </c>
      <c r="E134" s="45">
        <v>3138511</v>
      </c>
      <c r="F134" s="45" t="s">
        <v>515</v>
      </c>
    </row>
    <row r="135" spans="1:6" x14ac:dyDescent="0.25">
      <c r="A135" s="45" t="s">
        <v>15</v>
      </c>
      <c r="B135" s="45" t="s">
        <v>122</v>
      </c>
      <c r="C135" s="45" t="s">
        <v>123</v>
      </c>
      <c r="D135" s="45">
        <v>89015</v>
      </c>
      <c r="E135" s="45">
        <v>2873901</v>
      </c>
      <c r="F135" s="45" t="s">
        <v>515</v>
      </c>
    </row>
    <row r="136" spans="1:6" x14ac:dyDescent="0.25">
      <c r="A136" s="45" t="s">
        <v>15</v>
      </c>
      <c r="B136" s="45" t="s">
        <v>90</v>
      </c>
      <c r="C136" s="45" t="s">
        <v>194</v>
      </c>
      <c r="D136" s="45">
        <v>89132</v>
      </c>
      <c r="E136" s="45">
        <v>3118290</v>
      </c>
      <c r="F136" s="45" t="s">
        <v>515</v>
      </c>
    </row>
    <row r="137" spans="1:6" x14ac:dyDescent="0.25">
      <c r="A137" s="45" t="s">
        <v>15</v>
      </c>
      <c r="B137" s="45" t="s">
        <v>195</v>
      </c>
      <c r="C137" s="45" t="s">
        <v>196</v>
      </c>
      <c r="D137" s="45">
        <v>89171</v>
      </c>
      <c r="E137" s="45">
        <v>3133230</v>
      </c>
      <c r="F137" s="45" t="s">
        <v>515</v>
      </c>
    </row>
    <row r="138" spans="1:6" x14ac:dyDescent="0.25">
      <c r="A138" s="45" t="s">
        <v>15</v>
      </c>
      <c r="B138" s="45" t="s">
        <v>128</v>
      </c>
      <c r="C138" s="45" t="s">
        <v>129</v>
      </c>
      <c r="D138" s="45">
        <v>89013</v>
      </c>
      <c r="E138" s="45">
        <v>538948</v>
      </c>
      <c r="F138" s="45" t="s">
        <v>515</v>
      </c>
    </row>
    <row r="139" spans="1:6" x14ac:dyDescent="0.25">
      <c r="A139" s="45" t="s">
        <v>15</v>
      </c>
      <c r="B139" s="45" t="s">
        <v>377</v>
      </c>
      <c r="C139" s="45" t="s">
        <v>378</v>
      </c>
      <c r="D139" s="45">
        <v>648076</v>
      </c>
      <c r="E139" s="45">
        <v>3667100</v>
      </c>
      <c r="F139" s="52" t="s">
        <v>515</v>
      </c>
    </row>
    <row r="140" spans="1:6" x14ac:dyDescent="0.25">
      <c r="A140" s="45" t="s">
        <v>16</v>
      </c>
      <c r="B140" s="45" t="s">
        <v>226</v>
      </c>
      <c r="C140" s="45" t="s">
        <v>227</v>
      </c>
      <c r="D140" s="45">
        <v>89277</v>
      </c>
      <c r="E140" s="45">
        <v>3623919</v>
      </c>
      <c r="F140" s="45" t="s">
        <v>515</v>
      </c>
    </row>
    <row r="141" spans="1:6" x14ac:dyDescent="0.25">
      <c r="A141" s="45" t="s">
        <v>16</v>
      </c>
      <c r="B141" s="45" t="s">
        <v>234</v>
      </c>
      <c r="C141" s="45" t="s">
        <v>235</v>
      </c>
      <c r="D141" s="45">
        <v>648051</v>
      </c>
      <c r="E141" s="45">
        <v>1213197</v>
      </c>
      <c r="F141" s="52" t="s">
        <v>515</v>
      </c>
    </row>
    <row r="142" spans="1:6" x14ac:dyDescent="0.25">
      <c r="A142" s="45" t="s">
        <v>16</v>
      </c>
      <c r="B142" s="45" t="s">
        <v>37</v>
      </c>
      <c r="C142" s="45" t="s">
        <v>270</v>
      </c>
      <c r="D142" s="45">
        <v>89091</v>
      </c>
      <c r="E142" s="45">
        <v>2523179</v>
      </c>
      <c r="F142" s="45" t="s">
        <v>515</v>
      </c>
    </row>
    <row r="143" spans="1:6" x14ac:dyDescent="0.25">
      <c r="A143" s="45" t="s">
        <v>16</v>
      </c>
      <c r="B143" s="45" t="s">
        <v>236</v>
      </c>
      <c r="C143" s="45" t="s">
        <v>237</v>
      </c>
      <c r="D143" s="45">
        <v>89287</v>
      </c>
      <c r="E143" s="45">
        <v>3624031</v>
      </c>
      <c r="F143" s="45" t="s">
        <v>515</v>
      </c>
    </row>
    <row r="144" spans="1:6" x14ac:dyDescent="0.25">
      <c r="A144" s="49" t="s">
        <v>16</v>
      </c>
      <c r="B144" s="49" t="s">
        <v>174</v>
      </c>
      <c r="C144" s="49" t="s">
        <v>238</v>
      </c>
      <c r="D144" s="45">
        <v>89286</v>
      </c>
      <c r="E144" s="45">
        <v>3624029</v>
      </c>
      <c r="F144" s="45" t="s">
        <v>515</v>
      </c>
    </row>
    <row r="145" spans="1:6" x14ac:dyDescent="0.25">
      <c r="A145" s="45" t="s">
        <v>16</v>
      </c>
      <c r="B145" s="45" t="s">
        <v>279</v>
      </c>
      <c r="C145" s="45" t="s">
        <v>280</v>
      </c>
      <c r="D145" s="45">
        <v>89090</v>
      </c>
      <c r="E145" s="45">
        <v>2657802</v>
      </c>
      <c r="F145" s="45" t="s">
        <v>515</v>
      </c>
    </row>
    <row r="146" spans="1:6" x14ac:dyDescent="0.25">
      <c r="A146" s="45" t="s">
        <v>16</v>
      </c>
      <c r="B146" s="45" t="s">
        <v>239</v>
      </c>
      <c r="C146" s="45" t="s">
        <v>240</v>
      </c>
      <c r="D146" s="45">
        <v>648052</v>
      </c>
      <c r="E146" s="45">
        <v>3553088</v>
      </c>
      <c r="F146" s="52" t="s">
        <v>515</v>
      </c>
    </row>
    <row r="147" spans="1:6" x14ac:dyDescent="0.25">
      <c r="A147" s="49" t="s">
        <v>16</v>
      </c>
      <c r="B147" s="49" t="s">
        <v>241</v>
      </c>
      <c r="C147" s="49" t="s">
        <v>242</v>
      </c>
      <c r="D147" s="45">
        <v>89276</v>
      </c>
      <c r="E147" s="45">
        <v>3623917</v>
      </c>
      <c r="F147" s="45" t="s">
        <v>515</v>
      </c>
    </row>
    <row r="148" spans="1:6" x14ac:dyDescent="0.25">
      <c r="A148" s="49" t="s">
        <v>16</v>
      </c>
      <c r="B148" s="49" t="s">
        <v>82</v>
      </c>
      <c r="C148" s="49" t="s">
        <v>83</v>
      </c>
      <c r="D148" s="49">
        <v>89191</v>
      </c>
      <c r="E148" s="49">
        <v>3138494</v>
      </c>
      <c r="F148" s="49" t="s">
        <v>513</v>
      </c>
    </row>
    <row r="149" spans="1:6" x14ac:dyDescent="0.25">
      <c r="A149" s="45" t="s">
        <v>16</v>
      </c>
      <c r="B149" s="45" t="s">
        <v>245</v>
      </c>
      <c r="C149" s="45" t="s">
        <v>246</v>
      </c>
      <c r="D149" s="45">
        <v>89255</v>
      </c>
      <c r="E149" s="45">
        <v>2852874</v>
      </c>
      <c r="F149" s="45" t="s">
        <v>515</v>
      </c>
    </row>
    <row r="150" spans="1:6" x14ac:dyDescent="0.25">
      <c r="A150" s="45" t="s">
        <v>16</v>
      </c>
      <c r="B150" s="45" t="s">
        <v>92</v>
      </c>
      <c r="C150" s="45" t="s">
        <v>57</v>
      </c>
      <c r="D150" s="45">
        <v>648050</v>
      </c>
      <c r="E150" s="45">
        <v>3553083</v>
      </c>
      <c r="F150" s="52" t="s">
        <v>515</v>
      </c>
    </row>
    <row r="151" spans="1:6" x14ac:dyDescent="0.25">
      <c r="A151" s="49" t="s">
        <v>16</v>
      </c>
      <c r="B151" s="49" t="s">
        <v>249</v>
      </c>
      <c r="C151" s="49" t="s">
        <v>250</v>
      </c>
      <c r="D151" s="49">
        <v>89285</v>
      </c>
      <c r="E151" s="49">
        <v>3624028</v>
      </c>
      <c r="F151" s="49" t="s">
        <v>515</v>
      </c>
    </row>
    <row r="152" spans="1:6" x14ac:dyDescent="0.25">
      <c r="A152" s="49" t="s">
        <v>16</v>
      </c>
      <c r="B152" s="49" t="s">
        <v>251</v>
      </c>
      <c r="C152" s="49" t="s">
        <v>252</v>
      </c>
      <c r="D152" s="49">
        <v>89279</v>
      </c>
      <c r="E152" s="49">
        <v>3623928</v>
      </c>
      <c r="F152" s="49" t="s">
        <v>515</v>
      </c>
    </row>
    <row r="153" spans="1:6" x14ac:dyDescent="0.25">
      <c r="A153" s="49" t="s">
        <v>16</v>
      </c>
      <c r="B153" s="49" t="s">
        <v>255</v>
      </c>
      <c r="C153" s="49" t="s">
        <v>256</v>
      </c>
      <c r="D153" s="45">
        <v>89283</v>
      </c>
      <c r="E153" s="45">
        <v>3624025</v>
      </c>
      <c r="F153" s="45" t="s">
        <v>515</v>
      </c>
    </row>
    <row r="154" spans="1:6" x14ac:dyDescent="0.25">
      <c r="A154" s="49" t="s">
        <v>16</v>
      </c>
      <c r="B154" s="49" t="s">
        <v>456</v>
      </c>
      <c r="C154" s="49" t="s">
        <v>457</v>
      </c>
      <c r="D154" s="45">
        <v>648232</v>
      </c>
      <c r="E154" s="45">
        <v>2102074</v>
      </c>
      <c r="F154" s="52" t="s">
        <v>517</v>
      </c>
    </row>
    <row r="155" spans="1:6" x14ac:dyDescent="0.25">
      <c r="A155" s="45" t="s">
        <v>16</v>
      </c>
      <c r="B155" s="45" t="s">
        <v>257</v>
      </c>
      <c r="C155" s="45" t="s">
        <v>258</v>
      </c>
      <c r="D155" s="45">
        <v>89293</v>
      </c>
      <c r="E155" s="45">
        <v>3624072</v>
      </c>
      <c r="F155" s="45" t="s">
        <v>515</v>
      </c>
    </row>
    <row r="156" spans="1:6" x14ac:dyDescent="0.25">
      <c r="A156" s="49" t="s">
        <v>388</v>
      </c>
      <c r="B156" s="49" t="s">
        <v>134</v>
      </c>
      <c r="C156" s="49" t="s">
        <v>135</v>
      </c>
      <c r="D156" s="50">
        <v>89235</v>
      </c>
      <c r="E156" s="49">
        <v>3462508</v>
      </c>
      <c r="F156" s="49" t="s">
        <v>515</v>
      </c>
    </row>
    <row r="157" spans="1:6" x14ac:dyDescent="0.25">
      <c r="A157" s="45" t="s">
        <v>388</v>
      </c>
      <c r="B157" s="45" t="s">
        <v>292</v>
      </c>
      <c r="C157" s="45" t="s">
        <v>293</v>
      </c>
      <c r="D157" s="45">
        <v>648058</v>
      </c>
      <c r="E157" s="45">
        <v>3553156</v>
      </c>
      <c r="F157" s="52" t="s">
        <v>515</v>
      </c>
    </row>
    <row r="158" spans="1:6" x14ac:dyDescent="0.25">
      <c r="A158" s="45" t="s">
        <v>388</v>
      </c>
      <c r="B158" s="45" t="s">
        <v>17</v>
      </c>
      <c r="C158" s="45" t="s">
        <v>20</v>
      </c>
      <c r="D158" s="45">
        <v>648036</v>
      </c>
      <c r="E158" s="45">
        <v>1664812</v>
      </c>
      <c r="F158" s="52" t="s">
        <v>515</v>
      </c>
    </row>
    <row r="159" spans="1:6" x14ac:dyDescent="0.25">
      <c r="A159" s="45" t="s">
        <v>388</v>
      </c>
      <c r="B159" s="45" t="s">
        <v>210</v>
      </c>
      <c r="C159" s="45" t="s">
        <v>211</v>
      </c>
      <c r="D159" s="45">
        <v>89314</v>
      </c>
      <c r="E159" s="45">
        <v>3417396</v>
      </c>
      <c r="F159" s="45" t="s">
        <v>515</v>
      </c>
    </row>
    <row r="160" spans="1:6" x14ac:dyDescent="0.25">
      <c r="A160" s="49" t="s">
        <v>388</v>
      </c>
      <c r="B160" s="49" t="s">
        <v>430</v>
      </c>
      <c r="C160" s="49" t="s">
        <v>431</v>
      </c>
      <c r="D160" s="49">
        <v>648224</v>
      </c>
      <c r="E160" s="49">
        <v>2466183</v>
      </c>
      <c r="F160" s="53" t="s">
        <v>517</v>
      </c>
    </row>
    <row r="161" spans="1:6" x14ac:dyDescent="0.25">
      <c r="A161" s="51" t="s">
        <v>388</v>
      </c>
      <c r="B161" s="51" t="s">
        <v>43</v>
      </c>
      <c r="C161" s="51" t="s">
        <v>44</v>
      </c>
      <c r="D161" s="49">
        <v>89122</v>
      </c>
      <c r="E161" s="49">
        <v>3118303</v>
      </c>
      <c r="F161" s="49" t="s">
        <v>515</v>
      </c>
    </row>
    <row r="162" spans="1:6" x14ac:dyDescent="0.25">
      <c r="A162" s="49" t="s">
        <v>388</v>
      </c>
      <c r="B162" s="49" t="s">
        <v>304</v>
      </c>
      <c r="C162" s="49" t="s">
        <v>305</v>
      </c>
      <c r="D162" s="45">
        <v>89212</v>
      </c>
      <c r="E162" s="45">
        <v>2702133</v>
      </c>
      <c r="F162" s="45" t="s">
        <v>515</v>
      </c>
    </row>
    <row r="163" spans="1:6" x14ac:dyDescent="0.25">
      <c r="A163" s="49" t="s">
        <v>388</v>
      </c>
      <c r="B163" s="49" t="s">
        <v>46</v>
      </c>
      <c r="C163" s="49" t="s">
        <v>47</v>
      </c>
      <c r="D163" s="49">
        <v>89186</v>
      </c>
      <c r="E163" s="49">
        <v>3138482</v>
      </c>
      <c r="F163" s="49" t="s">
        <v>515</v>
      </c>
    </row>
    <row r="164" spans="1:6" x14ac:dyDescent="0.25">
      <c r="A164" s="45" t="s">
        <v>388</v>
      </c>
      <c r="B164" s="45" t="s">
        <v>342</v>
      </c>
      <c r="C164" s="45" t="s">
        <v>343</v>
      </c>
      <c r="D164" s="45">
        <v>648062</v>
      </c>
      <c r="E164" s="45">
        <v>3553149</v>
      </c>
      <c r="F164" s="52" t="s">
        <v>515</v>
      </c>
    </row>
    <row r="165" spans="1:6" x14ac:dyDescent="0.25">
      <c r="A165" s="49" t="s">
        <v>388</v>
      </c>
      <c r="B165" s="49" t="s">
        <v>220</v>
      </c>
      <c r="C165" s="49" t="s">
        <v>221</v>
      </c>
      <c r="D165" s="49">
        <v>89312</v>
      </c>
      <c r="E165" s="49">
        <v>3624180</v>
      </c>
      <c r="F165" s="49" t="s">
        <v>515</v>
      </c>
    </row>
    <row r="166" spans="1:6" x14ac:dyDescent="0.25">
      <c r="A166" s="49" t="s">
        <v>388</v>
      </c>
      <c r="B166" s="49" t="s">
        <v>153</v>
      </c>
      <c r="C166" s="49" t="s">
        <v>154</v>
      </c>
      <c r="D166" s="49">
        <v>89103</v>
      </c>
      <c r="E166" s="49">
        <v>2804825</v>
      </c>
      <c r="F166" s="49" t="s">
        <v>515</v>
      </c>
    </row>
    <row r="167" spans="1:6" x14ac:dyDescent="0.25">
      <c r="A167" s="45" t="s">
        <v>388</v>
      </c>
      <c r="B167" s="45" t="s">
        <v>155</v>
      </c>
      <c r="C167" s="45" t="s">
        <v>61</v>
      </c>
      <c r="D167" s="54">
        <v>89243</v>
      </c>
      <c r="E167" s="45">
        <v>3462491</v>
      </c>
      <c r="F167" s="45" t="s">
        <v>515</v>
      </c>
    </row>
    <row r="168" spans="1:6" x14ac:dyDescent="0.25">
      <c r="A168" s="45" t="s">
        <v>388</v>
      </c>
      <c r="B168" s="45" t="s">
        <v>92</v>
      </c>
      <c r="C168" s="45" t="s">
        <v>355</v>
      </c>
      <c r="D168" s="45">
        <v>648059</v>
      </c>
      <c r="E168" s="45">
        <v>3553110</v>
      </c>
      <c r="F168" s="52" t="s">
        <v>515</v>
      </c>
    </row>
    <row r="169" spans="1:6" x14ac:dyDescent="0.25">
      <c r="A169" s="45" t="s">
        <v>388</v>
      </c>
      <c r="B169" s="45" t="s">
        <v>358</v>
      </c>
      <c r="C169" s="45" t="s">
        <v>359</v>
      </c>
      <c r="D169" s="45">
        <v>89135</v>
      </c>
      <c r="E169" s="45">
        <v>1154505</v>
      </c>
      <c r="F169" s="45" t="s">
        <v>515</v>
      </c>
    </row>
    <row r="170" spans="1:6" x14ac:dyDescent="0.25">
      <c r="A170" s="45" t="s">
        <v>388</v>
      </c>
      <c r="B170" s="45" t="s">
        <v>320</v>
      </c>
      <c r="C170" s="45" t="s">
        <v>321</v>
      </c>
      <c r="D170" s="45">
        <v>89222</v>
      </c>
      <c r="E170" s="45">
        <v>3409593</v>
      </c>
      <c r="F170" s="45" t="s">
        <v>515</v>
      </c>
    </row>
    <row r="171" spans="1:6" x14ac:dyDescent="0.25">
      <c r="A171" s="45" t="s">
        <v>452</v>
      </c>
      <c r="B171" s="45" t="s">
        <v>208</v>
      </c>
      <c r="C171" s="45" t="s">
        <v>496</v>
      </c>
      <c r="D171" s="45">
        <v>648290</v>
      </c>
      <c r="E171" s="45">
        <v>1831428</v>
      </c>
      <c r="F171" s="52" t="s">
        <v>567</v>
      </c>
    </row>
    <row r="172" spans="1:6" x14ac:dyDescent="0.25">
      <c r="A172" s="49" t="s">
        <v>452</v>
      </c>
      <c r="B172" s="49" t="s">
        <v>485</v>
      </c>
      <c r="C172" s="49" t="s">
        <v>486</v>
      </c>
      <c r="D172" s="45">
        <v>648291</v>
      </c>
      <c r="E172" s="45">
        <v>433490</v>
      </c>
      <c r="F172" s="52" t="s">
        <v>567</v>
      </c>
    </row>
    <row r="173" spans="1:6" x14ac:dyDescent="0.25">
      <c r="A173" s="45" t="s">
        <v>452</v>
      </c>
      <c r="B173" s="45" t="s">
        <v>48</v>
      </c>
      <c r="C173" s="45" t="s">
        <v>484</v>
      </c>
      <c r="D173" s="45">
        <v>648292</v>
      </c>
      <c r="E173" s="45">
        <v>516965</v>
      </c>
      <c r="F173" s="52" t="s">
        <v>567</v>
      </c>
    </row>
    <row r="174" spans="1:6" x14ac:dyDescent="0.25">
      <c r="A174" s="49" t="s">
        <v>452</v>
      </c>
      <c r="B174" s="49" t="s">
        <v>48</v>
      </c>
      <c r="C174" s="49" t="s">
        <v>274</v>
      </c>
      <c r="D174" s="45">
        <v>648293</v>
      </c>
      <c r="E174" s="45">
        <v>1535101</v>
      </c>
      <c r="F174" s="52" t="s">
        <v>567</v>
      </c>
    </row>
    <row r="175" spans="1:6" x14ac:dyDescent="0.25">
      <c r="A175" s="45" t="s">
        <v>452</v>
      </c>
      <c r="B175" s="45" t="s">
        <v>109</v>
      </c>
      <c r="C175" s="45" t="s">
        <v>483</v>
      </c>
      <c r="D175" s="45">
        <v>648294</v>
      </c>
      <c r="E175" s="45">
        <v>3503290</v>
      </c>
      <c r="F175" s="52" t="s">
        <v>567</v>
      </c>
    </row>
    <row r="176" spans="1:6" x14ac:dyDescent="0.25">
      <c r="A176" s="45" t="s">
        <v>452</v>
      </c>
      <c r="B176" s="45" t="s">
        <v>365</v>
      </c>
      <c r="C176" s="45" t="s">
        <v>487</v>
      </c>
      <c r="D176" s="45">
        <v>648295</v>
      </c>
      <c r="E176" s="45">
        <v>3525831</v>
      </c>
      <c r="F176" s="52" t="s">
        <v>567</v>
      </c>
    </row>
    <row r="177" spans="1:6" x14ac:dyDescent="0.25">
      <c r="A177" s="45" t="s">
        <v>452</v>
      </c>
      <c r="B177" s="45" t="s">
        <v>488</v>
      </c>
      <c r="C177" s="45" t="s">
        <v>489</v>
      </c>
      <c r="D177" s="45">
        <v>648296</v>
      </c>
      <c r="E177" s="45">
        <v>433236</v>
      </c>
      <c r="F177" s="52" t="s">
        <v>567</v>
      </c>
    </row>
    <row r="178" spans="1:6" x14ac:dyDescent="0.25">
      <c r="A178" s="45" t="s">
        <v>452</v>
      </c>
      <c r="B178" s="45" t="s">
        <v>490</v>
      </c>
      <c r="C178" s="45" t="s">
        <v>491</v>
      </c>
      <c r="D178" s="45">
        <v>648297</v>
      </c>
      <c r="E178" s="45">
        <v>3534209</v>
      </c>
      <c r="F178" s="52" t="s">
        <v>567</v>
      </c>
    </row>
    <row r="179" spans="1:6" x14ac:dyDescent="0.25">
      <c r="A179" s="45" t="s">
        <v>452</v>
      </c>
      <c r="B179" s="45" t="s">
        <v>247</v>
      </c>
      <c r="C179" s="45" t="s">
        <v>248</v>
      </c>
      <c r="D179" s="45">
        <v>648039</v>
      </c>
      <c r="E179" s="45">
        <v>3553104</v>
      </c>
      <c r="F179" s="52" t="s">
        <v>515</v>
      </c>
    </row>
    <row r="180" spans="1:6" x14ac:dyDescent="0.25">
      <c r="A180" s="45" t="s">
        <v>452</v>
      </c>
      <c r="B180" s="45" t="s">
        <v>124</v>
      </c>
      <c r="C180" s="45" t="s">
        <v>499</v>
      </c>
      <c r="D180" s="45">
        <v>648298</v>
      </c>
      <c r="E180" s="45">
        <v>3525648</v>
      </c>
      <c r="F180" s="52" t="s">
        <v>567</v>
      </c>
    </row>
    <row r="181" spans="1:6" x14ac:dyDescent="0.25">
      <c r="A181" s="45" t="s">
        <v>452</v>
      </c>
      <c r="B181" s="45" t="s">
        <v>497</v>
      </c>
      <c r="C181" s="45" t="s">
        <v>498</v>
      </c>
      <c r="D181" s="45">
        <v>648299</v>
      </c>
      <c r="E181" s="45">
        <v>3534360</v>
      </c>
      <c r="F181" s="52" t="s">
        <v>567</v>
      </c>
    </row>
    <row r="182" spans="1:6" x14ac:dyDescent="0.25">
      <c r="A182" s="45" t="s">
        <v>452</v>
      </c>
      <c r="B182" s="45" t="s">
        <v>492</v>
      </c>
      <c r="C182" s="45" t="s">
        <v>493</v>
      </c>
      <c r="D182" s="45">
        <v>648300</v>
      </c>
      <c r="E182" s="45">
        <v>3534207</v>
      </c>
      <c r="F182" s="52" t="s">
        <v>567</v>
      </c>
    </row>
    <row r="183" spans="1:6" x14ac:dyDescent="0.25">
      <c r="A183" s="45" t="s">
        <v>452</v>
      </c>
      <c r="B183" s="45" t="s">
        <v>253</v>
      </c>
      <c r="C183" s="45" t="s">
        <v>254</v>
      </c>
      <c r="D183" s="45">
        <v>648040</v>
      </c>
      <c r="E183" s="45">
        <v>3553109</v>
      </c>
      <c r="F183" s="52" t="s">
        <v>515</v>
      </c>
    </row>
    <row r="184" spans="1:6" x14ac:dyDescent="0.25">
      <c r="A184" s="45" t="s">
        <v>452</v>
      </c>
      <c r="B184" s="45" t="s">
        <v>494</v>
      </c>
      <c r="C184" s="45" t="s">
        <v>495</v>
      </c>
      <c r="D184" s="45">
        <v>648301</v>
      </c>
      <c r="E184" s="45">
        <v>3522061</v>
      </c>
      <c r="F184" s="52" t="s">
        <v>567</v>
      </c>
    </row>
    <row r="185" spans="1:6" x14ac:dyDescent="0.25">
      <c r="A185" s="49" t="s">
        <v>568</v>
      </c>
      <c r="B185" s="49" t="s">
        <v>134</v>
      </c>
      <c r="C185" s="49" t="s">
        <v>448</v>
      </c>
      <c r="D185" s="45">
        <v>648220</v>
      </c>
      <c r="E185" s="45">
        <v>1833170</v>
      </c>
      <c r="F185" s="52" t="s">
        <v>517</v>
      </c>
    </row>
    <row r="186" spans="1:6" x14ac:dyDescent="0.25">
      <c r="A186" s="49" t="s">
        <v>568</v>
      </c>
      <c r="B186" s="49" t="s">
        <v>334</v>
      </c>
      <c r="C186" s="49" t="s">
        <v>569</v>
      </c>
      <c r="D186" s="49">
        <v>648367</v>
      </c>
      <c r="E186" s="49">
        <v>2744900</v>
      </c>
      <c r="F186" s="53" t="s">
        <v>515</v>
      </c>
    </row>
    <row r="187" spans="1:6" x14ac:dyDescent="0.25">
      <c r="A187" s="49" t="s">
        <v>568</v>
      </c>
      <c r="B187" s="49" t="s">
        <v>570</v>
      </c>
      <c r="C187" s="49" t="s">
        <v>571</v>
      </c>
      <c r="D187" s="49">
        <v>648350</v>
      </c>
      <c r="E187" s="49">
        <v>2445631</v>
      </c>
      <c r="F187" s="53" t="s">
        <v>515</v>
      </c>
    </row>
    <row r="188" spans="1:6" x14ac:dyDescent="0.25">
      <c r="A188" s="49" t="s">
        <v>568</v>
      </c>
      <c r="B188" s="49" t="s">
        <v>572</v>
      </c>
      <c r="C188" s="49" t="s">
        <v>573</v>
      </c>
      <c r="D188" s="49">
        <v>648376</v>
      </c>
      <c r="E188" s="49">
        <v>3124769</v>
      </c>
      <c r="F188" s="53" t="s">
        <v>515</v>
      </c>
    </row>
    <row r="189" spans="1:6" x14ac:dyDescent="0.25">
      <c r="A189" s="49" t="s">
        <v>568</v>
      </c>
      <c r="B189" s="49" t="s">
        <v>147</v>
      </c>
      <c r="C189" s="49" t="s">
        <v>574</v>
      </c>
      <c r="D189" s="49">
        <v>648358</v>
      </c>
      <c r="E189" s="49">
        <v>1534867</v>
      </c>
      <c r="F189" s="53" t="s">
        <v>515</v>
      </c>
    </row>
    <row r="190" spans="1:6" x14ac:dyDescent="0.25">
      <c r="A190" s="49" t="s">
        <v>568</v>
      </c>
      <c r="B190" s="49" t="s">
        <v>575</v>
      </c>
      <c r="C190" s="49" t="s">
        <v>576</v>
      </c>
      <c r="D190" s="49">
        <v>648374</v>
      </c>
      <c r="E190" s="49">
        <v>2360478</v>
      </c>
      <c r="F190" s="53" t="s">
        <v>515</v>
      </c>
    </row>
    <row r="191" spans="1:6" x14ac:dyDescent="0.25">
      <c r="A191" s="49" t="s">
        <v>568</v>
      </c>
      <c r="B191" s="49" t="s">
        <v>92</v>
      </c>
      <c r="C191" s="49" t="s">
        <v>577</v>
      </c>
      <c r="D191" s="49">
        <v>648373</v>
      </c>
      <c r="E191" s="49">
        <v>1601683</v>
      </c>
      <c r="F191" s="53" t="s">
        <v>515</v>
      </c>
    </row>
    <row r="192" spans="1:6" x14ac:dyDescent="0.25">
      <c r="A192" s="49" t="s">
        <v>568</v>
      </c>
      <c r="B192" s="49" t="s">
        <v>578</v>
      </c>
      <c r="C192" s="49" t="s">
        <v>579</v>
      </c>
      <c r="D192" s="49">
        <v>648363</v>
      </c>
      <c r="E192" s="49">
        <v>2490376</v>
      </c>
      <c r="F192" s="53" t="s">
        <v>515</v>
      </c>
    </row>
    <row r="193" spans="1:6" x14ac:dyDescent="0.25">
      <c r="A193" s="49" t="s">
        <v>568</v>
      </c>
      <c r="B193" s="49" t="s">
        <v>580</v>
      </c>
      <c r="C193" s="49" t="s">
        <v>581</v>
      </c>
      <c r="D193" s="49">
        <v>648371</v>
      </c>
      <c r="E193" s="49">
        <v>1817065</v>
      </c>
      <c r="F193" s="53" t="s">
        <v>515</v>
      </c>
    </row>
    <row r="194" spans="1:6" x14ac:dyDescent="0.25">
      <c r="A194" s="49" t="s">
        <v>568</v>
      </c>
      <c r="B194" s="49" t="s">
        <v>377</v>
      </c>
      <c r="C194" s="49" t="s">
        <v>582</v>
      </c>
      <c r="D194" s="49">
        <v>648372</v>
      </c>
      <c r="E194" s="49">
        <v>2076324</v>
      </c>
      <c r="F194" s="53" t="s">
        <v>515</v>
      </c>
    </row>
    <row r="195" spans="1:6" x14ac:dyDescent="0.25">
      <c r="A195" s="45" t="s">
        <v>14</v>
      </c>
      <c r="B195" s="45" t="s">
        <v>226</v>
      </c>
      <c r="C195" s="45" t="s">
        <v>291</v>
      </c>
      <c r="D195" s="45">
        <v>89204</v>
      </c>
      <c r="E195" s="45">
        <v>3409636</v>
      </c>
      <c r="F195" s="45" t="s">
        <v>515</v>
      </c>
    </row>
    <row r="196" spans="1:6" x14ac:dyDescent="0.25">
      <c r="A196" s="45" t="s">
        <v>14</v>
      </c>
      <c r="B196" s="45" t="s">
        <v>294</v>
      </c>
      <c r="C196" s="45" t="s">
        <v>295</v>
      </c>
      <c r="D196" s="45">
        <v>89205</v>
      </c>
      <c r="E196" s="45">
        <v>2445607</v>
      </c>
      <c r="F196" s="45" t="s">
        <v>515</v>
      </c>
    </row>
    <row r="197" spans="1:6" x14ac:dyDescent="0.25">
      <c r="A197" s="45" t="s">
        <v>14</v>
      </c>
      <c r="B197" s="45" t="s">
        <v>204</v>
      </c>
      <c r="C197" s="45" t="s">
        <v>205</v>
      </c>
      <c r="D197" s="45">
        <v>89311</v>
      </c>
      <c r="E197" s="45">
        <v>3624178</v>
      </c>
      <c r="F197" s="45" t="s">
        <v>515</v>
      </c>
    </row>
    <row r="198" spans="1:6" x14ac:dyDescent="0.25">
      <c r="A198" s="45" t="s">
        <v>14</v>
      </c>
      <c r="B198" s="45" t="s">
        <v>373</v>
      </c>
      <c r="C198" s="45" t="s">
        <v>374</v>
      </c>
      <c r="D198" s="45">
        <v>648073</v>
      </c>
      <c r="E198" s="45">
        <v>3667098</v>
      </c>
      <c r="F198" s="52" t="s">
        <v>515</v>
      </c>
    </row>
    <row r="199" spans="1:6" x14ac:dyDescent="0.25">
      <c r="A199" s="49" t="s">
        <v>14</v>
      </c>
      <c r="B199" s="49" t="s">
        <v>328</v>
      </c>
      <c r="C199" s="49" t="s">
        <v>329</v>
      </c>
      <c r="D199" s="49">
        <v>89110</v>
      </c>
      <c r="E199" s="49">
        <v>2792749</v>
      </c>
      <c r="F199" s="49" t="s">
        <v>515</v>
      </c>
    </row>
    <row r="200" spans="1:6" x14ac:dyDescent="0.25">
      <c r="A200" s="49" t="s">
        <v>14</v>
      </c>
      <c r="B200" s="49" t="s">
        <v>300</v>
      </c>
      <c r="C200" s="49" t="s">
        <v>301</v>
      </c>
      <c r="D200" s="45">
        <v>89210</v>
      </c>
      <c r="E200" s="45">
        <v>3409646</v>
      </c>
      <c r="F200" s="45" t="s">
        <v>515</v>
      </c>
    </row>
    <row r="201" spans="1:6" x14ac:dyDescent="0.25">
      <c r="A201" s="49" t="s">
        <v>14</v>
      </c>
      <c r="B201" s="49" t="s">
        <v>216</v>
      </c>
      <c r="C201" s="49" t="s">
        <v>217</v>
      </c>
      <c r="D201" s="49">
        <v>89305</v>
      </c>
      <c r="E201" s="49">
        <v>3624156</v>
      </c>
      <c r="F201" s="49" t="s">
        <v>515</v>
      </c>
    </row>
    <row r="202" spans="1:6" x14ac:dyDescent="0.25">
      <c r="A202" s="49" t="s">
        <v>14</v>
      </c>
      <c r="B202" s="49" t="s">
        <v>48</v>
      </c>
      <c r="C202" s="49" t="s">
        <v>306</v>
      </c>
      <c r="D202" s="45">
        <v>648056</v>
      </c>
      <c r="E202" s="45">
        <v>3553141</v>
      </c>
      <c r="F202" s="52" t="s">
        <v>515</v>
      </c>
    </row>
    <row r="203" spans="1:6" x14ac:dyDescent="0.25">
      <c r="A203" s="49" t="s">
        <v>14</v>
      </c>
      <c r="B203" s="49" t="s">
        <v>432</v>
      </c>
      <c r="C203" s="49" t="s">
        <v>433</v>
      </c>
      <c r="D203" s="45">
        <v>648229</v>
      </c>
      <c r="E203" s="45">
        <v>1506174</v>
      </c>
      <c r="F203" s="52" t="s">
        <v>517</v>
      </c>
    </row>
    <row r="204" spans="1:6" x14ac:dyDescent="0.25">
      <c r="A204" s="45" t="s">
        <v>14</v>
      </c>
      <c r="B204" s="45" t="s">
        <v>74</v>
      </c>
      <c r="C204" s="45" t="s">
        <v>307</v>
      </c>
      <c r="D204" s="45">
        <v>89214</v>
      </c>
      <c r="E204" s="45">
        <v>3409650</v>
      </c>
      <c r="F204" s="45" t="s">
        <v>515</v>
      </c>
    </row>
    <row r="205" spans="1:6" x14ac:dyDescent="0.25">
      <c r="A205" s="49" t="s">
        <v>14</v>
      </c>
      <c r="B205" s="49" t="s">
        <v>308</v>
      </c>
      <c r="C205" s="49" t="s">
        <v>309</v>
      </c>
      <c r="D205" s="45">
        <v>89272</v>
      </c>
      <c r="E205" s="45">
        <v>3553144</v>
      </c>
      <c r="F205" s="45" t="s">
        <v>515</v>
      </c>
    </row>
    <row r="206" spans="1:6" x14ac:dyDescent="0.25">
      <c r="A206" s="45" t="s">
        <v>14</v>
      </c>
      <c r="B206" s="45" t="s">
        <v>310</v>
      </c>
      <c r="C206" s="45" t="s">
        <v>311</v>
      </c>
      <c r="D206" s="45">
        <v>89216</v>
      </c>
      <c r="E206" s="45">
        <v>3409670</v>
      </c>
      <c r="F206" s="45" t="s">
        <v>515</v>
      </c>
    </row>
    <row r="207" spans="1:6" x14ac:dyDescent="0.25">
      <c r="A207" s="45" t="s">
        <v>14</v>
      </c>
      <c r="B207" s="45" t="s">
        <v>384</v>
      </c>
      <c r="C207" s="45" t="s">
        <v>385</v>
      </c>
      <c r="D207" s="45">
        <v>648081</v>
      </c>
      <c r="E207" s="45">
        <v>3667105</v>
      </c>
      <c r="F207" s="52" t="s">
        <v>515</v>
      </c>
    </row>
    <row r="208" spans="1:6" x14ac:dyDescent="0.25">
      <c r="A208" s="49" t="s">
        <v>14</v>
      </c>
      <c r="B208" s="49" t="s">
        <v>434</v>
      </c>
      <c r="C208" s="49" t="s">
        <v>435</v>
      </c>
      <c r="D208" s="49">
        <v>648233</v>
      </c>
      <c r="E208" s="49">
        <v>2741853</v>
      </c>
      <c r="F208" s="53" t="s">
        <v>517</v>
      </c>
    </row>
    <row r="209" spans="1:6" x14ac:dyDescent="0.25">
      <c r="A209" s="49" t="s">
        <v>14</v>
      </c>
      <c r="B209" s="49" t="s">
        <v>224</v>
      </c>
      <c r="C209" s="49" t="s">
        <v>225</v>
      </c>
      <c r="D209" s="49">
        <v>89315</v>
      </c>
      <c r="E209" s="49">
        <v>3624188</v>
      </c>
      <c r="F209" s="49" t="s">
        <v>515</v>
      </c>
    </row>
    <row r="210" spans="1:6" x14ac:dyDescent="0.25">
      <c r="A210" s="45" t="s">
        <v>14</v>
      </c>
      <c r="B210" s="45" t="s">
        <v>316</v>
      </c>
      <c r="C210" s="45" t="s">
        <v>317</v>
      </c>
      <c r="D210" s="45">
        <v>89219</v>
      </c>
      <c r="E210" s="45">
        <v>3267967</v>
      </c>
      <c r="F210" s="45" t="s">
        <v>515</v>
      </c>
    </row>
    <row r="211" spans="1:6" x14ac:dyDescent="0.25">
      <c r="A211" s="45" t="s">
        <v>453</v>
      </c>
      <c r="B211" s="45" t="s">
        <v>230</v>
      </c>
      <c r="C211" s="45" t="s">
        <v>583</v>
      </c>
      <c r="D211" s="45">
        <v>648302</v>
      </c>
      <c r="E211" s="45">
        <v>3526421</v>
      </c>
      <c r="F211" s="52" t="s">
        <v>567</v>
      </c>
    </row>
    <row r="212" spans="1:6" x14ac:dyDescent="0.25">
      <c r="A212" s="45" t="s">
        <v>453</v>
      </c>
      <c r="B212" s="45" t="s">
        <v>475</v>
      </c>
      <c r="C212" s="45" t="s">
        <v>67</v>
      </c>
      <c r="D212" s="45">
        <v>648303</v>
      </c>
      <c r="E212" s="45">
        <v>1546296</v>
      </c>
      <c r="F212" s="52" t="s">
        <v>567</v>
      </c>
    </row>
    <row r="213" spans="1:6" x14ac:dyDescent="0.25">
      <c r="A213" s="45" t="s">
        <v>453</v>
      </c>
      <c r="B213" s="45" t="s">
        <v>465</v>
      </c>
      <c r="C213" s="45" t="s">
        <v>584</v>
      </c>
      <c r="D213" s="45">
        <v>648304</v>
      </c>
      <c r="E213" s="45">
        <v>3526354</v>
      </c>
      <c r="F213" s="52" t="s">
        <v>567</v>
      </c>
    </row>
    <row r="214" spans="1:6" x14ac:dyDescent="0.25">
      <c r="A214" s="49" t="s">
        <v>453</v>
      </c>
      <c r="B214" s="49" t="s">
        <v>469</v>
      </c>
      <c r="C214" s="49" t="s">
        <v>585</v>
      </c>
      <c r="D214" s="45">
        <v>648305</v>
      </c>
      <c r="E214" s="45">
        <v>3534240</v>
      </c>
      <c r="F214" s="52" t="s">
        <v>567</v>
      </c>
    </row>
    <row r="215" spans="1:6" x14ac:dyDescent="0.25">
      <c r="A215" s="45" t="s">
        <v>453</v>
      </c>
      <c r="B215" s="45" t="s">
        <v>470</v>
      </c>
      <c r="C215" s="45" t="s">
        <v>471</v>
      </c>
      <c r="D215" s="45">
        <v>648306</v>
      </c>
      <c r="E215" s="45">
        <v>2837797</v>
      </c>
      <c r="F215" s="52" t="s">
        <v>567</v>
      </c>
    </row>
    <row r="216" spans="1:6" x14ac:dyDescent="0.25">
      <c r="A216" s="49" t="s">
        <v>453</v>
      </c>
      <c r="B216" s="49" t="s">
        <v>464</v>
      </c>
      <c r="C216" s="49" t="s">
        <v>586</v>
      </c>
      <c r="D216" s="49">
        <v>648307</v>
      </c>
      <c r="E216" s="49">
        <v>3526349</v>
      </c>
      <c r="F216" s="53" t="s">
        <v>567</v>
      </c>
    </row>
    <row r="217" spans="1:6" x14ac:dyDescent="0.25">
      <c r="A217" s="45" t="s">
        <v>453</v>
      </c>
      <c r="B217" s="45" t="s">
        <v>472</v>
      </c>
      <c r="C217" s="45" t="s">
        <v>473</v>
      </c>
      <c r="D217" s="45">
        <v>648308</v>
      </c>
      <c r="E217" s="45">
        <v>3123170</v>
      </c>
      <c r="F217" s="52" t="s">
        <v>567</v>
      </c>
    </row>
    <row r="218" spans="1:6" x14ac:dyDescent="0.25">
      <c r="A218" s="45" t="s">
        <v>453</v>
      </c>
      <c r="B218" s="45" t="s">
        <v>479</v>
      </c>
      <c r="C218" s="45" t="s">
        <v>480</v>
      </c>
      <c r="D218" s="45">
        <v>648309</v>
      </c>
      <c r="E218" s="45">
        <v>2353705</v>
      </c>
      <c r="F218" s="52" t="s">
        <v>567</v>
      </c>
    </row>
    <row r="219" spans="1:6" x14ac:dyDescent="0.25">
      <c r="A219" s="45" t="s">
        <v>453</v>
      </c>
      <c r="B219" s="45" t="s">
        <v>462</v>
      </c>
      <c r="C219" s="45" t="s">
        <v>463</v>
      </c>
      <c r="D219" s="45">
        <v>648310</v>
      </c>
      <c r="E219" s="45">
        <v>3526463</v>
      </c>
      <c r="F219" s="52" t="s">
        <v>567</v>
      </c>
    </row>
    <row r="220" spans="1:6" x14ac:dyDescent="0.25">
      <c r="A220" s="45" t="s">
        <v>453</v>
      </c>
      <c r="B220" s="45" t="s">
        <v>476</v>
      </c>
      <c r="C220" s="45" t="s">
        <v>587</v>
      </c>
      <c r="D220" s="45">
        <v>648311</v>
      </c>
      <c r="E220" s="45">
        <v>3526400</v>
      </c>
      <c r="F220" s="52" t="s">
        <v>567</v>
      </c>
    </row>
    <row r="221" spans="1:6" x14ac:dyDescent="0.25">
      <c r="A221" s="45" t="s">
        <v>453</v>
      </c>
      <c r="B221" s="45" t="s">
        <v>114</v>
      </c>
      <c r="C221" s="45" t="s">
        <v>588</v>
      </c>
      <c r="D221" s="45">
        <v>648312</v>
      </c>
      <c r="E221" s="45">
        <v>2000078</v>
      </c>
      <c r="F221" s="52" t="s">
        <v>567</v>
      </c>
    </row>
    <row r="222" spans="1:6" x14ac:dyDescent="0.25">
      <c r="A222" s="45" t="s">
        <v>453</v>
      </c>
      <c r="B222" s="45" t="s">
        <v>481</v>
      </c>
      <c r="C222" s="45" t="s">
        <v>482</v>
      </c>
      <c r="D222" s="45">
        <v>648313</v>
      </c>
      <c r="E222" s="45">
        <v>3102002</v>
      </c>
      <c r="F222" s="52" t="s">
        <v>567</v>
      </c>
    </row>
    <row r="223" spans="1:6" x14ac:dyDescent="0.25">
      <c r="A223" s="45" t="s">
        <v>453</v>
      </c>
      <c r="B223" s="45" t="s">
        <v>478</v>
      </c>
      <c r="C223" s="45" t="s">
        <v>589</v>
      </c>
      <c r="D223" s="45">
        <v>648314</v>
      </c>
      <c r="E223" s="45">
        <v>3526445</v>
      </c>
      <c r="F223" s="52" t="s">
        <v>567</v>
      </c>
    </row>
    <row r="224" spans="1:6" x14ac:dyDescent="0.25">
      <c r="A224" s="45" t="s">
        <v>453</v>
      </c>
      <c r="B224" s="45" t="s">
        <v>466</v>
      </c>
      <c r="C224" s="45" t="s">
        <v>590</v>
      </c>
      <c r="D224" s="45">
        <v>648315</v>
      </c>
      <c r="E224" s="45">
        <v>3526375</v>
      </c>
      <c r="F224" s="52" t="s">
        <v>567</v>
      </c>
    </row>
    <row r="225" spans="1:6" x14ac:dyDescent="0.25">
      <c r="A225" s="45" t="s">
        <v>453</v>
      </c>
      <c r="B225" s="45" t="s">
        <v>477</v>
      </c>
      <c r="C225" s="45" t="s">
        <v>591</v>
      </c>
      <c r="D225" s="45">
        <v>648316</v>
      </c>
      <c r="E225" s="45">
        <v>3526407</v>
      </c>
      <c r="F225" s="52" t="s">
        <v>567</v>
      </c>
    </row>
    <row r="226" spans="1:6" x14ac:dyDescent="0.25">
      <c r="A226" s="45" t="s">
        <v>453</v>
      </c>
      <c r="B226" s="45" t="s">
        <v>474</v>
      </c>
      <c r="C226" s="45" t="s">
        <v>372</v>
      </c>
      <c r="D226" s="45">
        <v>648317</v>
      </c>
      <c r="E226" s="45">
        <v>3448408</v>
      </c>
      <c r="F226" s="52" t="s">
        <v>567</v>
      </c>
    </row>
    <row r="227" spans="1:6" x14ac:dyDescent="0.25">
      <c r="A227" s="45" t="s">
        <v>387</v>
      </c>
      <c r="B227" s="45" t="s">
        <v>322</v>
      </c>
      <c r="C227" s="45" t="s">
        <v>323</v>
      </c>
      <c r="D227" s="45">
        <v>648060</v>
      </c>
      <c r="E227" s="45">
        <v>3553112</v>
      </c>
      <c r="F227" s="52" t="s">
        <v>515</v>
      </c>
    </row>
    <row r="228" spans="1:6" x14ac:dyDescent="0.25">
      <c r="A228" s="45" t="s">
        <v>387</v>
      </c>
      <c r="B228" s="45" t="s">
        <v>206</v>
      </c>
      <c r="C228" s="45" t="s">
        <v>207</v>
      </c>
      <c r="D228" s="45">
        <v>89313</v>
      </c>
      <c r="E228" s="45">
        <v>3624184</v>
      </c>
      <c r="F228" s="45" t="s">
        <v>515</v>
      </c>
    </row>
    <row r="229" spans="1:6" x14ac:dyDescent="0.25">
      <c r="A229" s="45" t="s">
        <v>387</v>
      </c>
      <c r="B229" s="45" t="s">
        <v>27</v>
      </c>
      <c r="C229" s="45" t="s">
        <v>28</v>
      </c>
      <c r="D229" s="45">
        <v>89157</v>
      </c>
      <c r="E229" s="45">
        <v>3133275</v>
      </c>
      <c r="F229" s="45" t="s">
        <v>515</v>
      </c>
    </row>
    <row r="230" spans="1:6" x14ac:dyDescent="0.25">
      <c r="A230" s="49" t="s">
        <v>387</v>
      </c>
      <c r="B230" s="49" t="s">
        <v>212</v>
      </c>
      <c r="C230" s="49" t="s">
        <v>213</v>
      </c>
      <c r="D230" s="45">
        <v>89307</v>
      </c>
      <c r="E230" s="45">
        <v>3624164</v>
      </c>
      <c r="F230" s="45" t="s">
        <v>515</v>
      </c>
    </row>
    <row r="231" spans="1:6" x14ac:dyDescent="0.25">
      <c r="A231" s="45" t="s">
        <v>387</v>
      </c>
      <c r="B231" s="45" t="s">
        <v>33</v>
      </c>
      <c r="C231" s="45" t="s">
        <v>34</v>
      </c>
      <c r="D231" s="45">
        <v>89060</v>
      </c>
      <c r="E231" s="45">
        <v>2783370</v>
      </c>
      <c r="F231" s="45" t="s">
        <v>515</v>
      </c>
    </row>
    <row r="232" spans="1:6" x14ac:dyDescent="0.25">
      <c r="A232" s="49" t="s">
        <v>387</v>
      </c>
      <c r="B232" s="49" t="s">
        <v>592</v>
      </c>
      <c r="C232" s="49" t="s">
        <v>593</v>
      </c>
      <c r="D232" s="49">
        <v>648380</v>
      </c>
      <c r="E232" s="49">
        <v>1466034</v>
      </c>
      <c r="F232" s="53" t="s">
        <v>515</v>
      </c>
    </row>
    <row r="233" spans="1:6" x14ac:dyDescent="0.25">
      <c r="A233" s="49" t="s">
        <v>387</v>
      </c>
      <c r="B233" s="49" t="s">
        <v>594</v>
      </c>
      <c r="C233" s="49" t="s">
        <v>595</v>
      </c>
      <c r="D233" s="49">
        <v>648381</v>
      </c>
      <c r="E233" s="49">
        <v>2178609</v>
      </c>
      <c r="F233" s="53" t="s">
        <v>515</v>
      </c>
    </row>
    <row r="234" spans="1:6" x14ac:dyDescent="0.25">
      <c r="A234" s="49" t="s">
        <v>387</v>
      </c>
      <c r="B234" s="49" t="s">
        <v>140</v>
      </c>
      <c r="C234" s="49" t="s">
        <v>141</v>
      </c>
      <c r="D234" s="54">
        <v>89237</v>
      </c>
      <c r="E234" s="45">
        <v>3462502</v>
      </c>
      <c r="F234" s="45" t="s">
        <v>515</v>
      </c>
    </row>
    <row r="235" spans="1:6" x14ac:dyDescent="0.25">
      <c r="A235" s="45" t="s">
        <v>387</v>
      </c>
      <c r="B235" s="45" t="s">
        <v>302</v>
      </c>
      <c r="C235" s="45" t="s">
        <v>303</v>
      </c>
      <c r="D235" s="45">
        <v>89211</v>
      </c>
      <c r="E235" s="45">
        <v>3409641</v>
      </c>
      <c r="F235" s="45" t="s">
        <v>515</v>
      </c>
    </row>
    <row r="236" spans="1:6" x14ac:dyDescent="0.25">
      <c r="A236" s="45" t="s">
        <v>387</v>
      </c>
      <c r="B236" s="45" t="s">
        <v>66</v>
      </c>
      <c r="C236" s="45" t="s">
        <v>142</v>
      </c>
      <c r="D236" s="54">
        <v>89238</v>
      </c>
      <c r="E236" s="45">
        <v>3295607</v>
      </c>
      <c r="F236" s="45" t="s">
        <v>515</v>
      </c>
    </row>
    <row r="237" spans="1:6" x14ac:dyDescent="0.25">
      <c r="A237" s="45" t="s">
        <v>387</v>
      </c>
      <c r="B237" s="45" t="s">
        <v>66</v>
      </c>
      <c r="C237" s="45" t="s">
        <v>218</v>
      </c>
      <c r="D237" s="45">
        <v>89300</v>
      </c>
      <c r="E237" s="45">
        <v>3624113</v>
      </c>
      <c r="F237" s="45" t="s">
        <v>515</v>
      </c>
    </row>
    <row r="238" spans="1:6" x14ac:dyDescent="0.25">
      <c r="A238" s="45" t="s">
        <v>387</v>
      </c>
      <c r="B238" s="45" t="s">
        <v>379</v>
      </c>
      <c r="C238" s="45" t="s">
        <v>380</v>
      </c>
      <c r="D238" s="45">
        <v>648077</v>
      </c>
      <c r="E238" s="45">
        <v>3667101</v>
      </c>
      <c r="F238" s="52" t="s">
        <v>515</v>
      </c>
    </row>
    <row r="239" spans="1:6" x14ac:dyDescent="0.25">
      <c r="A239" s="45" t="s">
        <v>387</v>
      </c>
      <c r="B239" s="45" t="s">
        <v>143</v>
      </c>
      <c r="C239" s="45" t="s">
        <v>144</v>
      </c>
      <c r="D239" s="54">
        <v>89239</v>
      </c>
      <c r="E239" s="45">
        <v>1294127</v>
      </c>
      <c r="F239" s="45" t="s">
        <v>515</v>
      </c>
    </row>
    <row r="240" spans="1:6" x14ac:dyDescent="0.25">
      <c r="A240" s="49" t="s">
        <v>387</v>
      </c>
      <c r="B240" s="49" t="s">
        <v>436</v>
      </c>
      <c r="C240" s="49" t="s">
        <v>437</v>
      </c>
      <c r="D240" s="45">
        <v>648238</v>
      </c>
      <c r="E240" s="45">
        <v>2679645</v>
      </c>
      <c r="F240" s="52" t="s">
        <v>517</v>
      </c>
    </row>
    <row r="241" spans="1:6" x14ac:dyDescent="0.25">
      <c r="A241" s="49" t="s">
        <v>387</v>
      </c>
      <c r="B241" s="49" t="s">
        <v>438</v>
      </c>
      <c r="C241" s="49" t="s">
        <v>439</v>
      </c>
      <c r="D241" s="45">
        <v>648239</v>
      </c>
      <c r="E241" s="45">
        <v>1496443</v>
      </c>
      <c r="F241" s="52" t="s">
        <v>517</v>
      </c>
    </row>
    <row r="242" spans="1:6" x14ac:dyDescent="0.25">
      <c r="A242" s="45" t="s">
        <v>387</v>
      </c>
      <c r="B242" s="45" t="s">
        <v>312</v>
      </c>
      <c r="C242" s="45" t="s">
        <v>313</v>
      </c>
      <c r="D242" s="45">
        <v>89217</v>
      </c>
      <c r="E242" s="45">
        <v>3409733</v>
      </c>
      <c r="F242" s="45" t="s">
        <v>515</v>
      </c>
    </row>
    <row r="243" spans="1:6" x14ac:dyDescent="0.25">
      <c r="A243" s="45" t="s">
        <v>387</v>
      </c>
      <c r="B243" s="45" t="s">
        <v>156</v>
      </c>
      <c r="C243" s="45" t="s">
        <v>157</v>
      </c>
      <c r="D243" s="54">
        <v>89244</v>
      </c>
      <c r="E243" s="45">
        <v>3462473</v>
      </c>
      <c r="F243" s="45" t="s">
        <v>515</v>
      </c>
    </row>
    <row r="244" spans="1:6" x14ac:dyDescent="0.25">
      <c r="A244" s="45" t="s">
        <v>387</v>
      </c>
      <c r="B244" s="45" t="s">
        <v>356</v>
      </c>
      <c r="C244" s="45" t="s">
        <v>357</v>
      </c>
      <c r="D244" s="45">
        <v>648061</v>
      </c>
      <c r="E244" s="45">
        <v>3553114</v>
      </c>
      <c r="F244" s="52" t="s">
        <v>515</v>
      </c>
    </row>
    <row r="245" spans="1:6" x14ac:dyDescent="0.25">
      <c r="A245" s="49" t="s">
        <v>389</v>
      </c>
      <c r="B245" s="49" t="s">
        <v>441</v>
      </c>
      <c r="C245" s="49" t="s">
        <v>442</v>
      </c>
      <c r="D245" s="45">
        <v>648222</v>
      </c>
      <c r="E245" s="45">
        <v>2741462</v>
      </c>
      <c r="F245" s="52" t="s">
        <v>517</v>
      </c>
    </row>
    <row r="246" spans="1:6" x14ac:dyDescent="0.25">
      <c r="A246" s="45" t="s">
        <v>389</v>
      </c>
      <c r="B246" s="45" t="s">
        <v>208</v>
      </c>
      <c r="C246" s="45" t="s">
        <v>209</v>
      </c>
      <c r="D246" s="45">
        <v>89308</v>
      </c>
      <c r="E246" s="45">
        <v>3624172</v>
      </c>
      <c r="F246" s="45" t="s">
        <v>515</v>
      </c>
    </row>
    <row r="247" spans="1:6" x14ac:dyDescent="0.25">
      <c r="A247" s="45" t="s">
        <v>389</v>
      </c>
      <c r="B247" s="45" t="s">
        <v>136</v>
      </c>
      <c r="C247" s="45" t="s">
        <v>137</v>
      </c>
      <c r="D247" s="45">
        <v>648045</v>
      </c>
      <c r="E247" s="45">
        <v>3553124</v>
      </c>
      <c r="F247" s="52" t="s">
        <v>515</v>
      </c>
    </row>
    <row r="248" spans="1:6" x14ac:dyDescent="0.25">
      <c r="A248" s="45" t="s">
        <v>389</v>
      </c>
      <c r="B248" s="45" t="s">
        <v>326</v>
      </c>
      <c r="C248" s="45" t="s">
        <v>327</v>
      </c>
      <c r="D248" s="45">
        <v>89102</v>
      </c>
      <c r="E248" s="45">
        <v>2397193</v>
      </c>
      <c r="F248" s="45" t="s">
        <v>515</v>
      </c>
    </row>
    <row r="249" spans="1:6" x14ac:dyDescent="0.25">
      <c r="A249" s="45" t="s">
        <v>389</v>
      </c>
      <c r="B249" s="45" t="s">
        <v>31</v>
      </c>
      <c r="C249" s="45" t="s">
        <v>32</v>
      </c>
      <c r="D249" s="45">
        <v>89264</v>
      </c>
      <c r="E249" s="45">
        <v>3553117</v>
      </c>
      <c r="F249" s="45" t="s">
        <v>596</v>
      </c>
    </row>
    <row r="250" spans="1:6" x14ac:dyDescent="0.25">
      <c r="A250" s="45" t="s">
        <v>389</v>
      </c>
      <c r="B250" s="45" t="s">
        <v>214</v>
      </c>
      <c r="C250" s="45" t="s">
        <v>215</v>
      </c>
      <c r="D250" s="45">
        <v>89303</v>
      </c>
      <c r="E250" s="45">
        <v>3624151</v>
      </c>
      <c r="F250" s="45" t="s">
        <v>515</v>
      </c>
    </row>
    <row r="251" spans="1:6" x14ac:dyDescent="0.25">
      <c r="A251" s="49" t="s">
        <v>389</v>
      </c>
      <c r="B251" s="49" t="s">
        <v>298</v>
      </c>
      <c r="C251" s="49" t="s">
        <v>299</v>
      </c>
      <c r="D251" s="45">
        <v>89208</v>
      </c>
      <c r="E251" s="45">
        <v>1632745</v>
      </c>
      <c r="F251" s="45" t="s">
        <v>515</v>
      </c>
    </row>
    <row r="252" spans="1:6" x14ac:dyDescent="0.25">
      <c r="A252" s="45" t="s">
        <v>389</v>
      </c>
      <c r="B252" s="45" t="s">
        <v>147</v>
      </c>
      <c r="C252" s="45" t="s">
        <v>148</v>
      </c>
      <c r="D252" s="54">
        <v>89230</v>
      </c>
      <c r="E252" s="45">
        <v>3462510</v>
      </c>
      <c r="F252" s="45" t="s">
        <v>515</v>
      </c>
    </row>
    <row r="253" spans="1:6" x14ac:dyDescent="0.25">
      <c r="A253" s="45" t="s">
        <v>389</v>
      </c>
      <c r="B253" s="45" t="s">
        <v>174</v>
      </c>
      <c r="C253" s="45" t="s">
        <v>219</v>
      </c>
      <c r="D253" s="45">
        <v>89299</v>
      </c>
      <c r="E253" s="45">
        <v>2538332</v>
      </c>
      <c r="F253" s="45" t="s">
        <v>515</v>
      </c>
    </row>
    <row r="254" spans="1:6" x14ac:dyDescent="0.25">
      <c r="A254" s="45" t="s">
        <v>389</v>
      </c>
      <c r="B254" s="45" t="s">
        <v>375</v>
      </c>
      <c r="C254" s="45" t="s">
        <v>376</v>
      </c>
      <c r="D254" s="45">
        <v>648075</v>
      </c>
      <c r="E254" s="45">
        <v>3646861</v>
      </c>
      <c r="F254" s="52" t="s">
        <v>515</v>
      </c>
    </row>
    <row r="255" spans="1:6" x14ac:dyDescent="0.25">
      <c r="A255" s="49" t="s">
        <v>389</v>
      </c>
      <c r="B255" s="49" t="s">
        <v>367</v>
      </c>
      <c r="C255" s="49" t="s">
        <v>443</v>
      </c>
      <c r="D255" s="45">
        <v>648227</v>
      </c>
      <c r="E255" s="45">
        <v>2741865</v>
      </c>
      <c r="F255" s="52" t="s">
        <v>517</v>
      </c>
    </row>
    <row r="256" spans="1:6" x14ac:dyDescent="0.25">
      <c r="A256" s="51" t="s">
        <v>389</v>
      </c>
      <c r="B256" s="51" t="s">
        <v>54</v>
      </c>
      <c r="C256" s="51" t="s">
        <v>55</v>
      </c>
      <c r="D256" s="45">
        <v>89167</v>
      </c>
      <c r="E256" s="45">
        <v>3133268</v>
      </c>
      <c r="F256" s="45" t="s">
        <v>515</v>
      </c>
    </row>
    <row r="257" spans="1:6" x14ac:dyDescent="0.25">
      <c r="A257" s="45" t="s">
        <v>389</v>
      </c>
      <c r="B257" s="45" t="s">
        <v>382</v>
      </c>
      <c r="C257" s="45" t="s">
        <v>383</v>
      </c>
      <c r="D257" s="45">
        <v>89334</v>
      </c>
      <c r="E257" s="45">
        <v>3667104</v>
      </c>
      <c r="F257" s="45" t="s">
        <v>515</v>
      </c>
    </row>
    <row r="258" spans="1:6" x14ac:dyDescent="0.25">
      <c r="A258" s="45" t="s">
        <v>389</v>
      </c>
      <c r="B258" s="45" t="s">
        <v>159</v>
      </c>
      <c r="C258" s="45" t="s">
        <v>160</v>
      </c>
      <c r="D258" s="54">
        <v>89246</v>
      </c>
      <c r="E258" s="45">
        <v>3462494</v>
      </c>
      <c r="F258" s="45" t="s">
        <v>515</v>
      </c>
    </row>
    <row r="259" spans="1:6" x14ac:dyDescent="0.25">
      <c r="A259" s="49" t="s">
        <v>389</v>
      </c>
      <c r="B259" s="49" t="s">
        <v>318</v>
      </c>
      <c r="C259" s="49" t="s">
        <v>319</v>
      </c>
      <c r="D259" s="45">
        <v>89221</v>
      </c>
      <c r="E259" s="45">
        <v>3409601</v>
      </c>
      <c r="F259" s="45" t="s">
        <v>515</v>
      </c>
    </row>
    <row r="260" spans="1:6" x14ac:dyDescent="0.25">
      <c r="A260" s="49" t="s">
        <v>390</v>
      </c>
      <c r="B260" s="49" t="s">
        <v>98</v>
      </c>
      <c r="C260" s="49" t="s">
        <v>99</v>
      </c>
      <c r="D260" s="54">
        <v>89223</v>
      </c>
      <c r="E260" s="45">
        <v>3462531</v>
      </c>
      <c r="F260" s="45" t="s">
        <v>515</v>
      </c>
    </row>
    <row r="261" spans="1:6" x14ac:dyDescent="0.25">
      <c r="A261" s="45" t="s">
        <v>390</v>
      </c>
      <c r="B261" s="45" t="s">
        <v>260</v>
      </c>
      <c r="C261" s="45" t="s">
        <v>261</v>
      </c>
      <c r="D261" s="45">
        <v>89290</v>
      </c>
      <c r="E261" s="45">
        <v>3624034</v>
      </c>
      <c r="F261" s="45" t="s">
        <v>515</v>
      </c>
    </row>
    <row r="262" spans="1:6" x14ac:dyDescent="0.25">
      <c r="A262" s="45" t="s">
        <v>390</v>
      </c>
      <c r="B262" s="45" t="s">
        <v>165</v>
      </c>
      <c r="C262" s="45" t="s">
        <v>166</v>
      </c>
      <c r="D262" s="45">
        <v>89284</v>
      </c>
      <c r="E262" s="45">
        <v>3624026</v>
      </c>
      <c r="F262" s="45" t="s">
        <v>515</v>
      </c>
    </row>
    <row r="263" spans="1:6" x14ac:dyDescent="0.25">
      <c r="A263" s="49" t="s">
        <v>390</v>
      </c>
      <c r="B263" s="49" t="s">
        <v>167</v>
      </c>
      <c r="C263" s="49" t="s">
        <v>168</v>
      </c>
      <c r="D263" s="45">
        <v>89023</v>
      </c>
      <c r="E263" s="45">
        <v>2646185</v>
      </c>
      <c r="F263" s="45" t="s">
        <v>515</v>
      </c>
    </row>
    <row r="264" spans="1:6" x14ac:dyDescent="0.25">
      <c r="A264" s="45" t="s">
        <v>390</v>
      </c>
      <c r="B264" s="45" t="s">
        <v>102</v>
      </c>
      <c r="C264" s="45" t="s">
        <v>103</v>
      </c>
      <c r="D264" s="45">
        <v>89036</v>
      </c>
      <c r="E264" s="45">
        <v>567214</v>
      </c>
      <c r="F264" s="45" t="s">
        <v>515</v>
      </c>
    </row>
    <row r="265" spans="1:6" x14ac:dyDescent="0.25">
      <c r="A265" s="45" t="s">
        <v>390</v>
      </c>
      <c r="B265" s="45" t="s">
        <v>361</v>
      </c>
      <c r="C265" s="45" t="s">
        <v>362</v>
      </c>
      <c r="D265" s="45">
        <v>89316</v>
      </c>
      <c r="E265" s="45">
        <v>3667089</v>
      </c>
      <c r="F265" s="45" t="s">
        <v>515</v>
      </c>
    </row>
    <row r="266" spans="1:6" x14ac:dyDescent="0.25">
      <c r="A266" s="45" t="s">
        <v>390</v>
      </c>
      <c r="B266" s="45" t="s">
        <v>369</v>
      </c>
      <c r="C266" s="45" t="s">
        <v>370</v>
      </c>
      <c r="D266" s="45">
        <v>89321</v>
      </c>
      <c r="E266" s="45">
        <v>3123376</v>
      </c>
      <c r="F266" s="45" t="s">
        <v>515</v>
      </c>
    </row>
    <row r="267" spans="1:6" x14ac:dyDescent="0.25">
      <c r="A267" s="45" t="s">
        <v>390</v>
      </c>
      <c r="B267" s="45" t="s">
        <v>268</v>
      </c>
      <c r="C267" s="45" t="s">
        <v>269</v>
      </c>
      <c r="D267" s="54">
        <v>89226</v>
      </c>
      <c r="E267" s="45">
        <v>3462528</v>
      </c>
      <c r="F267" s="45" t="s">
        <v>515</v>
      </c>
    </row>
    <row r="268" spans="1:6" x14ac:dyDescent="0.25">
      <c r="A268" s="45" t="s">
        <v>390</v>
      </c>
      <c r="B268" s="45" t="s">
        <v>64</v>
      </c>
      <c r="C268" s="45" t="s">
        <v>65</v>
      </c>
      <c r="D268" s="45">
        <v>89291</v>
      </c>
      <c r="E268" s="45">
        <v>3624035</v>
      </c>
      <c r="F268" s="45" t="s">
        <v>515</v>
      </c>
    </row>
    <row r="269" spans="1:6" x14ac:dyDescent="0.25">
      <c r="A269" s="45" t="s">
        <v>390</v>
      </c>
      <c r="B269" s="45" t="s">
        <v>105</v>
      </c>
      <c r="C269" s="45" t="s">
        <v>106</v>
      </c>
      <c r="D269" s="45">
        <v>89123</v>
      </c>
      <c r="E269" s="45">
        <v>3118301</v>
      </c>
      <c r="F269" s="45" t="s">
        <v>515</v>
      </c>
    </row>
    <row r="270" spans="1:6" x14ac:dyDescent="0.25">
      <c r="A270" s="45" t="s">
        <v>390</v>
      </c>
      <c r="B270" s="45" t="s">
        <v>367</v>
      </c>
      <c r="C270" s="45" t="s">
        <v>368</v>
      </c>
      <c r="D270" s="45">
        <v>648067</v>
      </c>
      <c r="E270" s="45">
        <v>3667092</v>
      </c>
      <c r="F270" s="52" t="s">
        <v>515</v>
      </c>
    </row>
    <row r="271" spans="1:6" x14ac:dyDescent="0.25">
      <c r="A271" s="49" t="s">
        <v>390</v>
      </c>
      <c r="B271" s="49" t="s">
        <v>346</v>
      </c>
      <c r="C271" s="49" t="s">
        <v>458</v>
      </c>
      <c r="D271" s="45">
        <v>648231</v>
      </c>
      <c r="E271" s="45">
        <v>2025854</v>
      </c>
      <c r="F271" s="52" t="s">
        <v>517</v>
      </c>
    </row>
    <row r="272" spans="1:6" x14ac:dyDescent="0.25">
      <c r="A272" s="45" t="s">
        <v>390</v>
      </c>
      <c r="B272" s="45" t="s">
        <v>284</v>
      </c>
      <c r="C272" s="45" t="s">
        <v>285</v>
      </c>
      <c r="D272" s="45">
        <v>89129</v>
      </c>
      <c r="E272" s="45">
        <v>3118271</v>
      </c>
      <c r="F272" s="45" t="s">
        <v>515</v>
      </c>
    </row>
    <row r="273" spans="1:6" x14ac:dyDescent="0.25">
      <c r="A273" s="45" t="s">
        <v>390</v>
      </c>
      <c r="B273" s="45" t="s">
        <v>114</v>
      </c>
      <c r="C273" s="45" t="s">
        <v>366</v>
      </c>
      <c r="D273" s="45" t="s">
        <v>386</v>
      </c>
      <c r="E273" s="45">
        <v>3667093</v>
      </c>
      <c r="F273" s="45" t="s">
        <v>515</v>
      </c>
    </row>
    <row r="274" spans="1:6" x14ac:dyDescent="0.25">
      <c r="A274" s="45" t="s">
        <v>390</v>
      </c>
      <c r="B274" s="45" t="s">
        <v>116</v>
      </c>
      <c r="C274" s="45" t="s">
        <v>117</v>
      </c>
      <c r="D274" s="45">
        <v>89165</v>
      </c>
      <c r="E274" s="45">
        <v>3133256</v>
      </c>
      <c r="F274" s="45" t="s">
        <v>518</v>
      </c>
    </row>
    <row r="275" spans="1:6" x14ac:dyDescent="0.25">
      <c r="A275" s="45" t="s">
        <v>390</v>
      </c>
      <c r="B275" s="45" t="s">
        <v>192</v>
      </c>
      <c r="C275" s="45" t="s">
        <v>193</v>
      </c>
      <c r="D275" s="45">
        <v>89105</v>
      </c>
      <c r="E275" s="45">
        <v>2426256</v>
      </c>
      <c r="F275" s="45" t="s">
        <v>515</v>
      </c>
    </row>
    <row r="276" spans="1:6" x14ac:dyDescent="0.25">
      <c r="A276" s="45" t="s">
        <v>390</v>
      </c>
      <c r="B276" s="45" t="s">
        <v>90</v>
      </c>
      <c r="C276" s="45" t="s">
        <v>91</v>
      </c>
      <c r="D276" s="45">
        <v>89281</v>
      </c>
      <c r="E276" s="45">
        <v>3624022</v>
      </c>
      <c r="F276" s="45" t="s">
        <v>515</v>
      </c>
    </row>
    <row r="277" spans="1:6" x14ac:dyDescent="0.25">
      <c r="A277" s="49" t="s">
        <v>390</v>
      </c>
      <c r="B277" s="49" t="s">
        <v>459</v>
      </c>
      <c r="C277" s="49" t="s">
        <v>460</v>
      </c>
      <c r="D277" s="45">
        <v>648234</v>
      </c>
      <c r="E277" s="45">
        <v>1676298</v>
      </c>
      <c r="F277" s="52" t="s">
        <v>517</v>
      </c>
    </row>
    <row r="278" spans="1:6" x14ac:dyDescent="0.25">
      <c r="A278" s="45" t="s">
        <v>390</v>
      </c>
      <c r="B278" s="45" t="s">
        <v>126</v>
      </c>
      <c r="C278" s="45" t="s">
        <v>127</v>
      </c>
      <c r="D278" s="45">
        <v>89194</v>
      </c>
      <c r="E278" s="45">
        <v>3138455</v>
      </c>
      <c r="F278" s="45" t="s">
        <v>515</v>
      </c>
    </row>
    <row r="279" spans="1:6" x14ac:dyDescent="0.25">
      <c r="A279" s="49" t="s">
        <v>390</v>
      </c>
      <c r="B279" s="49" t="s">
        <v>159</v>
      </c>
      <c r="C279" s="49" t="s">
        <v>461</v>
      </c>
      <c r="D279" s="45">
        <v>648236</v>
      </c>
      <c r="E279" s="45">
        <v>2741813</v>
      </c>
      <c r="F279" s="52" t="s">
        <v>517</v>
      </c>
    </row>
    <row r="280" spans="1:6" ht="15.75" thickBot="1" x14ac:dyDescent="0.3">
      <c r="A280" s="55" t="s">
        <v>390</v>
      </c>
      <c r="B280" s="55" t="s">
        <v>201</v>
      </c>
      <c r="C280" s="55" t="s">
        <v>202</v>
      </c>
      <c r="D280" s="7">
        <v>89174</v>
      </c>
      <c r="E280" s="7">
        <v>1412049</v>
      </c>
      <c r="F280" s="8" t="s">
        <v>515</v>
      </c>
    </row>
  </sheetData>
  <conditionalFormatting sqref="A105:F280">
    <cfRule type="cellIs" dxfId="569" priority="15" operator="equal">
      <formula>"LOA"</formula>
    </cfRule>
    <cfRule type="cellIs" dxfId="568" priority="16" operator="equal">
      <formula>"PENDING TERM"</formula>
    </cfRule>
    <cfRule type="cellIs" dxfId="567" priority="17" operator="equal">
      <formula>"PROMOTED"</formula>
    </cfRule>
    <cfRule type="cellIs" dxfId="566" priority="18" operator="equal">
      <formula>"REINSTATEMENT"</formula>
    </cfRule>
    <cfRule type="cellIs" dxfId="565" priority="19" operator="equal">
      <formula>"TERM"</formula>
    </cfRule>
    <cfRule type="cellIs" dxfId="564" priority="20" operator="equal">
      <formula>"TRANSFER"</formula>
    </cfRule>
  </conditionalFormatting>
  <conditionalFormatting sqref="E3">
    <cfRule type="duplicateValues" dxfId="563" priority="21"/>
  </conditionalFormatting>
  <conditionalFormatting sqref="E32">
    <cfRule type="duplicateValues" dxfId="562" priority="13"/>
  </conditionalFormatting>
  <conditionalFormatting sqref="D32">
    <cfRule type="duplicateValues" dxfId="561" priority="14"/>
  </conditionalFormatting>
  <conditionalFormatting sqref="E7">
    <cfRule type="duplicateValues" dxfId="560" priority="22"/>
  </conditionalFormatting>
  <conditionalFormatting sqref="D7">
    <cfRule type="duplicateValues" dxfId="559" priority="23"/>
  </conditionalFormatting>
  <conditionalFormatting sqref="E42">
    <cfRule type="duplicateValues" dxfId="558" priority="11"/>
  </conditionalFormatting>
  <conditionalFormatting sqref="D42">
    <cfRule type="duplicateValues" dxfId="557" priority="12"/>
  </conditionalFormatting>
  <conditionalFormatting sqref="E30">
    <cfRule type="duplicateValues" dxfId="556" priority="24"/>
  </conditionalFormatting>
  <conditionalFormatting sqref="D30">
    <cfRule type="duplicateValues" dxfId="555" priority="25"/>
  </conditionalFormatting>
  <conditionalFormatting sqref="E8:E12">
    <cfRule type="duplicateValues" dxfId="554" priority="26"/>
  </conditionalFormatting>
  <conditionalFormatting sqref="D8:D12">
    <cfRule type="duplicateValues" dxfId="553" priority="27"/>
  </conditionalFormatting>
  <conditionalFormatting sqref="E43:E48">
    <cfRule type="duplicateValues" dxfId="552" priority="28"/>
  </conditionalFormatting>
  <conditionalFormatting sqref="D43:D48">
    <cfRule type="duplicateValues" dxfId="551" priority="29"/>
  </conditionalFormatting>
  <conditionalFormatting sqref="E29">
    <cfRule type="duplicateValues" dxfId="550" priority="30"/>
  </conditionalFormatting>
  <conditionalFormatting sqref="D29">
    <cfRule type="duplicateValues" dxfId="549" priority="31"/>
  </conditionalFormatting>
  <conditionalFormatting sqref="E20:E21">
    <cfRule type="duplicateValues" dxfId="548" priority="32"/>
  </conditionalFormatting>
  <conditionalFormatting sqref="D20:D21">
    <cfRule type="duplicateValues" dxfId="547" priority="33"/>
  </conditionalFormatting>
  <conditionalFormatting sqref="E4:E6">
    <cfRule type="duplicateValues" dxfId="546" priority="34"/>
  </conditionalFormatting>
  <conditionalFormatting sqref="E27:E28">
    <cfRule type="duplicateValues" dxfId="545" priority="35"/>
  </conditionalFormatting>
  <conditionalFormatting sqref="D27:D28">
    <cfRule type="duplicateValues" dxfId="544" priority="36"/>
  </conditionalFormatting>
  <conditionalFormatting sqref="E31">
    <cfRule type="duplicateValues" dxfId="543" priority="37"/>
  </conditionalFormatting>
  <conditionalFormatting sqref="D31">
    <cfRule type="duplicateValues" dxfId="542" priority="38"/>
  </conditionalFormatting>
  <conditionalFormatting sqref="E22:E26">
    <cfRule type="duplicateValues" dxfId="541" priority="39"/>
  </conditionalFormatting>
  <conditionalFormatting sqref="D22:D26">
    <cfRule type="duplicateValues" dxfId="540" priority="40"/>
  </conditionalFormatting>
  <conditionalFormatting sqref="E13:E19">
    <cfRule type="duplicateValues" dxfId="539" priority="41"/>
  </conditionalFormatting>
  <conditionalFormatting sqref="D13:D19">
    <cfRule type="duplicateValues" dxfId="538" priority="42"/>
  </conditionalFormatting>
  <conditionalFormatting sqref="E166:E171">
    <cfRule type="duplicateValues" dxfId="537" priority="43"/>
  </conditionalFormatting>
  <conditionalFormatting sqref="D166:D171">
    <cfRule type="duplicateValues" dxfId="536" priority="44"/>
  </conditionalFormatting>
  <conditionalFormatting sqref="E172:E190">
    <cfRule type="duplicateValues" dxfId="535" priority="6"/>
  </conditionalFormatting>
  <conditionalFormatting sqref="E172:E190">
    <cfRule type="duplicateValues" dxfId="534" priority="7"/>
  </conditionalFormatting>
  <conditionalFormatting sqref="D172:D190">
    <cfRule type="duplicateValues" dxfId="533" priority="8"/>
  </conditionalFormatting>
  <conditionalFormatting sqref="E172:E190">
    <cfRule type="duplicateValues" dxfId="532" priority="9"/>
  </conditionalFormatting>
  <conditionalFormatting sqref="D172:D190">
    <cfRule type="duplicateValues" dxfId="531" priority="10"/>
  </conditionalFormatting>
  <conditionalFormatting sqref="E136:E165">
    <cfRule type="duplicateValues" dxfId="530" priority="45"/>
  </conditionalFormatting>
  <conditionalFormatting sqref="D136:D165">
    <cfRule type="duplicateValues" dxfId="529" priority="46"/>
  </conditionalFormatting>
  <conditionalFormatting sqref="E191:E214">
    <cfRule type="duplicateValues" dxfId="528" priority="1"/>
  </conditionalFormatting>
  <conditionalFormatting sqref="E191:E214">
    <cfRule type="duplicateValues" dxfId="527" priority="2"/>
  </conditionalFormatting>
  <conditionalFormatting sqref="D191:D214">
    <cfRule type="duplicateValues" dxfId="526" priority="3"/>
  </conditionalFormatting>
  <conditionalFormatting sqref="E191:E214">
    <cfRule type="duplicateValues" dxfId="525" priority="4"/>
  </conditionalFormatting>
  <conditionalFormatting sqref="D191:D214">
    <cfRule type="duplicateValues" dxfId="524" priority="5"/>
  </conditionalFormatting>
  <conditionalFormatting sqref="E37:E41">
    <cfRule type="duplicateValues" dxfId="523" priority="47"/>
  </conditionalFormatting>
  <conditionalFormatting sqref="D37:D41">
    <cfRule type="duplicateValues" dxfId="522" priority="48"/>
  </conditionalFormatting>
  <conditionalFormatting sqref="E49:E104">
    <cfRule type="duplicateValues" dxfId="521" priority="49"/>
  </conditionalFormatting>
  <conditionalFormatting sqref="E116:E135">
    <cfRule type="duplicateValues" dxfId="520" priority="50"/>
  </conditionalFormatting>
  <conditionalFormatting sqref="D116:D135 D49:D104">
    <cfRule type="duplicateValues" dxfId="519" priority="51"/>
  </conditionalFormatting>
  <conditionalFormatting sqref="D116:D135 D54:D104 D12 D2:D6">
    <cfRule type="duplicateValues" dxfId="518" priority="52"/>
  </conditionalFormatting>
  <conditionalFormatting sqref="E54:E104 E12 E2 E231:E280">
    <cfRule type="duplicateValues" dxfId="517" priority="53"/>
  </conditionalFormatting>
  <conditionalFormatting sqref="E116:E135">
    <cfRule type="duplicateValues" dxfId="516" priority="54"/>
  </conditionalFormatting>
  <conditionalFormatting sqref="E215:E280">
    <cfRule type="duplicateValues" dxfId="515" priority="55"/>
  </conditionalFormatting>
  <conditionalFormatting sqref="D215:D280">
    <cfRule type="duplicateValues" dxfId="514" priority="56"/>
  </conditionalFormatting>
  <conditionalFormatting sqref="E105:E135">
    <cfRule type="duplicateValues" dxfId="513" priority="57"/>
  </conditionalFormatting>
  <conditionalFormatting sqref="D105:D135">
    <cfRule type="duplicateValues" dxfId="512" priority="58"/>
  </conditionalFormatting>
  <conditionalFormatting sqref="E33:E36">
    <cfRule type="duplicateValues" dxfId="511" priority="59"/>
  </conditionalFormatting>
  <conditionalFormatting sqref="D33:D36">
    <cfRule type="duplicateValues" dxfId="510" priority="6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9"/>
  <sheetViews>
    <sheetView workbookViewId="0">
      <selection activeCell="E17" sqref="E17"/>
    </sheetView>
  </sheetViews>
  <sheetFormatPr baseColWidth="10" defaultRowHeight="15" x14ac:dyDescent="0.25"/>
  <cols>
    <col min="1" max="1" width="16.42578125" customWidth="1"/>
    <col min="2" max="3" width="19.140625" customWidth="1"/>
    <col min="4" max="4" width="11.42578125" style="26"/>
    <col min="5" max="5" width="13.140625" style="26" customWidth="1"/>
    <col min="6" max="6" width="11.42578125" style="26"/>
    <col min="7" max="7" width="13.7109375" style="26" customWidth="1"/>
    <col min="8" max="8" width="11.42578125" style="26"/>
    <col min="9" max="9" width="13.85546875" style="26" customWidth="1"/>
    <col min="10" max="14" width="11.42578125" style="26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70" t="s">
        <v>10</v>
      </c>
      <c r="B2" s="70" t="s">
        <v>332</v>
      </c>
      <c r="C2" s="70" t="s">
        <v>333</v>
      </c>
    </row>
    <row r="3" spans="1:3" x14ac:dyDescent="0.25">
      <c r="A3" s="70" t="s">
        <v>10</v>
      </c>
      <c r="B3" s="70" t="s">
        <v>320</v>
      </c>
      <c r="C3" s="70" t="s">
        <v>360</v>
      </c>
    </row>
    <row r="4" spans="1:3" x14ac:dyDescent="0.25">
      <c r="A4" s="70" t="s">
        <v>10</v>
      </c>
      <c r="B4" s="70" t="s">
        <v>48</v>
      </c>
      <c r="C4" s="70" t="s">
        <v>49</v>
      </c>
    </row>
    <row r="5" spans="1:3" x14ac:dyDescent="0.25">
      <c r="A5" s="70" t="s">
        <v>10</v>
      </c>
      <c r="B5" s="70" t="s">
        <v>348</v>
      </c>
      <c r="C5" s="70" t="s">
        <v>349</v>
      </c>
    </row>
    <row r="6" spans="1:3" x14ac:dyDescent="0.25">
      <c r="A6" s="70" t="s">
        <v>10</v>
      </c>
      <c r="B6" s="70" t="s">
        <v>352</v>
      </c>
      <c r="C6" s="70" t="s">
        <v>353</v>
      </c>
    </row>
    <row r="7" spans="1:3" x14ac:dyDescent="0.25">
      <c r="A7" s="70" t="s">
        <v>10</v>
      </c>
      <c r="B7" s="70" t="s">
        <v>29</v>
      </c>
      <c r="C7" s="70" t="s">
        <v>30</v>
      </c>
    </row>
    <row r="8" spans="1:3" x14ac:dyDescent="0.25">
      <c r="A8" s="70" t="s">
        <v>10</v>
      </c>
      <c r="B8" s="70" t="s">
        <v>35</v>
      </c>
      <c r="C8" s="70" t="s">
        <v>36</v>
      </c>
    </row>
    <row r="9" spans="1:3" x14ac:dyDescent="0.25">
      <c r="A9" s="70" t="s">
        <v>10</v>
      </c>
      <c r="B9" s="70" t="s">
        <v>43</v>
      </c>
      <c r="C9" s="70" t="s">
        <v>45</v>
      </c>
    </row>
    <row r="10" spans="1:3" x14ac:dyDescent="0.25">
      <c r="A10" s="70" t="s">
        <v>10</v>
      </c>
      <c r="B10" s="70" t="s">
        <v>350</v>
      </c>
      <c r="C10" s="70" t="s">
        <v>351</v>
      </c>
    </row>
    <row r="11" spans="1:3" x14ac:dyDescent="0.25">
      <c r="A11" s="70" t="s">
        <v>10</v>
      </c>
      <c r="B11" s="70" t="s">
        <v>289</v>
      </c>
      <c r="C11" s="70" t="s">
        <v>290</v>
      </c>
    </row>
    <row r="12" spans="1:3" x14ac:dyDescent="0.25">
      <c r="A12" s="70" t="s">
        <v>10</v>
      </c>
      <c r="B12" s="70" t="s">
        <v>37</v>
      </c>
      <c r="C12" s="70" t="s">
        <v>38</v>
      </c>
    </row>
    <row r="13" spans="1:3" x14ac:dyDescent="0.25">
      <c r="A13" s="70" t="s">
        <v>10</v>
      </c>
      <c r="B13" s="70" t="s">
        <v>50</v>
      </c>
      <c r="C13" s="70" t="s">
        <v>51</v>
      </c>
    </row>
    <row r="14" spans="1:3" x14ac:dyDescent="0.25">
      <c r="A14" s="71" t="s">
        <v>10</v>
      </c>
      <c r="B14" s="71" t="s">
        <v>322</v>
      </c>
      <c r="C14" s="71" t="s">
        <v>323</v>
      </c>
    </row>
    <row r="15" spans="1:3" x14ac:dyDescent="0.25">
      <c r="A15" s="71" t="s">
        <v>10</v>
      </c>
      <c r="B15" s="71" t="s">
        <v>230</v>
      </c>
      <c r="C15" s="71" t="s">
        <v>583</v>
      </c>
    </row>
    <row r="16" spans="1:3" x14ac:dyDescent="0.25">
      <c r="A16" s="71" t="s">
        <v>10</v>
      </c>
      <c r="B16" s="71" t="s">
        <v>475</v>
      </c>
      <c r="C16" s="71" t="s">
        <v>67</v>
      </c>
    </row>
    <row r="17" spans="1:6" x14ac:dyDescent="0.25">
      <c r="A17" s="71" t="s">
        <v>10</v>
      </c>
      <c r="B17" s="71" t="s">
        <v>470</v>
      </c>
      <c r="C17" s="71" t="s">
        <v>471</v>
      </c>
    </row>
    <row r="18" spans="1:6" x14ac:dyDescent="0.25">
      <c r="A18" s="71" t="s">
        <v>10</v>
      </c>
      <c r="B18" s="71" t="s">
        <v>140</v>
      </c>
      <c r="C18" s="71" t="s">
        <v>141</v>
      </c>
    </row>
    <row r="19" spans="1:6" x14ac:dyDescent="0.25">
      <c r="A19" s="71" t="s">
        <v>10</v>
      </c>
      <c r="B19" s="71" t="s">
        <v>466</v>
      </c>
      <c r="C19" s="71" t="s">
        <v>590</v>
      </c>
      <c r="D19" s="190">
        <v>44068</v>
      </c>
      <c r="E19" s="189" t="s">
        <v>874</v>
      </c>
      <c r="F19" s="189" t="s">
        <v>875</v>
      </c>
    </row>
  </sheetData>
  <conditionalFormatting sqref="A16:C19 E19:F19">
    <cfRule type="cellIs" dxfId="509" priority="1" operator="equal">
      <formula>"LOA"</formula>
    </cfRule>
    <cfRule type="cellIs" dxfId="508" priority="2" operator="equal">
      <formula>"PENDING TERM"</formula>
    </cfRule>
    <cfRule type="cellIs" dxfId="507" priority="3" operator="equal">
      <formula>"PROMOTED"</formula>
    </cfRule>
    <cfRule type="cellIs" dxfId="506" priority="4" operator="equal">
      <formula>"REINSTATEMENT"</formula>
    </cfRule>
    <cfRule type="cellIs" dxfId="505" priority="5" operator="equal">
      <formula>"TERM"</formula>
    </cfRule>
    <cfRule type="cellIs" dxfId="504" priority="6" operator="equal">
      <formula>"TRANSFER"</formula>
    </cfRule>
  </conditionalFormatting>
  <conditionalFormatting sqref="A14:C15">
    <cfRule type="cellIs" dxfId="503" priority="7" operator="equal">
      <formula>"LOA"</formula>
    </cfRule>
    <cfRule type="cellIs" dxfId="502" priority="8" operator="equal">
      <formula>"PENDING TERM"</formula>
    </cfRule>
    <cfRule type="cellIs" dxfId="501" priority="9" operator="equal">
      <formula>"PROMOTED"</formula>
    </cfRule>
    <cfRule type="cellIs" dxfId="500" priority="10" operator="equal">
      <formula>"REINSTATEMENT"</formula>
    </cfRule>
    <cfRule type="cellIs" dxfId="499" priority="11" operator="equal">
      <formula>"TERM"</formula>
    </cfRule>
    <cfRule type="cellIs" dxfId="498" priority="12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22"/>
  <sheetViews>
    <sheetView workbookViewId="0">
      <selection activeCell="D17" sqref="D17"/>
    </sheetView>
  </sheetViews>
  <sheetFormatPr baseColWidth="10" defaultRowHeight="15" x14ac:dyDescent="0.25"/>
  <cols>
    <col min="1" max="1" width="15.5703125" customWidth="1"/>
    <col min="2" max="2" width="15.140625" bestFit="1" customWidth="1"/>
    <col min="3" max="3" width="19.85546875" bestFit="1" customWidth="1"/>
    <col min="4" max="4" width="18.140625" customWidth="1"/>
    <col min="5" max="5" width="13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207" t="s">
        <v>597</v>
      </c>
      <c r="F1" s="208"/>
      <c r="G1" s="208"/>
    </row>
    <row r="2" spans="1:7" x14ac:dyDescent="0.25">
      <c r="A2" s="6" t="s">
        <v>10</v>
      </c>
      <c r="B2" s="6" t="s">
        <v>332</v>
      </c>
      <c r="C2" s="6" t="s">
        <v>333</v>
      </c>
      <c r="D2" s="6">
        <v>1880623</v>
      </c>
      <c r="E2" s="6"/>
      <c r="F2" s="6"/>
      <c r="G2" s="6"/>
    </row>
    <row r="3" spans="1:7" x14ac:dyDescent="0.25">
      <c r="A3" s="6" t="s">
        <v>10</v>
      </c>
      <c r="B3" s="6" t="s">
        <v>320</v>
      </c>
      <c r="C3" s="6" t="s">
        <v>360</v>
      </c>
      <c r="D3" s="6">
        <v>2832262</v>
      </c>
      <c r="E3" s="56">
        <v>44015</v>
      </c>
      <c r="F3" s="6"/>
      <c r="G3" s="6"/>
    </row>
    <row r="4" spans="1:7" x14ac:dyDescent="0.25">
      <c r="A4" s="6" t="s">
        <v>10</v>
      </c>
      <c r="B4" s="45" t="s">
        <v>35</v>
      </c>
      <c r="C4" s="45" t="s">
        <v>36</v>
      </c>
      <c r="D4" s="45">
        <v>2358095</v>
      </c>
      <c r="E4" s="6"/>
      <c r="F4" s="6"/>
      <c r="G4" s="6"/>
    </row>
    <row r="5" spans="1:7" x14ac:dyDescent="0.25">
      <c r="A5" s="6" t="s">
        <v>10</v>
      </c>
      <c r="B5" s="11" t="s">
        <v>348</v>
      </c>
      <c r="C5" s="6" t="s">
        <v>349</v>
      </c>
      <c r="D5" s="6">
        <v>3133293</v>
      </c>
      <c r="E5" s="6"/>
      <c r="F5" s="6"/>
      <c r="G5" s="6"/>
    </row>
    <row r="6" spans="1:7" x14ac:dyDescent="0.25">
      <c r="A6" s="45" t="s">
        <v>10</v>
      </c>
      <c r="B6" s="45" t="s">
        <v>352</v>
      </c>
      <c r="C6" s="45" t="s">
        <v>353</v>
      </c>
      <c r="D6" s="45">
        <v>2873911</v>
      </c>
      <c r="E6" s="6"/>
      <c r="F6" s="6"/>
      <c r="G6" s="6"/>
    </row>
    <row r="7" spans="1:7" x14ac:dyDescent="0.25">
      <c r="A7" s="6" t="s">
        <v>10</v>
      </c>
      <c r="B7" s="6" t="s">
        <v>289</v>
      </c>
      <c r="C7" s="6" t="s">
        <v>290</v>
      </c>
      <c r="D7" s="45">
        <v>3409624</v>
      </c>
      <c r="E7" s="6"/>
      <c r="F7" s="6"/>
      <c r="G7" s="6"/>
    </row>
    <row r="8" spans="1:7" x14ac:dyDescent="0.25">
      <c r="A8" s="6" t="s">
        <v>10</v>
      </c>
      <c r="B8" s="6" t="s">
        <v>29</v>
      </c>
      <c r="C8" s="6" t="s">
        <v>30</v>
      </c>
      <c r="D8" s="6">
        <v>2313015</v>
      </c>
      <c r="E8" s="6"/>
      <c r="F8" s="6"/>
      <c r="G8" s="6"/>
    </row>
    <row r="9" spans="1:7" x14ac:dyDescent="0.25">
      <c r="A9" s="6" t="s">
        <v>10</v>
      </c>
      <c r="B9" s="6" t="s">
        <v>37</v>
      </c>
      <c r="C9" s="6" t="s">
        <v>38</v>
      </c>
      <c r="D9" s="6">
        <v>3462518</v>
      </c>
      <c r="E9" s="56">
        <v>44012</v>
      </c>
      <c r="F9" s="6"/>
      <c r="G9" s="6"/>
    </row>
    <row r="10" spans="1:7" x14ac:dyDescent="0.25">
      <c r="A10" s="6" t="s">
        <v>10</v>
      </c>
      <c r="B10" s="6" t="s">
        <v>43</v>
      </c>
      <c r="C10" s="6" t="s">
        <v>45</v>
      </c>
      <c r="D10" s="6">
        <v>2783079</v>
      </c>
      <c r="E10" s="6"/>
      <c r="F10" s="6"/>
      <c r="G10" s="6"/>
    </row>
    <row r="11" spans="1:7" x14ac:dyDescent="0.25">
      <c r="A11" s="6" t="s">
        <v>10</v>
      </c>
      <c r="B11" s="6" t="s">
        <v>48</v>
      </c>
      <c r="C11" s="6" t="s">
        <v>49</v>
      </c>
      <c r="D11" s="6">
        <v>3118306</v>
      </c>
      <c r="E11" s="6"/>
      <c r="F11" s="6"/>
      <c r="G11" s="6"/>
    </row>
    <row r="12" spans="1:7" x14ac:dyDescent="0.25">
      <c r="A12" s="6" t="s">
        <v>10</v>
      </c>
      <c r="B12" s="6" t="s">
        <v>50</v>
      </c>
      <c r="C12" s="6" t="s">
        <v>51</v>
      </c>
      <c r="D12" s="6">
        <v>1063468</v>
      </c>
      <c r="E12" s="6"/>
      <c r="F12" s="6"/>
      <c r="G12" s="6"/>
    </row>
    <row r="13" spans="1:7" x14ac:dyDescent="0.25">
      <c r="A13" s="6" t="s">
        <v>10</v>
      </c>
      <c r="B13" s="6" t="s">
        <v>350</v>
      </c>
      <c r="C13" s="6" t="s">
        <v>351</v>
      </c>
      <c r="D13" s="45">
        <v>2873639</v>
      </c>
      <c r="E13" s="6"/>
      <c r="F13" s="6"/>
      <c r="G13" s="6"/>
    </row>
    <row r="14" spans="1:7" x14ac:dyDescent="0.25">
      <c r="A14" s="48" t="s">
        <v>10</v>
      </c>
      <c r="B14" s="48" t="s">
        <v>336</v>
      </c>
      <c r="C14" s="48" t="s">
        <v>337</v>
      </c>
      <c r="D14" s="48">
        <v>2453507</v>
      </c>
      <c r="E14" s="209" t="s">
        <v>600</v>
      </c>
      <c r="F14" s="210"/>
      <c r="G14" s="211"/>
    </row>
    <row r="15" spans="1:7" x14ac:dyDescent="0.25">
      <c r="A15" s="48" t="s">
        <v>10</v>
      </c>
      <c r="B15" s="48" t="s">
        <v>56</v>
      </c>
      <c r="C15" s="48" t="s">
        <v>57</v>
      </c>
      <c r="D15" s="48">
        <v>3118304</v>
      </c>
      <c r="E15" s="209" t="s">
        <v>601</v>
      </c>
      <c r="F15" s="210"/>
      <c r="G15" s="211"/>
    </row>
    <row r="16" spans="1:7" x14ac:dyDescent="0.25">
      <c r="A16" s="48" t="s">
        <v>10</v>
      </c>
      <c r="B16" s="48" t="s">
        <v>39</v>
      </c>
      <c r="C16" s="48" t="s">
        <v>40</v>
      </c>
      <c r="D16" s="48">
        <v>2811367</v>
      </c>
      <c r="E16" s="209" t="s">
        <v>601</v>
      </c>
      <c r="F16" s="210"/>
      <c r="G16" s="211"/>
    </row>
    <row r="17" spans="1:7" x14ac:dyDescent="0.25">
      <c r="A17" s="48" t="s">
        <v>10</v>
      </c>
      <c r="B17" s="48" t="s">
        <v>340</v>
      </c>
      <c r="C17" s="48" t="s">
        <v>341</v>
      </c>
      <c r="D17" s="48">
        <v>3138449</v>
      </c>
      <c r="E17" s="209" t="s">
        <v>600</v>
      </c>
      <c r="F17" s="210"/>
      <c r="G17" s="211"/>
    </row>
    <row r="18" spans="1:7" x14ac:dyDescent="0.25">
      <c r="A18" s="48" t="s">
        <v>10</v>
      </c>
      <c r="B18" s="48" t="s">
        <v>52</v>
      </c>
      <c r="C18" s="48" t="s">
        <v>53</v>
      </c>
      <c r="D18" s="48">
        <v>2178550</v>
      </c>
      <c r="E18" s="209" t="s">
        <v>600</v>
      </c>
      <c r="F18" s="210"/>
      <c r="G18" s="211"/>
    </row>
    <row r="21" spans="1:7" x14ac:dyDescent="0.25">
      <c r="A21" t="s">
        <v>598</v>
      </c>
    </row>
    <row r="22" spans="1:7" x14ac:dyDescent="0.25">
      <c r="A22" t="s">
        <v>599</v>
      </c>
    </row>
  </sheetData>
  <mergeCells count="6">
    <mergeCell ref="E1:G1"/>
    <mergeCell ref="E18:G18"/>
    <mergeCell ref="E14:G14"/>
    <mergeCell ref="E15:G15"/>
    <mergeCell ref="E17:G17"/>
    <mergeCell ref="E16:G16"/>
  </mergeCells>
  <conditionalFormatting sqref="D2">
    <cfRule type="duplicateValues" dxfId="497" priority="45"/>
  </conditionalFormatting>
  <conditionalFormatting sqref="D3 D14">
    <cfRule type="duplicateValues" dxfId="496" priority="44"/>
  </conditionalFormatting>
  <conditionalFormatting sqref="B5">
    <cfRule type="duplicateValues" dxfId="495" priority="43"/>
  </conditionalFormatting>
  <conditionalFormatting sqref="D5">
    <cfRule type="duplicateValues" dxfId="494" priority="42"/>
  </conditionalFormatting>
  <conditionalFormatting sqref="D6">
    <cfRule type="duplicateValues" dxfId="493" priority="40"/>
  </conditionalFormatting>
  <conditionalFormatting sqref="D6">
    <cfRule type="duplicateValues" dxfId="492" priority="41"/>
  </conditionalFormatting>
  <conditionalFormatting sqref="D7">
    <cfRule type="duplicateValues" dxfId="491" priority="38"/>
  </conditionalFormatting>
  <conditionalFormatting sqref="A11:D12 D10">
    <cfRule type="cellIs" dxfId="490" priority="30" operator="equal">
      <formula>"LOA"</formula>
    </cfRule>
    <cfRule type="cellIs" dxfId="489" priority="31" operator="equal">
      <formula>"PENDING TERM"</formula>
    </cfRule>
    <cfRule type="cellIs" dxfId="488" priority="32" operator="equal">
      <formula>"PROMOTED"</formula>
    </cfRule>
    <cfRule type="cellIs" dxfId="487" priority="33" operator="equal">
      <formula>"REINSTATEMENT"</formula>
    </cfRule>
    <cfRule type="cellIs" dxfId="486" priority="34" operator="equal">
      <formula>"TERM"</formula>
    </cfRule>
    <cfRule type="cellIs" dxfId="485" priority="35" operator="equal">
      <formula>"TRANSFER"</formula>
    </cfRule>
  </conditionalFormatting>
  <conditionalFormatting sqref="D12">
    <cfRule type="duplicateValues" dxfId="484" priority="29"/>
  </conditionalFormatting>
  <conditionalFormatting sqref="A13:C13">
    <cfRule type="cellIs" dxfId="483" priority="23" operator="equal">
      <formula>"LOA"</formula>
    </cfRule>
    <cfRule type="cellIs" dxfId="482" priority="24" operator="equal">
      <formula>"PENDING TERM"</formula>
    </cfRule>
    <cfRule type="cellIs" dxfId="481" priority="25" operator="equal">
      <formula>"PROMOTED"</formula>
    </cfRule>
    <cfRule type="cellIs" dxfId="480" priority="26" operator="equal">
      <formula>"REINSTATEMENT"</formula>
    </cfRule>
    <cfRule type="cellIs" dxfId="479" priority="27" operator="equal">
      <formula>"TERM"</formula>
    </cfRule>
    <cfRule type="cellIs" dxfId="478" priority="28" operator="equal">
      <formula>"TRANSFER"</formula>
    </cfRule>
  </conditionalFormatting>
  <conditionalFormatting sqref="D13">
    <cfRule type="duplicateValues" dxfId="477" priority="21"/>
  </conditionalFormatting>
  <conditionalFormatting sqref="D13">
    <cfRule type="duplicateValues" dxfId="476" priority="22"/>
  </conditionalFormatting>
  <conditionalFormatting sqref="A10:C10">
    <cfRule type="cellIs" dxfId="475" priority="13" operator="equal">
      <formula>"LOA"</formula>
    </cfRule>
    <cfRule type="cellIs" dxfId="474" priority="14" operator="equal">
      <formula>"PENDING TERM"</formula>
    </cfRule>
    <cfRule type="cellIs" dxfId="473" priority="15" operator="equal">
      <formula>"PROMOTED"</formula>
    </cfRule>
    <cfRule type="cellIs" dxfId="472" priority="16" operator="equal">
      <formula>"REINSTATEMENT"</formula>
    </cfRule>
    <cfRule type="cellIs" dxfId="471" priority="17" operator="equal">
      <formula>"TERM"</formula>
    </cfRule>
    <cfRule type="cellIs" dxfId="470" priority="18" operator="equal">
      <formula>"TRANSFER"</formula>
    </cfRule>
  </conditionalFormatting>
  <conditionalFormatting sqref="D18">
    <cfRule type="duplicateValues" dxfId="469" priority="12"/>
  </conditionalFormatting>
  <conditionalFormatting sqref="D17">
    <cfRule type="duplicateValues" dxfId="468" priority="11"/>
  </conditionalFormatting>
  <conditionalFormatting sqref="D17">
    <cfRule type="duplicateValues" dxfId="467" priority="10"/>
  </conditionalFormatting>
  <conditionalFormatting sqref="A17 D17">
    <cfRule type="cellIs" dxfId="466" priority="3" operator="equal">
      <formula>"LOA"</formula>
    </cfRule>
    <cfRule type="cellIs" dxfId="465" priority="4" operator="equal">
      <formula>"PENDING TERM"</formula>
    </cfRule>
    <cfRule type="cellIs" dxfId="464" priority="5" operator="equal">
      <formula>"PROMOTED"</formula>
    </cfRule>
    <cfRule type="cellIs" dxfId="463" priority="6" operator="equal">
      <formula>"REINSTATEMENT"</formula>
    </cfRule>
    <cfRule type="cellIs" dxfId="462" priority="7" operator="equal">
      <formula>"TERM"</formula>
    </cfRule>
    <cfRule type="cellIs" dxfId="461" priority="8" operator="equal">
      <formula>"TRANSFER"</formula>
    </cfRule>
  </conditionalFormatting>
  <conditionalFormatting sqref="D17">
    <cfRule type="duplicateValues" dxfId="460" priority="9"/>
  </conditionalFormatting>
  <conditionalFormatting sqref="D10:D11">
    <cfRule type="duplicateValues" dxfId="459" priority="7222"/>
  </conditionalFormatting>
  <conditionalFormatting sqref="D16">
    <cfRule type="duplicateValues" dxfId="458" priority="1"/>
  </conditionalFormatting>
  <conditionalFormatting sqref="D16">
    <cfRule type="duplicateValues" dxfId="457" priority="2"/>
  </conditionalFormatting>
  <conditionalFormatting sqref="D15 D8:D11">
    <cfRule type="duplicateValues" dxfId="456" priority="7223"/>
  </conditionalFormatting>
  <conditionalFormatting sqref="D8:D11">
    <cfRule type="duplicateValues" dxfId="455" priority="7226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73"/>
  <sheetViews>
    <sheetView workbookViewId="0">
      <selection activeCell="B280" sqref="B280"/>
    </sheetView>
  </sheetViews>
  <sheetFormatPr baseColWidth="10" defaultColWidth="9.140625" defaultRowHeight="15" x14ac:dyDescent="0.25"/>
  <cols>
    <col min="1" max="1" width="33.42578125" style="186" customWidth="1"/>
    <col min="2" max="2" width="25.28515625" style="186" customWidth="1"/>
    <col min="3" max="3" width="19.28515625" style="186" customWidth="1"/>
    <col min="4" max="4" width="19.7109375" style="186" customWidth="1"/>
    <col min="5" max="7" width="12.28515625" style="186" customWidth="1"/>
    <col min="8" max="8" width="10.5703125" style="186" customWidth="1"/>
    <col min="9" max="9" width="13" style="187" customWidth="1"/>
    <col min="10" max="10" width="12.5703125" style="186" customWidth="1"/>
    <col min="11" max="16384" width="9.140625" style="163"/>
  </cols>
  <sheetData>
    <row r="1" spans="1:10" ht="45.75" thickBot="1" x14ac:dyDescent="0.25">
      <c r="A1" s="158" t="s">
        <v>756</v>
      </c>
      <c r="B1" s="159" t="s">
        <v>0</v>
      </c>
      <c r="C1" s="159" t="s">
        <v>1</v>
      </c>
      <c r="D1" s="159" t="s">
        <v>2</v>
      </c>
      <c r="E1" s="159" t="s">
        <v>3</v>
      </c>
      <c r="F1" s="159" t="s">
        <v>7</v>
      </c>
      <c r="G1" s="159" t="s">
        <v>4</v>
      </c>
      <c r="H1" s="160" t="s">
        <v>757</v>
      </c>
      <c r="I1" s="161" t="s">
        <v>758</v>
      </c>
      <c r="J1" s="162" t="s">
        <v>392</v>
      </c>
    </row>
    <row r="2" spans="1:10" x14ac:dyDescent="0.2">
      <c r="A2" s="164" t="s">
        <v>759</v>
      </c>
      <c r="B2" s="165" t="s">
        <v>10</v>
      </c>
      <c r="C2" s="165" t="s">
        <v>289</v>
      </c>
      <c r="D2" s="165" t="s">
        <v>290</v>
      </c>
      <c r="E2" s="165">
        <v>89206</v>
      </c>
      <c r="F2" s="165">
        <v>87043</v>
      </c>
      <c r="G2" s="165">
        <v>3409624</v>
      </c>
      <c r="H2" s="166">
        <v>89953</v>
      </c>
      <c r="I2" s="167" t="s">
        <v>760</v>
      </c>
      <c r="J2" s="168" t="s">
        <v>393</v>
      </c>
    </row>
    <row r="3" spans="1:10" x14ac:dyDescent="0.2">
      <c r="A3" s="164" t="s">
        <v>759</v>
      </c>
      <c r="B3" s="165" t="s">
        <v>10</v>
      </c>
      <c r="C3" s="165" t="s">
        <v>322</v>
      </c>
      <c r="D3" s="165" t="s">
        <v>323</v>
      </c>
      <c r="E3" s="165">
        <v>648060</v>
      </c>
      <c r="F3" s="165">
        <v>88037</v>
      </c>
      <c r="G3" s="165">
        <v>3553112</v>
      </c>
      <c r="H3" s="166">
        <v>89999</v>
      </c>
      <c r="I3" s="167" t="s">
        <v>760</v>
      </c>
      <c r="J3" s="168" t="s">
        <v>393</v>
      </c>
    </row>
    <row r="4" spans="1:10" x14ac:dyDescent="0.2">
      <c r="A4" s="164" t="s">
        <v>759</v>
      </c>
      <c r="B4" s="165" t="s">
        <v>10</v>
      </c>
      <c r="C4" s="165" t="s">
        <v>29</v>
      </c>
      <c r="D4" s="165" t="s">
        <v>30</v>
      </c>
      <c r="E4" s="165">
        <v>89069</v>
      </c>
      <c r="F4" s="165">
        <v>82613</v>
      </c>
      <c r="G4" s="165">
        <v>2313015</v>
      </c>
      <c r="H4" s="166">
        <v>89924</v>
      </c>
      <c r="I4" s="167" t="s">
        <v>760</v>
      </c>
      <c r="J4" s="168" t="s">
        <v>393</v>
      </c>
    </row>
    <row r="5" spans="1:10" x14ac:dyDescent="0.2">
      <c r="A5" s="164" t="s">
        <v>759</v>
      </c>
      <c r="B5" s="165" t="s">
        <v>10</v>
      </c>
      <c r="C5" s="165" t="s">
        <v>35</v>
      </c>
      <c r="D5" s="165" t="s">
        <v>36</v>
      </c>
      <c r="E5" s="165">
        <v>89118</v>
      </c>
      <c r="F5" s="165">
        <v>86145</v>
      </c>
      <c r="G5" s="165">
        <v>2358095</v>
      </c>
      <c r="H5" s="166">
        <v>89925</v>
      </c>
      <c r="I5" s="167" t="s">
        <v>760</v>
      </c>
      <c r="J5" s="168" t="s">
        <v>393</v>
      </c>
    </row>
    <row r="6" spans="1:10" x14ac:dyDescent="0.2">
      <c r="A6" s="164" t="s">
        <v>759</v>
      </c>
      <c r="B6" s="165" t="s">
        <v>10</v>
      </c>
      <c r="C6" s="165" t="s">
        <v>332</v>
      </c>
      <c r="D6" s="165" t="s">
        <v>333</v>
      </c>
      <c r="E6" s="165">
        <v>89061</v>
      </c>
      <c r="F6" s="165">
        <v>81099</v>
      </c>
      <c r="G6" s="165">
        <v>1880623</v>
      </c>
      <c r="H6" s="166">
        <v>89926</v>
      </c>
      <c r="I6" s="167" t="s">
        <v>760</v>
      </c>
      <c r="J6" s="168" t="s">
        <v>393</v>
      </c>
    </row>
    <row r="7" spans="1:10" x14ac:dyDescent="0.2">
      <c r="A7" s="164" t="s">
        <v>759</v>
      </c>
      <c r="B7" s="165" t="s">
        <v>10</v>
      </c>
      <c r="C7" s="165" t="s">
        <v>140</v>
      </c>
      <c r="D7" s="165" t="s">
        <v>141</v>
      </c>
      <c r="E7" s="169">
        <v>89237</v>
      </c>
      <c r="F7" s="165">
        <v>87304</v>
      </c>
      <c r="G7" s="165">
        <v>3462502</v>
      </c>
      <c r="H7" s="166">
        <v>89875</v>
      </c>
      <c r="I7" s="167" t="s">
        <v>760</v>
      </c>
      <c r="J7" s="168" t="s">
        <v>393</v>
      </c>
    </row>
    <row r="8" spans="1:10" x14ac:dyDescent="0.2">
      <c r="A8" s="164" t="s">
        <v>759</v>
      </c>
      <c r="B8" s="165" t="s">
        <v>10</v>
      </c>
      <c r="C8" s="165" t="s">
        <v>37</v>
      </c>
      <c r="D8" s="165" t="s">
        <v>38</v>
      </c>
      <c r="E8" s="169">
        <v>89227</v>
      </c>
      <c r="F8" s="165">
        <v>87314</v>
      </c>
      <c r="G8" s="165">
        <v>3462518</v>
      </c>
      <c r="H8" s="166">
        <v>89928</v>
      </c>
      <c r="I8" s="167" t="s">
        <v>760</v>
      </c>
      <c r="J8" s="168" t="s">
        <v>393</v>
      </c>
    </row>
    <row r="9" spans="1:10" x14ac:dyDescent="0.2">
      <c r="A9" s="164" t="s">
        <v>759</v>
      </c>
      <c r="B9" s="165" t="s">
        <v>10</v>
      </c>
      <c r="C9" s="165" t="s">
        <v>43</v>
      </c>
      <c r="D9" s="165" t="s">
        <v>45</v>
      </c>
      <c r="E9" s="165">
        <v>89121</v>
      </c>
      <c r="F9" s="165">
        <v>86155</v>
      </c>
      <c r="G9" s="165">
        <v>2783079</v>
      </c>
      <c r="H9" s="166">
        <v>89930</v>
      </c>
      <c r="I9" s="167" t="s">
        <v>760</v>
      </c>
      <c r="J9" s="168" t="s">
        <v>393</v>
      </c>
    </row>
    <row r="10" spans="1:10" x14ac:dyDescent="0.2">
      <c r="A10" s="164" t="s">
        <v>759</v>
      </c>
      <c r="B10" s="165" t="s">
        <v>10</v>
      </c>
      <c r="C10" s="165" t="s">
        <v>48</v>
      </c>
      <c r="D10" s="165" t="s">
        <v>49</v>
      </c>
      <c r="E10" s="165">
        <v>89125</v>
      </c>
      <c r="F10" s="165">
        <v>86141</v>
      </c>
      <c r="G10" s="165">
        <v>3118306</v>
      </c>
      <c r="H10" s="166">
        <v>89932</v>
      </c>
      <c r="I10" s="167" t="s">
        <v>760</v>
      </c>
      <c r="J10" s="168" t="s">
        <v>393</v>
      </c>
    </row>
    <row r="11" spans="1:10" x14ac:dyDescent="0.2">
      <c r="A11" s="164" t="s">
        <v>759</v>
      </c>
      <c r="B11" s="165" t="s">
        <v>10</v>
      </c>
      <c r="C11" s="165" t="s">
        <v>50</v>
      </c>
      <c r="D11" s="165" t="s">
        <v>51</v>
      </c>
      <c r="E11" s="165">
        <v>89053</v>
      </c>
      <c r="F11" s="165">
        <v>82401</v>
      </c>
      <c r="G11" s="165">
        <v>1063468</v>
      </c>
      <c r="H11" s="166">
        <v>89933</v>
      </c>
      <c r="I11" s="167" t="s">
        <v>760</v>
      </c>
      <c r="J11" s="168" t="s">
        <v>393</v>
      </c>
    </row>
    <row r="12" spans="1:10" x14ac:dyDescent="0.2">
      <c r="A12" s="164" t="s">
        <v>759</v>
      </c>
      <c r="B12" s="165" t="s">
        <v>10</v>
      </c>
      <c r="C12" s="165" t="s">
        <v>348</v>
      </c>
      <c r="D12" s="165" t="s">
        <v>349</v>
      </c>
      <c r="E12" s="165">
        <v>89164</v>
      </c>
      <c r="F12" s="165">
        <v>86296</v>
      </c>
      <c r="G12" s="165">
        <v>3133293</v>
      </c>
      <c r="H12" s="166">
        <v>89934</v>
      </c>
      <c r="I12" s="167" t="s">
        <v>760</v>
      </c>
      <c r="J12" s="168" t="s">
        <v>393</v>
      </c>
    </row>
    <row r="13" spans="1:10" x14ac:dyDescent="0.2">
      <c r="A13" s="164" t="s">
        <v>759</v>
      </c>
      <c r="B13" s="165" t="s">
        <v>10</v>
      </c>
      <c r="C13" s="165" t="s">
        <v>350</v>
      </c>
      <c r="D13" s="165" t="s">
        <v>351</v>
      </c>
      <c r="E13" s="165">
        <v>89027</v>
      </c>
      <c r="F13" s="165">
        <v>85614</v>
      </c>
      <c r="G13" s="165">
        <v>2873639</v>
      </c>
      <c r="H13" s="166">
        <v>89935</v>
      </c>
      <c r="I13" s="167" t="s">
        <v>760</v>
      </c>
      <c r="J13" s="168" t="s">
        <v>393</v>
      </c>
    </row>
    <row r="14" spans="1:10" x14ac:dyDescent="0.2">
      <c r="A14" s="164" t="s">
        <v>759</v>
      </c>
      <c r="B14" s="165" t="s">
        <v>10</v>
      </c>
      <c r="C14" s="165" t="s">
        <v>352</v>
      </c>
      <c r="D14" s="165" t="s">
        <v>353</v>
      </c>
      <c r="E14" s="165">
        <v>89024</v>
      </c>
      <c r="F14" s="165">
        <v>85621</v>
      </c>
      <c r="G14" s="165">
        <v>2873911</v>
      </c>
      <c r="H14" s="166">
        <v>89937</v>
      </c>
      <c r="I14" s="167" t="s">
        <v>760</v>
      </c>
      <c r="J14" s="168" t="s">
        <v>393</v>
      </c>
    </row>
    <row r="15" spans="1:10" x14ac:dyDescent="0.2">
      <c r="A15" s="164" t="s">
        <v>759</v>
      </c>
      <c r="B15" s="165" t="s">
        <v>10</v>
      </c>
      <c r="C15" s="165" t="s">
        <v>320</v>
      </c>
      <c r="D15" s="165" t="s">
        <v>360</v>
      </c>
      <c r="E15" s="165">
        <v>89059</v>
      </c>
      <c r="F15" s="165">
        <v>85474</v>
      </c>
      <c r="G15" s="165">
        <v>2832262</v>
      </c>
      <c r="H15" s="166">
        <v>89939</v>
      </c>
      <c r="I15" s="167" t="s">
        <v>760</v>
      </c>
      <c r="J15" s="168" t="s">
        <v>393</v>
      </c>
    </row>
    <row r="16" spans="1:10" x14ac:dyDescent="0.2">
      <c r="A16" s="164" t="s">
        <v>759</v>
      </c>
      <c r="B16" s="165" t="s">
        <v>10</v>
      </c>
      <c r="C16" s="165" t="s">
        <v>230</v>
      </c>
      <c r="D16" s="165" t="s">
        <v>583</v>
      </c>
      <c r="E16" s="165">
        <v>648302</v>
      </c>
      <c r="F16" s="165">
        <v>87695</v>
      </c>
      <c r="G16" s="165">
        <v>3526421</v>
      </c>
      <c r="H16" s="166">
        <v>89987</v>
      </c>
      <c r="I16" s="167" t="s">
        <v>760</v>
      </c>
      <c r="J16" s="168" t="s">
        <v>393</v>
      </c>
    </row>
    <row r="17" spans="1:10" x14ac:dyDescent="0.2">
      <c r="A17" s="164" t="s">
        <v>759</v>
      </c>
      <c r="B17" s="165" t="s">
        <v>10</v>
      </c>
      <c r="C17" s="165" t="s">
        <v>475</v>
      </c>
      <c r="D17" s="165" t="s">
        <v>67</v>
      </c>
      <c r="E17" s="165">
        <v>648303</v>
      </c>
      <c r="F17" s="165">
        <v>87688</v>
      </c>
      <c r="G17" s="165">
        <v>1546296</v>
      </c>
      <c r="H17" s="166">
        <v>89992</v>
      </c>
      <c r="I17" s="167" t="s">
        <v>760</v>
      </c>
      <c r="J17" s="168" t="s">
        <v>393</v>
      </c>
    </row>
    <row r="18" spans="1:10" x14ac:dyDescent="0.2">
      <c r="A18" s="164" t="s">
        <v>759</v>
      </c>
      <c r="B18" s="165" t="s">
        <v>10</v>
      </c>
      <c r="C18" s="165" t="s">
        <v>470</v>
      </c>
      <c r="D18" s="165" t="s">
        <v>471</v>
      </c>
      <c r="E18" s="165">
        <v>648306</v>
      </c>
      <c r="F18" s="165">
        <v>87262</v>
      </c>
      <c r="G18" s="165">
        <v>2837797</v>
      </c>
      <c r="H18" s="166">
        <v>89989</v>
      </c>
      <c r="I18" s="167" t="s">
        <v>760</v>
      </c>
      <c r="J18" s="168" t="s">
        <v>393</v>
      </c>
    </row>
    <row r="19" spans="1:10" x14ac:dyDescent="0.2">
      <c r="A19" s="164" t="s">
        <v>759</v>
      </c>
      <c r="B19" s="165" t="s">
        <v>10</v>
      </c>
      <c r="C19" s="165" t="s">
        <v>466</v>
      </c>
      <c r="D19" s="165" t="s">
        <v>590</v>
      </c>
      <c r="E19" s="165">
        <v>648315</v>
      </c>
      <c r="F19" s="165">
        <v>87719</v>
      </c>
      <c r="G19" s="165">
        <v>3526375</v>
      </c>
      <c r="H19" s="166">
        <v>89986</v>
      </c>
      <c r="I19" s="167" t="s">
        <v>760</v>
      </c>
      <c r="J19" s="168" t="s">
        <v>393</v>
      </c>
    </row>
    <row r="20" spans="1:10" hidden="1" x14ac:dyDescent="0.2">
      <c r="A20" s="164" t="s">
        <v>759</v>
      </c>
      <c r="B20" s="165" t="s">
        <v>762</v>
      </c>
      <c r="C20" s="165" t="s">
        <v>763</v>
      </c>
      <c r="D20" s="165" t="s">
        <v>764</v>
      </c>
      <c r="E20" s="165"/>
      <c r="F20" s="165"/>
      <c r="G20" s="165">
        <v>5633871</v>
      </c>
      <c r="H20" s="170"/>
      <c r="I20" s="167"/>
      <c r="J20" s="168" t="s">
        <v>765</v>
      </c>
    </row>
    <row r="21" spans="1:10" hidden="1" x14ac:dyDescent="0.2">
      <c r="A21" s="164" t="s">
        <v>759</v>
      </c>
      <c r="B21" s="165" t="s">
        <v>762</v>
      </c>
      <c r="C21" s="165" t="s">
        <v>766</v>
      </c>
      <c r="D21" s="165" t="s">
        <v>767</v>
      </c>
      <c r="E21" s="165"/>
      <c r="F21" s="165"/>
      <c r="G21" s="165">
        <v>5633877</v>
      </c>
      <c r="H21" s="170"/>
      <c r="I21" s="167"/>
      <c r="J21" s="168" t="s">
        <v>765</v>
      </c>
    </row>
    <row r="22" spans="1:10" hidden="1" x14ac:dyDescent="0.2">
      <c r="A22" s="164" t="s">
        <v>759</v>
      </c>
      <c r="B22" s="165" t="s">
        <v>762</v>
      </c>
      <c r="C22" s="165" t="s">
        <v>768</v>
      </c>
      <c r="D22" s="165" t="s">
        <v>769</v>
      </c>
      <c r="E22" s="165"/>
      <c r="F22" s="165"/>
      <c r="G22" s="165">
        <v>5634038</v>
      </c>
      <c r="H22" s="170"/>
      <c r="I22" s="167"/>
      <c r="J22" s="168" t="s">
        <v>765</v>
      </c>
    </row>
    <row r="23" spans="1:10" hidden="1" x14ac:dyDescent="0.2">
      <c r="A23" s="164" t="s">
        <v>759</v>
      </c>
      <c r="B23" s="165" t="s">
        <v>762</v>
      </c>
      <c r="C23" s="165" t="s">
        <v>770</v>
      </c>
      <c r="D23" s="165" t="s">
        <v>771</v>
      </c>
      <c r="E23" s="165"/>
      <c r="F23" s="165"/>
      <c r="G23" s="165">
        <v>5634041</v>
      </c>
      <c r="H23" s="170"/>
      <c r="I23" s="167"/>
      <c r="J23" s="168" t="s">
        <v>765</v>
      </c>
    </row>
    <row r="24" spans="1:10" hidden="1" x14ac:dyDescent="0.2">
      <c r="A24" s="164" t="s">
        <v>759</v>
      </c>
      <c r="B24" s="165" t="s">
        <v>762</v>
      </c>
      <c r="C24" s="165" t="s">
        <v>772</v>
      </c>
      <c r="D24" s="165" t="s">
        <v>773</v>
      </c>
      <c r="E24" s="165"/>
      <c r="F24" s="165"/>
      <c r="G24" s="165">
        <v>5634046</v>
      </c>
      <c r="H24" s="170"/>
      <c r="I24" s="167"/>
      <c r="J24" s="168" t="s">
        <v>765</v>
      </c>
    </row>
    <row r="25" spans="1:10" hidden="1" x14ac:dyDescent="0.2">
      <c r="A25" s="164" t="s">
        <v>759</v>
      </c>
      <c r="B25" s="165" t="s">
        <v>762</v>
      </c>
      <c r="C25" s="165" t="s">
        <v>774</v>
      </c>
      <c r="D25" s="165" t="s">
        <v>775</v>
      </c>
      <c r="E25" s="165"/>
      <c r="F25" s="165"/>
      <c r="G25" s="165">
        <v>5634051</v>
      </c>
      <c r="H25" s="170"/>
      <c r="I25" s="167"/>
      <c r="J25" s="168" t="s">
        <v>765</v>
      </c>
    </row>
    <row r="26" spans="1:10" hidden="1" x14ac:dyDescent="0.2">
      <c r="A26" s="164" t="s">
        <v>759</v>
      </c>
      <c r="B26" s="165" t="s">
        <v>762</v>
      </c>
      <c r="C26" s="165" t="s">
        <v>776</v>
      </c>
      <c r="D26" s="165" t="s">
        <v>777</v>
      </c>
      <c r="E26" s="165"/>
      <c r="F26" s="165"/>
      <c r="G26" s="165">
        <v>5634068</v>
      </c>
      <c r="H26" s="170"/>
      <c r="I26" s="167"/>
      <c r="J26" s="168" t="s">
        <v>765</v>
      </c>
    </row>
    <row r="27" spans="1:10" hidden="1" x14ac:dyDescent="0.2">
      <c r="A27" s="164" t="s">
        <v>759</v>
      </c>
      <c r="B27" s="165" t="s">
        <v>762</v>
      </c>
      <c r="C27" s="165" t="s">
        <v>778</v>
      </c>
      <c r="D27" s="165" t="s">
        <v>779</v>
      </c>
      <c r="E27" s="165"/>
      <c r="F27" s="165"/>
      <c r="G27" s="165">
        <v>5634612</v>
      </c>
      <c r="H27" s="170"/>
      <c r="I27" s="167"/>
      <c r="J27" s="168" t="s">
        <v>765</v>
      </c>
    </row>
    <row r="28" spans="1:10" hidden="1" x14ac:dyDescent="0.2">
      <c r="A28" s="164" t="s">
        <v>759</v>
      </c>
      <c r="B28" s="165" t="s">
        <v>762</v>
      </c>
      <c r="C28" s="165" t="s">
        <v>780</v>
      </c>
      <c r="D28" s="165" t="s">
        <v>781</v>
      </c>
      <c r="E28" s="165"/>
      <c r="F28" s="165"/>
      <c r="G28" s="165">
        <v>5634072</v>
      </c>
      <c r="H28" s="170"/>
      <c r="I28" s="167"/>
      <c r="J28" s="168" t="s">
        <v>765</v>
      </c>
    </row>
    <row r="29" spans="1:10" hidden="1" x14ac:dyDescent="0.2">
      <c r="A29" s="164" t="s">
        <v>759</v>
      </c>
      <c r="B29" s="165" t="s">
        <v>762</v>
      </c>
      <c r="C29" s="165" t="s">
        <v>284</v>
      </c>
      <c r="D29" s="165" t="s">
        <v>782</v>
      </c>
      <c r="E29" s="165"/>
      <c r="F29" s="165"/>
      <c r="G29" s="165">
        <v>5634075</v>
      </c>
      <c r="H29" s="170"/>
      <c r="I29" s="167"/>
      <c r="J29" s="168" t="s">
        <v>765</v>
      </c>
    </row>
    <row r="30" spans="1:10" hidden="1" x14ac:dyDescent="0.2">
      <c r="A30" s="164" t="s">
        <v>759</v>
      </c>
      <c r="B30" s="165" t="s">
        <v>762</v>
      </c>
      <c r="C30" s="165" t="s">
        <v>783</v>
      </c>
      <c r="D30" s="165" t="s">
        <v>784</v>
      </c>
      <c r="E30" s="165"/>
      <c r="F30" s="165"/>
      <c r="G30" s="165">
        <v>3436665</v>
      </c>
      <c r="H30" s="170"/>
      <c r="I30" s="167"/>
      <c r="J30" s="168" t="s">
        <v>765</v>
      </c>
    </row>
    <row r="31" spans="1:10" hidden="1" x14ac:dyDescent="0.2">
      <c r="A31" s="164" t="s">
        <v>759</v>
      </c>
      <c r="B31" s="165" t="s">
        <v>762</v>
      </c>
      <c r="C31" s="165" t="s">
        <v>208</v>
      </c>
      <c r="D31" s="165" t="s">
        <v>785</v>
      </c>
      <c r="E31" s="165"/>
      <c r="F31" s="165"/>
      <c r="G31" s="165">
        <v>3320633</v>
      </c>
      <c r="H31" s="170"/>
      <c r="I31" s="167"/>
      <c r="J31" s="168" t="s">
        <v>765</v>
      </c>
    </row>
    <row r="32" spans="1:10" hidden="1" x14ac:dyDescent="0.2">
      <c r="A32" s="164" t="s">
        <v>759</v>
      </c>
      <c r="B32" s="165" t="s">
        <v>762</v>
      </c>
      <c r="C32" s="165" t="s">
        <v>786</v>
      </c>
      <c r="D32" s="165" t="s">
        <v>787</v>
      </c>
      <c r="E32" s="165"/>
      <c r="F32" s="165"/>
      <c r="G32" s="165">
        <v>3851241</v>
      </c>
      <c r="H32" s="170"/>
      <c r="I32" s="167"/>
      <c r="J32" s="168" t="s">
        <v>765</v>
      </c>
    </row>
    <row r="33" spans="1:10" hidden="1" x14ac:dyDescent="0.2">
      <c r="A33" s="164" t="s">
        <v>759</v>
      </c>
      <c r="B33" s="165" t="s">
        <v>762</v>
      </c>
      <c r="C33" s="165" t="s">
        <v>788</v>
      </c>
      <c r="D33" s="165" t="s">
        <v>789</v>
      </c>
      <c r="E33" s="165"/>
      <c r="F33" s="165"/>
      <c r="G33" s="165">
        <v>3851249</v>
      </c>
      <c r="H33" s="170"/>
      <c r="I33" s="167"/>
      <c r="J33" s="168" t="s">
        <v>765</v>
      </c>
    </row>
    <row r="34" spans="1:10" hidden="1" x14ac:dyDescent="0.2">
      <c r="A34" s="164" t="s">
        <v>759</v>
      </c>
      <c r="B34" s="165" t="s">
        <v>12</v>
      </c>
      <c r="C34" s="165" t="s">
        <v>206</v>
      </c>
      <c r="D34" s="165" t="s">
        <v>207</v>
      </c>
      <c r="E34" s="165">
        <v>89313</v>
      </c>
      <c r="F34" s="165">
        <v>88174</v>
      </c>
      <c r="G34" s="165">
        <v>3624184</v>
      </c>
      <c r="H34" s="166">
        <v>89871</v>
      </c>
      <c r="I34" s="167" t="s">
        <v>760</v>
      </c>
      <c r="J34" s="168" t="s">
        <v>393</v>
      </c>
    </row>
    <row r="35" spans="1:10" hidden="1" x14ac:dyDescent="0.2">
      <c r="A35" s="164" t="s">
        <v>759</v>
      </c>
      <c r="B35" s="165" t="s">
        <v>12</v>
      </c>
      <c r="C35" s="165" t="s">
        <v>22</v>
      </c>
      <c r="D35" s="165" t="s">
        <v>23</v>
      </c>
      <c r="E35" s="165">
        <v>89057</v>
      </c>
      <c r="F35" s="165">
        <v>83603</v>
      </c>
      <c r="G35" s="165">
        <v>2523112</v>
      </c>
      <c r="H35" s="166">
        <v>89940</v>
      </c>
      <c r="I35" s="167" t="s">
        <v>760</v>
      </c>
      <c r="J35" s="168" t="s">
        <v>393</v>
      </c>
    </row>
    <row r="36" spans="1:10" hidden="1" x14ac:dyDescent="0.2">
      <c r="A36" s="164" t="s">
        <v>759</v>
      </c>
      <c r="B36" s="165" t="s">
        <v>12</v>
      </c>
      <c r="C36" s="165" t="s">
        <v>24</v>
      </c>
      <c r="D36" s="165" t="s">
        <v>25</v>
      </c>
      <c r="E36" s="169">
        <v>89225</v>
      </c>
      <c r="F36" s="165">
        <v>87316</v>
      </c>
      <c r="G36" s="165">
        <v>1100247</v>
      </c>
      <c r="H36" s="166">
        <v>89941</v>
      </c>
      <c r="I36" s="167" t="s">
        <v>760</v>
      </c>
      <c r="J36" s="168" t="s">
        <v>393</v>
      </c>
    </row>
    <row r="37" spans="1:10" hidden="1" x14ac:dyDescent="0.2">
      <c r="A37" s="164" t="s">
        <v>759</v>
      </c>
      <c r="B37" s="165" t="s">
        <v>12</v>
      </c>
      <c r="C37" s="165" t="s">
        <v>138</v>
      </c>
      <c r="D37" s="165" t="s">
        <v>139</v>
      </c>
      <c r="E37" s="169">
        <v>89236</v>
      </c>
      <c r="F37" s="165">
        <v>87308</v>
      </c>
      <c r="G37" s="165">
        <v>3462509</v>
      </c>
      <c r="H37" s="166">
        <v>89944</v>
      </c>
      <c r="I37" s="167" t="s">
        <v>760</v>
      </c>
      <c r="J37" s="168" t="s">
        <v>393</v>
      </c>
    </row>
    <row r="38" spans="1:10" hidden="1" x14ac:dyDescent="0.2">
      <c r="A38" s="164" t="s">
        <v>759</v>
      </c>
      <c r="B38" s="165" t="s">
        <v>12</v>
      </c>
      <c r="C38" s="165" t="s">
        <v>334</v>
      </c>
      <c r="D38" s="165" t="s">
        <v>335</v>
      </c>
      <c r="E38" s="165">
        <v>89104</v>
      </c>
      <c r="F38" s="165">
        <v>85278</v>
      </c>
      <c r="G38" s="165">
        <v>2803851</v>
      </c>
      <c r="H38" s="166">
        <v>89945</v>
      </c>
      <c r="I38" s="167" t="s">
        <v>760</v>
      </c>
      <c r="J38" s="168" t="s">
        <v>393</v>
      </c>
    </row>
    <row r="39" spans="1:10" hidden="1" x14ac:dyDescent="0.2">
      <c r="A39" s="164" t="s">
        <v>759</v>
      </c>
      <c r="B39" s="165" t="s">
        <v>12</v>
      </c>
      <c r="C39" s="165" t="s">
        <v>296</v>
      </c>
      <c r="D39" s="165" t="s">
        <v>297</v>
      </c>
      <c r="E39" s="165">
        <v>89207</v>
      </c>
      <c r="F39" s="165">
        <v>87045</v>
      </c>
      <c r="G39" s="165">
        <v>3409666</v>
      </c>
      <c r="H39" s="166">
        <v>89887</v>
      </c>
      <c r="I39" s="167" t="s">
        <v>760</v>
      </c>
      <c r="J39" s="168" t="s">
        <v>393</v>
      </c>
    </row>
    <row r="40" spans="1:10" hidden="1" x14ac:dyDescent="0.2">
      <c r="A40" s="164" t="s">
        <v>759</v>
      </c>
      <c r="B40" s="165" t="s">
        <v>12</v>
      </c>
      <c r="C40" s="165" t="s">
        <v>302</v>
      </c>
      <c r="D40" s="165" t="s">
        <v>303</v>
      </c>
      <c r="E40" s="165">
        <v>89211</v>
      </c>
      <c r="F40" s="165">
        <v>87057</v>
      </c>
      <c r="G40" s="165">
        <v>3409641</v>
      </c>
      <c r="H40" s="166">
        <v>89876</v>
      </c>
      <c r="I40" s="167" t="s">
        <v>760</v>
      </c>
      <c r="J40" s="168" t="s">
        <v>393</v>
      </c>
    </row>
    <row r="41" spans="1:10" hidden="1" x14ac:dyDescent="0.2">
      <c r="A41" s="164" t="s">
        <v>759</v>
      </c>
      <c r="B41" s="165" t="s">
        <v>12</v>
      </c>
      <c r="C41" s="165" t="s">
        <v>41</v>
      </c>
      <c r="D41" s="165" t="s">
        <v>42</v>
      </c>
      <c r="E41" s="165">
        <v>89119</v>
      </c>
      <c r="F41" s="165">
        <v>86154</v>
      </c>
      <c r="G41" s="165">
        <v>3118300</v>
      </c>
      <c r="H41" s="166">
        <v>89946</v>
      </c>
      <c r="I41" s="167" t="s">
        <v>760</v>
      </c>
      <c r="J41" s="168" t="s">
        <v>393</v>
      </c>
    </row>
    <row r="42" spans="1:10" hidden="1" x14ac:dyDescent="0.2">
      <c r="A42" s="164" t="s">
        <v>759</v>
      </c>
      <c r="B42" s="165" t="s">
        <v>12</v>
      </c>
      <c r="C42" s="165" t="s">
        <v>338</v>
      </c>
      <c r="D42" s="165" t="s">
        <v>339</v>
      </c>
      <c r="E42" s="165">
        <v>89001</v>
      </c>
      <c r="F42" s="165">
        <v>83911</v>
      </c>
      <c r="G42" s="165">
        <v>2657668</v>
      </c>
      <c r="H42" s="166">
        <v>89947</v>
      </c>
      <c r="I42" s="167" t="s">
        <v>760</v>
      </c>
      <c r="J42" s="168" t="s">
        <v>393</v>
      </c>
    </row>
    <row r="43" spans="1:10" hidden="1" x14ac:dyDescent="0.2">
      <c r="A43" s="164" t="s">
        <v>759</v>
      </c>
      <c r="B43" s="165" t="s">
        <v>12</v>
      </c>
      <c r="C43" s="165" t="s">
        <v>145</v>
      </c>
      <c r="D43" s="165" t="s">
        <v>146</v>
      </c>
      <c r="E43" s="169">
        <v>89229</v>
      </c>
      <c r="F43" s="165">
        <v>87310</v>
      </c>
      <c r="G43" s="165">
        <v>3462512</v>
      </c>
      <c r="H43" s="166">
        <v>89948</v>
      </c>
      <c r="I43" s="167" t="s">
        <v>760</v>
      </c>
      <c r="J43" s="168" t="s">
        <v>393</v>
      </c>
    </row>
    <row r="44" spans="1:10" hidden="1" x14ac:dyDescent="0.2">
      <c r="A44" s="164" t="s">
        <v>759</v>
      </c>
      <c r="B44" s="165" t="s">
        <v>12</v>
      </c>
      <c r="C44" s="165" t="s">
        <v>344</v>
      </c>
      <c r="D44" s="165" t="s">
        <v>345</v>
      </c>
      <c r="E44" s="165">
        <v>89056</v>
      </c>
      <c r="F44" s="165">
        <v>85310</v>
      </c>
      <c r="G44" s="165">
        <v>2811372</v>
      </c>
      <c r="H44" s="166">
        <v>89949</v>
      </c>
      <c r="I44" s="167" t="s">
        <v>760</v>
      </c>
      <c r="J44" s="168" t="s">
        <v>393</v>
      </c>
    </row>
    <row r="45" spans="1:10" hidden="1" x14ac:dyDescent="0.2">
      <c r="A45" s="164" t="s">
        <v>759</v>
      </c>
      <c r="B45" s="165" t="s">
        <v>12</v>
      </c>
      <c r="C45" s="165" t="s">
        <v>149</v>
      </c>
      <c r="D45" s="165" t="s">
        <v>150</v>
      </c>
      <c r="E45" s="165">
        <v>89215</v>
      </c>
      <c r="F45" s="165">
        <v>87060</v>
      </c>
      <c r="G45" s="165">
        <v>3409628</v>
      </c>
      <c r="H45" s="166">
        <v>89961</v>
      </c>
      <c r="I45" s="167" t="s">
        <v>760</v>
      </c>
      <c r="J45" s="168" t="s">
        <v>393</v>
      </c>
    </row>
    <row r="46" spans="1:10" hidden="1" x14ac:dyDescent="0.2">
      <c r="A46" s="164" t="s">
        <v>759</v>
      </c>
      <c r="B46" s="165" t="s">
        <v>12</v>
      </c>
      <c r="C46" s="165" t="s">
        <v>346</v>
      </c>
      <c r="D46" s="165" t="s">
        <v>347</v>
      </c>
      <c r="E46" s="169">
        <v>89241</v>
      </c>
      <c r="F46" s="165">
        <v>87306</v>
      </c>
      <c r="G46" s="165">
        <v>1729885</v>
      </c>
      <c r="H46" s="166">
        <v>89950</v>
      </c>
      <c r="I46" s="167" t="s">
        <v>760</v>
      </c>
      <c r="J46" s="168" t="s">
        <v>393</v>
      </c>
    </row>
    <row r="47" spans="1:10" hidden="1" x14ac:dyDescent="0.2">
      <c r="A47" s="171" t="s">
        <v>759</v>
      </c>
      <c r="B47" s="172" t="s">
        <v>12</v>
      </c>
      <c r="C47" s="172" t="s">
        <v>151</v>
      </c>
      <c r="D47" s="172" t="s">
        <v>152</v>
      </c>
      <c r="E47" s="173">
        <v>89242</v>
      </c>
      <c r="F47" s="172">
        <v>87300</v>
      </c>
      <c r="G47" s="172">
        <v>3462489</v>
      </c>
      <c r="H47" s="174"/>
      <c r="I47" s="175"/>
      <c r="J47" s="176" t="s">
        <v>790</v>
      </c>
    </row>
    <row r="48" spans="1:10" hidden="1" x14ac:dyDescent="0.2">
      <c r="A48" s="164" t="s">
        <v>759</v>
      </c>
      <c r="B48" s="165" t="s">
        <v>12</v>
      </c>
      <c r="C48" s="165" t="s">
        <v>247</v>
      </c>
      <c r="D48" s="165" t="s">
        <v>354</v>
      </c>
      <c r="E48" s="165">
        <v>89168</v>
      </c>
      <c r="F48" s="165">
        <v>86288</v>
      </c>
      <c r="G48" s="165">
        <v>3133272</v>
      </c>
      <c r="H48" s="166">
        <v>89951</v>
      </c>
      <c r="I48" s="167" t="s">
        <v>760</v>
      </c>
      <c r="J48" s="168" t="s">
        <v>393</v>
      </c>
    </row>
    <row r="49" spans="1:10" hidden="1" x14ac:dyDescent="0.2">
      <c r="A49" s="164" t="s">
        <v>759</v>
      </c>
      <c r="B49" s="165" t="s">
        <v>12</v>
      </c>
      <c r="C49" s="165" t="s">
        <v>314</v>
      </c>
      <c r="D49" s="165" t="s">
        <v>315</v>
      </c>
      <c r="E49" s="165">
        <v>89218</v>
      </c>
      <c r="F49" s="165">
        <v>87054</v>
      </c>
      <c r="G49" s="165">
        <v>3409729</v>
      </c>
      <c r="H49" s="166">
        <v>89981</v>
      </c>
      <c r="I49" s="167" t="s">
        <v>760</v>
      </c>
      <c r="J49" s="168" t="s">
        <v>393</v>
      </c>
    </row>
    <row r="50" spans="1:10" hidden="1" x14ac:dyDescent="0.2">
      <c r="A50" s="164" t="s">
        <v>759</v>
      </c>
      <c r="B50" s="165" t="s">
        <v>12</v>
      </c>
      <c r="C50" s="165" t="s">
        <v>275</v>
      </c>
      <c r="D50" s="165" t="s">
        <v>276</v>
      </c>
      <c r="E50" s="165">
        <v>89188</v>
      </c>
      <c r="F50" s="165">
        <v>86341</v>
      </c>
      <c r="G50" s="165">
        <v>3138508</v>
      </c>
      <c r="H50" s="166">
        <v>89975</v>
      </c>
      <c r="I50" s="167" t="s">
        <v>760</v>
      </c>
      <c r="J50" s="168" t="s">
        <v>393</v>
      </c>
    </row>
    <row r="51" spans="1:10" hidden="1" x14ac:dyDescent="0.2">
      <c r="A51" s="164" t="s">
        <v>759</v>
      </c>
      <c r="B51" s="165" t="s">
        <v>12</v>
      </c>
      <c r="C51" s="165" t="s">
        <v>478</v>
      </c>
      <c r="D51" s="165" t="s">
        <v>589</v>
      </c>
      <c r="E51" s="165">
        <v>648314</v>
      </c>
      <c r="F51" s="165">
        <v>87699</v>
      </c>
      <c r="G51" s="165">
        <v>3526445</v>
      </c>
      <c r="H51" s="166">
        <v>89996</v>
      </c>
      <c r="I51" s="167" t="s">
        <v>760</v>
      </c>
      <c r="J51" s="168" t="s">
        <v>393</v>
      </c>
    </row>
    <row r="52" spans="1:10" hidden="1" x14ac:dyDescent="0.2">
      <c r="A52" s="164" t="s">
        <v>759</v>
      </c>
      <c r="B52" s="165" t="s">
        <v>12</v>
      </c>
      <c r="C52" s="165" t="s">
        <v>159</v>
      </c>
      <c r="D52" s="165" t="s">
        <v>160</v>
      </c>
      <c r="E52" s="169">
        <v>89246</v>
      </c>
      <c r="F52" s="165">
        <v>87302</v>
      </c>
      <c r="G52" s="165">
        <v>3462494</v>
      </c>
      <c r="H52" s="166">
        <v>89764</v>
      </c>
      <c r="I52" s="167" t="s">
        <v>760</v>
      </c>
      <c r="J52" s="168" t="s">
        <v>393</v>
      </c>
    </row>
    <row r="53" spans="1:10" hidden="1" x14ac:dyDescent="0.2">
      <c r="A53" s="164" t="s">
        <v>759</v>
      </c>
      <c r="B53" s="165" t="s">
        <v>539</v>
      </c>
      <c r="C53" s="165" t="s">
        <v>540</v>
      </c>
      <c r="D53" s="165" t="s">
        <v>541</v>
      </c>
      <c r="E53" s="165">
        <v>648384</v>
      </c>
      <c r="F53" s="165">
        <v>86201</v>
      </c>
      <c r="G53" s="165">
        <v>3120478</v>
      </c>
      <c r="H53" s="166">
        <v>648326</v>
      </c>
      <c r="I53" s="167" t="s">
        <v>760</v>
      </c>
      <c r="J53" s="168" t="s">
        <v>393</v>
      </c>
    </row>
    <row r="54" spans="1:10" hidden="1" x14ac:dyDescent="0.2">
      <c r="A54" s="164" t="s">
        <v>759</v>
      </c>
      <c r="B54" s="165" t="s">
        <v>539</v>
      </c>
      <c r="C54" s="165" t="s">
        <v>58</v>
      </c>
      <c r="D54" s="165" t="s">
        <v>542</v>
      </c>
      <c r="E54" s="165">
        <v>648392</v>
      </c>
      <c r="F54" s="165">
        <v>86212</v>
      </c>
      <c r="G54" s="165">
        <v>3119977</v>
      </c>
      <c r="H54" s="166">
        <v>648331</v>
      </c>
      <c r="I54" s="167" t="s">
        <v>760</v>
      </c>
      <c r="J54" s="168" t="s">
        <v>393</v>
      </c>
    </row>
    <row r="55" spans="1:10" hidden="1" x14ac:dyDescent="0.2">
      <c r="A55" s="164" t="s">
        <v>759</v>
      </c>
      <c r="B55" s="165" t="s">
        <v>539</v>
      </c>
      <c r="C55" s="165" t="s">
        <v>543</v>
      </c>
      <c r="D55" s="165" t="s">
        <v>544</v>
      </c>
      <c r="E55" s="165">
        <v>648378</v>
      </c>
      <c r="F55" s="165">
        <v>86585</v>
      </c>
      <c r="G55" s="165">
        <v>3290393</v>
      </c>
      <c r="H55" s="166">
        <v>648321</v>
      </c>
      <c r="I55" s="167" t="s">
        <v>760</v>
      </c>
      <c r="J55" s="168" t="s">
        <v>393</v>
      </c>
    </row>
    <row r="56" spans="1:10" hidden="1" x14ac:dyDescent="0.2">
      <c r="A56" s="164" t="s">
        <v>759</v>
      </c>
      <c r="B56" s="165" t="s">
        <v>539</v>
      </c>
      <c r="C56" s="165" t="s">
        <v>545</v>
      </c>
      <c r="D56" s="165" t="s">
        <v>546</v>
      </c>
      <c r="E56" s="165">
        <v>648379</v>
      </c>
      <c r="F56" s="165">
        <v>64114</v>
      </c>
      <c r="G56" s="165">
        <v>433384</v>
      </c>
      <c r="H56" s="166">
        <v>648322</v>
      </c>
      <c r="I56" s="167" t="s">
        <v>761</v>
      </c>
      <c r="J56" s="168" t="s">
        <v>393</v>
      </c>
    </row>
    <row r="57" spans="1:10" hidden="1" x14ac:dyDescent="0.2">
      <c r="A57" s="164" t="s">
        <v>759</v>
      </c>
      <c r="B57" s="165" t="s">
        <v>539</v>
      </c>
      <c r="C57" s="165" t="s">
        <v>594</v>
      </c>
      <c r="D57" s="165" t="s">
        <v>595</v>
      </c>
      <c r="E57" s="165">
        <v>648381</v>
      </c>
      <c r="F57" s="165">
        <v>82194</v>
      </c>
      <c r="G57" s="165">
        <v>2178609</v>
      </c>
      <c r="H57" s="166">
        <v>648324</v>
      </c>
      <c r="I57" s="167" t="s">
        <v>760</v>
      </c>
      <c r="J57" s="168" t="s">
        <v>393</v>
      </c>
    </row>
    <row r="58" spans="1:10" hidden="1" x14ac:dyDescent="0.2">
      <c r="A58" s="164" t="s">
        <v>759</v>
      </c>
      <c r="B58" s="165" t="s">
        <v>539</v>
      </c>
      <c r="C58" s="165" t="s">
        <v>548</v>
      </c>
      <c r="D58" s="165" t="s">
        <v>549</v>
      </c>
      <c r="E58" s="165">
        <v>648382</v>
      </c>
      <c r="F58" s="165">
        <v>87912</v>
      </c>
      <c r="G58" s="165">
        <v>3526348</v>
      </c>
      <c r="H58" s="166">
        <v>648325</v>
      </c>
      <c r="I58" s="167" t="s">
        <v>760</v>
      </c>
      <c r="J58" s="168" t="s">
        <v>393</v>
      </c>
    </row>
    <row r="59" spans="1:10" hidden="1" x14ac:dyDescent="0.2">
      <c r="A59" s="164" t="s">
        <v>759</v>
      </c>
      <c r="B59" s="165" t="s">
        <v>539</v>
      </c>
      <c r="C59" s="165" t="s">
        <v>550</v>
      </c>
      <c r="D59" s="165" t="s">
        <v>551</v>
      </c>
      <c r="E59" s="165">
        <v>648390</v>
      </c>
      <c r="F59" s="165">
        <v>83918</v>
      </c>
      <c r="G59" s="165">
        <v>2657804</v>
      </c>
      <c r="H59" s="166">
        <v>648330</v>
      </c>
      <c r="I59" s="167" t="s">
        <v>760</v>
      </c>
      <c r="J59" s="168" t="s">
        <v>393</v>
      </c>
    </row>
    <row r="60" spans="1:10" hidden="1" x14ac:dyDescent="0.2">
      <c r="A60" s="164" t="s">
        <v>759</v>
      </c>
      <c r="B60" s="165" t="s">
        <v>539</v>
      </c>
      <c r="C60" s="165" t="s">
        <v>381</v>
      </c>
      <c r="D60" s="165" t="s">
        <v>552</v>
      </c>
      <c r="E60" s="165">
        <v>648385</v>
      </c>
      <c r="F60" s="165">
        <v>81571</v>
      </c>
      <c r="G60" s="165">
        <v>1988450</v>
      </c>
      <c r="H60" s="166">
        <v>648337</v>
      </c>
      <c r="I60" s="167" t="s">
        <v>760</v>
      </c>
      <c r="J60" s="168" t="s">
        <v>393</v>
      </c>
    </row>
    <row r="61" spans="1:10" hidden="1" x14ac:dyDescent="0.2">
      <c r="A61" s="164" t="s">
        <v>759</v>
      </c>
      <c r="B61" s="165" t="s">
        <v>539</v>
      </c>
      <c r="C61" s="165" t="s">
        <v>555</v>
      </c>
      <c r="D61" s="165" t="s">
        <v>556</v>
      </c>
      <c r="E61" s="165">
        <v>648386</v>
      </c>
      <c r="F61" s="165">
        <v>86032</v>
      </c>
      <c r="G61" s="165">
        <v>3116938</v>
      </c>
      <c r="H61" s="166">
        <v>648327</v>
      </c>
      <c r="I61" s="167" t="s">
        <v>760</v>
      </c>
      <c r="J61" s="168" t="s">
        <v>393</v>
      </c>
    </row>
    <row r="62" spans="1:10" hidden="1" x14ac:dyDescent="0.2">
      <c r="A62" s="164" t="s">
        <v>759</v>
      </c>
      <c r="B62" s="165" t="s">
        <v>539</v>
      </c>
      <c r="C62" s="165" t="s">
        <v>557</v>
      </c>
      <c r="D62" s="165" t="s">
        <v>200</v>
      </c>
      <c r="E62" s="165">
        <v>648352</v>
      </c>
      <c r="F62" s="165">
        <v>80131</v>
      </c>
      <c r="G62" s="165">
        <v>1567502</v>
      </c>
      <c r="H62" s="166">
        <v>89982</v>
      </c>
      <c r="I62" s="167" t="s">
        <v>760</v>
      </c>
      <c r="J62" s="168" t="s">
        <v>393</v>
      </c>
    </row>
    <row r="63" spans="1:10" hidden="1" x14ac:dyDescent="0.2">
      <c r="A63" s="164" t="s">
        <v>759</v>
      </c>
      <c r="B63" s="165" t="s">
        <v>539</v>
      </c>
      <c r="C63" s="165" t="s">
        <v>74</v>
      </c>
      <c r="D63" s="165" t="s">
        <v>307</v>
      </c>
      <c r="E63" s="165">
        <v>89214</v>
      </c>
      <c r="F63" s="165">
        <v>87056</v>
      </c>
      <c r="G63" s="165">
        <v>3409650</v>
      </c>
      <c r="H63" s="166">
        <v>89975</v>
      </c>
      <c r="I63" s="167" t="s">
        <v>760</v>
      </c>
      <c r="J63" s="168" t="s">
        <v>393</v>
      </c>
    </row>
    <row r="64" spans="1:10" hidden="1" x14ac:dyDescent="0.2">
      <c r="A64" s="164" t="s">
        <v>759</v>
      </c>
      <c r="B64" s="165" t="s">
        <v>539</v>
      </c>
      <c r="C64" s="165" t="s">
        <v>560</v>
      </c>
      <c r="D64" s="165" t="s">
        <v>376</v>
      </c>
      <c r="E64" s="165">
        <v>648361</v>
      </c>
      <c r="F64" s="165">
        <v>85995</v>
      </c>
      <c r="G64" s="165">
        <v>3116792</v>
      </c>
      <c r="H64" s="166">
        <v>648334</v>
      </c>
      <c r="I64" s="167" t="s">
        <v>761</v>
      </c>
      <c r="J64" s="168" t="s">
        <v>393</v>
      </c>
    </row>
    <row r="65" spans="1:10" hidden="1" x14ac:dyDescent="0.2">
      <c r="A65" s="164" t="s">
        <v>759</v>
      </c>
      <c r="B65" s="165" t="s">
        <v>539</v>
      </c>
      <c r="C65" s="165" t="s">
        <v>158</v>
      </c>
      <c r="D65" s="165" t="s">
        <v>563</v>
      </c>
      <c r="E65" s="165">
        <v>648383</v>
      </c>
      <c r="F65" s="165">
        <v>86015</v>
      </c>
      <c r="G65" s="165">
        <v>2765889</v>
      </c>
      <c r="H65" s="166">
        <v>648336</v>
      </c>
      <c r="I65" s="167" t="s">
        <v>760</v>
      </c>
      <c r="J65" s="168" t="s">
        <v>393</v>
      </c>
    </row>
    <row r="66" spans="1:10" hidden="1" x14ac:dyDescent="0.2">
      <c r="A66" s="164" t="s">
        <v>759</v>
      </c>
      <c r="B66" s="165" t="s">
        <v>539</v>
      </c>
      <c r="C66" s="165" t="s">
        <v>564</v>
      </c>
      <c r="D66" s="165" t="s">
        <v>565</v>
      </c>
      <c r="E66" s="165">
        <v>648387</v>
      </c>
      <c r="F66" s="165">
        <v>83101</v>
      </c>
      <c r="G66" s="165">
        <v>1441889</v>
      </c>
      <c r="H66" s="166">
        <v>648320</v>
      </c>
      <c r="I66" s="167" t="s">
        <v>760</v>
      </c>
      <c r="J66" s="168" t="s">
        <v>393</v>
      </c>
    </row>
    <row r="67" spans="1:10" hidden="1" x14ac:dyDescent="0.2">
      <c r="A67" s="164" t="s">
        <v>759</v>
      </c>
      <c r="B67" s="165" t="s">
        <v>539</v>
      </c>
      <c r="C67" s="165" t="s">
        <v>94</v>
      </c>
      <c r="D67" s="165" t="s">
        <v>440</v>
      </c>
      <c r="E67" s="165">
        <v>648235</v>
      </c>
      <c r="F67" s="165">
        <v>85552</v>
      </c>
      <c r="G67" s="165">
        <v>2855603</v>
      </c>
      <c r="H67" s="166">
        <v>89918</v>
      </c>
      <c r="I67" s="167" t="s">
        <v>760</v>
      </c>
      <c r="J67" s="168" t="s">
        <v>393</v>
      </c>
    </row>
    <row r="68" spans="1:10" hidden="1" x14ac:dyDescent="0.2">
      <c r="A68" s="164" t="s">
        <v>759</v>
      </c>
      <c r="B68" s="165" t="s">
        <v>539</v>
      </c>
      <c r="C68" s="165" t="s">
        <v>356</v>
      </c>
      <c r="D68" s="165" t="s">
        <v>357</v>
      </c>
      <c r="E68" s="165">
        <v>648061</v>
      </c>
      <c r="F68" s="165">
        <v>88038</v>
      </c>
      <c r="G68" s="165">
        <v>3553114</v>
      </c>
      <c r="H68" s="166">
        <v>89882</v>
      </c>
      <c r="I68" s="167" t="s">
        <v>760</v>
      </c>
      <c r="J68" s="168" t="s">
        <v>393</v>
      </c>
    </row>
    <row r="69" spans="1:10" hidden="1" x14ac:dyDescent="0.2">
      <c r="A69" s="164" t="s">
        <v>759</v>
      </c>
      <c r="B69" s="165" t="s">
        <v>539</v>
      </c>
      <c r="C69" s="165" t="s">
        <v>462</v>
      </c>
      <c r="D69" s="165" t="s">
        <v>463</v>
      </c>
      <c r="E69" s="165">
        <v>648310</v>
      </c>
      <c r="F69" s="165">
        <v>87705</v>
      </c>
      <c r="G69" s="165">
        <v>3526463</v>
      </c>
      <c r="H69" s="166">
        <v>89983</v>
      </c>
      <c r="I69" s="167" t="s">
        <v>760</v>
      </c>
      <c r="J69" s="168" t="s">
        <v>393</v>
      </c>
    </row>
    <row r="70" spans="1:10" hidden="1" x14ac:dyDescent="0.2">
      <c r="A70" s="164" t="s">
        <v>759</v>
      </c>
      <c r="B70" s="165" t="s">
        <v>539</v>
      </c>
      <c r="C70" s="165" t="s">
        <v>143</v>
      </c>
      <c r="D70" s="165" t="s">
        <v>144</v>
      </c>
      <c r="E70" s="169">
        <v>89239</v>
      </c>
      <c r="F70" s="165">
        <v>87297</v>
      </c>
      <c r="G70" s="165">
        <v>1294127</v>
      </c>
      <c r="H70" s="166">
        <v>89880</v>
      </c>
      <c r="I70" s="167" t="s">
        <v>760</v>
      </c>
      <c r="J70" s="168" t="s">
        <v>393</v>
      </c>
    </row>
    <row r="71" spans="1:10" hidden="1" x14ac:dyDescent="0.2">
      <c r="A71" s="164" t="s">
        <v>759</v>
      </c>
      <c r="B71" s="165" t="s">
        <v>539</v>
      </c>
      <c r="C71" s="165" t="s">
        <v>476</v>
      </c>
      <c r="D71" s="165" t="s">
        <v>587</v>
      </c>
      <c r="E71" s="165">
        <v>648311</v>
      </c>
      <c r="F71" s="165">
        <v>87722</v>
      </c>
      <c r="G71" s="165">
        <v>3526400</v>
      </c>
      <c r="H71" s="166">
        <v>89994</v>
      </c>
      <c r="I71" s="167" t="s">
        <v>760</v>
      </c>
      <c r="J71" s="168" t="s">
        <v>393</v>
      </c>
    </row>
    <row r="72" spans="1:10" hidden="1" x14ac:dyDescent="0.2">
      <c r="A72" s="164" t="s">
        <v>759</v>
      </c>
      <c r="B72" s="165" t="s">
        <v>539</v>
      </c>
      <c r="C72" s="165" t="s">
        <v>114</v>
      </c>
      <c r="D72" s="165" t="s">
        <v>588</v>
      </c>
      <c r="E72" s="165">
        <v>648312</v>
      </c>
      <c r="F72" s="165">
        <v>87701</v>
      </c>
      <c r="G72" s="165">
        <v>2000078</v>
      </c>
      <c r="H72" s="166">
        <v>89993</v>
      </c>
      <c r="I72" s="167" t="s">
        <v>760</v>
      </c>
      <c r="J72" s="168" t="s">
        <v>393</v>
      </c>
    </row>
    <row r="73" spans="1:10" hidden="1" x14ac:dyDescent="0.2">
      <c r="A73" s="164" t="s">
        <v>759</v>
      </c>
      <c r="B73" s="165" t="s">
        <v>388</v>
      </c>
      <c r="C73" s="165" t="s">
        <v>134</v>
      </c>
      <c r="D73" s="165" t="s">
        <v>135</v>
      </c>
      <c r="E73" s="169">
        <v>89235</v>
      </c>
      <c r="F73" s="165">
        <v>87307</v>
      </c>
      <c r="G73" s="165">
        <v>3462508</v>
      </c>
      <c r="H73" s="166">
        <v>89954</v>
      </c>
      <c r="I73" s="167" t="s">
        <v>760</v>
      </c>
      <c r="J73" s="168" t="s">
        <v>393</v>
      </c>
    </row>
    <row r="74" spans="1:10" hidden="1" x14ac:dyDescent="0.2">
      <c r="A74" s="164" t="s">
        <v>759</v>
      </c>
      <c r="B74" s="165" t="s">
        <v>388</v>
      </c>
      <c r="C74" s="165" t="s">
        <v>292</v>
      </c>
      <c r="D74" s="165" t="s">
        <v>293</v>
      </c>
      <c r="E74" s="165">
        <v>648058</v>
      </c>
      <c r="F74" s="165">
        <v>88048</v>
      </c>
      <c r="G74" s="165">
        <v>3553156</v>
      </c>
      <c r="H74" s="166">
        <v>89955</v>
      </c>
      <c r="I74" s="167" t="s">
        <v>760</v>
      </c>
      <c r="J74" s="168" t="s">
        <v>393</v>
      </c>
    </row>
    <row r="75" spans="1:10" hidden="1" x14ac:dyDescent="0.2">
      <c r="A75" s="164" t="s">
        <v>759</v>
      </c>
      <c r="B75" s="165" t="s">
        <v>388</v>
      </c>
      <c r="C75" s="165" t="s">
        <v>27</v>
      </c>
      <c r="D75" s="165" t="s">
        <v>28</v>
      </c>
      <c r="E75" s="165">
        <v>89157</v>
      </c>
      <c r="F75" s="165">
        <v>86290</v>
      </c>
      <c r="G75" s="165">
        <v>3133275</v>
      </c>
      <c r="H75" s="166">
        <v>89873</v>
      </c>
      <c r="I75" s="167" t="s">
        <v>760</v>
      </c>
      <c r="J75" s="168" t="s">
        <v>393</v>
      </c>
    </row>
    <row r="76" spans="1:10" hidden="1" x14ac:dyDescent="0.2">
      <c r="A76" s="164" t="s">
        <v>759</v>
      </c>
      <c r="B76" s="165" t="s">
        <v>388</v>
      </c>
      <c r="C76" s="165" t="s">
        <v>430</v>
      </c>
      <c r="D76" s="165" t="s">
        <v>431</v>
      </c>
      <c r="E76" s="165">
        <v>648224</v>
      </c>
      <c r="F76" s="165">
        <v>83409</v>
      </c>
      <c r="G76" s="165">
        <v>2466183</v>
      </c>
      <c r="H76" s="166">
        <v>89913</v>
      </c>
      <c r="I76" s="167" t="s">
        <v>760</v>
      </c>
      <c r="J76" s="168" t="s">
        <v>393</v>
      </c>
    </row>
    <row r="77" spans="1:10" hidden="1" x14ac:dyDescent="0.2">
      <c r="A77" s="164" t="s">
        <v>759</v>
      </c>
      <c r="B77" s="165" t="s">
        <v>388</v>
      </c>
      <c r="C77" s="165" t="s">
        <v>43</v>
      </c>
      <c r="D77" s="165" t="s">
        <v>44</v>
      </c>
      <c r="E77" s="165">
        <v>89122</v>
      </c>
      <c r="F77" s="165">
        <v>86153</v>
      </c>
      <c r="G77" s="165">
        <v>3118303</v>
      </c>
      <c r="H77" s="166">
        <v>89957</v>
      </c>
      <c r="I77" s="167" t="s">
        <v>760</v>
      </c>
      <c r="J77" s="168" t="s">
        <v>393</v>
      </c>
    </row>
    <row r="78" spans="1:10" hidden="1" x14ac:dyDescent="0.2">
      <c r="A78" s="164" t="s">
        <v>759</v>
      </c>
      <c r="B78" s="165" t="s">
        <v>388</v>
      </c>
      <c r="C78" s="165" t="s">
        <v>46</v>
      </c>
      <c r="D78" s="165" t="s">
        <v>47</v>
      </c>
      <c r="E78" s="165">
        <v>89186</v>
      </c>
      <c r="F78" s="165">
        <v>86334</v>
      </c>
      <c r="G78" s="165">
        <v>3138482</v>
      </c>
      <c r="H78" s="166">
        <v>89958</v>
      </c>
      <c r="I78" s="167" t="s">
        <v>760</v>
      </c>
      <c r="J78" s="168" t="s">
        <v>393</v>
      </c>
    </row>
    <row r="79" spans="1:10" hidden="1" x14ac:dyDescent="0.2">
      <c r="A79" s="164" t="s">
        <v>759</v>
      </c>
      <c r="B79" s="165" t="s">
        <v>388</v>
      </c>
      <c r="C79" s="165" t="s">
        <v>342</v>
      </c>
      <c r="D79" s="165" t="s">
        <v>343</v>
      </c>
      <c r="E79" s="165">
        <v>648062</v>
      </c>
      <c r="F79" s="165">
        <v>88050</v>
      </c>
      <c r="G79" s="165">
        <v>3553149</v>
      </c>
      <c r="H79" s="166">
        <v>89959</v>
      </c>
      <c r="I79" s="167" t="s">
        <v>760</v>
      </c>
      <c r="J79" s="168" t="s">
        <v>393</v>
      </c>
    </row>
    <row r="80" spans="1:10" hidden="1" x14ac:dyDescent="0.2">
      <c r="A80" s="164" t="s">
        <v>759</v>
      </c>
      <c r="B80" s="165" t="s">
        <v>388</v>
      </c>
      <c r="C80" s="165" t="s">
        <v>220</v>
      </c>
      <c r="D80" s="165" t="s">
        <v>221</v>
      </c>
      <c r="E80" s="165">
        <v>89312</v>
      </c>
      <c r="F80" s="165">
        <v>88173</v>
      </c>
      <c r="G80" s="165">
        <v>3624180</v>
      </c>
      <c r="H80" s="166">
        <v>89960</v>
      </c>
      <c r="I80" s="167" t="s">
        <v>760</v>
      </c>
      <c r="J80" s="168" t="s">
        <v>393</v>
      </c>
    </row>
    <row r="81" spans="1:10" hidden="1" x14ac:dyDescent="0.2">
      <c r="A81" s="164" t="s">
        <v>759</v>
      </c>
      <c r="B81" s="165" t="s">
        <v>388</v>
      </c>
      <c r="C81" s="165" t="s">
        <v>558</v>
      </c>
      <c r="D81" s="165" t="s">
        <v>559</v>
      </c>
      <c r="E81" s="165">
        <v>648389</v>
      </c>
      <c r="F81" s="165">
        <v>87712</v>
      </c>
      <c r="G81" s="165">
        <v>3526355</v>
      </c>
      <c r="H81" s="166">
        <v>648329</v>
      </c>
      <c r="I81" s="167" t="s">
        <v>761</v>
      </c>
      <c r="J81" s="168" t="s">
        <v>393</v>
      </c>
    </row>
    <row r="82" spans="1:10" hidden="1" x14ac:dyDescent="0.2">
      <c r="A82" s="164" t="s">
        <v>759</v>
      </c>
      <c r="B82" s="165" t="s">
        <v>388</v>
      </c>
      <c r="C82" s="165" t="s">
        <v>153</v>
      </c>
      <c r="D82" s="165" t="s">
        <v>154</v>
      </c>
      <c r="E82" s="165">
        <v>89103</v>
      </c>
      <c r="F82" s="165">
        <v>85279</v>
      </c>
      <c r="G82" s="165">
        <v>2804825</v>
      </c>
      <c r="H82" s="166">
        <v>89962</v>
      </c>
      <c r="I82" s="167" t="s">
        <v>760</v>
      </c>
      <c r="J82" s="168" t="s">
        <v>393</v>
      </c>
    </row>
    <row r="83" spans="1:10" hidden="1" x14ac:dyDescent="0.2">
      <c r="A83" s="164" t="s">
        <v>759</v>
      </c>
      <c r="B83" s="165" t="s">
        <v>388</v>
      </c>
      <c r="C83" s="165" t="s">
        <v>155</v>
      </c>
      <c r="D83" s="165" t="s">
        <v>61</v>
      </c>
      <c r="E83" s="169">
        <v>89243</v>
      </c>
      <c r="F83" s="165">
        <v>87301</v>
      </c>
      <c r="G83" s="165">
        <v>3462491</v>
      </c>
      <c r="H83" s="166">
        <v>89963</v>
      </c>
      <c r="I83" s="167" t="s">
        <v>760</v>
      </c>
      <c r="J83" s="168" t="s">
        <v>393</v>
      </c>
    </row>
    <row r="84" spans="1:10" hidden="1" x14ac:dyDescent="0.2">
      <c r="A84" s="164" t="s">
        <v>759</v>
      </c>
      <c r="B84" s="165" t="s">
        <v>388</v>
      </c>
      <c r="C84" s="165" t="s">
        <v>92</v>
      </c>
      <c r="D84" s="165" t="s">
        <v>355</v>
      </c>
      <c r="E84" s="165">
        <v>648059</v>
      </c>
      <c r="F84" s="165">
        <v>88036</v>
      </c>
      <c r="G84" s="165">
        <v>3553110</v>
      </c>
      <c r="H84" s="166">
        <v>89964</v>
      </c>
      <c r="I84" s="167" t="s">
        <v>760</v>
      </c>
      <c r="J84" s="168" t="s">
        <v>393</v>
      </c>
    </row>
    <row r="85" spans="1:10" hidden="1" x14ac:dyDescent="0.2">
      <c r="A85" s="164" t="s">
        <v>759</v>
      </c>
      <c r="B85" s="165" t="s">
        <v>388</v>
      </c>
      <c r="C85" s="165" t="s">
        <v>358</v>
      </c>
      <c r="D85" s="165" t="s">
        <v>359</v>
      </c>
      <c r="E85" s="165">
        <v>89135</v>
      </c>
      <c r="F85" s="165">
        <v>86152</v>
      </c>
      <c r="G85" s="165">
        <v>1154505</v>
      </c>
      <c r="H85" s="166">
        <v>89965</v>
      </c>
      <c r="I85" s="167" t="s">
        <v>760</v>
      </c>
      <c r="J85" s="168" t="s">
        <v>393</v>
      </c>
    </row>
    <row r="86" spans="1:10" hidden="1" x14ac:dyDescent="0.2">
      <c r="A86" s="164" t="s">
        <v>759</v>
      </c>
      <c r="B86" s="165" t="s">
        <v>388</v>
      </c>
      <c r="C86" s="165" t="s">
        <v>320</v>
      </c>
      <c r="D86" s="165" t="s">
        <v>321</v>
      </c>
      <c r="E86" s="165">
        <v>89222</v>
      </c>
      <c r="F86" s="165">
        <v>87048</v>
      </c>
      <c r="G86" s="165">
        <v>3409593</v>
      </c>
      <c r="H86" s="166">
        <v>89966</v>
      </c>
      <c r="I86" s="167" t="s">
        <v>760</v>
      </c>
      <c r="J86" s="168" t="s">
        <v>393</v>
      </c>
    </row>
    <row r="87" spans="1:10" hidden="1" x14ac:dyDescent="0.2">
      <c r="A87" s="164" t="s">
        <v>759</v>
      </c>
      <c r="B87" s="165" t="s">
        <v>388</v>
      </c>
      <c r="C87" s="165" t="s">
        <v>472</v>
      </c>
      <c r="D87" s="165" t="s">
        <v>473</v>
      </c>
      <c r="E87" s="165">
        <v>648308</v>
      </c>
      <c r="F87" s="165">
        <v>87882</v>
      </c>
      <c r="G87" s="165">
        <v>3123170</v>
      </c>
      <c r="H87" s="166">
        <v>89990</v>
      </c>
      <c r="I87" s="167" t="s">
        <v>760</v>
      </c>
      <c r="J87" s="168" t="s">
        <v>393</v>
      </c>
    </row>
    <row r="88" spans="1:10" hidden="1" x14ac:dyDescent="0.2">
      <c r="A88" s="164" t="s">
        <v>759</v>
      </c>
      <c r="B88" s="165" t="s">
        <v>388</v>
      </c>
      <c r="C88" s="165" t="s">
        <v>479</v>
      </c>
      <c r="D88" s="165" t="s">
        <v>480</v>
      </c>
      <c r="E88" s="165">
        <v>648309</v>
      </c>
      <c r="F88" s="165">
        <v>87715</v>
      </c>
      <c r="G88" s="165">
        <v>2353705</v>
      </c>
      <c r="H88" s="166">
        <v>89997</v>
      </c>
      <c r="I88" s="167" t="s">
        <v>760</v>
      </c>
      <c r="J88" s="168" t="s">
        <v>790</v>
      </c>
    </row>
    <row r="89" spans="1:10" hidden="1" x14ac:dyDescent="0.2">
      <c r="A89" s="164" t="s">
        <v>759</v>
      </c>
      <c r="B89" s="165" t="s">
        <v>388</v>
      </c>
      <c r="C89" s="165" t="s">
        <v>312</v>
      </c>
      <c r="D89" s="165" t="s">
        <v>313</v>
      </c>
      <c r="E89" s="165">
        <v>89217</v>
      </c>
      <c r="F89" s="165">
        <v>87050</v>
      </c>
      <c r="G89" s="165">
        <v>3409733</v>
      </c>
      <c r="H89" s="166">
        <v>89881</v>
      </c>
      <c r="I89" s="167" t="s">
        <v>760</v>
      </c>
      <c r="J89" s="168" t="s">
        <v>393</v>
      </c>
    </row>
    <row r="90" spans="1:10" hidden="1" x14ac:dyDescent="0.2">
      <c r="A90" s="164" t="s">
        <v>759</v>
      </c>
      <c r="B90" s="165" t="s">
        <v>791</v>
      </c>
      <c r="C90" s="165" t="s">
        <v>792</v>
      </c>
      <c r="D90" s="165" t="s">
        <v>101</v>
      </c>
      <c r="E90" s="165"/>
      <c r="F90" s="165"/>
      <c r="G90" s="165">
        <v>3851254</v>
      </c>
      <c r="H90" s="170"/>
      <c r="I90" s="167"/>
      <c r="J90" s="168" t="s">
        <v>765</v>
      </c>
    </row>
    <row r="91" spans="1:10" hidden="1" x14ac:dyDescent="0.2">
      <c r="A91" s="164" t="s">
        <v>759</v>
      </c>
      <c r="B91" s="165" t="s">
        <v>791</v>
      </c>
      <c r="C91" s="165" t="s">
        <v>147</v>
      </c>
      <c r="D91" s="165" t="s">
        <v>793</v>
      </c>
      <c r="E91" s="165"/>
      <c r="F91" s="165"/>
      <c r="G91" s="165">
        <v>3851265</v>
      </c>
      <c r="H91" s="170"/>
      <c r="I91" s="167"/>
      <c r="J91" s="168" t="s">
        <v>765</v>
      </c>
    </row>
    <row r="92" spans="1:10" hidden="1" x14ac:dyDescent="0.2">
      <c r="A92" s="164" t="s">
        <v>759</v>
      </c>
      <c r="B92" s="165" t="s">
        <v>791</v>
      </c>
      <c r="C92" s="165" t="s">
        <v>794</v>
      </c>
      <c r="D92" s="165" t="s">
        <v>795</v>
      </c>
      <c r="E92" s="165"/>
      <c r="F92" s="165"/>
      <c r="G92" s="165">
        <v>3851228</v>
      </c>
      <c r="H92" s="170"/>
      <c r="I92" s="167"/>
      <c r="J92" s="168" t="s">
        <v>765</v>
      </c>
    </row>
    <row r="93" spans="1:10" hidden="1" x14ac:dyDescent="0.2">
      <c r="A93" s="164" t="s">
        <v>759</v>
      </c>
      <c r="B93" s="165" t="s">
        <v>791</v>
      </c>
      <c r="C93" s="165" t="s">
        <v>796</v>
      </c>
      <c r="D93" s="165" t="s">
        <v>797</v>
      </c>
      <c r="E93" s="165"/>
      <c r="F93" s="165"/>
      <c r="G93" s="165">
        <v>3851268</v>
      </c>
      <c r="H93" s="170"/>
      <c r="I93" s="167"/>
      <c r="J93" s="168" t="s">
        <v>765</v>
      </c>
    </row>
    <row r="94" spans="1:10" hidden="1" x14ac:dyDescent="0.2">
      <c r="A94" s="164" t="s">
        <v>759</v>
      </c>
      <c r="B94" s="165" t="s">
        <v>791</v>
      </c>
      <c r="C94" s="165" t="s">
        <v>798</v>
      </c>
      <c r="D94" s="165" t="s">
        <v>799</v>
      </c>
      <c r="E94" s="165"/>
      <c r="F94" s="165"/>
      <c r="G94" s="165">
        <v>1308377</v>
      </c>
      <c r="H94" s="170"/>
      <c r="I94" s="167"/>
      <c r="J94" s="168" t="s">
        <v>765</v>
      </c>
    </row>
    <row r="95" spans="1:10" hidden="1" x14ac:dyDescent="0.2">
      <c r="A95" s="164" t="s">
        <v>759</v>
      </c>
      <c r="B95" s="165" t="s">
        <v>791</v>
      </c>
      <c r="C95" s="165" t="s">
        <v>800</v>
      </c>
      <c r="D95" s="165" t="s">
        <v>57</v>
      </c>
      <c r="E95" s="165"/>
      <c r="F95" s="165"/>
      <c r="G95" s="165">
        <v>3851259</v>
      </c>
      <c r="H95" s="170"/>
      <c r="I95" s="167"/>
      <c r="J95" s="168" t="s">
        <v>765</v>
      </c>
    </row>
    <row r="96" spans="1:10" hidden="1" x14ac:dyDescent="0.2">
      <c r="A96" s="164" t="s">
        <v>759</v>
      </c>
      <c r="B96" s="165" t="s">
        <v>791</v>
      </c>
      <c r="C96" s="165" t="s">
        <v>801</v>
      </c>
      <c r="D96" s="165" t="s">
        <v>802</v>
      </c>
      <c r="E96" s="165"/>
      <c r="F96" s="165"/>
      <c r="G96" s="165">
        <v>3851263</v>
      </c>
      <c r="H96" s="170"/>
      <c r="I96" s="167"/>
      <c r="J96" s="168" t="s">
        <v>765</v>
      </c>
    </row>
    <row r="97" spans="1:10" hidden="1" x14ac:dyDescent="0.2">
      <c r="A97" s="164" t="s">
        <v>759</v>
      </c>
      <c r="B97" s="165" t="s">
        <v>791</v>
      </c>
      <c r="C97" s="165" t="s">
        <v>76</v>
      </c>
      <c r="D97" s="165" t="s">
        <v>803</v>
      </c>
      <c r="E97" s="165"/>
      <c r="F97" s="165"/>
      <c r="G97" s="165">
        <v>3851236</v>
      </c>
      <c r="H97" s="170"/>
      <c r="I97" s="167"/>
      <c r="J97" s="168" t="s">
        <v>765</v>
      </c>
    </row>
    <row r="98" spans="1:10" hidden="1" x14ac:dyDescent="0.2">
      <c r="A98" s="164" t="s">
        <v>759</v>
      </c>
      <c r="B98" s="165" t="s">
        <v>791</v>
      </c>
      <c r="C98" s="165" t="s">
        <v>804</v>
      </c>
      <c r="D98" s="165" t="s">
        <v>805</v>
      </c>
      <c r="E98" s="165"/>
      <c r="F98" s="165"/>
      <c r="G98" s="165">
        <v>3851264</v>
      </c>
      <c r="H98" s="170"/>
      <c r="I98" s="167"/>
      <c r="J98" s="168" t="s">
        <v>765</v>
      </c>
    </row>
    <row r="99" spans="1:10" hidden="1" x14ac:dyDescent="0.2">
      <c r="A99" s="164" t="s">
        <v>759</v>
      </c>
      <c r="B99" s="165" t="s">
        <v>791</v>
      </c>
      <c r="C99" s="165" t="s">
        <v>806</v>
      </c>
      <c r="D99" s="165" t="s">
        <v>807</v>
      </c>
      <c r="E99" s="165"/>
      <c r="F99" s="165"/>
      <c r="G99" s="165">
        <v>3851276</v>
      </c>
      <c r="H99" s="170"/>
      <c r="I99" s="167"/>
      <c r="J99" s="168" t="s">
        <v>765</v>
      </c>
    </row>
    <row r="100" spans="1:10" hidden="1" x14ac:dyDescent="0.2">
      <c r="A100" s="164" t="s">
        <v>759</v>
      </c>
      <c r="B100" s="165" t="s">
        <v>791</v>
      </c>
      <c r="C100" s="165" t="s">
        <v>808</v>
      </c>
      <c r="D100" s="165" t="s">
        <v>809</v>
      </c>
      <c r="E100" s="165"/>
      <c r="F100" s="165"/>
      <c r="G100" s="165">
        <v>3851277</v>
      </c>
      <c r="H100" s="170"/>
      <c r="I100" s="167"/>
      <c r="J100" s="168" t="s">
        <v>765</v>
      </c>
    </row>
    <row r="101" spans="1:10" hidden="1" x14ac:dyDescent="0.2">
      <c r="A101" s="164" t="s">
        <v>759</v>
      </c>
      <c r="B101" s="165" t="s">
        <v>791</v>
      </c>
      <c r="C101" s="165" t="s">
        <v>810</v>
      </c>
      <c r="D101" s="177" t="s">
        <v>811</v>
      </c>
      <c r="E101" s="165"/>
      <c r="F101" s="165"/>
      <c r="G101" s="165">
        <v>3851221</v>
      </c>
      <c r="H101" s="170"/>
      <c r="I101" s="167"/>
      <c r="J101" s="168" t="s">
        <v>765</v>
      </c>
    </row>
    <row r="102" spans="1:10" hidden="1" x14ac:dyDescent="0.2">
      <c r="A102" s="164" t="s">
        <v>759</v>
      </c>
      <c r="B102" s="165" t="s">
        <v>791</v>
      </c>
      <c r="C102" s="165" t="s">
        <v>459</v>
      </c>
      <c r="D102" s="165" t="s">
        <v>812</v>
      </c>
      <c r="E102" s="165"/>
      <c r="F102" s="165"/>
      <c r="G102" s="165">
        <v>3851225</v>
      </c>
      <c r="H102" s="170"/>
      <c r="I102" s="167"/>
      <c r="J102" s="168" t="s">
        <v>765</v>
      </c>
    </row>
    <row r="103" spans="1:10" hidden="1" x14ac:dyDescent="0.2">
      <c r="A103" s="164" t="s">
        <v>759</v>
      </c>
      <c r="B103" s="165" t="s">
        <v>14</v>
      </c>
      <c r="C103" s="165" t="s">
        <v>226</v>
      </c>
      <c r="D103" s="165" t="s">
        <v>291</v>
      </c>
      <c r="E103" s="165">
        <v>89204</v>
      </c>
      <c r="F103" s="165">
        <v>87044</v>
      </c>
      <c r="G103" s="165">
        <v>3409636</v>
      </c>
      <c r="H103" s="166">
        <v>89967</v>
      </c>
      <c r="I103" s="167" t="s">
        <v>760</v>
      </c>
      <c r="J103" s="168" t="s">
        <v>393</v>
      </c>
    </row>
    <row r="104" spans="1:10" hidden="1" x14ac:dyDescent="0.2">
      <c r="A104" s="164" t="s">
        <v>759</v>
      </c>
      <c r="B104" s="165" t="s">
        <v>14</v>
      </c>
      <c r="C104" s="165" t="s">
        <v>294</v>
      </c>
      <c r="D104" s="165" t="s">
        <v>295</v>
      </c>
      <c r="E104" s="165">
        <v>89205</v>
      </c>
      <c r="F104" s="165">
        <v>87052</v>
      </c>
      <c r="G104" s="165">
        <v>2445607</v>
      </c>
      <c r="H104" s="166">
        <v>89968</v>
      </c>
      <c r="I104" s="167" t="s">
        <v>760</v>
      </c>
      <c r="J104" s="168" t="s">
        <v>393</v>
      </c>
    </row>
    <row r="105" spans="1:10" hidden="1" x14ac:dyDescent="0.2">
      <c r="A105" s="164" t="s">
        <v>759</v>
      </c>
      <c r="B105" s="165" t="s">
        <v>14</v>
      </c>
      <c r="C105" s="165" t="s">
        <v>204</v>
      </c>
      <c r="D105" s="165" t="s">
        <v>205</v>
      </c>
      <c r="E105" s="165">
        <v>89311</v>
      </c>
      <c r="F105" s="165">
        <v>88172</v>
      </c>
      <c r="G105" s="165">
        <v>3624178</v>
      </c>
      <c r="H105" s="166">
        <v>89969</v>
      </c>
      <c r="I105" s="167" t="s">
        <v>760</v>
      </c>
      <c r="J105" s="168" t="s">
        <v>393</v>
      </c>
    </row>
    <row r="106" spans="1:10" hidden="1" x14ac:dyDescent="0.2">
      <c r="A106" s="164" t="s">
        <v>759</v>
      </c>
      <c r="B106" s="165" t="s">
        <v>14</v>
      </c>
      <c r="C106" s="165" t="s">
        <v>373</v>
      </c>
      <c r="D106" s="165" t="s">
        <v>374</v>
      </c>
      <c r="E106" s="165">
        <v>648073</v>
      </c>
      <c r="F106" s="165">
        <v>88357</v>
      </c>
      <c r="G106" s="165">
        <v>3667098</v>
      </c>
      <c r="H106" s="166">
        <v>89970</v>
      </c>
      <c r="I106" s="167" t="s">
        <v>760</v>
      </c>
      <c r="J106" s="168" t="s">
        <v>393</v>
      </c>
    </row>
    <row r="107" spans="1:10" hidden="1" x14ac:dyDescent="0.2">
      <c r="A107" s="164" t="s">
        <v>759</v>
      </c>
      <c r="B107" s="165" t="s">
        <v>14</v>
      </c>
      <c r="C107" s="165" t="s">
        <v>328</v>
      </c>
      <c r="D107" s="165" t="s">
        <v>329</v>
      </c>
      <c r="E107" s="165">
        <v>89110</v>
      </c>
      <c r="F107" s="165">
        <v>85199</v>
      </c>
      <c r="G107" s="165">
        <v>2792749</v>
      </c>
      <c r="H107" s="166">
        <v>89971</v>
      </c>
      <c r="I107" s="167" t="s">
        <v>760</v>
      </c>
      <c r="J107" s="168" t="s">
        <v>393</v>
      </c>
    </row>
    <row r="108" spans="1:10" hidden="1" x14ac:dyDescent="0.2">
      <c r="A108" s="164" t="s">
        <v>759</v>
      </c>
      <c r="B108" s="165" t="s">
        <v>14</v>
      </c>
      <c r="C108" s="165" t="s">
        <v>298</v>
      </c>
      <c r="D108" s="165" t="s">
        <v>299</v>
      </c>
      <c r="E108" s="165">
        <v>89208</v>
      </c>
      <c r="F108" s="165">
        <v>87049</v>
      </c>
      <c r="G108" s="165">
        <v>1632745</v>
      </c>
      <c r="H108" s="166">
        <v>89886</v>
      </c>
      <c r="I108" s="167" t="s">
        <v>760</v>
      </c>
      <c r="J108" s="168" t="s">
        <v>393</v>
      </c>
    </row>
    <row r="109" spans="1:10" hidden="1" x14ac:dyDescent="0.2">
      <c r="A109" s="164" t="s">
        <v>759</v>
      </c>
      <c r="B109" s="165" t="s">
        <v>14</v>
      </c>
      <c r="C109" s="165" t="s">
        <v>300</v>
      </c>
      <c r="D109" s="165" t="s">
        <v>301</v>
      </c>
      <c r="E109" s="165">
        <v>89210</v>
      </c>
      <c r="F109" s="165">
        <v>87061</v>
      </c>
      <c r="G109" s="165">
        <v>3409646</v>
      </c>
      <c r="H109" s="166">
        <v>89972</v>
      </c>
      <c r="I109" s="167" t="s">
        <v>760</v>
      </c>
      <c r="J109" s="168" t="s">
        <v>393</v>
      </c>
    </row>
    <row r="110" spans="1:10" hidden="1" x14ac:dyDescent="0.2">
      <c r="A110" s="164" t="s">
        <v>759</v>
      </c>
      <c r="B110" s="165" t="s">
        <v>14</v>
      </c>
      <c r="C110" s="165" t="s">
        <v>216</v>
      </c>
      <c r="D110" s="165" t="s">
        <v>217</v>
      </c>
      <c r="E110" s="165">
        <v>89305</v>
      </c>
      <c r="F110" s="165">
        <v>88166</v>
      </c>
      <c r="G110" s="165">
        <v>3624156</v>
      </c>
      <c r="H110" s="166">
        <v>89973</v>
      </c>
      <c r="I110" s="167" t="s">
        <v>760</v>
      </c>
      <c r="J110" s="168" t="s">
        <v>393</v>
      </c>
    </row>
    <row r="111" spans="1:10" hidden="1" x14ac:dyDescent="0.2">
      <c r="A111" s="164" t="s">
        <v>759</v>
      </c>
      <c r="B111" s="165" t="s">
        <v>14</v>
      </c>
      <c r="C111" s="165" t="s">
        <v>432</v>
      </c>
      <c r="D111" s="165" t="s">
        <v>433</v>
      </c>
      <c r="E111" s="165">
        <v>648229</v>
      </c>
      <c r="F111" s="165">
        <v>82706</v>
      </c>
      <c r="G111" s="165">
        <v>1506174</v>
      </c>
      <c r="H111" s="166">
        <v>89914</v>
      </c>
      <c r="I111" s="167" t="s">
        <v>760</v>
      </c>
      <c r="J111" s="168" t="s">
        <v>393</v>
      </c>
    </row>
    <row r="112" spans="1:10" hidden="1" x14ac:dyDescent="0.2">
      <c r="A112" s="164" t="s">
        <v>759</v>
      </c>
      <c r="B112" s="165" t="s">
        <v>14</v>
      </c>
      <c r="C112" s="165" t="s">
        <v>308</v>
      </c>
      <c r="D112" s="165" t="s">
        <v>309</v>
      </c>
      <c r="E112" s="165">
        <v>89272</v>
      </c>
      <c r="F112" s="165">
        <v>88047</v>
      </c>
      <c r="G112" s="165">
        <v>3553144</v>
      </c>
      <c r="H112" s="166">
        <v>89976</v>
      </c>
      <c r="I112" s="167" t="s">
        <v>760</v>
      </c>
      <c r="J112" s="168" t="s">
        <v>393</v>
      </c>
    </row>
    <row r="113" spans="1:10" hidden="1" x14ac:dyDescent="0.2">
      <c r="A113" s="164" t="s">
        <v>759</v>
      </c>
      <c r="B113" s="165" t="s">
        <v>14</v>
      </c>
      <c r="C113" s="165" t="s">
        <v>310</v>
      </c>
      <c r="D113" s="165" t="s">
        <v>311</v>
      </c>
      <c r="E113" s="165">
        <v>89216</v>
      </c>
      <c r="F113" s="165">
        <v>87051</v>
      </c>
      <c r="G113" s="165">
        <v>3409670</v>
      </c>
      <c r="H113" s="166">
        <v>89977</v>
      </c>
      <c r="I113" s="167" t="s">
        <v>760</v>
      </c>
      <c r="J113" s="168" t="s">
        <v>393</v>
      </c>
    </row>
    <row r="114" spans="1:10" hidden="1" x14ac:dyDescent="0.2">
      <c r="A114" s="164" t="s">
        <v>759</v>
      </c>
      <c r="B114" s="165" t="s">
        <v>14</v>
      </c>
      <c r="C114" s="165" t="s">
        <v>384</v>
      </c>
      <c r="D114" s="165" t="s">
        <v>385</v>
      </c>
      <c r="E114" s="165">
        <v>648081</v>
      </c>
      <c r="F114" s="165">
        <v>88365</v>
      </c>
      <c r="G114" s="165">
        <v>3667105</v>
      </c>
      <c r="H114" s="166">
        <v>89979</v>
      </c>
      <c r="I114" s="167" t="s">
        <v>760</v>
      </c>
      <c r="J114" s="168" t="s">
        <v>393</v>
      </c>
    </row>
    <row r="115" spans="1:10" hidden="1" x14ac:dyDescent="0.2">
      <c r="A115" s="164" t="s">
        <v>759</v>
      </c>
      <c r="B115" s="165" t="s">
        <v>14</v>
      </c>
      <c r="C115" s="165" t="s">
        <v>434</v>
      </c>
      <c r="D115" s="165" t="s">
        <v>435</v>
      </c>
      <c r="E115" s="165">
        <v>648233</v>
      </c>
      <c r="F115" s="165">
        <v>84361</v>
      </c>
      <c r="G115" s="165">
        <v>2741853</v>
      </c>
      <c r="H115" s="166">
        <v>89915</v>
      </c>
      <c r="I115" s="167" t="s">
        <v>760</v>
      </c>
      <c r="J115" s="168" t="s">
        <v>393</v>
      </c>
    </row>
    <row r="116" spans="1:10" hidden="1" x14ac:dyDescent="0.2">
      <c r="A116" s="164" t="s">
        <v>759</v>
      </c>
      <c r="B116" s="165" t="s">
        <v>14</v>
      </c>
      <c r="C116" s="165" t="s">
        <v>156</v>
      </c>
      <c r="D116" s="165" t="s">
        <v>157</v>
      </c>
      <c r="E116" s="169">
        <v>89244</v>
      </c>
      <c r="F116" s="165">
        <v>87296</v>
      </c>
      <c r="G116" s="165">
        <v>3462473</v>
      </c>
      <c r="H116" s="166">
        <v>648242</v>
      </c>
      <c r="I116" s="167" t="s">
        <v>761</v>
      </c>
      <c r="J116" s="168" t="s">
        <v>393</v>
      </c>
    </row>
    <row r="117" spans="1:10" hidden="1" x14ac:dyDescent="0.2">
      <c r="A117" s="164" t="s">
        <v>759</v>
      </c>
      <c r="B117" s="165" t="s">
        <v>14</v>
      </c>
      <c r="C117" s="165" t="s">
        <v>224</v>
      </c>
      <c r="D117" s="165" t="s">
        <v>225</v>
      </c>
      <c r="E117" s="165">
        <v>89315</v>
      </c>
      <c r="F117" s="165">
        <v>88176</v>
      </c>
      <c r="G117" s="165">
        <v>3624188</v>
      </c>
      <c r="H117" s="166">
        <v>89980</v>
      </c>
      <c r="I117" s="167" t="s">
        <v>760</v>
      </c>
      <c r="J117" s="168" t="s">
        <v>393</v>
      </c>
    </row>
    <row r="118" spans="1:10" hidden="1" x14ac:dyDescent="0.2">
      <c r="A118" s="164" t="s">
        <v>759</v>
      </c>
      <c r="B118" s="165" t="s">
        <v>14</v>
      </c>
      <c r="C118" s="165" t="s">
        <v>316</v>
      </c>
      <c r="D118" s="165" t="s">
        <v>317</v>
      </c>
      <c r="E118" s="165">
        <v>89219</v>
      </c>
      <c r="F118" s="165">
        <v>87059</v>
      </c>
      <c r="G118" s="165">
        <v>3267967</v>
      </c>
      <c r="H118" s="166">
        <v>89982</v>
      </c>
      <c r="I118" s="167" t="s">
        <v>760</v>
      </c>
      <c r="J118" s="168" t="s">
        <v>393</v>
      </c>
    </row>
    <row r="119" spans="1:10" hidden="1" x14ac:dyDescent="0.2">
      <c r="A119" s="178" t="s">
        <v>759</v>
      </c>
      <c r="B119" s="179" t="s">
        <v>14</v>
      </c>
      <c r="C119" s="179" t="s">
        <v>70</v>
      </c>
      <c r="D119" s="179" t="s">
        <v>71</v>
      </c>
      <c r="E119" s="165">
        <v>89124</v>
      </c>
      <c r="F119" s="165">
        <v>86148</v>
      </c>
      <c r="G119" s="165">
        <v>3118297</v>
      </c>
      <c r="H119" s="166">
        <v>89797</v>
      </c>
      <c r="I119" s="167" t="s">
        <v>760</v>
      </c>
      <c r="J119" s="168" t="s">
        <v>393</v>
      </c>
    </row>
    <row r="120" spans="1:10" hidden="1" x14ac:dyDescent="0.2">
      <c r="A120" s="164" t="s">
        <v>759</v>
      </c>
      <c r="B120" s="165" t="s">
        <v>14</v>
      </c>
      <c r="C120" s="165" t="s">
        <v>592</v>
      </c>
      <c r="D120" s="165" t="s">
        <v>593</v>
      </c>
      <c r="E120" s="165">
        <v>648380</v>
      </c>
      <c r="F120" s="165">
        <v>79759</v>
      </c>
      <c r="G120" s="165">
        <v>1466034</v>
      </c>
      <c r="H120" s="166">
        <v>648323</v>
      </c>
      <c r="I120" s="167" t="s">
        <v>760</v>
      </c>
      <c r="J120" s="168" t="s">
        <v>393</v>
      </c>
    </row>
    <row r="121" spans="1:10" hidden="1" x14ac:dyDescent="0.2">
      <c r="A121" s="164" t="s">
        <v>759</v>
      </c>
      <c r="B121" s="165" t="s">
        <v>14</v>
      </c>
      <c r="C121" s="165" t="s">
        <v>477</v>
      </c>
      <c r="D121" s="165" t="s">
        <v>591</v>
      </c>
      <c r="E121" s="165">
        <v>648316</v>
      </c>
      <c r="F121" s="165">
        <v>87724</v>
      </c>
      <c r="G121" s="165">
        <v>3526407</v>
      </c>
      <c r="H121" s="166">
        <v>89995</v>
      </c>
      <c r="I121" s="167" t="s">
        <v>760</v>
      </c>
      <c r="J121" s="168" t="s">
        <v>393</v>
      </c>
    </row>
    <row r="122" spans="1:10" hidden="1" x14ac:dyDescent="0.2">
      <c r="A122" s="178" t="s">
        <v>813</v>
      </c>
      <c r="B122" s="179" t="s">
        <v>11</v>
      </c>
      <c r="C122" s="179" t="s">
        <v>212</v>
      </c>
      <c r="D122" s="179" t="s">
        <v>213</v>
      </c>
      <c r="E122" s="165">
        <v>89307</v>
      </c>
      <c r="F122" s="165">
        <v>88168</v>
      </c>
      <c r="G122" s="165">
        <v>3624164</v>
      </c>
      <c r="H122" s="166">
        <v>648241</v>
      </c>
      <c r="I122" s="167" t="s">
        <v>761</v>
      </c>
      <c r="J122" s="168" t="s">
        <v>393</v>
      </c>
    </row>
    <row r="123" spans="1:10" hidden="1" x14ac:dyDescent="0.2">
      <c r="A123" s="178" t="s">
        <v>813</v>
      </c>
      <c r="B123" s="179" t="s">
        <v>11</v>
      </c>
      <c r="C123" s="179" t="s">
        <v>304</v>
      </c>
      <c r="D123" s="179" t="s">
        <v>305</v>
      </c>
      <c r="E123" s="165">
        <v>89212</v>
      </c>
      <c r="F123" s="165">
        <v>87058</v>
      </c>
      <c r="G123" s="165">
        <v>2702133</v>
      </c>
      <c r="H123" s="180">
        <v>648244</v>
      </c>
      <c r="I123" s="167" t="s">
        <v>760</v>
      </c>
      <c r="J123" s="168" t="s">
        <v>393</v>
      </c>
    </row>
    <row r="124" spans="1:10" hidden="1" x14ac:dyDescent="0.2">
      <c r="A124" s="164" t="s">
        <v>813</v>
      </c>
      <c r="B124" s="165" t="s">
        <v>11</v>
      </c>
      <c r="C124" s="165" t="s">
        <v>100</v>
      </c>
      <c r="D124" s="165" t="s">
        <v>101</v>
      </c>
      <c r="E124" s="165">
        <v>89017</v>
      </c>
      <c r="F124" s="165">
        <v>85609</v>
      </c>
      <c r="G124" s="165">
        <v>1584478</v>
      </c>
      <c r="H124" s="166">
        <v>89924</v>
      </c>
      <c r="I124" s="167" t="s">
        <v>760</v>
      </c>
      <c r="J124" s="168" t="s">
        <v>393</v>
      </c>
    </row>
    <row r="125" spans="1:10" hidden="1" x14ac:dyDescent="0.2">
      <c r="A125" s="164" t="s">
        <v>813</v>
      </c>
      <c r="B125" s="165" t="s">
        <v>11</v>
      </c>
      <c r="C125" s="165" t="s">
        <v>58</v>
      </c>
      <c r="D125" s="165" t="s">
        <v>59</v>
      </c>
      <c r="E125" s="165">
        <v>89025</v>
      </c>
      <c r="F125" s="165">
        <v>85619</v>
      </c>
      <c r="G125" s="165">
        <v>2873635</v>
      </c>
      <c r="H125" s="166">
        <v>89925</v>
      </c>
      <c r="I125" s="167" t="s">
        <v>760</v>
      </c>
      <c r="J125" s="168" t="s">
        <v>393</v>
      </c>
    </row>
    <row r="126" spans="1:10" hidden="1" x14ac:dyDescent="0.2">
      <c r="A126" s="164" t="s">
        <v>813</v>
      </c>
      <c r="B126" s="165" t="s">
        <v>11</v>
      </c>
      <c r="C126" s="165" t="s">
        <v>62</v>
      </c>
      <c r="D126" s="165" t="s">
        <v>63</v>
      </c>
      <c r="E126" s="165">
        <v>89009</v>
      </c>
      <c r="F126" s="165">
        <v>78561</v>
      </c>
      <c r="G126" s="165">
        <v>1159887</v>
      </c>
      <c r="H126" s="166">
        <v>89926</v>
      </c>
      <c r="I126" s="167" t="s">
        <v>760</v>
      </c>
      <c r="J126" s="168" t="s">
        <v>393</v>
      </c>
    </row>
    <row r="127" spans="1:10" hidden="1" x14ac:dyDescent="0.2">
      <c r="A127" s="164" t="s">
        <v>813</v>
      </c>
      <c r="B127" s="165" t="s">
        <v>11</v>
      </c>
      <c r="C127" s="165" t="s">
        <v>66</v>
      </c>
      <c r="D127" s="165" t="s">
        <v>104</v>
      </c>
      <c r="E127" s="165">
        <v>89181</v>
      </c>
      <c r="F127" s="165">
        <v>86326</v>
      </c>
      <c r="G127" s="165">
        <v>3138477</v>
      </c>
      <c r="H127" s="166">
        <v>89927</v>
      </c>
      <c r="I127" s="167" t="s">
        <v>760</v>
      </c>
      <c r="J127" s="168" t="s">
        <v>393</v>
      </c>
    </row>
    <row r="128" spans="1:10" hidden="1" x14ac:dyDescent="0.2">
      <c r="A128" s="164" t="s">
        <v>813</v>
      </c>
      <c r="B128" s="165" t="s">
        <v>11</v>
      </c>
      <c r="C128" s="165" t="s">
        <v>68</v>
      </c>
      <c r="D128" s="165" t="s">
        <v>69</v>
      </c>
      <c r="E128" s="165">
        <v>89184</v>
      </c>
      <c r="F128" s="165">
        <v>86327</v>
      </c>
      <c r="G128" s="165">
        <v>3138516</v>
      </c>
      <c r="H128" s="166">
        <v>89944</v>
      </c>
      <c r="I128" s="167" t="s">
        <v>760</v>
      </c>
      <c r="J128" s="168" t="s">
        <v>393</v>
      </c>
    </row>
    <row r="129" spans="1:10" hidden="1" x14ac:dyDescent="0.2">
      <c r="A129" s="164" t="s">
        <v>813</v>
      </c>
      <c r="B129" s="165" t="s">
        <v>11</v>
      </c>
      <c r="C129" s="165" t="s">
        <v>107</v>
      </c>
      <c r="D129" s="165" t="s">
        <v>108</v>
      </c>
      <c r="E129" s="165">
        <v>89037</v>
      </c>
      <c r="F129" s="165">
        <v>76594</v>
      </c>
      <c r="G129" s="165">
        <v>796797</v>
      </c>
      <c r="H129" s="166">
        <v>89928</v>
      </c>
      <c r="I129" s="167" t="s">
        <v>760</v>
      </c>
      <c r="J129" s="168" t="s">
        <v>393</v>
      </c>
    </row>
    <row r="130" spans="1:10" hidden="1" x14ac:dyDescent="0.2">
      <c r="A130" s="164" t="s">
        <v>813</v>
      </c>
      <c r="B130" s="165" t="s">
        <v>11</v>
      </c>
      <c r="C130" s="165" t="s">
        <v>109</v>
      </c>
      <c r="D130" s="165" t="s">
        <v>110</v>
      </c>
      <c r="E130" s="165">
        <v>89126</v>
      </c>
      <c r="F130" s="165">
        <v>86147</v>
      </c>
      <c r="G130" s="165">
        <v>3118280</v>
      </c>
      <c r="H130" s="166">
        <v>89929</v>
      </c>
      <c r="I130" s="167" t="s">
        <v>760</v>
      </c>
      <c r="J130" s="168" t="s">
        <v>393</v>
      </c>
    </row>
    <row r="131" spans="1:10" hidden="1" x14ac:dyDescent="0.2">
      <c r="A131" s="171" t="s">
        <v>813</v>
      </c>
      <c r="B131" s="172" t="s">
        <v>11</v>
      </c>
      <c r="C131" s="172" t="s">
        <v>72</v>
      </c>
      <c r="D131" s="172" t="s">
        <v>73</v>
      </c>
      <c r="E131" s="172">
        <v>89003</v>
      </c>
      <c r="F131" s="172">
        <v>81254</v>
      </c>
      <c r="G131" s="172">
        <v>1313201</v>
      </c>
      <c r="H131" s="174"/>
      <c r="I131" s="175"/>
      <c r="J131" s="176" t="s">
        <v>790</v>
      </c>
    </row>
    <row r="132" spans="1:10" hidden="1" x14ac:dyDescent="0.2">
      <c r="A132" s="164" t="s">
        <v>813</v>
      </c>
      <c r="B132" s="165" t="s">
        <v>11</v>
      </c>
      <c r="C132" s="165" t="s">
        <v>184</v>
      </c>
      <c r="D132" s="165" t="s">
        <v>281</v>
      </c>
      <c r="E132" s="165">
        <v>89085</v>
      </c>
      <c r="F132" s="165">
        <v>82428</v>
      </c>
      <c r="G132" s="165">
        <v>1581549</v>
      </c>
      <c r="H132" s="166">
        <v>89976</v>
      </c>
      <c r="I132" s="167" t="s">
        <v>760</v>
      </c>
      <c r="J132" s="168" t="s">
        <v>393</v>
      </c>
    </row>
    <row r="133" spans="1:10" hidden="1" x14ac:dyDescent="0.2">
      <c r="A133" s="164" t="s">
        <v>813</v>
      </c>
      <c r="B133" s="165" t="s">
        <v>11</v>
      </c>
      <c r="C133" s="165" t="s">
        <v>74</v>
      </c>
      <c r="D133" s="165" t="s">
        <v>75</v>
      </c>
      <c r="E133" s="165">
        <v>89045</v>
      </c>
      <c r="F133" s="165">
        <v>83798</v>
      </c>
      <c r="G133" s="165">
        <v>2593757</v>
      </c>
      <c r="H133" s="166">
        <v>89930</v>
      </c>
      <c r="I133" s="167" t="s">
        <v>760</v>
      </c>
      <c r="J133" s="168" t="s">
        <v>393</v>
      </c>
    </row>
    <row r="134" spans="1:10" hidden="1" x14ac:dyDescent="0.2">
      <c r="A134" s="164" t="s">
        <v>813</v>
      </c>
      <c r="B134" s="165" t="s">
        <v>11</v>
      </c>
      <c r="C134" s="165" t="s">
        <v>76</v>
      </c>
      <c r="D134" s="165" t="s">
        <v>77</v>
      </c>
      <c r="E134" s="165">
        <v>89020</v>
      </c>
      <c r="F134" s="165">
        <v>85612</v>
      </c>
      <c r="G134" s="165">
        <v>2445213</v>
      </c>
      <c r="H134" s="180">
        <v>648243</v>
      </c>
      <c r="I134" s="167" t="s">
        <v>760</v>
      </c>
      <c r="J134" s="168" t="s">
        <v>393</v>
      </c>
    </row>
    <row r="135" spans="1:10" hidden="1" x14ac:dyDescent="0.2">
      <c r="A135" s="164" t="s">
        <v>813</v>
      </c>
      <c r="B135" s="165" t="s">
        <v>11</v>
      </c>
      <c r="C135" s="165" t="s">
        <v>78</v>
      </c>
      <c r="D135" s="165" t="s">
        <v>79</v>
      </c>
      <c r="E135" s="165">
        <v>89000</v>
      </c>
      <c r="F135" s="165">
        <v>82330</v>
      </c>
      <c r="G135" s="165">
        <v>1704898</v>
      </c>
      <c r="H135" s="166">
        <v>89931</v>
      </c>
      <c r="I135" s="167" t="s">
        <v>760</v>
      </c>
      <c r="J135" s="168" t="s">
        <v>393</v>
      </c>
    </row>
    <row r="136" spans="1:10" hidden="1" x14ac:dyDescent="0.2">
      <c r="A136" s="164" t="s">
        <v>813</v>
      </c>
      <c r="B136" s="165" t="s">
        <v>11</v>
      </c>
      <c r="C136" s="165" t="s">
        <v>84</v>
      </c>
      <c r="D136" s="165" t="s">
        <v>85</v>
      </c>
      <c r="E136" s="165">
        <v>89011</v>
      </c>
      <c r="F136" s="165">
        <v>71634</v>
      </c>
      <c r="G136" s="165">
        <v>513017</v>
      </c>
      <c r="H136" s="166">
        <v>89932</v>
      </c>
      <c r="I136" s="167" t="s">
        <v>760</v>
      </c>
      <c r="J136" s="168" t="s">
        <v>393</v>
      </c>
    </row>
    <row r="137" spans="1:10" hidden="1" x14ac:dyDescent="0.2">
      <c r="A137" s="164" t="s">
        <v>813</v>
      </c>
      <c r="B137" s="165" t="s">
        <v>11</v>
      </c>
      <c r="C137" s="165" t="s">
        <v>114</v>
      </c>
      <c r="D137" s="165" t="s">
        <v>115</v>
      </c>
      <c r="E137" s="165">
        <v>89038</v>
      </c>
      <c r="F137" s="165">
        <v>77400</v>
      </c>
      <c r="G137" s="165">
        <v>961948</v>
      </c>
      <c r="H137" s="166">
        <v>89933</v>
      </c>
      <c r="I137" s="167" t="s">
        <v>760</v>
      </c>
      <c r="J137" s="168" t="s">
        <v>393</v>
      </c>
    </row>
    <row r="138" spans="1:10" hidden="1" x14ac:dyDescent="0.2">
      <c r="A138" s="171" t="s">
        <v>813</v>
      </c>
      <c r="B138" s="172" t="s">
        <v>11</v>
      </c>
      <c r="C138" s="172" t="s">
        <v>86</v>
      </c>
      <c r="D138" s="172" t="s">
        <v>87</v>
      </c>
      <c r="E138" s="172">
        <v>89006</v>
      </c>
      <c r="F138" s="172">
        <v>83577</v>
      </c>
      <c r="G138" s="172">
        <v>2523177</v>
      </c>
      <c r="H138" s="174"/>
      <c r="I138" s="175"/>
      <c r="J138" s="176" t="s">
        <v>790</v>
      </c>
    </row>
    <row r="139" spans="1:10" hidden="1" x14ac:dyDescent="0.2">
      <c r="A139" s="164" t="s">
        <v>813</v>
      </c>
      <c r="B139" s="165" t="s">
        <v>11</v>
      </c>
      <c r="C139" s="165" t="s">
        <v>287</v>
      </c>
      <c r="D139" s="165" t="s">
        <v>288</v>
      </c>
      <c r="E139" s="165">
        <v>89193</v>
      </c>
      <c r="F139" s="165">
        <v>86339</v>
      </c>
      <c r="G139" s="165">
        <v>3138527</v>
      </c>
      <c r="H139" s="166">
        <v>89934</v>
      </c>
      <c r="I139" s="167" t="s">
        <v>760</v>
      </c>
      <c r="J139" s="168" t="s">
        <v>393</v>
      </c>
    </row>
    <row r="140" spans="1:10" hidden="1" x14ac:dyDescent="0.2">
      <c r="A140" s="164" t="s">
        <v>813</v>
      </c>
      <c r="B140" s="165" t="s">
        <v>11</v>
      </c>
      <c r="C140" s="165" t="s">
        <v>90</v>
      </c>
      <c r="D140" s="165" t="s">
        <v>194</v>
      </c>
      <c r="E140" s="165">
        <v>89132</v>
      </c>
      <c r="F140" s="165">
        <v>86156</v>
      </c>
      <c r="G140" s="165">
        <v>3118290</v>
      </c>
      <c r="H140" s="166">
        <v>89979</v>
      </c>
      <c r="I140" s="167" t="s">
        <v>760</v>
      </c>
      <c r="J140" s="168" t="s">
        <v>393</v>
      </c>
    </row>
    <row r="141" spans="1:10" hidden="1" x14ac:dyDescent="0.2">
      <c r="A141" s="164" t="s">
        <v>813</v>
      </c>
      <c r="B141" s="165" t="s">
        <v>11</v>
      </c>
      <c r="C141" s="165" t="s">
        <v>94</v>
      </c>
      <c r="D141" s="165" t="s">
        <v>95</v>
      </c>
      <c r="E141" s="165">
        <v>89035</v>
      </c>
      <c r="F141" s="165">
        <v>83852</v>
      </c>
      <c r="G141" s="165">
        <v>2592591</v>
      </c>
      <c r="H141" s="166">
        <v>89935</v>
      </c>
      <c r="I141" s="167" t="s">
        <v>760</v>
      </c>
      <c r="J141" s="168" t="s">
        <v>393</v>
      </c>
    </row>
    <row r="142" spans="1:10" hidden="1" x14ac:dyDescent="0.2">
      <c r="A142" s="164" t="s">
        <v>813</v>
      </c>
      <c r="B142" s="165" t="s">
        <v>11</v>
      </c>
      <c r="C142" s="165" t="s">
        <v>132</v>
      </c>
      <c r="D142" s="165" t="s">
        <v>133</v>
      </c>
      <c r="E142" s="165">
        <v>89175</v>
      </c>
      <c r="F142" s="165">
        <v>86285</v>
      </c>
      <c r="G142" s="165">
        <v>2831528</v>
      </c>
      <c r="H142" s="166">
        <v>89937</v>
      </c>
      <c r="I142" s="167" t="s">
        <v>760</v>
      </c>
      <c r="J142" s="168" t="s">
        <v>393</v>
      </c>
    </row>
    <row r="143" spans="1:10" hidden="1" x14ac:dyDescent="0.2">
      <c r="A143" s="178" t="s">
        <v>813</v>
      </c>
      <c r="B143" s="179" t="s">
        <v>391</v>
      </c>
      <c r="C143" s="179" t="s">
        <v>561</v>
      </c>
      <c r="D143" s="179" t="s">
        <v>562</v>
      </c>
      <c r="E143" s="165">
        <v>648351</v>
      </c>
      <c r="F143" s="165">
        <v>86179</v>
      </c>
      <c r="G143" s="165">
        <v>3118459</v>
      </c>
      <c r="H143" s="180">
        <v>89871</v>
      </c>
      <c r="I143" s="167" t="s">
        <v>761</v>
      </c>
      <c r="J143" s="168" t="s">
        <v>393</v>
      </c>
    </row>
    <row r="144" spans="1:10" hidden="1" x14ac:dyDescent="0.2">
      <c r="A144" s="164" t="s">
        <v>813</v>
      </c>
      <c r="B144" s="165" t="s">
        <v>391</v>
      </c>
      <c r="C144" s="165" t="s">
        <v>163</v>
      </c>
      <c r="D144" s="165" t="s">
        <v>164</v>
      </c>
      <c r="E144" s="165">
        <v>89295</v>
      </c>
      <c r="F144" s="165">
        <v>88157</v>
      </c>
      <c r="G144" s="165">
        <v>3624105</v>
      </c>
      <c r="H144" s="166">
        <v>89939</v>
      </c>
      <c r="I144" s="167" t="s">
        <v>761</v>
      </c>
      <c r="J144" s="168" t="s">
        <v>393</v>
      </c>
    </row>
    <row r="145" spans="1:10" hidden="1" x14ac:dyDescent="0.2">
      <c r="A145" s="164" t="s">
        <v>813</v>
      </c>
      <c r="B145" s="165" t="s">
        <v>391</v>
      </c>
      <c r="C145" s="165" t="s">
        <v>232</v>
      </c>
      <c r="D145" s="165" t="s">
        <v>233</v>
      </c>
      <c r="E145" s="165">
        <v>648038</v>
      </c>
      <c r="F145" s="165">
        <v>88032</v>
      </c>
      <c r="G145" s="165">
        <v>3553100</v>
      </c>
      <c r="H145" s="166">
        <v>89940</v>
      </c>
      <c r="I145" s="167" t="s">
        <v>760</v>
      </c>
      <c r="J145" s="168" t="s">
        <v>393</v>
      </c>
    </row>
    <row r="146" spans="1:10" hidden="1" x14ac:dyDescent="0.2">
      <c r="A146" s="164" t="s">
        <v>813</v>
      </c>
      <c r="B146" s="165" t="s">
        <v>391</v>
      </c>
      <c r="C146" s="165" t="s">
        <v>58</v>
      </c>
      <c r="D146" s="165" t="s">
        <v>259</v>
      </c>
      <c r="E146" s="165">
        <v>89297</v>
      </c>
      <c r="F146" s="165">
        <v>88158</v>
      </c>
      <c r="G146" s="165">
        <v>3542988</v>
      </c>
      <c r="H146" s="166">
        <v>89941</v>
      </c>
      <c r="I146" s="167" t="s">
        <v>760</v>
      </c>
      <c r="J146" s="168" t="s">
        <v>393</v>
      </c>
    </row>
    <row r="147" spans="1:10" hidden="1" x14ac:dyDescent="0.2">
      <c r="A147" s="164" t="s">
        <v>813</v>
      </c>
      <c r="B147" s="165" t="s">
        <v>391</v>
      </c>
      <c r="C147" s="165" t="s">
        <v>264</v>
      </c>
      <c r="D147" s="165" t="s">
        <v>265</v>
      </c>
      <c r="E147" s="165">
        <v>89039</v>
      </c>
      <c r="F147" s="165">
        <v>85338</v>
      </c>
      <c r="G147" s="165">
        <v>2811355</v>
      </c>
      <c r="H147" s="166">
        <v>89972</v>
      </c>
      <c r="I147" s="167" t="s">
        <v>760</v>
      </c>
      <c r="J147" s="168" t="s">
        <v>393</v>
      </c>
    </row>
    <row r="148" spans="1:10" hidden="1" x14ac:dyDescent="0.2">
      <c r="A148" s="164" t="s">
        <v>813</v>
      </c>
      <c r="B148" s="165" t="s">
        <v>391</v>
      </c>
      <c r="C148" s="165" t="s">
        <v>444</v>
      </c>
      <c r="D148" s="165" t="s">
        <v>445</v>
      </c>
      <c r="E148" s="165">
        <v>648225</v>
      </c>
      <c r="F148" s="165">
        <v>77345</v>
      </c>
      <c r="G148" s="165">
        <v>946453</v>
      </c>
      <c r="H148" s="166">
        <v>89905</v>
      </c>
      <c r="I148" s="167" t="s">
        <v>760</v>
      </c>
      <c r="J148" s="168" t="s">
        <v>393</v>
      </c>
    </row>
    <row r="149" spans="1:10" hidden="1" x14ac:dyDescent="0.2">
      <c r="A149" s="164" t="s">
        <v>813</v>
      </c>
      <c r="B149" s="165" t="s">
        <v>391</v>
      </c>
      <c r="C149" s="165" t="s">
        <v>273</v>
      </c>
      <c r="D149" s="165" t="s">
        <v>274</v>
      </c>
      <c r="E149" s="165">
        <v>89280</v>
      </c>
      <c r="F149" s="165">
        <v>88142</v>
      </c>
      <c r="G149" s="165">
        <v>3624021</v>
      </c>
      <c r="H149" s="166">
        <v>89973</v>
      </c>
      <c r="I149" s="167" t="s">
        <v>760</v>
      </c>
      <c r="J149" s="168" t="s">
        <v>393</v>
      </c>
    </row>
    <row r="150" spans="1:10" hidden="1" x14ac:dyDescent="0.2">
      <c r="A150" s="164" t="s">
        <v>813</v>
      </c>
      <c r="B150" s="165" t="s">
        <v>391</v>
      </c>
      <c r="C150" s="165" t="s">
        <v>66</v>
      </c>
      <c r="D150" s="165" t="s">
        <v>67</v>
      </c>
      <c r="E150" s="165">
        <v>89278</v>
      </c>
      <c r="F150" s="165">
        <v>88140</v>
      </c>
      <c r="G150" s="165">
        <v>3623922</v>
      </c>
      <c r="H150" s="166">
        <v>89942</v>
      </c>
      <c r="I150" s="167" t="s">
        <v>760</v>
      </c>
      <c r="J150" s="168" t="s">
        <v>393</v>
      </c>
    </row>
    <row r="151" spans="1:10" hidden="1" x14ac:dyDescent="0.2">
      <c r="A151" s="164" t="s">
        <v>813</v>
      </c>
      <c r="B151" s="165" t="s">
        <v>391</v>
      </c>
      <c r="C151" s="165" t="s">
        <v>446</v>
      </c>
      <c r="D151" s="165" t="s">
        <v>57</v>
      </c>
      <c r="E151" s="165">
        <v>648226</v>
      </c>
      <c r="F151" s="165">
        <v>83998</v>
      </c>
      <c r="G151" s="165">
        <v>2714192</v>
      </c>
      <c r="H151" s="166">
        <v>89906</v>
      </c>
      <c r="I151" s="167" t="s">
        <v>760</v>
      </c>
      <c r="J151" s="168" t="s">
        <v>393</v>
      </c>
    </row>
    <row r="152" spans="1:10" hidden="1" x14ac:dyDescent="0.2">
      <c r="A152" s="164" t="s">
        <v>813</v>
      </c>
      <c r="B152" s="165" t="s">
        <v>391</v>
      </c>
      <c r="C152" s="165" t="s">
        <v>178</v>
      </c>
      <c r="D152" s="165" t="s">
        <v>179</v>
      </c>
      <c r="E152" s="165">
        <v>89161</v>
      </c>
      <c r="F152" s="165">
        <v>86282</v>
      </c>
      <c r="G152" s="165">
        <v>3133234</v>
      </c>
      <c r="H152" s="166">
        <v>89946</v>
      </c>
      <c r="I152" s="167" t="s">
        <v>760</v>
      </c>
      <c r="J152" s="168" t="s">
        <v>393</v>
      </c>
    </row>
    <row r="153" spans="1:10" hidden="1" x14ac:dyDescent="0.2">
      <c r="A153" s="164" t="s">
        <v>813</v>
      </c>
      <c r="B153" s="165" t="s">
        <v>391</v>
      </c>
      <c r="C153" s="165" t="s">
        <v>48</v>
      </c>
      <c r="D153" s="165" t="s">
        <v>447</v>
      </c>
      <c r="E153" s="165">
        <v>648228</v>
      </c>
      <c r="F153" s="165">
        <v>81801</v>
      </c>
      <c r="G153" s="165">
        <v>2068786</v>
      </c>
      <c r="H153" s="166">
        <v>89907</v>
      </c>
      <c r="I153" s="167" t="s">
        <v>760</v>
      </c>
      <c r="J153" s="168" t="s">
        <v>393</v>
      </c>
    </row>
    <row r="154" spans="1:10" hidden="1" x14ac:dyDescent="0.2">
      <c r="A154" s="164" t="s">
        <v>813</v>
      </c>
      <c r="B154" s="165" t="s">
        <v>391</v>
      </c>
      <c r="C154" s="165" t="s">
        <v>243</v>
      </c>
      <c r="D154" s="165" t="s">
        <v>244</v>
      </c>
      <c r="E154" s="165">
        <v>648053</v>
      </c>
      <c r="F154" s="165">
        <v>88029</v>
      </c>
      <c r="G154" s="165">
        <v>3553091</v>
      </c>
      <c r="H154" s="166">
        <v>89947</v>
      </c>
      <c r="I154" s="167" t="s">
        <v>760</v>
      </c>
      <c r="J154" s="168" t="s">
        <v>393</v>
      </c>
    </row>
    <row r="155" spans="1:10" hidden="1" x14ac:dyDescent="0.2">
      <c r="A155" s="164" t="s">
        <v>813</v>
      </c>
      <c r="B155" s="165" t="s">
        <v>391</v>
      </c>
      <c r="C155" s="165" t="s">
        <v>80</v>
      </c>
      <c r="D155" s="165" t="s">
        <v>81</v>
      </c>
      <c r="E155" s="165">
        <v>89288</v>
      </c>
      <c r="F155" s="165">
        <v>88150</v>
      </c>
      <c r="G155" s="165">
        <v>2837489</v>
      </c>
      <c r="H155" s="166">
        <v>89948</v>
      </c>
      <c r="I155" s="167" t="s">
        <v>760</v>
      </c>
      <c r="J155" s="168" t="s">
        <v>393</v>
      </c>
    </row>
    <row r="156" spans="1:10" hidden="1" x14ac:dyDescent="0.2">
      <c r="A156" s="164" t="s">
        <v>813</v>
      </c>
      <c r="B156" s="165" t="s">
        <v>391</v>
      </c>
      <c r="C156" s="165" t="s">
        <v>124</v>
      </c>
      <c r="D156" s="165" t="s">
        <v>125</v>
      </c>
      <c r="E156" s="165">
        <v>89169</v>
      </c>
      <c r="F156" s="165">
        <v>86281</v>
      </c>
      <c r="G156" s="165">
        <v>2464942</v>
      </c>
      <c r="H156" s="166">
        <v>89949</v>
      </c>
      <c r="I156" s="167" t="s">
        <v>760</v>
      </c>
      <c r="J156" s="168" t="s">
        <v>393</v>
      </c>
    </row>
    <row r="157" spans="1:10" hidden="1" x14ac:dyDescent="0.2">
      <c r="A157" s="164" t="s">
        <v>813</v>
      </c>
      <c r="B157" s="165" t="s">
        <v>391</v>
      </c>
      <c r="C157" s="165" t="s">
        <v>96</v>
      </c>
      <c r="D157" s="165" t="s">
        <v>97</v>
      </c>
      <c r="E157" s="165">
        <v>89282</v>
      </c>
      <c r="F157" s="165">
        <v>88144</v>
      </c>
      <c r="G157" s="165">
        <v>3624024</v>
      </c>
      <c r="H157" s="166">
        <v>89951</v>
      </c>
      <c r="I157" s="167" t="s">
        <v>760</v>
      </c>
      <c r="J157" s="168" t="s">
        <v>393</v>
      </c>
    </row>
    <row r="158" spans="1:10" hidden="1" x14ac:dyDescent="0.2">
      <c r="A158" s="164" t="s">
        <v>813</v>
      </c>
      <c r="B158" s="165" t="s">
        <v>391</v>
      </c>
      <c r="C158" s="165" t="s">
        <v>377</v>
      </c>
      <c r="D158" s="165" t="s">
        <v>378</v>
      </c>
      <c r="E158" s="165">
        <v>648076</v>
      </c>
      <c r="F158" s="165">
        <v>88360</v>
      </c>
      <c r="G158" s="165">
        <v>3667100</v>
      </c>
      <c r="H158" s="166">
        <v>89969</v>
      </c>
      <c r="I158" s="167" t="s">
        <v>760</v>
      </c>
      <c r="J158" s="168" t="s">
        <v>393</v>
      </c>
    </row>
    <row r="159" spans="1:10" hidden="1" x14ac:dyDescent="0.2">
      <c r="A159" s="164" t="s">
        <v>813</v>
      </c>
      <c r="B159" s="165" t="s">
        <v>13</v>
      </c>
      <c r="C159" s="165" t="s">
        <v>60</v>
      </c>
      <c r="D159" s="165" t="s">
        <v>61</v>
      </c>
      <c r="E159" s="165">
        <v>89106</v>
      </c>
      <c r="F159" s="165">
        <v>85274</v>
      </c>
      <c r="G159" s="165">
        <v>2804853</v>
      </c>
      <c r="H159" s="166">
        <v>89952</v>
      </c>
      <c r="I159" s="167" t="s">
        <v>760</v>
      </c>
      <c r="J159" s="168" t="s">
        <v>393</v>
      </c>
    </row>
    <row r="160" spans="1:10" hidden="1" x14ac:dyDescent="0.2">
      <c r="A160" s="164" t="s">
        <v>813</v>
      </c>
      <c r="B160" s="165" t="s">
        <v>13</v>
      </c>
      <c r="C160" s="165" t="s">
        <v>266</v>
      </c>
      <c r="D160" s="165" t="s">
        <v>267</v>
      </c>
      <c r="E160" s="165">
        <v>89117</v>
      </c>
      <c r="F160" s="165">
        <v>86142</v>
      </c>
      <c r="G160" s="165">
        <v>3118266</v>
      </c>
      <c r="H160" s="166">
        <v>89953</v>
      </c>
      <c r="I160" s="167" t="s">
        <v>760</v>
      </c>
      <c r="J160" s="168" t="s">
        <v>393</v>
      </c>
    </row>
    <row r="161" spans="1:10" hidden="1" x14ac:dyDescent="0.2">
      <c r="A161" s="164" t="s">
        <v>813</v>
      </c>
      <c r="B161" s="165" t="s">
        <v>13</v>
      </c>
      <c r="C161" s="165" t="s">
        <v>62</v>
      </c>
      <c r="D161" s="165" t="s">
        <v>203</v>
      </c>
      <c r="E161" s="165">
        <v>89097</v>
      </c>
      <c r="F161" s="165">
        <v>83159</v>
      </c>
      <c r="G161" s="165">
        <v>2426406</v>
      </c>
      <c r="H161" s="166">
        <v>89954</v>
      </c>
      <c r="I161" s="167" t="s">
        <v>760</v>
      </c>
      <c r="J161" s="168" t="s">
        <v>393</v>
      </c>
    </row>
    <row r="162" spans="1:10" hidden="1" x14ac:dyDescent="0.2">
      <c r="A162" s="164" t="s">
        <v>813</v>
      </c>
      <c r="B162" s="165" t="s">
        <v>13</v>
      </c>
      <c r="C162" s="165" t="s">
        <v>66</v>
      </c>
      <c r="D162" s="165" t="s">
        <v>169</v>
      </c>
      <c r="E162" s="165">
        <v>89182</v>
      </c>
      <c r="F162" s="165">
        <v>86332</v>
      </c>
      <c r="G162" s="165">
        <v>3138445</v>
      </c>
      <c r="H162" s="166">
        <v>89955</v>
      </c>
      <c r="I162" s="167" t="s">
        <v>760</v>
      </c>
      <c r="J162" s="168" t="s">
        <v>393</v>
      </c>
    </row>
    <row r="163" spans="1:10" hidden="1" x14ac:dyDescent="0.2">
      <c r="A163" s="164" t="s">
        <v>813</v>
      </c>
      <c r="B163" s="165" t="s">
        <v>13</v>
      </c>
      <c r="C163" s="165" t="s">
        <v>172</v>
      </c>
      <c r="D163" s="165" t="s">
        <v>173</v>
      </c>
      <c r="E163" s="165">
        <v>89008</v>
      </c>
      <c r="F163" s="165">
        <v>83111</v>
      </c>
      <c r="G163" s="165">
        <v>2426435</v>
      </c>
      <c r="H163" s="166">
        <v>89956</v>
      </c>
      <c r="I163" s="167" t="s">
        <v>760</v>
      </c>
      <c r="J163" s="168" t="s">
        <v>393</v>
      </c>
    </row>
    <row r="164" spans="1:10" hidden="1" x14ac:dyDescent="0.2">
      <c r="A164" s="164" t="s">
        <v>813</v>
      </c>
      <c r="B164" s="165" t="s">
        <v>13</v>
      </c>
      <c r="C164" s="165" t="s">
        <v>180</v>
      </c>
      <c r="D164" s="165" t="s">
        <v>181</v>
      </c>
      <c r="E164" s="165">
        <v>89010</v>
      </c>
      <c r="F164" s="165">
        <v>78218</v>
      </c>
      <c r="G164" s="165">
        <v>1167531</v>
      </c>
      <c r="H164" s="166">
        <v>89957</v>
      </c>
      <c r="I164" s="167" t="s">
        <v>760</v>
      </c>
      <c r="J164" s="168" t="s">
        <v>393</v>
      </c>
    </row>
    <row r="165" spans="1:10" hidden="1" x14ac:dyDescent="0.2">
      <c r="A165" s="164" t="s">
        <v>813</v>
      </c>
      <c r="B165" s="165" t="s">
        <v>13</v>
      </c>
      <c r="C165" s="165" t="s">
        <v>182</v>
      </c>
      <c r="D165" s="165" t="s">
        <v>183</v>
      </c>
      <c r="E165" s="165">
        <v>89004</v>
      </c>
      <c r="F165" s="165">
        <v>65030</v>
      </c>
      <c r="G165" s="165">
        <v>433692</v>
      </c>
      <c r="H165" s="166">
        <v>89958</v>
      </c>
      <c r="I165" s="167" t="s">
        <v>760</v>
      </c>
      <c r="J165" s="168" t="s">
        <v>393</v>
      </c>
    </row>
    <row r="166" spans="1:10" hidden="1" x14ac:dyDescent="0.2">
      <c r="A166" s="164" t="s">
        <v>813</v>
      </c>
      <c r="B166" s="165" t="s">
        <v>13</v>
      </c>
      <c r="C166" s="165" t="s">
        <v>109</v>
      </c>
      <c r="D166" s="165" t="s">
        <v>111</v>
      </c>
      <c r="E166" s="165">
        <v>89162</v>
      </c>
      <c r="F166" s="165">
        <v>86292</v>
      </c>
      <c r="G166" s="165">
        <v>3133281</v>
      </c>
      <c r="H166" s="166">
        <v>89798</v>
      </c>
      <c r="I166" s="167" t="s">
        <v>760</v>
      </c>
      <c r="J166" s="168" t="s">
        <v>393</v>
      </c>
    </row>
    <row r="167" spans="1:10" hidden="1" x14ac:dyDescent="0.2">
      <c r="A167" s="164" t="s">
        <v>813</v>
      </c>
      <c r="B167" s="165" t="s">
        <v>13</v>
      </c>
      <c r="C167" s="165" t="s">
        <v>184</v>
      </c>
      <c r="D167" s="165" t="s">
        <v>185</v>
      </c>
      <c r="E167" s="165">
        <v>89127</v>
      </c>
      <c r="F167" s="165">
        <v>86143</v>
      </c>
      <c r="G167" s="165">
        <v>3118251</v>
      </c>
      <c r="H167" s="166">
        <v>89959</v>
      </c>
      <c r="I167" s="167" t="s">
        <v>760</v>
      </c>
      <c r="J167" s="168" t="s">
        <v>393</v>
      </c>
    </row>
    <row r="168" spans="1:10" hidden="1" x14ac:dyDescent="0.2">
      <c r="A168" s="164" t="s">
        <v>813</v>
      </c>
      <c r="B168" s="165" t="s">
        <v>13</v>
      </c>
      <c r="C168" s="165" t="s">
        <v>282</v>
      </c>
      <c r="D168" s="165" t="s">
        <v>283</v>
      </c>
      <c r="E168" s="165">
        <v>89086</v>
      </c>
      <c r="F168" s="165">
        <v>82628</v>
      </c>
      <c r="G168" s="165">
        <v>2313063</v>
      </c>
      <c r="H168" s="166">
        <v>89960</v>
      </c>
      <c r="I168" s="167" t="s">
        <v>760</v>
      </c>
      <c r="J168" s="168" t="s">
        <v>393</v>
      </c>
    </row>
    <row r="169" spans="1:10" hidden="1" x14ac:dyDescent="0.2">
      <c r="A169" s="164" t="s">
        <v>813</v>
      </c>
      <c r="B169" s="165" t="s">
        <v>13</v>
      </c>
      <c r="C169" s="165" t="s">
        <v>186</v>
      </c>
      <c r="D169" s="165" t="s">
        <v>187</v>
      </c>
      <c r="E169" s="165">
        <v>89005</v>
      </c>
      <c r="F169" s="165">
        <v>80059</v>
      </c>
      <c r="G169" s="165">
        <v>1535349</v>
      </c>
      <c r="H169" s="166">
        <v>89961</v>
      </c>
      <c r="I169" s="167" t="s">
        <v>760</v>
      </c>
      <c r="J169" s="168" t="s">
        <v>393</v>
      </c>
    </row>
    <row r="170" spans="1:10" hidden="1" x14ac:dyDescent="0.2">
      <c r="A170" s="164" t="s">
        <v>813</v>
      </c>
      <c r="B170" s="165" t="s">
        <v>13</v>
      </c>
      <c r="C170" s="165" t="s">
        <v>188</v>
      </c>
      <c r="D170" s="165" t="s">
        <v>189</v>
      </c>
      <c r="E170" s="165">
        <v>89190</v>
      </c>
      <c r="F170" s="165">
        <v>86338</v>
      </c>
      <c r="G170" s="165">
        <v>3138452</v>
      </c>
      <c r="H170" s="166">
        <v>89962</v>
      </c>
      <c r="I170" s="167" t="s">
        <v>760</v>
      </c>
      <c r="J170" s="168" t="s">
        <v>393</v>
      </c>
    </row>
    <row r="171" spans="1:10" hidden="1" x14ac:dyDescent="0.2">
      <c r="A171" s="164" t="s">
        <v>813</v>
      </c>
      <c r="B171" s="165" t="s">
        <v>13</v>
      </c>
      <c r="C171" s="165" t="s">
        <v>112</v>
      </c>
      <c r="D171" s="165" t="s">
        <v>286</v>
      </c>
      <c r="E171" s="165">
        <v>89093</v>
      </c>
      <c r="F171" s="165">
        <v>83709</v>
      </c>
      <c r="G171" s="165">
        <v>2557023</v>
      </c>
      <c r="H171" s="166">
        <v>89963</v>
      </c>
      <c r="I171" s="167" t="s">
        <v>760</v>
      </c>
      <c r="J171" s="168" t="s">
        <v>393</v>
      </c>
    </row>
    <row r="172" spans="1:10" hidden="1" x14ac:dyDescent="0.2">
      <c r="A172" s="164" t="s">
        <v>813</v>
      </c>
      <c r="B172" s="165" t="s">
        <v>13</v>
      </c>
      <c r="C172" s="165" t="s">
        <v>190</v>
      </c>
      <c r="D172" s="165" t="s">
        <v>191</v>
      </c>
      <c r="E172" s="165">
        <v>89033</v>
      </c>
      <c r="F172" s="165">
        <v>80925</v>
      </c>
      <c r="G172" s="165">
        <v>1846621</v>
      </c>
      <c r="H172" s="166">
        <v>89964</v>
      </c>
      <c r="I172" s="167" t="s">
        <v>760</v>
      </c>
      <c r="J172" s="168" t="s">
        <v>393</v>
      </c>
    </row>
    <row r="173" spans="1:10" hidden="1" x14ac:dyDescent="0.2">
      <c r="A173" s="164" t="s">
        <v>813</v>
      </c>
      <c r="B173" s="165" t="s">
        <v>13</v>
      </c>
      <c r="C173" s="165" t="s">
        <v>118</v>
      </c>
      <c r="D173" s="165" t="s">
        <v>119</v>
      </c>
      <c r="E173" s="165">
        <v>89130</v>
      </c>
      <c r="F173" s="165">
        <v>86149</v>
      </c>
      <c r="G173" s="165">
        <v>1947342</v>
      </c>
      <c r="H173" s="166">
        <v>89965</v>
      </c>
      <c r="I173" s="167" t="s">
        <v>760</v>
      </c>
      <c r="J173" s="168" t="s">
        <v>393</v>
      </c>
    </row>
    <row r="174" spans="1:10" hidden="1" x14ac:dyDescent="0.2">
      <c r="A174" s="164" t="s">
        <v>813</v>
      </c>
      <c r="B174" s="165" t="s">
        <v>13</v>
      </c>
      <c r="C174" s="165" t="s">
        <v>122</v>
      </c>
      <c r="D174" s="165" t="s">
        <v>123</v>
      </c>
      <c r="E174" s="165">
        <v>89015</v>
      </c>
      <c r="F174" s="165">
        <v>85607</v>
      </c>
      <c r="G174" s="165">
        <v>2873901</v>
      </c>
      <c r="H174" s="166">
        <v>89978</v>
      </c>
      <c r="I174" s="167" t="s">
        <v>760</v>
      </c>
      <c r="J174" s="168" t="s">
        <v>393</v>
      </c>
    </row>
    <row r="175" spans="1:10" hidden="1" x14ac:dyDescent="0.2">
      <c r="A175" s="164" t="s">
        <v>813</v>
      </c>
      <c r="B175" s="165" t="s">
        <v>13</v>
      </c>
      <c r="C175" s="165" t="s">
        <v>195</v>
      </c>
      <c r="D175" s="165" t="s">
        <v>196</v>
      </c>
      <c r="E175" s="165">
        <v>89171</v>
      </c>
      <c r="F175" s="165">
        <v>86280</v>
      </c>
      <c r="G175" s="165">
        <v>3133230</v>
      </c>
      <c r="H175" s="166">
        <v>89980</v>
      </c>
      <c r="I175" s="167" t="s">
        <v>760</v>
      </c>
      <c r="J175" s="168" t="s">
        <v>393</v>
      </c>
    </row>
    <row r="176" spans="1:10" hidden="1" x14ac:dyDescent="0.2">
      <c r="A176" s="164" t="s">
        <v>813</v>
      </c>
      <c r="B176" s="165" t="s">
        <v>13</v>
      </c>
      <c r="C176" s="165" t="s">
        <v>197</v>
      </c>
      <c r="D176" s="165" t="s">
        <v>198</v>
      </c>
      <c r="E176" s="165">
        <v>89172</v>
      </c>
      <c r="F176" s="165">
        <v>86295</v>
      </c>
      <c r="G176" s="165">
        <v>3133292</v>
      </c>
      <c r="H176" s="166">
        <v>89966</v>
      </c>
      <c r="I176" s="167" t="s">
        <v>760</v>
      </c>
      <c r="J176" s="168" t="s">
        <v>393</v>
      </c>
    </row>
    <row r="177" spans="1:10" hidden="1" x14ac:dyDescent="0.2">
      <c r="A177" s="164" t="s">
        <v>813</v>
      </c>
      <c r="B177" s="165" t="s">
        <v>13</v>
      </c>
      <c r="C177" s="165" t="s">
        <v>199</v>
      </c>
      <c r="D177" s="165" t="s">
        <v>57</v>
      </c>
      <c r="E177" s="165">
        <v>89034</v>
      </c>
      <c r="F177" s="165">
        <v>80985</v>
      </c>
      <c r="G177" s="165">
        <v>1880542</v>
      </c>
      <c r="H177" s="166">
        <v>89967</v>
      </c>
      <c r="I177" s="167" t="s">
        <v>760</v>
      </c>
      <c r="J177" s="168" t="s">
        <v>393</v>
      </c>
    </row>
    <row r="178" spans="1:10" hidden="1" x14ac:dyDescent="0.2">
      <c r="A178" s="164" t="s">
        <v>813</v>
      </c>
      <c r="B178" s="165" t="s">
        <v>13</v>
      </c>
      <c r="C178" s="165" t="s">
        <v>130</v>
      </c>
      <c r="D178" s="165" t="s">
        <v>131</v>
      </c>
      <c r="E178" s="165">
        <v>89134</v>
      </c>
      <c r="F178" s="165">
        <v>86146</v>
      </c>
      <c r="G178" s="165">
        <v>3118276</v>
      </c>
      <c r="H178" s="166">
        <v>89968</v>
      </c>
      <c r="I178" s="167" t="s">
        <v>760</v>
      </c>
      <c r="J178" s="168" t="s">
        <v>393</v>
      </c>
    </row>
    <row r="179" spans="1:10" hidden="1" x14ac:dyDescent="0.2">
      <c r="A179" s="164" t="s">
        <v>813</v>
      </c>
      <c r="B179" s="165" t="s">
        <v>15</v>
      </c>
      <c r="C179" s="165" t="s">
        <v>814</v>
      </c>
      <c r="D179" s="165" t="s">
        <v>815</v>
      </c>
      <c r="E179" s="165">
        <v>89177</v>
      </c>
      <c r="F179" s="165">
        <v>86333</v>
      </c>
      <c r="G179" s="165">
        <v>3138500</v>
      </c>
      <c r="H179" s="170"/>
      <c r="I179" s="167"/>
      <c r="J179" s="168" t="s">
        <v>765</v>
      </c>
    </row>
    <row r="180" spans="1:10" hidden="1" x14ac:dyDescent="0.2">
      <c r="A180" s="164" t="s">
        <v>813</v>
      </c>
      <c r="B180" s="165" t="s">
        <v>15</v>
      </c>
      <c r="C180" s="165" t="s">
        <v>226</v>
      </c>
      <c r="D180" s="165" t="s">
        <v>227</v>
      </c>
      <c r="E180" s="165">
        <v>89277</v>
      </c>
      <c r="F180" s="165">
        <v>88139</v>
      </c>
      <c r="G180" s="165">
        <v>3623919</v>
      </c>
      <c r="H180" s="181"/>
      <c r="I180" s="167" t="s">
        <v>760</v>
      </c>
      <c r="J180" s="168" t="s">
        <v>765</v>
      </c>
    </row>
    <row r="181" spans="1:10" hidden="1" x14ac:dyDescent="0.2">
      <c r="A181" s="164" t="s">
        <v>813</v>
      </c>
      <c r="B181" s="165" t="s">
        <v>15</v>
      </c>
      <c r="C181" s="165" t="s">
        <v>816</v>
      </c>
      <c r="D181" s="165" t="s">
        <v>817</v>
      </c>
      <c r="E181" s="165">
        <v>89332</v>
      </c>
      <c r="F181" s="165">
        <v>88362</v>
      </c>
      <c r="G181" s="165">
        <v>3667102</v>
      </c>
      <c r="H181" s="170"/>
      <c r="I181" s="167"/>
      <c r="J181" s="168" t="s">
        <v>765</v>
      </c>
    </row>
    <row r="182" spans="1:10" hidden="1" x14ac:dyDescent="0.2">
      <c r="A182" s="164" t="s">
        <v>813</v>
      </c>
      <c r="B182" s="165" t="s">
        <v>15</v>
      </c>
      <c r="C182" s="165" t="s">
        <v>262</v>
      </c>
      <c r="D182" s="165" t="s">
        <v>263</v>
      </c>
      <c r="E182" s="165">
        <v>89116</v>
      </c>
      <c r="F182" s="165">
        <v>86139</v>
      </c>
      <c r="G182" s="165">
        <v>3118248</v>
      </c>
      <c r="H182" s="181"/>
      <c r="I182" s="167" t="s">
        <v>760</v>
      </c>
      <c r="J182" s="168" t="s">
        <v>765</v>
      </c>
    </row>
    <row r="183" spans="1:10" hidden="1" x14ac:dyDescent="0.2">
      <c r="A183" s="164" t="s">
        <v>813</v>
      </c>
      <c r="B183" s="165" t="s">
        <v>15</v>
      </c>
      <c r="C183" s="165" t="s">
        <v>165</v>
      </c>
      <c r="D183" s="165" t="s">
        <v>166</v>
      </c>
      <c r="E183" s="165">
        <v>89284</v>
      </c>
      <c r="F183" s="165">
        <v>88146</v>
      </c>
      <c r="G183" s="165">
        <v>3624026</v>
      </c>
      <c r="H183" s="181"/>
      <c r="I183" s="167" t="s">
        <v>760</v>
      </c>
      <c r="J183" s="168" t="s">
        <v>765</v>
      </c>
    </row>
    <row r="184" spans="1:10" hidden="1" x14ac:dyDescent="0.2">
      <c r="A184" s="164" t="s">
        <v>813</v>
      </c>
      <c r="B184" s="165" t="s">
        <v>15</v>
      </c>
      <c r="C184" s="165" t="s">
        <v>102</v>
      </c>
      <c r="D184" s="165" t="s">
        <v>103</v>
      </c>
      <c r="E184" s="165">
        <v>89036</v>
      </c>
      <c r="F184" s="165">
        <v>73450</v>
      </c>
      <c r="G184" s="165">
        <v>567214</v>
      </c>
      <c r="H184" s="170"/>
      <c r="I184" s="167"/>
      <c r="J184" s="168" t="s">
        <v>765</v>
      </c>
    </row>
    <row r="185" spans="1:10" hidden="1" x14ac:dyDescent="0.2">
      <c r="A185" s="164" t="s">
        <v>813</v>
      </c>
      <c r="B185" s="165" t="s">
        <v>15</v>
      </c>
      <c r="C185" s="165" t="s">
        <v>271</v>
      </c>
      <c r="D185" s="165" t="s">
        <v>272</v>
      </c>
      <c r="E185" s="165">
        <v>89159</v>
      </c>
      <c r="F185" s="165">
        <v>86277</v>
      </c>
      <c r="G185" s="165">
        <v>3133223</v>
      </c>
      <c r="H185" s="170"/>
      <c r="I185" s="167"/>
      <c r="J185" s="168" t="s">
        <v>765</v>
      </c>
    </row>
    <row r="186" spans="1:10" hidden="1" x14ac:dyDescent="0.2">
      <c r="A186" s="164" t="s">
        <v>813</v>
      </c>
      <c r="B186" s="165" t="s">
        <v>15</v>
      </c>
      <c r="C186" s="165" t="s">
        <v>176</v>
      </c>
      <c r="D186" s="165" t="s">
        <v>177</v>
      </c>
      <c r="E186" s="165">
        <v>89160</v>
      </c>
      <c r="F186" s="165">
        <v>86286</v>
      </c>
      <c r="G186" s="165">
        <v>3133265</v>
      </c>
      <c r="H186" s="170"/>
      <c r="I186" s="167"/>
      <c r="J186" s="168" t="s">
        <v>765</v>
      </c>
    </row>
    <row r="187" spans="1:10" hidden="1" x14ac:dyDescent="0.2">
      <c r="A187" s="164" t="s">
        <v>813</v>
      </c>
      <c r="B187" s="165" t="s">
        <v>15</v>
      </c>
      <c r="C187" s="165" t="s">
        <v>381</v>
      </c>
      <c r="D187" s="165" t="s">
        <v>818</v>
      </c>
      <c r="E187" s="165">
        <v>89333</v>
      </c>
      <c r="F187" s="165">
        <v>88363</v>
      </c>
      <c r="G187" s="165">
        <v>3667103</v>
      </c>
      <c r="H187" s="170"/>
      <c r="I187" s="167"/>
      <c r="J187" s="168" t="s">
        <v>765</v>
      </c>
    </row>
    <row r="188" spans="1:10" hidden="1" x14ac:dyDescent="0.2">
      <c r="A188" s="164" t="s">
        <v>813</v>
      </c>
      <c r="B188" s="165" t="s">
        <v>15</v>
      </c>
      <c r="C188" s="165" t="s">
        <v>277</v>
      </c>
      <c r="D188" s="165" t="s">
        <v>278</v>
      </c>
      <c r="E188" s="165">
        <v>89087</v>
      </c>
      <c r="F188" s="165">
        <v>83366</v>
      </c>
      <c r="G188" s="165">
        <v>2455222</v>
      </c>
      <c r="H188" s="170"/>
      <c r="I188" s="167"/>
      <c r="J188" s="168" t="s">
        <v>765</v>
      </c>
    </row>
    <row r="189" spans="1:10" hidden="1" x14ac:dyDescent="0.2">
      <c r="A189" s="164" t="s">
        <v>813</v>
      </c>
      <c r="B189" s="165" t="s">
        <v>15</v>
      </c>
      <c r="C189" s="165" t="s">
        <v>109</v>
      </c>
      <c r="D189" s="165" t="s">
        <v>483</v>
      </c>
      <c r="E189" s="165">
        <v>648294</v>
      </c>
      <c r="F189" s="165">
        <v>87513</v>
      </c>
      <c r="G189" s="165">
        <v>3503290</v>
      </c>
      <c r="H189" s="181"/>
      <c r="I189" s="167" t="s">
        <v>760</v>
      </c>
      <c r="J189" s="168" t="s">
        <v>765</v>
      </c>
    </row>
    <row r="190" spans="1:10" hidden="1" x14ac:dyDescent="0.2">
      <c r="A190" s="164" t="s">
        <v>813</v>
      </c>
      <c r="B190" s="165" t="s">
        <v>15</v>
      </c>
      <c r="C190" s="165" t="s">
        <v>365</v>
      </c>
      <c r="D190" s="165" t="s">
        <v>366</v>
      </c>
      <c r="E190" s="165">
        <v>89319</v>
      </c>
      <c r="F190" s="165">
        <v>88349</v>
      </c>
      <c r="G190" s="165">
        <v>3667091</v>
      </c>
      <c r="H190" s="170"/>
      <c r="I190" s="167"/>
      <c r="J190" s="168" t="s">
        <v>765</v>
      </c>
    </row>
    <row r="191" spans="1:10" hidden="1" x14ac:dyDescent="0.2">
      <c r="A191" s="164" t="s">
        <v>813</v>
      </c>
      <c r="B191" s="165" t="s">
        <v>15</v>
      </c>
      <c r="C191" s="165" t="s">
        <v>82</v>
      </c>
      <c r="D191" s="165" t="s">
        <v>819</v>
      </c>
      <c r="E191" s="165">
        <v>89318</v>
      </c>
      <c r="F191" s="165">
        <v>88348</v>
      </c>
      <c r="G191" s="165">
        <v>3667090</v>
      </c>
      <c r="H191" s="170"/>
      <c r="I191" s="167"/>
      <c r="J191" s="168" t="s">
        <v>765</v>
      </c>
    </row>
    <row r="192" spans="1:10" hidden="1" x14ac:dyDescent="0.2">
      <c r="A192" s="164" t="s">
        <v>813</v>
      </c>
      <c r="B192" s="165" t="s">
        <v>15</v>
      </c>
      <c r="C192" s="165" t="s">
        <v>284</v>
      </c>
      <c r="D192" s="165" t="s">
        <v>820</v>
      </c>
      <c r="E192" s="165">
        <v>89163</v>
      </c>
      <c r="F192" s="165">
        <v>86291</v>
      </c>
      <c r="G192" s="165">
        <v>1823340</v>
      </c>
      <c r="H192" s="170"/>
      <c r="I192" s="167"/>
      <c r="J192" s="168" t="s">
        <v>765</v>
      </c>
    </row>
    <row r="193" spans="1:10" hidden="1" x14ac:dyDescent="0.2">
      <c r="A193" s="164" t="s">
        <v>813</v>
      </c>
      <c r="B193" s="165" t="s">
        <v>15</v>
      </c>
      <c r="C193" s="165" t="s">
        <v>821</v>
      </c>
      <c r="D193" s="165" t="s">
        <v>372</v>
      </c>
      <c r="E193" s="165">
        <v>89325</v>
      </c>
      <c r="F193" s="165">
        <v>88355</v>
      </c>
      <c r="G193" s="165">
        <v>3667096</v>
      </c>
      <c r="H193" s="170"/>
      <c r="I193" s="167"/>
      <c r="J193" s="168" t="s">
        <v>765</v>
      </c>
    </row>
    <row r="194" spans="1:10" hidden="1" x14ac:dyDescent="0.2">
      <c r="A194" s="164" t="s">
        <v>813</v>
      </c>
      <c r="B194" s="165" t="s">
        <v>15</v>
      </c>
      <c r="C194" s="165" t="s">
        <v>120</v>
      </c>
      <c r="D194" s="165" t="s">
        <v>121</v>
      </c>
      <c r="E194" s="165">
        <v>89192</v>
      </c>
      <c r="F194" s="165">
        <v>86345</v>
      </c>
      <c r="G194" s="165">
        <v>3138511</v>
      </c>
      <c r="H194" s="181"/>
      <c r="I194" s="167" t="s">
        <v>760</v>
      </c>
      <c r="J194" s="168" t="s">
        <v>765</v>
      </c>
    </row>
    <row r="195" spans="1:10" hidden="1" x14ac:dyDescent="0.2">
      <c r="A195" s="164" t="s">
        <v>813</v>
      </c>
      <c r="B195" s="165" t="s">
        <v>15</v>
      </c>
      <c r="C195" s="165" t="s">
        <v>124</v>
      </c>
      <c r="D195" s="165" t="s">
        <v>499</v>
      </c>
      <c r="E195" s="165">
        <v>648298</v>
      </c>
      <c r="F195" s="165">
        <v>87599</v>
      </c>
      <c r="G195" s="165">
        <v>3525648</v>
      </c>
      <c r="H195" s="181"/>
      <c r="I195" s="167" t="s">
        <v>760</v>
      </c>
      <c r="J195" s="168" t="s">
        <v>765</v>
      </c>
    </row>
    <row r="196" spans="1:10" hidden="1" x14ac:dyDescent="0.2">
      <c r="A196" s="164" t="s">
        <v>813</v>
      </c>
      <c r="B196" s="165" t="s">
        <v>15</v>
      </c>
      <c r="C196" s="165" t="s">
        <v>192</v>
      </c>
      <c r="D196" s="165" t="s">
        <v>193</v>
      </c>
      <c r="E196" s="165">
        <v>89105</v>
      </c>
      <c r="F196" s="165">
        <v>83066</v>
      </c>
      <c r="G196" s="165">
        <v>2426256</v>
      </c>
      <c r="H196" s="170"/>
      <c r="I196" s="167"/>
      <c r="J196" s="168" t="s">
        <v>765</v>
      </c>
    </row>
    <row r="197" spans="1:10" hidden="1" x14ac:dyDescent="0.2">
      <c r="A197" s="164" t="s">
        <v>813</v>
      </c>
      <c r="B197" s="165" t="s">
        <v>15</v>
      </c>
      <c r="C197" s="165" t="s">
        <v>88</v>
      </c>
      <c r="D197" s="165" t="s">
        <v>89</v>
      </c>
      <c r="E197" s="165">
        <v>89046</v>
      </c>
      <c r="F197" s="165">
        <v>85339</v>
      </c>
      <c r="G197" s="165">
        <v>2811272</v>
      </c>
      <c r="H197" s="170"/>
      <c r="I197" s="167"/>
      <c r="J197" s="168" t="s">
        <v>765</v>
      </c>
    </row>
    <row r="198" spans="1:10" hidden="1" x14ac:dyDescent="0.2">
      <c r="A198" s="164" t="s">
        <v>813</v>
      </c>
      <c r="B198" s="165" t="s">
        <v>15</v>
      </c>
      <c r="C198" s="165" t="s">
        <v>126</v>
      </c>
      <c r="D198" s="165" t="s">
        <v>127</v>
      </c>
      <c r="E198" s="165">
        <v>89194</v>
      </c>
      <c r="F198" s="165">
        <v>86340</v>
      </c>
      <c r="G198" s="165">
        <v>3138455</v>
      </c>
      <c r="H198" s="170"/>
      <c r="I198" s="167"/>
      <c r="J198" s="168" t="s">
        <v>765</v>
      </c>
    </row>
    <row r="199" spans="1:10" hidden="1" x14ac:dyDescent="0.2">
      <c r="A199" s="164" t="s">
        <v>813</v>
      </c>
      <c r="B199" s="165" t="s">
        <v>15</v>
      </c>
      <c r="C199" s="165" t="s">
        <v>822</v>
      </c>
      <c r="D199" s="165" t="s">
        <v>823</v>
      </c>
      <c r="E199" s="165">
        <v>89088</v>
      </c>
      <c r="F199" s="165">
        <v>84619</v>
      </c>
      <c r="G199" s="165">
        <v>2745917</v>
      </c>
      <c r="H199" s="170"/>
      <c r="I199" s="167"/>
      <c r="J199" s="168" t="s">
        <v>765</v>
      </c>
    </row>
    <row r="200" spans="1:10" hidden="1" x14ac:dyDescent="0.2">
      <c r="A200" s="164" t="s">
        <v>813</v>
      </c>
      <c r="B200" s="165" t="s">
        <v>16</v>
      </c>
      <c r="C200" s="165" t="s">
        <v>35</v>
      </c>
      <c r="D200" s="165" t="s">
        <v>371</v>
      </c>
      <c r="E200" s="165">
        <v>648069</v>
      </c>
      <c r="F200" s="165">
        <v>88353</v>
      </c>
      <c r="G200" s="165">
        <v>3667094</v>
      </c>
      <c r="H200" s="166">
        <v>89970</v>
      </c>
      <c r="I200" s="167" t="s">
        <v>760</v>
      </c>
      <c r="J200" s="168" t="s">
        <v>393</v>
      </c>
    </row>
    <row r="201" spans="1:10" hidden="1" x14ac:dyDescent="0.2">
      <c r="A201" s="164" t="s">
        <v>813</v>
      </c>
      <c r="B201" s="165" t="s">
        <v>16</v>
      </c>
      <c r="C201" s="165" t="s">
        <v>234</v>
      </c>
      <c r="D201" s="165" t="s">
        <v>235</v>
      </c>
      <c r="E201" s="165">
        <v>648051</v>
      </c>
      <c r="F201" s="165">
        <v>88027</v>
      </c>
      <c r="G201" s="165">
        <v>1213197</v>
      </c>
      <c r="H201" s="166">
        <v>89985</v>
      </c>
      <c r="I201" s="167" t="s">
        <v>760</v>
      </c>
      <c r="J201" s="168" t="s">
        <v>393</v>
      </c>
    </row>
    <row r="202" spans="1:10" hidden="1" x14ac:dyDescent="0.2">
      <c r="A202" s="164" t="s">
        <v>813</v>
      </c>
      <c r="B202" s="165" t="s">
        <v>16</v>
      </c>
      <c r="C202" s="165" t="s">
        <v>37</v>
      </c>
      <c r="D202" s="165" t="s">
        <v>270</v>
      </c>
      <c r="E202" s="165">
        <v>89091</v>
      </c>
      <c r="F202" s="165">
        <v>83571</v>
      </c>
      <c r="G202" s="165">
        <v>2523179</v>
      </c>
      <c r="H202" s="166">
        <v>89986</v>
      </c>
      <c r="I202" s="167" t="s">
        <v>760</v>
      </c>
      <c r="J202" s="168" t="s">
        <v>393</v>
      </c>
    </row>
    <row r="203" spans="1:10" hidden="1" x14ac:dyDescent="0.2">
      <c r="A203" s="164" t="s">
        <v>813</v>
      </c>
      <c r="B203" s="165" t="s">
        <v>16</v>
      </c>
      <c r="C203" s="165" t="s">
        <v>363</v>
      </c>
      <c r="D203" s="165" t="s">
        <v>364</v>
      </c>
      <c r="E203" s="165">
        <v>89317</v>
      </c>
      <c r="F203" s="165">
        <v>88347</v>
      </c>
      <c r="G203" s="165">
        <v>3123167</v>
      </c>
      <c r="H203" s="166">
        <v>89974</v>
      </c>
      <c r="I203" s="167" t="s">
        <v>760</v>
      </c>
      <c r="J203" s="168" t="s">
        <v>393</v>
      </c>
    </row>
    <row r="204" spans="1:10" hidden="1" x14ac:dyDescent="0.2">
      <c r="A204" s="164" t="s">
        <v>813</v>
      </c>
      <c r="B204" s="165" t="s">
        <v>16</v>
      </c>
      <c r="C204" s="165" t="s">
        <v>236</v>
      </c>
      <c r="D204" s="165" t="s">
        <v>237</v>
      </c>
      <c r="E204" s="165">
        <v>89287</v>
      </c>
      <c r="F204" s="165">
        <v>88149</v>
      </c>
      <c r="G204" s="165">
        <v>3624031</v>
      </c>
      <c r="H204" s="166">
        <v>89987</v>
      </c>
      <c r="I204" s="167" t="s">
        <v>760</v>
      </c>
      <c r="J204" s="168" t="s">
        <v>393</v>
      </c>
    </row>
    <row r="205" spans="1:10" hidden="1" x14ac:dyDescent="0.2">
      <c r="A205" s="164" t="s">
        <v>813</v>
      </c>
      <c r="B205" s="165" t="s">
        <v>16</v>
      </c>
      <c r="C205" s="165" t="s">
        <v>174</v>
      </c>
      <c r="D205" s="165" t="s">
        <v>238</v>
      </c>
      <c r="E205" s="165">
        <v>89286</v>
      </c>
      <c r="F205" s="165">
        <v>88148</v>
      </c>
      <c r="G205" s="165">
        <v>3624029</v>
      </c>
      <c r="H205" s="166">
        <v>89988</v>
      </c>
      <c r="I205" s="167" t="s">
        <v>760</v>
      </c>
      <c r="J205" s="168" t="s">
        <v>393</v>
      </c>
    </row>
    <row r="206" spans="1:10" hidden="1" x14ac:dyDescent="0.2">
      <c r="A206" s="164" t="s">
        <v>813</v>
      </c>
      <c r="B206" s="165" t="s">
        <v>16</v>
      </c>
      <c r="C206" s="165" t="s">
        <v>279</v>
      </c>
      <c r="D206" s="165" t="s">
        <v>280</v>
      </c>
      <c r="E206" s="165">
        <v>89090</v>
      </c>
      <c r="F206" s="165">
        <v>83904</v>
      </c>
      <c r="G206" s="165">
        <v>2657802</v>
      </c>
      <c r="H206" s="166">
        <v>89989</v>
      </c>
      <c r="I206" s="167" t="s">
        <v>760</v>
      </c>
      <c r="J206" s="168" t="s">
        <v>393</v>
      </c>
    </row>
    <row r="207" spans="1:10" hidden="1" x14ac:dyDescent="0.2">
      <c r="A207" s="164" t="s">
        <v>813</v>
      </c>
      <c r="B207" s="165" t="s">
        <v>16</v>
      </c>
      <c r="C207" s="165" t="s">
        <v>239</v>
      </c>
      <c r="D207" s="165" t="s">
        <v>240</v>
      </c>
      <c r="E207" s="165">
        <v>648052</v>
      </c>
      <c r="F207" s="165">
        <v>88028</v>
      </c>
      <c r="G207" s="165">
        <v>3553088</v>
      </c>
      <c r="H207" s="166">
        <v>89990</v>
      </c>
      <c r="I207" s="167" t="s">
        <v>760</v>
      </c>
      <c r="J207" s="168" t="s">
        <v>393</v>
      </c>
    </row>
    <row r="208" spans="1:10" hidden="1" x14ac:dyDescent="0.2">
      <c r="A208" s="164" t="s">
        <v>813</v>
      </c>
      <c r="B208" s="165" t="s">
        <v>16</v>
      </c>
      <c r="C208" s="165" t="s">
        <v>241</v>
      </c>
      <c r="D208" s="165" t="s">
        <v>242</v>
      </c>
      <c r="E208" s="165">
        <v>89276</v>
      </c>
      <c r="F208" s="165">
        <v>88138</v>
      </c>
      <c r="G208" s="165">
        <v>3623917</v>
      </c>
      <c r="H208" s="166">
        <v>89991</v>
      </c>
      <c r="I208" s="167" t="s">
        <v>760</v>
      </c>
      <c r="J208" s="168" t="s">
        <v>393</v>
      </c>
    </row>
    <row r="209" spans="1:10" hidden="1" x14ac:dyDescent="0.2">
      <c r="A209" s="164" t="s">
        <v>813</v>
      </c>
      <c r="B209" s="165" t="s">
        <v>16</v>
      </c>
      <c r="C209" s="165" t="s">
        <v>82</v>
      </c>
      <c r="D209" s="165" t="s">
        <v>83</v>
      </c>
      <c r="E209" s="165">
        <v>89191</v>
      </c>
      <c r="F209" s="165">
        <v>86331</v>
      </c>
      <c r="G209" s="165">
        <v>3138494</v>
      </c>
      <c r="H209" s="166">
        <v>89992</v>
      </c>
      <c r="I209" s="167" t="s">
        <v>760</v>
      </c>
      <c r="J209" s="168" t="s">
        <v>393</v>
      </c>
    </row>
    <row r="210" spans="1:10" hidden="1" x14ac:dyDescent="0.2">
      <c r="A210" s="164" t="s">
        <v>813</v>
      </c>
      <c r="B210" s="165" t="s">
        <v>16</v>
      </c>
      <c r="C210" s="165" t="s">
        <v>245</v>
      </c>
      <c r="D210" s="165" t="s">
        <v>246</v>
      </c>
      <c r="E210" s="165">
        <v>89255</v>
      </c>
      <c r="F210" s="165">
        <v>88030</v>
      </c>
      <c r="G210" s="165">
        <v>2852874</v>
      </c>
      <c r="H210" s="166">
        <v>89993</v>
      </c>
      <c r="I210" s="167" t="s">
        <v>760</v>
      </c>
      <c r="J210" s="168" t="s">
        <v>393</v>
      </c>
    </row>
    <row r="211" spans="1:10" hidden="1" x14ac:dyDescent="0.2">
      <c r="A211" s="164" t="s">
        <v>813</v>
      </c>
      <c r="B211" s="165" t="s">
        <v>16</v>
      </c>
      <c r="C211" s="165" t="s">
        <v>92</v>
      </c>
      <c r="D211" s="165" t="s">
        <v>57</v>
      </c>
      <c r="E211" s="165">
        <v>648050</v>
      </c>
      <c r="F211" s="165">
        <v>88026</v>
      </c>
      <c r="G211" s="165">
        <v>3553083</v>
      </c>
      <c r="H211" s="166">
        <v>89995</v>
      </c>
      <c r="I211" s="167" t="s">
        <v>760</v>
      </c>
      <c r="J211" s="168" t="s">
        <v>393</v>
      </c>
    </row>
    <row r="212" spans="1:10" hidden="1" x14ac:dyDescent="0.2">
      <c r="A212" s="164" t="s">
        <v>813</v>
      </c>
      <c r="B212" s="165" t="s">
        <v>16</v>
      </c>
      <c r="C212" s="165" t="s">
        <v>199</v>
      </c>
      <c r="D212" s="165" t="s">
        <v>537</v>
      </c>
      <c r="E212" s="165">
        <v>648365</v>
      </c>
      <c r="F212" s="165">
        <v>76572</v>
      </c>
      <c r="G212" s="165">
        <v>796746</v>
      </c>
      <c r="H212" s="166">
        <v>648333</v>
      </c>
      <c r="I212" s="167" t="s">
        <v>760</v>
      </c>
      <c r="J212" s="168" t="s">
        <v>393</v>
      </c>
    </row>
    <row r="213" spans="1:10" hidden="1" x14ac:dyDescent="0.2">
      <c r="A213" s="164" t="s">
        <v>813</v>
      </c>
      <c r="B213" s="165" t="s">
        <v>16</v>
      </c>
      <c r="C213" s="165" t="s">
        <v>249</v>
      </c>
      <c r="D213" s="165" t="s">
        <v>250</v>
      </c>
      <c r="E213" s="165">
        <v>89285</v>
      </c>
      <c r="F213" s="165">
        <v>88147</v>
      </c>
      <c r="G213" s="165">
        <v>3624028</v>
      </c>
      <c r="H213" s="166">
        <v>89996</v>
      </c>
      <c r="I213" s="167" t="s">
        <v>760</v>
      </c>
      <c r="J213" s="168" t="s">
        <v>393</v>
      </c>
    </row>
    <row r="214" spans="1:10" hidden="1" x14ac:dyDescent="0.2">
      <c r="A214" s="164" t="s">
        <v>813</v>
      </c>
      <c r="B214" s="165" t="s">
        <v>16</v>
      </c>
      <c r="C214" s="165" t="s">
        <v>251</v>
      </c>
      <c r="D214" s="165" t="s">
        <v>252</v>
      </c>
      <c r="E214" s="165">
        <v>89279</v>
      </c>
      <c r="F214" s="165">
        <v>88141</v>
      </c>
      <c r="G214" s="165">
        <v>3623928</v>
      </c>
      <c r="H214" s="166">
        <v>89997</v>
      </c>
      <c r="I214" s="167" t="s">
        <v>760</v>
      </c>
      <c r="J214" s="168" t="s">
        <v>393</v>
      </c>
    </row>
    <row r="215" spans="1:10" hidden="1" x14ac:dyDescent="0.2">
      <c r="A215" s="164" t="s">
        <v>813</v>
      </c>
      <c r="B215" s="165" t="s">
        <v>16</v>
      </c>
      <c r="C215" s="165" t="s">
        <v>454</v>
      </c>
      <c r="D215" s="165" t="s">
        <v>455</v>
      </c>
      <c r="E215" s="165">
        <v>648237</v>
      </c>
      <c r="F215" s="165">
        <v>78142</v>
      </c>
      <c r="G215" s="165">
        <v>1154719</v>
      </c>
      <c r="H215" s="166">
        <v>89911</v>
      </c>
      <c r="I215" s="167" t="s">
        <v>760</v>
      </c>
      <c r="J215" s="168" t="s">
        <v>393</v>
      </c>
    </row>
    <row r="216" spans="1:10" hidden="1" x14ac:dyDescent="0.2">
      <c r="A216" s="164" t="s">
        <v>813</v>
      </c>
      <c r="B216" s="165" t="s">
        <v>16</v>
      </c>
      <c r="C216" s="165" t="s">
        <v>255</v>
      </c>
      <c r="D216" s="165" t="s">
        <v>256</v>
      </c>
      <c r="E216" s="165">
        <v>89283</v>
      </c>
      <c r="F216" s="165">
        <v>88145</v>
      </c>
      <c r="G216" s="165">
        <v>3624025</v>
      </c>
      <c r="H216" s="166">
        <v>89998</v>
      </c>
      <c r="I216" s="167" t="s">
        <v>760</v>
      </c>
      <c r="J216" s="168" t="s">
        <v>393</v>
      </c>
    </row>
    <row r="217" spans="1:10" hidden="1" x14ac:dyDescent="0.2">
      <c r="A217" s="164" t="s">
        <v>813</v>
      </c>
      <c r="B217" s="165" t="s">
        <v>16</v>
      </c>
      <c r="C217" s="165" t="s">
        <v>456</v>
      </c>
      <c r="D217" s="165" t="s">
        <v>457</v>
      </c>
      <c r="E217" s="165">
        <v>648232</v>
      </c>
      <c r="F217" s="165">
        <v>81902</v>
      </c>
      <c r="G217" s="165">
        <v>2102074</v>
      </c>
      <c r="H217" s="166">
        <v>89912</v>
      </c>
      <c r="I217" s="167" t="s">
        <v>760</v>
      </c>
      <c r="J217" s="168" t="s">
        <v>393</v>
      </c>
    </row>
    <row r="218" spans="1:10" hidden="1" x14ac:dyDescent="0.2">
      <c r="A218" s="164" t="s">
        <v>813</v>
      </c>
      <c r="B218" s="165" t="s">
        <v>16</v>
      </c>
      <c r="C218" s="165" t="s">
        <v>257</v>
      </c>
      <c r="D218" s="165" t="s">
        <v>258</v>
      </c>
      <c r="E218" s="165">
        <v>89293</v>
      </c>
      <c r="F218" s="165">
        <v>88155</v>
      </c>
      <c r="G218" s="165">
        <v>3624072</v>
      </c>
      <c r="H218" s="166">
        <v>89999</v>
      </c>
      <c r="I218" s="167" t="s">
        <v>761</v>
      </c>
      <c r="J218" s="168" t="s">
        <v>393</v>
      </c>
    </row>
    <row r="219" spans="1:10" hidden="1" x14ac:dyDescent="0.2">
      <c r="A219" s="164" t="s">
        <v>813</v>
      </c>
      <c r="B219" s="165" t="s">
        <v>824</v>
      </c>
      <c r="C219" s="165" t="s">
        <v>825</v>
      </c>
      <c r="D219" s="165" t="s">
        <v>826</v>
      </c>
      <c r="E219" s="165"/>
      <c r="F219" s="165"/>
      <c r="G219" s="165">
        <v>5633771</v>
      </c>
      <c r="H219" s="170"/>
      <c r="I219" s="167"/>
      <c r="J219" s="168" t="s">
        <v>765</v>
      </c>
    </row>
    <row r="220" spans="1:10" hidden="1" x14ac:dyDescent="0.2">
      <c r="A220" s="164" t="s">
        <v>813</v>
      </c>
      <c r="B220" s="165" t="s">
        <v>824</v>
      </c>
      <c r="C220" s="165" t="s">
        <v>479</v>
      </c>
      <c r="D220" s="165" t="s">
        <v>827</v>
      </c>
      <c r="E220" s="165"/>
      <c r="F220" s="165"/>
      <c r="G220" s="165">
        <v>5633837</v>
      </c>
      <c r="H220" s="170"/>
      <c r="I220" s="167"/>
      <c r="J220" s="168" t="s">
        <v>765</v>
      </c>
    </row>
    <row r="221" spans="1:10" hidden="1" x14ac:dyDescent="0.2">
      <c r="A221" s="164" t="s">
        <v>813</v>
      </c>
      <c r="B221" s="165" t="s">
        <v>824</v>
      </c>
      <c r="C221" s="165" t="s">
        <v>112</v>
      </c>
      <c r="D221" s="165" t="s">
        <v>828</v>
      </c>
      <c r="E221" s="165"/>
      <c r="F221" s="165"/>
      <c r="G221" s="165">
        <v>5633840</v>
      </c>
      <c r="H221" s="170"/>
      <c r="I221" s="167"/>
      <c r="J221" s="168" t="s">
        <v>765</v>
      </c>
    </row>
    <row r="222" spans="1:10" hidden="1" x14ac:dyDescent="0.2">
      <c r="A222" s="164" t="s">
        <v>813</v>
      </c>
      <c r="B222" s="165" t="s">
        <v>824</v>
      </c>
      <c r="C222" s="165" t="s">
        <v>829</v>
      </c>
      <c r="D222" s="165" t="s">
        <v>830</v>
      </c>
      <c r="E222" s="165"/>
      <c r="F222" s="165"/>
      <c r="G222" s="165">
        <v>5633847</v>
      </c>
      <c r="H222" s="170"/>
      <c r="I222" s="167"/>
      <c r="J222" s="168" t="s">
        <v>765</v>
      </c>
    </row>
    <row r="223" spans="1:10" hidden="1" x14ac:dyDescent="0.2">
      <c r="A223" s="164" t="s">
        <v>813</v>
      </c>
      <c r="B223" s="165" t="s">
        <v>824</v>
      </c>
      <c r="C223" s="165" t="s">
        <v>831</v>
      </c>
      <c r="D223" s="165" t="s">
        <v>832</v>
      </c>
      <c r="E223" s="165"/>
      <c r="F223" s="165"/>
      <c r="G223" s="165">
        <v>5633865</v>
      </c>
      <c r="H223" s="170"/>
      <c r="I223" s="167"/>
      <c r="J223" s="168" t="s">
        <v>765</v>
      </c>
    </row>
    <row r="224" spans="1:10" hidden="1" x14ac:dyDescent="0.2">
      <c r="A224" s="164" t="s">
        <v>813</v>
      </c>
      <c r="B224" s="165" t="s">
        <v>824</v>
      </c>
      <c r="C224" s="165" t="s">
        <v>833</v>
      </c>
      <c r="D224" s="165" t="s">
        <v>834</v>
      </c>
      <c r="E224" s="165"/>
      <c r="F224" s="165"/>
      <c r="G224" s="165">
        <v>3849916</v>
      </c>
      <c r="H224" s="170"/>
      <c r="I224" s="167"/>
      <c r="J224" s="168" t="s">
        <v>765</v>
      </c>
    </row>
    <row r="225" spans="1:10" hidden="1" x14ac:dyDescent="0.2">
      <c r="A225" s="164" t="s">
        <v>813</v>
      </c>
      <c r="B225" s="165" t="s">
        <v>824</v>
      </c>
      <c r="C225" s="165" t="s">
        <v>835</v>
      </c>
      <c r="D225" s="165" t="s">
        <v>836</v>
      </c>
      <c r="E225" s="165"/>
      <c r="F225" s="165"/>
      <c r="G225" s="165">
        <v>3851211</v>
      </c>
      <c r="H225" s="170"/>
      <c r="I225" s="167"/>
      <c r="J225" s="168" t="s">
        <v>765</v>
      </c>
    </row>
    <row r="226" spans="1:10" hidden="1" x14ac:dyDescent="0.2">
      <c r="A226" s="164" t="s">
        <v>813</v>
      </c>
      <c r="B226" s="165" t="s">
        <v>824</v>
      </c>
      <c r="C226" s="165" t="s">
        <v>837</v>
      </c>
      <c r="D226" s="165" t="s">
        <v>838</v>
      </c>
      <c r="E226" s="165"/>
      <c r="F226" s="165"/>
      <c r="G226" s="165">
        <v>3849918</v>
      </c>
      <c r="H226" s="170"/>
      <c r="I226" s="167"/>
      <c r="J226" s="168" t="s">
        <v>765</v>
      </c>
    </row>
    <row r="227" spans="1:10" hidden="1" x14ac:dyDescent="0.2">
      <c r="A227" s="164" t="s">
        <v>813</v>
      </c>
      <c r="B227" s="165" t="s">
        <v>824</v>
      </c>
      <c r="C227" s="165" t="s">
        <v>277</v>
      </c>
      <c r="D227" s="165" t="s">
        <v>839</v>
      </c>
      <c r="E227" s="165"/>
      <c r="F227" s="165"/>
      <c r="G227" s="165">
        <v>1929044</v>
      </c>
      <c r="H227" s="170"/>
      <c r="I227" s="167"/>
      <c r="J227" s="168" t="s">
        <v>765</v>
      </c>
    </row>
    <row r="228" spans="1:10" hidden="1" x14ac:dyDescent="0.2">
      <c r="A228" s="178" t="s">
        <v>840</v>
      </c>
      <c r="B228" s="179" t="s">
        <v>841</v>
      </c>
      <c r="C228" s="179" t="s">
        <v>842</v>
      </c>
      <c r="D228" s="179" t="s">
        <v>843</v>
      </c>
      <c r="E228" s="165"/>
      <c r="F228" s="165"/>
      <c r="G228" s="165">
        <v>3851271</v>
      </c>
      <c r="H228" s="170"/>
      <c r="I228" s="167"/>
      <c r="J228" s="168" t="s">
        <v>765</v>
      </c>
    </row>
    <row r="229" spans="1:10" hidden="1" x14ac:dyDescent="0.2">
      <c r="A229" s="178" t="s">
        <v>840</v>
      </c>
      <c r="B229" s="179" t="s">
        <v>841</v>
      </c>
      <c r="C229" s="179" t="s">
        <v>346</v>
      </c>
      <c r="D229" s="179" t="s">
        <v>844</v>
      </c>
      <c r="E229" s="165"/>
      <c r="F229" s="165"/>
      <c r="G229" s="165">
        <v>1525070</v>
      </c>
      <c r="H229" s="170"/>
      <c r="I229" s="167"/>
      <c r="J229" s="168" t="s">
        <v>765</v>
      </c>
    </row>
    <row r="230" spans="1:10" hidden="1" x14ac:dyDescent="0.2">
      <c r="A230" s="178" t="s">
        <v>840</v>
      </c>
      <c r="B230" s="179" t="s">
        <v>841</v>
      </c>
      <c r="C230" s="179" t="s">
        <v>845</v>
      </c>
      <c r="D230" s="179" t="s">
        <v>846</v>
      </c>
      <c r="E230" s="165"/>
      <c r="F230" s="165"/>
      <c r="G230" s="165">
        <v>3528515</v>
      </c>
      <c r="H230" s="170"/>
      <c r="I230" s="167"/>
      <c r="J230" s="168" t="s">
        <v>765</v>
      </c>
    </row>
    <row r="231" spans="1:10" hidden="1" x14ac:dyDescent="0.2">
      <c r="A231" s="178" t="s">
        <v>840</v>
      </c>
      <c r="B231" s="179" t="s">
        <v>841</v>
      </c>
      <c r="C231" s="179" t="s">
        <v>847</v>
      </c>
      <c r="D231" s="179" t="s">
        <v>848</v>
      </c>
      <c r="E231" s="165"/>
      <c r="F231" s="165"/>
      <c r="G231" s="165">
        <v>1187330</v>
      </c>
      <c r="H231" s="170"/>
      <c r="I231" s="167"/>
      <c r="J231" s="168" t="s">
        <v>765</v>
      </c>
    </row>
    <row r="232" spans="1:10" hidden="1" x14ac:dyDescent="0.2">
      <c r="A232" s="178" t="s">
        <v>840</v>
      </c>
      <c r="B232" s="179" t="s">
        <v>841</v>
      </c>
      <c r="C232" s="179" t="s">
        <v>849</v>
      </c>
      <c r="D232" s="179" t="s">
        <v>541</v>
      </c>
      <c r="E232" s="165"/>
      <c r="F232" s="165"/>
      <c r="G232" s="165">
        <v>3851218</v>
      </c>
      <c r="H232" s="170"/>
      <c r="I232" s="167"/>
      <c r="J232" s="168" t="s">
        <v>765</v>
      </c>
    </row>
    <row r="233" spans="1:10" hidden="1" x14ac:dyDescent="0.2">
      <c r="A233" s="178" t="s">
        <v>840</v>
      </c>
      <c r="B233" s="179" t="s">
        <v>841</v>
      </c>
      <c r="C233" s="179" t="s">
        <v>850</v>
      </c>
      <c r="D233" s="179" t="s">
        <v>851</v>
      </c>
      <c r="E233" s="165"/>
      <c r="F233" s="165"/>
      <c r="G233" s="165">
        <v>3851213</v>
      </c>
      <c r="H233" s="170"/>
      <c r="I233" s="167"/>
      <c r="J233" s="168" t="s">
        <v>765</v>
      </c>
    </row>
    <row r="234" spans="1:10" hidden="1" x14ac:dyDescent="0.2">
      <c r="A234" s="178" t="s">
        <v>840</v>
      </c>
      <c r="B234" s="179" t="s">
        <v>841</v>
      </c>
      <c r="C234" s="179" t="s">
        <v>224</v>
      </c>
      <c r="D234" s="179" t="s">
        <v>852</v>
      </c>
      <c r="E234" s="165"/>
      <c r="F234" s="165"/>
      <c r="G234" s="165">
        <v>3851219</v>
      </c>
      <c r="H234" s="170"/>
      <c r="I234" s="167"/>
      <c r="J234" s="168" t="s">
        <v>765</v>
      </c>
    </row>
    <row r="235" spans="1:10" hidden="1" x14ac:dyDescent="0.2">
      <c r="A235" s="178" t="s">
        <v>840</v>
      </c>
      <c r="B235" s="179" t="s">
        <v>841</v>
      </c>
      <c r="C235" s="179" t="s">
        <v>94</v>
      </c>
      <c r="D235" s="179" t="s">
        <v>853</v>
      </c>
      <c r="E235" s="165"/>
      <c r="F235" s="165"/>
      <c r="G235" s="165">
        <v>2419193</v>
      </c>
      <c r="H235" s="170"/>
      <c r="I235" s="167"/>
      <c r="J235" s="168" t="s">
        <v>765</v>
      </c>
    </row>
    <row r="236" spans="1:10" hidden="1" x14ac:dyDescent="0.2">
      <c r="A236" s="178" t="s">
        <v>840</v>
      </c>
      <c r="B236" s="179" t="s">
        <v>841</v>
      </c>
      <c r="C236" s="179" t="s">
        <v>854</v>
      </c>
      <c r="D236" s="179" t="s">
        <v>855</v>
      </c>
      <c r="E236" s="165"/>
      <c r="F236" s="165"/>
      <c r="G236" s="165">
        <v>1119960</v>
      </c>
      <c r="H236" s="170"/>
      <c r="I236" s="167"/>
      <c r="J236" s="168" t="s">
        <v>765</v>
      </c>
    </row>
    <row r="237" spans="1:10" hidden="1" x14ac:dyDescent="0.2">
      <c r="A237" s="164" t="s">
        <v>840</v>
      </c>
      <c r="B237" s="165" t="s">
        <v>452</v>
      </c>
      <c r="C237" s="165" t="s">
        <v>230</v>
      </c>
      <c r="D237" s="165" t="s">
        <v>231</v>
      </c>
      <c r="E237" s="165">
        <v>89292</v>
      </c>
      <c r="F237" s="165">
        <v>88154</v>
      </c>
      <c r="G237" s="165">
        <v>3624040</v>
      </c>
      <c r="H237" s="166">
        <v>89984</v>
      </c>
      <c r="I237" s="167" t="s">
        <v>760</v>
      </c>
      <c r="J237" s="168" t="s">
        <v>393</v>
      </c>
    </row>
    <row r="238" spans="1:10" hidden="1" x14ac:dyDescent="0.2">
      <c r="A238" s="164" t="s">
        <v>840</v>
      </c>
      <c r="B238" s="165" t="s">
        <v>452</v>
      </c>
      <c r="C238" s="165" t="s">
        <v>208</v>
      </c>
      <c r="D238" s="165" t="s">
        <v>496</v>
      </c>
      <c r="E238" s="165">
        <v>648290</v>
      </c>
      <c r="F238" s="165">
        <v>87868</v>
      </c>
      <c r="G238" s="165">
        <v>1831428</v>
      </c>
      <c r="H238" s="166">
        <v>89882</v>
      </c>
      <c r="I238" s="167" t="s">
        <v>760</v>
      </c>
      <c r="J238" s="168" t="s">
        <v>393</v>
      </c>
    </row>
    <row r="239" spans="1:10" hidden="1" x14ac:dyDescent="0.2">
      <c r="A239" s="164" t="s">
        <v>840</v>
      </c>
      <c r="B239" s="165" t="s">
        <v>452</v>
      </c>
      <c r="C239" s="165" t="s">
        <v>520</v>
      </c>
      <c r="D239" s="165" t="s">
        <v>521</v>
      </c>
      <c r="E239" s="165">
        <v>648368</v>
      </c>
      <c r="F239" s="165">
        <v>76309</v>
      </c>
      <c r="G239" s="165">
        <v>765954</v>
      </c>
      <c r="H239" s="166">
        <v>648335</v>
      </c>
      <c r="I239" s="167" t="s">
        <v>760</v>
      </c>
      <c r="J239" s="168" t="s">
        <v>393</v>
      </c>
    </row>
    <row r="240" spans="1:10" hidden="1" x14ac:dyDescent="0.2">
      <c r="A240" s="182" t="s">
        <v>840</v>
      </c>
      <c r="B240" s="183" t="s">
        <v>452</v>
      </c>
      <c r="C240" s="183" t="s">
        <v>485</v>
      </c>
      <c r="D240" s="183" t="s">
        <v>486</v>
      </c>
      <c r="E240" s="165">
        <v>648291</v>
      </c>
      <c r="F240" s="165">
        <v>64167</v>
      </c>
      <c r="G240" s="165">
        <v>433490</v>
      </c>
      <c r="H240" s="166">
        <v>89876</v>
      </c>
      <c r="I240" s="167" t="s">
        <v>760</v>
      </c>
      <c r="J240" s="168" t="s">
        <v>393</v>
      </c>
    </row>
    <row r="241" spans="1:10" hidden="1" x14ac:dyDescent="0.2">
      <c r="A241" s="164" t="s">
        <v>840</v>
      </c>
      <c r="B241" s="165" t="s">
        <v>452</v>
      </c>
      <c r="C241" s="165" t="s">
        <v>522</v>
      </c>
      <c r="D241" s="165" t="s">
        <v>523</v>
      </c>
      <c r="E241" s="165">
        <v>648375</v>
      </c>
      <c r="F241" s="165">
        <v>76198</v>
      </c>
      <c r="G241" s="165">
        <v>765944</v>
      </c>
      <c r="H241" s="166">
        <v>648322</v>
      </c>
      <c r="I241" s="167" t="s">
        <v>761</v>
      </c>
      <c r="J241" s="168" t="s">
        <v>393</v>
      </c>
    </row>
    <row r="242" spans="1:10" hidden="1" x14ac:dyDescent="0.2">
      <c r="A242" s="164" t="s">
        <v>840</v>
      </c>
      <c r="B242" s="165" t="s">
        <v>452</v>
      </c>
      <c r="C242" s="165" t="s">
        <v>48</v>
      </c>
      <c r="D242" s="165" t="s">
        <v>484</v>
      </c>
      <c r="E242" s="165">
        <v>648292</v>
      </c>
      <c r="F242" s="165">
        <v>71798</v>
      </c>
      <c r="G242" s="165">
        <v>516965</v>
      </c>
      <c r="H242" s="166">
        <v>89874</v>
      </c>
      <c r="I242" s="167" t="s">
        <v>760</v>
      </c>
      <c r="J242" s="168" t="s">
        <v>393</v>
      </c>
    </row>
    <row r="243" spans="1:10" hidden="1" x14ac:dyDescent="0.2">
      <c r="A243" s="164" t="s">
        <v>840</v>
      </c>
      <c r="B243" s="165" t="s">
        <v>452</v>
      </c>
      <c r="C243" s="165" t="s">
        <v>48</v>
      </c>
      <c r="D243" s="165" t="s">
        <v>274</v>
      </c>
      <c r="E243" s="165">
        <v>648293</v>
      </c>
      <c r="F243" s="165">
        <v>80050</v>
      </c>
      <c r="G243" s="165">
        <v>1535101</v>
      </c>
      <c r="H243" s="166">
        <v>89875</v>
      </c>
      <c r="I243" s="167" t="s">
        <v>760</v>
      </c>
      <c r="J243" s="168" t="s">
        <v>393</v>
      </c>
    </row>
    <row r="244" spans="1:10" hidden="1" x14ac:dyDescent="0.2">
      <c r="A244" s="164" t="s">
        <v>840</v>
      </c>
      <c r="B244" s="165" t="s">
        <v>452</v>
      </c>
      <c r="C244" s="165" t="s">
        <v>524</v>
      </c>
      <c r="D244" s="165" t="s">
        <v>525</v>
      </c>
      <c r="E244" s="165">
        <v>648391</v>
      </c>
      <c r="F244" s="165">
        <v>81639</v>
      </c>
      <c r="G244" s="165">
        <v>2024635</v>
      </c>
      <c r="H244" s="166">
        <v>648323</v>
      </c>
      <c r="I244" s="167" t="s">
        <v>760</v>
      </c>
      <c r="J244" s="168" t="s">
        <v>393</v>
      </c>
    </row>
    <row r="245" spans="1:10" hidden="1" x14ac:dyDescent="0.2">
      <c r="A245" s="164" t="s">
        <v>840</v>
      </c>
      <c r="B245" s="165" t="s">
        <v>452</v>
      </c>
      <c r="C245" s="165" t="s">
        <v>365</v>
      </c>
      <c r="D245" s="165" t="s">
        <v>487</v>
      </c>
      <c r="E245" s="165">
        <v>648295</v>
      </c>
      <c r="F245" s="165">
        <v>87670</v>
      </c>
      <c r="G245" s="165">
        <v>3525831</v>
      </c>
      <c r="H245" s="166">
        <v>89877</v>
      </c>
      <c r="I245" s="167" t="s">
        <v>760</v>
      </c>
      <c r="J245" s="168" t="s">
        <v>393</v>
      </c>
    </row>
    <row r="246" spans="1:10" hidden="1" x14ac:dyDescent="0.2">
      <c r="A246" s="164" t="s">
        <v>840</v>
      </c>
      <c r="B246" s="165" t="s">
        <v>452</v>
      </c>
      <c r="C246" s="165" t="s">
        <v>488</v>
      </c>
      <c r="D246" s="165" t="s">
        <v>489</v>
      </c>
      <c r="E246" s="165">
        <v>648296</v>
      </c>
      <c r="F246" s="165">
        <v>60260</v>
      </c>
      <c r="G246" s="165">
        <v>433236</v>
      </c>
      <c r="H246" s="166">
        <v>89878</v>
      </c>
      <c r="I246" s="167" t="s">
        <v>760</v>
      </c>
      <c r="J246" s="168" t="s">
        <v>393</v>
      </c>
    </row>
    <row r="247" spans="1:10" hidden="1" x14ac:dyDescent="0.2">
      <c r="A247" s="164" t="s">
        <v>840</v>
      </c>
      <c r="B247" s="165" t="s">
        <v>452</v>
      </c>
      <c r="C247" s="165" t="s">
        <v>526</v>
      </c>
      <c r="D247" s="165" t="s">
        <v>527</v>
      </c>
      <c r="E247" s="165">
        <v>648359</v>
      </c>
      <c r="F247" s="165">
        <v>75641</v>
      </c>
      <c r="G247" s="165">
        <v>730819</v>
      </c>
      <c r="H247" s="166">
        <v>648327</v>
      </c>
      <c r="I247" s="167" t="s">
        <v>760</v>
      </c>
      <c r="J247" s="168" t="s">
        <v>393</v>
      </c>
    </row>
    <row r="248" spans="1:10" hidden="1" x14ac:dyDescent="0.2">
      <c r="A248" s="164" t="s">
        <v>840</v>
      </c>
      <c r="B248" s="165" t="s">
        <v>452</v>
      </c>
      <c r="C248" s="165" t="s">
        <v>490</v>
      </c>
      <c r="D248" s="165" t="s">
        <v>491</v>
      </c>
      <c r="E248" s="165">
        <v>648297</v>
      </c>
      <c r="F248" s="165">
        <v>87883</v>
      </c>
      <c r="G248" s="165">
        <v>3534209</v>
      </c>
      <c r="H248" s="166">
        <v>89879</v>
      </c>
      <c r="I248" s="167" t="s">
        <v>760</v>
      </c>
      <c r="J248" s="168" t="s">
        <v>393</v>
      </c>
    </row>
    <row r="249" spans="1:10" hidden="1" x14ac:dyDescent="0.2">
      <c r="A249" s="164" t="s">
        <v>840</v>
      </c>
      <c r="B249" s="165" t="s">
        <v>452</v>
      </c>
      <c r="C249" s="165" t="s">
        <v>247</v>
      </c>
      <c r="D249" s="165" t="s">
        <v>248</v>
      </c>
      <c r="E249" s="165">
        <v>648039</v>
      </c>
      <c r="F249" s="165">
        <v>88033</v>
      </c>
      <c r="G249" s="165">
        <v>3553104</v>
      </c>
      <c r="H249" s="166">
        <v>89799</v>
      </c>
      <c r="I249" s="167" t="s">
        <v>761</v>
      </c>
      <c r="J249" s="168" t="s">
        <v>393</v>
      </c>
    </row>
    <row r="250" spans="1:10" hidden="1" x14ac:dyDescent="0.2">
      <c r="A250" s="164" t="s">
        <v>840</v>
      </c>
      <c r="B250" s="165" t="s">
        <v>452</v>
      </c>
      <c r="C250" s="165" t="s">
        <v>497</v>
      </c>
      <c r="D250" s="165" t="s">
        <v>498</v>
      </c>
      <c r="E250" s="165">
        <v>648299</v>
      </c>
      <c r="F250" s="165">
        <v>87895</v>
      </c>
      <c r="G250" s="165">
        <v>3534360</v>
      </c>
      <c r="H250" s="166">
        <v>89883</v>
      </c>
      <c r="I250" s="167" t="s">
        <v>760</v>
      </c>
      <c r="J250" s="168" t="s">
        <v>393</v>
      </c>
    </row>
    <row r="251" spans="1:10" hidden="1" x14ac:dyDescent="0.2">
      <c r="A251" s="164" t="s">
        <v>840</v>
      </c>
      <c r="B251" s="165" t="s">
        <v>452</v>
      </c>
      <c r="C251" s="165" t="s">
        <v>492</v>
      </c>
      <c r="D251" s="165" t="s">
        <v>493</v>
      </c>
      <c r="E251" s="165">
        <v>648300</v>
      </c>
      <c r="F251" s="165">
        <v>87867</v>
      </c>
      <c r="G251" s="165">
        <v>3534207</v>
      </c>
      <c r="H251" s="166">
        <v>89880</v>
      </c>
      <c r="I251" s="167" t="s">
        <v>760</v>
      </c>
      <c r="J251" s="168" t="s">
        <v>393</v>
      </c>
    </row>
    <row r="252" spans="1:10" hidden="1" x14ac:dyDescent="0.2">
      <c r="A252" s="164" t="s">
        <v>840</v>
      </c>
      <c r="B252" s="165" t="s">
        <v>452</v>
      </c>
      <c r="C252" s="165" t="s">
        <v>253</v>
      </c>
      <c r="D252" s="165" t="s">
        <v>254</v>
      </c>
      <c r="E252" s="165">
        <v>648040</v>
      </c>
      <c r="F252" s="165">
        <v>88034</v>
      </c>
      <c r="G252" s="165">
        <v>3553109</v>
      </c>
      <c r="H252" s="166">
        <v>648240</v>
      </c>
      <c r="I252" s="167" t="s">
        <v>761</v>
      </c>
      <c r="J252" s="168" t="s">
        <v>393</v>
      </c>
    </row>
    <row r="253" spans="1:10" hidden="1" x14ac:dyDescent="0.2">
      <c r="A253" s="164" t="s">
        <v>840</v>
      </c>
      <c r="B253" s="165" t="s">
        <v>452</v>
      </c>
      <c r="C253" s="165" t="s">
        <v>494</v>
      </c>
      <c r="D253" s="165" t="s">
        <v>495</v>
      </c>
      <c r="E253" s="165">
        <v>648301</v>
      </c>
      <c r="F253" s="165">
        <v>87891</v>
      </c>
      <c r="G253" s="165">
        <v>3522061</v>
      </c>
      <c r="H253" s="166">
        <v>89881</v>
      </c>
      <c r="I253" s="167" t="s">
        <v>760</v>
      </c>
      <c r="J253" s="168" t="s">
        <v>393</v>
      </c>
    </row>
    <row r="254" spans="1:10" hidden="1" x14ac:dyDescent="0.2">
      <c r="A254" s="164" t="s">
        <v>840</v>
      </c>
      <c r="B254" s="165" t="s">
        <v>568</v>
      </c>
      <c r="C254" s="165" t="s">
        <v>204</v>
      </c>
      <c r="D254" s="165" t="s">
        <v>449</v>
      </c>
      <c r="E254" s="165">
        <v>648221</v>
      </c>
      <c r="F254" s="165">
        <v>85556</v>
      </c>
      <c r="G254" s="165">
        <v>2758426</v>
      </c>
      <c r="H254" s="166">
        <v>89909</v>
      </c>
      <c r="I254" s="167" t="s">
        <v>760</v>
      </c>
      <c r="J254" s="168" t="s">
        <v>393</v>
      </c>
    </row>
    <row r="255" spans="1:10" hidden="1" x14ac:dyDescent="0.2">
      <c r="A255" s="164" t="s">
        <v>840</v>
      </c>
      <c r="B255" s="165" t="s">
        <v>568</v>
      </c>
      <c r="C255" s="165" t="s">
        <v>450</v>
      </c>
      <c r="D255" s="165" t="s">
        <v>451</v>
      </c>
      <c r="E255" s="165">
        <v>648230</v>
      </c>
      <c r="F255" s="165">
        <v>81664</v>
      </c>
      <c r="G255" s="165">
        <v>2024463</v>
      </c>
      <c r="H255" s="166">
        <v>89910</v>
      </c>
      <c r="I255" s="167" t="s">
        <v>760</v>
      </c>
      <c r="J255" s="168" t="s">
        <v>393</v>
      </c>
    </row>
    <row r="256" spans="1:10" hidden="1" x14ac:dyDescent="0.2">
      <c r="A256" s="164" t="s">
        <v>840</v>
      </c>
      <c r="B256" s="165" t="s">
        <v>568</v>
      </c>
      <c r="C256" s="165" t="s">
        <v>134</v>
      </c>
      <c r="D256" s="165" t="s">
        <v>448</v>
      </c>
      <c r="E256" s="165">
        <v>648220</v>
      </c>
      <c r="F256" s="165">
        <v>80879</v>
      </c>
      <c r="G256" s="165">
        <v>1833170</v>
      </c>
      <c r="H256" s="166">
        <v>89908</v>
      </c>
      <c r="I256" s="167" t="s">
        <v>760</v>
      </c>
      <c r="J256" s="168" t="s">
        <v>393</v>
      </c>
    </row>
    <row r="257" spans="1:10" hidden="1" x14ac:dyDescent="0.2">
      <c r="A257" s="164" t="s">
        <v>840</v>
      </c>
      <c r="B257" s="165" t="s">
        <v>568</v>
      </c>
      <c r="C257" s="165" t="s">
        <v>228</v>
      </c>
      <c r="D257" s="165" t="s">
        <v>229</v>
      </c>
      <c r="E257" s="165">
        <v>648041</v>
      </c>
      <c r="F257" s="165">
        <v>88035</v>
      </c>
      <c r="G257" s="165">
        <v>3553153</v>
      </c>
      <c r="H257" s="166">
        <v>89938</v>
      </c>
      <c r="I257" s="167" t="s">
        <v>760</v>
      </c>
      <c r="J257" s="168" t="s">
        <v>393</v>
      </c>
    </row>
    <row r="258" spans="1:10" hidden="1" x14ac:dyDescent="0.2">
      <c r="A258" s="164" t="s">
        <v>840</v>
      </c>
      <c r="B258" s="165" t="s">
        <v>568</v>
      </c>
      <c r="C258" s="165" t="s">
        <v>334</v>
      </c>
      <c r="D258" s="165" t="s">
        <v>569</v>
      </c>
      <c r="E258" s="165">
        <v>648367</v>
      </c>
      <c r="F258" s="165">
        <v>84602</v>
      </c>
      <c r="G258" s="165">
        <v>2744900</v>
      </c>
      <c r="H258" s="166">
        <v>648334</v>
      </c>
      <c r="I258" s="167" t="s">
        <v>761</v>
      </c>
      <c r="J258" s="168" t="s">
        <v>393</v>
      </c>
    </row>
    <row r="259" spans="1:10" hidden="1" x14ac:dyDescent="0.2">
      <c r="A259" s="164" t="s">
        <v>840</v>
      </c>
      <c r="B259" s="165" t="s">
        <v>568</v>
      </c>
      <c r="C259" s="165" t="s">
        <v>570</v>
      </c>
      <c r="D259" s="165" t="s">
        <v>571</v>
      </c>
      <c r="E259" s="165">
        <v>648350</v>
      </c>
      <c r="F259" s="165">
        <v>83317</v>
      </c>
      <c r="G259" s="165">
        <v>2445631</v>
      </c>
      <c r="H259" s="166">
        <v>648324</v>
      </c>
      <c r="I259" s="167" t="s">
        <v>760</v>
      </c>
      <c r="J259" s="168" t="s">
        <v>393</v>
      </c>
    </row>
    <row r="260" spans="1:10" hidden="1" x14ac:dyDescent="0.2">
      <c r="A260" s="164" t="s">
        <v>840</v>
      </c>
      <c r="B260" s="165" t="s">
        <v>568</v>
      </c>
      <c r="C260" s="165" t="s">
        <v>572</v>
      </c>
      <c r="D260" s="165" t="s">
        <v>573</v>
      </c>
      <c r="E260" s="165">
        <v>648376</v>
      </c>
      <c r="F260" s="165">
        <v>86048</v>
      </c>
      <c r="G260" s="165">
        <v>3124769</v>
      </c>
      <c r="H260" s="166">
        <v>648340</v>
      </c>
      <c r="I260" s="167" t="s">
        <v>760</v>
      </c>
      <c r="J260" s="168" t="s">
        <v>393</v>
      </c>
    </row>
    <row r="261" spans="1:10" hidden="1" x14ac:dyDescent="0.2">
      <c r="A261" s="164" t="s">
        <v>840</v>
      </c>
      <c r="B261" s="165" t="s">
        <v>568</v>
      </c>
      <c r="C261" s="165" t="s">
        <v>147</v>
      </c>
      <c r="D261" s="165" t="s">
        <v>574</v>
      </c>
      <c r="E261" s="165">
        <v>648358</v>
      </c>
      <c r="F261" s="165">
        <v>80032</v>
      </c>
      <c r="G261" s="165">
        <v>1534867</v>
      </c>
      <c r="H261" s="166">
        <v>648330</v>
      </c>
      <c r="I261" s="167" t="s">
        <v>760</v>
      </c>
      <c r="J261" s="168" t="s">
        <v>393</v>
      </c>
    </row>
    <row r="262" spans="1:10" hidden="1" x14ac:dyDescent="0.2">
      <c r="A262" s="164" t="s">
        <v>840</v>
      </c>
      <c r="B262" s="165" t="s">
        <v>568</v>
      </c>
      <c r="C262" s="165" t="s">
        <v>575</v>
      </c>
      <c r="D262" s="165" t="s">
        <v>576</v>
      </c>
      <c r="E262" s="165">
        <v>648374</v>
      </c>
      <c r="F262" s="165">
        <v>85181</v>
      </c>
      <c r="G262" s="165">
        <v>2360478</v>
      </c>
      <c r="H262" s="166">
        <v>648339</v>
      </c>
      <c r="I262" s="167" t="s">
        <v>761</v>
      </c>
      <c r="J262" s="168" t="s">
        <v>393</v>
      </c>
    </row>
    <row r="263" spans="1:10" hidden="1" x14ac:dyDescent="0.2">
      <c r="A263" s="164" t="s">
        <v>840</v>
      </c>
      <c r="B263" s="165" t="s">
        <v>568</v>
      </c>
      <c r="C263" s="165" t="s">
        <v>112</v>
      </c>
      <c r="D263" s="165" t="s">
        <v>113</v>
      </c>
      <c r="E263" s="165">
        <v>89018</v>
      </c>
      <c r="F263" s="165">
        <v>85610</v>
      </c>
      <c r="G263" s="165">
        <v>2873906</v>
      </c>
      <c r="H263" s="166">
        <v>89994</v>
      </c>
      <c r="I263" s="167" t="s">
        <v>760</v>
      </c>
      <c r="J263" s="168" t="s">
        <v>393</v>
      </c>
    </row>
    <row r="264" spans="1:10" hidden="1" x14ac:dyDescent="0.2">
      <c r="A264" s="164" t="s">
        <v>840</v>
      </c>
      <c r="B264" s="165" t="s">
        <v>568</v>
      </c>
      <c r="C264" s="165" t="s">
        <v>529</v>
      </c>
      <c r="D264" s="165" t="s">
        <v>530</v>
      </c>
      <c r="E264" s="165">
        <v>648356</v>
      </c>
      <c r="F264" s="165">
        <v>68100</v>
      </c>
      <c r="G264" s="165">
        <v>500872</v>
      </c>
      <c r="H264" s="166">
        <v>648325</v>
      </c>
      <c r="I264" s="167" t="s">
        <v>760</v>
      </c>
      <c r="J264" s="168" t="s">
        <v>393</v>
      </c>
    </row>
    <row r="265" spans="1:10" hidden="1" x14ac:dyDescent="0.2">
      <c r="A265" s="164" t="s">
        <v>840</v>
      </c>
      <c r="B265" s="165" t="s">
        <v>568</v>
      </c>
      <c r="C265" s="165" t="s">
        <v>531</v>
      </c>
      <c r="D265" s="165" t="s">
        <v>532</v>
      </c>
      <c r="E265" s="165">
        <v>648362</v>
      </c>
      <c r="F265" s="165">
        <v>70186</v>
      </c>
      <c r="G265" s="165">
        <v>487637</v>
      </c>
      <c r="H265" s="166">
        <v>648329</v>
      </c>
      <c r="I265" s="167" t="s">
        <v>761</v>
      </c>
      <c r="J265" s="168" t="s">
        <v>393</v>
      </c>
    </row>
    <row r="266" spans="1:10" hidden="1" x14ac:dyDescent="0.2">
      <c r="A266" s="164" t="s">
        <v>840</v>
      </c>
      <c r="B266" s="165" t="s">
        <v>568</v>
      </c>
      <c r="C266" s="165" t="s">
        <v>533</v>
      </c>
      <c r="D266" s="165" t="s">
        <v>534</v>
      </c>
      <c r="E266" s="165">
        <v>648360</v>
      </c>
      <c r="F266" s="165">
        <v>81211</v>
      </c>
      <c r="G266" s="165">
        <v>1915088</v>
      </c>
      <c r="H266" s="166">
        <v>648328</v>
      </c>
      <c r="I266" s="167" t="s">
        <v>760</v>
      </c>
      <c r="J266" s="168" t="s">
        <v>393</v>
      </c>
    </row>
    <row r="267" spans="1:10" hidden="1" x14ac:dyDescent="0.2">
      <c r="A267" s="164" t="s">
        <v>840</v>
      </c>
      <c r="B267" s="165" t="s">
        <v>568</v>
      </c>
      <c r="C267" s="165" t="s">
        <v>92</v>
      </c>
      <c r="D267" s="165" t="s">
        <v>93</v>
      </c>
      <c r="E267" s="165">
        <v>89289</v>
      </c>
      <c r="F267" s="165">
        <v>88151</v>
      </c>
      <c r="G267" s="165">
        <v>1690062</v>
      </c>
      <c r="H267" s="166">
        <v>89950</v>
      </c>
      <c r="I267" s="167" t="s">
        <v>760</v>
      </c>
      <c r="J267" s="168" t="s">
        <v>393</v>
      </c>
    </row>
    <row r="268" spans="1:10" hidden="1" x14ac:dyDescent="0.2">
      <c r="A268" s="164" t="s">
        <v>840</v>
      </c>
      <c r="B268" s="165" t="s">
        <v>568</v>
      </c>
      <c r="C268" s="165" t="s">
        <v>92</v>
      </c>
      <c r="D268" s="165" t="s">
        <v>577</v>
      </c>
      <c r="E268" s="165">
        <v>648373</v>
      </c>
      <c r="F268" s="165">
        <v>84600</v>
      </c>
      <c r="G268" s="165">
        <v>1601683</v>
      </c>
      <c r="H268" s="166">
        <v>648338</v>
      </c>
      <c r="I268" s="167" t="s">
        <v>761</v>
      </c>
      <c r="J268" s="168" t="s">
        <v>393</v>
      </c>
    </row>
    <row r="269" spans="1:10" hidden="1" x14ac:dyDescent="0.2">
      <c r="A269" s="164" t="s">
        <v>840</v>
      </c>
      <c r="B269" s="165" t="s">
        <v>568</v>
      </c>
      <c r="C269" s="165" t="s">
        <v>535</v>
      </c>
      <c r="D269" s="165" t="s">
        <v>536</v>
      </c>
      <c r="E269" s="165">
        <v>648357</v>
      </c>
      <c r="F269" s="165">
        <v>59401</v>
      </c>
      <c r="G269" s="165">
        <v>432923</v>
      </c>
      <c r="H269" s="166">
        <v>648326</v>
      </c>
      <c r="I269" s="167" t="s">
        <v>760</v>
      </c>
      <c r="J269" s="168" t="s">
        <v>393</v>
      </c>
    </row>
    <row r="270" spans="1:10" hidden="1" x14ac:dyDescent="0.2">
      <c r="A270" s="164" t="s">
        <v>840</v>
      </c>
      <c r="B270" s="165" t="s">
        <v>568</v>
      </c>
      <c r="C270" s="165" t="s">
        <v>578</v>
      </c>
      <c r="D270" s="165" t="s">
        <v>579</v>
      </c>
      <c r="E270" s="165">
        <v>648363</v>
      </c>
      <c r="F270" s="165">
        <v>83489</v>
      </c>
      <c r="G270" s="165">
        <v>2490376</v>
      </c>
      <c r="H270" s="166">
        <v>648331</v>
      </c>
      <c r="I270" s="167" t="s">
        <v>760</v>
      </c>
      <c r="J270" s="168" t="s">
        <v>393</v>
      </c>
    </row>
    <row r="271" spans="1:10" hidden="1" x14ac:dyDescent="0.2">
      <c r="A271" s="164" t="s">
        <v>840</v>
      </c>
      <c r="B271" s="165" t="s">
        <v>568</v>
      </c>
      <c r="C271" s="165" t="s">
        <v>580</v>
      </c>
      <c r="D271" s="165" t="s">
        <v>581</v>
      </c>
      <c r="E271" s="165">
        <v>648371</v>
      </c>
      <c r="F271" s="165">
        <v>80860</v>
      </c>
      <c r="G271" s="165">
        <v>1817065</v>
      </c>
      <c r="H271" s="166">
        <v>648336</v>
      </c>
      <c r="I271" s="167" t="s">
        <v>760</v>
      </c>
      <c r="J271" s="168" t="s">
        <v>393</v>
      </c>
    </row>
    <row r="272" spans="1:10" hidden="1" x14ac:dyDescent="0.2">
      <c r="A272" s="164" t="s">
        <v>840</v>
      </c>
      <c r="B272" s="165" t="s">
        <v>568</v>
      </c>
      <c r="C272" s="165" t="s">
        <v>377</v>
      </c>
      <c r="D272" s="165" t="s">
        <v>582</v>
      </c>
      <c r="E272" s="165">
        <v>648372</v>
      </c>
      <c r="F272" s="165">
        <v>81847</v>
      </c>
      <c r="G272" s="165">
        <v>2076324</v>
      </c>
      <c r="H272" s="166">
        <v>648337</v>
      </c>
      <c r="I272" s="167" t="s">
        <v>760</v>
      </c>
      <c r="J272" s="168" t="s">
        <v>393</v>
      </c>
    </row>
    <row r="273" spans="1:10" hidden="1" x14ac:dyDescent="0.2">
      <c r="A273" s="164" t="s">
        <v>840</v>
      </c>
      <c r="B273" s="165" t="s">
        <v>453</v>
      </c>
      <c r="C273" s="165" t="s">
        <v>441</v>
      </c>
      <c r="D273" s="165" t="s">
        <v>442</v>
      </c>
      <c r="E273" s="165">
        <v>648222</v>
      </c>
      <c r="F273" s="165">
        <v>84367</v>
      </c>
      <c r="G273" s="165">
        <v>2741462</v>
      </c>
      <c r="H273" s="166">
        <v>89919</v>
      </c>
      <c r="I273" s="167" t="s">
        <v>760</v>
      </c>
      <c r="J273" s="168" t="s">
        <v>393</v>
      </c>
    </row>
    <row r="274" spans="1:10" hidden="1" x14ac:dyDescent="0.2">
      <c r="A274" s="164" t="s">
        <v>840</v>
      </c>
      <c r="B274" s="165" t="s">
        <v>453</v>
      </c>
      <c r="C274" s="165" t="s">
        <v>208</v>
      </c>
      <c r="D274" s="165" t="s">
        <v>209</v>
      </c>
      <c r="E274" s="165">
        <v>89308</v>
      </c>
      <c r="F274" s="165">
        <v>88169</v>
      </c>
      <c r="G274" s="165">
        <v>3624172</v>
      </c>
      <c r="H274" s="166">
        <v>89883</v>
      </c>
      <c r="I274" s="167" t="s">
        <v>760</v>
      </c>
      <c r="J274" s="168" t="s">
        <v>393</v>
      </c>
    </row>
    <row r="275" spans="1:10" hidden="1" x14ac:dyDescent="0.2">
      <c r="A275" s="164" t="s">
        <v>840</v>
      </c>
      <c r="B275" s="165" t="s">
        <v>453</v>
      </c>
      <c r="C275" s="165" t="s">
        <v>136</v>
      </c>
      <c r="D275" s="165" t="s">
        <v>137</v>
      </c>
      <c r="E275" s="165">
        <v>648045</v>
      </c>
      <c r="F275" s="165">
        <v>88043</v>
      </c>
      <c r="G275" s="165">
        <v>3553124</v>
      </c>
      <c r="H275" s="166">
        <v>89884</v>
      </c>
      <c r="I275" s="167" t="s">
        <v>760</v>
      </c>
      <c r="J275" s="168" t="s">
        <v>393</v>
      </c>
    </row>
    <row r="276" spans="1:10" hidden="1" x14ac:dyDescent="0.2">
      <c r="A276" s="164" t="s">
        <v>840</v>
      </c>
      <c r="B276" s="165" t="s">
        <v>453</v>
      </c>
      <c r="C276" s="165" t="s">
        <v>326</v>
      </c>
      <c r="D276" s="165" t="s">
        <v>327</v>
      </c>
      <c r="E276" s="165">
        <v>89102</v>
      </c>
      <c r="F276" s="165">
        <v>82973</v>
      </c>
      <c r="G276" s="165">
        <v>2397193</v>
      </c>
      <c r="H276" s="166">
        <v>89885</v>
      </c>
      <c r="I276" s="167" t="s">
        <v>760</v>
      </c>
      <c r="J276" s="168" t="s">
        <v>393</v>
      </c>
    </row>
    <row r="277" spans="1:10" hidden="1" x14ac:dyDescent="0.2">
      <c r="A277" s="164" t="s">
        <v>840</v>
      </c>
      <c r="B277" s="165" t="s">
        <v>453</v>
      </c>
      <c r="C277" s="165" t="s">
        <v>31</v>
      </c>
      <c r="D277" s="165" t="s">
        <v>32</v>
      </c>
      <c r="E277" s="165">
        <v>89264</v>
      </c>
      <c r="F277" s="165">
        <v>88039</v>
      </c>
      <c r="G277" s="165">
        <v>3553117</v>
      </c>
      <c r="H277" s="166">
        <v>89889</v>
      </c>
      <c r="I277" s="167" t="s">
        <v>760</v>
      </c>
      <c r="J277" s="168" t="s">
        <v>393</v>
      </c>
    </row>
    <row r="278" spans="1:10" hidden="1" x14ac:dyDescent="0.2">
      <c r="A278" s="164" t="s">
        <v>840</v>
      </c>
      <c r="B278" s="165" t="s">
        <v>453</v>
      </c>
      <c r="C278" s="165" t="s">
        <v>33</v>
      </c>
      <c r="D278" s="165" t="s">
        <v>34</v>
      </c>
      <c r="E278" s="165">
        <v>89060</v>
      </c>
      <c r="F278" s="165">
        <v>84980</v>
      </c>
      <c r="G278" s="165">
        <v>2783370</v>
      </c>
      <c r="H278" s="166">
        <v>89874</v>
      </c>
      <c r="I278" s="167" t="s">
        <v>760</v>
      </c>
      <c r="J278" s="168" t="s">
        <v>393</v>
      </c>
    </row>
    <row r="279" spans="1:10" hidden="1" x14ac:dyDescent="0.2">
      <c r="A279" s="164" t="s">
        <v>840</v>
      </c>
      <c r="B279" s="165" t="s">
        <v>453</v>
      </c>
      <c r="C279" s="165" t="s">
        <v>214</v>
      </c>
      <c r="D279" s="165" t="s">
        <v>215</v>
      </c>
      <c r="E279" s="165">
        <v>89303</v>
      </c>
      <c r="F279" s="165">
        <v>88164</v>
      </c>
      <c r="G279" s="165">
        <v>3624151</v>
      </c>
      <c r="H279" s="166">
        <v>89888</v>
      </c>
      <c r="I279" s="167" t="s">
        <v>760</v>
      </c>
      <c r="J279" s="168" t="s">
        <v>393</v>
      </c>
    </row>
    <row r="280" spans="1:10" hidden="1" x14ac:dyDescent="0.2">
      <c r="A280" s="164" t="s">
        <v>840</v>
      </c>
      <c r="B280" s="165" t="s">
        <v>453</v>
      </c>
      <c r="C280" s="165" t="s">
        <v>379</v>
      </c>
      <c r="D280" s="165" t="s">
        <v>380</v>
      </c>
      <c r="E280" s="165">
        <v>648077</v>
      </c>
      <c r="F280" s="165">
        <v>88361</v>
      </c>
      <c r="G280" s="165">
        <v>3667101</v>
      </c>
      <c r="H280" s="166">
        <v>89879</v>
      </c>
      <c r="I280" s="167" t="s">
        <v>760</v>
      </c>
      <c r="J280" s="168" t="s">
        <v>393</v>
      </c>
    </row>
    <row r="281" spans="1:10" hidden="1" x14ac:dyDescent="0.2">
      <c r="A281" s="164" t="s">
        <v>840</v>
      </c>
      <c r="B281" s="165" t="s">
        <v>453</v>
      </c>
      <c r="C281" s="165" t="s">
        <v>68</v>
      </c>
      <c r="D281" s="165" t="s">
        <v>547</v>
      </c>
      <c r="E281" s="165">
        <v>648353</v>
      </c>
      <c r="F281" s="165">
        <v>69253</v>
      </c>
      <c r="G281" s="165">
        <v>464833</v>
      </c>
      <c r="H281" s="166">
        <v>648335</v>
      </c>
      <c r="I281" s="167" t="s">
        <v>760</v>
      </c>
      <c r="J281" s="168" t="s">
        <v>393</v>
      </c>
    </row>
    <row r="282" spans="1:10" hidden="1" x14ac:dyDescent="0.2">
      <c r="A282" s="164" t="s">
        <v>840</v>
      </c>
      <c r="B282" s="165" t="s">
        <v>453</v>
      </c>
      <c r="C282" s="165" t="s">
        <v>147</v>
      </c>
      <c r="D282" s="165" t="s">
        <v>148</v>
      </c>
      <c r="E282" s="169">
        <v>89230</v>
      </c>
      <c r="F282" s="165">
        <v>87309</v>
      </c>
      <c r="G282" s="165">
        <v>3462510</v>
      </c>
      <c r="H282" s="166">
        <v>89759</v>
      </c>
      <c r="I282" s="167" t="s">
        <v>760</v>
      </c>
      <c r="J282" s="168" t="s">
        <v>393</v>
      </c>
    </row>
    <row r="283" spans="1:10" hidden="1" x14ac:dyDescent="0.2">
      <c r="A283" s="164" t="s">
        <v>840</v>
      </c>
      <c r="B283" s="165" t="s">
        <v>453</v>
      </c>
      <c r="C283" s="165" t="s">
        <v>174</v>
      </c>
      <c r="D283" s="165" t="s">
        <v>219</v>
      </c>
      <c r="E283" s="165">
        <v>89299</v>
      </c>
      <c r="F283" s="165">
        <v>88160</v>
      </c>
      <c r="G283" s="165">
        <v>2538332</v>
      </c>
      <c r="H283" s="166">
        <v>89760</v>
      </c>
      <c r="I283" s="167" t="s">
        <v>760</v>
      </c>
      <c r="J283" s="168" t="s">
        <v>393</v>
      </c>
    </row>
    <row r="284" spans="1:10" hidden="1" x14ac:dyDescent="0.2">
      <c r="A284" s="164" t="s">
        <v>840</v>
      </c>
      <c r="B284" s="165" t="s">
        <v>453</v>
      </c>
      <c r="C284" s="165" t="s">
        <v>375</v>
      </c>
      <c r="D284" s="165" t="s">
        <v>376</v>
      </c>
      <c r="E284" s="165">
        <v>648075</v>
      </c>
      <c r="F284" s="165">
        <v>88359</v>
      </c>
      <c r="G284" s="165">
        <v>3646861</v>
      </c>
      <c r="H284" s="166">
        <v>89761</v>
      </c>
      <c r="I284" s="167" t="s">
        <v>760</v>
      </c>
      <c r="J284" s="168" t="s">
        <v>393</v>
      </c>
    </row>
    <row r="285" spans="1:10" hidden="1" x14ac:dyDescent="0.2">
      <c r="A285" s="164" t="s">
        <v>840</v>
      </c>
      <c r="B285" s="165" t="s">
        <v>453</v>
      </c>
      <c r="C285" s="165" t="s">
        <v>367</v>
      </c>
      <c r="D285" s="165" t="s">
        <v>443</v>
      </c>
      <c r="E285" s="165">
        <v>648227</v>
      </c>
      <c r="F285" s="165">
        <v>84358</v>
      </c>
      <c r="G285" s="165">
        <v>2741865</v>
      </c>
      <c r="H285" s="166">
        <v>89920</v>
      </c>
      <c r="I285" s="167" t="s">
        <v>760</v>
      </c>
      <c r="J285" s="168" t="s">
        <v>393</v>
      </c>
    </row>
    <row r="286" spans="1:10" hidden="1" x14ac:dyDescent="0.2">
      <c r="A286" s="164" t="s">
        <v>840</v>
      </c>
      <c r="B286" s="165" t="s">
        <v>453</v>
      </c>
      <c r="C286" s="165" t="s">
        <v>553</v>
      </c>
      <c r="D286" s="165" t="s">
        <v>554</v>
      </c>
      <c r="E286" s="165">
        <v>648388</v>
      </c>
      <c r="F286" s="165">
        <v>84641</v>
      </c>
      <c r="G286" s="165">
        <v>2746225</v>
      </c>
      <c r="H286" s="166">
        <v>648328</v>
      </c>
      <c r="I286" s="167" t="s">
        <v>760</v>
      </c>
      <c r="J286" s="168" t="s">
        <v>393</v>
      </c>
    </row>
    <row r="287" spans="1:10" hidden="1" x14ac:dyDescent="0.2">
      <c r="A287" s="164" t="s">
        <v>840</v>
      </c>
      <c r="B287" s="165" t="s">
        <v>453</v>
      </c>
      <c r="C287" s="165" t="s">
        <v>438</v>
      </c>
      <c r="D287" s="165" t="s">
        <v>439</v>
      </c>
      <c r="E287" s="165">
        <v>648239</v>
      </c>
      <c r="F287" s="165">
        <v>79828</v>
      </c>
      <c r="G287" s="165">
        <v>1496443</v>
      </c>
      <c r="H287" s="166">
        <v>89917</v>
      </c>
      <c r="I287" s="167" t="s">
        <v>760</v>
      </c>
      <c r="J287" s="168" t="s">
        <v>393</v>
      </c>
    </row>
    <row r="288" spans="1:10" hidden="1" x14ac:dyDescent="0.2">
      <c r="A288" s="164" t="s">
        <v>840</v>
      </c>
      <c r="B288" s="165" t="s">
        <v>453</v>
      </c>
      <c r="C288" s="165" t="s">
        <v>481</v>
      </c>
      <c r="D288" s="165" t="s">
        <v>482</v>
      </c>
      <c r="E288" s="165">
        <v>648313</v>
      </c>
      <c r="F288" s="165">
        <v>87884</v>
      </c>
      <c r="G288" s="165">
        <v>3102002</v>
      </c>
      <c r="H288" s="166">
        <v>89998</v>
      </c>
      <c r="I288" s="167" t="s">
        <v>760</v>
      </c>
      <c r="J288" s="168" t="s">
        <v>393</v>
      </c>
    </row>
    <row r="289" spans="1:10" hidden="1" x14ac:dyDescent="0.2">
      <c r="A289" s="164" t="s">
        <v>840</v>
      </c>
      <c r="B289" s="165" t="s">
        <v>453</v>
      </c>
      <c r="C289" s="165" t="s">
        <v>54</v>
      </c>
      <c r="D289" s="165" t="s">
        <v>55</v>
      </c>
      <c r="E289" s="165">
        <v>89167</v>
      </c>
      <c r="F289" s="165">
        <v>86287</v>
      </c>
      <c r="G289" s="165">
        <v>3133268</v>
      </c>
      <c r="H289" s="166">
        <v>89762</v>
      </c>
      <c r="I289" s="167" t="s">
        <v>760</v>
      </c>
      <c r="J289" s="168" t="s">
        <v>393</v>
      </c>
    </row>
    <row r="290" spans="1:10" hidden="1" x14ac:dyDescent="0.2">
      <c r="A290" s="164" t="s">
        <v>840</v>
      </c>
      <c r="B290" s="165" t="s">
        <v>453</v>
      </c>
      <c r="C290" s="165" t="s">
        <v>382</v>
      </c>
      <c r="D290" s="165" t="s">
        <v>383</v>
      </c>
      <c r="E290" s="165">
        <v>89334</v>
      </c>
      <c r="F290" s="165">
        <v>88364</v>
      </c>
      <c r="G290" s="165">
        <v>3667104</v>
      </c>
      <c r="H290" s="166">
        <v>89763</v>
      </c>
      <c r="I290" s="167" t="s">
        <v>760</v>
      </c>
      <c r="J290" s="168" t="s">
        <v>393</v>
      </c>
    </row>
    <row r="291" spans="1:10" hidden="1" x14ac:dyDescent="0.2">
      <c r="A291" s="164" t="s">
        <v>840</v>
      </c>
      <c r="B291" s="165" t="s">
        <v>453</v>
      </c>
      <c r="C291" s="165" t="s">
        <v>318</v>
      </c>
      <c r="D291" s="165" t="s">
        <v>319</v>
      </c>
      <c r="E291" s="165">
        <v>89221</v>
      </c>
      <c r="F291" s="165">
        <v>87055</v>
      </c>
      <c r="G291" s="165">
        <v>3409601</v>
      </c>
      <c r="H291" s="166">
        <v>89765</v>
      </c>
      <c r="I291" s="167" t="s">
        <v>760</v>
      </c>
      <c r="J291" s="168" t="s">
        <v>393</v>
      </c>
    </row>
    <row r="292" spans="1:10" hidden="1" x14ac:dyDescent="0.2">
      <c r="A292" s="178" t="s">
        <v>840</v>
      </c>
      <c r="B292" s="179" t="s">
        <v>389</v>
      </c>
      <c r="C292" s="179" t="s">
        <v>464</v>
      </c>
      <c r="D292" s="179" t="s">
        <v>586</v>
      </c>
      <c r="E292" s="165">
        <v>648307</v>
      </c>
      <c r="F292" s="165">
        <v>87685</v>
      </c>
      <c r="G292" s="165">
        <v>3526349</v>
      </c>
      <c r="H292" s="181"/>
      <c r="I292" s="167" t="s">
        <v>760</v>
      </c>
      <c r="J292" s="168" t="s">
        <v>765</v>
      </c>
    </row>
    <row r="293" spans="1:10" hidden="1" x14ac:dyDescent="0.2">
      <c r="A293" s="164" t="s">
        <v>840</v>
      </c>
      <c r="B293" s="165" t="s">
        <v>389</v>
      </c>
      <c r="C293" s="165" t="s">
        <v>474</v>
      </c>
      <c r="D293" s="165" t="s">
        <v>372</v>
      </c>
      <c r="E293" s="165">
        <v>648317</v>
      </c>
      <c r="F293" s="165">
        <v>87259</v>
      </c>
      <c r="G293" s="165">
        <v>3448408</v>
      </c>
      <c r="H293" s="181"/>
      <c r="I293" s="167" t="s">
        <v>760</v>
      </c>
      <c r="J293" s="168" t="s">
        <v>765</v>
      </c>
    </row>
    <row r="294" spans="1:10" hidden="1" x14ac:dyDescent="0.2">
      <c r="A294" s="164" t="s">
        <v>840</v>
      </c>
      <c r="B294" s="165" t="s">
        <v>389</v>
      </c>
      <c r="C294" s="165" t="s">
        <v>226</v>
      </c>
      <c r="D294" s="165" t="s">
        <v>856</v>
      </c>
      <c r="E294" s="165">
        <v>89274</v>
      </c>
      <c r="F294" s="165">
        <v>88049</v>
      </c>
      <c r="G294" s="165">
        <v>3553148</v>
      </c>
      <c r="H294" s="170"/>
      <c r="I294" s="167"/>
      <c r="J294" s="168" t="s">
        <v>765</v>
      </c>
    </row>
    <row r="295" spans="1:10" hidden="1" x14ac:dyDescent="0.2">
      <c r="A295" s="164" t="s">
        <v>840</v>
      </c>
      <c r="B295" s="165" t="s">
        <v>389</v>
      </c>
      <c r="C295" s="165" t="s">
        <v>17</v>
      </c>
      <c r="D295" s="165" t="s">
        <v>18</v>
      </c>
      <c r="E295" s="169">
        <v>89224</v>
      </c>
      <c r="F295" s="165">
        <v>87317</v>
      </c>
      <c r="G295" s="165">
        <v>3462526</v>
      </c>
      <c r="H295" s="181"/>
      <c r="I295" s="167" t="s">
        <v>760</v>
      </c>
      <c r="J295" s="168" t="s">
        <v>765</v>
      </c>
    </row>
    <row r="296" spans="1:10" hidden="1" x14ac:dyDescent="0.2">
      <c r="A296" s="164" t="s">
        <v>840</v>
      </c>
      <c r="B296" s="165" t="s">
        <v>389</v>
      </c>
      <c r="C296" s="165" t="s">
        <v>17</v>
      </c>
      <c r="D296" s="165" t="s">
        <v>20</v>
      </c>
      <c r="E296" s="165">
        <v>648036</v>
      </c>
      <c r="F296" s="165">
        <v>88040</v>
      </c>
      <c r="G296" s="165">
        <v>1664812</v>
      </c>
      <c r="H296" s="181"/>
      <c r="I296" s="167" t="s">
        <v>760</v>
      </c>
      <c r="J296" s="168" t="s">
        <v>765</v>
      </c>
    </row>
    <row r="297" spans="1:10" hidden="1" x14ac:dyDescent="0.2">
      <c r="A297" s="164" t="s">
        <v>840</v>
      </c>
      <c r="B297" s="165" t="s">
        <v>389</v>
      </c>
      <c r="C297" s="165" t="s">
        <v>465</v>
      </c>
      <c r="D297" s="165" t="s">
        <v>584</v>
      </c>
      <c r="E297" s="165">
        <v>648304</v>
      </c>
      <c r="F297" s="165">
        <v>87686</v>
      </c>
      <c r="G297" s="165">
        <v>3526354</v>
      </c>
      <c r="H297" s="181"/>
      <c r="I297" s="167" t="s">
        <v>760</v>
      </c>
      <c r="J297" s="168" t="s">
        <v>765</v>
      </c>
    </row>
    <row r="298" spans="1:10" hidden="1" x14ac:dyDescent="0.2">
      <c r="A298" s="164" t="s">
        <v>840</v>
      </c>
      <c r="B298" s="165" t="s">
        <v>389</v>
      </c>
      <c r="C298" s="165" t="s">
        <v>330</v>
      </c>
      <c r="D298" s="165" t="s">
        <v>331</v>
      </c>
      <c r="E298" s="165">
        <v>89022</v>
      </c>
      <c r="F298" s="165">
        <v>85620</v>
      </c>
      <c r="G298" s="165">
        <v>2873657</v>
      </c>
      <c r="H298" s="181"/>
      <c r="I298" s="167" t="s">
        <v>760</v>
      </c>
      <c r="J298" s="168" t="s">
        <v>765</v>
      </c>
    </row>
    <row r="299" spans="1:10" hidden="1" x14ac:dyDescent="0.2">
      <c r="A299" s="164" t="s">
        <v>840</v>
      </c>
      <c r="B299" s="165" t="s">
        <v>389</v>
      </c>
      <c r="C299" s="165" t="s">
        <v>857</v>
      </c>
      <c r="D299" s="165" t="s">
        <v>858</v>
      </c>
      <c r="E299" s="165">
        <v>89328</v>
      </c>
      <c r="F299" s="165">
        <v>88358</v>
      </c>
      <c r="G299" s="165">
        <v>3667099</v>
      </c>
      <c r="H299" s="170"/>
      <c r="I299" s="167"/>
      <c r="J299" s="168" t="s">
        <v>765</v>
      </c>
    </row>
    <row r="300" spans="1:10" hidden="1" x14ac:dyDescent="0.2">
      <c r="A300" s="164" t="s">
        <v>840</v>
      </c>
      <c r="B300" s="165" t="s">
        <v>389</v>
      </c>
      <c r="C300" s="165" t="s">
        <v>336</v>
      </c>
      <c r="D300" s="165" t="s">
        <v>337</v>
      </c>
      <c r="E300" s="165">
        <v>89007</v>
      </c>
      <c r="F300" s="165">
        <v>83376</v>
      </c>
      <c r="G300" s="165">
        <v>2453507</v>
      </c>
      <c r="H300" s="181"/>
      <c r="I300" s="167" t="s">
        <v>760</v>
      </c>
      <c r="J300" s="168" t="s">
        <v>765</v>
      </c>
    </row>
    <row r="301" spans="1:10" hidden="1" x14ac:dyDescent="0.2">
      <c r="A301" s="164" t="s">
        <v>840</v>
      </c>
      <c r="B301" s="165" t="s">
        <v>389</v>
      </c>
      <c r="C301" s="165" t="s">
        <v>271</v>
      </c>
      <c r="D301" s="165" t="s">
        <v>859</v>
      </c>
      <c r="E301" s="165">
        <v>89209</v>
      </c>
      <c r="F301" s="165">
        <v>87053</v>
      </c>
      <c r="G301" s="165">
        <v>3409633</v>
      </c>
      <c r="H301" s="170"/>
      <c r="I301" s="167"/>
      <c r="J301" s="168" t="s">
        <v>765</v>
      </c>
    </row>
    <row r="302" spans="1:10" hidden="1" x14ac:dyDescent="0.2">
      <c r="A302" s="164" t="s">
        <v>840</v>
      </c>
      <c r="B302" s="165" t="s">
        <v>389</v>
      </c>
      <c r="C302" s="165" t="s">
        <v>66</v>
      </c>
      <c r="D302" s="165" t="s">
        <v>218</v>
      </c>
      <c r="E302" s="165">
        <v>89300</v>
      </c>
      <c r="F302" s="165">
        <v>88161</v>
      </c>
      <c r="G302" s="165">
        <v>3624113</v>
      </c>
      <c r="H302" s="181"/>
      <c r="I302" s="167" t="s">
        <v>760</v>
      </c>
      <c r="J302" s="168" t="s">
        <v>765</v>
      </c>
    </row>
    <row r="303" spans="1:10" hidden="1" x14ac:dyDescent="0.2">
      <c r="A303" s="164" t="s">
        <v>840</v>
      </c>
      <c r="B303" s="165" t="s">
        <v>389</v>
      </c>
      <c r="C303" s="165" t="s">
        <v>66</v>
      </c>
      <c r="D303" s="165" t="s">
        <v>142</v>
      </c>
      <c r="E303" s="169">
        <v>89238</v>
      </c>
      <c r="F303" s="165">
        <v>87299</v>
      </c>
      <c r="G303" s="165">
        <v>3295607</v>
      </c>
      <c r="H303" s="181"/>
      <c r="I303" s="167" t="s">
        <v>760</v>
      </c>
      <c r="J303" s="168" t="s">
        <v>765</v>
      </c>
    </row>
    <row r="304" spans="1:10" hidden="1" x14ac:dyDescent="0.2">
      <c r="A304" s="164" t="s">
        <v>840</v>
      </c>
      <c r="B304" s="165" t="s">
        <v>389</v>
      </c>
      <c r="C304" s="165" t="s">
        <v>340</v>
      </c>
      <c r="D304" s="165" t="s">
        <v>341</v>
      </c>
      <c r="E304" s="165">
        <v>89187</v>
      </c>
      <c r="F304" s="165">
        <v>86336</v>
      </c>
      <c r="G304" s="165">
        <v>3138449</v>
      </c>
      <c r="H304" s="181"/>
      <c r="I304" s="167" t="s">
        <v>760</v>
      </c>
      <c r="J304" s="168" t="s">
        <v>765</v>
      </c>
    </row>
    <row r="305" spans="1:10" hidden="1" x14ac:dyDescent="0.2">
      <c r="A305" s="164" t="s">
        <v>840</v>
      </c>
      <c r="B305" s="165" t="s">
        <v>389</v>
      </c>
      <c r="C305" s="165" t="s">
        <v>860</v>
      </c>
      <c r="D305" s="165" t="s">
        <v>861</v>
      </c>
      <c r="E305" s="165">
        <v>89326</v>
      </c>
      <c r="F305" s="165">
        <v>88356</v>
      </c>
      <c r="G305" s="165">
        <v>3667097</v>
      </c>
      <c r="H305" s="170"/>
      <c r="I305" s="167"/>
      <c r="J305" s="168" t="s">
        <v>765</v>
      </c>
    </row>
    <row r="306" spans="1:10" hidden="1" x14ac:dyDescent="0.2">
      <c r="A306" s="164" t="s">
        <v>840</v>
      </c>
      <c r="B306" s="165" t="s">
        <v>389</v>
      </c>
      <c r="C306" s="165" t="s">
        <v>52</v>
      </c>
      <c r="D306" s="165" t="s">
        <v>53</v>
      </c>
      <c r="E306" s="165">
        <v>89101</v>
      </c>
      <c r="F306" s="165">
        <v>83362</v>
      </c>
      <c r="G306" s="165">
        <v>2178550</v>
      </c>
      <c r="H306" s="181"/>
      <c r="I306" s="167" t="s">
        <v>760</v>
      </c>
      <c r="J306" s="168" t="s">
        <v>765</v>
      </c>
    </row>
    <row r="307" spans="1:10" hidden="1" x14ac:dyDescent="0.2">
      <c r="A307" s="164" t="s">
        <v>840</v>
      </c>
      <c r="B307" s="165" t="s">
        <v>389</v>
      </c>
      <c r="C307" s="165" t="s">
        <v>158</v>
      </c>
      <c r="D307" s="165" t="s">
        <v>862</v>
      </c>
      <c r="E307" s="165">
        <v>89231</v>
      </c>
      <c r="F307" s="165">
        <v>87313</v>
      </c>
      <c r="G307" s="165">
        <v>2001850</v>
      </c>
      <c r="H307" s="170"/>
      <c r="I307" s="167"/>
      <c r="J307" s="168" t="s">
        <v>765</v>
      </c>
    </row>
    <row r="308" spans="1:10" hidden="1" x14ac:dyDescent="0.2">
      <c r="A308" s="178" t="s">
        <v>863</v>
      </c>
      <c r="B308" s="179" t="s">
        <v>389</v>
      </c>
      <c r="C308" s="179" t="s">
        <v>39</v>
      </c>
      <c r="D308" s="179" t="s">
        <v>40</v>
      </c>
      <c r="E308" s="165">
        <v>89064</v>
      </c>
      <c r="F308" s="165">
        <v>85332</v>
      </c>
      <c r="G308" s="165">
        <v>2811367</v>
      </c>
      <c r="H308" s="181"/>
      <c r="I308" s="167" t="s">
        <v>760</v>
      </c>
      <c r="J308" s="168" t="s">
        <v>765</v>
      </c>
    </row>
    <row r="309" spans="1:10" hidden="1" x14ac:dyDescent="0.2">
      <c r="A309" s="164" t="s">
        <v>840</v>
      </c>
      <c r="B309" s="165" t="s">
        <v>390</v>
      </c>
      <c r="C309" s="165" t="s">
        <v>170</v>
      </c>
      <c r="D309" s="165" t="s">
        <v>171</v>
      </c>
      <c r="E309" s="165">
        <v>89183</v>
      </c>
      <c r="F309" s="165">
        <v>86343</v>
      </c>
      <c r="G309" s="165">
        <v>3138530</v>
      </c>
      <c r="H309" s="166">
        <v>89943</v>
      </c>
      <c r="I309" s="167" t="s">
        <v>760</v>
      </c>
      <c r="J309" s="168" t="s">
        <v>393</v>
      </c>
    </row>
    <row r="310" spans="1:10" hidden="1" x14ac:dyDescent="0.2">
      <c r="A310" s="164" t="s">
        <v>840</v>
      </c>
      <c r="B310" s="165" t="s">
        <v>390</v>
      </c>
      <c r="C310" s="165" t="s">
        <v>174</v>
      </c>
      <c r="D310" s="165" t="s">
        <v>175</v>
      </c>
      <c r="E310" s="165">
        <v>89094</v>
      </c>
      <c r="F310" s="165">
        <v>85804</v>
      </c>
      <c r="G310" s="165">
        <v>2911897</v>
      </c>
      <c r="H310" s="166">
        <v>89945</v>
      </c>
      <c r="I310" s="167" t="s">
        <v>760</v>
      </c>
      <c r="J310" s="168" t="s">
        <v>393</v>
      </c>
    </row>
    <row r="311" spans="1:10" hidden="1" x14ac:dyDescent="0.2">
      <c r="A311" s="164" t="s">
        <v>840</v>
      </c>
      <c r="B311" s="165" t="s">
        <v>390</v>
      </c>
      <c r="C311" s="165" t="s">
        <v>528</v>
      </c>
      <c r="D311" s="165" t="s">
        <v>525</v>
      </c>
      <c r="E311" s="165">
        <v>648366</v>
      </c>
      <c r="F311" s="165">
        <v>87029</v>
      </c>
      <c r="G311" s="165">
        <v>3405729</v>
      </c>
      <c r="H311" s="166">
        <v>648321</v>
      </c>
      <c r="I311" s="167" t="s">
        <v>760</v>
      </c>
      <c r="J311" s="168" t="s">
        <v>765</v>
      </c>
    </row>
    <row r="312" spans="1:10" hidden="1" x14ac:dyDescent="0.2">
      <c r="A312" s="164" t="s">
        <v>840</v>
      </c>
      <c r="B312" s="165" t="s">
        <v>390</v>
      </c>
      <c r="C312" s="165" t="s">
        <v>56</v>
      </c>
      <c r="D312" s="165" t="s">
        <v>203</v>
      </c>
      <c r="E312" s="165">
        <v>648364</v>
      </c>
      <c r="F312" s="165">
        <v>75493</v>
      </c>
      <c r="G312" s="165">
        <v>717244</v>
      </c>
      <c r="H312" s="166">
        <v>648332</v>
      </c>
      <c r="I312" s="167" t="s">
        <v>761</v>
      </c>
      <c r="J312" s="168" t="s">
        <v>393</v>
      </c>
    </row>
    <row r="313" spans="1:10" hidden="1" x14ac:dyDescent="0.2">
      <c r="A313" s="164" t="s">
        <v>840</v>
      </c>
      <c r="B313" s="165" t="s">
        <v>390</v>
      </c>
      <c r="C313" s="165" t="s">
        <v>128</v>
      </c>
      <c r="D313" s="165" t="s">
        <v>129</v>
      </c>
      <c r="E313" s="165">
        <v>89013</v>
      </c>
      <c r="F313" s="165">
        <v>72480</v>
      </c>
      <c r="G313" s="165">
        <v>538948</v>
      </c>
      <c r="H313" s="166">
        <v>89981</v>
      </c>
      <c r="I313" s="167" t="s">
        <v>760</v>
      </c>
      <c r="J313" s="168" t="s">
        <v>393</v>
      </c>
    </row>
    <row r="314" spans="1:10" hidden="1" x14ac:dyDescent="0.2">
      <c r="A314" s="164" t="s">
        <v>840</v>
      </c>
      <c r="B314" s="165" t="s">
        <v>390</v>
      </c>
      <c r="C314" s="165" t="s">
        <v>98</v>
      </c>
      <c r="D314" s="165" t="s">
        <v>99</v>
      </c>
      <c r="E314" s="169">
        <v>89223</v>
      </c>
      <c r="F314" s="165">
        <v>87320</v>
      </c>
      <c r="G314" s="165">
        <v>3462531</v>
      </c>
      <c r="H314" s="166">
        <v>89885</v>
      </c>
      <c r="I314" s="167" t="s">
        <v>760</v>
      </c>
      <c r="J314" s="168" t="s">
        <v>393</v>
      </c>
    </row>
    <row r="315" spans="1:10" hidden="1" x14ac:dyDescent="0.2">
      <c r="A315" s="164" t="s">
        <v>840</v>
      </c>
      <c r="B315" s="165" t="s">
        <v>390</v>
      </c>
      <c r="C315" s="165" t="s">
        <v>167</v>
      </c>
      <c r="D315" s="165" t="s">
        <v>168</v>
      </c>
      <c r="E315" s="165">
        <v>89023</v>
      </c>
      <c r="F315" s="165">
        <v>85615</v>
      </c>
      <c r="G315" s="165">
        <v>2646185</v>
      </c>
      <c r="H315" s="166">
        <v>89887</v>
      </c>
      <c r="I315" s="167" t="s">
        <v>760</v>
      </c>
      <c r="J315" s="168" t="s">
        <v>393</v>
      </c>
    </row>
    <row r="316" spans="1:10" hidden="1" x14ac:dyDescent="0.2">
      <c r="A316" s="164" t="s">
        <v>840</v>
      </c>
      <c r="B316" s="165" t="s">
        <v>390</v>
      </c>
      <c r="C316" s="165" t="s">
        <v>361</v>
      </c>
      <c r="D316" s="165" t="s">
        <v>362</v>
      </c>
      <c r="E316" s="165">
        <v>89316</v>
      </c>
      <c r="F316" s="165">
        <v>88346</v>
      </c>
      <c r="G316" s="165">
        <v>3667089</v>
      </c>
      <c r="H316" s="166">
        <v>89886</v>
      </c>
      <c r="I316" s="167" t="s">
        <v>760</v>
      </c>
      <c r="J316" s="168" t="s">
        <v>393</v>
      </c>
    </row>
    <row r="317" spans="1:10" hidden="1" x14ac:dyDescent="0.2">
      <c r="A317" s="164" t="s">
        <v>840</v>
      </c>
      <c r="B317" s="165" t="s">
        <v>390</v>
      </c>
      <c r="C317" s="165" t="s">
        <v>369</v>
      </c>
      <c r="D317" s="165" t="s">
        <v>370</v>
      </c>
      <c r="E317" s="165">
        <v>89321</v>
      </c>
      <c r="F317" s="165">
        <v>88351</v>
      </c>
      <c r="G317" s="165">
        <v>3123376</v>
      </c>
      <c r="H317" s="166">
        <v>89759</v>
      </c>
      <c r="I317" s="167" t="s">
        <v>760</v>
      </c>
      <c r="J317" s="168" t="s">
        <v>393</v>
      </c>
    </row>
    <row r="318" spans="1:10" hidden="1" x14ac:dyDescent="0.2">
      <c r="A318" s="164" t="s">
        <v>840</v>
      </c>
      <c r="B318" s="165" t="s">
        <v>390</v>
      </c>
      <c r="C318" s="165" t="s">
        <v>268</v>
      </c>
      <c r="D318" s="165" t="s">
        <v>269</v>
      </c>
      <c r="E318" s="169">
        <v>89226</v>
      </c>
      <c r="F318" s="165">
        <v>87319</v>
      </c>
      <c r="G318" s="165">
        <v>3462528</v>
      </c>
      <c r="H318" s="166">
        <v>89760</v>
      </c>
      <c r="I318" s="167" t="s">
        <v>760</v>
      </c>
      <c r="J318" s="168" t="s">
        <v>393</v>
      </c>
    </row>
    <row r="319" spans="1:10" hidden="1" x14ac:dyDescent="0.2">
      <c r="A319" s="164" t="s">
        <v>840</v>
      </c>
      <c r="B319" s="165" t="s">
        <v>390</v>
      </c>
      <c r="C319" s="165" t="s">
        <v>64</v>
      </c>
      <c r="D319" s="165" t="s">
        <v>65</v>
      </c>
      <c r="E319" s="165">
        <v>89291</v>
      </c>
      <c r="F319" s="165">
        <v>88153</v>
      </c>
      <c r="G319" s="165">
        <v>3624035</v>
      </c>
      <c r="H319" s="166">
        <v>89761</v>
      </c>
      <c r="I319" s="167" t="s">
        <v>760</v>
      </c>
      <c r="J319" s="168" t="s">
        <v>393</v>
      </c>
    </row>
    <row r="320" spans="1:10" hidden="1" x14ac:dyDescent="0.2">
      <c r="A320" s="164" t="s">
        <v>840</v>
      </c>
      <c r="B320" s="165" t="s">
        <v>390</v>
      </c>
      <c r="C320" s="165" t="s">
        <v>105</v>
      </c>
      <c r="D320" s="165" t="s">
        <v>106</v>
      </c>
      <c r="E320" s="165">
        <v>89123</v>
      </c>
      <c r="F320" s="165">
        <v>86151</v>
      </c>
      <c r="G320" s="165">
        <v>3118301</v>
      </c>
      <c r="H320" s="166">
        <v>89762</v>
      </c>
      <c r="I320" s="167" t="s">
        <v>760</v>
      </c>
      <c r="J320" s="168" t="s">
        <v>393</v>
      </c>
    </row>
    <row r="321" spans="1:10" hidden="1" x14ac:dyDescent="0.2">
      <c r="A321" s="164" t="s">
        <v>840</v>
      </c>
      <c r="B321" s="165" t="s">
        <v>390</v>
      </c>
      <c r="C321" s="165" t="s">
        <v>367</v>
      </c>
      <c r="D321" s="165" t="s">
        <v>368</v>
      </c>
      <c r="E321" s="165">
        <v>648067</v>
      </c>
      <c r="F321" s="165">
        <v>88350</v>
      </c>
      <c r="G321" s="165">
        <v>3667092</v>
      </c>
      <c r="H321" s="166">
        <v>89763</v>
      </c>
      <c r="I321" s="167" t="s">
        <v>760</v>
      </c>
      <c r="J321" s="168" t="s">
        <v>393</v>
      </c>
    </row>
    <row r="322" spans="1:10" hidden="1" x14ac:dyDescent="0.2">
      <c r="A322" s="164" t="s">
        <v>840</v>
      </c>
      <c r="B322" s="165" t="s">
        <v>390</v>
      </c>
      <c r="C322" s="165" t="s">
        <v>346</v>
      </c>
      <c r="D322" s="165" t="s">
        <v>458</v>
      </c>
      <c r="E322" s="165">
        <v>648231</v>
      </c>
      <c r="F322" s="165">
        <v>81663</v>
      </c>
      <c r="G322" s="165">
        <v>2025854</v>
      </c>
      <c r="H322" s="166">
        <v>89921</v>
      </c>
      <c r="I322" s="167" t="s">
        <v>760</v>
      </c>
      <c r="J322" s="168" t="s">
        <v>393</v>
      </c>
    </row>
    <row r="323" spans="1:10" hidden="1" x14ac:dyDescent="0.2">
      <c r="A323" s="164" t="s">
        <v>840</v>
      </c>
      <c r="B323" s="165" t="s">
        <v>390</v>
      </c>
      <c r="C323" s="165" t="s">
        <v>284</v>
      </c>
      <c r="D323" s="165" t="s">
        <v>285</v>
      </c>
      <c r="E323" s="165">
        <v>89129</v>
      </c>
      <c r="F323" s="165">
        <v>86144</v>
      </c>
      <c r="G323" s="165">
        <v>3118271</v>
      </c>
      <c r="H323" s="166">
        <v>89764</v>
      </c>
      <c r="I323" s="167" t="s">
        <v>760</v>
      </c>
      <c r="J323" s="168" t="s">
        <v>393</v>
      </c>
    </row>
    <row r="324" spans="1:10" hidden="1" x14ac:dyDescent="0.2">
      <c r="A324" s="164" t="s">
        <v>840</v>
      </c>
      <c r="B324" s="165" t="s">
        <v>390</v>
      </c>
      <c r="C324" s="165" t="s">
        <v>114</v>
      </c>
      <c r="D324" s="165" t="s">
        <v>366</v>
      </c>
      <c r="E324" s="165" t="s">
        <v>386</v>
      </c>
      <c r="F324" s="165">
        <v>88352</v>
      </c>
      <c r="G324" s="165">
        <v>3667093</v>
      </c>
      <c r="H324" s="166">
        <v>89765</v>
      </c>
      <c r="I324" s="167" t="s">
        <v>760</v>
      </c>
      <c r="J324" s="168" t="s">
        <v>393</v>
      </c>
    </row>
    <row r="325" spans="1:10" hidden="1" x14ac:dyDescent="0.2">
      <c r="A325" s="164" t="s">
        <v>840</v>
      </c>
      <c r="B325" s="165" t="s">
        <v>390</v>
      </c>
      <c r="C325" s="165" t="s">
        <v>116</v>
      </c>
      <c r="D325" s="165" t="s">
        <v>117</v>
      </c>
      <c r="E325" s="165">
        <v>89165</v>
      </c>
      <c r="F325" s="165">
        <v>86283</v>
      </c>
      <c r="G325" s="165">
        <v>3133256</v>
      </c>
      <c r="H325" s="166">
        <v>89796</v>
      </c>
      <c r="I325" s="167" t="s">
        <v>760</v>
      </c>
      <c r="J325" s="168" t="s">
        <v>393</v>
      </c>
    </row>
    <row r="326" spans="1:10" hidden="1" x14ac:dyDescent="0.2">
      <c r="A326" s="164" t="s">
        <v>840</v>
      </c>
      <c r="B326" s="165" t="s">
        <v>390</v>
      </c>
      <c r="C326" s="165" t="s">
        <v>90</v>
      </c>
      <c r="D326" s="165" t="s">
        <v>91</v>
      </c>
      <c r="E326" s="165">
        <v>89281</v>
      </c>
      <c r="F326" s="165">
        <v>88143</v>
      </c>
      <c r="G326" s="165">
        <v>3624022</v>
      </c>
      <c r="H326" s="166">
        <v>89797</v>
      </c>
      <c r="I326" s="167" t="s">
        <v>760</v>
      </c>
      <c r="J326" s="168" t="s">
        <v>393</v>
      </c>
    </row>
    <row r="327" spans="1:10" hidden="1" x14ac:dyDescent="0.2">
      <c r="A327" s="164" t="s">
        <v>840</v>
      </c>
      <c r="B327" s="165" t="s">
        <v>390</v>
      </c>
      <c r="C327" s="165" t="s">
        <v>459</v>
      </c>
      <c r="D327" s="165" t="s">
        <v>460</v>
      </c>
      <c r="E327" s="165">
        <v>648234</v>
      </c>
      <c r="F327" s="165">
        <v>80591</v>
      </c>
      <c r="G327" s="165">
        <v>1676298</v>
      </c>
      <c r="H327" s="166">
        <v>89922</v>
      </c>
      <c r="I327" s="167" t="s">
        <v>760</v>
      </c>
      <c r="J327" s="168" t="s">
        <v>393</v>
      </c>
    </row>
    <row r="328" spans="1:10" hidden="1" x14ac:dyDescent="0.2">
      <c r="A328" s="164" t="s">
        <v>840</v>
      </c>
      <c r="B328" s="165" t="s">
        <v>390</v>
      </c>
      <c r="C328" s="165" t="s">
        <v>159</v>
      </c>
      <c r="D328" s="165" t="s">
        <v>461</v>
      </c>
      <c r="E328" s="165">
        <v>648236</v>
      </c>
      <c r="F328" s="165">
        <v>84355</v>
      </c>
      <c r="G328" s="165">
        <v>2741813</v>
      </c>
      <c r="H328" s="166">
        <v>89923</v>
      </c>
      <c r="I328" s="167" t="s">
        <v>760</v>
      </c>
      <c r="J328" s="168" t="s">
        <v>393</v>
      </c>
    </row>
    <row r="329" spans="1:10" hidden="1" x14ac:dyDescent="0.2">
      <c r="A329" s="164" t="s">
        <v>840</v>
      </c>
      <c r="B329" s="165" t="s">
        <v>390</v>
      </c>
      <c r="C329" s="165" t="s">
        <v>201</v>
      </c>
      <c r="D329" s="165" t="s">
        <v>202</v>
      </c>
      <c r="E329" s="165">
        <v>89174</v>
      </c>
      <c r="F329" s="165">
        <v>86284</v>
      </c>
      <c r="G329" s="165">
        <v>1412049</v>
      </c>
      <c r="H329" s="166">
        <v>89798</v>
      </c>
      <c r="I329" s="167" t="s">
        <v>760</v>
      </c>
      <c r="J329" s="168" t="s">
        <v>393</v>
      </c>
    </row>
    <row r="331" spans="1:10" x14ac:dyDescent="0.25">
      <c r="A331" s="184" t="s">
        <v>864</v>
      </c>
      <c r="B331" s="185"/>
      <c r="C331" s="213" t="s">
        <v>865</v>
      </c>
      <c r="D331" s="213"/>
    </row>
    <row r="332" spans="1:10" x14ac:dyDescent="0.25">
      <c r="A332" s="188">
        <v>648267</v>
      </c>
      <c r="B332" s="185" t="s">
        <v>866</v>
      </c>
      <c r="C332" s="212" t="s">
        <v>13</v>
      </c>
      <c r="D332" s="212" t="s">
        <v>10</v>
      </c>
    </row>
    <row r="333" spans="1:10" x14ac:dyDescent="0.25">
      <c r="A333" s="188">
        <v>648268</v>
      </c>
      <c r="B333" s="185" t="s">
        <v>866</v>
      </c>
      <c r="C333" s="212"/>
      <c r="D333" s="212"/>
    </row>
    <row r="334" spans="1:10" x14ac:dyDescent="0.25">
      <c r="A334" s="188">
        <v>640000</v>
      </c>
      <c r="B334" s="185" t="s">
        <v>866</v>
      </c>
      <c r="C334" s="212"/>
      <c r="D334" s="212"/>
    </row>
    <row r="335" spans="1:10" x14ac:dyDescent="0.25">
      <c r="A335" s="188">
        <v>640001</v>
      </c>
      <c r="B335" s="185" t="s">
        <v>866</v>
      </c>
      <c r="C335" s="212"/>
      <c r="D335" s="212"/>
    </row>
    <row r="336" spans="1:10" x14ac:dyDescent="0.25">
      <c r="A336" s="188">
        <v>640002</v>
      </c>
      <c r="B336" s="185" t="s">
        <v>866</v>
      </c>
      <c r="C336" s="212"/>
      <c r="D336" s="212"/>
    </row>
    <row r="337" spans="1:4" x14ac:dyDescent="0.25">
      <c r="A337" s="188">
        <v>640003</v>
      </c>
      <c r="B337" s="185" t="s">
        <v>866</v>
      </c>
      <c r="C337" s="212"/>
      <c r="D337" s="212"/>
    </row>
    <row r="338" spans="1:4" x14ac:dyDescent="0.25">
      <c r="A338" s="188">
        <v>640004</v>
      </c>
      <c r="B338" s="185" t="s">
        <v>866</v>
      </c>
      <c r="C338" s="212" t="s">
        <v>390</v>
      </c>
      <c r="D338" s="212" t="s">
        <v>12</v>
      </c>
    </row>
    <row r="339" spans="1:4" x14ac:dyDescent="0.25">
      <c r="A339" s="188">
        <v>640005</v>
      </c>
      <c r="B339" s="185" t="s">
        <v>866</v>
      </c>
      <c r="C339" s="212"/>
      <c r="D339" s="212"/>
    </row>
    <row r="340" spans="1:4" x14ac:dyDescent="0.25">
      <c r="A340" s="188">
        <v>640006</v>
      </c>
      <c r="B340" s="185" t="s">
        <v>866</v>
      </c>
      <c r="C340" s="212"/>
      <c r="D340" s="212"/>
    </row>
    <row r="341" spans="1:4" x14ac:dyDescent="0.25">
      <c r="A341" s="188">
        <v>640007</v>
      </c>
      <c r="B341" s="185" t="s">
        <v>866</v>
      </c>
      <c r="C341" s="212"/>
      <c r="D341" s="212"/>
    </row>
    <row r="342" spans="1:4" x14ac:dyDescent="0.25">
      <c r="A342" s="188">
        <v>640008</v>
      </c>
      <c r="B342" s="185" t="s">
        <v>866</v>
      </c>
      <c r="C342" s="212"/>
      <c r="D342" s="212"/>
    </row>
    <row r="343" spans="1:4" x14ac:dyDescent="0.25">
      <c r="A343" s="188">
        <v>640009</v>
      </c>
      <c r="B343" s="185" t="s">
        <v>866</v>
      </c>
      <c r="C343" s="212"/>
      <c r="D343" s="212"/>
    </row>
    <row r="344" spans="1:4" x14ac:dyDescent="0.25">
      <c r="A344" s="188">
        <v>640010</v>
      </c>
      <c r="B344" s="185" t="s">
        <v>866</v>
      </c>
      <c r="C344" s="212" t="s">
        <v>11</v>
      </c>
      <c r="D344" s="212" t="s">
        <v>14</v>
      </c>
    </row>
    <row r="345" spans="1:4" x14ac:dyDescent="0.25">
      <c r="A345" s="188">
        <v>640011</v>
      </c>
      <c r="B345" s="185" t="s">
        <v>866</v>
      </c>
      <c r="C345" s="212"/>
      <c r="D345" s="212"/>
    </row>
    <row r="346" spans="1:4" x14ac:dyDescent="0.25">
      <c r="A346" s="188">
        <v>640012</v>
      </c>
      <c r="B346" s="185" t="s">
        <v>866</v>
      </c>
      <c r="C346" s="212"/>
      <c r="D346" s="212"/>
    </row>
    <row r="347" spans="1:4" x14ac:dyDescent="0.25">
      <c r="A347" s="188">
        <v>640013</v>
      </c>
      <c r="B347" s="185" t="s">
        <v>866</v>
      </c>
      <c r="C347" s="212"/>
      <c r="D347" s="212"/>
    </row>
    <row r="348" spans="1:4" x14ac:dyDescent="0.25">
      <c r="A348" s="188">
        <v>640014</v>
      </c>
      <c r="B348" s="185" t="s">
        <v>866</v>
      </c>
      <c r="C348" s="212"/>
      <c r="D348" s="212"/>
    </row>
    <row r="349" spans="1:4" x14ac:dyDescent="0.25">
      <c r="A349" s="188">
        <v>640015</v>
      </c>
      <c r="B349" s="185" t="s">
        <v>866</v>
      </c>
      <c r="C349" s="212"/>
      <c r="D349" s="212"/>
    </row>
    <row r="350" spans="1:4" x14ac:dyDescent="0.25">
      <c r="A350" s="188">
        <v>640016</v>
      </c>
      <c r="B350" s="185" t="s">
        <v>866</v>
      </c>
      <c r="C350" s="212" t="s">
        <v>391</v>
      </c>
      <c r="D350" s="212" t="s">
        <v>388</v>
      </c>
    </row>
    <row r="351" spans="1:4" x14ac:dyDescent="0.25">
      <c r="A351" s="188">
        <v>640017</v>
      </c>
      <c r="B351" s="185" t="s">
        <v>866</v>
      </c>
      <c r="C351" s="212"/>
      <c r="D351" s="212"/>
    </row>
    <row r="352" spans="1:4" x14ac:dyDescent="0.25">
      <c r="A352" s="188">
        <v>640018</v>
      </c>
      <c r="B352" s="185" t="s">
        <v>866</v>
      </c>
      <c r="C352" s="212"/>
      <c r="D352" s="212"/>
    </row>
    <row r="353" spans="1:4" x14ac:dyDescent="0.25">
      <c r="A353" s="188">
        <v>640019</v>
      </c>
      <c r="B353" s="185" t="s">
        <v>866</v>
      </c>
      <c r="C353" s="212"/>
      <c r="D353" s="212"/>
    </row>
    <row r="354" spans="1:4" x14ac:dyDescent="0.25">
      <c r="A354" s="188">
        <v>640020</v>
      </c>
      <c r="B354" s="185" t="s">
        <v>866</v>
      </c>
      <c r="C354" s="212"/>
      <c r="D354" s="212"/>
    </row>
    <row r="355" spans="1:4" x14ac:dyDescent="0.25">
      <c r="A355" s="188">
        <v>640021</v>
      </c>
      <c r="B355" s="185" t="s">
        <v>866</v>
      </c>
      <c r="C355" s="212"/>
      <c r="D355" s="212"/>
    </row>
    <row r="356" spans="1:4" x14ac:dyDescent="0.25">
      <c r="A356" s="188">
        <v>640022</v>
      </c>
      <c r="B356" s="185" t="s">
        <v>866</v>
      </c>
      <c r="C356" s="212" t="s">
        <v>16</v>
      </c>
      <c r="D356" s="212" t="s">
        <v>453</v>
      </c>
    </row>
    <row r="357" spans="1:4" x14ac:dyDescent="0.25">
      <c r="A357" s="188">
        <v>640023</v>
      </c>
      <c r="B357" s="185" t="s">
        <v>866</v>
      </c>
      <c r="C357" s="212"/>
      <c r="D357" s="212"/>
    </row>
    <row r="358" spans="1:4" x14ac:dyDescent="0.25">
      <c r="A358" s="188">
        <v>640024</v>
      </c>
      <c r="B358" s="185" t="s">
        <v>866</v>
      </c>
      <c r="C358" s="212"/>
      <c r="D358" s="212"/>
    </row>
    <row r="359" spans="1:4" x14ac:dyDescent="0.25">
      <c r="A359" s="188">
        <v>640025</v>
      </c>
      <c r="B359" s="185" t="s">
        <v>866</v>
      </c>
      <c r="C359" s="212"/>
      <c r="D359" s="212"/>
    </row>
    <row r="360" spans="1:4" x14ac:dyDescent="0.25">
      <c r="A360" s="188">
        <v>640026</v>
      </c>
      <c r="B360" s="185" t="s">
        <v>866</v>
      </c>
      <c r="C360" s="212"/>
      <c r="D360" s="212"/>
    </row>
    <row r="361" spans="1:4" x14ac:dyDescent="0.25">
      <c r="A361" s="188">
        <v>640027</v>
      </c>
      <c r="B361" s="185" t="s">
        <v>866</v>
      </c>
      <c r="C361" s="212"/>
      <c r="D361" s="212"/>
    </row>
    <row r="362" spans="1:4" x14ac:dyDescent="0.25">
      <c r="A362" s="188">
        <v>640028</v>
      </c>
      <c r="B362" s="185" t="s">
        <v>866</v>
      </c>
      <c r="C362" s="212" t="s">
        <v>452</v>
      </c>
      <c r="D362" s="212" t="s">
        <v>539</v>
      </c>
    </row>
    <row r="363" spans="1:4" x14ac:dyDescent="0.25">
      <c r="A363" s="188">
        <v>640029</v>
      </c>
      <c r="B363" s="185" t="s">
        <v>866</v>
      </c>
      <c r="C363" s="212"/>
      <c r="D363" s="212"/>
    </row>
    <row r="364" spans="1:4" x14ac:dyDescent="0.25">
      <c r="A364" s="188">
        <v>640030</v>
      </c>
      <c r="B364" s="185" t="s">
        <v>866</v>
      </c>
      <c r="C364" s="212"/>
      <c r="D364" s="212"/>
    </row>
    <row r="365" spans="1:4" x14ac:dyDescent="0.25">
      <c r="A365" s="188">
        <v>640031</v>
      </c>
      <c r="B365" s="185" t="s">
        <v>866</v>
      </c>
      <c r="C365" s="212"/>
      <c r="D365" s="212"/>
    </row>
    <row r="366" spans="1:4" x14ac:dyDescent="0.25">
      <c r="A366" s="188">
        <v>640032</v>
      </c>
      <c r="B366" s="185" t="s">
        <v>866</v>
      </c>
      <c r="C366" s="212"/>
      <c r="D366" s="212"/>
    </row>
    <row r="367" spans="1:4" x14ac:dyDescent="0.25">
      <c r="A367" s="188">
        <v>640033</v>
      </c>
      <c r="B367" s="185" t="s">
        <v>866</v>
      </c>
      <c r="C367" s="212"/>
      <c r="D367" s="212"/>
    </row>
    <row r="368" spans="1:4" x14ac:dyDescent="0.25">
      <c r="A368" s="188">
        <v>640034</v>
      </c>
      <c r="B368" s="185" t="s">
        <v>866</v>
      </c>
      <c r="C368" s="212" t="s">
        <v>568</v>
      </c>
      <c r="D368" s="212"/>
    </row>
    <row r="369" spans="1:4" x14ac:dyDescent="0.25">
      <c r="A369" s="188">
        <v>640035</v>
      </c>
      <c r="B369" s="185" t="s">
        <v>866</v>
      </c>
      <c r="C369" s="212"/>
      <c r="D369" s="212"/>
    </row>
    <row r="370" spans="1:4" x14ac:dyDescent="0.25">
      <c r="A370" s="188">
        <v>640036</v>
      </c>
      <c r="B370" s="185" t="s">
        <v>866</v>
      </c>
      <c r="C370" s="212"/>
      <c r="D370" s="212"/>
    </row>
    <row r="371" spans="1:4" x14ac:dyDescent="0.25">
      <c r="A371" s="188">
        <v>640037</v>
      </c>
      <c r="B371" s="185" t="s">
        <v>866</v>
      </c>
      <c r="C371" s="212"/>
      <c r="D371" s="212"/>
    </row>
    <row r="372" spans="1:4" x14ac:dyDescent="0.25">
      <c r="A372" s="188">
        <v>640038</v>
      </c>
      <c r="B372" s="185" t="s">
        <v>866</v>
      </c>
      <c r="C372" s="212"/>
      <c r="D372" s="212"/>
    </row>
    <row r="373" spans="1:4" x14ac:dyDescent="0.25">
      <c r="A373" s="188">
        <v>640039</v>
      </c>
      <c r="B373" s="185" t="s">
        <v>866</v>
      </c>
      <c r="C373" s="212"/>
      <c r="D373" s="212"/>
    </row>
  </sheetData>
  <autoFilter ref="A1:AM329">
    <filterColumn colId="1">
      <filters>
        <filter val="Arias Juan José"/>
      </filters>
    </filterColumn>
  </autoFilter>
  <mergeCells count="15">
    <mergeCell ref="C344:C349"/>
    <mergeCell ref="D344:D349"/>
    <mergeCell ref="C331:D331"/>
    <mergeCell ref="C332:C337"/>
    <mergeCell ref="D332:D337"/>
    <mergeCell ref="C338:C343"/>
    <mergeCell ref="D338:D343"/>
    <mergeCell ref="C368:C373"/>
    <mergeCell ref="D368:D373"/>
    <mergeCell ref="C350:C355"/>
    <mergeCell ref="D350:D355"/>
    <mergeCell ref="C356:C361"/>
    <mergeCell ref="D356:D361"/>
    <mergeCell ref="C362:C367"/>
    <mergeCell ref="D362:D367"/>
  </mergeCells>
  <conditionalFormatting sqref="E10">
    <cfRule type="duplicateValues" dxfId="454" priority="91"/>
  </conditionalFormatting>
  <conditionalFormatting sqref="F10">
    <cfRule type="duplicateValues" dxfId="453" priority="89"/>
  </conditionalFormatting>
  <conditionalFormatting sqref="G10">
    <cfRule type="duplicateValues" dxfId="452" priority="90"/>
  </conditionalFormatting>
  <conditionalFormatting sqref="E18">
    <cfRule type="duplicateValues" dxfId="451" priority="62"/>
  </conditionalFormatting>
  <conditionalFormatting sqref="F18">
    <cfRule type="duplicateValues" dxfId="450" priority="60"/>
  </conditionalFormatting>
  <conditionalFormatting sqref="G18">
    <cfRule type="duplicateValues" dxfId="449" priority="61"/>
  </conditionalFormatting>
  <conditionalFormatting sqref="E19">
    <cfRule type="duplicateValues" dxfId="448" priority="59"/>
  </conditionalFormatting>
  <conditionalFormatting sqref="F19">
    <cfRule type="duplicateValues" dxfId="447" priority="57"/>
  </conditionalFormatting>
  <conditionalFormatting sqref="G19">
    <cfRule type="duplicateValues" dxfId="446" priority="58"/>
  </conditionalFormatting>
  <conditionalFormatting sqref="E20">
    <cfRule type="duplicateValues" dxfId="445" priority="70"/>
  </conditionalFormatting>
  <conditionalFormatting sqref="F20">
    <cfRule type="duplicateValues" dxfId="444" priority="68"/>
  </conditionalFormatting>
  <conditionalFormatting sqref="G20">
    <cfRule type="duplicateValues" dxfId="443" priority="69"/>
  </conditionalFormatting>
  <conditionalFormatting sqref="A21">
    <cfRule type="cellIs" dxfId="442" priority="37" operator="equal">
      <formula>"LOA"</formula>
    </cfRule>
    <cfRule type="cellIs" dxfId="441" priority="38" operator="equal">
      <formula>"PENDING TERM"</formula>
    </cfRule>
    <cfRule type="cellIs" dxfId="440" priority="39" operator="equal">
      <formula>"PROMOTED"</formula>
    </cfRule>
    <cfRule type="cellIs" dxfId="439" priority="40" operator="equal">
      <formula>"REINSTATEMENT"</formula>
    </cfRule>
    <cfRule type="cellIs" dxfId="438" priority="41" operator="equal">
      <formula>"TERM"</formula>
    </cfRule>
    <cfRule type="cellIs" dxfId="437" priority="42" operator="equal">
      <formula>"TRANSFER"</formula>
    </cfRule>
  </conditionalFormatting>
  <conditionalFormatting sqref="E21">
    <cfRule type="duplicateValues" dxfId="436" priority="45"/>
  </conditionalFormatting>
  <conditionalFormatting sqref="F21">
    <cfRule type="duplicateValues" dxfId="435" priority="43"/>
  </conditionalFormatting>
  <conditionalFormatting sqref="G21">
    <cfRule type="duplicateValues" dxfId="434" priority="44"/>
  </conditionalFormatting>
  <conditionalFormatting sqref="A31">
    <cfRule type="cellIs" dxfId="433" priority="28" operator="equal">
      <formula>"LOA"</formula>
    </cfRule>
    <cfRule type="cellIs" dxfId="432" priority="29" operator="equal">
      <formula>"PENDING TERM"</formula>
    </cfRule>
    <cfRule type="cellIs" dxfId="431" priority="30" operator="equal">
      <formula>"PROMOTED"</formula>
    </cfRule>
    <cfRule type="cellIs" dxfId="430" priority="31" operator="equal">
      <formula>"REINSTATEMENT"</formula>
    </cfRule>
    <cfRule type="cellIs" dxfId="429" priority="32" operator="equal">
      <formula>"TERM"</formula>
    </cfRule>
    <cfRule type="cellIs" dxfId="428" priority="33" operator="equal">
      <formula>"TRANSFER"</formula>
    </cfRule>
  </conditionalFormatting>
  <conditionalFormatting sqref="E31">
    <cfRule type="duplicateValues" dxfId="427" priority="36"/>
  </conditionalFormatting>
  <conditionalFormatting sqref="F31">
    <cfRule type="duplicateValues" dxfId="426" priority="34"/>
  </conditionalFormatting>
  <conditionalFormatting sqref="G31">
    <cfRule type="duplicateValues" dxfId="425" priority="35"/>
  </conditionalFormatting>
  <conditionalFormatting sqref="E320">
    <cfRule type="duplicateValues" dxfId="424" priority="5"/>
  </conditionalFormatting>
  <conditionalFormatting sqref="F320">
    <cfRule type="duplicateValues" dxfId="423" priority="1"/>
    <cfRule type="duplicateValues" dxfId="422" priority="3"/>
  </conditionalFormatting>
  <conditionalFormatting sqref="G320">
    <cfRule type="duplicateValues" dxfId="421" priority="2"/>
    <cfRule type="duplicateValues" dxfId="420" priority="4"/>
    <cfRule type="duplicateValues" dxfId="419" priority="6"/>
  </conditionalFormatting>
  <conditionalFormatting sqref="A321">
    <cfRule type="cellIs" dxfId="418" priority="7" operator="equal">
      <formula>"LOA"</formula>
    </cfRule>
    <cfRule type="cellIs" dxfId="417" priority="8" operator="equal">
      <formula>"PENDING TERM"</formula>
    </cfRule>
    <cfRule type="cellIs" dxfId="416" priority="9" operator="equal">
      <formula>"PROMOTED"</formula>
    </cfRule>
    <cfRule type="cellIs" dxfId="415" priority="10" operator="equal">
      <formula>"REINSTATEMENT"</formula>
    </cfRule>
    <cfRule type="cellIs" dxfId="414" priority="11" operator="equal">
      <formula>"TERM"</formula>
    </cfRule>
    <cfRule type="cellIs" dxfId="413" priority="12" operator="equal">
      <formula>"TRANSFER"</formula>
    </cfRule>
  </conditionalFormatting>
  <conditionalFormatting sqref="E321">
    <cfRule type="duplicateValues" dxfId="412" priority="15"/>
  </conditionalFormatting>
  <conditionalFormatting sqref="F321">
    <cfRule type="duplicateValues" dxfId="411" priority="13"/>
  </conditionalFormatting>
  <conditionalFormatting sqref="G321">
    <cfRule type="duplicateValues" dxfId="410" priority="14"/>
    <cfRule type="duplicateValues" dxfId="409" priority="16"/>
  </conditionalFormatting>
  <conditionalFormatting sqref="A322">
    <cfRule type="cellIs" dxfId="408" priority="46" operator="equal">
      <formula>"LOA"</formula>
    </cfRule>
    <cfRule type="cellIs" dxfId="407" priority="47" operator="equal">
      <formula>"PENDING TERM"</formula>
    </cfRule>
    <cfRule type="cellIs" dxfId="406" priority="48" operator="equal">
      <formula>"PROMOTED"</formula>
    </cfRule>
    <cfRule type="cellIs" dxfId="405" priority="49" operator="equal">
      <formula>"REINSTATEMENT"</formula>
    </cfRule>
    <cfRule type="cellIs" dxfId="404" priority="50" operator="equal">
      <formula>"TERM"</formula>
    </cfRule>
    <cfRule type="cellIs" dxfId="403" priority="51" operator="equal">
      <formula>"TRANSFER"</formula>
    </cfRule>
  </conditionalFormatting>
  <conditionalFormatting sqref="F322">
    <cfRule type="duplicateValues" dxfId="402" priority="52"/>
  </conditionalFormatting>
  <conditionalFormatting sqref="G322">
    <cfRule type="duplicateValues" dxfId="401" priority="53"/>
  </conditionalFormatting>
  <conditionalFormatting sqref="E326">
    <cfRule type="duplicateValues" dxfId="400" priority="56"/>
  </conditionalFormatting>
  <conditionalFormatting sqref="F326">
    <cfRule type="duplicateValues" dxfId="399" priority="54"/>
  </conditionalFormatting>
  <conditionalFormatting sqref="G326">
    <cfRule type="duplicateValues" dxfId="398" priority="55"/>
  </conditionalFormatting>
  <conditionalFormatting sqref="E4:E9">
    <cfRule type="duplicateValues" dxfId="397" priority="85"/>
  </conditionalFormatting>
  <conditionalFormatting sqref="E11:E15">
    <cfRule type="duplicateValues" dxfId="396" priority="73"/>
  </conditionalFormatting>
  <conditionalFormatting sqref="E16:E17">
    <cfRule type="duplicateValues" dxfId="395" priority="67"/>
  </conditionalFormatting>
  <conditionalFormatting sqref="E22:E25">
    <cfRule type="duplicateValues" dxfId="394" priority="82"/>
  </conditionalFormatting>
  <conditionalFormatting sqref="E26:E30">
    <cfRule type="duplicateValues" dxfId="393" priority="79"/>
  </conditionalFormatting>
  <conditionalFormatting sqref="E180:E208">
    <cfRule type="duplicateValues" dxfId="392" priority="88"/>
  </conditionalFormatting>
  <conditionalFormatting sqref="E209:E214">
    <cfRule type="duplicateValues" dxfId="391" priority="76"/>
  </conditionalFormatting>
  <conditionalFormatting sqref="E272:E276">
    <cfRule type="duplicateValues" dxfId="390" priority="27"/>
  </conditionalFormatting>
  <conditionalFormatting sqref="E291:E319">
    <cfRule type="duplicateValues" dxfId="389" priority="21"/>
  </conditionalFormatting>
  <conditionalFormatting sqref="F4:F9">
    <cfRule type="duplicateValues" dxfId="388" priority="83"/>
  </conditionalFormatting>
  <conditionalFormatting sqref="F11:F15">
    <cfRule type="duplicateValues" dxfId="387" priority="71"/>
  </conditionalFormatting>
  <conditionalFormatting sqref="F16:F17">
    <cfRule type="duplicateValues" dxfId="386" priority="65"/>
  </conditionalFormatting>
  <conditionalFormatting sqref="F22:F25">
    <cfRule type="duplicateValues" dxfId="385" priority="80"/>
  </conditionalFormatting>
  <conditionalFormatting sqref="F26:F30">
    <cfRule type="duplicateValues" dxfId="384" priority="77"/>
  </conditionalFormatting>
  <conditionalFormatting sqref="F180:F208">
    <cfRule type="duplicateValues" dxfId="383" priority="86"/>
  </conditionalFormatting>
  <conditionalFormatting sqref="F209:F214">
    <cfRule type="duplicateValues" dxfId="382" priority="74"/>
  </conditionalFormatting>
  <conditionalFormatting sqref="F272:F276">
    <cfRule type="duplicateValues" dxfId="381" priority="23"/>
    <cfRule type="duplicateValues" dxfId="380" priority="25"/>
  </conditionalFormatting>
  <conditionalFormatting sqref="F291:F319">
    <cfRule type="duplicateValues" dxfId="379" priority="17"/>
    <cfRule type="duplicateValues" dxfId="378" priority="19"/>
  </conditionalFormatting>
  <conditionalFormatting sqref="F323:F325">
    <cfRule type="duplicateValues" dxfId="377" priority="63"/>
  </conditionalFormatting>
  <conditionalFormatting sqref="G4:G9">
    <cfRule type="duplicateValues" dxfId="376" priority="84"/>
  </conditionalFormatting>
  <conditionalFormatting sqref="G11:G15">
    <cfRule type="duplicateValues" dxfId="375" priority="72"/>
  </conditionalFormatting>
  <conditionalFormatting sqref="G16:G17">
    <cfRule type="duplicateValues" dxfId="374" priority="66"/>
  </conditionalFormatting>
  <conditionalFormatting sqref="G22:G25">
    <cfRule type="duplicateValues" dxfId="373" priority="81"/>
  </conditionalFormatting>
  <conditionalFormatting sqref="G26:G30">
    <cfRule type="duplicateValues" dxfId="372" priority="78"/>
  </conditionalFormatting>
  <conditionalFormatting sqref="G180:G208">
    <cfRule type="duplicateValues" dxfId="371" priority="87"/>
  </conditionalFormatting>
  <conditionalFormatting sqref="G209:G214">
    <cfRule type="duplicateValues" dxfId="370" priority="75"/>
  </conditionalFormatting>
  <conditionalFormatting sqref="G272:G276">
    <cfRule type="duplicateValues" dxfId="369" priority="24"/>
    <cfRule type="duplicateValues" dxfId="368" priority="26"/>
  </conditionalFormatting>
  <conditionalFormatting sqref="G291:G319">
    <cfRule type="duplicateValues" dxfId="367" priority="18"/>
    <cfRule type="duplicateValues" dxfId="366" priority="20"/>
    <cfRule type="duplicateValues" dxfId="365" priority="22"/>
  </conditionalFormatting>
  <conditionalFormatting sqref="G323:G325">
    <cfRule type="duplicateValues" dxfId="364" priority="64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opLeftCell="A34" workbookViewId="0">
      <selection activeCell="L45" sqref="L45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7" t="s">
        <v>404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70" t="s">
        <v>48</v>
      </c>
      <c r="B3" s="70" t="s">
        <v>49</v>
      </c>
      <c r="C3" s="70">
        <v>89125</v>
      </c>
      <c r="D3" s="22" t="s">
        <v>736</v>
      </c>
      <c r="E3" s="103" t="s">
        <v>610</v>
      </c>
      <c r="F3" s="22" t="s">
        <v>737</v>
      </c>
      <c r="G3" s="24" t="s">
        <v>738</v>
      </c>
      <c r="H3" s="41" t="s">
        <v>739</v>
      </c>
      <c r="J3" s="41" t="s">
        <v>740</v>
      </c>
      <c r="K3" s="23">
        <v>0</v>
      </c>
      <c r="L3" s="23">
        <v>0</v>
      </c>
    </row>
    <row r="4" spans="1:12" x14ac:dyDescent="0.25">
      <c r="A4" s="70" t="s">
        <v>320</v>
      </c>
      <c r="B4" s="70" t="s">
        <v>360</v>
      </c>
      <c r="C4" s="70">
        <v>89059</v>
      </c>
      <c r="D4" s="147" t="s">
        <v>741</v>
      </c>
      <c r="E4" s="72" t="s">
        <v>743</v>
      </c>
      <c r="F4" s="22" t="s">
        <v>742</v>
      </c>
      <c r="G4" s="24" t="s">
        <v>744</v>
      </c>
      <c r="H4" s="41" t="s">
        <v>675</v>
      </c>
      <c r="J4" s="41" t="s">
        <v>745</v>
      </c>
      <c r="K4" s="23">
        <v>0</v>
      </c>
      <c r="L4" s="23">
        <v>0</v>
      </c>
    </row>
    <row r="5" spans="1:12" x14ac:dyDescent="0.25">
      <c r="A5" s="70" t="s">
        <v>50</v>
      </c>
      <c r="B5" s="70" t="s">
        <v>51</v>
      </c>
      <c r="C5" s="70">
        <v>89053</v>
      </c>
      <c r="D5" s="22" t="s">
        <v>746</v>
      </c>
      <c r="E5" s="103" t="s">
        <v>610</v>
      </c>
      <c r="F5" s="22" t="s">
        <v>747</v>
      </c>
      <c r="G5" s="24" t="s">
        <v>748</v>
      </c>
      <c r="H5" s="41" t="s">
        <v>749</v>
      </c>
      <c r="J5" s="41" t="s">
        <v>750</v>
      </c>
      <c r="K5" s="23">
        <v>0</v>
      </c>
      <c r="L5" s="23">
        <v>0</v>
      </c>
    </row>
    <row r="6" spans="1:12" x14ac:dyDescent="0.25">
      <c r="A6" s="71" t="s">
        <v>230</v>
      </c>
      <c r="B6" s="71" t="s">
        <v>468</v>
      </c>
      <c r="C6" s="70">
        <v>648302</v>
      </c>
      <c r="D6" s="22" t="s">
        <v>715</v>
      </c>
      <c r="E6" s="103" t="s">
        <v>610</v>
      </c>
      <c r="F6" s="22" t="s">
        <v>716</v>
      </c>
      <c r="G6" s="24" t="s">
        <v>717</v>
      </c>
      <c r="H6" s="41" t="s">
        <v>718</v>
      </c>
      <c r="J6" s="41" t="s">
        <v>719</v>
      </c>
      <c r="K6" s="23">
        <v>0</v>
      </c>
      <c r="L6" s="23">
        <v>0</v>
      </c>
    </row>
    <row r="7" spans="1:12" x14ac:dyDescent="0.25">
      <c r="A7" s="71" t="s">
        <v>140</v>
      </c>
      <c r="B7" s="71" t="s">
        <v>141</v>
      </c>
      <c r="C7" s="67">
        <v>89237</v>
      </c>
      <c r="D7" s="22" t="s">
        <v>720</v>
      </c>
      <c r="E7" s="103" t="s">
        <v>722</v>
      </c>
      <c r="F7" s="22" t="s">
        <v>721</v>
      </c>
      <c r="G7" s="24" t="s">
        <v>676</v>
      </c>
      <c r="H7" s="41" t="s">
        <v>723</v>
      </c>
      <c r="J7" s="41" t="s">
        <v>724</v>
      </c>
      <c r="K7" s="23">
        <v>0</v>
      </c>
      <c r="L7" s="23">
        <v>0</v>
      </c>
    </row>
    <row r="8" spans="1:12" x14ac:dyDescent="0.25">
      <c r="A8" s="66" t="s">
        <v>350</v>
      </c>
      <c r="B8" s="66" t="s">
        <v>351</v>
      </c>
      <c r="C8" s="70">
        <v>89027</v>
      </c>
      <c r="D8" s="147" t="s">
        <v>725</v>
      </c>
      <c r="E8" s="103" t="s">
        <v>727</v>
      </c>
      <c r="F8" s="22" t="s">
        <v>726</v>
      </c>
      <c r="G8" s="24" t="s">
        <v>728</v>
      </c>
      <c r="H8" s="41" t="s">
        <v>729</v>
      </c>
      <c r="J8" s="41" t="s">
        <v>730</v>
      </c>
      <c r="K8" s="23">
        <v>0</v>
      </c>
      <c r="L8" s="23">
        <v>0</v>
      </c>
    </row>
    <row r="9" spans="1:12" x14ac:dyDescent="0.25">
      <c r="A9" s="66" t="s">
        <v>352</v>
      </c>
      <c r="B9" s="66" t="s">
        <v>353</v>
      </c>
      <c r="C9" s="70">
        <v>89024</v>
      </c>
      <c r="D9" s="22" t="s">
        <v>731</v>
      </c>
      <c r="E9" s="103" t="s">
        <v>610</v>
      </c>
      <c r="F9" s="22" t="s">
        <v>732</v>
      </c>
      <c r="G9" s="24" t="s">
        <v>733</v>
      </c>
      <c r="H9" s="41" t="s">
        <v>734</v>
      </c>
      <c r="J9" s="41" t="s">
        <v>735</v>
      </c>
      <c r="K9" s="23">
        <v>0</v>
      </c>
      <c r="L9" s="23">
        <v>0</v>
      </c>
    </row>
    <row r="10" spans="1:12" x14ac:dyDescent="0.25">
      <c r="A10" s="66" t="s">
        <v>352</v>
      </c>
      <c r="B10" s="66" t="s">
        <v>353</v>
      </c>
      <c r="C10" s="70">
        <v>89024</v>
      </c>
      <c r="D10" s="22" t="s">
        <v>751</v>
      </c>
      <c r="E10" s="103" t="s">
        <v>610</v>
      </c>
      <c r="F10" s="148">
        <v>6.5972222222222213E-4</v>
      </c>
      <c r="G10" s="24" t="s">
        <v>752</v>
      </c>
      <c r="H10" s="41" t="s">
        <v>734</v>
      </c>
      <c r="J10" s="41" t="s">
        <v>753</v>
      </c>
      <c r="K10" s="23">
        <v>0</v>
      </c>
      <c r="L10" s="23">
        <v>0</v>
      </c>
    </row>
    <row r="11" spans="1:12" x14ac:dyDescent="0.25">
      <c r="I11" s="208" t="s">
        <v>8</v>
      </c>
      <c r="J11" s="214"/>
      <c r="K11" s="6">
        <f>COUNT(K3:K10)</f>
        <v>8</v>
      </c>
      <c r="L11" s="6">
        <f>COUNT(L3:L10)</f>
        <v>8</v>
      </c>
    </row>
    <row r="14" spans="1:12" ht="15.75" customHeight="1" thickBot="1" x14ac:dyDescent="0.3">
      <c r="A14" s="207" t="s">
        <v>405</v>
      </c>
      <c r="B14" s="208"/>
      <c r="C14" s="208"/>
      <c r="D14" s="208"/>
      <c r="E14" s="208"/>
      <c r="F14" s="208"/>
      <c r="G14" s="208"/>
      <c r="H14" s="208"/>
      <c r="I14" s="208"/>
      <c r="J14" s="208"/>
      <c r="K14" s="208"/>
      <c r="L14" s="208"/>
    </row>
    <row r="15" spans="1:12" ht="15.75" thickBot="1" x14ac:dyDescent="0.3">
      <c r="A15" s="1" t="s">
        <v>1</v>
      </c>
      <c r="B15" s="1" t="s">
        <v>2</v>
      </c>
      <c r="C15" s="1" t="s">
        <v>3</v>
      </c>
      <c r="D15" s="13" t="s">
        <v>398</v>
      </c>
      <c r="E15" s="13" t="s">
        <v>401</v>
      </c>
      <c r="F15" s="13" t="s">
        <v>402</v>
      </c>
      <c r="G15" s="13" t="s">
        <v>400</v>
      </c>
      <c r="H15" s="13" t="s">
        <v>399</v>
      </c>
      <c r="I15" s="13" t="s">
        <v>616</v>
      </c>
      <c r="J15" s="13" t="s">
        <v>617</v>
      </c>
      <c r="K15" s="13" t="s">
        <v>396</v>
      </c>
      <c r="L15" s="13" t="s">
        <v>397</v>
      </c>
    </row>
    <row r="16" spans="1:12" x14ac:dyDescent="0.25">
      <c r="A16" s="70" t="s">
        <v>332</v>
      </c>
      <c r="B16" s="70" t="s">
        <v>333</v>
      </c>
      <c r="C16" s="70">
        <v>89061</v>
      </c>
      <c r="D16" s="22" t="s">
        <v>876</v>
      </c>
      <c r="E16" s="103" t="s">
        <v>610</v>
      </c>
      <c r="F16" s="148">
        <v>5.9027777777777778E-4</v>
      </c>
      <c r="G16" s="24" t="s">
        <v>877</v>
      </c>
      <c r="H16" s="41" t="s">
        <v>878</v>
      </c>
      <c r="J16" s="41" t="s">
        <v>879</v>
      </c>
      <c r="K16" s="23">
        <v>0</v>
      </c>
      <c r="L16" s="23">
        <v>0</v>
      </c>
    </row>
    <row r="17" spans="1:12" x14ac:dyDescent="0.25">
      <c r="A17" s="70"/>
      <c r="B17" s="70"/>
      <c r="C17" s="70"/>
      <c r="D17" s="147" t="s">
        <v>880</v>
      </c>
      <c r="E17" s="103" t="s">
        <v>610</v>
      </c>
      <c r="F17" s="147" t="s">
        <v>881</v>
      </c>
      <c r="G17" s="41" t="s">
        <v>882</v>
      </c>
      <c r="H17" s="41" t="s">
        <v>884</v>
      </c>
      <c r="J17" s="41" t="s">
        <v>883</v>
      </c>
      <c r="K17" s="191">
        <v>0</v>
      </c>
      <c r="L17" s="191">
        <v>0</v>
      </c>
    </row>
    <row r="18" spans="1:12" x14ac:dyDescent="0.25">
      <c r="A18" s="70"/>
      <c r="B18" s="70"/>
      <c r="C18" s="70"/>
      <c r="D18" s="147" t="s">
        <v>885</v>
      </c>
      <c r="E18" s="103" t="s">
        <v>610</v>
      </c>
      <c r="F18" s="147" t="s">
        <v>886</v>
      </c>
      <c r="G18" s="41" t="s">
        <v>887</v>
      </c>
      <c r="H18" s="41" t="s">
        <v>734</v>
      </c>
      <c r="J18" s="41" t="s">
        <v>870</v>
      </c>
      <c r="K18" s="191">
        <v>0</v>
      </c>
      <c r="L18" s="191">
        <v>0</v>
      </c>
    </row>
    <row r="19" spans="1:12" x14ac:dyDescent="0.25">
      <c r="A19" s="67" t="s">
        <v>470</v>
      </c>
      <c r="B19" s="67" t="s">
        <v>471</v>
      </c>
      <c r="C19" s="70">
        <v>648306</v>
      </c>
      <c r="D19" s="147" t="s">
        <v>888</v>
      </c>
      <c r="E19" s="192" t="s">
        <v>890</v>
      </c>
      <c r="F19" s="192" t="s">
        <v>889</v>
      </c>
      <c r="G19" s="24" t="s">
        <v>891</v>
      </c>
      <c r="H19" s="41" t="s">
        <v>892</v>
      </c>
      <c r="J19" s="41" t="s">
        <v>893</v>
      </c>
      <c r="K19" s="23">
        <v>0</v>
      </c>
      <c r="L19" s="23">
        <v>0</v>
      </c>
    </row>
    <row r="20" spans="1:12" x14ac:dyDescent="0.25">
      <c r="A20" s="67" t="s">
        <v>322</v>
      </c>
      <c r="B20" s="67" t="s">
        <v>323</v>
      </c>
      <c r="C20" s="67">
        <v>648060</v>
      </c>
      <c r="D20" s="22" t="s">
        <v>867</v>
      </c>
      <c r="E20" s="103" t="s">
        <v>610</v>
      </c>
      <c r="F20" s="22" t="s">
        <v>871</v>
      </c>
      <c r="G20" s="24" t="s">
        <v>868</v>
      </c>
      <c r="H20" s="41" t="s">
        <v>869</v>
      </c>
      <c r="J20" s="41" t="s">
        <v>870</v>
      </c>
      <c r="K20" s="23">
        <v>0</v>
      </c>
      <c r="L20" s="23">
        <v>0</v>
      </c>
    </row>
    <row r="21" spans="1:12" x14ac:dyDescent="0.25">
      <c r="A21" s="70" t="s">
        <v>289</v>
      </c>
      <c r="B21" s="70" t="s">
        <v>290</v>
      </c>
      <c r="C21" s="70">
        <v>89206</v>
      </c>
      <c r="D21" s="22" t="s">
        <v>894</v>
      </c>
      <c r="E21" s="192" t="s">
        <v>896</v>
      </c>
      <c r="F21" s="22" t="s">
        <v>895</v>
      </c>
      <c r="G21" s="24" t="s">
        <v>897</v>
      </c>
      <c r="H21" s="41" t="s">
        <v>898</v>
      </c>
      <c r="J21" s="41" t="s">
        <v>899</v>
      </c>
      <c r="K21" s="23">
        <v>0</v>
      </c>
      <c r="L21" s="23">
        <v>0</v>
      </c>
    </row>
    <row r="22" spans="1:12" x14ac:dyDescent="0.25">
      <c r="A22" s="70" t="s">
        <v>348</v>
      </c>
      <c r="B22" s="70" t="s">
        <v>349</v>
      </c>
      <c r="C22" s="70">
        <v>89164</v>
      </c>
      <c r="D22" s="147" t="s">
        <v>900</v>
      </c>
      <c r="E22" s="103" t="s">
        <v>610</v>
      </c>
      <c r="F22" s="22" t="s">
        <v>895</v>
      </c>
      <c r="G22" s="24" t="s">
        <v>901</v>
      </c>
      <c r="H22" s="41" t="s">
        <v>902</v>
      </c>
      <c r="J22" s="41" t="s">
        <v>903</v>
      </c>
      <c r="K22" s="23">
        <v>0</v>
      </c>
      <c r="L22" s="23">
        <v>0</v>
      </c>
    </row>
    <row r="23" spans="1:12" x14ac:dyDescent="0.25">
      <c r="A23" s="71" t="s">
        <v>466</v>
      </c>
      <c r="B23" s="71" t="s">
        <v>467</v>
      </c>
      <c r="C23" s="66">
        <v>648315</v>
      </c>
      <c r="D23" s="147" t="s">
        <v>904</v>
      </c>
      <c r="E23" s="192" t="s">
        <v>907</v>
      </c>
      <c r="F23" s="22" t="s">
        <v>905</v>
      </c>
      <c r="G23" s="24" t="s">
        <v>906</v>
      </c>
      <c r="H23" s="41" t="s">
        <v>734</v>
      </c>
      <c r="J23" s="41" t="s">
        <v>908</v>
      </c>
      <c r="K23" s="23">
        <v>0</v>
      </c>
      <c r="L23" s="23">
        <v>0</v>
      </c>
    </row>
    <row r="24" spans="1:12" x14ac:dyDescent="0.25">
      <c r="I24" s="208" t="s">
        <v>8</v>
      </c>
      <c r="J24" s="214"/>
      <c r="K24" s="6">
        <f>COUNT(K16:K23)</f>
        <v>8</v>
      </c>
      <c r="L24" s="6">
        <f>COUNT(L16:L23)</f>
        <v>8</v>
      </c>
    </row>
    <row r="28" spans="1:12" ht="15.75" customHeight="1" thickBot="1" x14ac:dyDescent="0.3">
      <c r="A28" s="207" t="s">
        <v>406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</row>
    <row r="29" spans="1:12" ht="15.75" thickBot="1" x14ac:dyDescent="0.3">
      <c r="A29" s="1" t="s">
        <v>1</v>
      </c>
      <c r="B29" s="1" t="s">
        <v>2</v>
      </c>
      <c r="C29" s="1" t="s">
        <v>3</v>
      </c>
      <c r="D29" s="13" t="s">
        <v>398</v>
      </c>
      <c r="E29" s="13" t="s">
        <v>401</v>
      </c>
      <c r="F29" s="13" t="s">
        <v>402</v>
      </c>
      <c r="G29" s="13" t="s">
        <v>400</v>
      </c>
      <c r="H29" s="13" t="s">
        <v>399</v>
      </c>
      <c r="I29" s="13" t="s">
        <v>616</v>
      </c>
      <c r="J29" s="13" t="s">
        <v>617</v>
      </c>
      <c r="K29" s="13" t="s">
        <v>396</v>
      </c>
      <c r="L29" s="13" t="s">
        <v>397</v>
      </c>
    </row>
    <row r="30" spans="1:12" x14ac:dyDescent="0.25">
      <c r="A30" s="66" t="s">
        <v>35</v>
      </c>
      <c r="B30" s="66" t="s">
        <v>36</v>
      </c>
      <c r="C30" s="66">
        <v>89118</v>
      </c>
      <c r="D30" s="22" t="s">
        <v>917</v>
      </c>
      <c r="E30" s="198" t="s">
        <v>919</v>
      </c>
      <c r="F30" s="22" t="s">
        <v>918</v>
      </c>
      <c r="G30" s="24" t="s">
        <v>920</v>
      </c>
      <c r="H30" s="41" t="s">
        <v>921</v>
      </c>
      <c r="J30" s="41"/>
      <c r="K30" s="23">
        <v>0</v>
      </c>
      <c r="L30" s="23">
        <v>0</v>
      </c>
    </row>
    <row r="31" spans="1:12" x14ac:dyDescent="0.25">
      <c r="A31" s="71"/>
      <c r="B31" s="71"/>
      <c r="C31" s="70"/>
      <c r="D31" s="22" t="s">
        <v>922</v>
      </c>
      <c r="E31" s="103" t="s">
        <v>610</v>
      </c>
      <c r="F31" s="22" t="s">
        <v>923</v>
      </c>
      <c r="G31" s="24" t="s">
        <v>676</v>
      </c>
      <c r="H31" s="41" t="s">
        <v>924</v>
      </c>
      <c r="J31" s="41"/>
      <c r="K31" s="23">
        <v>0</v>
      </c>
      <c r="L31" s="23">
        <v>0</v>
      </c>
    </row>
    <row r="32" spans="1:12" x14ac:dyDescent="0.25">
      <c r="A32" s="66" t="s">
        <v>352</v>
      </c>
      <c r="B32" s="66" t="s">
        <v>353</v>
      </c>
      <c r="C32" s="70">
        <v>89024</v>
      </c>
      <c r="D32" s="22" t="s">
        <v>925</v>
      </c>
      <c r="E32" s="103" t="s">
        <v>610</v>
      </c>
      <c r="F32" s="148">
        <v>3.3564814814814812E-4</v>
      </c>
      <c r="G32" s="24" t="s">
        <v>926</v>
      </c>
      <c r="H32" s="41" t="s">
        <v>927</v>
      </c>
      <c r="J32" s="41"/>
      <c r="K32" s="23">
        <v>0</v>
      </c>
      <c r="L32" s="23">
        <v>0</v>
      </c>
    </row>
    <row r="33" spans="1:12" x14ac:dyDescent="0.25">
      <c r="A33" s="66"/>
      <c r="B33" s="66"/>
      <c r="C33" s="70"/>
      <c r="D33" s="22" t="s">
        <v>928</v>
      </c>
      <c r="E33" s="103" t="s">
        <v>610</v>
      </c>
      <c r="F33" s="22" t="s">
        <v>929</v>
      </c>
      <c r="G33" s="24" t="s">
        <v>930</v>
      </c>
      <c r="H33" s="41" t="s">
        <v>675</v>
      </c>
      <c r="J33" s="41"/>
      <c r="K33" s="23">
        <v>0</v>
      </c>
      <c r="L33" s="23">
        <v>0</v>
      </c>
    </row>
    <row r="34" spans="1:12" x14ac:dyDescent="0.25">
      <c r="A34" s="66"/>
      <c r="B34" s="66"/>
      <c r="C34" s="70"/>
      <c r="D34" s="22" t="s">
        <v>931</v>
      </c>
      <c r="E34" s="103" t="s">
        <v>610</v>
      </c>
      <c r="F34" s="22" t="s">
        <v>932</v>
      </c>
      <c r="G34" s="24" t="s">
        <v>933</v>
      </c>
      <c r="H34" s="41" t="s">
        <v>934</v>
      </c>
      <c r="J34" s="41"/>
      <c r="K34" s="23">
        <v>0</v>
      </c>
      <c r="L34" s="23">
        <v>0</v>
      </c>
    </row>
    <row r="35" spans="1:12" x14ac:dyDescent="0.25">
      <c r="I35" s="208" t="s">
        <v>8</v>
      </c>
      <c r="J35" s="214"/>
      <c r="K35" s="6">
        <f>COUNT(K30:K34)</f>
        <v>5</v>
      </c>
      <c r="L35" s="6">
        <f>COUNT(L30:L34)</f>
        <v>5</v>
      </c>
    </row>
    <row r="38" spans="1:12" ht="15.75" customHeight="1" thickBot="1" x14ac:dyDescent="0.3">
      <c r="A38" s="207" t="s">
        <v>423</v>
      </c>
      <c r="B38" s="208"/>
      <c r="C38" s="208"/>
      <c r="D38" s="208"/>
      <c r="E38" s="208"/>
      <c r="F38" s="208"/>
      <c r="G38" s="208"/>
      <c r="H38" s="208"/>
      <c r="I38" s="208"/>
      <c r="J38" s="208"/>
      <c r="K38" s="208"/>
      <c r="L38" s="208"/>
    </row>
    <row r="39" spans="1:12" ht="15.75" thickBot="1" x14ac:dyDescent="0.3">
      <c r="A39" s="1" t="s">
        <v>1</v>
      </c>
      <c r="B39" s="1" t="s">
        <v>2</v>
      </c>
      <c r="C39" s="1" t="s">
        <v>3</v>
      </c>
      <c r="D39" s="13" t="s">
        <v>398</v>
      </c>
      <c r="E39" s="13" t="s">
        <v>401</v>
      </c>
      <c r="F39" s="13" t="s">
        <v>402</v>
      </c>
      <c r="G39" s="13" t="s">
        <v>400</v>
      </c>
      <c r="H39" s="13" t="s">
        <v>399</v>
      </c>
      <c r="I39" s="13" t="s">
        <v>616</v>
      </c>
      <c r="J39" s="13" t="s">
        <v>617</v>
      </c>
      <c r="K39" s="13" t="s">
        <v>396</v>
      </c>
      <c r="L39" s="13" t="s">
        <v>397</v>
      </c>
    </row>
    <row r="40" spans="1:12" x14ac:dyDescent="0.25">
      <c r="A40" s="70" t="s">
        <v>320</v>
      </c>
      <c r="B40" s="70" t="s">
        <v>360</v>
      </c>
      <c r="C40" s="70">
        <v>89059</v>
      </c>
      <c r="D40" s="22" t="s">
        <v>970</v>
      </c>
      <c r="E40" s="72" t="s">
        <v>972</v>
      </c>
      <c r="F40" s="22" t="s">
        <v>971</v>
      </c>
      <c r="G40" s="24" t="s">
        <v>973</v>
      </c>
      <c r="H40" s="41" t="s">
        <v>974</v>
      </c>
      <c r="J40" s="41"/>
      <c r="K40" s="23">
        <v>0</v>
      </c>
      <c r="L40" s="23">
        <v>0</v>
      </c>
    </row>
    <row r="41" spans="1:12" x14ac:dyDescent="0.25">
      <c r="A41" s="70" t="s">
        <v>332</v>
      </c>
      <c r="B41" s="70" t="s">
        <v>333</v>
      </c>
      <c r="C41" s="70">
        <v>89061</v>
      </c>
      <c r="D41" s="22" t="s">
        <v>975</v>
      </c>
      <c r="E41" s="217" t="s">
        <v>610</v>
      </c>
      <c r="F41" s="22" t="s">
        <v>932</v>
      </c>
      <c r="G41" s="24" t="s">
        <v>976</v>
      </c>
      <c r="H41" s="41" t="s">
        <v>977</v>
      </c>
      <c r="J41" s="41"/>
      <c r="K41" s="23">
        <v>0</v>
      </c>
      <c r="L41" s="23">
        <v>0</v>
      </c>
    </row>
    <row r="42" spans="1:12" x14ac:dyDescent="0.25">
      <c r="A42" s="70"/>
      <c r="B42" s="70"/>
      <c r="C42" s="70"/>
      <c r="D42" s="22" t="s">
        <v>978</v>
      </c>
      <c r="E42" s="217" t="s">
        <v>610</v>
      </c>
      <c r="F42" s="22" t="s">
        <v>979</v>
      </c>
      <c r="G42" s="24" t="s">
        <v>980</v>
      </c>
      <c r="H42" s="41" t="s">
        <v>977</v>
      </c>
      <c r="J42" s="41"/>
      <c r="K42" s="23">
        <v>0</v>
      </c>
      <c r="L42" s="23">
        <v>0</v>
      </c>
    </row>
    <row r="43" spans="1:12" x14ac:dyDescent="0.25">
      <c r="A43" s="70" t="s">
        <v>37</v>
      </c>
      <c r="B43" s="70" t="s">
        <v>38</v>
      </c>
      <c r="C43" s="54">
        <v>89227</v>
      </c>
      <c r="D43" s="147" t="s">
        <v>981</v>
      </c>
      <c r="E43" s="218" t="s">
        <v>983</v>
      </c>
      <c r="F43" s="147" t="s">
        <v>982</v>
      </c>
      <c r="G43" s="41" t="s">
        <v>984</v>
      </c>
      <c r="H43" s="41" t="s">
        <v>985</v>
      </c>
      <c r="J43" s="41"/>
      <c r="K43" s="191">
        <v>0</v>
      </c>
      <c r="L43" s="191">
        <v>0</v>
      </c>
    </row>
    <row r="44" spans="1:12" x14ac:dyDescent="0.25">
      <c r="A44" s="70"/>
      <c r="B44" s="70"/>
      <c r="C44" s="54"/>
      <c r="D44" s="22" t="s">
        <v>986</v>
      </c>
      <c r="E44" s="103" t="s">
        <v>988</v>
      </c>
      <c r="F44" s="22" t="s">
        <v>987</v>
      </c>
      <c r="G44" s="41" t="s">
        <v>984</v>
      </c>
      <c r="H44" s="41" t="s">
        <v>989</v>
      </c>
      <c r="J44" s="41"/>
      <c r="K44" s="23">
        <v>0</v>
      </c>
      <c r="L44" s="23">
        <v>0</v>
      </c>
    </row>
    <row r="45" spans="1:12" x14ac:dyDescent="0.25">
      <c r="A45" s="71" t="s">
        <v>230</v>
      </c>
      <c r="B45" s="71" t="s">
        <v>468</v>
      </c>
      <c r="C45" s="70">
        <v>648302</v>
      </c>
      <c r="D45" s="22" t="s">
        <v>957</v>
      </c>
      <c r="E45" s="217" t="s">
        <v>610</v>
      </c>
      <c r="F45" s="22" t="s">
        <v>958</v>
      </c>
      <c r="G45" s="24" t="s">
        <v>959</v>
      </c>
      <c r="H45" s="41" t="s">
        <v>960</v>
      </c>
      <c r="J45" s="41"/>
      <c r="K45" s="23">
        <v>0</v>
      </c>
      <c r="L45" s="23">
        <v>0</v>
      </c>
    </row>
    <row r="46" spans="1:12" x14ac:dyDescent="0.25">
      <c r="A46" s="71" t="s">
        <v>140</v>
      </c>
      <c r="B46" s="71" t="s">
        <v>141</v>
      </c>
      <c r="C46" s="67">
        <v>89237</v>
      </c>
      <c r="D46" s="22" t="s">
        <v>961</v>
      </c>
      <c r="E46" s="103" t="s">
        <v>963</v>
      </c>
      <c r="F46" s="22" t="s">
        <v>962</v>
      </c>
      <c r="G46" s="24" t="s">
        <v>964</v>
      </c>
      <c r="H46" s="41" t="s">
        <v>965</v>
      </c>
      <c r="J46" s="41"/>
      <c r="K46" s="23">
        <v>0</v>
      </c>
      <c r="L46" s="23">
        <v>0</v>
      </c>
    </row>
    <row r="47" spans="1:12" x14ac:dyDescent="0.25">
      <c r="A47" s="66" t="s">
        <v>350</v>
      </c>
      <c r="B47" s="66" t="s">
        <v>351</v>
      </c>
      <c r="C47" s="70">
        <v>89027</v>
      </c>
      <c r="D47" s="22" t="s">
        <v>966</v>
      </c>
      <c r="E47" s="217" t="s">
        <v>610</v>
      </c>
      <c r="F47" s="22" t="s">
        <v>967</v>
      </c>
      <c r="G47" s="24" t="s">
        <v>968</v>
      </c>
      <c r="H47" s="41" t="s">
        <v>969</v>
      </c>
      <c r="J47" s="41"/>
      <c r="K47" s="23">
        <v>0</v>
      </c>
      <c r="L47" s="23">
        <v>0</v>
      </c>
    </row>
    <row r="48" spans="1:12" x14ac:dyDescent="0.25">
      <c r="I48" s="208" t="s">
        <v>8</v>
      </c>
      <c r="J48" s="214"/>
      <c r="K48" s="6">
        <f>COUNT(K40:K47)</f>
        <v>8</v>
      </c>
      <c r="L48" s="6">
        <f>COUNT(L40:L47)</f>
        <v>8</v>
      </c>
    </row>
    <row r="51" spans="1:12" ht="15.75" customHeight="1" thickBot="1" x14ac:dyDescent="0.3">
      <c r="A51" s="207" t="s">
        <v>407</v>
      </c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</row>
    <row r="52" spans="1:12" ht="15.75" thickBot="1" x14ac:dyDescent="0.3">
      <c r="A52" s="1" t="s">
        <v>1</v>
      </c>
      <c r="B52" s="1" t="s">
        <v>2</v>
      </c>
      <c r="C52" s="1" t="s">
        <v>3</v>
      </c>
      <c r="D52" s="13" t="s">
        <v>398</v>
      </c>
      <c r="E52" s="13" t="s">
        <v>401</v>
      </c>
      <c r="F52" s="13" t="s">
        <v>402</v>
      </c>
      <c r="G52" s="13" t="s">
        <v>400</v>
      </c>
      <c r="H52" s="13" t="s">
        <v>399</v>
      </c>
      <c r="I52" s="13" t="s">
        <v>616</v>
      </c>
      <c r="J52" s="13" t="s">
        <v>617</v>
      </c>
      <c r="K52" s="13" t="s">
        <v>396</v>
      </c>
      <c r="L52" s="13" t="s">
        <v>397</v>
      </c>
    </row>
    <row r="53" spans="1:12" x14ac:dyDescent="0.25">
      <c r="A53" s="70" t="s">
        <v>48</v>
      </c>
      <c r="B53" s="70" t="s">
        <v>49</v>
      </c>
      <c r="C53" s="70">
        <v>89125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70" t="s">
        <v>320</v>
      </c>
      <c r="B54" s="70" t="s">
        <v>360</v>
      </c>
      <c r="C54" s="70">
        <v>89059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70" t="s">
        <v>50</v>
      </c>
      <c r="B55" s="70" t="s">
        <v>51</v>
      </c>
      <c r="C55" s="70">
        <v>89053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70" t="s">
        <v>332</v>
      </c>
      <c r="B56" s="70" t="s">
        <v>333</v>
      </c>
      <c r="C56" s="70">
        <v>89061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70" t="s">
        <v>37</v>
      </c>
      <c r="B57" s="70" t="s">
        <v>38</v>
      </c>
      <c r="C57" s="54">
        <v>89227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67" t="s">
        <v>470</v>
      </c>
      <c r="B58" s="67" t="s">
        <v>471</v>
      </c>
      <c r="C58" s="70">
        <v>648306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70" t="s">
        <v>29</v>
      </c>
      <c r="B59" s="70" t="s">
        <v>30</v>
      </c>
      <c r="C59" s="70">
        <v>89069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67" t="s">
        <v>322</v>
      </c>
      <c r="B60" s="67" t="s">
        <v>323</v>
      </c>
      <c r="C60" s="67">
        <v>648060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70" t="s">
        <v>289</v>
      </c>
      <c r="B61" s="70" t="s">
        <v>290</v>
      </c>
      <c r="C61" s="70">
        <v>89206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70" t="s">
        <v>348</v>
      </c>
      <c r="B62" s="70" t="s">
        <v>349</v>
      </c>
      <c r="C62" s="70">
        <v>89164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A63" s="70" t="s">
        <v>43</v>
      </c>
      <c r="B63" s="70" t="s">
        <v>45</v>
      </c>
      <c r="C63" s="70">
        <v>89121</v>
      </c>
      <c r="D63" s="22"/>
      <c r="E63" s="22"/>
      <c r="F63" s="22"/>
      <c r="G63" s="24"/>
      <c r="H63" s="41"/>
      <c r="J63" s="41"/>
      <c r="K63" s="23"/>
      <c r="L63" s="23"/>
    </row>
    <row r="64" spans="1:12" x14ac:dyDescent="0.25">
      <c r="A64" s="67" t="s">
        <v>475</v>
      </c>
      <c r="B64" s="67" t="s">
        <v>67</v>
      </c>
      <c r="C64" s="70">
        <v>648303</v>
      </c>
      <c r="D64" s="22"/>
      <c r="E64" s="22"/>
      <c r="F64" s="22"/>
      <c r="G64" s="24"/>
      <c r="H64" s="41"/>
      <c r="J64" s="41"/>
      <c r="K64" s="23"/>
      <c r="L64" s="23"/>
    </row>
    <row r="65" spans="1:12" x14ac:dyDescent="0.25">
      <c r="A65" s="71" t="s">
        <v>466</v>
      </c>
      <c r="B65" s="71" t="s">
        <v>467</v>
      </c>
      <c r="C65" s="66">
        <v>648315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6" t="s">
        <v>35</v>
      </c>
      <c r="B66" s="66" t="s">
        <v>36</v>
      </c>
      <c r="C66" s="66">
        <v>89118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71" t="s">
        <v>230</v>
      </c>
      <c r="B67" s="71" t="s">
        <v>468</v>
      </c>
      <c r="C67" s="70">
        <v>648302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A68" s="71" t="s">
        <v>140</v>
      </c>
      <c r="B68" s="71" t="s">
        <v>141</v>
      </c>
      <c r="C68" s="67">
        <v>89237</v>
      </c>
      <c r="D68" s="22"/>
      <c r="E68" s="22"/>
      <c r="F68" s="22"/>
      <c r="G68" s="24"/>
      <c r="H68" s="41"/>
      <c r="J68" s="41"/>
      <c r="K68" s="23"/>
      <c r="L68" s="23"/>
    </row>
    <row r="69" spans="1:12" x14ac:dyDescent="0.25">
      <c r="A69" s="66" t="s">
        <v>350</v>
      </c>
      <c r="B69" s="66" t="s">
        <v>351</v>
      </c>
      <c r="C69" s="70">
        <v>89027</v>
      </c>
      <c r="D69" s="22"/>
      <c r="E69" s="22"/>
      <c r="F69" s="22"/>
      <c r="G69" s="24"/>
      <c r="H69" s="41"/>
      <c r="J69" s="41"/>
      <c r="K69" s="23"/>
      <c r="L69" s="23"/>
    </row>
    <row r="70" spans="1:12" x14ac:dyDescent="0.25">
      <c r="A70" s="66" t="s">
        <v>352</v>
      </c>
      <c r="B70" s="66" t="s">
        <v>353</v>
      </c>
      <c r="C70" s="70">
        <v>89024</v>
      </c>
      <c r="D70" s="22"/>
      <c r="E70" s="22"/>
      <c r="F70" s="22"/>
      <c r="G70" s="24"/>
      <c r="H70" s="41"/>
      <c r="J70" s="41"/>
      <c r="K70" s="23"/>
      <c r="L70" s="23"/>
    </row>
    <row r="71" spans="1:12" x14ac:dyDescent="0.25">
      <c r="I71" s="208" t="s">
        <v>8</v>
      </c>
      <c r="J71" s="214"/>
      <c r="K71" s="6">
        <f>COUNT(K53:K70)</f>
        <v>0</v>
      </c>
      <c r="L71" s="6">
        <f>COUNT(L53:L70)</f>
        <v>0</v>
      </c>
    </row>
  </sheetData>
  <mergeCells count="10">
    <mergeCell ref="A38:L38"/>
    <mergeCell ref="I48:J48"/>
    <mergeCell ref="A51:L51"/>
    <mergeCell ref="I71:J71"/>
    <mergeCell ref="A1:L1"/>
    <mergeCell ref="I11:J11"/>
    <mergeCell ref="A14:L14"/>
    <mergeCell ref="I24:J24"/>
    <mergeCell ref="A28:L28"/>
    <mergeCell ref="I35:J35"/>
  </mergeCells>
  <conditionalFormatting sqref="K3:L3">
    <cfRule type="duplicateValues" dxfId="363" priority="203"/>
  </conditionalFormatting>
  <conditionalFormatting sqref="A30:C30 E30">
    <cfRule type="cellIs" dxfId="362" priority="132" operator="equal">
      <formula>"LOA"</formula>
    </cfRule>
    <cfRule type="cellIs" dxfId="361" priority="133" operator="equal">
      <formula>"PENDING TERM"</formula>
    </cfRule>
    <cfRule type="cellIs" dxfId="360" priority="134" operator="equal">
      <formula>"PROMOTED"</formula>
    </cfRule>
    <cfRule type="cellIs" dxfId="359" priority="135" operator="equal">
      <formula>"REINSTATEMENT"</formula>
    </cfRule>
    <cfRule type="cellIs" dxfId="358" priority="136" operator="equal">
      <formula>"TERM"</formula>
    </cfRule>
    <cfRule type="cellIs" dxfId="357" priority="137" operator="equal">
      <formula>"TRANSFER"</formula>
    </cfRule>
  </conditionalFormatting>
  <conditionalFormatting sqref="A6:B9">
    <cfRule type="cellIs" dxfId="356" priority="190" operator="equal">
      <formula>"LOA"</formula>
    </cfRule>
    <cfRule type="cellIs" dxfId="355" priority="191" operator="equal">
      <formula>"PENDING TERM"</formula>
    </cfRule>
    <cfRule type="cellIs" dxfId="354" priority="192" operator="equal">
      <formula>"PROMOTED"</formula>
    </cfRule>
    <cfRule type="cellIs" dxfId="353" priority="193" operator="equal">
      <formula>"REINSTATEMENT"</formula>
    </cfRule>
    <cfRule type="cellIs" dxfId="352" priority="194" operator="equal">
      <formula>"TERM"</formula>
    </cfRule>
    <cfRule type="cellIs" dxfId="351" priority="195" operator="equal">
      <formula>"TRANSFER"</formula>
    </cfRule>
  </conditionalFormatting>
  <conditionalFormatting sqref="C6:C9">
    <cfRule type="cellIs" dxfId="350" priority="172" operator="equal">
      <formula>"LOA"</formula>
    </cfRule>
    <cfRule type="cellIs" dxfId="349" priority="173" operator="equal">
      <formula>"PENDING TERM"</formula>
    </cfRule>
    <cfRule type="cellIs" dxfId="348" priority="174" operator="equal">
      <formula>"PROMOTED"</formula>
    </cfRule>
    <cfRule type="cellIs" dxfId="347" priority="175" operator="equal">
      <formula>"REINSTATEMENT"</formula>
    </cfRule>
    <cfRule type="cellIs" dxfId="346" priority="176" operator="equal">
      <formula>"TERM"</formula>
    </cfRule>
    <cfRule type="cellIs" dxfId="345" priority="177" operator="equal">
      <formula>"TRANSFER"</formula>
    </cfRule>
  </conditionalFormatting>
  <conditionalFormatting sqref="C6:C9">
    <cfRule type="duplicateValues" dxfId="344" priority="178"/>
  </conditionalFormatting>
  <conditionalFormatting sqref="A23:B23">
    <cfRule type="cellIs" dxfId="343" priority="164" operator="equal">
      <formula>"LOA"</formula>
    </cfRule>
    <cfRule type="cellIs" dxfId="342" priority="165" operator="equal">
      <formula>"PENDING TERM"</formula>
    </cfRule>
    <cfRule type="cellIs" dxfId="341" priority="166" operator="equal">
      <formula>"PROMOTED"</formula>
    </cfRule>
    <cfRule type="cellIs" dxfId="340" priority="167" operator="equal">
      <formula>"REINSTATEMENT"</formula>
    </cfRule>
    <cfRule type="cellIs" dxfId="339" priority="168" operator="equal">
      <formula>"TERM"</formula>
    </cfRule>
    <cfRule type="cellIs" dxfId="338" priority="169" operator="equal">
      <formula>"TRANSFER"</formula>
    </cfRule>
  </conditionalFormatting>
  <conditionalFormatting sqref="C22 C16:C18">
    <cfRule type="duplicateValues" dxfId="337" priority="157"/>
  </conditionalFormatting>
  <conditionalFormatting sqref="C23">
    <cfRule type="cellIs" dxfId="336" priority="147" operator="equal">
      <formula>"LOA"</formula>
    </cfRule>
    <cfRule type="cellIs" dxfId="335" priority="148" operator="equal">
      <formula>"PENDING TERM"</formula>
    </cfRule>
    <cfRule type="cellIs" dxfId="334" priority="149" operator="equal">
      <formula>"PROMOTED"</formula>
    </cfRule>
    <cfRule type="cellIs" dxfId="333" priority="150" operator="equal">
      <formula>"REINSTATEMENT"</formula>
    </cfRule>
    <cfRule type="cellIs" dxfId="332" priority="151" operator="equal">
      <formula>"TERM"</formula>
    </cfRule>
    <cfRule type="cellIs" dxfId="331" priority="152" operator="equal">
      <formula>"TRANSFER"</formula>
    </cfRule>
  </conditionalFormatting>
  <conditionalFormatting sqref="A31:B31 A33:B33">
    <cfRule type="cellIs" dxfId="330" priority="126" operator="equal">
      <formula>"LOA"</formula>
    </cfRule>
    <cfRule type="cellIs" dxfId="329" priority="127" operator="equal">
      <formula>"PENDING TERM"</formula>
    </cfRule>
    <cfRule type="cellIs" dxfId="328" priority="128" operator="equal">
      <formula>"PROMOTED"</formula>
    </cfRule>
    <cfRule type="cellIs" dxfId="327" priority="129" operator="equal">
      <formula>"REINSTATEMENT"</formula>
    </cfRule>
    <cfRule type="cellIs" dxfId="326" priority="130" operator="equal">
      <formula>"TERM"</formula>
    </cfRule>
    <cfRule type="cellIs" dxfId="325" priority="131" operator="equal">
      <formula>"TRANSFER"</formula>
    </cfRule>
  </conditionalFormatting>
  <conditionalFormatting sqref="C31 C33">
    <cfRule type="cellIs" dxfId="324" priority="108" operator="equal">
      <formula>"LOA"</formula>
    </cfRule>
    <cfRule type="cellIs" dxfId="323" priority="109" operator="equal">
      <formula>"PENDING TERM"</formula>
    </cfRule>
    <cfRule type="cellIs" dxfId="322" priority="110" operator="equal">
      <formula>"PROMOTED"</formula>
    </cfRule>
    <cfRule type="cellIs" dxfId="321" priority="111" operator="equal">
      <formula>"REINSTATEMENT"</formula>
    </cfRule>
    <cfRule type="cellIs" dxfId="320" priority="112" operator="equal">
      <formula>"TERM"</formula>
    </cfRule>
    <cfRule type="cellIs" dxfId="319" priority="113" operator="equal">
      <formula>"TRANSFER"</formula>
    </cfRule>
  </conditionalFormatting>
  <conditionalFormatting sqref="C33 C31">
    <cfRule type="duplicateValues" dxfId="318" priority="114"/>
  </conditionalFormatting>
  <conditionalFormatting sqref="A45:B47">
    <cfRule type="cellIs" dxfId="317" priority="94" operator="equal">
      <formula>"LOA"</formula>
    </cfRule>
    <cfRule type="cellIs" dxfId="316" priority="95" operator="equal">
      <formula>"PENDING TERM"</formula>
    </cfRule>
    <cfRule type="cellIs" dxfId="315" priority="96" operator="equal">
      <formula>"PROMOTED"</formula>
    </cfRule>
    <cfRule type="cellIs" dxfId="314" priority="97" operator="equal">
      <formula>"REINSTATEMENT"</formula>
    </cfRule>
    <cfRule type="cellIs" dxfId="313" priority="98" operator="equal">
      <formula>"TERM"</formula>
    </cfRule>
    <cfRule type="cellIs" dxfId="312" priority="99" operator="equal">
      <formula>"TRANSFER"</formula>
    </cfRule>
  </conditionalFormatting>
  <conditionalFormatting sqref="C44">
    <cfRule type="duplicateValues" dxfId="311" priority="91"/>
  </conditionalFormatting>
  <conditionalFormatting sqref="C45:C47">
    <cfRule type="cellIs" dxfId="310" priority="76" operator="equal">
      <formula>"LOA"</formula>
    </cfRule>
    <cfRule type="cellIs" dxfId="309" priority="77" operator="equal">
      <formula>"PENDING TERM"</formula>
    </cfRule>
    <cfRule type="cellIs" dxfId="308" priority="78" operator="equal">
      <formula>"PROMOTED"</formula>
    </cfRule>
    <cfRule type="cellIs" dxfId="307" priority="79" operator="equal">
      <formula>"REINSTATEMENT"</formula>
    </cfRule>
    <cfRule type="cellIs" dxfId="306" priority="80" operator="equal">
      <formula>"TERM"</formula>
    </cfRule>
    <cfRule type="cellIs" dxfId="305" priority="81" operator="equal">
      <formula>"TRANSFER"</formula>
    </cfRule>
  </conditionalFormatting>
  <conditionalFormatting sqref="K53:L53">
    <cfRule type="duplicateValues" dxfId="304" priority="75"/>
  </conditionalFormatting>
  <conditionalFormatting sqref="K54:L70">
    <cfRule type="duplicateValues" dxfId="303" priority="74"/>
  </conditionalFormatting>
  <conditionalFormatting sqref="A65:B66">
    <cfRule type="cellIs" dxfId="302" priority="68" operator="equal">
      <formula>"LOA"</formula>
    </cfRule>
    <cfRule type="cellIs" dxfId="301" priority="69" operator="equal">
      <formula>"PENDING TERM"</formula>
    </cfRule>
    <cfRule type="cellIs" dxfId="300" priority="70" operator="equal">
      <formula>"PROMOTED"</formula>
    </cfRule>
    <cfRule type="cellIs" dxfId="299" priority="71" operator="equal">
      <formula>"REINSTATEMENT"</formula>
    </cfRule>
    <cfRule type="cellIs" dxfId="298" priority="72" operator="equal">
      <formula>"TERM"</formula>
    </cfRule>
    <cfRule type="cellIs" dxfId="297" priority="73" operator="equal">
      <formula>"TRANSFER"</formula>
    </cfRule>
  </conditionalFormatting>
  <conditionalFormatting sqref="A67:B70">
    <cfRule type="cellIs" dxfId="296" priority="62" operator="equal">
      <formula>"LOA"</formula>
    </cfRule>
    <cfRule type="cellIs" dxfId="295" priority="63" operator="equal">
      <formula>"PENDING TERM"</formula>
    </cfRule>
    <cfRule type="cellIs" dxfId="294" priority="64" operator="equal">
      <formula>"PROMOTED"</formula>
    </cfRule>
    <cfRule type="cellIs" dxfId="293" priority="65" operator="equal">
      <formula>"REINSTATEMENT"</formula>
    </cfRule>
    <cfRule type="cellIs" dxfId="292" priority="66" operator="equal">
      <formula>"TERM"</formula>
    </cfRule>
    <cfRule type="cellIs" dxfId="291" priority="67" operator="equal">
      <formula>"TRANSFER"</formula>
    </cfRule>
  </conditionalFormatting>
  <conditionalFormatting sqref="C62 C53:C56">
    <cfRule type="duplicateValues" dxfId="290" priority="61"/>
  </conditionalFormatting>
  <conditionalFormatting sqref="C57">
    <cfRule type="duplicateValues" dxfId="289" priority="59"/>
  </conditionalFormatting>
  <conditionalFormatting sqref="C58:C62">
    <cfRule type="duplicateValues" dxfId="288" priority="60"/>
  </conditionalFormatting>
  <conditionalFormatting sqref="C63:C64">
    <cfRule type="duplicateValues" dxfId="287" priority="58"/>
  </conditionalFormatting>
  <conditionalFormatting sqref="C65:C66">
    <cfRule type="cellIs" dxfId="286" priority="51" operator="equal">
      <formula>"LOA"</formula>
    </cfRule>
    <cfRule type="cellIs" dxfId="285" priority="52" operator="equal">
      <formula>"PENDING TERM"</formula>
    </cfRule>
    <cfRule type="cellIs" dxfId="284" priority="53" operator="equal">
      <formula>"PROMOTED"</formula>
    </cfRule>
    <cfRule type="cellIs" dxfId="283" priority="54" operator="equal">
      <formula>"REINSTATEMENT"</formula>
    </cfRule>
    <cfRule type="cellIs" dxfId="282" priority="55" operator="equal">
      <formula>"TERM"</formula>
    </cfRule>
    <cfRule type="cellIs" dxfId="281" priority="56" operator="equal">
      <formula>"TRANSFER"</formula>
    </cfRule>
  </conditionalFormatting>
  <conditionalFormatting sqref="C65:C66">
    <cfRule type="duplicateValues" dxfId="280" priority="57"/>
  </conditionalFormatting>
  <conditionalFormatting sqref="C67:C70">
    <cfRule type="cellIs" dxfId="279" priority="44" operator="equal">
      <formula>"LOA"</formula>
    </cfRule>
    <cfRule type="cellIs" dxfId="278" priority="45" operator="equal">
      <formula>"PENDING TERM"</formula>
    </cfRule>
    <cfRule type="cellIs" dxfId="277" priority="46" operator="equal">
      <formula>"PROMOTED"</formula>
    </cfRule>
    <cfRule type="cellIs" dxfId="276" priority="47" operator="equal">
      <formula>"REINSTATEMENT"</formula>
    </cfRule>
    <cfRule type="cellIs" dxfId="275" priority="48" operator="equal">
      <formula>"TERM"</formula>
    </cfRule>
    <cfRule type="cellIs" dxfId="274" priority="49" operator="equal">
      <formula>"TRANSFER"</formula>
    </cfRule>
  </conditionalFormatting>
  <conditionalFormatting sqref="C67:C70">
    <cfRule type="duplicateValues" dxfId="273" priority="50"/>
  </conditionalFormatting>
  <conditionalFormatting sqref="K4:L9">
    <cfRule type="duplicateValues" dxfId="272" priority="8101"/>
  </conditionalFormatting>
  <conditionalFormatting sqref="C3:C5 E4">
    <cfRule type="duplicateValues" dxfId="271" priority="8103"/>
  </conditionalFormatting>
  <conditionalFormatting sqref="A10:B10">
    <cfRule type="cellIs" dxfId="270" priority="38" operator="equal">
      <formula>"LOA"</formula>
    </cfRule>
    <cfRule type="cellIs" dxfId="269" priority="39" operator="equal">
      <formula>"PENDING TERM"</formula>
    </cfRule>
    <cfRule type="cellIs" dxfId="268" priority="40" operator="equal">
      <formula>"PROMOTED"</formula>
    </cfRule>
    <cfRule type="cellIs" dxfId="267" priority="41" operator="equal">
      <formula>"REINSTATEMENT"</formula>
    </cfRule>
    <cfRule type="cellIs" dxfId="266" priority="42" operator="equal">
      <formula>"TERM"</formula>
    </cfRule>
    <cfRule type="cellIs" dxfId="265" priority="43" operator="equal">
      <formula>"TRANSFER"</formula>
    </cfRule>
  </conditionalFormatting>
  <conditionalFormatting sqref="C10">
    <cfRule type="cellIs" dxfId="264" priority="31" operator="equal">
      <formula>"LOA"</formula>
    </cfRule>
    <cfRule type="cellIs" dxfId="263" priority="32" operator="equal">
      <formula>"PENDING TERM"</formula>
    </cfRule>
    <cfRule type="cellIs" dxfId="262" priority="33" operator="equal">
      <formula>"PROMOTED"</formula>
    </cfRule>
    <cfRule type="cellIs" dxfId="261" priority="34" operator="equal">
      <formula>"REINSTATEMENT"</formula>
    </cfRule>
    <cfRule type="cellIs" dxfId="260" priority="35" operator="equal">
      <formula>"TERM"</formula>
    </cfRule>
    <cfRule type="cellIs" dxfId="259" priority="36" operator="equal">
      <formula>"TRANSFER"</formula>
    </cfRule>
  </conditionalFormatting>
  <conditionalFormatting sqref="C10">
    <cfRule type="duplicateValues" dxfId="258" priority="37"/>
  </conditionalFormatting>
  <conditionalFormatting sqref="K10:L10">
    <cfRule type="duplicateValues" dxfId="257" priority="30"/>
  </conditionalFormatting>
  <conditionalFormatting sqref="C23">
    <cfRule type="duplicateValues" dxfId="256" priority="8107"/>
  </conditionalFormatting>
  <conditionalFormatting sqref="C19:C22">
    <cfRule type="duplicateValues" dxfId="255" priority="8118"/>
  </conditionalFormatting>
  <conditionalFormatting sqref="K16:L23">
    <cfRule type="duplicateValues" dxfId="254" priority="8132"/>
  </conditionalFormatting>
  <conditionalFormatting sqref="C30 E30">
    <cfRule type="duplicateValues" dxfId="253" priority="8148"/>
  </conditionalFormatting>
  <conditionalFormatting sqref="A32:B32">
    <cfRule type="cellIs" dxfId="252" priority="24" operator="equal">
      <formula>"LOA"</formula>
    </cfRule>
    <cfRule type="cellIs" dxfId="251" priority="25" operator="equal">
      <formula>"PENDING TERM"</formula>
    </cfRule>
    <cfRule type="cellIs" dxfId="250" priority="26" operator="equal">
      <formula>"PROMOTED"</formula>
    </cfRule>
    <cfRule type="cellIs" dxfId="249" priority="27" operator="equal">
      <formula>"REINSTATEMENT"</formula>
    </cfRule>
    <cfRule type="cellIs" dxfId="248" priority="28" operator="equal">
      <formula>"TERM"</formula>
    </cfRule>
    <cfRule type="cellIs" dxfId="247" priority="29" operator="equal">
      <formula>"TRANSFER"</formula>
    </cfRule>
  </conditionalFormatting>
  <conditionalFormatting sqref="C32">
    <cfRule type="cellIs" dxfId="246" priority="17" operator="equal">
      <formula>"LOA"</formula>
    </cfRule>
    <cfRule type="cellIs" dxfId="245" priority="18" operator="equal">
      <formula>"PENDING TERM"</formula>
    </cfRule>
    <cfRule type="cellIs" dxfId="244" priority="19" operator="equal">
      <formula>"PROMOTED"</formula>
    </cfRule>
    <cfRule type="cellIs" dxfId="243" priority="20" operator="equal">
      <formula>"REINSTATEMENT"</formula>
    </cfRule>
    <cfRule type="cellIs" dxfId="242" priority="21" operator="equal">
      <formula>"TERM"</formula>
    </cfRule>
    <cfRule type="cellIs" dxfId="241" priority="22" operator="equal">
      <formula>"TRANSFER"</formula>
    </cfRule>
  </conditionalFormatting>
  <conditionalFormatting sqref="C32">
    <cfRule type="duplicateValues" dxfId="240" priority="23"/>
  </conditionalFormatting>
  <conditionalFormatting sqref="K30:L33">
    <cfRule type="duplicateValues" dxfId="239" priority="8160"/>
  </conditionalFormatting>
  <conditionalFormatting sqref="A34:B34">
    <cfRule type="cellIs" dxfId="238" priority="10" operator="equal">
      <formula>"LOA"</formula>
    </cfRule>
    <cfRule type="cellIs" dxfId="237" priority="11" operator="equal">
      <formula>"PENDING TERM"</formula>
    </cfRule>
    <cfRule type="cellIs" dxfId="236" priority="12" operator="equal">
      <formula>"PROMOTED"</formula>
    </cfRule>
    <cfRule type="cellIs" dxfId="235" priority="13" operator="equal">
      <formula>"REINSTATEMENT"</formula>
    </cfRule>
    <cfRule type="cellIs" dxfId="234" priority="14" operator="equal">
      <formula>"TERM"</formula>
    </cfRule>
    <cfRule type="cellIs" dxfId="233" priority="15" operator="equal">
      <formula>"TRANSFER"</formula>
    </cfRule>
  </conditionalFormatting>
  <conditionalFormatting sqref="C34">
    <cfRule type="cellIs" dxfId="232" priority="3" operator="equal">
      <formula>"LOA"</formula>
    </cfRule>
    <cfRule type="cellIs" dxfId="231" priority="4" operator="equal">
      <formula>"PENDING TERM"</formula>
    </cfRule>
    <cfRule type="cellIs" dxfId="230" priority="5" operator="equal">
      <formula>"PROMOTED"</formula>
    </cfRule>
    <cfRule type="cellIs" dxfId="229" priority="6" operator="equal">
      <formula>"REINSTATEMENT"</formula>
    </cfRule>
    <cfRule type="cellIs" dxfId="228" priority="7" operator="equal">
      <formula>"TERM"</formula>
    </cfRule>
    <cfRule type="cellIs" dxfId="227" priority="8" operator="equal">
      <formula>"TRANSFER"</formula>
    </cfRule>
  </conditionalFormatting>
  <conditionalFormatting sqref="C34">
    <cfRule type="duplicateValues" dxfId="226" priority="9"/>
  </conditionalFormatting>
  <conditionalFormatting sqref="K34:L34">
    <cfRule type="duplicateValues" dxfId="225" priority="16"/>
  </conditionalFormatting>
  <conditionalFormatting sqref="C45:C47">
    <cfRule type="duplicateValues" dxfId="224" priority="8164"/>
  </conditionalFormatting>
  <conditionalFormatting sqref="K40:L47">
    <cfRule type="duplicateValues" dxfId="223" priority="8166"/>
  </conditionalFormatting>
  <conditionalFormatting sqref="C40 E40 C42">
    <cfRule type="duplicateValues" dxfId="222" priority="8168"/>
  </conditionalFormatting>
  <conditionalFormatting sqref="C41">
    <cfRule type="duplicateValues" dxfId="221" priority="2"/>
  </conditionalFormatting>
  <conditionalFormatting sqref="C43 E43">
    <cfRule type="duplicateValues" dxfId="220" priority="1"/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114"/>
  <sheetViews>
    <sheetView workbookViewId="0">
      <selection activeCell="L21" sqref="L21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7" t="s">
        <v>404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45" t="s">
        <v>48</v>
      </c>
      <c r="B3" s="45" t="s">
        <v>49</v>
      </c>
      <c r="C3" s="45">
        <v>89125</v>
      </c>
      <c r="D3" s="22"/>
      <c r="E3" s="22"/>
      <c r="F3" s="22"/>
      <c r="G3" s="24"/>
      <c r="H3" s="41"/>
      <c r="J3" s="41"/>
      <c r="K3" s="23"/>
      <c r="L3" s="23"/>
    </row>
    <row r="4" spans="1:12" x14ac:dyDescent="0.25">
      <c r="A4" s="45" t="s">
        <v>320</v>
      </c>
      <c r="B4" s="45" t="s">
        <v>360</v>
      </c>
      <c r="C4" s="45">
        <v>89059</v>
      </c>
      <c r="D4" s="22"/>
      <c r="E4" s="22"/>
      <c r="F4" s="22"/>
      <c r="G4" s="24"/>
      <c r="H4" s="41"/>
      <c r="J4" s="41"/>
      <c r="K4" s="23"/>
      <c r="L4" s="23"/>
    </row>
    <row r="5" spans="1:12" x14ac:dyDescent="0.25">
      <c r="A5" s="45" t="s">
        <v>50</v>
      </c>
      <c r="B5" s="45" t="s">
        <v>51</v>
      </c>
      <c r="C5" s="45">
        <v>89053</v>
      </c>
      <c r="D5" s="22"/>
      <c r="E5" s="22"/>
      <c r="F5" s="22"/>
      <c r="G5" s="24"/>
      <c r="H5" s="41"/>
      <c r="J5" s="41"/>
      <c r="K5" s="23"/>
      <c r="L5" s="23"/>
    </row>
    <row r="6" spans="1:12" x14ac:dyDescent="0.25">
      <c r="A6" s="45" t="s">
        <v>332</v>
      </c>
      <c r="B6" s="45" t="s">
        <v>333</v>
      </c>
      <c r="C6" s="45">
        <v>89061</v>
      </c>
      <c r="D6" s="22"/>
      <c r="E6" s="22"/>
      <c r="F6" s="22"/>
      <c r="G6" s="24"/>
      <c r="H6" s="41"/>
      <c r="J6" s="41"/>
      <c r="K6" s="23"/>
      <c r="L6" s="23"/>
    </row>
    <row r="7" spans="1:12" x14ac:dyDescent="0.25">
      <c r="A7" s="45" t="s">
        <v>37</v>
      </c>
      <c r="B7" s="45" t="s">
        <v>38</v>
      </c>
      <c r="C7" s="54">
        <v>89227</v>
      </c>
      <c r="D7" s="22"/>
      <c r="E7" s="22"/>
      <c r="F7" s="22"/>
      <c r="G7" s="24"/>
      <c r="H7" s="41"/>
      <c r="J7" s="41"/>
      <c r="K7" s="23"/>
      <c r="L7" s="23"/>
    </row>
    <row r="8" spans="1:12" x14ac:dyDescent="0.25">
      <c r="A8" s="67" t="s">
        <v>470</v>
      </c>
      <c r="B8" s="67" t="s">
        <v>471</v>
      </c>
      <c r="C8" s="45">
        <v>648306</v>
      </c>
      <c r="D8" s="22"/>
      <c r="E8" s="22"/>
      <c r="F8" s="22"/>
      <c r="G8" s="24"/>
      <c r="H8" s="41"/>
      <c r="J8" s="41"/>
      <c r="K8" s="23"/>
      <c r="L8" s="23"/>
    </row>
    <row r="9" spans="1:12" x14ac:dyDescent="0.25">
      <c r="A9" s="45" t="s">
        <v>29</v>
      </c>
      <c r="B9" s="45" t="s">
        <v>30</v>
      </c>
      <c r="C9" s="45">
        <v>89069</v>
      </c>
      <c r="D9" s="22"/>
      <c r="E9" s="22"/>
      <c r="F9" s="22"/>
      <c r="G9" s="24"/>
      <c r="H9" s="41"/>
      <c r="J9" s="41"/>
      <c r="K9" s="23"/>
      <c r="L9" s="23"/>
    </row>
    <row r="10" spans="1:12" x14ac:dyDescent="0.25">
      <c r="A10" s="67" t="s">
        <v>322</v>
      </c>
      <c r="B10" s="67" t="s">
        <v>323</v>
      </c>
      <c r="C10" s="67">
        <v>648060</v>
      </c>
      <c r="D10" s="22"/>
      <c r="E10" s="22"/>
      <c r="F10" s="22"/>
      <c r="G10" s="24"/>
      <c r="H10" s="41"/>
      <c r="J10" s="41"/>
      <c r="K10" s="23"/>
      <c r="L10" s="23"/>
    </row>
    <row r="11" spans="1:12" x14ac:dyDescent="0.25">
      <c r="A11" s="45" t="s">
        <v>289</v>
      </c>
      <c r="B11" s="45" t="s">
        <v>290</v>
      </c>
      <c r="C11" s="45">
        <v>89206</v>
      </c>
      <c r="D11" s="22"/>
      <c r="E11" s="22"/>
      <c r="F11" s="22"/>
      <c r="G11" s="24"/>
      <c r="H11" s="41"/>
      <c r="J11" s="41"/>
      <c r="K11" s="23"/>
      <c r="L11" s="23"/>
    </row>
    <row r="12" spans="1:12" x14ac:dyDescent="0.25">
      <c r="A12" s="45" t="s">
        <v>348</v>
      </c>
      <c r="B12" s="45" t="s">
        <v>349</v>
      </c>
      <c r="C12" s="45">
        <v>89164</v>
      </c>
      <c r="D12" s="22"/>
      <c r="E12" s="22"/>
      <c r="F12" s="22"/>
      <c r="G12" s="24"/>
      <c r="H12" s="41"/>
      <c r="J12" s="41"/>
      <c r="K12" s="23"/>
      <c r="L12" s="23"/>
    </row>
    <row r="13" spans="1:12" x14ac:dyDescent="0.25">
      <c r="A13" s="45" t="s">
        <v>43</v>
      </c>
      <c r="B13" s="45" t="s">
        <v>45</v>
      </c>
      <c r="C13" s="45">
        <v>89121</v>
      </c>
      <c r="D13" s="22"/>
      <c r="E13" s="22"/>
      <c r="F13" s="22"/>
      <c r="G13" s="24"/>
      <c r="H13" s="41"/>
      <c r="J13" s="41"/>
      <c r="K13" s="23"/>
      <c r="L13" s="23"/>
    </row>
    <row r="14" spans="1:12" x14ac:dyDescent="0.25">
      <c r="A14" s="67" t="s">
        <v>475</v>
      </c>
      <c r="B14" s="67" t="s">
        <v>67</v>
      </c>
      <c r="C14" s="45">
        <v>648303</v>
      </c>
      <c r="D14" s="22"/>
      <c r="E14" s="22"/>
      <c r="F14" s="22"/>
      <c r="G14" s="24"/>
      <c r="H14" s="41"/>
      <c r="J14" s="41"/>
      <c r="K14" s="23"/>
      <c r="L14" s="23"/>
    </row>
    <row r="15" spans="1:12" x14ac:dyDescent="0.25">
      <c r="A15" s="63" t="s">
        <v>466</v>
      </c>
      <c r="B15" s="63" t="s">
        <v>467</v>
      </c>
      <c r="C15" s="66">
        <v>648315</v>
      </c>
      <c r="D15" s="22"/>
      <c r="E15" s="22"/>
      <c r="F15" s="22"/>
      <c r="G15" s="24"/>
      <c r="H15" s="41"/>
      <c r="J15" s="41"/>
      <c r="K15" s="23"/>
      <c r="L15" s="23"/>
    </row>
    <row r="16" spans="1:12" x14ac:dyDescent="0.25">
      <c r="A16" s="66" t="s">
        <v>35</v>
      </c>
      <c r="B16" s="66" t="s">
        <v>36</v>
      </c>
      <c r="C16" s="66">
        <v>89118</v>
      </c>
      <c r="D16" s="22"/>
      <c r="E16" s="22"/>
      <c r="F16" s="22"/>
      <c r="G16" s="24"/>
      <c r="H16" s="41"/>
      <c r="J16" s="41"/>
      <c r="K16" s="23"/>
      <c r="L16" s="23"/>
    </row>
    <row r="17" spans="1:12" x14ac:dyDescent="0.25">
      <c r="A17" s="63" t="s">
        <v>230</v>
      </c>
      <c r="B17" s="63" t="s">
        <v>468</v>
      </c>
      <c r="C17" s="45">
        <v>648302</v>
      </c>
      <c r="D17" s="22"/>
      <c r="E17" s="22"/>
      <c r="F17" s="22"/>
      <c r="G17" s="24"/>
      <c r="H17" s="41"/>
      <c r="J17" s="41"/>
      <c r="K17" s="23"/>
      <c r="L17" s="23"/>
    </row>
    <row r="18" spans="1:12" x14ac:dyDescent="0.25">
      <c r="A18" s="63" t="s">
        <v>140</v>
      </c>
      <c r="B18" s="63" t="s">
        <v>141</v>
      </c>
      <c r="C18" s="67">
        <v>89237</v>
      </c>
      <c r="D18" s="22"/>
      <c r="E18" s="22"/>
      <c r="F18" s="22"/>
      <c r="G18" s="24"/>
      <c r="H18" s="41"/>
      <c r="J18" s="41"/>
      <c r="K18" s="23"/>
      <c r="L18" s="23"/>
    </row>
    <row r="19" spans="1:12" x14ac:dyDescent="0.25">
      <c r="A19" s="66" t="s">
        <v>350</v>
      </c>
      <c r="B19" s="66" t="s">
        <v>351</v>
      </c>
      <c r="C19" s="45">
        <v>89027</v>
      </c>
      <c r="D19" s="22"/>
      <c r="E19" s="22"/>
      <c r="F19" s="22"/>
      <c r="G19" s="24"/>
      <c r="H19" s="41"/>
      <c r="J19" s="41"/>
      <c r="K19" s="23"/>
      <c r="L19" s="23"/>
    </row>
    <row r="20" spans="1:12" x14ac:dyDescent="0.25">
      <c r="A20" s="66" t="s">
        <v>352</v>
      </c>
      <c r="B20" s="66" t="s">
        <v>353</v>
      </c>
      <c r="C20" s="45">
        <v>89024</v>
      </c>
      <c r="D20" s="22"/>
      <c r="E20" s="22"/>
      <c r="F20" s="22"/>
      <c r="G20" s="24"/>
      <c r="H20" s="41"/>
      <c r="J20" s="41"/>
      <c r="K20" s="23"/>
      <c r="L20" s="23"/>
    </row>
    <row r="21" spans="1:12" x14ac:dyDescent="0.25">
      <c r="I21" s="208" t="s">
        <v>8</v>
      </c>
      <c r="J21" s="214"/>
      <c r="K21" s="6">
        <f>COUNT(K3:K20)</f>
        <v>0</v>
      </c>
      <c r="L21" s="6">
        <f>COUNT(L3:L20)</f>
        <v>0</v>
      </c>
    </row>
    <row r="24" spans="1:12" ht="15.75" customHeight="1" thickBot="1" x14ac:dyDescent="0.3">
      <c r="A24" s="207" t="s">
        <v>405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</row>
    <row r="25" spans="1:12" ht="15.75" thickBot="1" x14ac:dyDescent="0.3">
      <c r="A25" s="1" t="s">
        <v>1</v>
      </c>
      <c r="B25" s="1" t="s">
        <v>2</v>
      </c>
      <c r="C25" s="1" t="s">
        <v>3</v>
      </c>
      <c r="D25" s="13" t="s">
        <v>398</v>
      </c>
      <c r="E25" s="13" t="s">
        <v>401</v>
      </c>
      <c r="F25" s="13" t="s">
        <v>402</v>
      </c>
      <c r="G25" s="13" t="s">
        <v>400</v>
      </c>
      <c r="H25" s="13" t="s">
        <v>399</v>
      </c>
      <c r="I25" s="13" t="s">
        <v>616</v>
      </c>
      <c r="J25" s="13" t="s">
        <v>617</v>
      </c>
      <c r="K25" s="13" t="s">
        <v>396</v>
      </c>
      <c r="L25" s="13" t="s">
        <v>397</v>
      </c>
    </row>
    <row r="26" spans="1:12" x14ac:dyDescent="0.25">
      <c r="A26" s="45" t="s">
        <v>48</v>
      </c>
      <c r="B26" s="45" t="s">
        <v>49</v>
      </c>
      <c r="C26" s="45">
        <v>89125</v>
      </c>
      <c r="D26" s="22"/>
      <c r="E26" s="22"/>
      <c r="F26" s="22"/>
      <c r="G26" s="24"/>
      <c r="H26" s="41"/>
      <c r="J26" s="41"/>
      <c r="K26" s="23"/>
      <c r="L26" s="23"/>
    </row>
    <row r="27" spans="1:12" x14ac:dyDescent="0.25">
      <c r="A27" s="45" t="s">
        <v>320</v>
      </c>
      <c r="B27" s="45" t="s">
        <v>360</v>
      </c>
      <c r="C27" s="45">
        <v>89059</v>
      </c>
      <c r="D27" s="22"/>
      <c r="E27" s="22"/>
      <c r="F27" s="22"/>
      <c r="G27" s="24"/>
      <c r="H27" s="41"/>
      <c r="J27" s="41"/>
      <c r="K27" s="23"/>
      <c r="L27" s="23"/>
    </row>
    <row r="28" spans="1:12" x14ac:dyDescent="0.25">
      <c r="A28" s="45" t="s">
        <v>50</v>
      </c>
      <c r="B28" s="45" t="s">
        <v>51</v>
      </c>
      <c r="C28" s="45">
        <v>89053</v>
      </c>
      <c r="D28" s="22"/>
      <c r="E28" s="22"/>
      <c r="F28" s="22"/>
      <c r="G28" s="24"/>
      <c r="H28" s="41"/>
      <c r="J28" s="41"/>
      <c r="K28" s="23"/>
      <c r="L28" s="23"/>
    </row>
    <row r="29" spans="1:12" x14ac:dyDescent="0.25">
      <c r="A29" s="45" t="s">
        <v>332</v>
      </c>
      <c r="B29" s="45" t="s">
        <v>333</v>
      </c>
      <c r="C29" s="45">
        <v>89061</v>
      </c>
      <c r="D29" s="22"/>
      <c r="E29" s="22"/>
      <c r="F29" s="22"/>
      <c r="G29" s="24"/>
      <c r="H29" s="41"/>
      <c r="J29" s="41"/>
      <c r="K29" s="23"/>
      <c r="L29" s="23"/>
    </row>
    <row r="30" spans="1:12" x14ac:dyDescent="0.25">
      <c r="A30" s="45" t="s">
        <v>37</v>
      </c>
      <c r="B30" s="45" t="s">
        <v>38</v>
      </c>
      <c r="C30" s="54">
        <v>89227</v>
      </c>
      <c r="D30" s="22"/>
      <c r="E30" s="22"/>
      <c r="F30" s="22"/>
      <c r="G30" s="24"/>
      <c r="H30" s="41"/>
      <c r="J30" s="41"/>
      <c r="K30" s="23"/>
      <c r="L30" s="23"/>
    </row>
    <row r="31" spans="1:12" x14ac:dyDescent="0.25">
      <c r="A31" s="67" t="s">
        <v>470</v>
      </c>
      <c r="B31" s="67" t="s">
        <v>471</v>
      </c>
      <c r="C31" s="45">
        <v>648306</v>
      </c>
      <c r="D31" s="22"/>
      <c r="E31" s="22"/>
      <c r="F31" s="22"/>
      <c r="G31" s="24"/>
      <c r="H31" s="41"/>
      <c r="J31" s="41"/>
      <c r="K31" s="23"/>
      <c r="L31" s="23"/>
    </row>
    <row r="32" spans="1:12" x14ac:dyDescent="0.25">
      <c r="A32" s="45" t="s">
        <v>29</v>
      </c>
      <c r="B32" s="45" t="s">
        <v>30</v>
      </c>
      <c r="C32" s="45">
        <v>89069</v>
      </c>
      <c r="D32" s="22"/>
      <c r="E32" s="22"/>
      <c r="F32" s="22"/>
      <c r="G32" s="24"/>
      <c r="H32" s="41"/>
      <c r="J32" s="41"/>
      <c r="K32" s="23"/>
      <c r="L32" s="23"/>
    </row>
    <row r="33" spans="1:12" x14ac:dyDescent="0.25">
      <c r="A33" s="67" t="s">
        <v>322</v>
      </c>
      <c r="B33" s="67" t="s">
        <v>323</v>
      </c>
      <c r="C33" s="67">
        <v>648060</v>
      </c>
      <c r="D33" s="22"/>
      <c r="E33" s="22"/>
      <c r="F33" s="22"/>
      <c r="G33" s="24"/>
      <c r="H33" s="41"/>
      <c r="J33" s="41"/>
      <c r="K33" s="23"/>
      <c r="L33" s="23"/>
    </row>
    <row r="34" spans="1:12" x14ac:dyDescent="0.25">
      <c r="A34" s="45" t="s">
        <v>289</v>
      </c>
      <c r="B34" s="45" t="s">
        <v>290</v>
      </c>
      <c r="C34" s="45">
        <v>89206</v>
      </c>
      <c r="D34" s="22"/>
      <c r="E34" s="22"/>
      <c r="F34" s="22"/>
      <c r="G34" s="24"/>
      <c r="H34" s="41"/>
      <c r="J34" s="41"/>
      <c r="K34" s="23"/>
      <c r="L34" s="23"/>
    </row>
    <row r="35" spans="1:12" x14ac:dyDescent="0.25">
      <c r="A35" s="45" t="s">
        <v>348</v>
      </c>
      <c r="B35" s="45" t="s">
        <v>349</v>
      </c>
      <c r="C35" s="45">
        <v>89164</v>
      </c>
      <c r="D35" s="22"/>
      <c r="E35" s="22"/>
      <c r="F35" s="22"/>
      <c r="G35" s="24"/>
      <c r="H35" s="41"/>
      <c r="J35" s="41"/>
      <c r="K35" s="23"/>
      <c r="L35" s="23"/>
    </row>
    <row r="36" spans="1:12" x14ac:dyDescent="0.25">
      <c r="A36" s="45" t="s">
        <v>43</v>
      </c>
      <c r="B36" s="45" t="s">
        <v>45</v>
      </c>
      <c r="C36" s="45">
        <v>89121</v>
      </c>
      <c r="D36" s="22"/>
      <c r="E36" s="22"/>
      <c r="F36" s="22"/>
      <c r="G36" s="24"/>
      <c r="H36" s="41"/>
      <c r="J36" s="41"/>
      <c r="K36" s="23"/>
      <c r="L36" s="23"/>
    </row>
    <row r="37" spans="1:12" x14ac:dyDescent="0.25">
      <c r="A37" s="67" t="s">
        <v>475</v>
      </c>
      <c r="B37" s="67" t="s">
        <v>67</v>
      </c>
      <c r="C37" s="45">
        <v>648303</v>
      </c>
      <c r="D37" s="22"/>
      <c r="E37" s="22"/>
      <c r="F37" s="22"/>
      <c r="G37" s="24"/>
      <c r="H37" s="41"/>
      <c r="J37" s="41"/>
      <c r="K37" s="23"/>
      <c r="L37" s="23"/>
    </row>
    <row r="38" spans="1:12" x14ac:dyDescent="0.25">
      <c r="A38" s="63" t="s">
        <v>466</v>
      </c>
      <c r="B38" s="63" t="s">
        <v>467</v>
      </c>
      <c r="C38" s="66">
        <v>648315</v>
      </c>
      <c r="D38" s="22"/>
      <c r="E38" s="22"/>
      <c r="F38" s="22"/>
      <c r="G38" s="24"/>
      <c r="H38" s="41"/>
      <c r="J38" s="41"/>
      <c r="K38" s="23"/>
      <c r="L38" s="23"/>
    </row>
    <row r="39" spans="1:12" x14ac:dyDescent="0.25">
      <c r="A39" s="66" t="s">
        <v>35</v>
      </c>
      <c r="B39" s="66" t="s">
        <v>36</v>
      </c>
      <c r="C39" s="66">
        <v>89118</v>
      </c>
      <c r="D39" s="22"/>
      <c r="E39" s="22"/>
      <c r="F39" s="22"/>
      <c r="G39" s="24"/>
      <c r="H39" s="41"/>
      <c r="J39" s="41"/>
      <c r="K39" s="23"/>
      <c r="L39" s="23"/>
    </row>
    <row r="40" spans="1:12" x14ac:dyDescent="0.25">
      <c r="A40" s="63" t="s">
        <v>230</v>
      </c>
      <c r="B40" s="63" t="s">
        <v>468</v>
      </c>
      <c r="C40" s="45">
        <v>648302</v>
      </c>
      <c r="D40" s="22"/>
      <c r="E40" s="22"/>
      <c r="F40" s="22"/>
      <c r="G40" s="24"/>
      <c r="H40" s="41"/>
      <c r="J40" s="41"/>
      <c r="K40" s="23"/>
      <c r="L40" s="23"/>
    </row>
    <row r="41" spans="1:12" x14ac:dyDescent="0.25">
      <c r="A41" s="63" t="s">
        <v>140</v>
      </c>
      <c r="B41" s="63" t="s">
        <v>141</v>
      </c>
      <c r="C41" s="67">
        <v>89237</v>
      </c>
      <c r="D41" s="22"/>
      <c r="E41" s="22"/>
      <c r="F41" s="22"/>
      <c r="G41" s="24"/>
      <c r="H41" s="41"/>
      <c r="J41" s="41"/>
      <c r="K41" s="23"/>
      <c r="L41" s="23"/>
    </row>
    <row r="42" spans="1:12" x14ac:dyDescent="0.25">
      <c r="A42" s="66" t="s">
        <v>350</v>
      </c>
      <c r="B42" s="66" t="s">
        <v>351</v>
      </c>
      <c r="C42" s="45">
        <v>89027</v>
      </c>
      <c r="D42" s="22"/>
      <c r="E42" s="22"/>
      <c r="F42" s="22"/>
      <c r="G42" s="24"/>
      <c r="H42" s="41"/>
      <c r="J42" s="41"/>
      <c r="K42" s="23"/>
      <c r="L42" s="23"/>
    </row>
    <row r="43" spans="1:12" x14ac:dyDescent="0.25">
      <c r="A43" s="66" t="s">
        <v>352</v>
      </c>
      <c r="B43" s="66" t="s">
        <v>353</v>
      </c>
      <c r="C43" s="45">
        <v>89024</v>
      </c>
      <c r="D43" s="22"/>
      <c r="E43" s="22"/>
      <c r="F43" s="22"/>
      <c r="G43" s="24"/>
      <c r="H43" s="41"/>
      <c r="J43" s="41"/>
      <c r="K43" s="23"/>
      <c r="L43" s="23"/>
    </row>
    <row r="44" spans="1:12" x14ac:dyDescent="0.25">
      <c r="I44" s="208" t="s">
        <v>8</v>
      </c>
      <c r="J44" s="214"/>
      <c r="K44" s="6">
        <f>COUNT(K26:K43)</f>
        <v>0</v>
      </c>
      <c r="L44" s="6">
        <f>COUNT(L26:L43)</f>
        <v>0</v>
      </c>
    </row>
    <row r="48" spans="1:12" ht="15.75" customHeight="1" thickBot="1" x14ac:dyDescent="0.3">
      <c r="A48" s="207" t="s">
        <v>406</v>
      </c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</row>
    <row r="49" spans="1:12" ht="15.75" thickBot="1" x14ac:dyDescent="0.3">
      <c r="A49" s="1" t="s">
        <v>1</v>
      </c>
      <c r="B49" s="1" t="s">
        <v>2</v>
      </c>
      <c r="C49" s="1" t="s">
        <v>3</v>
      </c>
      <c r="D49" s="13" t="s">
        <v>398</v>
      </c>
      <c r="E49" s="13" t="s">
        <v>401</v>
      </c>
      <c r="F49" s="13" t="s">
        <v>402</v>
      </c>
      <c r="G49" s="13" t="s">
        <v>400</v>
      </c>
      <c r="H49" s="13" t="s">
        <v>399</v>
      </c>
      <c r="I49" s="13" t="s">
        <v>616</v>
      </c>
      <c r="J49" s="13" t="s">
        <v>617</v>
      </c>
      <c r="K49" s="13" t="s">
        <v>396</v>
      </c>
      <c r="L49" s="13" t="s">
        <v>397</v>
      </c>
    </row>
    <row r="50" spans="1:12" x14ac:dyDescent="0.25">
      <c r="A50" s="45" t="s">
        <v>48</v>
      </c>
      <c r="B50" s="45" t="s">
        <v>49</v>
      </c>
      <c r="C50" s="45">
        <v>89125</v>
      </c>
      <c r="D50" s="22"/>
      <c r="E50" s="22"/>
      <c r="F50" s="22"/>
      <c r="G50" s="24"/>
      <c r="H50" s="41"/>
      <c r="J50" s="41"/>
      <c r="K50" s="23"/>
      <c r="L50" s="23"/>
    </row>
    <row r="51" spans="1:12" x14ac:dyDescent="0.25">
      <c r="A51" s="45" t="s">
        <v>320</v>
      </c>
      <c r="B51" s="45" t="s">
        <v>360</v>
      </c>
      <c r="C51" s="45">
        <v>89059</v>
      </c>
      <c r="D51" s="22"/>
      <c r="E51" s="22"/>
      <c r="F51" s="22"/>
      <c r="G51" s="24"/>
      <c r="H51" s="41"/>
      <c r="J51" s="41"/>
      <c r="K51" s="23"/>
      <c r="L51" s="23"/>
    </row>
    <row r="52" spans="1:12" x14ac:dyDescent="0.25">
      <c r="A52" s="45" t="s">
        <v>50</v>
      </c>
      <c r="B52" s="45" t="s">
        <v>51</v>
      </c>
      <c r="C52" s="45">
        <v>89053</v>
      </c>
      <c r="D52" s="22"/>
      <c r="E52" s="22"/>
      <c r="F52" s="22"/>
      <c r="G52" s="24"/>
      <c r="H52" s="41"/>
      <c r="J52" s="41"/>
      <c r="K52" s="23"/>
      <c r="L52" s="23"/>
    </row>
    <row r="53" spans="1:12" x14ac:dyDescent="0.25">
      <c r="A53" s="45" t="s">
        <v>332</v>
      </c>
      <c r="B53" s="45" t="s">
        <v>333</v>
      </c>
      <c r="C53" s="45">
        <v>89061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45" t="s">
        <v>37</v>
      </c>
      <c r="B54" s="45" t="s">
        <v>38</v>
      </c>
      <c r="C54" s="54">
        <v>89227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67" t="s">
        <v>470</v>
      </c>
      <c r="B55" s="67" t="s">
        <v>471</v>
      </c>
      <c r="C55" s="45">
        <v>648306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45" t="s">
        <v>29</v>
      </c>
      <c r="B56" s="45" t="s">
        <v>30</v>
      </c>
      <c r="C56" s="45">
        <v>89069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67" t="s">
        <v>322</v>
      </c>
      <c r="B57" s="67" t="s">
        <v>323</v>
      </c>
      <c r="C57" s="67">
        <v>648060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45" t="s">
        <v>289</v>
      </c>
      <c r="B58" s="45" t="s">
        <v>290</v>
      </c>
      <c r="C58" s="45">
        <v>89206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45" t="s">
        <v>348</v>
      </c>
      <c r="B59" s="45" t="s">
        <v>349</v>
      </c>
      <c r="C59" s="45">
        <v>89164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45" t="s">
        <v>43</v>
      </c>
      <c r="B60" s="45" t="s">
        <v>45</v>
      </c>
      <c r="C60" s="45">
        <v>89121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67" t="s">
        <v>475</v>
      </c>
      <c r="B61" s="67" t="s">
        <v>67</v>
      </c>
      <c r="C61" s="45">
        <v>648303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63" t="s">
        <v>466</v>
      </c>
      <c r="B62" s="63" t="s">
        <v>467</v>
      </c>
      <c r="C62" s="66">
        <v>648315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A63" s="66" t="s">
        <v>35</v>
      </c>
      <c r="B63" s="66" t="s">
        <v>36</v>
      </c>
      <c r="C63" s="66">
        <v>89118</v>
      </c>
      <c r="D63" s="22"/>
      <c r="E63" s="22"/>
      <c r="F63" s="22"/>
      <c r="G63" s="24"/>
      <c r="H63" s="41"/>
      <c r="J63" s="41"/>
      <c r="K63" s="23"/>
      <c r="L63" s="23"/>
    </row>
    <row r="64" spans="1:12" x14ac:dyDescent="0.25">
      <c r="A64" s="63" t="s">
        <v>230</v>
      </c>
      <c r="B64" s="63" t="s">
        <v>468</v>
      </c>
      <c r="C64" s="45">
        <v>648302</v>
      </c>
      <c r="D64" s="22"/>
      <c r="E64" s="22"/>
      <c r="F64" s="22"/>
      <c r="G64" s="24"/>
      <c r="H64" s="41"/>
      <c r="J64" s="41"/>
      <c r="K64" s="23"/>
      <c r="L64" s="23"/>
    </row>
    <row r="65" spans="1:12" x14ac:dyDescent="0.25">
      <c r="A65" s="63" t="s">
        <v>140</v>
      </c>
      <c r="B65" s="63" t="s">
        <v>141</v>
      </c>
      <c r="C65" s="67">
        <v>89237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6" t="s">
        <v>350</v>
      </c>
      <c r="B66" s="66" t="s">
        <v>351</v>
      </c>
      <c r="C66" s="45">
        <v>89027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66" t="s">
        <v>352</v>
      </c>
      <c r="B67" s="66" t="s">
        <v>353</v>
      </c>
      <c r="C67" s="45">
        <v>89024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I68" s="208" t="s">
        <v>8</v>
      </c>
      <c r="J68" s="214"/>
      <c r="K68" s="6">
        <f>COUNT(K50:K67)</f>
        <v>0</v>
      </c>
      <c r="L68" s="6">
        <f>COUNT(L50:L67)</f>
        <v>0</v>
      </c>
    </row>
    <row r="71" spans="1:12" ht="15.75" customHeight="1" thickBot="1" x14ac:dyDescent="0.3">
      <c r="A71" s="207" t="s">
        <v>423</v>
      </c>
      <c r="B71" s="208"/>
      <c r="C71" s="208"/>
      <c r="D71" s="208"/>
      <c r="E71" s="208"/>
      <c r="F71" s="208"/>
      <c r="G71" s="208"/>
      <c r="H71" s="208"/>
      <c r="I71" s="208"/>
      <c r="J71" s="208"/>
      <c r="K71" s="208"/>
      <c r="L71" s="208"/>
    </row>
    <row r="72" spans="1:12" ht="15.75" thickBot="1" x14ac:dyDescent="0.3">
      <c r="A72" s="1" t="s">
        <v>1</v>
      </c>
      <c r="B72" s="1" t="s">
        <v>2</v>
      </c>
      <c r="C72" s="1" t="s">
        <v>3</v>
      </c>
      <c r="D72" s="13" t="s">
        <v>398</v>
      </c>
      <c r="E72" s="13" t="s">
        <v>401</v>
      </c>
      <c r="F72" s="13" t="s">
        <v>402</v>
      </c>
      <c r="G72" s="13" t="s">
        <v>400</v>
      </c>
      <c r="H72" s="13" t="s">
        <v>399</v>
      </c>
      <c r="I72" s="13" t="s">
        <v>616</v>
      </c>
      <c r="J72" s="13" t="s">
        <v>617</v>
      </c>
      <c r="K72" s="13" t="s">
        <v>396</v>
      </c>
      <c r="L72" s="13" t="s">
        <v>397</v>
      </c>
    </row>
    <row r="73" spans="1:12" x14ac:dyDescent="0.25">
      <c r="A73" s="45" t="s">
        <v>48</v>
      </c>
      <c r="B73" s="45" t="s">
        <v>49</v>
      </c>
      <c r="C73" s="45">
        <v>89125</v>
      </c>
      <c r="D73" s="22"/>
      <c r="E73" s="22"/>
      <c r="F73" s="22"/>
      <c r="G73" s="24"/>
      <c r="H73" s="41"/>
      <c r="J73" s="41"/>
      <c r="K73" s="23"/>
      <c r="L73" s="23"/>
    </row>
    <row r="74" spans="1:12" x14ac:dyDescent="0.25">
      <c r="A74" s="45" t="s">
        <v>320</v>
      </c>
      <c r="B74" s="45" t="s">
        <v>360</v>
      </c>
      <c r="C74" s="45">
        <v>89059</v>
      </c>
      <c r="D74" s="22"/>
      <c r="E74" s="22"/>
      <c r="F74" s="22"/>
      <c r="G74" s="24"/>
      <c r="H74" s="41"/>
      <c r="J74" s="41"/>
      <c r="K74" s="23"/>
      <c r="L74" s="23"/>
    </row>
    <row r="75" spans="1:12" x14ac:dyDescent="0.25">
      <c r="A75" s="45" t="s">
        <v>50</v>
      </c>
      <c r="B75" s="45" t="s">
        <v>51</v>
      </c>
      <c r="C75" s="45">
        <v>89053</v>
      </c>
      <c r="D75" s="22"/>
      <c r="E75" s="22"/>
      <c r="F75" s="22"/>
      <c r="G75" s="24"/>
      <c r="H75" s="41"/>
      <c r="J75" s="41"/>
      <c r="K75" s="23"/>
      <c r="L75" s="23"/>
    </row>
    <row r="76" spans="1:12" x14ac:dyDescent="0.25">
      <c r="A76" s="45" t="s">
        <v>332</v>
      </c>
      <c r="B76" s="45" t="s">
        <v>333</v>
      </c>
      <c r="C76" s="45">
        <v>89061</v>
      </c>
      <c r="D76" s="22"/>
      <c r="E76" s="22"/>
      <c r="F76" s="22"/>
      <c r="G76" s="24"/>
      <c r="H76" s="41"/>
      <c r="J76" s="41"/>
      <c r="K76" s="23"/>
      <c r="L76" s="23"/>
    </row>
    <row r="77" spans="1:12" x14ac:dyDescent="0.25">
      <c r="A77" s="45" t="s">
        <v>37</v>
      </c>
      <c r="B77" s="45" t="s">
        <v>38</v>
      </c>
      <c r="C77" s="54">
        <v>89227</v>
      </c>
      <c r="D77" s="22"/>
      <c r="E77" s="22"/>
      <c r="F77" s="22"/>
      <c r="G77" s="24"/>
      <c r="H77" s="41"/>
      <c r="J77" s="41"/>
      <c r="K77" s="23"/>
      <c r="L77" s="23"/>
    </row>
    <row r="78" spans="1:12" x14ac:dyDescent="0.25">
      <c r="A78" s="67" t="s">
        <v>470</v>
      </c>
      <c r="B78" s="67" t="s">
        <v>471</v>
      </c>
      <c r="C78" s="45">
        <v>648306</v>
      </c>
      <c r="D78" s="22"/>
      <c r="E78" s="22"/>
      <c r="F78" s="22"/>
      <c r="G78" s="24"/>
      <c r="H78" s="41"/>
      <c r="J78" s="41"/>
      <c r="K78" s="23"/>
      <c r="L78" s="23"/>
    </row>
    <row r="79" spans="1:12" x14ac:dyDescent="0.25">
      <c r="A79" s="45" t="s">
        <v>29</v>
      </c>
      <c r="B79" s="45" t="s">
        <v>30</v>
      </c>
      <c r="C79" s="45">
        <v>89069</v>
      </c>
      <c r="D79" s="22"/>
      <c r="E79" s="22"/>
      <c r="F79" s="22"/>
      <c r="G79" s="24"/>
      <c r="H79" s="41"/>
      <c r="J79" s="41"/>
      <c r="K79" s="23"/>
      <c r="L79" s="23"/>
    </row>
    <row r="80" spans="1:12" x14ac:dyDescent="0.25">
      <c r="A80" s="67" t="s">
        <v>322</v>
      </c>
      <c r="B80" s="67" t="s">
        <v>323</v>
      </c>
      <c r="C80" s="67">
        <v>648060</v>
      </c>
      <c r="D80" s="22"/>
      <c r="E80" s="22"/>
      <c r="F80" s="22"/>
      <c r="G80" s="24"/>
      <c r="H80" s="41"/>
      <c r="J80" s="41"/>
      <c r="K80" s="23"/>
      <c r="L80" s="23"/>
    </row>
    <row r="81" spans="1:12" x14ac:dyDescent="0.25">
      <c r="A81" s="45" t="s">
        <v>289</v>
      </c>
      <c r="B81" s="45" t="s">
        <v>290</v>
      </c>
      <c r="C81" s="45">
        <v>89206</v>
      </c>
      <c r="D81" s="22"/>
      <c r="E81" s="22"/>
      <c r="F81" s="22"/>
      <c r="G81" s="24"/>
      <c r="H81" s="41"/>
      <c r="J81" s="41"/>
      <c r="K81" s="23"/>
      <c r="L81" s="23"/>
    </row>
    <row r="82" spans="1:12" x14ac:dyDescent="0.25">
      <c r="A82" s="45" t="s">
        <v>348</v>
      </c>
      <c r="B82" s="45" t="s">
        <v>349</v>
      </c>
      <c r="C82" s="45">
        <v>89164</v>
      </c>
      <c r="D82" s="22"/>
      <c r="E82" s="22"/>
      <c r="F82" s="22"/>
      <c r="G82" s="24"/>
      <c r="H82" s="41"/>
      <c r="J82" s="41"/>
      <c r="K82" s="23"/>
      <c r="L82" s="23"/>
    </row>
    <row r="83" spans="1:12" x14ac:dyDescent="0.25">
      <c r="A83" s="45" t="s">
        <v>43</v>
      </c>
      <c r="B83" s="45" t="s">
        <v>45</v>
      </c>
      <c r="C83" s="45">
        <v>89121</v>
      </c>
      <c r="D83" s="22"/>
      <c r="E83" s="22"/>
      <c r="F83" s="22"/>
      <c r="G83" s="24"/>
      <c r="H83" s="41"/>
      <c r="J83" s="41"/>
      <c r="K83" s="23"/>
      <c r="L83" s="23"/>
    </row>
    <row r="84" spans="1:12" x14ac:dyDescent="0.25">
      <c r="A84" s="67" t="s">
        <v>475</v>
      </c>
      <c r="B84" s="67" t="s">
        <v>67</v>
      </c>
      <c r="C84" s="45">
        <v>648303</v>
      </c>
      <c r="D84" s="22"/>
      <c r="E84" s="22"/>
      <c r="F84" s="22"/>
      <c r="G84" s="24"/>
      <c r="H84" s="41"/>
      <c r="J84" s="41"/>
      <c r="K84" s="23"/>
      <c r="L84" s="23"/>
    </row>
    <row r="85" spans="1:12" x14ac:dyDescent="0.25">
      <c r="A85" s="63" t="s">
        <v>466</v>
      </c>
      <c r="B85" s="63" t="s">
        <v>467</v>
      </c>
      <c r="C85" s="66">
        <v>648315</v>
      </c>
      <c r="D85" s="22"/>
      <c r="E85" s="22"/>
      <c r="F85" s="22"/>
      <c r="G85" s="24"/>
      <c r="H85" s="41"/>
      <c r="J85" s="41"/>
      <c r="K85" s="23"/>
      <c r="L85" s="23"/>
    </row>
    <row r="86" spans="1:12" x14ac:dyDescent="0.25">
      <c r="A86" s="66" t="s">
        <v>35</v>
      </c>
      <c r="B86" s="66" t="s">
        <v>36</v>
      </c>
      <c r="C86" s="66">
        <v>89118</v>
      </c>
      <c r="D86" s="22"/>
      <c r="E86" s="22"/>
      <c r="F86" s="22"/>
      <c r="G86" s="24"/>
      <c r="H86" s="41"/>
      <c r="J86" s="41"/>
      <c r="K86" s="23"/>
      <c r="L86" s="23"/>
    </row>
    <row r="87" spans="1:12" x14ac:dyDescent="0.25">
      <c r="A87" s="63" t="s">
        <v>230</v>
      </c>
      <c r="B87" s="63" t="s">
        <v>468</v>
      </c>
      <c r="C87" s="45">
        <v>648302</v>
      </c>
      <c r="D87" s="22"/>
      <c r="E87" s="22"/>
      <c r="F87" s="22"/>
      <c r="G87" s="24"/>
      <c r="H87" s="41"/>
      <c r="J87" s="41"/>
      <c r="K87" s="23"/>
      <c r="L87" s="23"/>
    </row>
    <row r="88" spans="1:12" x14ac:dyDescent="0.25">
      <c r="A88" s="63" t="s">
        <v>140</v>
      </c>
      <c r="B88" s="63" t="s">
        <v>141</v>
      </c>
      <c r="C88" s="67">
        <v>89237</v>
      </c>
      <c r="D88" s="22"/>
      <c r="E88" s="22"/>
      <c r="F88" s="22"/>
      <c r="G88" s="24"/>
      <c r="H88" s="41"/>
      <c r="J88" s="41"/>
      <c r="K88" s="23"/>
      <c r="L88" s="23"/>
    </row>
    <row r="89" spans="1:12" x14ac:dyDescent="0.25">
      <c r="A89" s="66" t="s">
        <v>350</v>
      </c>
      <c r="B89" s="66" t="s">
        <v>351</v>
      </c>
      <c r="C89" s="45">
        <v>89027</v>
      </c>
      <c r="D89" s="22"/>
      <c r="E89" s="22"/>
      <c r="F89" s="22"/>
      <c r="G89" s="24"/>
      <c r="H89" s="41"/>
      <c r="J89" s="41"/>
      <c r="K89" s="23"/>
      <c r="L89" s="23"/>
    </row>
    <row r="90" spans="1:12" x14ac:dyDescent="0.25">
      <c r="A90" s="66" t="s">
        <v>352</v>
      </c>
      <c r="B90" s="66" t="s">
        <v>353</v>
      </c>
      <c r="C90" s="45">
        <v>89024</v>
      </c>
      <c r="D90" s="22"/>
      <c r="E90" s="22"/>
      <c r="F90" s="22"/>
      <c r="G90" s="24"/>
      <c r="H90" s="41"/>
      <c r="J90" s="41"/>
      <c r="K90" s="23"/>
      <c r="L90" s="23"/>
    </row>
    <row r="91" spans="1:12" x14ac:dyDescent="0.25">
      <c r="I91" s="208" t="s">
        <v>8</v>
      </c>
      <c r="J91" s="214"/>
      <c r="K91" s="6">
        <f>COUNT(K73:K90)</f>
        <v>0</v>
      </c>
      <c r="L91" s="6">
        <f>COUNT(L73:L90)</f>
        <v>0</v>
      </c>
    </row>
    <row r="94" spans="1:12" ht="15.75" customHeight="1" thickBot="1" x14ac:dyDescent="0.3">
      <c r="A94" s="207" t="s">
        <v>407</v>
      </c>
      <c r="B94" s="208"/>
      <c r="C94" s="208"/>
      <c r="D94" s="208"/>
      <c r="E94" s="208"/>
      <c r="F94" s="208"/>
      <c r="G94" s="208"/>
      <c r="H94" s="208"/>
      <c r="I94" s="208"/>
      <c r="J94" s="208"/>
      <c r="K94" s="208"/>
      <c r="L94" s="208"/>
    </row>
    <row r="95" spans="1:12" ht="15.75" thickBot="1" x14ac:dyDescent="0.3">
      <c r="A95" s="1" t="s">
        <v>1</v>
      </c>
      <c r="B95" s="1" t="s">
        <v>2</v>
      </c>
      <c r="C95" s="1" t="s">
        <v>3</v>
      </c>
      <c r="D95" s="13" t="s">
        <v>398</v>
      </c>
      <c r="E95" s="13" t="s">
        <v>401</v>
      </c>
      <c r="F95" s="13" t="s">
        <v>402</v>
      </c>
      <c r="G95" s="13" t="s">
        <v>400</v>
      </c>
      <c r="H95" s="13" t="s">
        <v>399</v>
      </c>
      <c r="I95" s="13" t="s">
        <v>616</v>
      </c>
      <c r="J95" s="13" t="s">
        <v>617</v>
      </c>
      <c r="K95" s="13" t="s">
        <v>396</v>
      </c>
      <c r="L95" s="13" t="s">
        <v>397</v>
      </c>
    </row>
    <row r="96" spans="1:12" x14ac:dyDescent="0.25">
      <c r="A96" s="45" t="s">
        <v>48</v>
      </c>
      <c r="B96" s="45" t="s">
        <v>49</v>
      </c>
      <c r="C96" s="45">
        <v>89125</v>
      </c>
      <c r="D96" s="22"/>
      <c r="E96" s="22"/>
      <c r="F96" s="22"/>
      <c r="G96" s="24"/>
      <c r="H96" s="41"/>
      <c r="J96" s="41"/>
      <c r="K96" s="23"/>
      <c r="L96" s="23"/>
    </row>
    <row r="97" spans="1:12" x14ac:dyDescent="0.25">
      <c r="A97" s="45" t="s">
        <v>320</v>
      </c>
      <c r="B97" s="45" t="s">
        <v>360</v>
      </c>
      <c r="C97" s="45">
        <v>89059</v>
      </c>
      <c r="D97" s="22"/>
      <c r="E97" s="22"/>
      <c r="F97" s="22"/>
      <c r="G97" s="24"/>
      <c r="H97" s="41"/>
      <c r="J97" s="41"/>
      <c r="K97" s="23"/>
      <c r="L97" s="23"/>
    </row>
    <row r="98" spans="1:12" x14ac:dyDescent="0.25">
      <c r="A98" s="45" t="s">
        <v>50</v>
      </c>
      <c r="B98" s="45" t="s">
        <v>51</v>
      </c>
      <c r="C98" s="45">
        <v>89053</v>
      </c>
      <c r="D98" s="22"/>
      <c r="E98" s="22"/>
      <c r="F98" s="22"/>
      <c r="G98" s="24"/>
      <c r="H98" s="41"/>
      <c r="J98" s="41"/>
      <c r="K98" s="23"/>
      <c r="L98" s="23"/>
    </row>
    <row r="99" spans="1:12" x14ac:dyDescent="0.25">
      <c r="A99" s="45" t="s">
        <v>332</v>
      </c>
      <c r="B99" s="45" t="s">
        <v>333</v>
      </c>
      <c r="C99" s="45">
        <v>89061</v>
      </c>
      <c r="D99" s="22"/>
      <c r="E99" s="22"/>
      <c r="F99" s="22"/>
      <c r="G99" s="24"/>
      <c r="H99" s="41"/>
      <c r="J99" s="41"/>
      <c r="K99" s="23"/>
      <c r="L99" s="23"/>
    </row>
    <row r="100" spans="1:12" x14ac:dyDescent="0.25">
      <c r="A100" s="45" t="s">
        <v>37</v>
      </c>
      <c r="B100" s="45" t="s">
        <v>38</v>
      </c>
      <c r="C100" s="54">
        <v>89227</v>
      </c>
      <c r="D100" s="22"/>
      <c r="E100" s="22"/>
      <c r="F100" s="22"/>
      <c r="G100" s="24"/>
      <c r="H100" s="41"/>
      <c r="J100" s="41"/>
      <c r="K100" s="23"/>
      <c r="L100" s="23"/>
    </row>
    <row r="101" spans="1:12" x14ac:dyDescent="0.25">
      <c r="A101" s="67" t="s">
        <v>470</v>
      </c>
      <c r="B101" s="67" t="s">
        <v>471</v>
      </c>
      <c r="C101" s="45">
        <v>648306</v>
      </c>
      <c r="D101" s="22"/>
      <c r="E101" s="22"/>
      <c r="F101" s="22"/>
      <c r="G101" s="24"/>
      <c r="H101" s="41"/>
      <c r="J101" s="41"/>
      <c r="K101" s="23"/>
      <c r="L101" s="23"/>
    </row>
    <row r="102" spans="1:12" x14ac:dyDescent="0.25">
      <c r="A102" s="45" t="s">
        <v>29</v>
      </c>
      <c r="B102" s="45" t="s">
        <v>30</v>
      </c>
      <c r="C102" s="45">
        <v>89069</v>
      </c>
      <c r="D102" s="22"/>
      <c r="E102" s="22"/>
      <c r="F102" s="22"/>
      <c r="G102" s="24"/>
      <c r="H102" s="41"/>
      <c r="J102" s="41"/>
      <c r="K102" s="23"/>
      <c r="L102" s="23"/>
    </row>
    <row r="103" spans="1:12" x14ac:dyDescent="0.25">
      <c r="A103" s="67" t="s">
        <v>322</v>
      </c>
      <c r="B103" s="67" t="s">
        <v>323</v>
      </c>
      <c r="C103" s="67">
        <v>648060</v>
      </c>
      <c r="D103" s="22"/>
      <c r="E103" s="22"/>
      <c r="F103" s="22"/>
      <c r="G103" s="24"/>
      <c r="H103" s="41"/>
      <c r="J103" s="41"/>
      <c r="K103" s="23"/>
      <c r="L103" s="23"/>
    </row>
    <row r="104" spans="1:12" x14ac:dyDescent="0.25">
      <c r="A104" s="45" t="s">
        <v>289</v>
      </c>
      <c r="B104" s="45" t="s">
        <v>290</v>
      </c>
      <c r="C104" s="45">
        <v>89206</v>
      </c>
      <c r="D104" s="22"/>
      <c r="E104" s="22"/>
      <c r="F104" s="22"/>
      <c r="G104" s="24"/>
      <c r="H104" s="41"/>
      <c r="J104" s="41"/>
      <c r="K104" s="23"/>
      <c r="L104" s="23"/>
    </row>
    <row r="105" spans="1:12" x14ac:dyDescent="0.25">
      <c r="A105" s="45" t="s">
        <v>348</v>
      </c>
      <c r="B105" s="45" t="s">
        <v>349</v>
      </c>
      <c r="C105" s="45">
        <v>89164</v>
      </c>
      <c r="D105" s="22"/>
      <c r="E105" s="22"/>
      <c r="F105" s="22"/>
      <c r="G105" s="24"/>
      <c r="H105" s="41"/>
      <c r="J105" s="41"/>
      <c r="K105" s="23"/>
      <c r="L105" s="23"/>
    </row>
    <row r="106" spans="1:12" x14ac:dyDescent="0.25">
      <c r="A106" s="45" t="s">
        <v>43</v>
      </c>
      <c r="B106" s="45" t="s">
        <v>45</v>
      </c>
      <c r="C106" s="45">
        <v>89121</v>
      </c>
      <c r="D106" s="22"/>
      <c r="E106" s="22"/>
      <c r="F106" s="22"/>
      <c r="G106" s="24"/>
      <c r="H106" s="41"/>
      <c r="J106" s="41"/>
      <c r="K106" s="23"/>
      <c r="L106" s="23"/>
    </row>
    <row r="107" spans="1:12" x14ac:dyDescent="0.25">
      <c r="A107" s="67" t="s">
        <v>475</v>
      </c>
      <c r="B107" s="67" t="s">
        <v>67</v>
      </c>
      <c r="C107" s="45">
        <v>648303</v>
      </c>
      <c r="D107" s="22"/>
      <c r="E107" s="22"/>
      <c r="F107" s="22"/>
      <c r="G107" s="24"/>
      <c r="H107" s="41"/>
      <c r="J107" s="41"/>
      <c r="K107" s="23"/>
      <c r="L107" s="23"/>
    </row>
    <row r="108" spans="1:12" x14ac:dyDescent="0.25">
      <c r="A108" s="63" t="s">
        <v>466</v>
      </c>
      <c r="B108" s="63" t="s">
        <v>467</v>
      </c>
      <c r="C108" s="66">
        <v>648315</v>
      </c>
      <c r="D108" s="22"/>
      <c r="E108" s="22"/>
      <c r="F108" s="22"/>
      <c r="G108" s="24"/>
      <c r="H108" s="41"/>
      <c r="J108" s="41"/>
      <c r="K108" s="23"/>
      <c r="L108" s="23"/>
    </row>
    <row r="109" spans="1:12" x14ac:dyDescent="0.25">
      <c r="A109" s="66" t="s">
        <v>35</v>
      </c>
      <c r="B109" s="66" t="s">
        <v>36</v>
      </c>
      <c r="C109" s="66">
        <v>89118</v>
      </c>
      <c r="D109" s="22"/>
      <c r="E109" s="22"/>
      <c r="F109" s="22"/>
      <c r="G109" s="24"/>
      <c r="H109" s="41"/>
      <c r="J109" s="41"/>
      <c r="K109" s="23"/>
      <c r="L109" s="23"/>
    </row>
    <row r="110" spans="1:12" x14ac:dyDescent="0.25">
      <c r="A110" s="63" t="s">
        <v>230</v>
      </c>
      <c r="B110" s="63" t="s">
        <v>468</v>
      </c>
      <c r="C110" s="45">
        <v>648302</v>
      </c>
      <c r="D110" s="22"/>
      <c r="E110" s="22"/>
      <c r="F110" s="22"/>
      <c r="G110" s="24"/>
      <c r="H110" s="41"/>
      <c r="J110" s="41"/>
      <c r="K110" s="23"/>
      <c r="L110" s="23"/>
    </row>
    <row r="111" spans="1:12" x14ac:dyDescent="0.25">
      <c r="A111" s="63" t="s">
        <v>140</v>
      </c>
      <c r="B111" s="63" t="s">
        <v>141</v>
      </c>
      <c r="C111" s="67">
        <v>89237</v>
      </c>
      <c r="D111" s="22"/>
      <c r="E111" s="22"/>
      <c r="F111" s="22"/>
      <c r="G111" s="24"/>
      <c r="H111" s="41"/>
      <c r="J111" s="41"/>
      <c r="K111" s="23"/>
      <c r="L111" s="23"/>
    </row>
    <row r="112" spans="1:12" x14ac:dyDescent="0.25">
      <c r="A112" s="66" t="s">
        <v>350</v>
      </c>
      <c r="B112" s="66" t="s">
        <v>351</v>
      </c>
      <c r="C112" s="45">
        <v>89027</v>
      </c>
      <c r="D112" s="22"/>
      <c r="E112" s="22"/>
      <c r="F112" s="22"/>
      <c r="G112" s="24"/>
      <c r="H112" s="41"/>
      <c r="J112" s="41"/>
      <c r="K112" s="23"/>
      <c r="L112" s="23"/>
    </row>
    <row r="113" spans="1:12" x14ac:dyDescent="0.25">
      <c r="A113" s="66" t="s">
        <v>352</v>
      </c>
      <c r="B113" s="66" t="s">
        <v>353</v>
      </c>
      <c r="C113" s="45">
        <v>89024</v>
      </c>
      <c r="D113" s="22"/>
      <c r="E113" s="22"/>
      <c r="F113" s="22"/>
      <c r="G113" s="24"/>
      <c r="H113" s="41"/>
      <c r="J113" s="41"/>
      <c r="K113" s="23"/>
      <c r="L113" s="23"/>
    </row>
    <row r="114" spans="1:12" x14ac:dyDescent="0.25">
      <c r="I114" s="208" t="s">
        <v>8</v>
      </c>
      <c r="J114" s="214"/>
      <c r="K114" s="6">
        <f>COUNT(K96:K113)</f>
        <v>0</v>
      </c>
      <c r="L114" s="6">
        <f>COUNT(L96:L113)</f>
        <v>0</v>
      </c>
    </row>
  </sheetData>
  <sortState ref="A3:C20">
    <sortCondition ref="B3:B20"/>
  </sortState>
  <mergeCells count="10">
    <mergeCell ref="I114:J114"/>
    <mergeCell ref="A1:L1"/>
    <mergeCell ref="I21:J21"/>
    <mergeCell ref="A24:L24"/>
    <mergeCell ref="I44:J44"/>
    <mergeCell ref="A48:L48"/>
    <mergeCell ref="I68:J68"/>
    <mergeCell ref="A71:L71"/>
    <mergeCell ref="I91:J91"/>
    <mergeCell ref="A94:L94"/>
  </mergeCells>
  <conditionalFormatting sqref="K3:L3">
    <cfRule type="duplicateValues" dxfId="219" priority="7602"/>
  </conditionalFormatting>
  <conditionalFormatting sqref="K4:L20">
    <cfRule type="duplicateValues" dxfId="218" priority="330"/>
  </conditionalFormatting>
  <conditionalFormatting sqref="A62:B63">
    <cfRule type="cellIs" dxfId="217" priority="89" operator="equal">
      <formula>"LOA"</formula>
    </cfRule>
    <cfRule type="cellIs" dxfId="216" priority="90" operator="equal">
      <formula>"PENDING TERM"</formula>
    </cfRule>
    <cfRule type="cellIs" dxfId="215" priority="91" operator="equal">
      <formula>"PROMOTED"</formula>
    </cfRule>
    <cfRule type="cellIs" dxfId="214" priority="92" operator="equal">
      <formula>"REINSTATEMENT"</formula>
    </cfRule>
    <cfRule type="cellIs" dxfId="213" priority="93" operator="equal">
      <formula>"TERM"</formula>
    </cfRule>
    <cfRule type="cellIs" dxfId="212" priority="94" operator="equal">
      <formula>"TRANSFER"</formula>
    </cfRule>
  </conditionalFormatting>
  <conditionalFormatting sqref="A40:B43">
    <cfRule type="cellIs" dxfId="211" priority="115" operator="equal">
      <formula>"LOA"</formula>
    </cfRule>
    <cfRule type="cellIs" dxfId="210" priority="116" operator="equal">
      <formula>"PENDING TERM"</formula>
    </cfRule>
    <cfRule type="cellIs" dxfId="209" priority="117" operator="equal">
      <formula>"PROMOTED"</formula>
    </cfRule>
    <cfRule type="cellIs" dxfId="208" priority="118" operator="equal">
      <formula>"REINSTATEMENT"</formula>
    </cfRule>
    <cfRule type="cellIs" dxfId="207" priority="119" operator="equal">
      <formula>"TERM"</formula>
    </cfRule>
    <cfRule type="cellIs" dxfId="206" priority="120" operator="equal">
      <formula>"TRANSFER"</formula>
    </cfRule>
  </conditionalFormatting>
  <conditionalFormatting sqref="A15:B16">
    <cfRule type="cellIs" dxfId="205" priority="153" operator="equal">
      <formula>"LOA"</formula>
    </cfRule>
    <cfRule type="cellIs" dxfId="204" priority="154" operator="equal">
      <formula>"PENDING TERM"</formula>
    </cfRule>
    <cfRule type="cellIs" dxfId="203" priority="155" operator="equal">
      <formula>"PROMOTED"</formula>
    </cfRule>
    <cfRule type="cellIs" dxfId="202" priority="156" operator="equal">
      <formula>"REINSTATEMENT"</formula>
    </cfRule>
    <cfRule type="cellIs" dxfId="201" priority="157" operator="equal">
      <formula>"TERM"</formula>
    </cfRule>
    <cfRule type="cellIs" dxfId="200" priority="158" operator="equal">
      <formula>"TRANSFER"</formula>
    </cfRule>
  </conditionalFormatting>
  <conditionalFormatting sqref="A17:B20">
    <cfRule type="cellIs" dxfId="199" priority="147" operator="equal">
      <formula>"LOA"</formula>
    </cfRule>
    <cfRule type="cellIs" dxfId="198" priority="148" operator="equal">
      <formula>"PENDING TERM"</formula>
    </cfRule>
    <cfRule type="cellIs" dxfId="197" priority="149" operator="equal">
      <formula>"PROMOTED"</formula>
    </cfRule>
    <cfRule type="cellIs" dxfId="196" priority="150" operator="equal">
      <formula>"REINSTATEMENT"</formula>
    </cfRule>
    <cfRule type="cellIs" dxfId="195" priority="151" operator="equal">
      <formula>"TERM"</formula>
    </cfRule>
    <cfRule type="cellIs" dxfId="194" priority="152" operator="equal">
      <formula>"TRANSFER"</formula>
    </cfRule>
  </conditionalFormatting>
  <conditionalFormatting sqref="C12 C3:C6">
    <cfRule type="duplicateValues" dxfId="193" priority="146"/>
  </conditionalFormatting>
  <conditionalFormatting sqref="C7">
    <cfRule type="duplicateValues" dxfId="192" priority="144"/>
  </conditionalFormatting>
  <conditionalFormatting sqref="C8:C12">
    <cfRule type="duplicateValues" dxfId="191" priority="145"/>
  </conditionalFormatting>
  <conditionalFormatting sqref="C13:C14">
    <cfRule type="duplicateValues" dxfId="190" priority="143"/>
  </conditionalFormatting>
  <conditionalFormatting sqref="C15:C16">
    <cfRule type="cellIs" dxfId="189" priority="136" operator="equal">
      <formula>"LOA"</formula>
    </cfRule>
    <cfRule type="cellIs" dxfId="188" priority="137" operator="equal">
      <formula>"PENDING TERM"</formula>
    </cfRule>
    <cfRule type="cellIs" dxfId="187" priority="138" operator="equal">
      <formula>"PROMOTED"</formula>
    </cfRule>
    <cfRule type="cellIs" dxfId="186" priority="139" operator="equal">
      <formula>"REINSTATEMENT"</formula>
    </cfRule>
    <cfRule type="cellIs" dxfId="185" priority="140" operator="equal">
      <formula>"TERM"</formula>
    </cfRule>
    <cfRule type="cellIs" dxfId="184" priority="141" operator="equal">
      <formula>"TRANSFER"</formula>
    </cfRule>
  </conditionalFormatting>
  <conditionalFormatting sqref="C15:C16">
    <cfRule type="duplicateValues" dxfId="183" priority="142"/>
  </conditionalFormatting>
  <conditionalFormatting sqref="C17:C20">
    <cfRule type="cellIs" dxfId="182" priority="129" operator="equal">
      <formula>"LOA"</formula>
    </cfRule>
    <cfRule type="cellIs" dxfId="181" priority="130" operator="equal">
      <formula>"PENDING TERM"</formula>
    </cfRule>
    <cfRule type="cellIs" dxfId="180" priority="131" operator="equal">
      <formula>"PROMOTED"</formula>
    </cfRule>
    <cfRule type="cellIs" dxfId="179" priority="132" operator="equal">
      <formula>"REINSTATEMENT"</formula>
    </cfRule>
    <cfRule type="cellIs" dxfId="178" priority="133" operator="equal">
      <formula>"TERM"</formula>
    </cfRule>
    <cfRule type="cellIs" dxfId="177" priority="134" operator="equal">
      <formula>"TRANSFER"</formula>
    </cfRule>
  </conditionalFormatting>
  <conditionalFormatting sqref="C17:C20">
    <cfRule type="duplicateValues" dxfId="176" priority="135"/>
  </conditionalFormatting>
  <conditionalFormatting sqref="K26:L26">
    <cfRule type="duplicateValues" dxfId="175" priority="128"/>
  </conditionalFormatting>
  <conditionalFormatting sqref="K27:L43">
    <cfRule type="duplicateValues" dxfId="174" priority="127"/>
  </conditionalFormatting>
  <conditionalFormatting sqref="A38:B39">
    <cfRule type="cellIs" dxfId="173" priority="121" operator="equal">
      <formula>"LOA"</formula>
    </cfRule>
    <cfRule type="cellIs" dxfId="172" priority="122" operator="equal">
      <formula>"PENDING TERM"</formula>
    </cfRule>
    <cfRule type="cellIs" dxfId="171" priority="123" operator="equal">
      <formula>"PROMOTED"</formula>
    </cfRule>
    <cfRule type="cellIs" dxfId="170" priority="124" operator="equal">
      <formula>"REINSTATEMENT"</formula>
    </cfRule>
    <cfRule type="cellIs" dxfId="169" priority="125" operator="equal">
      <formula>"TERM"</formula>
    </cfRule>
    <cfRule type="cellIs" dxfId="168" priority="126" operator="equal">
      <formula>"TRANSFER"</formula>
    </cfRule>
  </conditionalFormatting>
  <conditionalFormatting sqref="C35 C26:C29">
    <cfRule type="duplicateValues" dxfId="167" priority="114"/>
  </conditionalFormatting>
  <conditionalFormatting sqref="C30">
    <cfRule type="duplicateValues" dxfId="166" priority="112"/>
  </conditionalFormatting>
  <conditionalFormatting sqref="C31:C35">
    <cfRule type="duplicateValues" dxfId="165" priority="113"/>
  </conditionalFormatting>
  <conditionalFormatting sqref="C36:C37">
    <cfRule type="duplicateValues" dxfId="164" priority="111"/>
  </conditionalFormatting>
  <conditionalFormatting sqref="C38:C39">
    <cfRule type="cellIs" dxfId="163" priority="104" operator="equal">
      <formula>"LOA"</formula>
    </cfRule>
    <cfRule type="cellIs" dxfId="162" priority="105" operator="equal">
      <formula>"PENDING TERM"</formula>
    </cfRule>
    <cfRule type="cellIs" dxfId="161" priority="106" operator="equal">
      <formula>"PROMOTED"</formula>
    </cfRule>
    <cfRule type="cellIs" dxfId="160" priority="107" operator="equal">
      <formula>"REINSTATEMENT"</formula>
    </cfRule>
    <cfRule type="cellIs" dxfId="159" priority="108" operator="equal">
      <formula>"TERM"</formula>
    </cfRule>
    <cfRule type="cellIs" dxfId="158" priority="109" operator="equal">
      <formula>"TRANSFER"</formula>
    </cfRule>
  </conditionalFormatting>
  <conditionalFormatting sqref="C38:C39">
    <cfRule type="duplicateValues" dxfId="157" priority="110"/>
  </conditionalFormatting>
  <conditionalFormatting sqref="C40:C43">
    <cfRule type="cellIs" dxfId="156" priority="97" operator="equal">
      <formula>"LOA"</formula>
    </cfRule>
    <cfRule type="cellIs" dxfId="155" priority="98" operator="equal">
      <formula>"PENDING TERM"</formula>
    </cfRule>
    <cfRule type="cellIs" dxfId="154" priority="99" operator="equal">
      <formula>"PROMOTED"</formula>
    </cfRule>
    <cfRule type="cellIs" dxfId="153" priority="100" operator="equal">
      <formula>"REINSTATEMENT"</formula>
    </cfRule>
    <cfRule type="cellIs" dxfId="152" priority="101" operator="equal">
      <formula>"TERM"</formula>
    </cfRule>
    <cfRule type="cellIs" dxfId="151" priority="102" operator="equal">
      <formula>"TRANSFER"</formula>
    </cfRule>
  </conditionalFormatting>
  <conditionalFormatting sqref="C40:C43">
    <cfRule type="duplicateValues" dxfId="150" priority="103"/>
  </conditionalFormatting>
  <conditionalFormatting sqref="K50:L50">
    <cfRule type="duplicateValues" dxfId="149" priority="96"/>
  </conditionalFormatting>
  <conditionalFormatting sqref="K51:L67">
    <cfRule type="duplicateValues" dxfId="148" priority="95"/>
  </conditionalFormatting>
  <conditionalFormatting sqref="A64:B67">
    <cfRule type="cellIs" dxfId="147" priority="83" operator="equal">
      <formula>"LOA"</formula>
    </cfRule>
    <cfRule type="cellIs" dxfId="146" priority="84" operator="equal">
      <formula>"PENDING TERM"</formula>
    </cfRule>
    <cfRule type="cellIs" dxfId="145" priority="85" operator="equal">
      <formula>"PROMOTED"</formula>
    </cfRule>
    <cfRule type="cellIs" dxfId="144" priority="86" operator="equal">
      <formula>"REINSTATEMENT"</formula>
    </cfRule>
    <cfRule type="cellIs" dxfId="143" priority="87" operator="equal">
      <formula>"TERM"</formula>
    </cfRule>
    <cfRule type="cellIs" dxfId="142" priority="88" operator="equal">
      <formula>"TRANSFER"</formula>
    </cfRule>
  </conditionalFormatting>
  <conditionalFormatting sqref="C59 C50:C53">
    <cfRule type="duplicateValues" dxfId="141" priority="82"/>
  </conditionalFormatting>
  <conditionalFormatting sqref="C54">
    <cfRule type="duplicateValues" dxfId="140" priority="80"/>
  </conditionalFormatting>
  <conditionalFormatting sqref="C55:C59">
    <cfRule type="duplicateValues" dxfId="139" priority="81"/>
  </conditionalFormatting>
  <conditionalFormatting sqref="C60:C61">
    <cfRule type="duplicateValues" dxfId="138" priority="79"/>
  </conditionalFormatting>
  <conditionalFormatting sqref="C62:C63">
    <cfRule type="cellIs" dxfId="137" priority="72" operator="equal">
      <formula>"LOA"</formula>
    </cfRule>
    <cfRule type="cellIs" dxfId="136" priority="73" operator="equal">
      <formula>"PENDING TERM"</formula>
    </cfRule>
    <cfRule type="cellIs" dxfId="135" priority="74" operator="equal">
      <formula>"PROMOTED"</formula>
    </cfRule>
    <cfRule type="cellIs" dxfId="134" priority="75" operator="equal">
      <formula>"REINSTATEMENT"</formula>
    </cfRule>
    <cfRule type="cellIs" dxfId="133" priority="76" operator="equal">
      <formula>"TERM"</formula>
    </cfRule>
    <cfRule type="cellIs" dxfId="132" priority="77" operator="equal">
      <formula>"TRANSFER"</formula>
    </cfRule>
  </conditionalFormatting>
  <conditionalFormatting sqref="C62:C63">
    <cfRule type="duplicateValues" dxfId="131" priority="78"/>
  </conditionalFormatting>
  <conditionalFormatting sqref="C64:C67">
    <cfRule type="cellIs" dxfId="130" priority="65" operator="equal">
      <formula>"LOA"</formula>
    </cfRule>
    <cfRule type="cellIs" dxfId="129" priority="66" operator="equal">
      <formula>"PENDING TERM"</formula>
    </cfRule>
    <cfRule type="cellIs" dxfId="128" priority="67" operator="equal">
      <formula>"PROMOTED"</formula>
    </cfRule>
    <cfRule type="cellIs" dxfId="127" priority="68" operator="equal">
      <formula>"REINSTATEMENT"</formula>
    </cfRule>
    <cfRule type="cellIs" dxfId="126" priority="69" operator="equal">
      <formula>"TERM"</formula>
    </cfRule>
    <cfRule type="cellIs" dxfId="125" priority="70" operator="equal">
      <formula>"TRANSFER"</formula>
    </cfRule>
  </conditionalFormatting>
  <conditionalFormatting sqref="C64:C67">
    <cfRule type="duplicateValues" dxfId="124" priority="71"/>
  </conditionalFormatting>
  <conditionalFormatting sqref="K73:L73">
    <cfRule type="duplicateValues" dxfId="123" priority="64"/>
  </conditionalFormatting>
  <conditionalFormatting sqref="K74:L90">
    <cfRule type="duplicateValues" dxfId="122" priority="63"/>
  </conditionalFormatting>
  <conditionalFormatting sqref="A85:B86">
    <cfRule type="cellIs" dxfId="121" priority="57" operator="equal">
      <formula>"LOA"</formula>
    </cfRule>
    <cfRule type="cellIs" dxfId="120" priority="58" operator="equal">
      <formula>"PENDING TERM"</formula>
    </cfRule>
    <cfRule type="cellIs" dxfId="119" priority="59" operator="equal">
      <formula>"PROMOTED"</formula>
    </cfRule>
    <cfRule type="cellIs" dxfId="118" priority="60" operator="equal">
      <formula>"REINSTATEMENT"</formula>
    </cfRule>
    <cfRule type="cellIs" dxfId="117" priority="61" operator="equal">
      <formula>"TERM"</formula>
    </cfRule>
    <cfRule type="cellIs" dxfId="116" priority="62" operator="equal">
      <formula>"TRANSFER"</formula>
    </cfRule>
  </conditionalFormatting>
  <conditionalFormatting sqref="A87:B90">
    <cfRule type="cellIs" dxfId="115" priority="51" operator="equal">
      <formula>"LOA"</formula>
    </cfRule>
    <cfRule type="cellIs" dxfId="114" priority="52" operator="equal">
      <formula>"PENDING TERM"</formula>
    </cfRule>
    <cfRule type="cellIs" dxfId="113" priority="53" operator="equal">
      <formula>"PROMOTED"</formula>
    </cfRule>
    <cfRule type="cellIs" dxfId="112" priority="54" operator="equal">
      <formula>"REINSTATEMENT"</formula>
    </cfRule>
    <cfRule type="cellIs" dxfId="111" priority="55" operator="equal">
      <formula>"TERM"</formula>
    </cfRule>
    <cfRule type="cellIs" dxfId="110" priority="56" operator="equal">
      <formula>"TRANSFER"</formula>
    </cfRule>
  </conditionalFormatting>
  <conditionalFormatting sqref="C82 C73:C76">
    <cfRule type="duplicateValues" dxfId="109" priority="50"/>
  </conditionalFormatting>
  <conditionalFormatting sqref="C77">
    <cfRule type="duplicateValues" dxfId="108" priority="48"/>
  </conditionalFormatting>
  <conditionalFormatting sqref="C78:C82">
    <cfRule type="duplicateValues" dxfId="107" priority="49"/>
  </conditionalFormatting>
  <conditionalFormatting sqref="C83:C84">
    <cfRule type="duplicateValues" dxfId="106" priority="47"/>
  </conditionalFormatting>
  <conditionalFormatting sqref="C85:C86">
    <cfRule type="cellIs" dxfId="105" priority="40" operator="equal">
      <formula>"LOA"</formula>
    </cfRule>
    <cfRule type="cellIs" dxfId="104" priority="41" operator="equal">
      <formula>"PENDING TERM"</formula>
    </cfRule>
    <cfRule type="cellIs" dxfId="103" priority="42" operator="equal">
      <formula>"PROMOTED"</formula>
    </cfRule>
    <cfRule type="cellIs" dxfId="102" priority="43" operator="equal">
      <formula>"REINSTATEMENT"</formula>
    </cfRule>
    <cfRule type="cellIs" dxfId="101" priority="44" operator="equal">
      <formula>"TERM"</formula>
    </cfRule>
    <cfRule type="cellIs" dxfId="100" priority="45" operator="equal">
      <formula>"TRANSFER"</formula>
    </cfRule>
  </conditionalFormatting>
  <conditionalFormatting sqref="C85:C86">
    <cfRule type="duplicateValues" dxfId="99" priority="46"/>
  </conditionalFormatting>
  <conditionalFormatting sqref="C87:C90">
    <cfRule type="cellIs" dxfId="98" priority="33" operator="equal">
      <formula>"LOA"</formula>
    </cfRule>
    <cfRule type="cellIs" dxfId="97" priority="34" operator="equal">
      <formula>"PENDING TERM"</formula>
    </cfRule>
    <cfRule type="cellIs" dxfId="96" priority="35" operator="equal">
      <formula>"PROMOTED"</formula>
    </cfRule>
    <cfRule type="cellIs" dxfId="95" priority="36" operator="equal">
      <formula>"REINSTATEMENT"</formula>
    </cfRule>
    <cfRule type="cellIs" dxfId="94" priority="37" operator="equal">
      <formula>"TERM"</formula>
    </cfRule>
    <cfRule type="cellIs" dxfId="93" priority="38" operator="equal">
      <formula>"TRANSFER"</formula>
    </cfRule>
  </conditionalFormatting>
  <conditionalFormatting sqref="C87:C90">
    <cfRule type="duplicateValues" dxfId="92" priority="39"/>
  </conditionalFormatting>
  <conditionalFormatting sqref="K96:L96">
    <cfRule type="duplicateValues" dxfId="91" priority="32"/>
  </conditionalFormatting>
  <conditionalFormatting sqref="K97:L113">
    <cfRule type="duplicateValues" dxfId="90" priority="31"/>
  </conditionalFormatting>
  <conditionalFormatting sqref="A108:B109">
    <cfRule type="cellIs" dxfId="89" priority="25" operator="equal">
      <formula>"LOA"</formula>
    </cfRule>
    <cfRule type="cellIs" dxfId="88" priority="26" operator="equal">
      <formula>"PENDING TERM"</formula>
    </cfRule>
    <cfRule type="cellIs" dxfId="87" priority="27" operator="equal">
      <formula>"PROMOTED"</formula>
    </cfRule>
    <cfRule type="cellIs" dxfId="86" priority="28" operator="equal">
      <formula>"REINSTATEMENT"</formula>
    </cfRule>
    <cfRule type="cellIs" dxfId="85" priority="29" operator="equal">
      <formula>"TERM"</formula>
    </cfRule>
    <cfRule type="cellIs" dxfId="84" priority="30" operator="equal">
      <formula>"TRANSFER"</formula>
    </cfRule>
  </conditionalFormatting>
  <conditionalFormatting sqref="A110:B113">
    <cfRule type="cellIs" dxfId="83" priority="19" operator="equal">
      <formula>"LOA"</formula>
    </cfRule>
    <cfRule type="cellIs" dxfId="82" priority="20" operator="equal">
      <formula>"PENDING TERM"</formula>
    </cfRule>
    <cfRule type="cellIs" dxfId="81" priority="21" operator="equal">
      <formula>"PROMOTED"</formula>
    </cfRule>
    <cfRule type="cellIs" dxfId="80" priority="22" operator="equal">
      <formula>"REINSTATEMENT"</formula>
    </cfRule>
    <cfRule type="cellIs" dxfId="79" priority="23" operator="equal">
      <formula>"TERM"</formula>
    </cfRule>
    <cfRule type="cellIs" dxfId="78" priority="24" operator="equal">
      <formula>"TRANSFER"</formula>
    </cfRule>
  </conditionalFormatting>
  <conditionalFormatting sqref="C105 C96:C99">
    <cfRule type="duplicateValues" dxfId="77" priority="18"/>
  </conditionalFormatting>
  <conditionalFormatting sqref="C100">
    <cfRule type="duplicateValues" dxfId="76" priority="16"/>
  </conditionalFormatting>
  <conditionalFormatting sqref="C101:C105">
    <cfRule type="duplicateValues" dxfId="75" priority="17"/>
  </conditionalFormatting>
  <conditionalFormatting sqref="C106:C107">
    <cfRule type="duplicateValues" dxfId="74" priority="15"/>
  </conditionalFormatting>
  <conditionalFormatting sqref="C108:C109">
    <cfRule type="cellIs" dxfId="73" priority="8" operator="equal">
      <formula>"LOA"</formula>
    </cfRule>
    <cfRule type="cellIs" dxfId="72" priority="9" operator="equal">
      <formula>"PENDING TERM"</formula>
    </cfRule>
    <cfRule type="cellIs" dxfId="71" priority="10" operator="equal">
      <formula>"PROMOTED"</formula>
    </cfRule>
    <cfRule type="cellIs" dxfId="70" priority="11" operator="equal">
      <formula>"REINSTATEMENT"</formula>
    </cfRule>
    <cfRule type="cellIs" dxfId="69" priority="12" operator="equal">
      <formula>"TERM"</formula>
    </cfRule>
    <cfRule type="cellIs" dxfId="68" priority="13" operator="equal">
      <formula>"TRANSFER"</formula>
    </cfRule>
  </conditionalFormatting>
  <conditionalFormatting sqref="C108:C109">
    <cfRule type="duplicateValues" dxfId="67" priority="14"/>
  </conditionalFormatting>
  <conditionalFormatting sqref="C110:C113">
    <cfRule type="cellIs" dxfId="66" priority="1" operator="equal">
      <formula>"LOA"</formula>
    </cfRule>
    <cfRule type="cellIs" dxfId="65" priority="2" operator="equal">
      <formula>"PENDING TERM"</formula>
    </cfRule>
    <cfRule type="cellIs" dxfId="64" priority="3" operator="equal">
      <formula>"PROMOTED"</formula>
    </cfRule>
    <cfRule type="cellIs" dxfId="63" priority="4" operator="equal">
      <formula>"REINSTATEMENT"</formula>
    </cfRule>
    <cfRule type="cellIs" dxfId="62" priority="5" operator="equal">
      <formula>"TERM"</formula>
    </cfRule>
    <cfRule type="cellIs" dxfId="61" priority="6" operator="equal">
      <formula>"TRANSFER"</formula>
    </cfRule>
  </conditionalFormatting>
  <conditionalFormatting sqref="C110:C113">
    <cfRule type="duplicateValues" dxfId="60" priority="7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F28"/>
  <sheetViews>
    <sheetView topLeftCell="A10" workbookViewId="0">
      <selection activeCell="G39" sqref="G39"/>
    </sheetView>
  </sheetViews>
  <sheetFormatPr baseColWidth="10" defaultRowHeight="15" x14ac:dyDescent="0.25"/>
  <cols>
    <col min="1" max="1" width="14.7109375" customWidth="1"/>
    <col min="2" max="2" width="14" customWidth="1"/>
    <col min="4" max="4" width="17.7109375" customWidth="1"/>
    <col min="5" max="5" width="18.140625" customWidth="1"/>
    <col min="6" max="6" width="16.140625" customWidth="1"/>
    <col min="7" max="7" width="72.140625" customWidth="1"/>
  </cols>
  <sheetData>
    <row r="1" spans="1:6" x14ac:dyDescent="0.25">
      <c r="A1" s="98" t="s">
        <v>679</v>
      </c>
      <c r="B1" s="99" t="s">
        <v>503</v>
      </c>
      <c r="C1" s="98" t="s">
        <v>621</v>
      </c>
      <c r="D1" s="99" t="s">
        <v>680</v>
      </c>
      <c r="E1" s="99" t="s">
        <v>692</v>
      </c>
      <c r="F1" s="102" t="s">
        <v>693</v>
      </c>
    </row>
    <row r="2" spans="1:6" x14ac:dyDescent="0.25">
      <c r="A2" s="89" t="s">
        <v>681</v>
      </c>
      <c r="B2" s="90">
        <v>28</v>
      </c>
      <c r="C2" s="91">
        <v>7.2623181216931211E-3</v>
      </c>
      <c r="D2" s="92">
        <v>-0.15438381361128117</v>
      </c>
      <c r="E2" s="100">
        <v>3.2853835978835975E-3</v>
      </c>
      <c r="F2" s="97">
        <f>E2*B2</f>
        <v>9.1990740740740734E-2</v>
      </c>
    </row>
    <row r="3" spans="1:6" x14ac:dyDescent="0.25">
      <c r="A3" s="89" t="s">
        <v>682</v>
      </c>
      <c r="B3" s="90">
        <v>21</v>
      </c>
      <c r="C3" s="91">
        <v>9.9785052910052914E-3</v>
      </c>
      <c r="D3" s="92">
        <v>-0.96608781127129717</v>
      </c>
      <c r="E3" s="100">
        <v>5.4624118165784831E-3</v>
      </c>
      <c r="F3" s="97">
        <f t="shared" ref="F3:F15" si="0">E3*B3</f>
        <v>0.11471064814814814</v>
      </c>
    </row>
    <row r="4" spans="1:6" x14ac:dyDescent="0.25">
      <c r="A4" s="89" t="s">
        <v>683</v>
      </c>
      <c r="B4" s="90">
        <v>31</v>
      </c>
      <c r="C4" s="91">
        <v>6.1219384707287923E-3</v>
      </c>
      <c r="D4" s="92">
        <v>0.19336712208021178</v>
      </c>
      <c r="E4" s="100">
        <v>2.6045400238948625E-3</v>
      </c>
      <c r="F4" s="97">
        <f t="shared" si="0"/>
        <v>8.0740740740740738E-2</v>
      </c>
    </row>
    <row r="5" spans="1:6" x14ac:dyDescent="0.25">
      <c r="A5" s="89" t="s">
        <v>684</v>
      </c>
      <c r="B5" s="90">
        <v>31</v>
      </c>
      <c r="C5" s="91">
        <v>6.4534796893667866E-3</v>
      </c>
      <c r="D5" s="92">
        <v>2.0725981907706137E-2</v>
      </c>
      <c r="E5" s="100">
        <v>2.5261350059737155E-3</v>
      </c>
      <c r="F5" s="97">
        <f t="shared" si="0"/>
        <v>7.8310185185185177E-2</v>
      </c>
    </row>
    <row r="6" spans="1:6" x14ac:dyDescent="0.25">
      <c r="A6" s="89" t="s">
        <v>685</v>
      </c>
      <c r="B6" s="90">
        <v>35</v>
      </c>
      <c r="C6" s="91">
        <v>5.5496031746031741E-3</v>
      </c>
      <c r="D6" s="92">
        <v>0.35567313345091156</v>
      </c>
      <c r="E6" s="100">
        <v>1.8812830687830687E-3</v>
      </c>
      <c r="F6" s="97">
        <f t="shared" si="0"/>
        <v>6.5844907407407408E-2</v>
      </c>
    </row>
    <row r="7" spans="1:6" x14ac:dyDescent="0.25">
      <c r="A7" s="89" t="s">
        <v>686</v>
      </c>
      <c r="B7" s="90">
        <v>38</v>
      </c>
      <c r="C7" s="91">
        <v>5.0438596491228071E-3</v>
      </c>
      <c r="D7" s="92">
        <v>0.5500394011032308</v>
      </c>
      <c r="E7" s="100">
        <v>1.6441276803118908E-3</v>
      </c>
      <c r="F7" s="97">
        <f t="shared" si="0"/>
        <v>6.2476851851851853E-2</v>
      </c>
    </row>
    <row r="8" spans="1:6" x14ac:dyDescent="0.25">
      <c r="A8" s="89" t="s">
        <v>687</v>
      </c>
      <c r="B8" s="90">
        <v>39</v>
      </c>
      <c r="C8" s="91">
        <v>5.4279439696106359E-3</v>
      </c>
      <c r="D8" s="92">
        <v>0.37248620751023309</v>
      </c>
      <c r="E8" s="100">
        <v>1.7542141500474834E-3</v>
      </c>
      <c r="F8" s="97">
        <f t="shared" si="0"/>
        <v>6.8414351851851851E-2</v>
      </c>
    </row>
    <row r="9" spans="1:6" x14ac:dyDescent="0.25">
      <c r="A9" s="89" t="s">
        <v>688</v>
      </c>
      <c r="B9" s="90">
        <v>39</v>
      </c>
      <c r="C9" s="91">
        <v>5.2902421652421651E-3</v>
      </c>
      <c r="D9" s="92">
        <v>0.44096554136785038</v>
      </c>
      <c r="E9" s="100">
        <v>1.4348884140550806E-3</v>
      </c>
      <c r="F9" s="97">
        <f t="shared" si="0"/>
        <v>5.5960648148148148E-2</v>
      </c>
    </row>
    <row r="10" spans="1:6" x14ac:dyDescent="0.25">
      <c r="A10" s="89" t="s">
        <v>689</v>
      </c>
      <c r="B10" s="90">
        <v>44</v>
      </c>
      <c r="C10" s="91">
        <v>4.6775042087542082E-3</v>
      </c>
      <c r="D10" s="92">
        <v>0.59708086785009873</v>
      </c>
      <c r="E10" s="100">
        <v>1.3517992424242422E-3</v>
      </c>
      <c r="F10" s="97">
        <f t="shared" si="0"/>
        <v>5.9479166666666659E-2</v>
      </c>
    </row>
    <row r="11" spans="1:6" x14ac:dyDescent="0.25">
      <c r="A11" s="89" t="s">
        <v>690</v>
      </c>
      <c r="B11" s="90">
        <v>40</v>
      </c>
      <c r="C11" s="91">
        <v>4.9696180555555552E-3</v>
      </c>
      <c r="D11" s="92">
        <v>0.51863032603070591</v>
      </c>
      <c r="E11" s="100">
        <v>1.4846643518518518E-3</v>
      </c>
      <c r="F11" s="97">
        <f t="shared" si="0"/>
        <v>5.9386574074074071E-2</v>
      </c>
    </row>
    <row r="12" spans="1:6" x14ac:dyDescent="0.25">
      <c r="A12" s="89" t="s">
        <v>691</v>
      </c>
      <c r="B12" s="90">
        <v>39</v>
      </c>
      <c r="C12" s="91">
        <v>5.388176638176638E-3</v>
      </c>
      <c r="D12" s="92">
        <v>0.39837685250529309</v>
      </c>
      <c r="E12" s="100">
        <v>2.0180436847103515E-3</v>
      </c>
      <c r="F12" s="97">
        <f t="shared" si="0"/>
        <v>7.8703703703703706E-2</v>
      </c>
    </row>
    <row r="13" spans="1:6" x14ac:dyDescent="0.25">
      <c r="A13" s="127" t="s">
        <v>694</v>
      </c>
      <c r="B13" s="90">
        <v>40</v>
      </c>
      <c r="C13" s="91">
        <v>5.170138888888889E-3</v>
      </c>
      <c r="D13" s="92">
        <v>0.50926080427164999</v>
      </c>
      <c r="E13" s="91">
        <v>1.2844328703703702E-3</v>
      </c>
      <c r="F13" s="97">
        <f t="shared" si="0"/>
        <v>5.1377314814814806E-2</v>
      </c>
    </row>
    <row r="14" spans="1:6" x14ac:dyDescent="0.25">
      <c r="A14" s="127" t="s">
        <v>708</v>
      </c>
      <c r="B14" s="90">
        <v>49</v>
      </c>
      <c r="C14" s="130">
        <v>4.1090325018896447E-3</v>
      </c>
      <c r="D14" s="129">
        <v>0.7924475912814104</v>
      </c>
      <c r="E14" s="91">
        <v>4.0910808767951625E-4</v>
      </c>
      <c r="F14" s="128">
        <f t="shared" si="0"/>
        <v>2.0046296296296295E-2</v>
      </c>
    </row>
    <row r="15" spans="1:6" ht="15.75" thickBot="1" x14ac:dyDescent="0.3">
      <c r="A15" s="93" t="s">
        <v>642</v>
      </c>
      <c r="B15" s="94">
        <v>474</v>
      </c>
      <c r="C15" s="95">
        <v>5.5475220737615256E-3</v>
      </c>
      <c r="D15" s="104">
        <v>0.35801942701858835</v>
      </c>
      <c r="E15" s="95">
        <v>1.8722407798093452E-3</v>
      </c>
      <c r="F15" s="101">
        <f t="shared" si="0"/>
        <v>0.88744212962962965</v>
      </c>
    </row>
    <row r="18" spans="1:3" ht="15.75" thickBot="1" x14ac:dyDescent="0.3"/>
    <row r="19" spans="1:3" x14ac:dyDescent="0.25">
      <c r="A19" s="98" t="s">
        <v>679</v>
      </c>
      <c r="B19" s="99" t="s">
        <v>646</v>
      </c>
      <c r="C19" s="99" t="s">
        <v>647</v>
      </c>
    </row>
    <row r="20" spans="1:3" x14ac:dyDescent="0.25">
      <c r="A20" s="89" t="s">
        <v>688</v>
      </c>
      <c r="B20" s="106">
        <v>2.5995370370370367E-2</v>
      </c>
      <c r="C20" s="107">
        <v>0.17013888888888887</v>
      </c>
    </row>
    <row r="21" spans="1:3" x14ac:dyDescent="0.25">
      <c r="A21" s="89" t="s">
        <v>689</v>
      </c>
      <c r="B21" s="106">
        <v>2.1747685185185186E-2</v>
      </c>
      <c r="C21" s="108">
        <v>0.27430555555555552</v>
      </c>
    </row>
    <row r="22" spans="1:3" x14ac:dyDescent="0.25">
      <c r="A22" s="89" t="s">
        <v>690</v>
      </c>
      <c r="B22" s="106">
        <v>2.2627314814814819E-2</v>
      </c>
      <c r="C22" s="105">
        <v>0.30208333333333331</v>
      </c>
    </row>
    <row r="23" spans="1:3" x14ac:dyDescent="0.25">
      <c r="A23" s="89" t="s">
        <v>691</v>
      </c>
      <c r="B23" s="106">
        <v>2.1666666666666667E-2</v>
      </c>
      <c r="C23" s="105">
        <v>0.47013888888888888</v>
      </c>
    </row>
    <row r="24" spans="1:3" x14ac:dyDescent="0.25">
      <c r="A24" s="89" t="s">
        <v>694</v>
      </c>
      <c r="B24" s="106">
        <v>2.5069444444444446E-2</v>
      </c>
      <c r="C24" s="105">
        <v>0.3923611111111111</v>
      </c>
    </row>
    <row r="25" spans="1:3" x14ac:dyDescent="0.25">
      <c r="A25" s="89" t="s">
        <v>708</v>
      </c>
      <c r="B25" s="106">
        <v>2.1678240740740738E-2</v>
      </c>
      <c r="C25" s="105">
        <v>0.4777777777777778</v>
      </c>
    </row>
    <row r="26" spans="1:3" x14ac:dyDescent="0.25">
      <c r="A26" s="89" t="s">
        <v>709</v>
      </c>
      <c r="B26" s="150">
        <v>2.0856481481481479E-2</v>
      </c>
      <c r="C26" s="131">
        <v>0.29236111111111113</v>
      </c>
    </row>
    <row r="27" spans="1:3" x14ac:dyDescent="0.25">
      <c r="A27" s="89" t="s">
        <v>754</v>
      </c>
      <c r="B27" s="151">
        <v>2.2465277777777778E-2</v>
      </c>
      <c r="C27" s="152">
        <v>0.41736111111111113</v>
      </c>
    </row>
    <row r="28" spans="1:3" x14ac:dyDescent="0.25">
      <c r="A28" s="149" t="s">
        <v>909</v>
      </c>
      <c r="B28" s="193">
        <v>1.4467592592592593E-2</v>
      </c>
      <c r="C28" s="131">
        <v>0.27847222222222223</v>
      </c>
    </row>
  </sheetData>
  <conditionalFormatting sqref="D15">
    <cfRule type="cellIs" dxfId="59" priority="2" operator="greaterThan">
      <formula>1</formula>
    </cfRule>
  </conditionalFormatting>
  <conditionalFormatting sqref="D15">
    <cfRule type="cellIs" dxfId="58" priority="3" operator="lessThan">
      <formula>0.9699</formula>
    </cfRule>
  </conditionalFormatting>
  <conditionalFormatting sqref="D15">
    <cfRule type="cellIs" dxfId="57" priority="1" operator="between">
      <formula>0.97</formula>
      <formula>0.999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V55"/>
  <sheetViews>
    <sheetView workbookViewId="0">
      <selection activeCell="U7" sqref="U7:V7"/>
    </sheetView>
  </sheetViews>
  <sheetFormatPr baseColWidth="10" defaultRowHeight="15" x14ac:dyDescent="0.25"/>
  <cols>
    <col min="1" max="1" width="12.7109375" customWidth="1"/>
    <col min="4" max="4" width="23.5703125" customWidth="1"/>
    <col min="5" max="5" width="11.42578125" hidden="1" customWidth="1"/>
    <col min="6" max="6" width="11.42578125" customWidth="1"/>
    <col min="7" max="7" width="11.42578125" hidden="1" customWidth="1"/>
    <col min="8" max="8" width="11.42578125" customWidth="1"/>
    <col min="9" max="9" width="0" style="26" hidden="1" customWidth="1"/>
    <col min="10" max="10" width="11.42578125" style="26" hidden="1" customWidth="1"/>
    <col min="11" max="11" width="0" style="26" hidden="1" customWidth="1"/>
    <col min="12" max="12" width="11.42578125" style="26"/>
    <col min="13" max="13" width="0" style="26" hidden="1" customWidth="1"/>
    <col min="14" max="14" width="11.42578125" style="26"/>
    <col min="15" max="15" width="11.42578125" style="26" hidden="1" customWidth="1"/>
    <col min="16" max="16" width="14.7109375" style="26" customWidth="1"/>
    <col min="17" max="17" width="11.42578125" style="26" hidden="1" customWidth="1"/>
    <col min="18" max="18" width="12.85546875" style="26" customWidth="1"/>
    <col min="20" max="20" width="15.7109375" customWidth="1"/>
    <col min="21" max="21" width="21.42578125" customWidth="1"/>
    <col min="22" max="22" width="16" customWidth="1"/>
    <col min="23" max="23" width="15.7109375" bestFit="1" customWidth="1"/>
    <col min="24" max="24" width="13.42578125" customWidth="1"/>
  </cols>
  <sheetData>
    <row r="1" spans="1:22" x14ac:dyDescent="0.25">
      <c r="A1" s="59"/>
      <c r="B1" s="58"/>
    </row>
    <row r="3" spans="1:22" ht="15.75" thickBot="1" x14ac:dyDescent="0.3">
      <c r="A3" s="28" t="s">
        <v>505</v>
      </c>
      <c r="B3" s="27" t="s">
        <v>403</v>
      </c>
      <c r="C3" s="27" t="s">
        <v>504</v>
      </c>
      <c r="D3" s="27" t="s">
        <v>425</v>
      </c>
      <c r="E3" s="27"/>
      <c r="F3" s="27" t="s">
        <v>646</v>
      </c>
      <c r="G3" s="27"/>
      <c r="H3" s="27" t="s">
        <v>647</v>
      </c>
      <c r="I3" s="27"/>
      <c r="J3" s="27" t="s">
        <v>648</v>
      </c>
      <c r="K3" s="27"/>
      <c r="L3" s="27" t="s">
        <v>502</v>
      </c>
      <c r="M3" s="27"/>
      <c r="N3" s="27" t="s">
        <v>649</v>
      </c>
      <c r="O3" s="27"/>
      <c r="P3" s="27" t="s">
        <v>503</v>
      </c>
      <c r="Q3" s="27"/>
      <c r="R3" s="27" t="s">
        <v>500</v>
      </c>
    </row>
    <row r="4" spans="1:22" x14ac:dyDescent="0.25">
      <c r="A4" s="41" t="s">
        <v>501</v>
      </c>
      <c r="B4" s="33" t="s">
        <v>501</v>
      </c>
      <c r="C4" s="34"/>
      <c r="D4" s="34"/>
      <c r="E4" s="34">
        <v>23372</v>
      </c>
      <c r="F4" s="34" t="s">
        <v>990</v>
      </c>
      <c r="G4" s="36">
        <v>3496</v>
      </c>
      <c r="H4" s="36" t="s">
        <v>991</v>
      </c>
      <c r="I4" s="35">
        <v>0</v>
      </c>
      <c r="J4" s="35" t="s">
        <v>506</v>
      </c>
      <c r="K4" s="37">
        <v>367</v>
      </c>
      <c r="L4" s="37" t="s">
        <v>992</v>
      </c>
      <c r="M4" s="37">
        <v>25266</v>
      </c>
      <c r="N4" s="37" t="s">
        <v>993</v>
      </c>
      <c r="O4" s="35">
        <v>709</v>
      </c>
      <c r="P4" s="35">
        <v>709</v>
      </c>
      <c r="Q4" s="35">
        <v>229.895629883</v>
      </c>
      <c r="R4" s="43" t="s">
        <v>994</v>
      </c>
      <c r="S4" s="26"/>
      <c r="U4" s="76" t="s">
        <v>645</v>
      </c>
      <c r="V4" s="73" t="s">
        <v>620</v>
      </c>
    </row>
    <row r="5" spans="1:22" x14ac:dyDescent="0.25">
      <c r="A5" s="32">
        <v>44069</v>
      </c>
      <c r="B5" s="33">
        <v>44070</v>
      </c>
      <c r="C5" s="34">
        <v>89237</v>
      </c>
      <c r="D5" s="34" t="s">
        <v>935</v>
      </c>
      <c r="E5" s="34">
        <v>1631</v>
      </c>
      <c r="F5" s="34" t="s">
        <v>936</v>
      </c>
      <c r="G5" s="34">
        <v>578</v>
      </c>
      <c r="H5" s="34" t="s">
        <v>937</v>
      </c>
      <c r="I5" s="35">
        <v>0</v>
      </c>
      <c r="J5" s="35" t="s">
        <v>506</v>
      </c>
      <c r="K5" s="37">
        <v>50</v>
      </c>
      <c r="L5" s="37" t="s">
        <v>938</v>
      </c>
      <c r="M5" s="37">
        <v>173</v>
      </c>
      <c r="N5" s="37" t="s">
        <v>914</v>
      </c>
      <c r="O5" s="35">
        <v>106</v>
      </c>
      <c r="P5" s="35">
        <v>106</v>
      </c>
      <c r="Q5" s="35">
        <v>121.188682556</v>
      </c>
      <c r="R5" s="42" t="s">
        <v>939</v>
      </c>
      <c r="S5" s="42"/>
      <c r="U5" s="74" t="s">
        <v>639</v>
      </c>
      <c r="V5" s="75">
        <v>1.4612863115179709E-3</v>
      </c>
    </row>
    <row r="6" spans="1:22" x14ac:dyDescent="0.25">
      <c r="A6" s="32">
        <v>44069</v>
      </c>
      <c r="B6" s="33">
        <v>44070</v>
      </c>
      <c r="C6" s="34">
        <v>89024</v>
      </c>
      <c r="D6" s="34" t="s">
        <v>949</v>
      </c>
      <c r="E6" s="34">
        <v>1765</v>
      </c>
      <c r="F6" s="34" t="s">
        <v>995</v>
      </c>
      <c r="G6" s="34">
        <v>295</v>
      </c>
      <c r="H6" s="34" t="s">
        <v>996</v>
      </c>
      <c r="I6" s="35">
        <v>0</v>
      </c>
      <c r="J6" s="35" t="s">
        <v>506</v>
      </c>
      <c r="K6" s="37">
        <v>0</v>
      </c>
      <c r="L6" s="37" t="s">
        <v>506</v>
      </c>
      <c r="M6" s="37">
        <v>540</v>
      </c>
      <c r="N6" s="37" t="s">
        <v>954</v>
      </c>
      <c r="O6" s="35">
        <v>26</v>
      </c>
      <c r="P6" s="35">
        <v>26</v>
      </c>
      <c r="Q6" s="35">
        <v>139.03846740700001</v>
      </c>
      <c r="R6" s="42" t="s">
        <v>997</v>
      </c>
      <c r="S6" s="43"/>
      <c r="U6" s="74" t="s">
        <v>515</v>
      </c>
      <c r="V6" s="75">
        <v>2.2587122662402499E-3</v>
      </c>
    </row>
    <row r="7" spans="1:22" x14ac:dyDescent="0.25">
      <c r="A7" s="32">
        <v>44069</v>
      </c>
      <c r="B7" s="33">
        <v>44070</v>
      </c>
      <c r="C7" s="34">
        <v>89061</v>
      </c>
      <c r="D7" s="34" t="s">
        <v>951</v>
      </c>
      <c r="E7" s="34">
        <v>1807</v>
      </c>
      <c r="F7" s="34" t="s">
        <v>998</v>
      </c>
      <c r="G7" s="34">
        <v>0</v>
      </c>
      <c r="H7" s="34" t="s">
        <v>506</v>
      </c>
      <c r="I7" s="35">
        <v>0</v>
      </c>
      <c r="J7" s="35" t="s">
        <v>506</v>
      </c>
      <c r="K7" s="37">
        <v>0</v>
      </c>
      <c r="L7" s="37" t="s">
        <v>506</v>
      </c>
      <c r="M7" s="37">
        <v>826</v>
      </c>
      <c r="N7" s="37" t="s">
        <v>999</v>
      </c>
      <c r="O7" s="35">
        <v>26</v>
      </c>
      <c r="P7" s="35">
        <v>26</v>
      </c>
      <c r="Q7" s="35">
        <v>139.692306519</v>
      </c>
      <c r="R7" s="42" t="s">
        <v>1000</v>
      </c>
      <c r="S7" s="44"/>
      <c r="U7" s="74" t="s">
        <v>508</v>
      </c>
      <c r="V7" s="75">
        <v>3.3128323366996069E-3</v>
      </c>
    </row>
    <row r="8" spans="1:22" x14ac:dyDescent="0.25">
      <c r="A8" s="32">
        <v>44069</v>
      </c>
      <c r="B8" s="33">
        <v>44070</v>
      </c>
      <c r="C8" s="34">
        <v>648315</v>
      </c>
      <c r="D8" s="34" t="s">
        <v>941</v>
      </c>
      <c r="E8" s="34">
        <v>1676</v>
      </c>
      <c r="F8" s="34" t="s">
        <v>1001</v>
      </c>
      <c r="G8" s="34">
        <v>209</v>
      </c>
      <c r="H8" s="34" t="s">
        <v>1002</v>
      </c>
      <c r="I8" s="35">
        <v>0</v>
      </c>
      <c r="J8" s="35" t="s">
        <v>506</v>
      </c>
      <c r="K8" s="37">
        <v>114</v>
      </c>
      <c r="L8" s="37" t="s">
        <v>1003</v>
      </c>
      <c r="M8" s="37">
        <v>930</v>
      </c>
      <c r="N8" s="37" t="s">
        <v>1004</v>
      </c>
      <c r="O8" s="35">
        <v>83</v>
      </c>
      <c r="P8" s="35">
        <v>83</v>
      </c>
      <c r="Q8" s="35">
        <v>149.80723571799999</v>
      </c>
      <c r="R8" s="42" t="s">
        <v>1005</v>
      </c>
      <c r="S8" s="42"/>
      <c r="U8" s="74" t="s">
        <v>641</v>
      </c>
      <c r="V8" s="75">
        <v>1.9097222222222222E-3</v>
      </c>
    </row>
    <row r="9" spans="1:22" x14ac:dyDescent="0.25">
      <c r="A9" s="32">
        <v>44069</v>
      </c>
      <c r="B9" s="33">
        <v>44070</v>
      </c>
      <c r="C9" s="34">
        <v>648060</v>
      </c>
      <c r="D9" s="34" t="s">
        <v>940</v>
      </c>
      <c r="E9" s="34">
        <v>1505</v>
      </c>
      <c r="F9" s="34" t="s">
        <v>1006</v>
      </c>
      <c r="G9" s="34">
        <v>339</v>
      </c>
      <c r="H9" s="34" t="s">
        <v>1007</v>
      </c>
      <c r="I9" s="35">
        <v>0</v>
      </c>
      <c r="J9" s="35" t="s">
        <v>506</v>
      </c>
      <c r="K9" s="37">
        <v>11</v>
      </c>
      <c r="L9" s="37" t="s">
        <v>915</v>
      </c>
      <c r="M9" s="37">
        <v>1060</v>
      </c>
      <c r="N9" s="37" t="s">
        <v>1008</v>
      </c>
      <c r="O9" s="35">
        <v>81</v>
      </c>
      <c r="P9" s="35">
        <v>81</v>
      </c>
      <c r="Q9" s="35">
        <v>158.13580322300001</v>
      </c>
      <c r="R9" s="42" t="s">
        <v>1009</v>
      </c>
      <c r="S9" s="43"/>
      <c r="U9" s="74" t="s">
        <v>596</v>
      </c>
      <c r="V9" s="75">
        <v>9.3721710539726867E-4</v>
      </c>
    </row>
    <row r="10" spans="1:22" x14ac:dyDescent="0.25">
      <c r="A10" s="32">
        <v>44069</v>
      </c>
      <c r="B10" s="33">
        <v>44070</v>
      </c>
      <c r="C10" s="34">
        <v>648302</v>
      </c>
      <c r="D10" s="34" t="s">
        <v>944</v>
      </c>
      <c r="E10" s="34">
        <v>1801</v>
      </c>
      <c r="F10" s="34" t="s">
        <v>945</v>
      </c>
      <c r="G10" s="34">
        <v>372</v>
      </c>
      <c r="H10" s="34" t="s">
        <v>946</v>
      </c>
      <c r="I10" s="35">
        <v>0</v>
      </c>
      <c r="J10" s="35" t="s">
        <v>506</v>
      </c>
      <c r="K10" s="37">
        <v>26</v>
      </c>
      <c r="L10" s="37" t="s">
        <v>947</v>
      </c>
      <c r="M10" s="37">
        <v>1855</v>
      </c>
      <c r="N10" s="37" t="s">
        <v>948</v>
      </c>
      <c r="O10" s="35">
        <v>83</v>
      </c>
      <c r="P10" s="35">
        <v>83</v>
      </c>
      <c r="Q10" s="35">
        <v>190</v>
      </c>
      <c r="R10" s="43" t="s">
        <v>910</v>
      </c>
      <c r="S10" s="44"/>
      <c r="U10" s="74" t="s">
        <v>26</v>
      </c>
      <c r="V10" s="75">
        <v>3.2407407407407406E-3</v>
      </c>
    </row>
    <row r="11" spans="1:22" x14ac:dyDescent="0.25">
      <c r="A11" s="32">
        <v>44069</v>
      </c>
      <c r="B11" s="33">
        <v>44070</v>
      </c>
      <c r="C11" s="34">
        <v>648306</v>
      </c>
      <c r="D11" s="34" t="s">
        <v>942</v>
      </c>
      <c r="E11" s="34">
        <v>1977</v>
      </c>
      <c r="F11" s="34" t="s">
        <v>1010</v>
      </c>
      <c r="G11" s="34">
        <v>8</v>
      </c>
      <c r="H11" s="34" t="s">
        <v>1011</v>
      </c>
      <c r="I11" s="35">
        <v>0</v>
      </c>
      <c r="J11" s="35" t="s">
        <v>506</v>
      </c>
      <c r="K11" s="37">
        <v>45</v>
      </c>
      <c r="L11" s="37" t="s">
        <v>1012</v>
      </c>
      <c r="M11" s="37">
        <v>3157</v>
      </c>
      <c r="N11" s="37" t="s">
        <v>1013</v>
      </c>
      <c r="O11" s="35">
        <v>76</v>
      </c>
      <c r="P11" s="35">
        <v>76</v>
      </c>
      <c r="Q11" s="35">
        <v>191.55262756299999</v>
      </c>
      <c r="R11" s="43" t="s">
        <v>1014</v>
      </c>
      <c r="S11" s="42"/>
      <c r="U11" s="74" t="s">
        <v>638</v>
      </c>
      <c r="V11" s="75">
        <v>1.7363558102290756E-3</v>
      </c>
    </row>
    <row r="12" spans="1:22" x14ac:dyDescent="0.25">
      <c r="A12" s="32">
        <v>44069</v>
      </c>
      <c r="B12" s="33">
        <v>44070</v>
      </c>
      <c r="C12" s="34">
        <v>89118</v>
      </c>
      <c r="D12" s="34" t="s">
        <v>643</v>
      </c>
      <c r="E12" s="34">
        <v>2057</v>
      </c>
      <c r="F12" s="34" t="s">
        <v>1015</v>
      </c>
      <c r="G12" s="34">
        <v>0</v>
      </c>
      <c r="H12" s="34" t="s">
        <v>506</v>
      </c>
      <c r="I12" s="35">
        <v>0</v>
      </c>
      <c r="J12" s="35" t="s">
        <v>506</v>
      </c>
      <c r="K12" s="37">
        <v>43</v>
      </c>
      <c r="L12" s="37" t="s">
        <v>1016</v>
      </c>
      <c r="M12" s="37">
        <v>2564</v>
      </c>
      <c r="N12" s="37" t="s">
        <v>1017</v>
      </c>
      <c r="O12" s="35">
        <v>47</v>
      </c>
      <c r="P12" s="35">
        <v>47</v>
      </c>
      <c r="Q12" s="35">
        <v>298.10638427700002</v>
      </c>
      <c r="R12" s="43" t="s">
        <v>1018</v>
      </c>
      <c r="S12" s="43"/>
      <c r="U12" s="74" t="s">
        <v>640</v>
      </c>
      <c r="V12" s="75">
        <v>1.7031956870143835E-3</v>
      </c>
    </row>
    <row r="13" spans="1:22" x14ac:dyDescent="0.25">
      <c r="A13" s="32">
        <v>44069</v>
      </c>
      <c r="B13" s="33">
        <v>44070</v>
      </c>
      <c r="C13" s="34">
        <v>89121</v>
      </c>
      <c r="D13" s="34" t="s">
        <v>952</v>
      </c>
      <c r="E13" s="34">
        <v>1954</v>
      </c>
      <c r="F13" s="34" t="s">
        <v>1019</v>
      </c>
      <c r="G13" s="34">
        <v>871</v>
      </c>
      <c r="H13" s="34" t="s">
        <v>1020</v>
      </c>
      <c r="I13" s="35">
        <v>0</v>
      </c>
      <c r="J13" s="35" t="s">
        <v>506</v>
      </c>
      <c r="K13" s="37">
        <v>12</v>
      </c>
      <c r="L13" s="37" t="s">
        <v>943</v>
      </c>
      <c r="M13" s="37">
        <v>1685</v>
      </c>
      <c r="N13" s="37" t="s">
        <v>1021</v>
      </c>
      <c r="O13" s="35">
        <v>42</v>
      </c>
      <c r="P13" s="35">
        <v>42</v>
      </c>
      <c r="Q13" s="35">
        <v>325.64285278300002</v>
      </c>
      <c r="R13" s="43" t="s">
        <v>1022</v>
      </c>
      <c r="S13" s="44"/>
      <c r="U13" s="74" t="s">
        <v>609</v>
      </c>
      <c r="V13" s="75">
        <v>3.2809719699888099E-3</v>
      </c>
    </row>
    <row r="14" spans="1:22" x14ac:dyDescent="0.25">
      <c r="A14" s="32">
        <v>44069</v>
      </c>
      <c r="B14" s="33">
        <v>44070</v>
      </c>
      <c r="C14" s="34">
        <v>89027</v>
      </c>
      <c r="D14" s="34" t="s">
        <v>644</v>
      </c>
      <c r="E14" s="34">
        <v>1912</v>
      </c>
      <c r="F14" s="34" t="s">
        <v>1023</v>
      </c>
      <c r="G14" s="34">
        <v>473</v>
      </c>
      <c r="H14" s="34" t="s">
        <v>1024</v>
      </c>
      <c r="I14" s="35">
        <v>0</v>
      </c>
      <c r="J14" s="35" t="s">
        <v>506</v>
      </c>
      <c r="K14" s="37">
        <v>18</v>
      </c>
      <c r="L14" s="37" t="s">
        <v>710</v>
      </c>
      <c r="M14" s="37">
        <v>2479</v>
      </c>
      <c r="N14" s="37" t="s">
        <v>1025</v>
      </c>
      <c r="O14" s="35">
        <v>42</v>
      </c>
      <c r="P14" s="35">
        <v>42</v>
      </c>
      <c r="Q14" s="35">
        <v>337.90475463899998</v>
      </c>
      <c r="R14" s="43" t="s">
        <v>1026</v>
      </c>
      <c r="S14" s="42"/>
    </row>
    <row r="15" spans="1:22" x14ac:dyDescent="0.25">
      <c r="A15" s="32">
        <v>44069</v>
      </c>
      <c r="B15" s="33">
        <v>44070</v>
      </c>
      <c r="C15" s="34">
        <v>89059</v>
      </c>
      <c r="D15" s="34" t="s">
        <v>678</v>
      </c>
      <c r="E15" s="34">
        <v>1786</v>
      </c>
      <c r="F15" s="34" t="s">
        <v>1027</v>
      </c>
      <c r="G15" s="34">
        <v>47</v>
      </c>
      <c r="H15" s="34" t="s">
        <v>1028</v>
      </c>
      <c r="I15" s="35">
        <v>0</v>
      </c>
      <c r="J15" s="35" t="s">
        <v>506</v>
      </c>
      <c r="K15" s="37">
        <v>21</v>
      </c>
      <c r="L15" s="37" t="s">
        <v>955</v>
      </c>
      <c r="M15" s="37">
        <v>359</v>
      </c>
      <c r="N15" s="37" t="s">
        <v>1029</v>
      </c>
      <c r="O15" s="35">
        <v>44</v>
      </c>
      <c r="P15" s="35">
        <v>44</v>
      </c>
      <c r="Q15" s="35">
        <v>355.56817626999998</v>
      </c>
      <c r="R15" s="43" t="s">
        <v>956</v>
      </c>
      <c r="S15" s="43"/>
    </row>
    <row r="16" spans="1:22" x14ac:dyDescent="0.25">
      <c r="A16" s="32">
        <v>44069</v>
      </c>
      <c r="B16" s="33">
        <v>44070</v>
      </c>
      <c r="C16" s="34">
        <v>89164</v>
      </c>
      <c r="D16" s="34" t="s">
        <v>950</v>
      </c>
      <c r="E16" s="34">
        <v>1772</v>
      </c>
      <c r="F16" s="34" t="s">
        <v>1030</v>
      </c>
      <c r="G16" s="34">
        <v>288</v>
      </c>
      <c r="H16" s="34" t="s">
        <v>1031</v>
      </c>
      <c r="I16" s="35">
        <v>0</v>
      </c>
      <c r="J16" s="35" t="s">
        <v>506</v>
      </c>
      <c r="K16" s="37">
        <v>24</v>
      </c>
      <c r="L16" s="37" t="s">
        <v>1032</v>
      </c>
      <c r="M16" s="37">
        <v>3739</v>
      </c>
      <c r="N16" s="37" t="s">
        <v>1033</v>
      </c>
      <c r="O16" s="35">
        <v>34</v>
      </c>
      <c r="P16" s="35">
        <v>34</v>
      </c>
      <c r="Q16" s="35">
        <v>403</v>
      </c>
      <c r="R16" s="43" t="s">
        <v>1034</v>
      </c>
      <c r="S16" s="44"/>
    </row>
    <row r="17" spans="1:19" x14ac:dyDescent="0.25">
      <c r="A17" s="32">
        <v>44069</v>
      </c>
      <c r="B17" s="33">
        <v>44070</v>
      </c>
      <c r="C17" s="34">
        <v>89069</v>
      </c>
      <c r="D17" s="34" t="s">
        <v>953</v>
      </c>
      <c r="E17" s="34">
        <v>1714</v>
      </c>
      <c r="F17" s="34" t="s">
        <v>1035</v>
      </c>
      <c r="G17" s="34">
        <v>0</v>
      </c>
      <c r="H17" s="34" t="s">
        <v>506</v>
      </c>
      <c r="I17" s="35">
        <v>0</v>
      </c>
      <c r="J17" s="35" t="s">
        <v>506</v>
      </c>
      <c r="K17" s="37">
        <v>3</v>
      </c>
      <c r="L17" s="37" t="s">
        <v>714</v>
      </c>
      <c r="M17" s="37">
        <v>5732</v>
      </c>
      <c r="N17" s="37" t="s">
        <v>1036</v>
      </c>
      <c r="O17" s="35">
        <v>18</v>
      </c>
      <c r="P17" s="35">
        <v>18</v>
      </c>
      <c r="Q17" s="35">
        <v>851.22222900400004</v>
      </c>
      <c r="R17" s="44" t="s">
        <v>1037</v>
      </c>
      <c r="S17" s="42"/>
    </row>
    <row r="18" spans="1:19" x14ac:dyDescent="0.25">
      <c r="A18" s="59">
        <v>44069</v>
      </c>
      <c r="B18" s="33">
        <v>44070</v>
      </c>
      <c r="C18" s="34">
        <v>89069</v>
      </c>
      <c r="D18" s="34" t="s">
        <v>953</v>
      </c>
      <c r="E18" s="34">
        <v>1714</v>
      </c>
      <c r="F18" s="34" t="s">
        <v>1035</v>
      </c>
      <c r="G18" s="34">
        <v>0</v>
      </c>
      <c r="H18" s="34" t="s">
        <v>506</v>
      </c>
      <c r="I18" s="35">
        <v>0</v>
      </c>
      <c r="J18" s="35" t="s">
        <v>506</v>
      </c>
      <c r="K18" s="37">
        <v>3</v>
      </c>
      <c r="L18" s="37" t="s">
        <v>714</v>
      </c>
      <c r="M18" s="37">
        <v>5732</v>
      </c>
      <c r="N18" s="37" t="s">
        <v>1036</v>
      </c>
      <c r="O18" s="35">
        <v>18</v>
      </c>
      <c r="P18" s="35">
        <v>18</v>
      </c>
      <c r="Q18" s="35">
        <v>851.22222900400004</v>
      </c>
      <c r="R18" s="44" t="s">
        <v>1037</v>
      </c>
      <c r="S18" s="43"/>
    </row>
    <row r="19" spans="1:19" x14ac:dyDescent="0.25">
      <c r="A19" s="32">
        <v>44067</v>
      </c>
      <c r="B19" s="33">
        <v>44068</v>
      </c>
      <c r="C19" s="34">
        <v>89069</v>
      </c>
      <c r="D19" s="34" t="s">
        <v>713</v>
      </c>
      <c r="E19" s="34">
        <v>0</v>
      </c>
      <c r="F19" s="34" t="s">
        <v>506</v>
      </c>
      <c r="G19" s="34">
        <v>0</v>
      </c>
      <c r="H19" s="34" t="s">
        <v>506</v>
      </c>
      <c r="I19" s="35">
        <v>0</v>
      </c>
      <c r="J19" s="35" t="s">
        <v>506</v>
      </c>
      <c r="K19" s="37">
        <v>0</v>
      </c>
      <c r="L19" s="37" t="s">
        <v>506</v>
      </c>
      <c r="M19" s="37">
        <v>2613</v>
      </c>
      <c r="N19" s="37" t="s">
        <v>872</v>
      </c>
      <c r="O19" s="35">
        <v>7</v>
      </c>
      <c r="P19" s="35">
        <v>7</v>
      </c>
      <c r="Q19" s="35">
        <v>715.28570556600005</v>
      </c>
      <c r="R19" s="44" t="s">
        <v>873</v>
      </c>
      <c r="S19" s="43"/>
    </row>
    <row r="20" spans="1:19" x14ac:dyDescent="0.25">
      <c r="A20" s="34"/>
      <c r="B20" s="33"/>
      <c r="C20" s="34"/>
      <c r="D20" s="36"/>
      <c r="E20" s="152"/>
      <c r="F20" s="34"/>
      <c r="G20" s="36"/>
      <c r="H20" s="36"/>
      <c r="I20" s="35"/>
      <c r="J20" s="35"/>
      <c r="K20" s="37"/>
      <c r="L20" s="37"/>
      <c r="M20" s="37"/>
      <c r="N20" s="37"/>
      <c r="O20" s="35"/>
      <c r="P20" s="35"/>
      <c r="Q20" s="35"/>
      <c r="R20" s="44"/>
      <c r="S20" s="43"/>
    </row>
    <row r="21" spans="1:19" x14ac:dyDescent="0.25">
      <c r="A21" s="34"/>
      <c r="B21" s="33"/>
      <c r="C21" s="34"/>
      <c r="D21" s="34"/>
      <c r="E21" s="34"/>
      <c r="F21" s="34"/>
      <c r="G21" s="38"/>
      <c r="H21" s="38"/>
      <c r="I21" s="35"/>
      <c r="J21" s="35"/>
      <c r="K21" s="35"/>
      <c r="L21" s="35"/>
      <c r="M21" s="35"/>
      <c r="N21" s="35"/>
      <c r="O21" s="35"/>
      <c r="P21" s="35"/>
      <c r="Q21" s="35"/>
      <c r="R21" s="44"/>
      <c r="S21" s="44"/>
    </row>
    <row r="22" spans="1:19" x14ac:dyDescent="0.25">
      <c r="A22" s="29"/>
      <c r="B22" s="33"/>
      <c r="C22" s="34"/>
      <c r="D22" s="34"/>
      <c r="E22" s="34"/>
      <c r="F22" s="34"/>
      <c r="G22" s="38"/>
      <c r="H22" s="38"/>
      <c r="I22" s="35"/>
      <c r="J22" s="35"/>
      <c r="K22" s="35"/>
      <c r="L22" s="35"/>
      <c r="M22" s="35"/>
      <c r="N22" s="35"/>
      <c r="O22" s="35"/>
      <c r="P22" s="35"/>
      <c r="Q22" s="31"/>
      <c r="R22" s="44"/>
      <c r="S22" s="44"/>
    </row>
    <row r="23" spans="1:19" x14ac:dyDescent="0.25">
      <c r="A23" s="29"/>
      <c r="B23" s="33"/>
      <c r="C23" s="34"/>
      <c r="D23" s="34"/>
      <c r="E23" s="34"/>
      <c r="F23" s="34"/>
      <c r="G23" s="38"/>
      <c r="H23" s="38"/>
      <c r="I23" s="35"/>
      <c r="J23" s="35"/>
      <c r="K23" s="35"/>
      <c r="L23" s="35"/>
      <c r="M23" s="35"/>
      <c r="N23" s="35"/>
      <c r="O23" s="35"/>
      <c r="P23" s="35"/>
      <c r="Q23" s="31"/>
      <c r="R23" s="44"/>
      <c r="S23" s="44"/>
    </row>
    <row r="24" spans="1:19" x14ac:dyDescent="0.25">
      <c r="A24" s="29"/>
      <c r="B24" s="30"/>
      <c r="C24" s="3"/>
      <c r="D24" s="3"/>
      <c r="E24" s="3"/>
      <c r="F24" s="3"/>
      <c r="G24" s="3"/>
      <c r="H24" s="3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8" spans="1:19" x14ac:dyDescent="0.25">
      <c r="P28"/>
      <c r="Q28"/>
      <c r="R28"/>
    </row>
    <row r="29" spans="1:19" ht="15.75" thickBot="1" x14ac:dyDescent="0.3">
      <c r="I29"/>
      <c r="J29"/>
      <c r="P29"/>
      <c r="Q29"/>
      <c r="R29"/>
    </row>
    <row r="30" spans="1:19" x14ac:dyDescent="0.25">
      <c r="I30"/>
      <c r="J30" s="77">
        <v>1.6666666666666668E-3</v>
      </c>
      <c r="P30"/>
      <c r="Q30"/>
      <c r="R30"/>
    </row>
    <row r="31" spans="1:19" ht="15.75" thickBot="1" x14ac:dyDescent="0.3">
      <c r="I31"/>
      <c r="J31" s="78"/>
      <c r="P31"/>
      <c r="Q31"/>
      <c r="R31"/>
    </row>
    <row r="32" spans="1:19" x14ac:dyDescent="0.25">
      <c r="I32"/>
      <c r="J32" s="77">
        <v>1.5856481481481479E-3</v>
      </c>
      <c r="P32"/>
      <c r="Q32"/>
      <c r="R32"/>
    </row>
    <row r="33" spans="9:18" ht="15.75" thickBot="1" x14ac:dyDescent="0.3">
      <c r="I33"/>
      <c r="J33" s="78"/>
      <c r="P33"/>
      <c r="Q33"/>
      <c r="R33"/>
    </row>
    <row r="34" spans="9:18" x14ac:dyDescent="0.25">
      <c r="I34"/>
      <c r="J34" s="79">
        <v>4.3287037037037035E-3</v>
      </c>
      <c r="P34"/>
      <c r="Q34"/>
      <c r="R34"/>
    </row>
    <row r="35" spans="9:18" ht="15.75" thickBot="1" x14ac:dyDescent="0.3">
      <c r="I35"/>
      <c r="J35" s="80"/>
      <c r="P35"/>
      <c r="Q35"/>
      <c r="R35"/>
    </row>
    <row r="36" spans="9:18" x14ac:dyDescent="0.25">
      <c r="I36"/>
      <c r="J36" s="81">
        <v>3.6342592592592594E-3</v>
      </c>
      <c r="P36"/>
      <c r="Q36"/>
      <c r="R36"/>
    </row>
    <row r="37" spans="9:18" ht="15.75" thickBot="1" x14ac:dyDescent="0.3">
      <c r="I37"/>
      <c r="J37" s="82"/>
      <c r="P37"/>
      <c r="Q37"/>
      <c r="R37"/>
    </row>
    <row r="38" spans="9:18" x14ac:dyDescent="0.25">
      <c r="I38"/>
      <c r="J38" s="83">
        <v>4.3287037037037035E-3</v>
      </c>
      <c r="P38"/>
      <c r="Q38"/>
      <c r="R38"/>
    </row>
    <row r="39" spans="9:18" ht="15.75" thickBot="1" x14ac:dyDescent="0.3">
      <c r="I39"/>
      <c r="J39" s="84"/>
      <c r="P39"/>
      <c r="Q39"/>
      <c r="R39"/>
    </row>
    <row r="40" spans="9:18" x14ac:dyDescent="0.25">
      <c r="I40"/>
      <c r="J40" s="85">
        <v>3.3912037037037036E-3</v>
      </c>
      <c r="P40"/>
      <c r="Q40"/>
      <c r="R40"/>
    </row>
    <row r="41" spans="9:18" ht="15.75" thickBot="1" x14ac:dyDescent="0.3">
      <c r="I41"/>
      <c r="J41" s="86"/>
      <c r="P41"/>
      <c r="Q41"/>
      <c r="R41"/>
    </row>
    <row r="42" spans="9:18" x14ac:dyDescent="0.25">
      <c r="P42"/>
      <c r="Q42"/>
      <c r="R42"/>
    </row>
    <row r="43" spans="9:18" ht="15.75" thickBot="1" x14ac:dyDescent="0.3">
      <c r="I43"/>
      <c r="J43"/>
    </row>
    <row r="44" spans="9:18" x14ac:dyDescent="0.25">
      <c r="I44"/>
      <c r="J44" s="77">
        <v>1.6666666666666668E-3</v>
      </c>
    </row>
    <row r="45" spans="9:18" ht="15.75" thickBot="1" x14ac:dyDescent="0.3">
      <c r="I45"/>
      <c r="J45" s="78"/>
    </row>
    <row r="46" spans="9:18" x14ac:dyDescent="0.25">
      <c r="I46"/>
      <c r="J46" s="77">
        <v>1.5856481481481479E-3</v>
      </c>
    </row>
    <row r="47" spans="9:18" ht="15.75" thickBot="1" x14ac:dyDescent="0.3">
      <c r="I47"/>
      <c r="J47" s="78"/>
    </row>
    <row r="48" spans="9:18" x14ac:dyDescent="0.25">
      <c r="I48"/>
      <c r="J48" s="79">
        <v>4.3287037037037035E-3</v>
      </c>
    </row>
    <row r="49" spans="9:10" ht="15.75" thickBot="1" x14ac:dyDescent="0.3">
      <c r="I49"/>
      <c r="J49" s="80"/>
    </row>
    <row r="50" spans="9:10" x14ac:dyDescent="0.25">
      <c r="I50"/>
      <c r="J50" s="81">
        <v>3.6342592592592594E-3</v>
      </c>
    </row>
    <row r="51" spans="9:10" ht="15.75" thickBot="1" x14ac:dyDescent="0.3">
      <c r="I51"/>
      <c r="J51" s="82"/>
    </row>
    <row r="52" spans="9:10" x14ac:dyDescent="0.25">
      <c r="I52"/>
      <c r="J52" s="83">
        <v>4.3287037037037035E-3</v>
      </c>
    </row>
    <row r="53" spans="9:10" ht="15.75" thickBot="1" x14ac:dyDescent="0.3">
      <c r="I53"/>
      <c r="J53" s="84"/>
    </row>
    <row r="54" spans="9:10" x14ac:dyDescent="0.25">
      <c r="I54"/>
      <c r="J54" s="85">
        <v>3.3912037037037036E-3</v>
      </c>
    </row>
    <row r="55" spans="9:10" ht="15.75" thickBot="1" x14ac:dyDescent="0.3">
      <c r="I55"/>
      <c r="J55" s="86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selection activeCell="F5" activeCellId="1" sqref="D5 F5"/>
    </sheetView>
  </sheetViews>
  <sheetFormatPr baseColWidth="10" defaultRowHeight="15" x14ac:dyDescent="0.25"/>
  <cols>
    <col min="1" max="1" width="45.7109375" customWidth="1"/>
    <col min="2" max="2" width="18.7109375" bestFit="1" customWidth="1"/>
    <col min="3" max="3" width="12.7109375" customWidth="1"/>
    <col min="5" max="5" width="15.42578125" customWidth="1"/>
    <col min="6" max="6" width="15.140625" customWidth="1"/>
  </cols>
  <sheetData>
    <row r="1" spans="1:6" ht="45" x14ac:dyDescent="0.25">
      <c r="A1" s="87" t="s">
        <v>912</v>
      </c>
      <c r="B1" s="87" t="s">
        <v>672</v>
      </c>
      <c r="C1" s="87" t="s">
        <v>650</v>
      </c>
      <c r="D1" s="87" t="s">
        <v>673</v>
      </c>
      <c r="E1" s="87" t="s">
        <v>651</v>
      </c>
      <c r="F1" s="96" t="s">
        <v>622</v>
      </c>
    </row>
    <row r="2" spans="1:6" x14ac:dyDescent="0.25">
      <c r="A2" s="89" t="s">
        <v>630</v>
      </c>
      <c r="B2" s="90">
        <v>25</v>
      </c>
      <c r="C2" s="91">
        <v>1.7592592592592592E-3</v>
      </c>
      <c r="D2" s="91">
        <v>1.3712962962962962E-3</v>
      </c>
      <c r="E2" s="92">
        <v>-0.28291694800810263</v>
      </c>
      <c r="F2" s="92">
        <v>1.2205263157894737</v>
      </c>
    </row>
    <row r="3" spans="1:6" x14ac:dyDescent="0.25">
      <c r="A3" s="89" t="s">
        <v>652</v>
      </c>
      <c r="B3" s="90">
        <v>95</v>
      </c>
      <c r="C3" s="91">
        <v>1.9097222222222222E-3</v>
      </c>
      <c r="D3" s="91">
        <v>1.9749025341130604E-3</v>
      </c>
      <c r="E3" s="92">
        <v>3.300431832202344E-2</v>
      </c>
      <c r="F3" s="92">
        <v>0.96586921850079754</v>
      </c>
    </row>
    <row r="4" spans="1:6" x14ac:dyDescent="0.25">
      <c r="A4" s="89" t="s">
        <v>627</v>
      </c>
      <c r="B4" s="90">
        <v>97</v>
      </c>
      <c r="C4" s="91">
        <v>1.3194444444444445E-3</v>
      </c>
      <c r="D4" s="91">
        <v>1.3724226804123711E-3</v>
      </c>
      <c r="E4" s="92">
        <v>3.860198226395406E-2</v>
      </c>
      <c r="F4" s="92">
        <v>0.95984807379272929</v>
      </c>
    </row>
    <row r="5" spans="1:6" x14ac:dyDescent="0.25">
      <c r="A5" s="89" t="s">
        <v>636</v>
      </c>
      <c r="B5" s="90">
        <v>81</v>
      </c>
      <c r="C5" s="91">
        <v>1.9097222222222222E-3</v>
      </c>
      <c r="D5" s="91">
        <v>2.0013145861911292E-3</v>
      </c>
      <c r="E5" s="92">
        <v>4.5766100242753072E-2</v>
      </c>
      <c r="F5" s="92">
        <v>0.9520389075944633</v>
      </c>
    </row>
    <row r="6" spans="1:6" x14ac:dyDescent="0.25">
      <c r="A6" s="89" t="s">
        <v>635</v>
      </c>
      <c r="B6" s="90">
        <v>99</v>
      </c>
      <c r="C6" s="91">
        <v>1.9097222222222222E-3</v>
      </c>
      <c r="D6" s="91">
        <v>2.0510662177328845E-3</v>
      </c>
      <c r="E6" s="92">
        <v>6.8912448700410467E-2</v>
      </c>
      <c r="F6" s="92">
        <v>0.92598714416896222</v>
      </c>
    </row>
    <row r="7" spans="1:6" x14ac:dyDescent="0.25">
      <c r="A7" s="89" t="s">
        <v>625</v>
      </c>
      <c r="B7" s="90">
        <v>21</v>
      </c>
      <c r="C7" s="91">
        <v>1.7592592592592592E-3</v>
      </c>
      <c r="D7" s="91">
        <v>2.0238095238095236E-3</v>
      </c>
      <c r="E7" s="92">
        <v>0.13071895424836599</v>
      </c>
      <c r="F7" s="92">
        <v>0.84962406015037595</v>
      </c>
    </row>
    <row r="8" spans="1:6" x14ac:dyDescent="0.25">
      <c r="A8" s="89" t="s">
        <v>637</v>
      </c>
      <c r="B8" s="90">
        <v>86</v>
      </c>
      <c r="C8" s="91">
        <v>1.7797157622739018E-3</v>
      </c>
      <c r="D8" s="91">
        <v>2.0546673126614987E-3</v>
      </c>
      <c r="E8" s="92">
        <v>0.13381803890744748</v>
      </c>
      <c r="F8" s="92">
        <v>0.8455081669691471</v>
      </c>
    </row>
    <row r="9" spans="1:6" x14ac:dyDescent="0.25">
      <c r="A9" s="89" t="s">
        <v>624</v>
      </c>
      <c r="B9" s="90">
        <v>47</v>
      </c>
      <c r="C9" s="91">
        <v>3.2789105594956663E-3</v>
      </c>
      <c r="D9" s="91">
        <v>4.0391055949566589E-3</v>
      </c>
      <c r="E9" s="92">
        <v>0.18820875502987433</v>
      </c>
      <c r="F9" s="92">
        <v>0.76815621479534379</v>
      </c>
    </row>
    <row r="10" spans="1:6" x14ac:dyDescent="0.25">
      <c r="A10" s="89" t="s">
        <v>632</v>
      </c>
      <c r="B10" s="90">
        <v>41</v>
      </c>
      <c r="C10" s="91">
        <v>3.4149164408310752E-3</v>
      </c>
      <c r="D10" s="91">
        <v>4.6798780487804876E-3</v>
      </c>
      <c r="E10" s="92">
        <v>0.27029798528169857</v>
      </c>
      <c r="F10" s="92">
        <v>0.62957758121848406</v>
      </c>
    </row>
    <row r="11" spans="1:6" x14ac:dyDescent="0.25">
      <c r="A11" s="89" t="s">
        <v>628</v>
      </c>
      <c r="B11" s="90">
        <v>41</v>
      </c>
      <c r="C11" s="91">
        <v>3.3646680216802166E-3</v>
      </c>
      <c r="D11" s="91">
        <v>5.1758694670280036E-3</v>
      </c>
      <c r="E11" s="92">
        <v>0.34993182437960191</v>
      </c>
      <c r="F11" s="92">
        <v>0.46169980703079117</v>
      </c>
    </row>
    <row r="12" spans="1:6" x14ac:dyDescent="0.25">
      <c r="A12" s="89" t="s">
        <v>631</v>
      </c>
      <c r="B12" s="90">
        <v>39</v>
      </c>
      <c r="C12" s="91">
        <v>3.274869420702754E-3</v>
      </c>
      <c r="D12" s="91">
        <v>5.3282288698955366E-3</v>
      </c>
      <c r="E12" s="92">
        <v>0.38537373287289745</v>
      </c>
      <c r="F12" s="92">
        <v>0.37299501585863148</v>
      </c>
    </row>
    <row r="13" spans="1:6" x14ac:dyDescent="0.25">
      <c r="A13" s="89" t="s">
        <v>633</v>
      </c>
      <c r="B13" s="90">
        <v>11</v>
      </c>
      <c r="C13" s="91">
        <v>3.3985690235690236E-3</v>
      </c>
      <c r="D13" s="91">
        <v>6.0553451178451175E-3</v>
      </c>
      <c r="E13" s="92">
        <v>0.43874891398783666</v>
      </c>
      <c r="F13" s="92">
        <v>0.21826625386996912</v>
      </c>
    </row>
    <row r="14" spans="1:6" x14ac:dyDescent="0.25">
      <c r="A14" s="89" t="s">
        <v>623</v>
      </c>
      <c r="B14" s="90">
        <v>11</v>
      </c>
      <c r="C14" s="91">
        <v>3.2407407407407406E-3</v>
      </c>
      <c r="D14" s="91">
        <v>5.904882154882155E-3</v>
      </c>
      <c r="E14" s="92">
        <v>0.45117605131860306</v>
      </c>
      <c r="F14" s="92">
        <v>0.17792207792207781</v>
      </c>
    </row>
    <row r="15" spans="1:6" x14ac:dyDescent="0.25">
      <c r="A15" s="89" t="s">
        <v>677</v>
      </c>
      <c r="B15" s="90">
        <v>8</v>
      </c>
      <c r="C15" s="91">
        <v>3.4823495370370368E-3</v>
      </c>
      <c r="D15" s="91">
        <v>7.8211805555555552E-3</v>
      </c>
      <c r="E15" s="92">
        <v>0.55475397706252316</v>
      </c>
      <c r="F15" s="92">
        <v>-0.24594931449937674</v>
      </c>
    </row>
    <row r="16" spans="1:6" ht="15.75" thickBot="1" x14ac:dyDescent="0.3">
      <c r="A16" s="93" t="s">
        <v>642</v>
      </c>
      <c r="B16" s="94">
        <v>702</v>
      </c>
      <c r="C16" s="95">
        <v>2.204877598396117E-3</v>
      </c>
      <c r="D16" s="95">
        <v>2.7567564893953784E-3</v>
      </c>
      <c r="E16" s="104">
        <v>0.20019138183666751</v>
      </c>
      <c r="F16" s="104">
        <v>0.74970089432596532</v>
      </c>
    </row>
    <row r="21" spans="1:6" ht="47.25" x14ac:dyDescent="0.25">
      <c r="A21" s="87" t="s">
        <v>670</v>
      </c>
      <c r="B21" s="87" t="s">
        <v>619</v>
      </c>
      <c r="C21" s="87" t="s">
        <v>620</v>
      </c>
      <c r="D21" s="87" t="s">
        <v>621</v>
      </c>
      <c r="E21" s="87" t="s">
        <v>651</v>
      </c>
      <c r="F21" s="87" t="s">
        <v>622</v>
      </c>
    </row>
    <row r="22" spans="1:6" x14ac:dyDescent="0.25">
      <c r="A22" s="89" t="s">
        <v>627</v>
      </c>
      <c r="B22" s="90">
        <v>1793</v>
      </c>
      <c r="C22" s="91">
        <v>1.319502540744872E-3</v>
      </c>
      <c r="D22" s="91">
        <v>1.3949179938443743E-3</v>
      </c>
      <c r="E22" s="92">
        <v>5.4064434921839655E-2</v>
      </c>
      <c r="F22" s="92">
        <v>0.94284554158044331</v>
      </c>
    </row>
    <row r="23" spans="1:6" x14ac:dyDescent="0.25">
      <c r="A23" s="89" t="s">
        <v>630</v>
      </c>
      <c r="B23" s="90">
        <v>601</v>
      </c>
      <c r="C23" s="91">
        <v>1.7592592592592592E-3</v>
      </c>
      <c r="D23" s="91">
        <v>1.93391030381463E-3</v>
      </c>
      <c r="E23" s="92">
        <v>9.0309795759851097E-2</v>
      </c>
      <c r="F23" s="92">
        <v>0.90072466941063145</v>
      </c>
    </row>
    <row r="24" spans="1:6" x14ac:dyDescent="0.25">
      <c r="A24" s="89" t="s">
        <v>626</v>
      </c>
      <c r="B24" s="90">
        <v>761</v>
      </c>
      <c r="C24" s="91">
        <v>3.2389917019516228E-3</v>
      </c>
      <c r="D24" s="91">
        <v>3.6948824645933712E-3</v>
      </c>
      <c r="E24" s="92">
        <v>0.12338437474273489</v>
      </c>
      <c r="F24" s="92">
        <v>0.85924917239922038</v>
      </c>
    </row>
    <row r="25" spans="1:6" x14ac:dyDescent="0.25">
      <c r="A25" s="89" t="s">
        <v>624</v>
      </c>
      <c r="B25" s="90">
        <v>767</v>
      </c>
      <c r="C25" s="91">
        <v>3.2647641122217396E-3</v>
      </c>
      <c r="D25" s="91">
        <v>3.7644110048771066E-3</v>
      </c>
      <c r="E25" s="92">
        <v>0.13272910211133504</v>
      </c>
      <c r="F25" s="92">
        <v>0.84695773554207965</v>
      </c>
    </row>
    <row r="26" spans="1:6" x14ac:dyDescent="0.25">
      <c r="A26" s="89" t="s">
        <v>635</v>
      </c>
      <c r="B26" s="90">
        <v>1000</v>
      </c>
      <c r="C26" s="91">
        <v>2.0564814814814816E-3</v>
      </c>
      <c r="D26" s="91">
        <v>2.3798032407407409E-3</v>
      </c>
      <c r="E26" s="92">
        <v>0.13586071055127302</v>
      </c>
      <c r="F26" s="92">
        <v>0.84277915353444399</v>
      </c>
    </row>
    <row r="27" spans="1:6" x14ac:dyDescent="0.25">
      <c r="A27" s="89" t="s">
        <v>633</v>
      </c>
      <c r="B27" s="90">
        <v>381</v>
      </c>
      <c r="C27" s="91">
        <v>3.2626737630018473E-3</v>
      </c>
      <c r="D27" s="91">
        <v>3.9757400116652089E-3</v>
      </c>
      <c r="E27" s="92">
        <v>0.17935434574976128</v>
      </c>
      <c r="F27" s="92">
        <v>0.78144727286270266</v>
      </c>
    </row>
    <row r="28" spans="1:6" x14ac:dyDescent="0.25">
      <c r="A28" s="89" t="s">
        <v>632</v>
      </c>
      <c r="B28" s="90">
        <v>752</v>
      </c>
      <c r="C28" s="91">
        <v>3.3673013938140266E-3</v>
      </c>
      <c r="D28" s="91">
        <v>4.1743160214736015E-3</v>
      </c>
      <c r="E28" s="92">
        <v>0.19332858928459506</v>
      </c>
      <c r="F28" s="92">
        <v>0.7603378690300433</v>
      </c>
    </row>
    <row r="29" spans="1:6" x14ac:dyDescent="0.25">
      <c r="A29" s="89" t="s">
        <v>652</v>
      </c>
      <c r="B29" s="90">
        <v>468</v>
      </c>
      <c r="C29" s="91">
        <v>1.9601485834124725E-3</v>
      </c>
      <c r="D29" s="91">
        <v>2.4416597420069642E-3</v>
      </c>
      <c r="E29" s="92">
        <v>0.1972064945456754</v>
      </c>
      <c r="F29" s="92">
        <v>0.75434966376058243</v>
      </c>
    </row>
    <row r="30" spans="1:6" x14ac:dyDescent="0.25">
      <c r="A30" s="89" t="s">
        <v>625</v>
      </c>
      <c r="B30" s="90">
        <v>683</v>
      </c>
      <c r="C30" s="91">
        <v>2.8591860528170924E-3</v>
      </c>
      <c r="D30" s="91">
        <v>3.7647260181118158E-3</v>
      </c>
      <c r="E30" s="92">
        <v>0.24053276677724711</v>
      </c>
      <c r="F30" s="92">
        <v>0.68328749911097431</v>
      </c>
    </row>
    <row r="31" spans="1:6" x14ac:dyDescent="0.25">
      <c r="A31" s="89" t="s">
        <v>634</v>
      </c>
      <c r="B31" s="90">
        <v>611</v>
      </c>
      <c r="C31" s="91">
        <v>3.3849336242953261E-3</v>
      </c>
      <c r="D31" s="91">
        <v>4.5921606958841E-3</v>
      </c>
      <c r="E31" s="92">
        <v>0.26288868172030599</v>
      </c>
      <c r="F31" s="92">
        <v>0.64335280818391416</v>
      </c>
    </row>
    <row r="32" spans="1:6" x14ac:dyDescent="0.25">
      <c r="A32" s="89" t="s">
        <v>636</v>
      </c>
      <c r="B32" s="90">
        <v>1190</v>
      </c>
      <c r="C32" s="91">
        <v>1.6547716308745722E-3</v>
      </c>
      <c r="D32" s="91">
        <v>2.2544740118269533E-3</v>
      </c>
      <c r="E32" s="92">
        <v>0.2660054530708037</v>
      </c>
      <c r="F32" s="92">
        <v>0.63759205816489062</v>
      </c>
    </row>
    <row r="33" spans="1:6" x14ac:dyDescent="0.25">
      <c r="A33" s="89" t="s">
        <v>637</v>
      </c>
      <c r="B33" s="90">
        <v>981</v>
      </c>
      <c r="C33" s="91">
        <v>2.1357411182844413E-3</v>
      </c>
      <c r="D33" s="91">
        <v>3.0297528032619775E-3</v>
      </c>
      <c r="E33" s="92">
        <v>0.29507743470523407</v>
      </c>
      <c r="F33" s="92">
        <v>0.58140447017489594</v>
      </c>
    </row>
    <row r="34" spans="1:6" x14ac:dyDescent="0.25">
      <c r="A34" s="89" t="s">
        <v>631</v>
      </c>
      <c r="B34" s="90">
        <v>574</v>
      </c>
      <c r="C34" s="91">
        <v>3.2786891857013809E-3</v>
      </c>
      <c r="D34" s="91">
        <v>4.9131541166602139E-3</v>
      </c>
      <c r="E34" s="92">
        <v>0.3326712112319985</v>
      </c>
      <c r="F34" s="92">
        <v>0.50148829657691807</v>
      </c>
    </row>
    <row r="35" spans="1:6" x14ac:dyDescent="0.25">
      <c r="A35" s="89" t="s">
        <v>623</v>
      </c>
      <c r="B35" s="90">
        <v>286</v>
      </c>
      <c r="C35" s="91">
        <v>3.2466087153587156E-3</v>
      </c>
      <c r="D35" s="91">
        <v>5.0588416213416219E-3</v>
      </c>
      <c r="E35" s="92">
        <v>0.35823080492136383</v>
      </c>
      <c r="F35" s="92">
        <v>0.441807416640698</v>
      </c>
    </row>
    <row r="36" spans="1:6" x14ac:dyDescent="0.25">
      <c r="A36" s="89" t="s">
        <v>629</v>
      </c>
      <c r="B36" s="90">
        <v>564</v>
      </c>
      <c r="C36" s="91">
        <v>3.2443319871289728E-3</v>
      </c>
      <c r="D36" s="91">
        <v>5.0600661610191756E-3</v>
      </c>
      <c r="E36" s="92">
        <v>0.35883605393896389</v>
      </c>
      <c r="F36" s="92">
        <v>0.44033650653088308</v>
      </c>
    </row>
    <row r="37" spans="1:6" x14ac:dyDescent="0.25">
      <c r="A37" s="89" t="s">
        <v>628</v>
      </c>
      <c r="B37" s="90">
        <v>634</v>
      </c>
      <c r="C37" s="91">
        <v>3.3746640962729287E-3</v>
      </c>
      <c r="D37" s="91">
        <v>5.4676364061222102E-3</v>
      </c>
      <c r="E37" s="92">
        <v>0.38279288423526903</v>
      </c>
      <c r="F37" s="92">
        <v>0.37979832951053782</v>
      </c>
    </row>
    <row r="38" spans="1:6" x14ac:dyDescent="0.25">
      <c r="A38" s="89" t="s">
        <v>677</v>
      </c>
      <c r="B38" s="90">
        <v>239</v>
      </c>
      <c r="C38" s="91">
        <v>3.2563826902216025E-3</v>
      </c>
      <c r="D38" s="91">
        <v>6.5029831086316449E-3</v>
      </c>
      <c r="E38" s="92">
        <v>0.49924786273867328</v>
      </c>
      <c r="F38" s="92">
        <v>3.0040301592728635E-3</v>
      </c>
    </row>
    <row r="39" spans="1:6" ht="15.75" thickBot="1" x14ac:dyDescent="0.3">
      <c r="A39" s="93" t="s">
        <v>642</v>
      </c>
      <c r="B39" s="94">
        <v>12285</v>
      </c>
      <c r="C39" s="95">
        <v>2.5058788947677837E-3</v>
      </c>
      <c r="D39" s="95">
        <v>3.3140008140008139E-3</v>
      </c>
      <c r="E39" s="104">
        <v>0.24385085115818916</v>
      </c>
      <c r="F39" s="104">
        <v>0.67750958718700671</v>
      </c>
    </row>
    <row r="43" spans="1:6" ht="31.5" x14ac:dyDescent="0.25">
      <c r="A43" s="87" t="s">
        <v>671</v>
      </c>
      <c r="B43" s="87" t="s">
        <v>674</v>
      </c>
      <c r="C43" s="87" t="s">
        <v>653</v>
      </c>
    </row>
    <row r="44" spans="1:6" x14ac:dyDescent="0.25">
      <c r="A44" s="195" t="s">
        <v>911</v>
      </c>
      <c r="B44" s="156">
        <v>0.97717391304347834</v>
      </c>
      <c r="C44" s="157">
        <v>23</v>
      </c>
    </row>
    <row r="45" spans="1:6" x14ac:dyDescent="0.25">
      <c r="A45" s="153" t="s">
        <v>663</v>
      </c>
      <c r="B45" s="154">
        <v>1</v>
      </c>
      <c r="C45" s="155">
        <v>2</v>
      </c>
    </row>
    <row r="46" spans="1:6" x14ac:dyDescent="0.25">
      <c r="A46" s="153" t="s">
        <v>669</v>
      </c>
      <c r="B46" s="154">
        <v>1</v>
      </c>
      <c r="C46" s="155">
        <v>2</v>
      </c>
    </row>
    <row r="47" spans="1:6" x14ac:dyDescent="0.25">
      <c r="A47" s="153" t="s">
        <v>656</v>
      </c>
      <c r="B47" s="154">
        <v>1</v>
      </c>
      <c r="C47" s="155">
        <v>1</v>
      </c>
    </row>
    <row r="48" spans="1:6" x14ac:dyDescent="0.25">
      <c r="A48" s="153" t="s">
        <v>662</v>
      </c>
      <c r="B48" s="154">
        <v>1</v>
      </c>
      <c r="C48" s="155">
        <v>2</v>
      </c>
    </row>
    <row r="49" spans="1:3" x14ac:dyDescent="0.25">
      <c r="A49" s="153" t="s">
        <v>658</v>
      </c>
      <c r="B49" s="154">
        <v>1</v>
      </c>
      <c r="C49" s="155">
        <v>1</v>
      </c>
    </row>
    <row r="50" spans="1:3" x14ac:dyDescent="0.25">
      <c r="A50" s="153" t="s">
        <v>668</v>
      </c>
      <c r="B50" s="154">
        <v>1</v>
      </c>
      <c r="C50" s="155">
        <v>1</v>
      </c>
    </row>
    <row r="51" spans="1:3" x14ac:dyDescent="0.25">
      <c r="A51" s="153" t="s">
        <v>654</v>
      </c>
      <c r="B51" s="154">
        <v>1</v>
      </c>
      <c r="C51" s="155">
        <v>1</v>
      </c>
    </row>
    <row r="52" spans="1:3" x14ac:dyDescent="0.25">
      <c r="A52" s="153" t="s">
        <v>659</v>
      </c>
      <c r="B52" s="154">
        <v>1</v>
      </c>
      <c r="C52" s="155">
        <v>1</v>
      </c>
    </row>
    <row r="53" spans="1:3" x14ac:dyDescent="0.25">
      <c r="A53" s="153" t="s">
        <v>667</v>
      </c>
      <c r="B53" s="154">
        <v>1</v>
      </c>
      <c r="C53" s="155">
        <v>1</v>
      </c>
    </row>
    <row r="54" spans="1:3" x14ac:dyDescent="0.25">
      <c r="A54" s="153" t="s">
        <v>655</v>
      </c>
      <c r="B54" s="154">
        <v>1</v>
      </c>
      <c r="C54" s="155">
        <v>2</v>
      </c>
    </row>
    <row r="55" spans="1:3" x14ac:dyDescent="0.25">
      <c r="A55" s="153" t="s">
        <v>661</v>
      </c>
      <c r="B55" s="154">
        <v>1</v>
      </c>
      <c r="C55" s="155">
        <v>2</v>
      </c>
    </row>
    <row r="56" spans="1:3" x14ac:dyDescent="0.25">
      <c r="A56" s="153" t="s">
        <v>755</v>
      </c>
      <c r="B56" s="154">
        <v>1</v>
      </c>
      <c r="C56" s="155">
        <v>1</v>
      </c>
    </row>
    <row r="57" spans="1:3" x14ac:dyDescent="0.25">
      <c r="A57" s="153" t="s">
        <v>666</v>
      </c>
      <c r="B57" s="154">
        <v>0.97499999999999998</v>
      </c>
      <c r="C57" s="155">
        <v>1</v>
      </c>
    </row>
    <row r="58" spans="1:3" x14ac:dyDescent="0.25">
      <c r="A58" s="153" t="s">
        <v>660</v>
      </c>
      <c r="B58" s="154">
        <v>0.9</v>
      </c>
      <c r="C58" s="155">
        <v>1</v>
      </c>
    </row>
    <row r="59" spans="1:3" x14ac:dyDescent="0.25">
      <c r="A59" s="153" t="s">
        <v>664</v>
      </c>
      <c r="B59" s="154">
        <v>0.9</v>
      </c>
      <c r="C59" s="155">
        <v>2</v>
      </c>
    </row>
    <row r="60" spans="1:3" x14ac:dyDescent="0.25">
      <c r="A60" s="153" t="s">
        <v>657</v>
      </c>
      <c r="B60" s="154">
        <v>0.9</v>
      </c>
      <c r="C60" s="155">
        <v>1</v>
      </c>
    </row>
    <row r="61" spans="1:3" x14ac:dyDescent="0.25">
      <c r="A61" s="153" t="s">
        <v>665</v>
      </c>
      <c r="B61" s="154">
        <v>0.9</v>
      </c>
      <c r="C61" s="155">
        <v>1</v>
      </c>
    </row>
  </sheetData>
  <sortState ref="A2:F17">
    <sortCondition descending="1" ref="F2:F17"/>
  </sortState>
  <conditionalFormatting sqref="F22:F39">
    <cfRule type="cellIs" dxfId="56" priority="7" operator="between">
      <formula>0.97</formula>
      <formula>0.999</formula>
    </cfRule>
  </conditionalFormatting>
  <conditionalFormatting sqref="F22:F39">
    <cfRule type="cellIs" dxfId="55" priority="9" operator="greaterThan">
      <formula>1</formula>
    </cfRule>
  </conditionalFormatting>
  <conditionalFormatting sqref="F22:F39">
    <cfRule type="cellIs" dxfId="54" priority="8" operator="lessThan">
      <formula>0.9699</formula>
    </cfRule>
  </conditionalFormatting>
  <conditionalFormatting sqref="F2:F15">
    <cfRule type="cellIs" dxfId="53" priority="6" operator="greaterThan">
      <formula>1</formula>
    </cfRule>
  </conditionalFormatting>
  <conditionalFormatting sqref="F2:F15">
    <cfRule type="cellIs" dxfId="52" priority="5" operator="lessThan">
      <formula>0.9699</formula>
    </cfRule>
  </conditionalFormatting>
  <conditionalFormatting sqref="F2:F15">
    <cfRule type="cellIs" dxfId="51" priority="4" operator="between">
      <formula>0.97</formula>
      <formula>0.999</formula>
    </cfRule>
  </conditionalFormatting>
  <conditionalFormatting sqref="F16">
    <cfRule type="cellIs" dxfId="50" priority="3" operator="greaterThan">
      <formula>1</formula>
    </cfRule>
  </conditionalFormatting>
  <conditionalFormatting sqref="F16">
    <cfRule type="cellIs" dxfId="49" priority="2" operator="lessThan">
      <formula>0.9699</formula>
    </cfRule>
  </conditionalFormatting>
  <conditionalFormatting sqref="F16">
    <cfRule type="cellIs" dxfId="48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Agents' Final Roster</vt:lpstr>
      <vt:lpstr>Break</vt:lpstr>
      <vt:lpstr>AHT PDA</vt:lpstr>
      <vt:lpstr>CMS</vt:lpstr>
      <vt:lpstr>Roster</vt:lpstr>
      <vt:lpstr>Bitacora</vt:lpstr>
      <vt:lpstr>Clean Desk</vt:lpstr>
      <vt:lpstr>ROSTER + Ext</vt:lpstr>
      <vt:lpstr>Monitoreos</vt:lpstr>
      <vt:lpstr>Monitoreos Base</vt:lpstr>
      <vt:lpstr>Couching</vt:lpstr>
      <vt:lpstr>AHT CMS CSV</vt:lpstr>
      <vt:lpstr>Metricas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2011-10-05T17:27:39Z</dcterms:created>
  <dcterms:modified xsi:type="dcterms:W3CDTF">2020-08-28T00:03:56Z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