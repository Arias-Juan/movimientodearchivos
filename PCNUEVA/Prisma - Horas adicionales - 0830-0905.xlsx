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8355" activeTab="1"/>
  </bookViews>
  <sheets>
    <sheet name="Summary" sheetId="2" r:id="rId1"/>
    <sheet name="Horas Adicionales" sheetId="4" r:id="rId2"/>
  </sheets>
  <definedNames>
    <definedName name="_xlnm._FilterDatabase" localSheetId="1" hidden="1">'Horas Adicionales'!$B$1:$M$118</definedName>
  </definedNames>
  <calcPr calcId="144525"/>
</workbook>
</file>

<file path=xl/sharedStrings.xml><?xml version="1.0" encoding="utf-8"?>
<sst xmlns="http://schemas.openxmlformats.org/spreadsheetml/2006/main" count="42">
  <si>
    <t>0830 - 0905</t>
  </si>
  <si>
    <t>Adicionales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</si>
  <si>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</si>
  <si>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</si>
  <si>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</si>
  <si>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</si>
  <si>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</si>
  <si>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</si>
  <si>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</si>
  <si>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</si>
  <si>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</si>
  <si>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</si>
  <si>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</si>
  <si>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</si>
  <si>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</si>
  <si>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</si>
  <si>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</si>
  <si>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</si>
  <si>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Perez Zitzke Agustina</t>
  </si>
  <si>
    <t>Grimaldi Agustina Sofía</t>
  </si>
  <si>
    <t>Ricci</t>
  </si>
  <si>
    <t>Rocio del Valle</t>
  </si>
  <si>
    <t>Fuera de Shift</t>
  </si>
  <si>
    <t>17:00 - 18:00</t>
  </si>
  <si>
    <t>18:00 - 19:00</t>
  </si>
  <si>
    <t>19:00 - 20:00</t>
  </si>
  <si>
    <t>Palomino Juan Pablo</t>
  </si>
  <si>
    <t>Soria Juarez</t>
  </si>
  <si>
    <t>Eugenia Soledad</t>
  </si>
  <si>
    <t>Campero Juarez Maria Guadalupe</t>
  </si>
  <si>
    <t>Corbera Susana Sofía</t>
  </si>
  <si>
    <t>Chavarria Bevacqua</t>
  </si>
  <si>
    <t>Silvana Carolina</t>
  </si>
  <si>
    <t>20:00 - 21:00</t>
  </si>
  <si>
    <t>Villa</t>
  </si>
  <si>
    <t>Luciana Pamela</t>
  </si>
  <si>
    <t>Monges</t>
  </si>
  <si>
    <t>Elina Teresa</t>
  </si>
  <si>
    <t>11:00 - 12:00</t>
  </si>
  <si>
    <t>Ruiz Barrionuevo</t>
  </si>
  <si>
    <t xml:space="preserve">Isabella Catalina </t>
  </si>
  <si>
    <t>12:00 - 13:00</t>
  </si>
</sst>
</file>

<file path=xl/styles.xml><?xml version="1.0" encoding="utf-8"?>
<styleSheet xmlns="http://schemas.openxmlformats.org/spreadsheetml/2006/main">
  <numFmts count="7">
    <numFmt numFmtId="176" formatCode="dddd"/>
    <numFmt numFmtId="177" formatCode="ddd\ dd/mm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_ * #,##0_ ;_ * \-#,##0_ ;_ * &quot;-&quot;_ ;_ @_ "/>
    <numFmt numFmtId="180" formatCode="ddd\ mm/dd"/>
    <numFmt numFmtId="42" formatCode="_(&quot;$&quot;* #,##0_);_(&quot;$&quot;* \(#,##0\);_(&quot;$&quot;* &quot;-&quot;_);_(@_)"/>
  </numFmts>
  <fonts count="28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color rgb="FFFFFF00"/>
      <name val="Calibri"/>
      <charset val="134"/>
      <scheme val="minor"/>
    </font>
    <font>
      <b/>
      <sz val="8"/>
      <color theme="3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3" tint="-0.249977111117893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theme="0" tint="-0.349986266670736"/>
      </right>
      <top style="medium">
        <color auto="1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6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0" borderId="31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15" borderId="32" applyNumberFormat="0" applyAlignment="0" applyProtection="0">
      <alignment vertical="center"/>
    </xf>
    <xf numFmtId="0" fontId="0" fillId="18" borderId="33" applyNumberFormat="0" applyFont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24" borderId="35" applyNumberFormat="0" applyAlignment="0" applyProtection="0">
      <alignment vertical="center"/>
    </xf>
    <xf numFmtId="0" fontId="20" fillId="15" borderId="35" applyNumberFormat="0" applyAlignment="0" applyProtection="0">
      <alignment vertical="center"/>
    </xf>
    <xf numFmtId="0" fontId="25" fillId="26" borderId="37" applyNumberFormat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6" fillId="0" borderId="38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 vertical="center"/>
    </xf>
    <xf numFmtId="16" fontId="3" fillId="0" borderId="0" xfId="0" applyNumberFormat="1" applyFont="1"/>
    <xf numFmtId="0" fontId="1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/>
    </xf>
    <xf numFmtId="58" fontId="2" fillId="0" borderId="9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58" fontId="2" fillId="0" borderId="11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left"/>
    </xf>
    <xf numFmtId="177" fontId="2" fillId="0" borderId="13" xfId="0" applyNumberFormat="1" applyFont="1" applyFill="1" applyBorder="1" applyAlignment="1">
      <alignment horizontal="center"/>
    </xf>
    <xf numFmtId="58" fontId="2" fillId="0" borderId="14" xfId="0" applyNumberFormat="1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58" fontId="2" fillId="0" borderId="16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wrapText="1"/>
    </xf>
    <xf numFmtId="0" fontId="6" fillId="5" borderId="21" xfId="0" applyFont="1" applyFill="1" applyBorder="1" applyAlignment="1">
      <alignment horizontal="center" wrapText="1"/>
    </xf>
    <xf numFmtId="0" fontId="6" fillId="5" borderId="22" xfId="0" applyFont="1" applyFill="1" applyBorder="1" applyAlignment="1">
      <alignment horizontal="center" wrapText="1"/>
    </xf>
    <xf numFmtId="0" fontId="6" fillId="5" borderId="23" xfId="0" applyFont="1" applyFill="1" applyBorder="1" applyAlignment="1">
      <alignment horizontal="center" wrapText="1"/>
    </xf>
    <xf numFmtId="0" fontId="6" fillId="5" borderId="24" xfId="0" applyFont="1" applyFill="1" applyBorder="1" applyAlignment="1">
      <alignment horizontal="center" wrapText="1"/>
    </xf>
    <xf numFmtId="0" fontId="6" fillId="5" borderId="8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vertical="center" wrapText="1"/>
    </xf>
    <xf numFmtId="0" fontId="3" fillId="0" borderId="0" xfId="0" applyFont="1"/>
    <xf numFmtId="176" fontId="8" fillId="2" borderId="7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0" fontId="8" fillId="2" borderId="7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dxfs count="8">
    <dxf>
      <font>
        <b val="1"/>
        <i val="0"/>
        <color theme="0"/>
      </font>
      <fill>
        <patternFill patternType="solid">
          <bgColor rgb="FF0000FF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b val="1"/>
        <i val="0"/>
        <color theme="0"/>
      </font>
      <fill>
        <patternFill patternType="solid">
          <bgColor rgb="FF008000"/>
        </patternFill>
      </fill>
    </dxf>
    <dxf>
      <font>
        <b val="1"/>
        <i val="0"/>
        <color theme="0"/>
      </font>
      <fill>
        <patternFill patternType="solid">
          <bgColor rgb="FF660066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</font>
      <fill>
        <patternFill patternType="solid">
          <bgColor theme="0" tint="-0.14996795556505"/>
        </patternFill>
      </fill>
    </dxf>
  </dxfs>
  <tableStyles count="0" defaultTableStyle="TableStyleMedium9" defaultPivotStyle="PivotStyleLight16"/>
  <colors>
    <mruColors>
      <color rgb="00CCFFCC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3"/>
  <sheetViews>
    <sheetView showGridLines="0" zoomScale="90" zoomScaleNormal="90" workbookViewId="0">
      <selection activeCell="B2" sqref="B2:D2"/>
    </sheetView>
  </sheetViews>
  <sheetFormatPr defaultColWidth="0" defaultRowHeight="15" zeroHeight="1" outlineLevelCol="3"/>
  <cols>
    <col min="1" max="1" width="3.85714285714286" customWidth="1"/>
    <col min="2" max="2" width="11.5714285714286" customWidth="1"/>
    <col min="3" max="4" width="8.57142857142857" customWidth="1"/>
    <col min="5" max="5" width="4.28571428571429" customWidth="1"/>
    <col min="6" max="8" width="0" hidden="1" customWidth="1"/>
    <col min="9" max="16384" width="9.14285714285714" hidden="1"/>
  </cols>
  <sheetData>
    <row r="1" ht="30" customHeight="1"/>
    <row r="2" spans="2:4">
      <c r="B2" s="27" t="s">
        <v>0</v>
      </c>
      <c r="C2" s="28"/>
      <c r="D2" s="29"/>
    </row>
    <row r="3" ht="15.75" customHeight="1" spans="2:4">
      <c r="B3" s="30" t="s">
        <v>1</v>
      </c>
      <c r="C3" s="31"/>
      <c r="D3" s="32"/>
    </row>
    <row r="4" ht="15.75" customHeight="1" spans="2:4">
      <c r="B4" s="33" t="s">
        <v>2</v>
      </c>
      <c r="C4" s="34"/>
      <c r="D4" s="35"/>
    </row>
    <row r="5" ht="15.75" customHeight="1" spans="2:4">
      <c r="B5" s="36" t="s">
        <v>3</v>
      </c>
      <c r="C5" s="37" t="s">
        <v>4</v>
      </c>
      <c r="D5" s="37" t="s">
        <v>5</v>
      </c>
    </row>
    <row r="6" ht="20.1" customHeight="1" spans="1:4">
      <c r="A6" s="38" t="str">
        <f>CONCATENATE(MID($B$2,3,2),"/",LEFT($B$2,2))</f>
        <v>30/08</v>
      </c>
      <c r="B6" s="39" t="str">
        <f>TEXT(CONCATENATE(MID($B$2,3,2),"/",LEFT($B$2,2)),"ddd mm/dd")</f>
        <v>dom 08/30</v>
      </c>
      <c r="C6" s="40">
        <f>COUNTIF('Horas Adicionales'!J:J,Summary!A6)</f>
        <v>0</v>
      </c>
      <c r="D6" s="41">
        <f>SUM(C6:C12)</f>
        <v>116</v>
      </c>
    </row>
    <row r="7" ht="20.1" customHeight="1" spans="2:4">
      <c r="B7" s="42">
        <f>A6+1</f>
        <v>44074</v>
      </c>
      <c r="C7" s="43">
        <f>COUNTIF('Horas Adicionales'!J:J,Summary!B7)</f>
        <v>35</v>
      </c>
      <c r="D7" s="44"/>
    </row>
    <row r="8" ht="20.1" customHeight="1" spans="2:4">
      <c r="B8" s="42">
        <f t="shared" ref="B8:B12" si="0">B7+1</f>
        <v>44075</v>
      </c>
      <c r="C8" s="43">
        <f>COUNTIF('Horas Adicionales'!J:J,Summary!B8)</f>
        <v>13</v>
      </c>
      <c r="D8" s="44"/>
    </row>
    <row r="9" ht="20.1" customHeight="1" spans="2:4">
      <c r="B9" s="42">
        <f t="shared" si="0"/>
        <v>44076</v>
      </c>
      <c r="C9" s="43">
        <f>COUNTIF('Horas Adicionales'!J:J,Summary!B9)</f>
        <v>22</v>
      </c>
      <c r="D9" s="44"/>
    </row>
    <row r="10" ht="20.1" customHeight="1" spans="2:4">
      <c r="B10" s="42">
        <f t="shared" si="0"/>
        <v>44077</v>
      </c>
      <c r="C10" s="43">
        <f>COUNTIF('Horas Adicionales'!J:J,Summary!B10)</f>
        <v>22</v>
      </c>
      <c r="D10" s="44"/>
    </row>
    <row r="11" ht="20.1" customHeight="1" spans="2:4">
      <c r="B11" s="42">
        <f t="shared" si="0"/>
        <v>44078</v>
      </c>
      <c r="C11" s="43">
        <f>COUNTIF('Horas Adicionales'!J:J,Summary!B11)</f>
        <v>24</v>
      </c>
      <c r="D11" s="44"/>
    </row>
    <row r="12" ht="20.1" customHeight="1" spans="2:4">
      <c r="B12" s="42">
        <f t="shared" si="0"/>
        <v>44079</v>
      </c>
      <c r="C12" s="45">
        <f>COUNTIF('Horas Adicionales'!J:J,Summary!B12)</f>
        <v>0</v>
      </c>
      <c r="D12" s="46"/>
    </row>
    <row r="13" s="26" customFormat="1" ht="13.5" customHeight="1" spans="3:4">
      <c r="C13" s="47"/>
      <c r="D13" s="47"/>
    </row>
  </sheetData>
  <mergeCells count="4">
    <mergeCell ref="B2:D2"/>
    <mergeCell ref="B3:D3"/>
    <mergeCell ref="B4:D4"/>
    <mergeCell ref="D6:D12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19"/>
  <sheetViews>
    <sheetView showGridLines="0" tabSelected="1" zoomScale="70" zoomScaleNormal="70" topLeftCell="A50" workbookViewId="0">
      <selection activeCell="D68" sqref="D68:I68"/>
    </sheetView>
  </sheetViews>
  <sheetFormatPr defaultColWidth="0" defaultRowHeight="15" zeroHeight="1"/>
  <cols>
    <col min="1" max="1" width="4.85714285714286" customWidth="1"/>
    <col min="2" max="2" width="10.7142857142857" customWidth="1"/>
    <col min="3" max="3" width="14.5714285714286" customWidth="1"/>
    <col min="4" max="4" width="28.5714285714286" customWidth="1"/>
    <col min="5" max="5" width="27.4285714285714" customWidth="1"/>
    <col min="6" max="6" width="15.1428571428571" customWidth="1"/>
    <col min="7" max="7" width="21.5714285714286" customWidth="1"/>
    <col min="8" max="8" width="19.5714285714286" customWidth="1"/>
    <col min="9" max="9" width="15.2857142857143" customWidth="1"/>
    <col min="10" max="10" width="15.1428571428571" customWidth="1"/>
    <col min="11" max="11" width="29.8571428571429" customWidth="1"/>
    <col min="12" max="12" width="33" customWidth="1"/>
    <col min="13" max="13" width="33.7142857142857" style="1" customWidth="1"/>
    <col min="14" max="14" width="2.14285714285714" style="1" customWidth="1"/>
    <col min="15" max="46" width="9.14285714285714" style="1" hidden="1" customWidth="1"/>
    <col min="47" max="16384" width="9.14285714285714" hidden="1"/>
  </cols>
  <sheetData>
    <row r="1" s="1" customFormat="1" ht="24.75" customHeight="1" spans="2:12">
      <c r="B1"/>
      <c r="C1"/>
      <c r="D1"/>
      <c r="E1"/>
      <c r="F1"/>
      <c r="G1"/>
      <c r="H1"/>
      <c r="I1"/>
      <c r="J1"/>
      <c r="K1" s="11">
        <v>41399</v>
      </c>
      <c r="L1"/>
    </row>
    <row r="2" s="1" customFormat="1" ht="27.75" customHeight="1" spans="2:13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12" t="s">
        <v>15</v>
      </c>
      <c r="L2" s="13" t="s">
        <v>16</v>
      </c>
      <c r="M2" s="14" t="s">
        <v>17</v>
      </c>
    </row>
    <row r="3" spans="2:13">
      <c r="B3" s="4">
        <v>1</v>
      </c>
      <c r="C3" s="5" t="s">
        <v>2</v>
      </c>
      <c r="D3" s="6" t="s">
        <v>18</v>
      </c>
      <c r="E3" s="7" t="s">
        <v>19</v>
      </c>
      <c r="F3" s="7" t="s">
        <v>20</v>
      </c>
      <c r="G3" s="7" t="s">
        <v>21</v>
      </c>
      <c r="H3" s="8">
        <v>88033</v>
      </c>
      <c r="I3" s="8">
        <v>3553104</v>
      </c>
      <c r="J3" s="15">
        <v>44074</v>
      </c>
      <c r="K3" s="16" t="s">
        <v>22</v>
      </c>
      <c r="L3" s="17" t="s">
        <v>23</v>
      </c>
      <c r="M3" s="18"/>
    </row>
    <row r="4" spans="2:13">
      <c r="B4" s="4">
        <v>2</v>
      </c>
      <c r="C4" s="5" t="s">
        <v>2</v>
      </c>
      <c r="D4" s="9"/>
      <c r="E4" s="9"/>
      <c r="F4" s="9"/>
      <c r="G4" s="9"/>
      <c r="H4" s="5"/>
      <c r="I4" s="5"/>
      <c r="J4" s="15">
        <v>44074</v>
      </c>
      <c r="K4" s="16" t="s">
        <v>22</v>
      </c>
      <c r="L4" s="17" t="s">
        <v>23</v>
      </c>
      <c r="M4" s="18"/>
    </row>
    <row r="5" spans="2:13">
      <c r="B5" s="4">
        <v>3</v>
      </c>
      <c r="C5" s="5" t="s">
        <v>2</v>
      </c>
      <c r="D5" s="9"/>
      <c r="E5" s="9"/>
      <c r="F5" s="9"/>
      <c r="G5" s="9"/>
      <c r="H5" s="5"/>
      <c r="I5" s="5"/>
      <c r="J5" s="15">
        <v>44074</v>
      </c>
      <c r="K5" s="16" t="s">
        <v>22</v>
      </c>
      <c r="L5" s="17" t="s">
        <v>23</v>
      </c>
      <c r="M5" s="18"/>
    </row>
    <row r="6" spans="2:13">
      <c r="B6" s="4">
        <v>4</v>
      </c>
      <c r="C6" s="5" t="s">
        <v>2</v>
      </c>
      <c r="D6" s="9"/>
      <c r="E6" s="9"/>
      <c r="F6" s="9"/>
      <c r="G6" s="9"/>
      <c r="H6" s="5"/>
      <c r="I6" s="5"/>
      <c r="J6" s="15">
        <v>44074</v>
      </c>
      <c r="K6" s="16" t="s">
        <v>22</v>
      </c>
      <c r="L6" s="17" t="s">
        <v>23</v>
      </c>
      <c r="M6" s="18"/>
    </row>
    <row r="7" spans="2:13">
      <c r="B7" s="4">
        <v>5</v>
      </c>
      <c r="C7" s="5" t="s">
        <v>2</v>
      </c>
      <c r="D7" s="9"/>
      <c r="E7" s="9"/>
      <c r="F7" s="9"/>
      <c r="G7" s="9"/>
      <c r="H7" s="5"/>
      <c r="I7" s="5"/>
      <c r="J7" s="15">
        <v>44074</v>
      </c>
      <c r="K7" s="16" t="s">
        <v>22</v>
      </c>
      <c r="L7" s="17" t="s">
        <v>23</v>
      </c>
      <c r="M7" s="18"/>
    </row>
    <row r="8" spans="2:13">
      <c r="B8" s="4">
        <v>6</v>
      </c>
      <c r="C8" s="5" t="s">
        <v>2</v>
      </c>
      <c r="D8" s="9"/>
      <c r="E8" s="9"/>
      <c r="F8" s="9"/>
      <c r="G8" s="9"/>
      <c r="H8" s="5"/>
      <c r="I8" s="5"/>
      <c r="J8" s="15">
        <v>44074</v>
      </c>
      <c r="K8" s="16" t="s">
        <v>22</v>
      </c>
      <c r="L8" s="17" t="s">
        <v>23</v>
      </c>
      <c r="M8" s="18"/>
    </row>
    <row r="9" spans="2:13">
      <c r="B9" s="4">
        <v>7</v>
      </c>
      <c r="C9" s="5" t="s">
        <v>2</v>
      </c>
      <c r="D9" s="9"/>
      <c r="E9" s="9"/>
      <c r="F9" s="9"/>
      <c r="G9" s="9"/>
      <c r="H9" s="5"/>
      <c r="I9" s="5"/>
      <c r="J9" s="15">
        <v>44074</v>
      </c>
      <c r="K9" s="16" t="s">
        <v>22</v>
      </c>
      <c r="L9" s="17" t="s">
        <v>23</v>
      </c>
      <c r="M9" s="18"/>
    </row>
    <row r="10" spans="2:13">
      <c r="B10" s="4">
        <v>8</v>
      </c>
      <c r="C10" s="5" t="s">
        <v>2</v>
      </c>
      <c r="D10" s="9"/>
      <c r="E10" s="9"/>
      <c r="F10" s="9"/>
      <c r="G10" s="9"/>
      <c r="H10" s="5"/>
      <c r="I10" s="5"/>
      <c r="J10" s="15">
        <v>44074</v>
      </c>
      <c r="K10" s="16" t="s">
        <v>22</v>
      </c>
      <c r="L10" s="17" t="s">
        <v>23</v>
      </c>
      <c r="M10" s="18"/>
    </row>
    <row r="11" spans="2:13">
      <c r="B11" s="4">
        <v>9</v>
      </c>
      <c r="C11" s="5" t="s">
        <v>2</v>
      </c>
      <c r="D11" s="9"/>
      <c r="E11" s="9"/>
      <c r="F11" s="9"/>
      <c r="G11" s="9"/>
      <c r="H11" s="5"/>
      <c r="I11" s="5"/>
      <c r="J11" s="15">
        <v>44074</v>
      </c>
      <c r="K11" s="16" t="s">
        <v>22</v>
      </c>
      <c r="L11" s="17" t="s">
        <v>23</v>
      </c>
      <c r="M11" s="18"/>
    </row>
    <row r="12" spans="2:13">
      <c r="B12" s="4">
        <v>10</v>
      </c>
      <c r="C12" s="5" t="s">
        <v>2</v>
      </c>
      <c r="D12" s="6" t="s">
        <v>18</v>
      </c>
      <c r="E12" s="7" t="s">
        <v>19</v>
      </c>
      <c r="F12" s="7" t="s">
        <v>20</v>
      </c>
      <c r="G12" s="7" t="s">
        <v>21</v>
      </c>
      <c r="H12" s="8">
        <v>88033</v>
      </c>
      <c r="I12" s="8">
        <v>3553104</v>
      </c>
      <c r="J12" s="15">
        <v>44074</v>
      </c>
      <c r="K12" s="16" t="s">
        <v>22</v>
      </c>
      <c r="L12" s="17" t="s">
        <v>24</v>
      </c>
      <c r="M12" s="18"/>
    </row>
    <row r="13" spans="2:13">
      <c r="B13" s="4">
        <v>11</v>
      </c>
      <c r="C13" s="5" t="s">
        <v>2</v>
      </c>
      <c r="D13" s="6"/>
      <c r="E13" s="7"/>
      <c r="F13" s="7"/>
      <c r="G13" s="7"/>
      <c r="H13" s="8"/>
      <c r="I13" s="8"/>
      <c r="J13" s="15">
        <v>44074</v>
      </c>
      <c r="K13" s="16" t="s">
        <v>22</v>
      </c>
      <c r="L13" s="17" t="s">
        <v>24</v>
      </c>
      <c r="M13" s="18"/>
    </row>
    <row r="14" spans="2:13">
      <c r="B14" s="4">
        <v>12</v>
      </c>
      <c r="C14" s="5" t="s">
        <v>2</v>
      </c>
      <c r="D14" s="9"/>
      <c r="E14" s="9"/>
      <c r="F14" s="9"/>
      <c r="G14" s="9"/>
      <c r="H14" s="5"/>
      <c r="I14" s="5"/>
      <c r="J14" s="15">
        <v>44074</v>
      </c>
      <c r="K14" s="16" t="s">
        <v>22</v>
      </c>
      <c r="L14" s="17" t="s">
        <v>24</v>
      </c>
      <c r="M14" s="18"/>
    </row>
    <row r="15" spans="2:13">
      <c r="B15" s="4">
        <v>13</v>
      </c>
      <c r="C15" s="5" t="s">
        <v>2</v>
      </c>
      <c r="D15" s="9"/>
      <c r="E15" s="9"/>
      <c r="F15" s="9"/>
      <c r="G15" s="9"/>
      <c r="H15" s="5"/>
      <c r="I15" s="5"/>
      <c r="J15" s="15">
        <v>44074</v>
      </c>
      <c r="K15" s="16" t="s">
        <v>22</v>
      </c>
      <c r="L15" s="17" t="s">
        <v>24</v>
      </c>
      <c r="M15" s="18"/>
    </row>
    <row r="16" spans="2:13">
      <c r="B16" s="4">
        <v>14</v>
      </c>
      <c r="C16" s="5" t="s">
        <v>2</v>
      </c>
      <c r="D16" s="9"/>
      <c r="E16" s="9"/>
      <c r="F16" s="9"/>
      <c r="G16" s="9"/>
      <c r="H16" s="5"/>
      <c r="I16" s="5"/>
      <c r="J16" s="15">
        <v>44074</v>
      </c>
      <c r="K16" s="16" t="s">
        <v>22</v>
      </c>
      <c r="L16" s="17" t="s">
        <v>24</v>
      </c>
      <c r="M16" s="18"/>
    </row>
    <row r="17" ht="15.75" customHeight="1" spans="2:13">
      <c r="B17" s="4">
        <v>15</v>
      </c>
      <c r="C17" s="5" t="s">
        <v>2</v>
      </c>
      <c r="D17" s="9"/>
      <c r="E17" s="9"/>
      <c r="F17" s="9"/>
      <c r="G17" s="9"/>
      <c r="H17" s="5"/>
      <c r="I17" s="5"/>
      <c r="J17" s="15">
        <v>44074</v>
      </c>
      <c r="K17" s="16" t="s">
        <v>22</v>
      </c>
      <c r="L17" s="17" t="s">
        <v>24</v>
      </c>
      <c r="M17" s="18"/>
    </row>
    <row r="18" spans="2:13">
      <c r="B18" s="4">
        <v>16</v>
      </c>
      <c r="C18" s="5" t="s">
        <v>2</v>
      </c>
      <c r="D18" s="9"/>
      <c r="E18" s="9"/>
      <c r="F18" s="9"/>
      <c r="G18" s="9"/>
      <c r="H18" s="5"/>
      <c r="I18" s="5"/>
      <c r="J18" s="15">
        <v>44074</v>
      </c>
      <c r="K18" s="16" t="s">
        <v>22</v>
      </c>
      <c r="L18" s="17" t="s">
        <v>24</v>
      </c>
      <c r="M18" s="18"/>
    </row>
    <row r="19" spans="2:13">
      <c r="B19" s="4">
        <v>17</v>
      </c>
      <c r="C19" s="5" t="s">
        <v>2</v>
      </c>
      <c r="D19" s="9"/>
      <c r="E19" s="9"/>
      <c r="F19" s="9"/>
      <c r="G19" s="9"/>
      <c r="H19" s="5"/>
      <c r="I19" s="5"/>
      <c r="J19" s="15">
        <v>44074</v>
      </c>
      <c r="K19" s="16" t="s">
        <v>22</v>
      </c>
      <c r="L19" s="17" t="s">
        <v>24</v>
      </c>
      <c r="M19" s="18"/>
    </row>
    <row r="20" spans="2:13">
      <c r="B20" s="4">
        <v>18</v>
      </c>
      <c r="C20" s="5" t="s">
        <v>2</v>
      </c>
      <c r="D20" s="9"/>
      <c r="E20" s="9"/>
      <c r="F20" s="9"/>
      <c r="G20" s="9"/>
      <c r="H20" s="5"/>
      <c r="I20" s="5"/>
      <c r="J20" s="15">
        <v>44074</v>
      </c>
      <c r="K20" s="16" t="s">
        <v>22</v>
      </c>
      <c r="L20" s="17" t="s">
        <v>24</v>
      </c>
      <c r="M20" s="18"/>
    </row>
    <row r="21" spans="2:13">
      <c r="B21" s="4">
        <v>19</v>
      </c>
      <c r="C21" s="5" t="s">
        <v>2</v>
      </c>
      <c r="D21" s="9"/>
      <c r="E21" s="9"/>
      <c r="F21" s="9"/>
      <c r="G21" s="9"/>
      <c r="H21" s="5"/>
      <c r="I21" s="5"/>
      <c r="J21" s="15">
        <v>44074</v>
      </c>
      <c r="K21" s="16" t="s">
        <v>22</v>
      </c>
      <c r="L21" s="17" t="s">
        <v>24</v>
      </c>
      <c r="M21" s="18"/>
    </row>
    <row r="22" spans="2:13">
      <c r="B22" s="4">
        <v>20</v>
      </c>
      <c r="C22" s="5" t="s">
        <v>2</v>
      </c>
      <c r="D22" s="9"/>
      <c r="E22" s="9"/>
      <c r="F22" s="9"/>
      <c r="G22" s="9"/>
      <c r="H22" s="5"/>
      <c r="I22" s="5"/>
      <c r="J22" s="15">
        <v>44074</v>
      </c>
      <c r="K22" s="16" t="s">
        <v>22</v>
      </c>
      <c r="L22" s="17" t="s">
        <v>24</v>
      </c>
      <c r="M22" s="18"/>
    </row>
    <row r="23" spans="2:13">
      <c r="B23" s="4">
        <v>21</v>
      </c>
      <c r="C23" s="5" t="s">
        <v>2</v>
      </c>
      <c r="D23" s="9"/>
      <c r="E23" s="9"/>
      <c r="F23" s="9"/>
      <c r="G23" s="9"/>
      <c r="H23" s="5"/>
      <c r="I23" s="5"/>
      <c r="J23" s="15">
        <v>44074</v>
      </c>
      <c r="K23" s="16" t="s">
        <v>22</v>
      </c>
      <c r="L23" s="17" t="s">
        <v>25</v>
      </c>
      <c r="M23" s="18"/>
    </row>
    <row r="24" spans="2:13">
      <c r="B24" s="4">
        <v>22</v>
      </c>
      <c r="C24" s="5" t="s">
        <v>2</v>
      </c>
      <c r="D24" s="9"/>
      <c r="E24" s="9"/>
      <c r="F24" s="9"/>
      <c r="G24" s="9"/>
      <c r="H24" s="5"/>
      <c r="I24" s="5"/>
      <c r="J24" s="15">
        <v>44074</v>
      </c>
      <c r="K24" s="16" t="s">
        <v>22</v>
      </c>
      <c r="L24" s="17" t="s">
        <v>25</v>
      </c>
      <c r="M24" s="18"/>
    </row>
    <row r="25" spans="2:13">
      <c r="B25" s="4">
        <v>23</v>
      </c>
      <c r="C25" s="5" t="s">
        <v>2</v>
      </c>
      <c r="D25" s="9"/>
      <c r="E25" s="9"/>
      <c r="F25" s="9"/>
      <c r="G25" s="9"/>
      <c r="H25" s="5"/>
      <c r="I25" s="5"/>
      <c r="J25" s="15">
        <v>44074</v>
      </c>
      <c r="K25" s="16" t="s">
        <v>22</v>
      </c>
      <c r="L25" s="17" t="s">
        <v>25</v>
      </c>
      <c r="M25" s="18"/>
    </row>
    <row r="26" spans="2:13">
      <c r="B26" s="4">
        <v>24</v>
      </c>
      <c r="C26" s="5" t="s">
        <v>2</v>
      </c>
      <c r="D26" s="9"/>
      <c r="E26" s="9"/>
      <c r="F26" s="9"/>
      <c r="G26" s="9"/>
      <c r="H26" s="5"/>
      <c r="I26" s="5"/>
      <c r="J26" s="15">
        <v>44074</v>
      </c>
      <c r="K26" s="16" t="s">
        <v>22</v>
      </c>
      <c r="L26" s="17" t="s">
        <v>25</v>
      </c>
      <c r="M26" s="18"/>
    </row>
    <row r="27" spans="2:13">
      <c r="B27" s="4">
        <v>25</v>
      </c>
      <c r="C27" s="5" t="s">
        <v>2</v>
      </c>
      <c r="D27" s="9"/>
      <c r="E27" s="9"/>
      <c r="F27" s="9"/>
      <c r="G27" s="9"/>
      <c r="H27" s="5"/>
      <c r="I27" s="5"/>
      <c r="J27" s="15">
        <v>44074</v>
      </c>
      <c r="K27" s="16" t="s">
        <v>22</v>
      </c>
      <c r="L27" s="17" t="s">
        <v>25</v>
      </c>
      <c r="M27" s="18"/>
    </row>
    <row r="28" spans="2:13">
      <c r="B28" s="4">
        <v>26</v>
      </c>
      <c r="C28" s="5" t="s">
        <v>2</v>
      </c>
      <c r="D28" s="9"/>
      <c r="E28" s="9"/>
      <c r="F28" s="9"/>
      <c r="G28" s="9"/>
      <c r="H28" s="5"/>
      <c r="I28" s="5"/>
      <c r="J28" s="15">
        <v>44074</v>
      </c>
      <c r="K28" s="16" t="s">
        <v>22</v>
      </c>
      <c r="L28" s="17" t="s">
        <v>25</v>
      </c>
      <c r="M28" s="18"/>
    </row>
    <row r="29" spans="2:13">
      <c r="B29" s="4">
        <v>27</v>
      </c>
      <c r="C29" s="5" t="s">
        <v>2</v>
      </c>
      <c r="D29" s="9"/>
      <c r="E29" s="9"/>
      <c r="F29" s="9"/>
      <c r="G29" s="9"/>
      <c r="H29" s="5"/>
      <c r="I29" s="5"/>
      <c r="J29" s="15">
        <v>44074</v>
      </c>
      <c r="K29" s="16" t="s">
        <v>22</v>
      </c>
      <c r="L29" s="17" t="s">
        <v>25</v>
      </c>
      <c r="M29" s="18"/>
    </row>
    <row r="30" spans="2:13">
      <c r="B30" s="4">
        <v>28</v>
      </c>
      <c r="C30" s="5" t="s">
        <v>2</v>
      </c>
      <c r="D30" s="9"/>
      <c r="E30" s="9"/>
      <c r="F30" s="9"/>
      <c r="G30" s="9"/>
      <c r="H30" s="5"/>
      <c r="I30" s="5"/>
      <c r="J30" s="15">
        <v>44074</v>
      </c>
      <c r="K30" s="16" t="s">
        <v>22</v>
      </c>
      <c r="L30" s="17" t="s">
        <v>25</v>
      </c>
      <c r="M30" s="18"/>
    </row>
    <row r="31" spans="2:13">
      <c r="B31" s="4">
        <v>29</v>
      </c>
      <c r="C31" s="5" t="s">
        <v>2</v>
      </c>
      <c r="D31" s="9"/>
      <c r="E31" s="9"/>
      <c r="F31" s="9"/>
      <c r="G31" s="9"/>
      <c r="H31" s="5"/>
      <c r="I31" s="5"/>
      <c r="J31" s="15">
        <v>44074</v>
      </c>
      <c r="K31" s="16" t="s">
        <v>22</v>
      </c>
      <c r="L31" s="17" t="s">
        <v>25</v>
      </c>
      <c r="M31" s="18"/>
    </row>
    <row r="32" spans="2:13">
      <c r="B32" s="4">
        <v>30</v>
      </c>
      <c r="C32" s="5" t="s">
        <v>2</v>
      </c>
      <c r="D32" s="10" t="s">
        <v>18</v>
      </c>
      <c r="E32" s="8" t="s">
        <v>26</v>
      </c>
      <c r="F32" s="8" t="s">
        <v>27</v>
      </c>
      <c r="G32" s="8" t="s">
        <v>28</v>
      </c>
      <c r="H32" s="8">
        <v>83489</v>
      </c>
      <c r="I32" s="8">
        <v>2490376</v>
      </c>
      <c r="J32" s="15">
        <v>44074</v>
      </c>
      <c r="K32" s="16" t="s">
        <v>22</v>
      </c>
      <c r="L32" s="17" t="s">
        <v>25</v>
      </c>
      <c r="M32" s="18"/>
    </row>
    <row r="33" spans="2:13">
      <c r="B33" s="4">
        <v>31</v>
      </c>
      <c r="C33" s="5" t="s">
        <v>2</v>
      </c>
      <c r="D33" s="10" t="s">
        <v>29</v>
      </c>
      <c r="E33" s="8" t="s">
        <v>30</v>
      </c>
      <c r="F33" s="8" t="s">
        <v>31</v>
      </c>
      <c r="G33" s="8" t="s">
        <v>32</v>
      </c>
      <c r="H33" s="8">
        <v>87045</v>
      </c>
      <c r="I33" s="8">
        <v>3409666</v>
      </c>
      <c r="J33" s="15">
        <v>44074</v>
      </c>
      <c r="K33" s="16" t="s">
        <v>22</v>
      </c>
      <c r="L33" s="17" t="s">
        <v>33</v>
      </c>
      <c r="M33" s="18"/>
    </row>
    <row r="34" spans="2:13">
      <c r="B34" s="4">
        <v>32</v>
      </c>
      <c r="C34" s="5" t="s">
        <v>2</v>
      </c>
      <c r="D34" s="10" t="s">
        <v>18</v>
      </c>
      <c r="E34" s="8" t="s">
        <v>26</v>
      </c>
      <c r="F34" s="8" t="s">
        <v>27</v>
      </c>
      <c r="G34" s="8" t="s">
        <v>28</v>
      </c>
      <c r="H34" s="8">
        <v>83489</v>
      </c>
      <c r="I34" s="8">
        <v>2490376</v>
      </c>
      <c r="J34" s="15">
        <v>44074</v>
      </c>
      <c r="K34" s="16" t="s">
        <v>22</v>
      </c>
      <c r="L34" s="17" t="s">
        <v>33</v>
      </c>
      <c r="M34" s="18"/>
    </row>
    <row r="35" spans="2:13">
      <c r="B35" s="4">
        <v>33</v>
      </c>
      <c r="C35" s="5" t="s">
        <v>2</v>
      </c>
      <c r="D35" s="9"/>
      <c r="E35" s="9"/>
      <c r="F35" s="9"/>
      <c r="G35" s="9"/>
      <c r="H35" s="5"/>
      <c r="I35" s="5"/>
      <c r="J35" s="15">
        <v>44074</v>
      </c>
      <c r="K35" s="16" t="s">
        <v>22</v>
      </c>
      <c r="L35" s="17" t="s">
        <v>33</v>
      </c>
      <c r="M35" s="18"/>
    </row>
    <row r="36" spans="2:13">
      <c r="B36" s="4">
        <v>34</v>
      </c>
      <c r="C36" s="5" t="s">
        <v>2</v>
      </c>
      <c r="D36" s="9"/>
      <c r="E36" s="9"/>
      <c r="F36" s="9"/>
      <c r="G36" s="9"/>
      <c r="H36" s="5"/>
      <c r="I36" s="5"/>
      <c r="J36" s="15">
        <v>44074</v>
      </c>
      <c r="K36" s="16" t="s">
        <v>22</v>
      </c>
      <c r="L36" s="17" t="s">
        <v>33</v>
      </c>
      <c r="M36" s="18"/>
    </row>
    <row r="37" spans="2:13">
      <c r="B37" s="4">
        <v>35</v>
      </c>
      <c r="C37" s="5" t="s">
        <v>2</v>
      </c>
      <c r="D37" s="9"/>
      <c r="E37" s="9"/>
      <c r="F37" s="9"/>
      <c r="G37" s="9"/>
      <c r="H37" s="5"/>
      <c r="I37" s="5"/>
      <c r="J37" s="15">
        <v>44074</v>
      </c>
      <c r="K37" s="16" t="s">
        <v>22</v>
      </c>
      <c r="L37" s="17" t="s">
        <v>33</v>
      </c>
      <c r="M37" s="18"/>
    </row>
    <row r="38" spans="2:13">
      <c r="B38" s="4">
        <v>36</v>
      </c>
      <c r="C38" s="5" t="s">
        <v>2</v>
      </c>
      <c r="D38" s="6" t="s">
        <v>18</v>
      </c>
      <c r="E38" s="7" t="s">
        <v>19</v>
      </c>
      <c r="F38" s="7" t="s">
        <v>20</v>
      </c>
      <c r="G38" s="7" t="s">
        <v>21</v>
      </c>
      <c r="H38" s="8">
        <v>88033</v>
      </c>
      <c r="I38" s="8">
        <v>3553104</v>
      </c>
      <c r="J38" s="15">
        <v>44075</v>
      </c>
      <c r="K38" s="16" t="s">
        <v>22</v>
      </c>
      <c r="L38" s="17" t="s">
        <v>23</v>
      </c>
      <c r="M38" s="18"/>
    </row>
    <row r="39" spans="2:13">
      <c r="B39" s="4">
        <v>37</v>
      </c>
      <c r="C39" s="5" t="s">
        <v>2</v>
      </c>
      <c r="D39" s="8" t="s">
        <v>18</v>
      </c>
      <c r="E39" s="8" t="s">
        <v>19</v>
      </c>
      <c r="F39" s="8" t="s">
        <v>34</v>
      </c>
      <c r="G39" s="8" t="s">
        <v>35</v>
      </c>
      <c r="H39" s="8">
        <v>88034</v>
      </c>
      <c r="I39" s="8">
        <v>3553109</v>
      </c>
      <c r="J39" s="15">
        <v>44075</v>
      </c>
      <c r="K39" s="16" t="s">
        <v>22</v>
      </c>
      <c r="L39" s="17" t="s">
        <v>23</v>
      </c>
      <c r="M39" s="18"/>
    </row>
    <row r="40" spans="2:13">
      <c r="B40" s="4">
        <v>38</v>
      </c>
      <c r="C40" s="5" t="s">
        <v>2</v>
      </c>
      <c r="D40" s="9"/>
      <c r="E40" s="9"/>
      <c r="F40" s="9"/>
      <c r="G40" s="9"/>
      <c r="H40" s="5"/>
      <c r="I40" s="5"/>
      <c r="J40" s="15">
        <v>44075</v>
      </c>
      <c r="K40" s="16" t="s">
        <v>22</v>
      </c>
      <c r="L40" s="17" t="s">
        <v>23</v>
      </c>
      <c r="M40" s="18"/>
    </row>
    <row r="41" spans="2:13">
      <c r="B41" s="4">
        <v>39</v>
      </c>
      <c r="C41" s="5" t="s">
        <v>2</v>
      </c>
      <c r="D41" s="6" t="s">
        <v>18</v>
      </c>
      <c r="E41" s="7" t="s">
        <v>19</v>
      </c>
      <c r="F41" s="7" t="s">
        <v>20</v>
      </c>
      <c r="G41" s="7" t="s">
        <v>21</v>
      </c>
      <c r="H41" s="8">
        <v>88033</v>
      </c>
      <c r="I41" s="8">
        <v>3553104</v>
      </c>
      <c r="J41" s="15">
        <v>44075</v>
      </c>
      <c r="K41" s="16" t="s">
        <v>22</v>
      </c>
      <c r="L41" s="17" t="s">
        <v>24</v>
      </c>
      <c r="M41" s="18"/>
    </row>
    <row r="42" spans="2:13">
      <c r="B42" s="4">
        <v>40</v>
      </c>
      <c r="C42" s="5" t="s">
        <v>2</v>
      </c>
      <c r="D42" s="8" t="s">
        <v>18</v>
      </c>
      <c r="E42" s="8" t="s">
        <v>19</v>
      </c>
      <c r="F42" s="8" t="s">
        <v>34</v>
      </c>
      <c r="G42" s="8" t="s">
        <v>35</v>
      </c>
      <c r="H42" s="8">
        <v>88034</v>
      </c>
      <c r="I42" s="8">
        <v>3553109</v>
      </c>
      <c r="J42" s="15">
        <v>44075</v>
      </c>
      <c r="K42" s="16" t="s">
        <v>22</v>
      </c>
      <c r="L42" s="17" t="s">
        <v>24</v>
      </c>
      <c r="M42" s="18"/>
    </row>
    <row r="43" spans="2:13">
      <c r="B43" s="4">
        <v>41</v>
      </c>
      <c r="C43" s="5" t="s">
        <v>2</v>
      </c>
      <c r="D43" s="9"/>
      <c r="E43" s="9"/>
      <c r="F43" s="9"/>
      <c r="G43" s="9"/>
      <c r="H43" s="5"/>
      <c r="I43" s="5"/>
      <c r="J43" s="15">
        <v>44075</v>
      </c>
      <c r="K43" s="16" t="s">
        <v>22</v>
      </c>
      <c r="L43" s="17" t="s">
        <v>24</v>
      </c>
      <c r="M43" s="18"/>
    </row>
    <row r="44" spans="2:13">
      <c r="B44" s="4">
        <v>42</v>
      </c>
      <c r="C44" s="5" t="s">
        <v>2</v>
      </c>
      <c r="D44" s="9"/>
      <c r="E44" s="9"/>
      <c r="F44" s="9"/>
      <c r="G44" s="9"/>
      <c r="H44" s="5"/>
      <c r="I44" s="5"/>
      <c r="J44" s="15">
        <v>44075</v>
      </c>
      <c r="K44" s="16" t="s">
        <v>22</v>
      </c>
      <c r="L44" s="17" t="s">
        <v>24</v>
      </c>
      <c r="M44" s="18"/>
    </row>
    <row r="45" spans="2:13">
      <c r="B45" s="4">
        <v>43</v>
      </c>
      <c r="C45" s="5" t="s">
        <v>2</v>
      </c>
      <c r="D45" s="10" t="s">
        <v>18</v>
      </c>
      <c r="E45" s="8" t="s">
        <v>19</v>
      </c>
      <c r="F45" s="8" t="s">
        <v>36</v>
      </c>
      <c r="G45" s="8" t="s">
        <v>37</v>
      </c>
      <c r="H45" s="8">
        <v>60260</v>
      </c>
      <c r="I45" s="8">
        <v>433236</v>
      </c>
      <c r="J45" s="15">
        <v>44075</v>
      </c>
      <c r="K45" s="16" t="s">
        <v>22</v>
      </c>
      <c r="L45" s="17" t="s">
        <v>25</v>
      </c>
      <c r="M45" s="18"/>
    </row>
    <row r="46" spans="2:13">
      <c r="B46" s="4">
        <v>44</v>
      </c>
      <c r="C46" s="5" t="s">
        <v>2</v>
      </c>
      <c r="D46" s="9"/>
      <c r="E46" s="9"/>
      <c r="F46" s="9"/>
      <c r="G46" s="9"/>
      <c r="H46" s="5"/>
      <c r="I46" s="5"/>
      <c r="J46" s="15">
        <v>44075</v>
      </c>
      <c r="K46" s="16" t="s">
        <v>22</v>
      </c>
      <c r="L46" s="17" t="s">
        <v>25</v>
      </c>
      <c r="M46" s="18"/>
    </row>
    <row r="47" spans="2:13">
      <c r="B47" s="4">
        <v>45</v>
      </c>
      <c r="C47" s="5" t="s">
        <v>2</v>
      </c>
      <c r="D47" s="9"/>
      <c r="E47" s="9"/>
      <c r="F47" s="9"/>
      <c r="G47" s="9"/>
      <c r="H47" s="5"/>
      <c r="I47" s="5"/>
      <c r="J47" s="15">
        <v>44075</v>
      </c>
      <c r="K47" s="16" t="s">
        <v>22</v>
      </c>
      <c r="L47" s="17" t="s">
        <v>25</v>
      </c>
      <c r="M47" s="18"/>
    </row>
    <row r="48" spans="2:13">
      <c r="B48" s="4">
        <v>46</v>
      </c>
      <c r="C48" s="5" t="s">
        <v>2</v>
      </c>
      <c r="D48" s="10" t="s">
        <v>18</v>
      </c>
      <c r="E48" s="8" t="s">
        <v>26</v>
      </c>
      <c r="F48" s="8" t="s">
        <v>27</v>
      </c>
      <c r="G48" s="8" t="s">
        <v>28</v>
      </c>
      <c r="H48" s="8">
        <v>83489</v>
      </c>
      <c r="I48" s="8">
        <v>2490376</v>
      </c>
      <c r="J48" s="15">
        <v>44075</v>
      </c>
      <c r="K48" s="16" t="s">
        <v>22</v>
      </c>
      <c r="L48" s="17" t="s">
        <v>25</v>
      </c>
      <c r="M48" s="18"/>
    </row>
    <row r="49" spans="2:13">
      <c r="B49" s="4">
        <v>47</v>
      </c>
      <c r="C49" s="5" t="s">
        <v>2</v>
      </c>
      <c r="D49" s="10" t="s">
        <v>29</v>
      </c>
      <c r="E49" s="8" t="s">
        <v>30</v>
      </c>
      <c r="F49" s="8" t="s">
        <v>31</v>
      </c>
      <c r="G49" s="8" t="s">
        <v>32</v>
      </c>
      <c r="H49" s="8">
        <v>87045</v>
      </c>
      <c r="I49" s="8">
        <v>3409666</v>
      </c>
      <c r="J49" s="15">
        <v>44075</v>
      </c>
      <c r="K49" s="16" t="s">
        <v>22</v>
      </c>
      <c r="L49" s="17" t="s">
        <v>33</v>
      </c>
      <c r="M49" s="18"/>
    </row>
    <row r="50" spans="2:13">
      <c r="B50" s="4">
        <v>48</v>
      </c>
      <c r="C50" s="5" t="s">
        <v>2</v>
      </c>
      <c r="D50" s="10" t="s">
        <v>18</v>
      </c>
      <c r="E50" s="8" t="s">
        <v>26</v>
      </c>
      <c r="F50" s="8" t="s">
        <v>27</v>
      </c>
      <c r="G50" s="8" t="s">
        <v>28</v>
      </c>
      <c r="H50" s="8">
        <v>83489</v>
      </c>
      <c r="I50" s="8">
        <v>2490376</v>
      </c>
      <c r="J50" s="15">
        <v>44075</v>
      </c>
      <c r="K50" s="16" t="s">
        <v>22</v>
      </c>
      <c r="L50" s="17" t="s">
        <v>33</v>
      </c>
      <c r="M50" s="18"/>
    </row>
    <row r="51" spans="2:13">
      <c r="B51" s="4">
        <v>49</v>
      </c>
      <c r="C51" s="5" t="s">
        <v>2</v>
      </c>
      <c r="D51" s="9"/>
      <c r="E51" s="9"/>
      <c r="F51" s="9"/>
      <c r="G51" s="9"/>
      <c r="H51" s="5"/>
      <c r="I51" s="5"/>
      <c r="J51" s="15">
        <v>44076</v>
      </c>
      <c r="K51" s="16" t="s">
        <v>22</v>
      </c>
      <c r="L51" s="17" t="s">
        <v>38</v>
      </c>
      <c r="M51" s="18"/>
    </row>
    <row r="52" spans="2:13">
      <c r="B52" s="4">
        <v>50</v>
      </c>
      <c r="C52" s="5" t="s">
        <v>2</v>
      </c>
      <c r="D52" s="10" t="s">
        <v>29</v>
      </c>
      <c r="E52" s="8" t="s">
        <v>30</v>
      </c>
      <c r="F52" s="8" t="s">
        <v>39</v>
      </c>
      <c r="G52" s="8" t="s">
        <v>40</v>
      </c>
      <c r="H52" s="8">
        <v>87054</v>
      </c>
      <c r="I52" s="8">
        <v>3409729</v>
      </c>
      <c r="J52" s="15">
        <v>44076</v>
      </c>
      <c r="K52" s="16" t="s">
        <v>22</v>
      </c>
      <c r="L52" s="17" t="s">
        <v>38</v>
      </c>
      <c r="M52" s="18"/>
    </row>
    <row r="53" spans="2:13">
      <c r="B53" s="4">
        <v>51</v>
      </c>
      <c r="C53" s="5" t="s">
        <v>2</v>
      </c>
      <c r="D53" s="9"/>
      <c r="E53" s="9"/>
      <c r="F53" s="9"/>
      <c r="G53" s="9"/>
      <c r="H53" s="5"/>
      <c r="I53" s="5"/>
      <c r="J53" s="15">
        <v>44076</v>
      </c>
      <c r="K53" s="16" t="s">
        <v>22</v>
      </c>
      <c r="L53" s="17" t="s">
        <v>38</v>
      </c>
      <c r="M53" s="18"/>
    </row>
    <row r="54" spans="2:13">
      <c r="B54" s="4">
        <v>52</v>
      </c>
      <c r="C54" s="5" t="s">
        <v>2</v>
      </c>
      <c r="D54" s="9"/>
      <c r="E54" s="9"/>
      <c r="F54" s="9"/>
      <c r="G54" s="9"/>
      <c r="H54" s="5"/>
      <c r="I54" s="5"/>
      <c r="J54" s="15">
        <v>44076</v>
      </c>
      <c r="K54" s="16" t="s">
        <v>22</v>
      </c>
      <c r="L54" s="17" t="s">
        <v>38</v>
      </c>
      <c r="M54" s="18"/>
    </row>
    <row r="55" spans="2:13">
      <c r="B55" s="4">
        <v>53</v>
      </c>
      <c r="C55" s="5" t="s">
        <v>2</v>
      </c>
      <c r="D55" s="9"/>
      <c r="E55" s="9"/>
      <c r="F55" s="9"/>
      <c r="G55" s="9"/>
      <c r="H55" s="5"/>
      <c r="I55" s="5"/>
      <c r="J55" s="15">
        <v>44076</v>
      </c>
      <c r="K55" s="16" t="s">
        <v>22</v>
      </c>
      <c r="L55" s="17" t="s">
        <v>38</v>
      </c>
      <c r="M55" s="18"/>
    </row>
    <row r="56" spans="2:13">
      <c r="B56" s="4">
        <v>54</v>
      </c>
      <c r="C56" s="5" t="s">
        <v>2</v>
      </c>
      <c r="D56" s="10" t="s">
        <v>29</v>
      </c>
      <c r="E56" s="8" t="s">
        <v>30</v>
      </c>
      <c r="F56" s="8" t="s">
        <v>39</v>
      </c>
      <c r="G56" s="8" t="s">
        <v>40</v>
      </c>
      <c r="H56" s="8">
        <v>87054</v>
      </c>
      <c r="I56" s="8">
        <v>3409729</v>
      </c>
      <c r="J56" s="15">
        <v>44076</v>
      </c>
      <c r="K56" s="16" t="s">
        <v>22</v>
      </c>
      <c r="L56" s="17" t="s">
        <v>41</v>
      </c>
      <c r="M56" s="18"/>
    </row>
    <row r="57" spans="2:13">
      <c r="B57" s="4">
        <v>55</v>
      </c>
      <c r="C57" s="5" t="s">
        <v>2</v>
      </c>
      <c r="D57" s="9"/>
      <c r="E57" s="9"/>
      <c r="F57" s="9"/>
      <c r="G57" s="9"/>
      <c r="H57" s="5"/>
      <c r="I57" s="5"/>
      <c r="J57" s="15">
        <v>44076</v>
      </c>
      <c r="K57" s="16" t="s">
        <v>22</v>
      </c>
      <c r="L57" s="17" t="s">
        <v>41</v>
      </c>
      <c r="M57" s="18"/>
    </row>
    <row r="58" spans="2:13">
      <c r="B58" s="4">
        <v>56</v>
      </c>
      <c r="C58" s="5" t="s">
        <v>2</v>
      </c>
      <c r="D58" s="9"/>
      <c r="E58" s="9"/>
      <c r="F58" s="9"/>
      <c r="G58" s="9"/>
      <c r="H58" s="5"/>
      <c r="I58" s="5"/>
      <c r="J58" s="15">
        <v>44076</v>
      </c>
      <c r="K58" s="16" t="s">
        <v>22</v>
      </c>
      <c r="L58" s="17" t="s">
        <v>41</v>
      </c>
      <c r="M58" s="18"/>
    </row>
    <row r="59" spans="2:13">
      <c r="B59" s="4">
        <v>57</v>
      </c>
      <c r="C59" s="5" t="s">
        <v>2</v>
      </c>
      <c r="D59" s="9"/>
      <c r="E59" s="9"/>
      <c r="F59" s="9"/>
      <c r="G59" s="9"/>
      <c r="H59" s="5"/>
      <c r="I59" s="5"/>
      <c r="J59" s="15">
        <v>44076</v>
      </c>
      <c r="K59" s="16" t="s">
        <v>22</v>
      </c>
      <c r="L59" s="17" t="s">
        <v>41</v>
      </c>
      <c r="M59" s="18"/>
    </row>
    <row r="60" spans="2:13">
      <c r="B60" s="4">
        <v>58</v>
      </c>
      <c r="C60" s="5" t="s">
        <v>2</v>
      </c>
      <c r="D60" s="9"/>
      <c r="E60" s="9"/>
      <c r="F60" s="9"/>
      <c r="G60" s="9"/>
      <c r="H60" s="5"/>
      <c r="I60" s="5"/>
      <c r="J60" s="15">
        <v>44076</v>
      </c>
      <c r="K60" s="16" t="s">
        <v>22</v>
      </c>
      <c r="L60" s="17" t="s">
        <v>41</v>
      </c>
      <c r="M60" s="18"/>
    </row>
    <row r="61" spans="2:13">
      <c r="B61" s="4">
        <v>59</v>
      </c>
      <c r="C61" s="5" t="s">
        <v>2</v>
      </c>
      <c r="D61" s="8" t="s">
        <v>18</v>
      </c>
      <c r="E61" s="8" t="s">
        <v>19</v>
      </c>
      <c r="F61" s="8" t="s">
        <v>34</v>
      </c>
      <c r="G61" s="8" t="s">
        <v>35</v>
      </c>
      <c r="H61" s="8">
        <v>88034</v>
      </c>
      <c r="I61" s="8">
        <v>3553109</v>
      </c>
      <c r="J61" s="15">
        <v>44076</v>
      </c>
      <c r="K61" s="16" t="s">
        <v>22</v>
      </c>
      <c r="L61" s="17" t="s">
        <v>23</v>
      </c>
      <c r="M61" s="18"/>
    </row>
    <row r="62" spans="2:13">
      <c r="B62" s="4">
        <v>60</v>
      </c>
      <c r="C62" s="5" t="s">
        <v>2</v>
      </c>
      <c r="D62" s="9"/>
      <c r="E62" s="9"/>
      <c r="F62" s="9"/>
      <c r="G62" s="9"/>
      <c r="H62" s="5"/>
      <c r="I62" s="5"/>
      <c r="J62" s="15">
        <v>44076</v>
      </c>
      <c r="K62" s="16" t="s">
        <v>22</v>
      </c>
      <c r="L62" s="17" t="s">
        <v>23</v>
      </c>
      <c r="M62" s="18"/>
    </row>
    <row r="63" spans="2:13">
      <c r="B63" s="4">
        <v>61</v>
      </c>
      <c r="C63" s="5" t="s">
        <v>2</v>
      </c>
      <c r="D63" s="8" t="s">
        <v>18</v>
      </c>
      <c r="E63" s="8" t="s">
        <v>19</v>
      </c>
      <c r="F63" s="8" t="s">
        <v>34</v>
      </c>
      <c r="G63" s="8" t="s">
        <v>35</v>
      </c>
      <c r="H63" s="8">
        <v>88034</v>
      </c>
      <c r="I63" s="8">
        <v>3553109</v>
      </c>
      <c r="J63" s="15">
        <v>44076</v>
      </c>
      <c r="K63" s="16" t="s">
        <v>22</v>
      </c>
      <c r="L63" s="17" t="s">
        <v>24</v>
      </c>
      <c r="M63" s="18"/>
    </row>
    <row r="64" spans="2:13">
      <c r="B64" s="4">
        <v>62</v>
      </c>
      <c r="C64" s="5" t="s">
        <v>2</v>
      </c>
      <c r="D64" s="9"/>
      <c r="E64" s="9"/>
      <c r="F64" s="9"/>
      <c r="G64" s="9"/>
      <c r="H64" s="5"/>
      <c r="I64" s="5"/>
      <c r="J64" s="15">
        <v>44076</v>
      </c>
      <c r="K64" s="16" t="s">
        <v>22</v>
      </c>
      <c r="L64" s="17" t="s">
        <v>24</v>
      </c>
      <c r="M64" s="18"/>
    </row>
    <row r="65" spans="2:13">
      <c r="B65" s="4">
        <v>63</v>
      </c>
      <c r="C65" s="5" t="s">
        <v>2</v>
      </c>
      <c r="D65" s="9"/>
      <c r="E65" s="9"/>
      <c r="F65" s="9"/>
      <c r="G65" s="9"/>
      <c r="H65" s="5"/>
      <c r="I65" s="5"/>
      <c r="J65" s="15">
        <v>44076</v>
      </c>
      <c r="K65" s="16" t="s">
        <v>22</v>
      </c>
      <c r="L65" s="17" t="s">
        <v>24</v>
      </c>
      <c r="M65" s="18"/>
    </row>
    <row r="66" spans="2:13">
      <c r="B66" s="4">
        <v>64</v>
      </c>
      <c r="C66" s="5" t="s">
        <v>2</v>
      </c>
      <c r="D66" s="9"/>
      <c r="E66" s="9"/>
      <c r="F66" s="9"/>
      <c r="G66" s="9"/>
      <c r="H66" s="5"/>
      <c r="I66" s="5"/>
      <c r="J66" s="15">
        <v>44076</v>
      </c>
      <c r="K66" s="16" t="s">
        <v>22</v>
      </c>
      <c r="L66" s="17" t="s">
        <v>24</v>
      </c>
      <c r="M66" s="18"/>
    </row>
    <row r="67" spans="2:13">
      <c r="B67" s="4">
        <v>65</v>
      </c>
      <c r="C67" s="5" t="s">
        <v>2</v>
      </c>
      <c r="D67" s="9"/>
      <c r="E67" s="9"/>
      <c r="F67" s="9"/>
      <c r="G67" s="9"/>
      <c r="H67" s="5"/>
      <c r="I67" s="5"/>
      <c r="J67" s="15">
        <v>44076</v>
      </c>
      <c r="K67" s="16" t="s">
        <v>22</v>
      </c>
      <c r="L67" s="17" t="s">
        <v>24</v>
      </c>
      <c r="M67" s="18"/>
    </row>
    <row r="68" spans="2:13">
      <c r="B68" s="4">
        <v>66</v>
      </c>
      <c r="C68" s="5" t="s">
        <v>2</v>
      </c>
      <c r="D68" s="10" t="s">
        <v>18</v>
      </c>
      <c r="E68" s="8" t="s">
        <v>26</v>
      </c>
      <c r="F68" s="8" t="s">
        <v>27</v>
      </c>
      <c r="G68" s="8" t="s">
        <v>28</v>
      </c>
      <c r="H68" s="8">
        <v>83489</v>
      </c>
      <c r="I68" s="8">
        <v>2490376</v>
      </c>
      <c r="J68" s="15">
        <v>44076</v>
      </c>
      <c r="K68" s="16" t="s">
        <v>22</v>
      </c>
      <c r="L68" s="17" t="s">
        <v>24</v>
      </c>
      <c r="M68" s="18"/>
    </row>
    <row r="69" spans="2:13">
      <c r="B69" s="4">
        <v>67</v>
      </c>
      <c r="C69" s="5" t="s">
        <v>2</v>
      </c>
      <c r="D69" s="10" t="s">
        <v>18</v>
      </c>
      <c r="E69" s="8" t="s">
        <v>19</v>
      </c>
      <c r="F69" s="8" t="s">
        <v>36</v>
      </c>
      <c r="G69" s="8" t="s">
        <v>37</v>
      </c>
      <c r="H69" s="8">
        <v>60260</v>
      </c>
      <c r="I69" s="8">
        <v>433236</v>
      </c>
      <c r="J69" s="15">
        <v>44076</v>
      </c>
      <c r="K69" s="16" t="s">
        <v>22</v>
      </c>
      <c r="L69" s="17" t="s">
        <v>25</v>
      </c>
      <c r="M69" s="18"/>
    </row>
    <row r="70" spans="2:13">
      <c r="B70" s="4">
        <v>68</v>
      </c>
      <c r="C70" s="5" t="s">
        <v>2</v>
      </c>
      <c r="D70" s="9"/>
      <c r="E70" s="9"/>
      <c r="F70" s="9"/>
      <c r="G70" s="9"/>
      <c r="H70" s="5"/>
      <c r="I70" s="5"/>
      <c r="J70" s="15">
        <v>44076</v>
      </c>
      <c r="K70" s="16" t="s">
        <v>22</v>
      </c>
      <c r="L70" s="17" t="s">
        <v>25</v>
      </c>
      <c r="M70" s="18"/>
    </row>
    <row r="71" spans="2:13">
      <c r="B71" s="4">
        <v>69</v>
      </c>
      <c r="C71" s="5" t="s">
        <v>2</v>
      </c>
      <c r="D71" s="9"/>
      <c r="E71" s="9"/>
      <c r="F71" s="9"/>
      <c r="G71" s="9"/>
      <c r="H71" s="5"/>
      <c r="I71" s="5"/>
      <c r="J71" s="15">
        <v>44076</v>
      </c>
      <c r="K71" s="16" t="s">
        <v>22</v>
      </c>
      <c r="L71" s="17" t="s">
        <v>25</v>
      </c>
      <c r="M71" s="18"/>
    </row>
    <row r="72" spans="2:13">
      <c r="B72" s="4">
        <v>70</v>
      </c>
      <c r="C72" s="5" t="s">
        <v>2</v>
      </c>
      <c r="D72" s="10" t="s">
        <v>18</v>
      </c>
      <c r="E72" s="8" t="s">
        <v>26</v>
      </c>
      <c r="F72" s="8" t="s">
        <v>27</v>
      </c>
      <c r="G72" s="8" t="s">
        <v>28</v>
      </c>
      <c r="H72" s="8">
        <v>83489</v>
      </c>
      <c r="I72" s="8">
        <v>2490376</v>
      </c>
      <c r="J72" s="15">
        <v>44076</v>
      </c>
      <c r="K72" s="16" t="s">
        <v>22</v>
      </c>
      <c r="L72" s="17" t="s">
        <v>25</v>
      </c>
      <c r="M72" s="18"/>
    </row>
    <row r="73" spans="2:13">
      <c r="B73" s="4">
        <v>71</v>
      </c>
      <c r="C73" s="5" t="s">
        <v>2</v>
      </c>
      <c r="D73" s="10" t="s">
        <v>29</v>
      </c>
      <c r="E73" s="8" t="s">
        <v>30</v>
      </c>
      <c r="F73" s="8" t="s">
        <v>39</v>
      </c>
      <c r="G73" s="8" t="s">
        <v>40</v>
      </c>
      <c r="H73" s="8">
        <v>87054</v>
      </c>
      <c r="I73" s="8">
        <v>3409729</v>
      </c>
      <c r="J73" s="15">
        <v>44077</v>
      </c>
      <c r="K73" s="16" t="s">
        <v>22</v>
      </c>
      <c r="L73" s="17" t="s">
        <v>38</v>
      </c>
      <c r="M73" s="18"/>
    </row>
    <row r="74" spans="2:13">
      <c r="B74" s="4">
        <v>72</v>
      </c>
      <c r="C74" s="5" t="s">
        <v>2</v>
      </c>
      <c r="D74" s="10" t="s">
        <v>29</v>
      </c>
      <c r="E74" s="8" t="s">
        <v>30</v>
      </c>
      <c r="F74" s="8" t="s">
        <v>31</v>
      </c>
      <c r="G74" s="8" t="s">
        <v>32</v>
      </c>
      <c r="H74" s="8">
        <v>87045</v>
      </c>
      <c r="I74" s="8">
        <v>3409666</v>
      </c>
      <c r="J74" s="15">
        <v>44077</v>
      </c>
      <c r="K74" s="16" t="s">
        <v>22</v>
      </c>
      <c r="L74" s="17" t="s">
        <v>38</v>
      </c>
      <c r="M74" s="18"/>
    </row>
    <row r="75" spans="2:13">
      <c r="B75" s="4">
        <v>73</v>
      </c>
      <c r="C75" s="5" t="s">
        <v>2</v>
      </c>
      <c r="D75" s="9"/>
      <c r="E75" s="9"/>
      <c r="F75" s="9"/>
      <c r="G75" s="9"/>
      <c r="H75" s="5"/>
      <c r="I75" s="5"/>
      <c r="J75" s="15">
        <v>44077</v>
      </c>
      <c r="K75" s="16" t="s">
        <v>22</v>
      </c>
      <c r="L75" s="17" t="s">
        <v>38</v>
      </c>
      <c r="M75" s="18"/>
    </row>
    <row r="76" spans="2:13">
      <c r="B76" s="4">
        <v>74</v>
      </c>
      <c r="C76" s="5" t="s">
        <v>2</v>
      </c>
      <c r="D76" s="9"/>
      <c r="E76" s="9"/>
      <c r="F76" s="9"/>
      <c r="G76" s="9"/>
      <c r="H76" s="5"/>
      <c r="I76" s="5"/>
      <c r="J76" s="15">
        <v>44077</v>
      </c>
      <c r="K76" s="16" t="s">
        <v>22</v>
      </c>
      <c r="L76" s="17" t="s">
        <v>38</v>
      </c>
      <c r="M76" s="18"/>
    </row>
    <row r="77" spans="2:13">
      <c r="B77" s="4">
        <v>75</v>
      </c>
      <c r="C77" s="5" t="s">
        <v>2</v>
      </c>
      <c r="D77" s="9"/>
      <c r="E77" s="9"/>
      <c r="F77" s="9"/>
      <c r="G77" s="9"/>
      <c r="H77" s="5"/>
      <c r="I77" s="5"/>
      <c r="J77" s="15">
        <v>44077</v>
      </c>
      <c r="K77" s="16" t="s">
        <v>22</v>
      </c>
      <c r="L77" s="17" t="s">
        <v>38</v>
      </c>
      <c r="M77" s="18"/>
    </row>
    <row r="78" spans="2:13">
      <c r="B78" s="4">
        <v>76</v>
      </c>
      <c r="C78" s="5" t="s">
        <v>2</v>
      </c>
      <c r="D78" s="10" t="s">
        <v>29</v>
      </c>
      <c r="E78" s="8" t="s">
        <v>30</v>
      </c>
      <c r="F78" s="8" t="s">
        <v>39</v>
      </c>
      <c r="G78" s="8" t="s">
        <v>40</v>
      </c>
      <c r="H78" s="8">
        <v>87054</v>
      </c>
      <c r="I78" s="8">
        <v>3409729</v>
      </c>
      <c r="J78" s="15">
        <v>44077</v>
      </c>
      <c r="K78" s="16" t="s">
        <v>22</v>
      </c>
      <c r="L78" s="17" t="s">
        <v>41</v>
      </c>
      <c r="M78" s="18"/>
    </row>
    <row r="79" spans="2:13">
      <c r="B79" s="4">
        <v>77</v>
      </c>
      <c r="C79" s="5" t="s">
        <v>2</v>
      </c>
      <c r="D79" s="10" t="s">
        <v>29</v>
      </c>
      <c r="E79" s="8" t="s">
        <v>30</v>
      </c>
      <c r="F79" s="8" t="s">
        <v>31</v>
      </c>
      <c r="G79" s="8" t="s">
        <v>32</v>
      </c>
      <c r="H79" s="8">
        <v>87045</v>
      </c>
      <c r="I79" s="8">
        <v>3409666</v>
      </c>
      <c r="J79" s="15">
        <v>44077</v>
      </c>
      <c r="K79" s="16" t="s">
        <v>22</v>
      </c>
      <c r="L79" s="17" t="s">
        <v>41</v>
      </c>
      <c r="M79" s="18"/>
    </row>
    <row r="80" spans="2:13">
      <c r="B80" s="4">
        <v>78</v>
      </c>
      <c r="C80" s="5" t="s">
        <v>2</v>
      </c>
      <c r="D80" s="9"/>
      <c r="E80" s="9"/>
      <c r="F80" s="9"/>
      <c r="G80" s="9"/>
      <c r="H80" s="5"/>
      <c r="I80" s="5"/>
      <c r="J80" s="15">
        <v>44077</v>
      </c>
      <c r="K80" s="16" t="s">
        <v>22</v>
      </c>
      <c r="L80" s="17" t="s">
        <v>41</v>
      </c>
      <c r="M80" s="18"/>
    </row>
    <row r="81" spans="2:13">
      <c r="B81" s="4">
        <v>79</v>
      </c>
      <c r="C81" s="5" t="s">
        <v>2</v>
      </c>
      <c r="D81" s="9"/>
      <c r="E81" s="9"/>
      <c r="F81" s="9"/>
      <c r="G81" s="9"/>
      <c r="H81" s="5"/>
      <c r="I81" s="5"/>
      <c r="J81" s="15">
        <v>44077</v>
      </c>
      <c r="K81" s="16" t="s">
        <v>22</v>
      </c>
      <c r="L81" s="17" t="s">
        <v>41</v>
      </c>
      <c r="M81" s="18"/>
    </row>
    <row r="82" spans="2:13">
      <c r="B82" s="4">
        <v>80</v>
      </c>
      <c r="C82" s="5" t="s">
        <v>2</v>
      </c>
      <c r="D82" s="9"/>
      <c r="E82" s="9"/>
      <c r="F82" s="9"/>
      <c r="G82" s="9"/>
      <c r="H82" s="5"/>
      <c r="I82" s="5"/>
      <c r="J82" s="15">
        <v>44077</v>
      </c>
      <c r="K82" s="16" t="s">
        <v>22</v>
      </c>
      <c r="L82" s="17" t="s">
        <v>41</v>
      </c>
      <c r="M82" s="18"/>
    </row>
    <row r="83" spans="2:13">
      <c r="B83" s="4">
        <v>81</v>
      </c>
      <c r="C83" s="5" t="s">
        <v>2</v>
      </c>
      <c r="D83" s="6" t="s">
        <v>18</v>
      </c>
      <c r="E83" s="7" t="s">
        <v>19</v>
      </c>
      <c r="F83" s="7" t="s">
        <v>20</v>
      </c>
      <c r="G83" s="7" t="s">
        <v>21</v>
      </c>
      <c r="H83" s="8">
        <v>88033</v>
      </c>
      <c r="I83" s="8">
        <v>3553104</v>
      </c>
      <c r="J83" s="15">
        <v>44077</v>
      </c>
      <c r="K83" s="16" t="s">
        <v>22</v>
      </c>
      <c r="L83" s="17" t="s">
        <v>23</v>
      </c>
      <c r="M83" s="18"/>
    </row>
    <row r="84" spans="2:13">
      <c r="B84" s="4">
        <v>82</v>
      </c>
      <c r="C84" s="5" t="s">
        <v>2</v>
      </c>
      <c r="D84" s="8" t="s">
        <v>18</v>
      </c>
      <c r="E84" s="8" t="s">
        <v>19</v>
      </c>
      <c r="F84" s="8" t="s">
        <v>34</v>
      </c>
      <c r="G84" s="8" t="s">
        <v>35</v>
      </c>
      <c r="H84" s="8">
        <v>88034</v>
      </c>
      <c r="I84" s="8">
        <v>3553109</v>
      </c>
      <c r="J84" s="15">
        <v>44077</v>
      </c>
      <c r="K84" s="16" t="s">
        <v>22</v>
      </c>
      <c r="L84" s="17" t="s">
        <v>23</v>
      </c>
      <c r="M84" s="18"/>
    </row>
    <row r="85" spans="2:13">
      <c r="B85" s="4">
        <v>83</v>
      </c>
      <c r="C85" s="5" t="s">
        <v>2</v>
      </c>
      <c r="D85" s="6" t="s">
        <v>18</v>
      </c>
      <c r="E85" s="7" t="s">
        <v>19</v>
      </c>
      <c r="F85" s="7" t="s">
        <v>20</v>
      </c>
      <c r="G85" s="7" t="s">
        <v>21</v>
      </c>
      <c r="H85" s="8">
        <v>88033</v>
      </c>
      <c r="I85" s="8">
        <v>3553104</v>
      </c>
      <c r="J85" s="15">
        <v>44077</v>
      </c>
      <c r="K85" s="16" t="s">
        <v>22</v>
      </c>
      <c r="L85" s="17" t="s">
        <v>24</v>
      </c>
      <c r="M85" s="18"/>
    </row>
    <row r="86" spans="2:13">
      <c r="B86" s="4">
        <v>84</v>
      </c>
      <c r="C86" s="5" t="s">
        <v>2</v>
      </c>
      <c r="D86" s="8" t="s">
        <v>18</v>
      </c>
      <c r="E86" s="8" t="s">
        <v>19</v>
      </c>
      <c r="F86" s="8" t="s">
        <v>34</v>
      </c>
      <c r="G86" s="8" t="s">
        <v>35</v>
      </c>
      <c r="H86" s="8">
        <v>88034</v>
      </c>
      <c r="I86" s="8">
        <v>3553109</v>
      </c>
      <c r="J86" s="15">
        <v>44077</v>
      </c>
      <c r="K86" s="16" t="s">
        <v>22</v>
      </c>
      <c r="L86" s="17" t="s">
        <v>24</v>
      </c>
      <c r="M86" s="18"/>
    </row>
    <row r="87" spans="2:13">
      <c r="B87" s="4">
        <v>85</v>
      </c>
      <c r="C87" s="5" t="s">
        <v>2</v>
      </c>
      <c r="D87" s="9"/>
      <c r="E87" s="9"/>
      <c r="F87" s="9"/>
      <c r="G87" s="9"/>
      <c r="H87" s="5"/>
      <c r="I87" s="5"/>
      <c r="J87" s="15">
        <v>44077</v>
      </c>
      <c r="K87" s="16" t="s">
        <v>22</v>
      </c>
      <c r="L87" s="17" t="s">
        <v>24</v>
      </c>
      <c r="M87" s="18"/>
    </row>
    <row r="88" spans="2:13">
      <c r="B88" s="4">
        <v>86</v>
      </c>
      <c r="C88" s="5" t="s">
        <v>2</v>
      </c>
      <c r="D88" s="9"/>
      <c r="E88" s="9"/>
      <c r="F88" s="9"/>
      <c r="G88" s="9"/>
      <c r="H88" s="5"/>
      <c r="I88" s="5"/>
      <c r="J88" s="15">
        <v>44077</v>
      </c>
      <c r="K88" s="16" t="s">
        <v>22</v>
      </c>
      <c r="L88" s="17" t="s">
        <v>24</v>
      </c>
      <c r="M88" s="18"/>
    </row>
    <row r="89" spans="2:13">
      <c r="B89" s="4">
        <v>87</v>
      </c>
      <c r="C89" s="5" t="s">
        <v>2</v>
      </c>
      <c r="D89" s="9"/>
      <c r="E89" s="9"/>
      <c r="F89" s="9"/>
      <c r="G89" s="9"/>
      <c r="H89" s="5"/>
      <c r="I89" s="5"/>
      <c r="J89" s="15">
        <v>44077</v>
      </c>
      <c r="K89" s="16" t="s">
        <v>22</v>
      </c>
      <c r="L89" s="17" t="s">
        <v>24</v>
      </c>
      <c r="M89" s="18"/>
    </row>
    <row r="90" spans="2:13">
      <c r="B90" s="4">
        <v>88</v>
      </c>
      <c r="C90" s="5" t="s">
        <v>2</v>
      </c>
      <c r="D90" s="9"/>
      <c r="E90" s="9"/>
      <c r="F90" s="9"/>
      <c r="G90" s="9"/>
      <c r="H90" s="5"/>
      <c r="I90" s="5"/>
      <c r="J90" s="15">
        <v>44077</v>
      </c>
      <c r="K90" s="16" t="s">
        <v>22</v>
      </c>
      <c r="L90" s="17" t="s">
        <v>24</v>
      </c>
      <c r="M90" s="18"/>
    </row>
    <row r="91" spans="2:13">
      <c r="B91" s="4">
        <v>89</v>
      </c>
      <c r="C91" s="5" t="s">
        <v>2</v>
      </c>
      <c r="D91" s="10" t="s">
        <v>18</v>
      </c>
      <c r="E91" s="8" t="s">
        <v>19</v>
      </c>
      <c r="F91" s="8" t="s">
        <v>36</v>
      </c>
      <c r="G91" s="8" t="s">
        <v>37</v>
      </c>
      <c r="H91" s="8">
        <v>60260</v>
      </c>
      <c r="I91" s="8">
        <v>433236</v>
      </c>
      <c r="J91" s="15">
        <v>44077</v>
      </c>
      <c r="K91" s="16" t="s">
        <v>22</v>
      </c>
      <c r="L91" s="17" t="s">
        <v>25</v>
      </c>
      <c r="M91" s="18"/>
    </row>
    <row r="92" spans="2:13">
      <c r="B92" s="4">
        <v>90</v>
      </c>
      <c r="C92" s="5" t="s">
        <v>2</v>
      </c>
      <c r="D92" s="9"/>
      <c r="E92" s="9"/>
      <c r="F92" s="9"/>
      <c r="G92" s="9"/>
      <c r="H92" s="5"/>
      <c r="I92" s="5"/>
      <c r="J92" s="15">
        <v>44077</v>
      </c>
      <c r="K92" s="16" t="s">
        <v>22</v>
      </c>
      <c r="L92" s="17" t="s">
        <v>25</v>
      </c>
      <c r="M92" s="18"/>
    </row>
    <row r="93" spans="2:13">
      <c r="B93" s="4">
        <v>91</v>
      </c>
      <c r="C93" s="5" t="s">
        <v>2</v>
      </c>
      <c r="D93" s="9"/>
      <c r="E93" s="9"/>
      <c r="F93" s="9"/>
      <c r="G93" s="9"/>
      <c r="H93" s="5"/>
      <c r="I93" s="5"/>
      <c r="J93" s="15">
        <v>44077</v>
      </c>
      <c r="K93" s="16" t="s">
        <v>22</v>
      </c>
      <c r="L93" s="17" t="s">
        <v>25</v>
      </c>
      <c r="M93" s="18"/>
    </row>
    <row r="94" spans="2:13">
      <c r="B94" s="4">
        <v>92</v>
      </c>
      <c r="C94" s="5" t="s">
        <v>2</v>
      </c>
      <c r="D94" s="9"/>
      <c r="E94" s="9"/>
      <c r="F94" s="9"/>
      <c r="G94" s="9"/>
      <c r="H94" s="5"/>
      <c r="I94" s="5"/>
      <c r="J94" s="15">
        <v>44077</v>
      </c>
      <c r="K94" s="16" t="s">
        <v>22</v>
      </c>
      <c r="L94" s="17" t="s">
        <v>25</v>
      </c>
      <c r="M94" s="18"/>
    </row>
    <row r="95" spans="2:13">
      <c r="B95" s="4">
        <v>93</v>
      </c>
      <c r="C95" s="5" t="s">
        <v>2</v>
      </c>
      <c r="D95" s="10" t="s">
        <v>29</v>
      </c>
      <c r="E95" s="8" t="s">
        <v>30</v>
      </c>
      <c r="F95" s="8" t="s">
        <v>39</v>
      </c>
      <c r="G95" s="8" t="s">
        <v>40</v>
      </c>
      <c r="H95" s="8">
        <v>87054</v>
      </c>
      <c r="I95" s="8">
        <v>3409729</v>
      </c>
      <c r="J95" s="15">
        <v>44078</v>
      </c>
      <c r="K95" s="16" t="s">
        <v>22</v>
      </c>
      <c r="L95" s="17" t="s">
        <v>38</v>
      </c>
      <c r="M95" s="18"/>
    </row>
    <row r="96" spans="2:13">
      <c r="B96" s="4">
        <v>94</v>
      </c>
      <c r="C96" s="5" t="s">
        <v>2</v>
      </c>
      <c r="D96" s="9"/>
      <c r="E96" s="9"/>
      <c r="F96" s="9"/>
      <c r="G96" s="9"/>
      <c r="H96" s="5"/>
      <c r="I96" s="5"/>
      <c r="J96" s="15">
        <v>44078</v>
      </c>
      <c r="K96" s="16" t="s">
        <v>22</v>
      </c>
      <c r="L96" s="17" t="s">
        <v>38</v>
      </c>
      <c r="M96" s="18"/>
    </row>
    <row r="97" spans="2:13">
      <c r="B97" s="4">
        <v>95</v>
      </c>
      <c r="C97" s="5" t="s">
        <v>2</v>
      </c>
      <c r="D97" s="9"/>
      <c r="E97" s="9"/>
      <c r="F97" s="9"/>
      <c r="G97" s="9"/>
      <c r="H97" s="5"/>
      <c r="I97" s="5"/>
      <c r="J97" s="15">
        <v>44078</v>
      </c>
      <c r="K97" s="16" t="s">
        <v>22</v>
      </c>
      <c r="L97" s="17" t="s">
        <v>38</v>
      </c>
      <c r="M97" s="18"/>
    </row>
    <row r="98" spans="2:13">
      <c r="B98" s="4">
        <v>96</v>
      </c>
      <c r="C98" s="5" t="s">
        <v>2</v>
      </c>
      <c r="D98" s="9"/>
      <c r="E98" s="9"/>
      <c r="F98" s="9"/>
      <c r="G98" s="9"/>
      <c r="H98" s="5"/>
      <c r="I98" s="5"/>
      <c r="J98" s="15">
        <v>44078</v>
      </c>
      <c r="K98" s="16" t="s">
        <v>22</v>
      </c>
      <c r="L98" s="17" t="s">
        <v>38</v>
      </c>
      <c r="M98" s="18"/>
    </row>
    <row r="99" spans="2:13">
      <c r="B99" s="4">
        <v>97</v>
      </c>
      <c r="C99" s="5" t="s">
        <v>2</v>
      </c>
      <c r="D99" s="9"/>
      <c r="E99" s="9"/>
      <c r="F99" s="9"/>
      <c r="G99" s="9"/>
      <c r="H99" s="5"/>
      <c r="I99" s="5"/>
      <c r="J99" s="15">
        <v>44078</v>
      </c>
      <c r="K99" s="16" t="s">
        <v>22</v>
      </c>
      <c r="L99" s="17" t="s">
        <v>38</v>
      </c>
      <c r="M99" s="18"/>
    </row>
    <row r="100" spans="2:13">
      <c r="B100" s="4">
        <v>98</v>
      </c>
      <c r="C100" s="5" t="s">
        <v>2</v>
      </c>
      <c r="D100" s="9"/>
      <c r="E100" s="9"/>
      <c r="F100" s="9"/>
      <c r="G100" s="9"/>
      <c r="H100" s="5"/>
      <c r="I100" s="5"/>
      <c r="J100" s="15">
        <v>44078</v>
      </c>
      <c r="K100" s="16" t="s">
        <v>22</v>
      </c>
      <c r="L100" s="17" t="s">
        <v>38</v>
      </c>
      <c r="M100" s="18"/>
    </row>
    <row r="101" spans="2:13">
      <c r="B101" s="4">
        <v>99</v>
      </c>
      <c r="C101" s="5" t="s">
        <v>2</v>
      </c>
      <c r="D101" s="10" t="s">
        <v>29</v>
      </c>
      <c r="E101" s="8" t="s">
        <v>30</v>
      </c>
      <c r="F101" s="8" t="s">
        <v>39</v>
      </c>
      <c r="G101" s="8" t="s">
        <v>40</v>
      </c>
      <c r="H101" s="8">
        <v>87054</v>
      </c>
      <c r="I101" s="8">
        <v>3409729</v>
      </c>
      <c r="J101" s="15">
        <v>44078</v>
      </c>
      <c r="K101" s="16" t="s">
        <v>22</v>
      </c>
      <c r="L101" s="17" t="s">
        <v>41</v>
      </c>
      <c r="M101" s="18"/>
    </row>
    <row r="102" spans="2:13">
      <c r="B102" s="4">
        <v>100</v>
      </c>
      <c r="C102" s="5" t="s">
        <v>2</v>
      </c>
      <c r="D102" s="9"/>
      <c r="E102" s="9"/>
      <c r="F102" s="9"/>
      <c r="G102" s="9"/>
      <c r="H102" s="5"/>
      <c r="I102" s="5"/>
      <c r="J102" s="15">
        <v>44078</v>
      </c>
      <c r="K102" s="16" t="s">
        <v>22</v>
      </c>
      <c r="L102" s="17" t="s">
        <v>41</v>
      </c>
      <c r="M102" s="18"/>
    </row>
    <row r="103" spans="2:13">
      <c r="B103" s="4">
        <v>101</v>
      </c>
      <c r="C103" s="5" t="s">
        <v>2</v>
      </c>
      <c r="D103" s="9"/>
      <c r="E103" s="9"/>
      <c r="F103" s="9"/>
      <c r="G103" s="9"/>
      <c r="H103" s="5"/>
      <c r="I103" s="5"/>
      <c r="J103" s="15">
        <v>44078</v>
      </c>
      <c r="K103" s="16" t="s">
        <v>22</v>
      </c>
      <c r="L103" s="17" t="s">
        <v>41</v>
      </c>
      <c r="M103" s="18"/>
    </row>
    <row r="104" spans="2:13">
      <c r="B104" s="4">
        <v>102</v>
      </c>
      <c r="C104" s="5" t="s">
        <v>2</v>
      </c>
      <c r="D104" s="9"/>
      <c r="E104" s="9"/>
      <c r="F104" s="9"/>
      <c r="G104" s="9"/>
      <c r="H104" s="5"/>
      <c r="I104" s="5"/>
      <c r="J104" s="15">
        <v>44078</v>
      </c>
      <c r="K104" s="16" t="s">
        <v>22</v>
      </c>
      <c r="L104" s="17" t="s">
        <v>41</v>
      </c>
      <c r="M104" s="18"/>
    </row>
    <row r="105" spans="2:13">
      <c r="B105" s="4">
        <v>103</v>
      </c>
      <c r="C105" s="5" t="s">
        <v>2</v>
      </c>
      <c r="D105" s="9"/>
      <c r="E105" s="9"/>
      <c r="F105" s="9"/>
      <c r="G105" s="9"/>
      <c r="H105" s="5"/>
      <c r="I105" s="5"/>
      <c r="J105" s="15">
        <v>44078</v>
      </c>
      <c r="K105" s="16" t="s">
        <v>22</v>
      </c>
      <c r="L105" s="17" t="s">
        <v>41</v>
      </c>
      <c r="M105" s="18"/>
    </row>
    <row r="106" spans="2:13">
      <c r="B106" s="4">
        <v>104</v>
      </c>
      <c r="C106" s="5" t="s">
        <v>2</v>
      </c>
      <c r="D106" s="9"/>
      <c r="E106" s="9"/>
      <c r="F106" s="9"/>
      <c r="G106" s="9"/>
      <c r="H106" s="5"/>
      <c r="I106" s="5"/>
      <c r="J106" s="15">
        <v>44078</v>
      </c>
      <c r="K106" s="16" t="s">
        <v>22</v>
      </c>
      <c r="L106" s="17" t="s">
        <v>41</v>
      </c>
      <c r="M106" s="18"/>
    </row>
    <row r="107" spans="2:13">
      <c r="B107" s="4">
        <v>105</v>
      </c>
      <c r="C107" s="5" t="s">
        <v>2</v>
      </c>
      <c r="D107" s="6" t="s">
        <v>18</v>
      </c>
      <c r="E107" s="7" t="s">
        <v>19</v>
      </c>
      <c r="F107" s="7" t="s">
        <v>20</v>
      </c>
      <c r="G107" s="7" t="s">
        <v>21</v>
      </c>
      <c r="H107" s="8">
        <v>88033</v>
      </c>
      <c r="I107" s="8">
        <v>3553104</v>
      </c>
      <c r="J107" s="15">
        <v>44078</v>
      </c>
      <c r="K107" s="16" t="s">
        <v>22</v>
      </c>
      <c r="L107" s="17" t="s">
        <v>23</v>
      </c>
      <c r="M107" s="18"/>
    </row>
    <row r="108" spans="2:13">
      <c r="B108" s="4">
        <v>106</v>
      </c>
      <c r="C108" s="5" t="s">
        <v>2</v>
      </c>
      <c r="D108" s="8" t="s">
        <v>18</v>
      </c>
      <c r="E108" s="8" t="s">
        <v>19</v>
      </c>
      <c r="F108" s="8" t="s">
        <v>34</v>
      </c>
      <c r="G108" s="8" t="s">
        <v>35</v>
      </c>
      <c r="H108" s="8">
        <v>88034</v>
      </c>
      <c r="I108" s="8">
        <v>3553109</v>
      </c>
      <c r="J108" s="15">
        <v>44078</v>
      </c>
      <c r="K108" s="16" t="s">
        <v>22</v>
      </c>
      <c r="L108" s="17" t="s">
        <v>23</v>
      </c>
      <c r="M108" s="18"/>
    </row>
    <row r="109" spans="2:13">
      <c r="B109" s="4">
        <v>107</v>
      </c>
      <c r="C109" s="5" t="s">
        <v>2</v>
      </c>
      <c r="D109" s="6" t="s">
        <v>18</v>
      </c>
      <c r="E109" s="7" t="s">
        <v>19</v>
      </c>
      <c r="F109" s="7" t="s">
        <v>20</v>
      </c>
      <c r="G109" s="7" t="s">
        <v>21</v>
      </c>
      <c r="H109" s="8">
        <v>88033</v>
      </c>
      <c r="I109" s="8">
        <v>3553104</v>
      </c>
      <c r="J109" s="15">
        <v>44078</v>
      </c>
      <c r="K109" s="16" t="s">
        <v>22</v>
      </c>
      <c r="L109" s="17" t="s">
        <v>24</v>
      </c>
      <c r="M109" s="18"/>
    </row>
    <row r="110" spans="2:13">
      <c r="B110" s="4">
        <v>108</v>
      </c>
      <c r="C110" s="5" t="s">
        <v>2</v>
      </c>
      <c r="D110" s="8" t="s">
        <v>18</v>
      </c>
      <c r="E110" s="8" t="s">
        <v>19</v>
      </c>
      <c r="F110" s="8" t="s">
        <v>34</v>
      </c>
      <c r="G110" s="8" t="s">
        <v>35</v>
      </c>
      <c r="H110" s="8">
        <v>88034</v>
      </c>
      <c r="I110" s="8">
        <v>3553109</v>
      </c>
      <c r="J110" s="15">
        <v>44078</v>
      </c>
      <c r="K110" s="16" t="s">
        <v>22</v>
      </c>
      <c r="L110" s="17" t="s">
        <v>24</v>
      </c>
      <c r="M110" s="18"/>
    </row>
    <row r="111" spans="2:13">
      <c r="B111" s="4">
        <v>109</v>
      </c>
      <c r="C111" s="5" t="s">
        <v>2</v>
      </c>
      <c r="D111" s="9"/>
      <c r="E111" s="9"/>
      <c r="F111" s="9"/>
      <c r="G111" s="9"/>
      <c r="H111" s="5"/>
      <c r="I111" s="5"/>
      <c r="J111" s="15">
        <v>44078</v>
      </c>
      <c r="K111" s="16" t="s">
        <v>22</v>
      </c>
      <c r="L111" s="17" t="s">
        <v>24</v>
      </c>
      <c r="M111" s="18"/>
    </row>
    <row r="112" spans="2:13">
      <c r="B112" s="4">
        <v>110</v>
      </c>
      <c r="C112" s="5" t="s">
        <v>2</v>
      </c>
      <c r="D112" s="9"/>
      <c r="E112" s="9"/>
      <c r="F112" s="9"/>
      <c r="G112" s="9"/>
      <c r="H112" s="5"/>
      <c r="I112" s="5"/>
      <c r="J112" s="15">
        <v>44078</v>
      </c>
      <c r="K112" s="16" t="s">
        <v>22</v>
      </c>
      <c r="L112" s="17" t="s">
        <v>24</v>
      </c>
      <c r="M112" s="18"/>
    </row>
    <row r="113" spans="2:13">
      <c r="B113" s="4">
        <v>111</v>
      </c>
      <c r="C113" s="5" t="s">
        <v>2</v>
      </c>
      <c r="D113" s="9"/>
      <c r="E113" s="9"/>
      <c r="F113" s="9"/>
      <c r="G113" s="9"/>
      <c r="H113" s="5"/>
      <c r="I113" s="5"/>
      <c r="J113" s="15">
        <v>44078</v>
      </c>
      <c r="K113" s="16" t="s">
        <v>22</v>
      </c>
      <c r="L113" s="17" t="s">
        <v>24</v>
      </c>
      <c r="M113" s="18"/>
    </row>
    <row r="114" spans="2:13">
      <c r="B114" s="4">
        <v>112</v>
      </c>
      <c r="C114" s="5" t="s">
        <v>2</v>
      </c>
      <c r="D114" s="9"/>
      <c r="E114" s="9"/>
      <c r="F114" s="9"/>
      <c r="G114" s="9"/>
      <c r="H114" s="5"/>
      <c r="I114" s="5"/>
      <c r="J114" s="15">
        <v>44078</v>
      </c>
      <c r="K114" s="16" t="s">
        <v>22</v>
      </c>
      <c r="L114" s="17" t="s">
        <v>24</v>
      </c>
      <c r="M114" s="18"/>
    </row>
    <row r="115" spans="2:13">
      <c r="B115" s="4">
        <v>113</v>
      </c>
      <c r="C115" s="5" t="s">
        <v>2</v>
      </c>
      <c r="D115" s="10" t="s">
        <v>18</v>
      </c>
      <c r="E115" s="8" t="s">
        <v>19</v>
      </c>
      <c r="F115" s="8" t="s">
        <v>36</v>
      </c>
      <c r="G115" s="8" t="s">
        <v>37</v>
      </c>
      <c r="H115" s="8">
        <v>60260</v>
      </c>
      <c r="I115" s="8">
        <v>433236</v>
      </c>
      <c r="J115" s="15">
        <v>44078</v>
      </c>
      <c r="K115" s="16" t="s">
        <v>22</v>
      </c>
      <c r="L115" s="17" t="s">
        <v>25</v>
      </c>
      <c r="M115" s="18"/>
    </row>
    <row r="116" spans="2:13">
      <c r="B116" s="4">
        <v>114</v>
      </c>
      <c r="C116" s="5" t="s">
        <v>2</v>
      </c>
      <c r="D116" s="9"/>
      <c r="E116" s="9"/>
      <c r="F116" s="9"/>
      <c r="G116" s="9"/>
      <c r="H116" s="5"/>
      <c r="I116" s="5"/>
      <c r="J116" s="15">
        <v>44078</v>
      </c>
      <c r="K116" s="16" t="s">
        <v>22</v>
      </c>
      <c r="L116" s="17" t="s">
        <v>25</v>
      </c>
      <c r="M116" s="18"/>
    </row>
    <row r="117" spans="2:13">
      <c r="B117" s="4">
        <v>115</v>
      </c>
      <c r="C117" s="5" t="s">
        <v>2</v>
      </c>
      <c r="D117" s="9"/>
      <c r="E117" s="9"/>
      <c r="F117" s="9"/>
      <c r="G117" s="9"/>
      <c r="H117" s="5"/>
      <c r="I117" s="5"/>
      <c r="J117" s="15">
        <v>44078</v>
      </c>
      <c r="K117" s="16" t="s">
        <v>22</v>
      </c>
      <c r="L117" s="17" t="s">
        <v>25</v>
      </c>
      <c r="M117" s="18"/>
    </row>
    <row r="118" ht="15.75" spans="2:13">
      <c r="B118" s="19">
        <v>116</v>
      </c>
      <c r="C118" s="20" t="s">
        <v>2</v>
      </c>
      <c r="D118" s="21"/>
      <c r="E118" s="21"/>
      <c r="F118" s="21"/>
      <c r="G118" s="21"/>
      <c r="H118" s="20"/>
      <c r="I118" s="20"/>
      <c r="J118" s="22">
        <v>44078</v>
      </c>
      <c r="K118" s="23" t="s">
        <v>22</v>
      </c>
      <c r="L118" s="24" t="s">
        <v>25</v>
      </c>
      <c r="M118" s="25"/>
    </row>
    <row r="119"/>
  </sheetData>
  <sortState ref="B3:M221">
    <sortCondition ref="J3:J221"/>
    <sortCondition ref="K3:K221"/>
  </sortState>
  <conditionalFormatting sqref="D3:G3">
    <cfRule type="cellIs" dxfId="0" priority="737" operator="equal">
      <formula>"TRANSFER"</formula>
    </cfRule>
    <cfRule type="cellIs" dxfId="1" priority="736" operator="equal">
      <formula>"TERM"</formula>
    </cfRule>
    <cfRule type="cellIs" dxfId="2" priority="735" operator="equal">
      <formula>"REINSTATEMENT"</formula>
    </cfRule>
    <cfRule type="cellIs" dxfId="3" priority="734" operator="equal">
      <formula>"PROMOTED"</formula>
    </cfRule>
    <cfRule type="cellIs" dxfId="4" priority="733" operator="equal">
      <formula>"PENDING TERM"</formula>
    </cfRule>
    <cfRule type="cellIs" dxfId="0" priority="732" operator="equal">
      <formula>"LOA"</formula>
    </cfRule>
  </conditionalFormatting>
  <conditionalFormatting sqref="H3">
    <cfRule type="duplicateValues" dxfId="5" priority="729"/>
    <cfRule type="duplicateValues" dxfId="5" priority="727"/>
  </conditionalFormatting>
  <conditionalFormatting sqref="H3:I3">
    <cfRule type="cellIs" dxfId="0" priority="726" operator="equal">
      <formula>"TRANSFER"</formula>
    </cfRule>
    <cfRule type="cellIs" dxfId="1" priority="725" operator="equal">
      <formula>"TERM"</formula>
    </cfRule>
    <cfRule type="cellIs" dxfId="2" priority="724" operator="equal">
      <formula>"REINSTATEMENT"</formula>
    </cfRule>
    <cfRule type="cellIs" dxfId="3" priority="723" operator="equal">
      <formula>"PROMOTED"</formula>
    </cfRule>
    <cfRule type="cellIs" dxfId="4" priority="722" operator="equal">
      <formula>"PENDING TERM"</formula>
    </cfRule>
    <cfRule type="cellIs" dxfId="0" priority="721" operator="equal">
      <formula>"LOA"</formula>
    </cfRule>
  </conditionalFormatting>
  <conditionalFormatting sqref="I3">
    <cfRule type="duplicateValues" dxfId="6" priority="731"/>
    <cfRule type="duplicateValues" dxfId="5" priority="730"/>
    <cfRule type="duplicateValues" dxfId="5" priority="728"/>
  </conditionalFormatting>
  <conditionalFormatting sqref="D12:G12">
    <cfRule type="cellIs" dxfId="0" priority="703" operator="equal">
      <formula>"TRANSFER"</formula>
    </cfRule>
    <cfRule type="cellIs" dxfId="1" priority="702" operator="equal">
      <formula>"TERM"</formula>
    </cfRule>
    <cfRule type="cellIs" dxfId="2" priority="701" operator="equal">
      <formula>"REINSTATEMENT"</formula>
    </cfRule>
    <cfRule type="cellIs" dxfId="3" priority="700" operator="equal">
      <formula>"PROMOTED"</formula>
    </cfRule>
    <cfRule type="cellIs" dxfId="4" priority="699" operator="equal">
      <formula>"PENDING TERM"</formula>
    </cfRule>
    <cfRule type="cellIs" dxfId="0" priority="698" operator="equal">
      <formula>"LOA"</formula>
    </cfRule>
  </conditionalFormatting>
  <conditionalFormatting sqref="H12">
    <cfRule type="duplicateValues" dxfId="5" priority="695"/>
    <cfRule type="duplicateValues" dxfId="5" priority="693"/>
  </conditionalFormatting>
  <conditionalFormatting sqref="H12:I12">
    <cfRule type="cellIs" dxfId="0" priority="692" operator="equal">
      <formula>"TRANSFER"</formula>
    </cfRule>
    <cfRule type="cellIs" dxfId="1" priority="691" operator="equal">
      <formula>"TERM"</formula>
    </cfRule>
    <cfRule type="cellIs" dxfId="2" priority="690" operator="equal">
      <formula>"REINSTATEMENT"</formula>
    </cfRule>
    <cfRule type="cellIs" dxfId="3" priority="689" operator="equal">
      <formula>"PROMOTED"</formula>
    </cfRule>
    <cfRule type="cellIs" dxfId="4" priority="688" operator="equal">
      <formula>"PENDING TERM"</formula>
    </cfRule>
    <cfRule type="cellIs" dxfId="0" priority="687" operator="equal">
      <formula>"LOA"</formula>
    </cfRule>
  </conditionalFormatting>
  <conditionalFormatting sqref="I12">
    <cfRule type="duplicateValues" dxfId="6" priority="697"/>
    <cfRule type="duplicateValues" dxfId="5" priority="696"/>
    <cfRule type="duplicateValues" dxfId="5" priority="694"/>
  </conditionalFormatting>
  <conditionalFormatting sqref="D13:G13">
    <cfRule type="cellIs" dxfId="0" priority="720" operator="equal">
      <formula>"TRANSFER"</formula>
    </cfRule>
    <cfRule type="cellIs" dxfId="1" priority="719" operator="equal">
      <formula>"TERM"</formula>
    </cfRule>
    <cfRule type="cellIs" dxfId="2" priority="718" operator="equal">
      <formula>"REINSTATEMENT"</formula>
    </cfRule>
    <cfRule type="cellIs" dxfId="3" priority="717" operator="equal">
      <formula>"PROMOTED"</formula>
    </cfRule>
    <cfRule type="cellIs" dxfId="4" priority="716" operator="equal">
      <formula>"PENDING TERM"</formula>
    </cfRule>
    <cfRule type="cellIs" dxfId="0" priority="715" operator="equal">
      <formula>"LOA"</formula>
    </cfRule>
  </conditionalFormatting>
  <conditionalFormatting sqref="H13">
    <cfRule type="duplicateValues" dxfId="5" priority="712"/>
    <cfRule type="duplicateValues" dxfId="5" priority="710"/>
  </conditionalFormatting>
  <conditionalFormatting sqref="H13:I13">
    <cfRule type="cellIs" dxfId="0" priority="709" operator="equal">
      <formula>"TRANSFER"</formula>
    </cfRule>
    <cfRule type="cellIs" dxfId="1" priority="708" operator="equal">
      <formula>"TERM"</formula>
    </cfRule>
    <cfRule type="cellIs" dxfId="2" priority="707" operator="equal">
      <formula>"REINSTATEMENT"</formula>
    </cfRule>
    <cfRule type="cellIs" dxfId="3" priority="706" operator="equal">
      <formula>"PROMOTED"</formula>
    </cfRule>
    <cfRule type="cellIs" dxfId="4" priority="705" operator="equal">
      <formula>"PENDING TERM"</formula>
    </cfRule>
    <cfRule type="cellIs" dxfId="0" priority="704" operator="equal">
      <formula>"LOA"</formula>
    </cfRule>
  </conditionalFormatting>
  <conditionalFormatting sqref="I13">
    <cfRule type="duplicateValues" dxfId="6" priority="714"/>
    <cfRule type="duplicateValues" dxfId="5" priority="713"/>
    <cfRule type="duplicateValues" dxfId="5" priority="711"/>
  </conditionalFormatting>
  <conditionalFormatting sqref="D32:G32">
    <cfRule type="cellIs" dxfId="0" priority="102" operator="equal">
      <formula>"TRANSFER"</formula>
    </cfRule>
    <cfRule type="cellIs" dxfId="1" priority="101" operator="equal">
      <formula>"TERM"</formula>
    </cfRule>
    <cfRule type="cellIs" dxfId="2" priority="100" operator="equal">
      <formula>"REINSTATEMENT"</formula>
    </cfRule>
    <cfRule type="cellIs" dxfId="3" priority="99" operator="equal">
      <formula>"PROMOTED"</formula>
    </cfRule>
    <cfRule type="cellIs" dxfId="4" priority="98" operator="equal">
      <formula>"PENDING TERM"</formula>
    </cfRule>
    <cfRule type="cellIs" dxfId="0" priority="97" operator="equal">
      <formula>"LOA"</formula>
    </cfRule>
  </conditionalFormatting>
  <conditionalFormatting sqref="H32">
    <cfRule type="duplicateValues" dxfId="5" priority="94"/>
    <cfRule type="duplicateValues" dxfId="5" priority="92"/>
  </conditionalFormatting>
  <conditionalFormatting sqref="H32:I32">
    <cfRule type="cellIs" dxfId="0" priority="91" operator="equal">
      <formula>"TRANSFER"</formula>
    </cfRule>
    <cfRule type="cellIs" dxfId="1" priority="90" operator="equal">
      <formula>"TERM"</formula>
    </cfRule>
    <cfRule type="cellIs" dxfId="2" priority="89" operator="equal">
      <formula>"REINSTATEMENT"</formula>
    </cfRule>
    <cfRule type="cellIs" dxfId="3" priority="88" operator="equal">
      <formula>"PROMOTED"</formula>
    </cfRule>
    <cfRule type="cellIs" dxfId="4" priority="87" operator="equal">
      <formula>"PENDING TERM"</formula>
    </cfRule>
    <cfRule type="cellIs" dxfId="0" priority="86" operator="equal">
      <formula>"LOA"</formula>
    </cfRule>
  </conditionalFormatting>
  <conditionalFormatting sqref="I32">
    <cfRule type="duplicateValues" dxfId="6" priority="96"/>
    <cfRule type="duplicateValues" dxfId="5" priority="95"/>
    <cfRule type="duplicateValues" dxfId="5" priority="93"/>
  </conditionalFormatting>
  <conditionalFormatting sqref="D33">
    <cfRule type="cellIs" dxfId="0" priority="189" operator="equal">
      <formula>"TRANSFER"</formula>
    </cfRule>
    <cfRule type="cellIs" dxfId="1" priority="188" operator="equal">
      <formula>"TERM"</formula>
    </cfRule>
    <cfRule type="cellIs" dxfId="2" priority="187" operator="equal">
      <formula>"REINSTATEMENT"</formula>
    </cfRule>
    <cfRule type="cellIs" dxfId="3" priority="186" operator="equal">
      <formula>"PROMOTED"</formula>
    </cfRule>
    <cfRule type="cellIs" dxfId="4" priority="185" operator="equal">
      <formula>"PENDING TERM"</formula>
    </cfRule>
    <cfRule type="cellIs" dxfId="0" priority="184" operator="equal">
      <formula>"LOA"</formula>
    </cfRule>
  </conditionalFormatting>
  <conditionalFormatting sqref="H33">
    <cfRule type="duplicateValues" dxfId="5" priority="190"/>
  </conditionalFormatting>
  <conditionalFormatting sqref="I33">
    <cfRule type="duplicateValues" dxfId="6" priority="192"/>
    <cfRule type="duplicateValues" dxfId="5" priority="191"/>
  </conditionalFormatting>
  <conditionalFormatting sqref="D34:G34">
    <cfRule type="cellIs" dxfId="0" priority="85" operator="equal">
      <formula>"TRANSFER"</formula>
    </cfRule>
    <cfRule type="cellIs" dxfId="1" priority="84" operator="equal">
      <formula>"TERM"</formula>
    </cfRule>
    <cfRule type="cellIs" dxfId="2" priority="83" operator="equal">
      <formula>"REINSTATEMENT"</formula>
    </cfRule>
    <cfRule type="cellIs" dxfId="3" priority="82" operator="equal">
      <formula>"PROMOTED"</formula>
    </cfRule>
    <cfRule type="cellIs" dxfId="4" priority="81" operator="equal">
      <formula>"PENDING TERM"</formula>
    </cfRule>
    <cfRule type="cellIs" dxfId="0" priority="80" operator="equal">
      <formula>"LOA"</formula>
    </cfRule>
  </conditionalFormatting>
  <conditionalFormatting sqref="H34">
    <cfRule type="duplicateValues" dxfId="5" priority="77"/>
    <cfRule type="duplicateValues" dxfId="5" priority="75"/>
  </conditionalFormatting>
  <conditionalFormatting sqref="H34:I34">
    <cfRule type="cellIs" dxfId="0" priority="74" operator="equal">
      <formula>"TRANSFER"</formula>
    </cfRule>
    <cfRule type="cellIs" dxfId="1" priority="73" operator="equal">
      <formula>"TERM"</formula>
    </cfRule>
    <cfRule type="cellIs" dxfId="2" priority="72" operator="equal">
      <formula>"REINSTATEMENT"</formula>
    </cfRule>
    <cfRule type="cellIs" dxfId="3" priority="71" operator="equal">
      <formula>"PROMOTED"</formula>
    </cfRule>
    <cfRule type="cellIs" dxfId="4" priority="70" operator="equal">
      <formula>"PENDING TERM"</formula>
    </cfRule>
    <cfRule type="cellIs" dxfId="0" priority="69" operator="equal">
      <formula>"LOA"</formula>
    </cfRule>
  </conditionalFormatting>
  <conditionalFormatting sqref="I34">
    <cfRule type="duplicateValues" dxfId="6" priority="79"/>
    <cfRule type="duplicateValues" dxfId="5" priority="78"/>
    <cfRule type="duplicateValues" dxfId="5" priority="76"/>
  </conditionalFormatting>
  <conditionalFormatting sqref="D38:G38">
    <cfRule type="cellIs" dxfId="0" priority="686" operator="equal">
      <formula>"TRANSFER"</formula>
    </cfRule>
    <cfRule type="cellIs" dxfId="1" priority="685" operator="equal">
      <formula>"TERM"</formula>
    </cfRule>
    <cfRule type="cellIs" dxfId="2" priority="684" operator="equal">
      <formula>"REINSTATEMENT"</formula>
    </cfRule>
    <cfRule type="cellIs" dxfId="3" priority="683" operator="equal">
      <formula>"PROMOTED"</formula>
    </cfRule>
    <cfRule type="cellIs" dxfId="4" priority="682" operator="equal">
      <formula>"PENDING TERM"</formula>
    </cfRule>
    <cfRule type="cellIs" dxfId="0" priority="681" operator="equal">
      <formula>"LOA"</formula>
    </cfRule>
  </conditionalFormatting>
  <conditionalFormatting sqref="H38">
    <cfRule type="duplicateValues" dxfId="5" priority="678"/>
    <cfRule type="duplicateValues" dxfId="5" priority="676"/>
  </conditionalFormatting>
  <conditionalFormatting sqref="H38:I38">
    <cfRule type="cellIs" dxfId="0" priority="675" operator="equal">
      <formula>"TRANSFER"</formula>
    </cfRule>
    <cfRule type="cellIs" dxfId="1" priority="674" operator="equal">
      <formula>"TERM"</formula>
    </cfRule>
    <cfRule type="cellIs" dxfId="2" priority="673" operator="equal">
      <formula>"REINSTATEMENT"</formula>
    </cfRule>
    <cfRule type="cellIs" dxfId="3" priority="672" operator="equal">
      <formula>"PROMOTED"</formula>
    </cfRule>
    <cfRule type="cellIs" dxfId="4" priority="671" operator="equal">
      <formula>"PENDING TERM"</formula>
    </cfRule>
    <cfRule type="cellIs" dxfId="0" priority="670" operator="equal">
      <formula>"LOA"</formula>
    </cfRule>
  </conditionalFormatting>
  <conditionalFormatting sqref="I38">
    <cfRule type="duplicateValues" dxfId="6" priority="680"/>
    <cfRule type="duplicateValues" dxfId="5" priority="679"/>
    <cfRule type="duplicateValues" dxfId="5" priority="677"/>
  </conditionalFormatting>
  <conditionalFormatting sqref="D39">
    <cfRule type="duplicateValues" dxfId="5" priority="495"/>
    <cfRule type="duplicateValues" dxfId="5" priority="491"/>
  </conditionalFormatting>
  <conditionalFormatting sqref="D39:G39">
    <cfRule type="cellIs" dxfId="0" priority="489" operator="equal">
      <formula>"TRANSFER"</formula>
    </cfRule>
    <cfRule type="cellIs" dxfId="1" priority="488" operator="equal">
      <formula>"TERM"</formula>
    </cfRule>
    <cfRule type="cellIs" dxfId="2" priority="487" operator="equal">
      <formula>"REINSTATEMENT"</formula>
    </cfRule>
    <cfRule type="cellIs" dxfId="3" priority="486" operator="equal">
      <formula>"PROMOTED"</formula>
    </cfRule>
    <cfRule type="cellIs" dxfId="4" priority="485" operator="equal">
      <formula>"PENDING TERM"</formula>
    </cfRule>
    <cfRule type="cellIs" dxfId="0" priority="484" operator="equal">
      <formula>"LOA"</formula>
    </cfRule>
  </conditionalFormatting>
  <conditionalFormatting sqref="E39">
    <cfRule type="duplicateValues" dxfId="6" priority="499"/>
    <cfRule type="duplicateValues" dxfId="5" priority="497"/>
    <cfRule type="duplicateValues" dxfId="5" priority="493"/>
  </conditionalFormatting>
  <conditionalFormatting sqref="F39">
    <cfRule type="duplicateValues" dxfId="5" priority="494"/>
    <cfRule type="duplicateValues" dxfId="5" priority="490"/>
  </conditionalFormatting>
  <conditionalFormatting sqref="G39">
    <cfRule type="duplicateValues" dxfId="6" priority="498"/>
    <cfRule type="duplicateValues" dxfId="5" priority="496"/>
    <cfRule type="duplicateValues" dxfId="5" priority="492"/>
  </conditionalFormatting>
  <conditionalFormatting sqref="H39">
    <cfRule type="duplicateValues" dxfId="5" priority="508"/>
    <cfRule type="duplicateValues" dxfId="5" priority="506"/>
  </conditionalFormatting>
  <conditionalFormatting sqref="H39:I39">
    <cfRule type="cellIs" dxfId="0" priority="505" operator="equal">
      <formula>"TRANSFER"</formula>
    </cfRule>
    <cfRule type="cellIs" dxfId="1" priority="504" operator="equal">
      <formula>"TERM"</formula>
    </cfRule>
    <cfRule type="cellIs" dxfId="2" priority="503" operator="equal">
      <formula>"REINSTATEMENT"</formula>
    </cfRule>
    <cfRule type="cellIs" dxfId="3" priority="502" operator="equal">
      <formula>"PROMOTED"</formula>
    </cfRule>
    <cfRule type="cellIs" dxfId="4" priority="501" operator="equal">
      <formula>"PENDING TERM"</formula>
    </cfRule>
    <cfRule type="cellIs" dxfId="0" priority="500" operator="equal">
      <formula>"LOA"</formula>
    </cfRule>
  </conditionalFormatting>
  <conditionalFormatting sqref="I39">
    <cfRule type="duplicateValues" dxfId="6" priority="510"/>
    <cfRule type="duplicateValues" dxfId="5" priority="509"/>
    <cfRule type="duplicateValues" dxfId="5" priority="507"/>
  </conditionalFormatting>
  <conditionalFormatting sqref="D41:G41">
    <cfRule type="cellIs" dxfId="0" priority="635" operator="equal">
      <formula>"TRANSFER"</formula>
    </cfRule>
    <cfRule type="cellIs" dxfId="1" priority="634" operator="equal">
      <formula>"TERM"</formula>
    </cfRule>
    <cfRule type="cellIs" dxfId="2" priority="633" operator="equal">
      <formula>"REINSTATEMENT"</formula>
    </cfRule>
    <cfRule type="cellIs" dxfId="3" priority="632" operator="equal">
      <formula>"PROMOTED"</formula>
    </cfRule>
    <cfRule type="cellIs" dxfId="4" priority="631" operator="equal">
      <formula>"PENDING TERM"</formula>
    </cfRule>
    <cfRule type="cellIs" dxfId="0" priority="630" operator="equal">
      <formula>"LOA"</formula>
    </cfRule>
  </conditionalFormatting>
  <conditionalFormatting sqref="H41">
    <cfRule type="duplicateValues" dxfId="5" priority="627"/>
    <cfRule type="duplicateValues" dxfId="5" priority="625"/>
  </conditionalFormatting>
  <conditionalFormatting sqref="H41:I41">
    <cfRule type="cellIs" dxfId="0" priority="624" operator="equal">
      <formula>"TRANSFER"</formula>
    </cfRule>
    <cfRule type="cellIs" dxfId="1" priority="623" operator="equal">
      <formula>"TERM"</formula>
    </cfRule>
    <cfRule type="cellIs" dxfId="2" priority="622" operator="equal">
      <formula>"REINSTATEMENT"</formula>
    </cfRule>
    <cfRule type="cellIs" dxfId="3" priority="621" operator="equal">
      <formula>"PROMOTED"</formula>
    </cfRule>
    <cfRule type="cellIs" dxfId="4" priority="620" operator="equal">
      <formula>"PENDING TERM"</formula>
    </cfRule>
    <cfRule type="cellIs" dxfId="0" priority="619" operator="equal">
      <formula>"LOA"</formula>
    </cfRule>
  </conditionalFormatting>
  <conditionalFormatting sqref="I41">
    <cfRule type="duplicateValues" dxfId="6" priority="629"/>
    <cfRule type="duplicateValues" dxfId="5" priority="628"/>
    <cfRule type="duplicateValues" dxfId="5" priority="626"/>
  </conditionalFormatting>
  <conditionalFormatting sqref="D42">
    <cfRule type="duplicateValues" dxfId="5" priority="468"/>
    <cfRule type="duplicateValues" dxfId="5" priority="464"/>
  </conditionalFormatting>
  <conditionalFormatting sqref="D42:G42">
    <cfRule type="cellIs" dxfId="0" priority="462" operator="equal">
      <formula>"TRANSFER"</formula>
    </cfRule>
    <cfRule type="cellIs" dxfId="1" priority="461" operator="equal">
      <formula>"TERM"</formula>
    </cfRule>
    <cfRule type="cellIs" dxfId="2" priority="460" operator="equal">
      <formula>"REINSTATEMENT"</formula>
    </cfRule>
    <cfRule type="cellIs" dxfId="3" priority="459" operator="equal">
      <formula>"PROMOTED"</formula>
    </cfRule>
    <cfRule type="cellIs" dxfId="4" priority="458" operator="equal">
      <formula>"PENDING TERM"</formula>
    </cfRule>
    <cfRule type="cellIs" dxfId="0" priority="457" operator="equal">
      <formula>"LOA"</formula>
    </cfRule>
  </conditionalFormatting>
  <conditionalFormatting sqref="E42">
    <cfRule type="duplicateValues" dxfId="6" priority="472"/>
    <cfRule type="duplicateValues" dxfId="5" priority="470"/>
    <cfRule type="duplicateValues" dxfId="5" priority="466"/>
  </conditionalFormatting>
  <conditionalFormatting sqref="F42">
    <cfRule type="duplicateValues" dxfId="5" priority="467"/>
    <cfRule type="duplicateValues" dxfId="5" priority="463"/>
  </conditionalFormatting>
  <conditionalFormatting sqref="G42">
    <cfRule type="duplicateValues" dxfId="6" priority="471"/>
    <cfRule type="duplicateValues" dxfId="5" priority="469"/>
    <cfRule type="duplicateValues" dxfId="5" priority="465"/>
  </conditionalFormatting>
  <conditionalFormatting sqref="H42">
    <cfRule type="duplicateValues" dxfId="5" priority="481"/>
    <cfRule type="duplicateValues" dxfId="5" priority="479"/>
  </conditionalFormatting>
  <conditionalFormatting sqref="H42:I42">
    <cfRule type="cellIs" dxfId="0" priority="478" operator="equal">
      <formula>"TRANSFER"</formula>
    </cfRule>
    <cfRule type="cellIs" dxfId="1" priority="477" operator="equal">
      <formula>"TERM"</formula>
    </cfRule>
    <cfRule type="cellIs" dxfId="2" priority="476" operator="equal">
      <formula>"REINSTATEMENT"</formula>
    </cfRule>
    <cfRule type="cellIs" dxfId="3" priority="475" operator="equal">
      <formula>"PROMOTED"</formula>
    </cfRule>
    <cfRule type="cellIs" dxfId="4" priority="474" operator="equal">
      <formula>"PENDING TERM"</formula>
    </cfRule>
    <cfRule type="cellIs" dxfId="0" priority="473" operator="equal">
      <formula>"LOA"</formula>
    </cfRule>
  </conditionalFormatting>
  <conditionalFormatting sqref="I42">
    <cfRule type="duplicateValues" dxfId="6" priority="483"/>
    <cfRule type="duplicateValues" dxfId="5" priority="482"/>
    <cfRule type="duplicateValues" dxfId="5" priority="480"/>
  </conditionalFormatting>
  <conditionalFormatting sqref="D45:G45">
    <cfRule type="cellIs" dxfId="0" priority="260" operator="equal">
      <formula>"TRANSFER"</formula>
    </cfRule>
    <cfRule type="cellIs" dxfId="1" priority="259" operator="equal">
      <formula>"TERM"</formula>
    </cfRule>
    <cfRule type="cellIs" dxfId="2" priority="258" operator="equal">
      <formula>"REINSTATEMENT"</formula>
    </cfRule>
    <cfRule type="cellIs" dxfId="3" priority="257" operator="equal">
      <formula>"PROMOTED"</formula>
    </cfRule>
    <cfRule type="cellIs" dxfId="4" priority="256" operator="equal">
      <formula>"PENDING TERM"</formula>
    </cfRule>
    <cfRule type="cellIs" dxfId="0" priority="255" operator="equal">
      <formula>"LOA"</formula>
    </cfRule>
  </conditionalFormatting>
  <conditionalFormatting sqref="H45">
    <cfRule type="duplicateValues" dxfId="5" priority="252"/>
    <cfRule type="duplicateValues" dxfId="5" priority="250"/>
  </conditionalFormatting>
  <conditionalFormatting sqref="H45:I45">
    <cfRule type="cellIs" dxfId="0" priority="249" operator="equal">
      <formula>"TRANSFER"</formula>
    </cfRule>
    <cfRule type="cellIs" dxfId="1" priority="248" operator="equal">
      <formula>"TERM"</formula>
    </cfRule>
    <cfRule type="cellIs" dxfId="2" priority="247" operator="equal">
      <formula>"REINSTATEMENT"</formula>
    </cfRule>
    <cfRule type="cellIs" dxfId="3" priority="246" operator="equal">
      <formula>"PROMOTED"</formula>
    </cfRule>
    <cfRule type="cellIs" dxfId="4" priority="245" operator="equal">
      <formula>"PENDING TERM"</formula>
    </cfRule>
    <cfRule type="cellIs" dxfId="0" priority="244" operator="equal">
      <formula>"LOA"</formula>
    </cfRule>
  </conditionalFormatting>
  <conditionalFormatting sqref="I45">
    <cfRule type="duplicateValues" dxfId="6" priority="254"/>
    <cfRule type="duplicateValues" dxfId="5" priority="253"/>
    <cfRule type="duplicateValues" dxfId="5" priority="251"/>
  </conditionalFormatting>
  <conditionalFormatting sqref="D48:G48">
    <cfRule type="cellIs" dxfId="0" priority="51" operator="equal">
      <formula>"TRANSFER"</formula>
    </cfRule>
    <cfRule type="cellIs" dxfId="1" priority="50" operator="equal">
      <formula>"TERM"</formula>
    </cfRule>
    <cfRule type="cellIs" dxfId="2" priority="49" operator="equal">
      <formula>"REINSTATEMENT"</formula>
    </cfRule>
    <cfRule type="cellIs" dxfId="3" priority="48" operator="equal">
      <formula>"PROMOTED"</formula>
    </cfRule>
    <cfRule type="cellIs" dxfId="4" priority="47" operator="equal">
      <formula>"PENDING TERM"</formula>
    </cfRule>
    <cfRule type="cellIs" dxfId="0" priority="46" operator="equal">
      <formula>"LOA"</formula>
    </cfRule>
  </conditionalFormatting>
  <conditionalFormatting sqref="H48">
    <cfRule type="duplicateValues" dxfId="5" priority="43"/>
    <cfRule type="duplicateValues" dxfId="5" priority="41"/>
  </conditionalFormatting>
  <conditionalFormatting sqref="H48:I48">
    <cfRule type="cellIs" dxfId="0" priority="40" operator="equal">
      <formula>"TRANSFER"</formula>
    </cfRule>
    <cfRule type="cellIs" dxfId="1" priority="39" operator="equal">
      <formula>"TERM"</formula>
    </cfRule>
    <cfRule type="cellIs" dxfId="2" priority="38" operator="equal">
      <formula>"REINSTATEMENT"</formula>
    </cfRule>
    <cfRule type="cellIs" dxfId="3" priority="37" operator="equal">
      <formula>"PROMOTED"</formula>
    </cfRule>
    <cfRule type="cellIs" dxfId="4" priority="36" operator="equal">
      <formula>"PENDING TERM"</formula>
    </cfRule>
    <cfRule type="cellIs" dxfId="0" priority="35" operator="equal">
      <formula>"LOA"</formula>
    </cfRule>
  </conditionalFormatting>
  <conditionalFormatting sqref="I48">
    <cfRule type="duplicateValues" dxfId="6" priority="45"/>
    <cfRule type="duplicateValues" dxfId="5" priority="44"/>
    <cfRule type="duplicateValues" dxfId="5" priority="42"/>
  </conditionalFormatting>
  <conditionalFormatting sqref="D49">
    <cfRule type="cellIs" dxfId="0" priority="180" operator="equal">
      <formula>"TRANSFER"</formula>
    </cfRule>
    <cfRule type="cellIs" dxfId="1" priority="179" operator="equal">
      <formula>"TERM"</formula>
    </cfRule>
    <cfRule type="cellIs" dxfId="2" priority="178" operator="equal">
      <formula>"REINSTATEMENT"</formula>
    </cfRule>
    <cfRule type="cellIs" dxfId="3" priority="177" operator="equal">
      <formula>"PROMOTED"</formula>
    </cfRule>
    <cfRule type="cellIs" dxfId="4" priority="176" operator="equal">
      <formula>"PENDING TERM"</formula>
    </cfRule>
    <cfRule type="cellIs" dxfId="0" priority="175" operator="equal">
      <formula>"LOA"</formula>
    </cfRule>
  </conditionalFormatting>
  <conditionalFormatting sqref="H49">
    <cfRule type="duplicateValues" dxfId="5" priority="181"/>
  </conditionalFormatting>
  <conditionalFormatting sqref="I49">
    <cfRule type="duplicateValues" dxfId="6" priority="183"/>
    <cfRule type="duplicateValues" dxfId="5" priority="182"/>
  </conditionalFormatting>
  <conditionalFormatting sqref="D50:G50">
    <cfRule type="cellIs" dxfId="0" priority="68" operator="equal">
      <formula>"TRANSFER"</formula>
    </cfRule>
    <cfRule type="cellIs" dxfId="1" priority="67" operator="equal">
      <formula>"TERM"</formula>
    </cfRule>
    <cfRule type="cellIs" dxfId="2" priority="66" operator="equal">
      <formula>"REINSTATEMENT"</formula>
    </cfRule>
    <cfRule type="cellIs" dxfId="3" priority="65" operator="equal">
      <formula>"PROMOTED"</formula>
    </cfRule>
    <cfRule type="cellIs" dxfId="4" priority="64" operator="equal">
      <formula>"PENDING TERM"</formula>
    </cfRule>
    <cfRule type="cellIs" dxfId="0" priority="63" operator="equal">
      <formula>"LOA"</formula>
    </cfRule>
  </conditionalFormatting>
  <conditionalFormatting sqref="H50">
    <cfRule type="duplicateValues" dxfId="5" priority="60"/>
    <cfRule type="duplicateValues" dxfId="5" priority="58"/>
  </conditionalFormatting>
  <conditionalFormatting sqref="H50:I50">
    <cfRule type="cellIs" dxfId="0" priority="57" operator="equal">
      <formula>"TRANSFER"</formula>
    </cfRule>
    <cfRule type="cellIs" dxfId="1" priority="56" operator="equal">
      <formula>"TERM"</formula>
    </cfRule>
    <cfRule type="cellIs" dxfId="2" priority="55" operator="equal">
      <formula>"REINSTATEMENT"</formula>
    </cfRule>
    <cfRule type="cellIs" dxfId="3" priority="54" operator="equal">
      <formula>"PROMOTED"</formula>
    </cfRule>
    <cfRule type="cellIs" dxfId="4" priority="53" operator="equal">
      <formula>"PENDING TERM"</formula>
    </cfRule>
    <cfRule type="cellIs" dxfId="0" priority="52" operator="equal">
      <formula>"LOA"</formula>
    </cfRule>
  </conditionalFormatting>
  <conditionalFormatting sqref="I50">
    <cfRule type="duplicateValues" dxfId="6" priority="62"/>
    <cfRule type="duplicateValues" dxfId="5" priority="61"/>
    <cfRule type="duplicateValues" dxfId="5" priority="59"/>
  </conditionalFormatting>
  <conditionalFormatting sqref="D52">
    <cfRule type="cellIs" dxfId="0" priority="171" operator="equal">
      <formula>"TRANSFER"</formula>
    </cfRule>
    <cfRule type="cellIs" dxfId="1" priority="170" operator="equal">
      <formula>"TERM"</formula>
    </cfRule>
    <cfRule type="cellIs" dxfId="2" priority="169" operator="equal">
      <formula>"REINSTATEMENT"</formula>
    </cfRule>
    <cfRule type="cellIs" dxfId="3" priority="168" operator="equal">
      <formula>"PROMOTED"</formula>
    </cfRule>
    <cfRule type="cellIs" dxfId="4" priority="167" operator="equal">
      <formula>"PENDING TERM"</formula>
    </cfRule>
    <cfRule type="cellIs" dxfId="0" priority="166" operator="equal">
      <formula>"LOA"</formula>
    </cfRule>
  </conditionalFormatting>
  <conditionalFormatting sqref="H52">
    <cfRule type="duplicateValues" dxfId="5" priority="172"/>
  </conditionalFormatting>
  <conditionalFormatting sqref="I52">
    <cfRule type="duplicateValues" dxfId="6" priority="174"/>
    <cfRule type="duplicateValues" dxfId="5" priority="173"/>
  </conditionalFormatting>
  <conditionalFormatting sqref="D56">
    <cfRule type="cellIs" dxfId="0" priority="162" operator="equal">
      <formula>"TRANSFER"</formula>
    </cfRule>
    <cfRule type="cellIs" dxfId="1" priority="161" operator="equal">
      <formula>"TERM"</formula>
    </cfRule>
    <cfRule type="cellIs" dxfId="2" priority="160" operator="equal">
      <formula>"REINSTATEMENT"</formula>
    </cfRule>
    <cfRule type="cellIs" dxfId="3" priority="159" operator="equal">
      <formula>"PROMOTED"</formula>
    </cfRule>
    <cfRule type="cellIs" dxfId="4" priority="158" operator="equal">
      <formula>"PENDING TERM"</formula>
    </cfRule>
    <cfRule type="cellIs" dxfId="0" priority="157" operator="equal">
      <formula>"LOA"</formula>
    </cfRule>
  </conditionalFormatting>
  <conditionalFormatting sqref="H56">
    <cfRule type="duplicateValues" dxfId="5" priority="163"/>
  </conditionalFormatting>
  <conditionalFormatting sqref="I56">
    <cfRule type="duplicateValues" dxfId="6" priority="165"/>
    <cfRule type="duplicateValues" dxfId="5" priority="164"/>
  </conditionalFormatting>
  <conditionalFormatting sqref="D61">
    <cfRule type="duplicateValues" dxfId="5" priority="441"/>
    <cfRule type="duplicateValues" dxfId="5" priority="437"/>
  </conditionalFormatting>
  <conditionalFormatting sqref="D61:G61">
    <cfRule type="cellIs" dxfId="0" priority="435" operator="equal">
      <formula>"TRANSFER"</formula>
    </cfRule>
    <cfRule type="cellIs" dxfId="1" priority="434" operator="equal">
      <formula>"TERM"</formula>
    </cfRule>
    <cfRule type="cellIs" dxfId="2" priority="433" operator="equal">
      <formula>"REINSTATEMENT"</formula>
    </cfRule>
    <cfRule type="cellIs" dxfId="3" priority="432" operator="equal">
      <formula>"PROMOTED"</formula>
    </cfRule>
    <cfRule type="cellIs" dxfId="4" priority="431" operator="equal">
      <formula>"PENDING TERM"</formula>
    </cfRule>
    <cfRule type="cellIs" dxfId="0" priority="430" operator="equal">
      <formula>"LOA"</formula>
    </cfRule>
  </conditionalFormatting>
  <conditionalFormatting sqref="E61">
    <cfRule type="duplicateValues" dxfId="6" priority="445"/>
    <cfRule type="duplicateValues" dxfId="5" priority="443"/>
    <cfRule type="duplicateValues" dxfId="5" priority="439"/>
  </conditionalFormatting>
  <conditionalFormatting sqref="F61">
    <cfRule type="duplicateValues" dxfId="5" priority="440"/>
    <cfRule type="duplicateValues" dxfId="5" priority="436"/>
  </conditionalFormatting>
  <conditionalFormatting sqref="G61">
    <cfRule type="duplicateValues" dxfId="6" priority="444"/>
    <cfRule type="duplicateValues" dxfId="5" priority="442"/>
    <cfRule type="duplicateValues" dxfId="5" priority="438"/>
  </conditionalFormatting>
  <conditionalFormatting sqref="H61">
    <cfRule type="duplicateValues" dxfId="5" priority="454"/>
    <cfRule type="duplicateValues" dxfId="5" priority="452"/>
  </conditionalFormatting>
  <conditionalFormatting sqref="H61:I61">
    <cfRule type="cellIs" dxfId="0" priority="451" operator="equal">
      <formula>"TRANSFER"</formula>
    </cfRule>
    <cfRule type="cellIs" dxfId="1" priority="450" operator="equal">
      <formula>"TERM"</formula>
    </cfRule>
    <cfRule type="cellIs" dxfId="2" priority="449" operator="equal">
      <formula>"REINSTATEMENT"</formula>
    </cfRule>
    <cfRule type="cellIs" dxfId="3" priority="448" operator="equal">
      <formula>"PROMOTED"</formula>
    </cfRule>
    <cfRule type="cellIs" dxfId="4" priority="447" operator="equal">
      <formula>"PENDING TERM"</formula>
    </cfRule>
    <cfRule type="cellIs" dxfId="0" priority="446" operator="equal">
      <formula>"LOA"</formula>
    </cfRule>
  </conditionalFormatting>
  <conditionalFormatting sqref="I61">
    <cfRule type="duplicateValues" dxfId="6" priority="456"/>
    <cfRule type="duplicateValues" dxfId="5" priority="455"/>
    <cfRule type="duplicateValues" dxfId="5" priority="453"/>
  </conditionalFormatting>
  <conditionalFormatting sqref="D63">
    <cfRule type="duplicateValues" dxfId="5" priority="414"/>
    <cfRule type="duplicateValues" dxfId="5" priority="410"/>
  </conditionalFormatting>
  <conditionalFormatting sqref="D63:G63">
    <cfRule type="cellIs" dxfId="0" priority="408" operator="equal">
      <formula>"TRANSFER"</formula>
    </cfRule>
    <cfRule type="cellIs" dxfId="1" priority="407" operator="equal">
      <formula>"TERM"</formula>
    </cfRule>
    <cfRule type="cellIs" dxfId="2" priority="406" operator="equal">
      <formula>"REINSTATEMENT"</formula>
    </cfRule>
    <cfRule type="cellIs" dxfId="3" priority="405" operator="equal">
      <formula>"PROMOTED"</formula>
    </cfRule>
    <cfRule type="cellIs" dxfId="4" priority="404" operator="equal">
      <formula>"PENDING TERM"</formula>
    </cfRule>
    <cfRule type="cellIs" dxfId="0" priority="403" operator="equal">
      <formula>"LOA"</formula>
    </cfRule>
  </conditionalFormatting>
  <conditionalFormatting sqref="E63">
    <cfRule type="duplicateValues" dxfId="6" priority="418"/>
    <cfRule type="duplicateValues" dxfId="5" priority="416"/>
    <cfRule type="duplicateValues" dxfId="5" priority="412"/>
  </conditionalFormatting>
  <conditionalFormatting sqref="F63">
    <cfRule type="duplicateValues" dxfId="5" priority="413"/>
    <cfRule type="duplicateValues" dxfId="5" priority="409"/>
  </conditionalFormatting>
  <conditionalFormatting sqref="G63">
    <cfRule type="duplicateValues" dxfId="6" priority="417"/>
    <cfRule type="duplicateValues" dxfId="5" priority="415"/>
    <cfRule type="duplicateValues" dxfId="5" priority="411"/>
  </conditionalFormatting>
  <conditionalFormatting sqref="H63">
    <cfRule type="duplicateValues" dxfId="5" priority="427"/>
    <cfRule type="duplicateValues" dxfId="5" priority="425"/>
  </conditionalFormatting>
  <conditionalFormatting sqref="H63:I63">
    <cfRule type="cellIs" dxfId="0" priority="424" operator="equal">
      <formula>"TRANSFER"</formula>
    </cfRule>
    <cfRule type="cellIs" dxfId="1" priority="423" operator="equal">
      <formula>"TERM"</formula>
    </cfRule>
    <cfRule type="cellIs" dxfId="2" priority="422" operator="equal">
      <formula>"REINSTATEMENT"</formula>
    </cfRule>
    <cfRule type="cellIs" dxfId="3" priority="421" operator="equal">
      <formula>"PROMOTED"</formula>
    </cfRule>
    <cfRule type="cellIs" dxfId="4" priority="420" operator="equal">
      <formula>"PENDING TERM"</formula>
    </cfRule>
    <cfRule type="cellIs" dxfId="0" priority="419" operator="equal">
      <formula>"LOA"</formula>
    </cfRule>
  </conditionalFormatting>
  <conditionalFormatting sqref="I63">
    <cfRule type="duplicateValues" dxfId="6" priority="429"/>
    <cfRule type="duplicateValues" dxfId="5" priority="428"/>
    <cfRule type="duplicateValues" dxfId="5" priority="426"/>
  </conditionalFormatting>
  <conditionalFormatting sqref="D68:G68">
    <cfRule type="cellIs" dxfId="0" priority="17" operator="equal">
      <formula>"TRANSFER"</formula>
    </cfRule>
    <cfRule type="cellIs" dxfId="1" priority="16" operator="equal">
      <formula>"TERM"</formula>
    </cfRule>
    <cfRule type="cellIs" dxfId="2" priority="15" operator="equal">
      <formula>"REINSTATEMENT"</formula>
    </cfRule>
    <cfRule type="cellIs" dxfId="3" priority="14" operator="equal">
      <formula>"PROMOTED"</formula>
    </cfRule>
    <cfRule type="cellIs" dxfId="4" priority="13" operator="equal">
      <formula>"PENDING TERM"</formula>
    </cfRule>
    <cfRule type="cellIs" dxfId="0" priority="12" operator="equal">
      <formula>"LOA"</formula>
    </cfRule>
  </conditionalFormatting>
  <conditionalFormatting sqref="H68">
    <cfRule type="duplicateValues" dxfId="5" priority="9"/>
    <cfRule type="duplicateValues" dxfId="5" priority="7"/>
  </conditionalFormatting>
  <conditionalFormatting sqref="H68:I68">
    <cfRule type="cellIs" dxfId="0" priority="6" operator="equal">
      <formula>"TRANSFER"</formula>
    </cfRule>
    <cfRule type="cellIs" dxfId="1" priority="5" operator="equal">
      <formula>"TERM"</formula>
    </cfRule>
    <cfRule type="cellIs" dxfId="2" priority="4" operator="equal">
      <formula>"REINSTATEMENT"</formula>
    </cfRule>
    <cfRule type="cellIs" dxfId="3" priority="3" operator="equal">
      <formula>"PROMOTED"</formula>
    </cfRule>
    <cfRule type="cellIs" dxfId="4" priority="2" operator="equal">
      <formula>"PENDING TERM"</formula>
    </cfRule>
    <cfRule type="cellIs" dxfId="0" priority="1" operator="equal">
      <formula>"LOA"</formula>
    </cfRule>
  </conditionalFormatting>
  <conditionalFormatting sqref="I68">
    <cfRule type="duplicateValues" dxfId="6" priority="11"/>
    <cfRule type="duplicateValues" dxfId="5" priority="10"/>
    <cfRule type="duplicateValues" dxfId="5" priority="8"/>
  </conditionalFormatting>
  <conditionalFormatting sqref="D69:G69">
    <cfRule type="cellIs" dxfId="0" priority="243" operator="equal">
      <formula>"TRANSFER"</formula>
    </cfRule>
    <cfRule type="cellIs" dxfId="1" priority="242" operator="equal">
      <formula>"TERM"</formula>
    </cfRule>
    <cfRule type="cellIs" dxfId="2" priority="241" operator="equal">
      <formula>"REINSTATEMENT"</formula>
    </cfRule>
    <cfRule type="cellIs" dxfId="3" priority="240" operator="equal">
      <formula>"PROMOTED"</formula>
    </cfRule>
    <cfRule type="cellIs" dxfId="4" priority="239" operator="equal">
      <formula>"PENDING TERM"</formula>
    </cfRule>
    <cfRule type="cellIs" dxfId="0" priority="238" operator="equal">
      <formula>"LOA"</formula>
    </cfRule>
  </conditionalFormatting>
  <conditionalFormatting sqref="H69">
    <cfRule type="duplicateValues" dxfId="5" priority="235"/>
    <cfRule type="duplicateValues" dxfId="5" priority="233"/>
  </conditionalFormatting>
  <conditionalFormatting sqref="H69:I69">
    <cfRule type="cellIs" dxfId="0" priority="232" operator="equal">
      <formula>"TRANSFER"</formula>
    </cfRule>
    <cfRule type="cellIs" dxfId="1" priority="231" operator="equal">
      <formula>"TERM"</formula>
    </cfRule>
    <cfRule type="cellIs" dxfId="2" priority="230" operator="equal">
      <formula>"REINSTATEMENT"</formula>
    </cfRule>
    <cfRule type="cellIs" dxfId="3" priority="229" operator="equal">
      <formula>"PROMOTED"</formula>
    </cfRule>
    <cfRule type="cellIs" dxfId="4" priority="228" operator="equal">
      <formula>"PENDING TERM"</formula>
    </cfRule>
    <cfRule type="cellIs" dxfId="0" priority="227" operator="equal">
      <formula>"LOA"</formula>
    </cfRule>
  </conditionalFormatting>
  <conditionalFormatting sqref="I69">
    <cfRule type="duplicateValues" dxfId="6" priority="237"/>
    <cfRule type="duplicateValues" dxfId="5" priority="236"/>
    <cfRule type="duplicateValues" dxfId="5" priority="234"/>
  </conditionalFormatting>
  <conditionalFormatting sqref="D72:G72">
    <cfRule type="cellIs" dxfId="0" priority="34" operator="equal">
      <formula>"TRANSFER"</formula>
    </cfRule>
    <cfRule type="cellIs" dxfId="1" priority="33" operator="equal">
      <formula>"TERM"</formula>
    </cfRule>
    <cfRule type="cellIs" dxfId="2" priority="32" operator="equal">
      <formula>"REINSTATEMENT"</formula>
    </cfRule>
    <cfRule type="cellIs" dxfId="3" priority="31" operator="equal">
      <formula>"PROMOTED"</formula>
    </cfRule>
    <cfRule type="cellIs" dxfId="4" priority="30" operator="equal">
      <formula>"PENDING TERM"</formula>
    </cfRule>
    <cfRule type="cellIs" dxfId="0" priority="29" operator="equal">
      <formula>"LOA"</formula>
    </cfRule>
  </conditionalFormatting>
  <conditionalFormatting sqref="H72">
    <cfRule type="duplicateValues" dxfId="5" priority="26"/>
    <cfRule type="duplicateValues" dxfId="5" priority="24"/>
  </conditionalFormatting>
  <conditionalFormatting sqref="H72:I72">
    <cfRule type="cellIs" dxfId="0" priority="23" operator="equal">
      <formula>"TRANSFER"</formula>
    </cfRule>
    <cfRule type="cellIs" dxfId="1" priority="22" operator="equal">
      <formula>"TERM"</formula>
    </cfRule>
    <cfRule type="cellIs" dxfId="2" priority="21" operator="equal">
      <formula>"REINSTATEMENT"</formula>
    </cfRule>
    <cfRule type="cellIs" dxfId="3" priority="20" operator="equal">
      <formula>"PROMOTED"</formula>
    </cfRule>
    <cfRule type="cellIs" dxfId="4" priority="19" operator="equal">
      <formula>"PENDING TERM"</formula>
    </cfRule>
    <cfRule type="cellIs" dxfId="0" priority="18" operator="equal">
      <formula>"LOA"</formula>
    </cfRule>
  </conditionalFormatting>
  <conditionalFormatting sqref="I72">
    <cfRule type="duplicateValues" dxfId="6" priority="28"/>
    <cfRule type="duplicateValues" dxfId="5" priority="27"/>
    <cfRule type="duplicateValues" dxfId="5" priority="25"/>
  </conditionalFormatting>
  <conditionalFormatting sqref="D73">
    <cfRule type="cellIs" dxfId="0" priority="153" operator="equal">
      <formula>"TRANSFER"</formula>
    </cfRule>
    <cfRule type="cellIs" dxfId="1" priority="152" operator="equal">
      <formula>"TERM"</formula>
    </cfRule>
    <cfRule type="cellIs" dxfId="2" priority="151" operator="equal">
      <formula>"REINSTATEMENT"</formula>
    </cfRule>
    <cfRule type="cellIs" dxfId="3" priority="150" operator="equal">
      <formula>"PROMOTED"</formula>
    </cfRule>
    <cfRule type="cellIs" dxfId="4" priority="149" operator="equal">
      <formula>"PENDING TERM"</formula>
    </cfRule>
    <cfRule type="cellIs" dxfId="0" priority="148" operator="equal">
      <formula>"LOA"</formula>
    </cfRule>
  </conditionalFormatting>
  <conditionalFormatting sqref="H73">
    <cfRule type="duplicateValues" dxfId="5" priority="154"/>
  </conditionalFormatting>
  <conditionalFormatting sqref="I73">
    <cfRule type="duplicateValues" dxfId="6" priority="156"/>
    <cfRule type="duplicateValues" dxfId="5" priority="155"/>
  </conditionalFormatting>
  <conditionalFormatting sqref="D74">
    <cfRule type="cellIs" dxfId="0" priority="117" operator="equal">
      <formula>"TRANSFER"</formula>
    </cfRule>
    <cfRule type="cellIs" dxfId="1" priority="116" operator="equal">
      <formula>"TERM"</formula>
    </cfRule>
    <cfRule type="cellIs" dxfId="2" priority="115" operator="equal">
      <formula>"REINSTATEMENT"</formula>
    </cfRule>
    <cfRule type="cellIs" dxfId="3" priority="114" operator="equal">
      <formula>"PROMOTED"</formula>
    </cfRule>
    <cfRule type="cellIs" dxfId="4" priority="113" operator="equal">
      <formula>"PENDING TERM"</formula>
    </cfRule>
    <cfRule type="cellIs" dxfId="0" priority="112" operator="equal">
      <formula>"LOA"</formula>
    </cfRule>
  </conditionalFormatting>
  <conditionalFormatting sqref="H74">
    <cfRule type="duplicateValues" dxfId="5" priority="118"/>
  </conditionalFormatting>
  <conditionalFormatting sqref="I74">
    <cfRule type="duplicateValues" dxfId="6" priority="120"/>
    <cfRule type="duplicateValues" dxfId="5" priority="119"/>
  </conditionalFormatting>
  <conditionalFormatting sqref="D78">
    <cfRule type="cellIs" dxfId="0" priority="144" operator="equal">
      <formula>"TRANSFER"</formula>
    </cfRule>
    <cfRule type="cellIs" dxfId="1" priority="143" operator="equal">
      <formula>"TERM"</formula>
    </cfRule>
    <cfRule type="cellIs" dxfId="2" priority="142" operator="equal">
      <formula>"REINSTATEMENT"</formula>
    </cfRule>
    <cfRule type="cellIs" dxfId="3" priority="141" operator="equal">
      <formula>"PROMOTED"</formula>
    </cfRule>
    <cfRule type="cellIs" dxfId="4" priority="140" operator="equal">
      <formula>"PENDING TERM"</formula>
    </cfRule>
    <cfRule type="cellIs" dxfId="0" priority="139" operator="equal">
      <formula>"LOA"</formula>
    </cfRule>
  </conditionalFormatting>
  <conditionalFormatting sqref="H78">
    <cfRule type="duplicateValues" dxfId="5" priority="145"/>
  </conditionalFormatting>
  <conditionalFormatting sqref="I78">
    <cfRule type="duplicateValues" dxfId="6" priority="147"/>
    <cfRule type="duplicateValues" dxfId="5" priority="146"/>
  </conditionalFormatting>
  <conditionalFormatting sqref="D79">
    <cfRule type="cellIs" dxfId="0" priority="108" operator="equal">
      <formula>"TRANSFER"</formula>
    </cfRule>
    <cfRule type="cellIs" dxfId="1" priority="107" operator="equal">
      <formula>"TERM"</formula>
    </cfRule>
    <cfRule type="cellIs" dxfId="2" priority="106" operator="equal">
      <formula>"REINSTATEMENT"</formula>
    </cfRule>
    <cfRule type="cellIs" dxfId="3" priority="105" operator="equal">
      <formula>"PROMOTED"</formula>
    </cfRule>
    <cfRule type="cellIs" dxfId="4" priority="104" operator="equal">
      <formula>"PENDING TERM"</formula>
    </cfRule>
    <cfRule type="cellIs" dxfId="0" priority="103" operator="equal">
      <formula>"LOA"</formula>
    </cfRule>
  </conditionalFormatting>
  <conditionalFormatting sqref="H79">
    <cfRule type="duplicateValues" dxfId="5" priority="109"/>
  </conditionalFormatting>
  <conditionalFormatting sqref="I79">
    <cfRule type="duplicateValues" dxfId="6" priority="111"/>
    <cfRule type="duplicateValues" dxfId="5" priority="110"/>
  </conditionalFormatting>
  <conditionalFormatting sqref="D83:G83">
    <cfRule type="cellIs" dxfId="0" priority="584" operator="equal">
      <formula>"TRANSFER"</formula>
    </cfRule>
    <cfRule type="cellIs" dxfId="1" priority="583" operator="equal">
      <formula>"TERM"</formula>
    </cfRule>
    <cfRule type="cellIs" dxfId="2" priority="582" operator="equal">
      <formula>"REINSTATEMENT"</formula>
    </cfRule>
    <cfRule type="cellIs" dxfId="3" priority="581" operator="equal">
      <formula>"PROMOTED"</formula>
    </cfRule>
    <cfRule type="cellIs" dxfId="4" priority="580" operator="equal">
      <formula>"PENDING TERM"</formula>
    </cfRule>
    <cfRule type="cellIs" dxfId="0" priority="579" operator="equal">
      <formula>"LOA"</formula>
    </cfRule>
  </conditionalFormatting>
  <conditionalFormatting sqref="H83">
    <cfRule type="duplicateValues" dxfId="5" priority="576"/>
    <cfRule type="duplicateValues" dxfId="5" priority="574"/>
  </conditionalFormatting>
  <conditionalFormatting sqref="H83:I83">
    <cfRule type="cellIs" dxfId="0" priority="573" operator="equal">
      <formula>"TRANSFER"</formula>
    </cfRule>
    <cfRule type="cellIs" dxfId="1" priority="572" operator="equal">
      <formula>"TERM"</formula>
    </cfRule>
    <cfRule type="cellIs" dxfId="2" priority="571" operator="equal">
      <formula>"REINSTATEMENT"</formula>
    </cfRule>
    <cfRule type="cellIs" dxfId="3" priority="570" operator="equal">
      <formula>"PROMOTED"</formula>
    </cfRule>
    <cfRule type="cellIs" dxfId="4" priority="569" operator="equal">
      <formula>"PENDING TERM"</formula>
    </cfRule>
    <cfRule type="cellIs" dxfId="0" priority="568" operator="equal">
      <formula>"LOA"</formula>
    </cfRule>
  </conditionalFormatting>
  <conditionalFormatting sqref="I83">
    <cfRule type="duplicateValues" dxfId="6" priority="578"/>
    <cfRule type="duplicateValues" dxfId="5" priority="577"/>
    <cfRule type="duplicateValues" dxfId="5" priority="575"/>
  </conditionalFormatting>
  <conditionalFormatting sqref="D84">
    <cfRule type="duplicateValues" dxfId="5" priority="387"/>
    <cfRule type="duplicateValues" dxfId="5" priority="383"/>
  </conditionalFormatting>
  <conditionalFormatting sqref="D84:G84">
    <cfRule type="cellIs" dxfId="0" priority="381" operator="equal">
      <formula>"TRANSFER"</formula>
    </cfRule>
    <cfRule type="cellIs" dxfId="1" priority="380" operator="equal">
      <formula>"TERM"</formula>
    </cfRule>
    <cfRule type="cellIs" dxfId="2" priority="379" operator="equal">
      <formula>"REINSTATEMENT"</formula>
    </cfRule>
    <cfRule type="cellIs" dxfId="3" priority="378" operator="equal">
      <formula>"PROMOTED"</formula>
    </cfRule>
    <cfRule type="cellIs" dxfId="4" priority="377" operator="equal">
      <formula>"PENDING TERM"</formula>
    </cfRule>
    <cfRule type="cellIs" dxfId="0" priority="376" operator="equal">
      <formula>"LOA"</formula>
    </cfRule>
  </conditionalFormatting>
  <conditionalFormatting sqref="E84">
    <cfRule type="duplicateValues" dxfId="6" priority="391"/>
    <cfRule type="duplicateValues" dxfId="5" priority="389"/>
    <cfRule type="duplicateValues" dxfId="5" priority="385"/>
  </conditionalFormatting>
  <conditionalFormatting sqref="F84">
    <cfRule type="duplicateValues" dxfId="5" priority="386"/>
    <cfRule type="duplicateValues" dxfId="5" priority="382"/>
  </conditionalFormatting>
  <conditionalFormatting sqref="G84">
    <cfRule type="duplicateValues" dxfId="6" priority="390"/>
    <cfRule type="duplicateValues" dxfId="5" priority="388"/>
    <cfRule type="duplicateValues" dxfId="5" priority="384"/>
  </conditionalFormatting>
  <conditionalFormatting sqref="H84">
    <cfRule type="duplicateValues" dxfId="5" priority="400"/>
    <cfRule type="duplicateValues" dxfId="5" priority="398"/>
  </conditionalFormatting>
  <conditionalFormatting sqref="H84:I84">
    <cfRule type="cellIs" dxfId="0" priority="397" operator="equal">
      <formula>"TRANSFER"</formula>
    </cfRule>
    <cfRule type="cellIs" dxfId="1" priority="396" operator="equal">
      <formula>"TERM"</formula>
    </cfRule>
    <cfRule type="cellIs" dxfId="2" priority="395" operator="equal">
      <formula>"REINSTATEMENT"</formula>
    </cfRule>
    <cfRule type="cellIs" dxfId="3" priority="394" operator="equal">
      <formula>"PROMOTED"</formula>
    </cfRule>
    <cfRule type="cellIs" dxfId="4" priority="393" operator="equal">
      <formula>"PENDING TERM"</formula>
    </cfRule>
    <cfRule type="cellIs" dxfId="0" priority="392" operator="equal">
      <formula>"LOA"</formula>
    </cfRule>
  </conditionalFormatting>
  <conditionalFormatting sqref="I84">
    <cfRule type="duplicateValues" dxfId="6" priority="402"/>
    <cfRule type="duplicateValues" dxfId="5" priority="401"/>
    <cfRule type="duplicateValues" dxfId="5" priority="399"/>
  </conditionalFormatting>
  <conditionalFormatting sqref="D85:G85">
    <cfRule type="cellIs" dxfId="0" priority="567" operator="equal">
      <formula>"TRANSFER"</formula>
    </cfRule>
    <cfRule type="cellIs" dxfId="1" priority="566" operator="equal">
      <formula>"TERM"</formula>
    </cfRule>
    <cfRule type="cellIs" dxfId="2" priority="565" operator="equal">
      <formula>"REINSTATEMENT"</formula>
    </cfRule>
    <cfRule type="cellIs" dxfId="3" priority="564" operator="equal">
      <formula>"PROMOTED"</formula>
    </cfRule>
    <cfRule type="cellIs" dxfId="4" priority="563" operator="equal">
      <formula>"PENDING TERM"</formula>
    </cfRule>
    <cfRule type="cellIs" dxfId="0" priority="562" operator="equal">
      <formula>"LOA"</formula>
    </cfRule>
  </conditionalFormatting>
  <conditionalFormatting sqref="H85">
    <cfRule type="duplicateValues" dxfId="5" priority="559"/>
    <cfRule type="duplicateValues" dxfId="5" priority="557"/>
  </conditionalFormatting>
  <conditionalFormatting sqref="H85:I85">
    <cfRule type="cellIs" dxfId="0" priority="556" operator="equal">
      <formula>"TRANSFER"</formula>
    </cfRule>
    <cfRule type="cellIs" dxfId="1" priority="555" operator="equal">
      <formula>"TERM"</formula>
    </cfRule>
    <cfRule type="cellIs" dxfId="2" priority="554" operator="equal">
      <formula>"REINSTATEMENT"</formula>
    </cfRule>
    <cfRule type="cellIs" dxfId="3" priority="553" operator="equal">
      <formula>"PROMOTED"</formula>
    </cfRule>
    <cfRule type="cellIs" dxfId="4" priority="552" operator="equal">
      <formula>"PENDING TERM"</formula>
    </cfRule>
    <cfRule type="cellIs" dxfId="0" priority="551" operator="equal">
      <formula>"LOA"</formula>
    </cfRule>
  </conditionalFormatting>
  <conditionalFormatting sqref="I85">
    <cfRule type="duplicateValues" dxfId="6" priority="561"/>
    <cfRule type="duplicateValues" dxfId="5" priority="560"/>
    <cfRule type="duplicateValues" dxfId="5" priority="558"/>
  </conditionalFormatting>
  <conditionalFormatting sqref="D86">
    <cfRule type="duplicateValues" dxfId="5" priority="360"/>
    <cfRule type="duplicateValues" dxfId="5" priority="356"/>
  </conditionalFormatting>
  <conditionalFormatting sqref="D86:G86">
    <cfRule type="cellIs" dxfId="0" priority="354" operator="equal">
      <formula>"TRANSFER"</formula>
    </cfRule>
    <cfRule type="cellIs" dxfId="1" priority="353" operator="equal">
      <formula>"TERM"</formula>
    </cfRule>
    <cfRule type="cellIs" dxfId="2" priority="352" operator="equal">
      <formula>"REINSTATEMENT"</formula>
    </cfRule>
    <cfRule type="cellIs" dxfId="3" priority="351" operator="equal">
      <formula>"PROMOTED"</formula>
    </cfRule>
    <cfRule type="cellIs" dxfId="4" priority="350" operator="equal">
      <formula>"PENDING TERM"</formula>
    </cfRule>
    <cfRule type="cellIs" dxfId="0" priority="349" operator="equal">
      <formula>"LOA"</formula>
    </cfRule>
  </conditionalFormatting>
  <conditionalFormatting sqref="E86">
    <cfRule type="duplicateValues" dxfId="6" priority="364"/>
    <cfRule type="duplicateValues" dxfId="5" priority="362"/>
    <cfRule type="duplicateValues" dxfId="5" priority="358"/>
  </conditionalFormatting>
  <conditionalFormatting sqref="F86">
    <cfRule type="duplicateValues" dxfId="5" priority="359"/>
    <cfRule type="duplicateValues" dxfId="5" priority="355"/>
  </conditionalFormatting>
  <conditionalFormatting sqref="G86">
    <cfRule type="duplicateValues" dxfId="6" priority="363"/>
    <cfRule type="duplicateValues" dxfId="5" priority="361"/>
    <cfRule type="duplicateValues" dxfId="5" priority="357"/>
  </conditionalFormatting>
  <conditionalFormatting sqref="H86">
    <cfRule type="duplicateValues" dxfId="5" priority="373"/>
    <cfRule type="duplicateValues" dxfId="5" priority="371"/>
  </conditionalFormatting>
  <conditionalFormatting sqref="H86:I86">
    <cfRule type="cellIs" dxfId="0" priority="370" operator="equal">
      <formula>"TRANSFER"</formula>
    </cfRule>
    <cfRule type="cellIs" dxfId="1" priority="369" operator="equal">
      <formula>"TERM"</formula>
    </cfRule>
    <cfRule type="cellIs" dxfId="2" priority="368" operator="equal">
      <formula>"REINSTATEMENT"</formula>
    </cfRule>
    <cfRule type="cellIs" dxfId="3" priority="367" operator="equal">
      <formula>"PROMOTED"</formula>
    </cfRule>
    <cfRule type="cellIs" dxfId="4" priority="366" operator="equal">
      <formula>"PENDING TERM"</formula>
    </cfRule>
    <cfRule type="cellIs" dxfId="0" priority="365" operator="equal">
      <formula>"LOA"</formula>
    </cfRule>
  </conditionalFormatting>
  <conditionalFormatting sqref="I86">
    <cfRule type="duplicateValues" dxfId="6" priority="375"/>
    <cfRule type="duplicateValues" dxfId="5" priority="374"/>
    <cfRule type="duplicateValues" dxfId="5" priority="372"/>
  </conditionalFormatting>
  <conditionalFormatting sqref="D91:G91">
    <cfRule type="cellIs" dxfId="0" priority="226" operator="equal">
      <formula>"TRANSFER"</formula>
    </cfRule>
    <cfRule type="cellIs" dxfId="1" priority="225" operator="equal">
      <formula>"TERM"</formula>
    </cfRule>
    <cfRule type="cellIs" dxfId="2" priority="224" operator="equal">
      <formula>"REINSTATEMENT"</formula>
    </cfRule>
    <cfRule type="cellIs" dxfId="3" priority="223" operator="equal">
      <formula>"PROMOTED"</formula>
    </cfRule>
    <cfRule type="cellIs" dxfId="4" priority="222" operator="equal">
      <formula>"PENDING TERM"</formula>
    </cfRule>
    <cfRule type="cellIs" dxfId="0" priority="221" operator="equal">
      <formula>"LOA"</formula>
    </cfRule>
  </conditionalFormatting>
  <conditionalFormatting sqref="H91">
    <cfRule type="duplicateValues" dxfId="5" priority="218"/>
    <cfRule type="duplicateValues" dxfId="5" priority="216"/>
  </conditionalFormatting>
  <conditionalFormatting sqref="H91:I91">
    <cfRule type="cellIs" dxfId="0" priority="215" operator="equal">
      <formula>"TRANSFER"</formula>
    </cfRule>
    <cfRule type="cellIs" dxfId="1" priority="214" operator="equal">
      <formula>"TERM"</formula>
    </cfRule>
    <cfRule type="cellIs" dxfId="2" priority="213" operator="equal">
      <formula>"REINSTATEMENT"</formula>
    </cfRule>
    <cfRule type="cellIs" dxfId="3" priority="212" operator="equal">
      <formula>"PROMOTED"</formula>
    </cfRule>
    <cfRule type="cellIs" dxfId="4" priority="211" operator="equal">
      <formula>"PENDING TERM"</formula>
    </cfRule>
    <cfRule type="cellIs" dxfId="0" priority="210" operator="equal">
      <formula>"LOA"</formula>
    </cfRule>
  </conditionalFormatting>
  <conditionalFormatting sqref="I91">
    <cfRule type="duplicateValues" dxfId="6" priority="220"/>
    <cfRule type="duplicateValues" dxfId="5" priority="219"/>
    <cfRule type="duplicateValues" dxfId="5" priority="217"/>
  </conditionalFormatting>
  <conditionalFormatting sqref="D95">
    <cfRule type="cellIs" dxfId="0" priority="135" operator="equal">
      <formula>"TRANSFER"</formula>
    </cfRule>
    <cfRule type="cellIs" dxfId="1" priority="134" operator="equal">
      <formula>"TERM"</formula>
    </cfRule>
    <cfRule type="cellIs" dxfId="2" priority="133" operator="equal">
      <formula>"REINSTATEMENT"</formula>
    </cfRule>
    <cfRule type="cellIs" dxfId="3" priority="132" operator="equal">
      <formula>"PROMOTED"</formula>
    </cfRule>
    <cfRule type="cellIs" dxfId="4" priority="131" operator="equal">
      <formula>"PENDING TERM"</formula>
    </cfRule>
    <cfRule type="cellIs" dxfId="0" priority="130" operator="equal">
      <formula>"LOA"</formula>
    </cfRule>
  </conditionalFormatting>
  <conditionalFormatting sqref="H95">
    <cfRule type="duplicateValues" dxfId="5" priority="136"/>
  </conditionalFormatting>
  <conditionalFormatting sqref="I95">
    <cfRule type="duplicateValues" dxfId="6" priority="138"/>
    <cfRule type="duplicateValues" dxfId="5" priority="137"/>
  </conditionalFormatting>
  <conditionalFormatting sqref="D101">
    <cfRule type="cellIs" dxfId="0" priority="126" operator="equal">
      <formula>"TRANSFER"</formula>
    </cfRule>
    <cfRule type="cellIs" dxfId="1" priority="125" operator="equal">
      <formula>"TERM"</formula>
    </cfRule>
    <cfRule type="cellIs" dxfId="2" priority="124" operator="equal">
      <formula>"REINSTATEMENT"</formula>
    </cfRule>
    <cfRule type="cellIs" dxfId="3" priority="123" operator="equal">
      <formula>"PROMOTED"</formula>
    </cfRule>
    <cfRule type="cellIs" dxfId="4" priority="122" operator="equal">
      <formula>"PENDING TERM"</formula>
    </cfRule>
    <cfRule type="cellIs" dxfId="0" priority="121" operator="equal">
      <formula>"LOA"</formula>
    </cfRule>
  </conditionalFormatting>
  <conditionalFormatting sqref="H101">
    <cfRule type="duplicateValues" dxfId="5" priority="127"/>
  </conditionalFormatting>
  <conditionalFormatting sqref="I101">
    <cfRule type="duplicateValues" dxfId="6" priority="129"/>
    <cfRule type="duplicateValues" dxfId="5" priority="128"/>
  </conditionalFormatting>
  <conditionalFormatting sqref="D107:G107">
    <cfRule type="cellIs" dxfId="0" priority="550" operator="equal">
      <formula>"TRANSFER"</formula>
    </cfRule>
    <cfRule type="cellIs" dxfId="1" priority="549" operator="equal">
      <formula>"TERM"</formula>
    </cfRule>
    <cfRule type="cellIs" dxfId="2" priority="548" operator="equal">
      <formula>"REINSTATEMENT"</formula>
    </cfRule>
    <cfRule type="cellIs" dxfId="3" priority="547" operator="equal">
      <formula>"PROMOTED"</formula>
    </cfRule>
    <cfRule type="cellIs" dxfId="4" priority="546" operator="equal">
      <formula>"PENDING TERM"</formula>
    </cfRule>
    <cfRule type="cellIs" dxfId="0" priority="545" operator="equal">
      <formula>"LOA"</formula>
    </cfRule>
  </conditionalFormatting>
  <conditionalFormatting sqref="H107">
    <cfRule type="duplicateValues" dxfId="5" priority="542"/>
    <cfRule type="duplicateValues" dxfId="5" priority="540"/>
  </conditionalFormatting>
  <conditionalFormatting sqref="H107:I107">
    <cfRule type="cellIs" dxfId="0" priority="539" operator="equal">
      <formula>"TRANSFER"</formula>
    </cfRule>
    <cfRule type="cellIs" dxfId="1" priority="538" operator="equal">
      <formula>"TERM"</formula>
    </cfRule>
    <cfRule type="cellIs" dxfId="2" priority="537" operator="equal">
      <formula>"REINSTATEMENT"</formula>
    </cfRule>
    <cfRule type="cellIs" dxfId="3" priority="536" operator="equal">
      <formula>"PROMOTED"</formula>
    </cfRule>
    <cfRule type="cellIs" dxfId="4" priority="535" operator="equal">
      <formula>"PENDING TERM"</formula>
    </cfRule>
    <cfRule type="cellIs" dxfId="0" priority="534" operator="equal">
      <formula>"LOA"</formula>
    </cfRule>
  </conditionalFormatting>
  <conditionalFormatting sqref="I107">
    <cfRule type="duplicateValues" dxfId="6" priority="544"/>
    <cfRule type="duplicateValues" dxfId="5" priority="543"/>
    <cfRule type="duplicateValues" dxfId="5" priority="541"/>
  </conditionalFormatting>
  <conditionalFormatting sqref="D108">
    <cfRule type="duplicateValues" dxfId="5" priority="333"/>
    <cfRule type="duplicateValues" dxfId="5" priority="329"/>
  </conditionalFormatting>
  <conditionalFormatting sqref="D108:G108">
    <cfRule type="cellIs" dxfId="0" priority="327" operator="equal">
      <formula>"TRANSFER"</formula>
    </cfRule>
    <cfRule type="cellIs" dxfId="1" priority="326" operator="equal">
      <formula>"TERM"</formula>
    </cfRule>
    <cfRule type="cellIs" dxfId="2" priority="325" operator="equal">
      <formula>"REINSTATEMENT"</formula>
    </cfRule>
    <cfRule type="cellIs" dxfId="3" priority="324" operator="equal">
      <formula>"PROMOTED"</formula>
    </cfRule>
    <cfRule type="cellIs" dxfId="4" priority="323" operator="equal">
      <formula>"PENDING TERM"</formula>
    </cfRule>
    <cfRule type="cellIs" dxfId="0" priority="322" operator="equal">
      <formula>"LOA"</formula>
    </cfRule>
  </conditionalFormatting>
  <conditionalFormatting sqref="E108">
    <cfRule type="duplicateValues" dxfId="6" priority="337"/>
    <cfRule type="duplicateValues" dxfId="5" priority="335"/>
    <cfRule type="duplicateValues" dxfId="5" priority="331"/>
  </conditionalFormatting>
  <conditionalFormatting sqref="F108">
    <cfRule type="duplicateValues" dxfId="5" priority="332"/>
    <cfRule type="duplicateValues" dxfId="5" priority="328"/>
  </conditionalFormatting>
  <conditionalFormatting sqref="G108">
    <cfRule type="duplicateValues" dxfId="6" priority="336"/>
    <cfRule type="duplicateValues" dxfId="5" priority="334"/>
    <cfRule type="duplicateValues" dxfId="5" priority="330"/>
  </conditionalFormatting>
  <conditionalFormatting sqref="H108">
    <cfRule type="duplicateValues" dxfId="5" priority="346"/>
    <cfRule type="duplicateValues" dxfId="5" priority="344"/>
  </conditionalFormatting>
  <conditionalFormatting sqref="H108:I108">
    <cfRule type="cellIs" dxfId="0" priority="343" operator="equal">
      <formula>"TRANSFER"</formula>
    </cfRule>
    <cfRule type="cellIs" dxfId="1" priority="342" operator="equal">
      <formula>"TERM"</formula>
    </cfRule>
    <cfRule type="cellIs" dxfId="2" priority="341" operator="equal">
      <formula>"REINSTATEMENT"</formula>
    </cfRule>
    <cfRule type="cellIs" dxfId="3" priority="340" operator="equal">
      <formula>"PROMOTED"</formula>
    </cfRule>
    <cfRule type="cellIs" dxfId="4" priority="339" operator="equal">
      <formula>"PENDING TERM"</formula>
    </cfRule>
    <cfRule type="cellIs" dxfId="0" priority="338" operator="equal">
      <formula>"LOA"</formula>
    </cfRule>
  </conditionalFormatting>
  <conditionalFormatting sqref="I108">
    <cfRule type="duplicateValues" dxfId="6" priority="348"/>
    <cfRule type="duplicateValues" dxfId="5" priority="347"/>
    <cfRule type="duplicateValues" dxfId="5" priority="345"/>
  </conditionalFormatting>
  <conditionalFormatting sqref="D109:G109">
    <cfRule type="cellIs" dxfId="0" priority="533" operator="equal">
      <formula>"TRANSFER"</formula>
    </cfRule>
    <cfRule type="cellIs" dxfId="1" priority="532" operator="equal">
      <formula>"TERM"</formula>
    </cfRule>
    <cfRule type="cellIs" dxfId="2" priority="531" operator="equal">
      <formula>"REINSTATEMENT"</formula>
    </cfRule>
    <cfRule type="cellIs" dxfId="3" priority="530" operator="equal">
      <formula>"PROMOTED"</formula>
    </cfRule>
    <cfRule type="cellIs" dxfId="4" priority="529" operator="equal">
      <formula>"PENDING TERM"</formula>
    </cfRule>
    <cfRule type="cellIs" dxfId="0" priority="528" operator="equal">
      <formula>"LOA"</formula>
    </cfRule>
  </conditionalFormatting>
  <conditionalFormatting sqref="H109">
    <cfRule type="duplicateValues" dxfId="5" priority="525"/>
    <cfRule type="duplicateValues" dxfId="5" priority="523"/>
  </conditionalFormatting>
  <conditionalFormatting sqref="H109:I109">
    <cfRule type="cellIs" dxfId="0" priority="522" operator="equal">
      <formula>"TRANSFER"</formula>
    </cfRule>
    <cfRule type="cellIs" dxfId="1" priority="521" operator="equal">
      <formula>"TERM"</formula>
    </cfRule>
    <cfRule type="cellIs" dxfId="2" priority="520" operator="equal">
      <formula>"REINSTATEMENT"</formula>
    </cfRule>
    <cfRule type="cellIs" dxfId="3" priority="519" operator="equal">
      <formula>"PROMOTED"</formula>
    </cfRule>
    <cfRule type="cellIs" dxfId="4" priority="518" operator="equal">
      <formula>"PENDING TERM"</formula>
    </cfRule>
    <cfRule type="cellIs" dxfId="0" priority="517" operator="equal">
      <formula>"LOA"</formula>
    </cfRule>
  </conditionalFormatting>
  <conditionalFormatting sqref="I109">
    <cfRule type="duplicateValues" dxfId="6" priority="527"/>
    <cfRule type="duplicateValues" dxfId="5" priority="526"/>
    <cfRule type="duplicateValues" dxfId="5" priority="524"/>
  </conditionalFormatting>
  <conditionalFormatting sqref="D110">
    <cfRule type="duplicateValues" dxfId="5" priority="306"/>
    <cfRule type="duplicateValues" dxfId="5" priority="302"/>
  </conditionalFormatting>
  <conditionalFormatting sqref="D110:G110">
    <cfRule type="cellIs" dxfId="0" priority="300" operator="equal">
      <formula>"TRANSFER"</formula>
    </cfRule>
    <cfRule type="cellIs" dxfId="1" priority="299" operator="equal">
      <formula>"TERM"</formula>
    </cfRule>
    <cfRule type="cellIs" dxfId="2" priority="298" operator="equal">
      <formula>"REINSTATEMENT"</formula>
    </cfRule>
    <cfRule type="cellIs" dxfId="3" priority="297" operator="equal">
      <formula>"PROMOTED"</formula>
    </cfRule>
    <cfRule type="cellIs" dxfId="4" priority="296" operator="equal">
      <formula>"PENDING TERM"</formula>
    </cfRule>
    <cfRule type="cellIs" dxfId="0" priority="295" operator="equal">
      <formula>"LOA"</formula>
    </cfRule>
  </conditionalFormatting>
  <conditionalFormatting sqref="E110">
    <cfRule type="duplicateValues" dxfId="6" priority="310"/>
    <cfRule type="duplicateValues" dxfId="5" priority="308"/>
    <cfRule type="duplicateValues" dxfId="5" priority="304"/>
  </conditionalFormatting>
  <conditionalFormatting sqref="F110">
    <cfRule type="duplicateValues" dxfId="5" priority="305"/>
    <cfRule type="duplicateValues" dxfId="5" priority="301"/>
  </conditionalFormatting>
  <conditionalFormatting sqref="G110">
    <cfRule type="duplicateValues" dxfId="6" priority="309"/>
    <cfRule type="duplicateValues" dxfId="5" priority="307"/>
    <cfRule type="duplicateValues" dxfId="5" priority="303"/>
  </conditionalFormatting>
  <conditionalFormatting sqref="H110">
    <cfRule type="duplicateValues" dxfId="5" priority="319"/>
    <cfRule type="duplicateValues" dxfId="5" priority="317"/>
  </conditionalFormatting>
  <conditionalFormatting sqref="H110:I110">
    <cfRule type="cellIs" dxfId="0" priority="316" operator="equal">
      <formula>"TRANSFER"</formula>
    </cfRule>
    <cfRule type="cellIs" dxfId="1" priority="315" operator="equal">
      <formula>"TERM"</formula>
    </cfRule>
    <cfRule type="cellIs" dxfId="2" priority="314" operator="equal">
      <formula>"REINSTATEMENT"</formula>
    </cfRule>
    <cfRule type="cellIs" dxfId="3" priority="313" operator="equal">
      <formula>"PROMOTED"</formula>
    </cfRule>
    <cfRule type="cellIs" dxfId="4" priority="312" operator="equal">
      <formula>"PENDING TERM"</formula>
    </cfRule>
    <cfRule type="cellIs" dxfId="0" priority="311" operator="equal">
      <formula>"LOA"</formula>
    </cfRule>
  </conditionalFormatting>
  <conditionalFormatting sqref="I110">
    <cfRule type="duplicateValues" dxfId="6" priority="321"/>
    <cfRule type="duplicateValues" dxfId="5" priority="320"/>
    <cfRule type="duplicateValues" dxfId="5" priority="318"/>
  </conditionalFormatting>
  <conditionalFormatting sqref="D115:G115">
    <cfRule type="cellIs" dxfId="0" priority="209" operator="equal">
      <formula>"TRANSFER"</formula>
    </cfRule>
    <cfRule type="cellIs" dxfId="1" priority="208" operator="equal">
      <formula>"TERM"</formula>
    </cfRule>
    <cfRule type="cellIs" dxfId="2" priority="207" operator="equal">
      <formula>"REINSTATEMENT"</formula>
    </cfRule>
    <cfRule type="cellIs" dxfId="3" priority="206" operator="equal">
      <formula>"PROMOTED"</formula>
    </cfRule>
    <cfRule type="cellIs" dxfId="4" priority="205" operator="equal">
      <formula>"PENDING TERM"</formula>
    </cfRule>
    <cfRule type="cellIs" dxfId="0" priority="204" operator="equal">
      <formula>"LOA"</formula>
    </cfRule>
  </conditionalFormatting>
  <conditionalFormatting sqref="H115">
    <cfRule type="duplicateValues" dxfId="5" priority="201"/>
    <cfRule type="duplicateValues" dxfId="5" priority="199"/>
  </conditionalFormatting>
  <conditionalFormatting sqref="H115:I115">
    <cfRule type="cellIs" dxfId="0" priority="198" operator="equal">
      <formula>"TRANSFER"</formula>
    </cfRule>
    <cfRule type="cellIs" dxfId="1" priority="197" operator="equal">
      <formula>"TERM"</formula>
    </cfRule>
    <cfRule type="cellIs" dxfId="2" priority="196" operator="equal">
      <formula>"REINSTATEMENT"</formula>
    </cfRule>
    <cfRule type="cellIs" dxfId="3" priority="195" operator="equal">
      <formula>"PROMOTED"</formula>
    </cfRule>
    <cfRule type="cellIs" dxfId="4" priority="194" operator="equal">
      <formula>"PENDING TERM"</formula>
    </cfRule>
    <cfRule type="cellIs" dxfId="0" priority="193" operator="equal">
      <formula>"LOA"</formula>
    </cfRule>
  </conditionalFormatting>
  <conditionalFormatting sqref="I115">
    <cfRule type="duplicateValues" dxfId="6" priority="203"/>
    <cfRule type="duplicateValues" dxfId="5" priority="202"/>
    <cfRule type="duplicateValues" dxfId="5" priority="200"/>
  </conditionalFormatting>
  <conditionalFormatting sqref="L3:L118">
    <cfRule type="cellIs" dxfId="0" priority="770" operator="equal">
      <formula>"Pending Term"</formula>
    </cfRule>
    <cfRule type="cellIs" dxfId="0" priority="771" operator="equal">
      <formula>"Approved Off"</formula>
    </cfRule>
    <cfRule type="cellIs" dxfId="0" priority="772" operator="equal">
      <formula>"FER"</formula>
    </cfRule>
    <cfRule type="cellIs" dxfId="0" priority="773" operator="equal">
      <formula>"LOA"</formula>
    </cfRule>
    <cfRule type="cellIs" dxfId="7" priority="774" operator="equal">
      <formula>"OFF"</formula>
    </cfRule>
    <cfRule type="cellIs" dxfId="0" priority="775" operator="equal">
      <formula>"Study Day"</formula>
    </cfRule>
    <cfRule type="cellIs" dxfId="0" priority="776" operator="equal">
      <formula>"SUS"</formula>
    </cfRule>
    <cfRule type="cellIs" dxfId="0" priority="777" operator="equal">
      <formula>"VAC"</formula>
    </cfRule>
  </conditionalFormatting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Teleperformance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Horas Adicionales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palomino.27</cp:lastModifiedBy>
  <dcterms:created xsi:type="dcterms:W3CDTF">2013-03-26T17:23:00Z</dcterms:created>
  <dcterms:modified xsi:type="dcterms:W3CDTF">2020-08-28T22:13:11Z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3082-10.2.0.7646</vt:lpwstr>
  </property>
</Properties>
</file>