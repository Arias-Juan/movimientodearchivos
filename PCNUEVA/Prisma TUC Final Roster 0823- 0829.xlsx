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0" yWindow="0" windowWidth="19200" windowHeight="10605" tabRatio="906"/>
  </bookViews>
  <sheets>
    <sheet name="Agents' Final Roster 0823-0829" sheetId="12" r:id="rId1"/>
    <sheet name="Sups' Final Roster 0823-0829" sheetId="13" r:id="rId2"/>
    <sheet name="ACMs' Final Roster 0823-0829" sheetId="14" r:id="rId3"/>
    <sheet name="Ratios" sheetId="11" r:id="rId4"/>
    <sheet name="Agents" sheetId="5" state="hidden" r:id="rId5"/>
    <sheet name="Sups" sheetId="6" state="hidden" r:id="rId6"/>
    <sheet name="Resumen" sheetId="9" state="hidden" r:id="rId7"/>
  </sheets>
  <definedNames>
    <definedName name="_xlnm._FilterDatabase" localSheetId="2" hidden="1">'ACMs'' Final Roster 0823-0829'!$A$1:$K$1</definedName>
    <definedName name="_xlnm._FilterDatabase" localSheetId="4" hidden="1">Agents!$A$1:$AP$233</definedName>
    <definedName name="_xlnm._FilterDatabase" localSheetId="0" hidden="1">'Agents'' Final Roster 0823-0829'!$A$1:$AQ$329</definedName>
    <definedName name="_xlnm._FilterDatabase" localSheetId="5" hidden="1">Sups!$A$1:$M$13</definedName>
    <definedName name="_xlnm._FilterDatabase" localSheetId="1" hidden="1">'Sups'' Final Roster 0823-0829'!$A$1:$K$6</definedName>
  </definedNames>
  <calcPr calcId="145621"/>
  <pivotCaches>
    <pivotCache cacheId="0" r:id="rId8"/>
    <pivotCache cacheId="1" r:id="rId9"/>
  </pivotCaches>
</workbook>
</file>

<file path=xl/calcChain.xml><?xml version="1.0" encoding="utf-8"?>
<calcChain xmlns="http://schemas.openxmlformats.org/spreadsheetml/2006/main">
  <c r="Z1303" i="5" l="1"/>
  <c r="Z1302" i="5"/>
  <c r="Z1301" i="5"/>
  <c r="Z1300" i="5"/>
  <c r="Z1299" i="5"/>
  <c r="Z1298" i="5"/>
  <c r="Z1297" i="5"/>
  <c r="Z1296" i="5"/>
  <c r="Z1295" i="5"/>
  <c r="Z1294" i="5"/>
  <c r="Z1293" i="5"/>
  <c r="Z1292" i="5"/>
  <c r="Z1291" i="5"/>
  <c r="Z1290" i="5"/>
  <c r="Z1289" i="5"/>
  <c r="Z1288" i="5"/>
  <c r="Z1287" i="5"/>
  <c r="Z1286" i="5"/>
  <c r="Z1285" i="5"/>
  <c r="Z1284" i="5"/>
  <c r="Z1283" i="5"/>
  <c r="Z1282" i="5"/>
  <c r="Z1281" i="5"/>
  <c r="Z1280" i="5"/>
  <c r="Z1279" i="5"/>
  <c r="Z1278" i="5"/>
  <c r="Z1277" i="5"/>
  <c r="Z1276" i="5"/>
  <c r="Z1275" i="5"/>
  <c r="Z1274" i="5"/>
  <c r="Z1273" i="5"/>
  <c r="Z1272" i="5"/>
  <c r="Z1271" i="5"/>
  <c r="Z1270" i="5"/>
  <c r="Z1269" i="5"/>
  <c r="Z1268" i="5"/>
  <c r="Z1267" i="5"/>
  <c r="Z1266" i="5"/>
  <c r="Z1265" i="5"/>
  <c r="Z1264" i="5"/>
  <c r="Z1263" i="5"/>
  <c r="Z1262" i="5"/>
  <c r="Z1261" i="5"/>
  <c r="Z1260" i="5"/>
  <c r="Z1259" i="5"/>
  <c r="Z1258" i="5"/>
  <c r="Z1257" i="5"/>
  <c r="Z1256" i="5"/>
  <c r="Z1255" i="5"/>
  <c r="Z1254" i="5"/>
  <c r="Z1253" i="5"/>
  <c r="Z1252" i="5"/>
  <c r="Z1251" i="5"/>
  <c r="Z1250" i="5"/>
  <c r="Z1249" i="5"/>
  <c r="Z1248" i="5"/>
  <c r="Z1247" i="5"/>
  <c r="Z1246" i="5"/>
  <c r="Z1245" i="5"/>
  <c r="Z1244" i="5"/>
  <c r="Z1243" i="5"/>
  <c r="Z1242" i="5"/>
  <c r="Z1241" i="5"/>
  <c r="Z1240" i="5"/>
  <c r="Z1239" i="5"/>
  <c r="Z1238" i="5"/>
  <c r="Z1237" i="5"/>
  <c r="Z1236" i="5"/>
  <c r="Z1235" i="5"/>
  <c r="Z1234" i="5"/>
  <c r="Z1233" i="5"/>
  <c r="Z1232" i="5"/>
  <c r="Z1231" i="5"/>
  <c r="Z1230" i="5"/>
  <c r="Z1229" i="5"/>
  <c r="Z1228" i="5"/>
  <c r="Z1227" i="5"/>
  <c r="Z1226" i="5"/>
  <c r="Z1225" i="5"/>
  <c r="Z1224" i="5"/>
  <c r="Z1223" i="5"/>
  <c r="Z1222" i="5"/>
  <c r="Z1221" i="5"/>
  <c r="Z1220" i="5"/>
  <c r="Z1219" i="5"/>
  <c r="Z1218" i="5"/>
  <c r="Z1217" i="5"/>
  <c r="Z1216" i="5"/>
  <c r="Z1215" i="5"/>
  <c r="Z1214" i="5"/>
  <c r="Z1213" i="5"/>
  <c r="Z1212" i="5"/>
  <c r="Z1211" i="5"/>
  <c r="Z1210" i="5"/>
  <c r="Z1209" i="5"/>
  <c r="Z1208" i="5"/>
  <c r="Z1207" i="5"/>
  <c r="Z1206" i="5"/>
  <c r="Z1205" i="5"/>
  <c r="Z1204" i="5"/>
  <c r="Z1203" i="5"/>
  <c r="Z1202" i="5"/>
  <c r="Z1201" i="5"/>
  <c r="Z1200" i="5"/>
  <c r="Z1199" i="5"/>
  <c r="Z1198" i="5"/>
  <c r="Z1197" i="5"/>
  <c r="Z1196" i="5"/>
  <c r="Z1195" i="5"/>
  <c r="Z1194" i="5"/>
  <c r="Z1193" i="5"/>
  <c r="Z1192" i="5"/>
  <c r="Z1191" i="5"/>
  <c r="Z1190" i="5"/>
  <c r="Z1189" i="5"/>
  <c r="Z1188" i="5"/>
  <c r="Z1187" i="5"/>
  <c r="Z1186" i="5"/>
  <c r="Z1185" i="5"/>
  <c r="Z1184" i="5"/>
  <c r="Z1183" i="5"/>
  <c r="Z1182" i="5"/>
  <c r="Z1181" i="5"/>
  <c r="Z1180" i="5"/>
  <c r="Z1179" i="5"/>
  <c r="Z1178" i="5"/>
  <c r="Z1177" i="5"/>
  <c r="Z1176" i="5"/>
  <c r="Z1175" i="5"/>
  <c r="Z1174" i="5"/>
  <c r="Z1173" i="5"/>
  <c r="Z1172" i="5"/>
  <c r="Z1171" i="5"/>
  <c r="Z1170" i="5"/>
  <c r="Z1169" i="5"/>
  <c r="Z1168" i="5"/>
  <c r="Z1167" i="5"/>
  <c r="Z1166" i="5"/>
  <c r="Z1165" i="5"/>
  <c r="Z1164" i="5"/>
  <c r="Z1163" i="5"/>
  <c r="Z1162" i="5"/>
  <c r="Z1161" i="5"/>
  <c r="Z1160" i="5"/>
  <c r="Z1159" i="5"/>
  <c r="Z1158" i="5"/>
  <c r="Z1157" i="5"/>
  <c r="Z1156" i="5"/>
  <c r="Z1155" i="5"/>
  <c r="Z1154" i="5"/>
  <c r="Z1153" i="5"/>
  <c r="Z1152" i="5"/>
  <c r="Z1151" i="5"/>
  <c r="Z1150" i="5"/>
  <c r="Z1149" i="5"/>
  <c r="Z1148" i="5"/>
  <c r="Z1147" i="5"/>
  <c r="Z1146" i="5"/>
  <c r="Z1145" i="5"/>
  <c r="Z1144" i="5"/>
  <c r="Z1143" i="5"/>
  <c r="Z1142" i="5"/>
  <c r="Z1141" i="5"/>
  <c r="Z1140" i="5"/>
  <c r="Z1139" i="5"/>
  <c r="Z1138" i="5"/>
  <c r="Z1137" i="5"/>
  <c r="Z1136" i="5"/>
  <c r="Z1135" i="5"/>
  <c r="Z1134" i="5"/>
  <c r="Z1133" i="5"/>
  <c r="Z1132" i="5"/>
  <c r="Z1131" i="5"/>
  <c r="Z1130" i="5"/>
  <c r="Z1129" i="5"/>
  <c r="Z1128" i="5"/>
  <c r="Z1127" i="5"/>
  <c r="Z1126" i="5"/>
  <c r="Z1125" i="5"/>
  <c r="Z1124" i="5"/>
  <c r="Z1123" i="5"/>
  <c r="Z1122" i="5"/>
  <c r="Z1121" i="5"/>
  <c r="Z1120" i="5"/>
  <c r="Z1119" i="5"/>
  <c r="Z1118" i="5"/>
  <c r="Z1117" i="5"/>
  <c r="Z1116" i="5"/>
  <c r="Z1115" i="5"/>
  <c r="Z1114" i="5"/>
  <c r="Z1113" i="5"/>
  <c r="Z1112" i="5"/>
  <c r="Z1111" i="5"/>
  <c r="Z1110" i="5"/>
  <c r="Z1109" i="5"/>
  <c r="Z1108" i="5"/>
  <c r="Z1107" i="5"/>
  <c r="Z1106" i="5"/>
  <c r="Z1105" i="5"/>
  <c r="Z1104" i="5"/>
  <c r="Z1103" i="5"/>
  <c r="Z1102" i="5"/>
  <c r="Z1101" i="5"/>
  <c r="Z1100" i="5"/>
  <c r="Z1099" i="5"/>
  <c r="Z1098" i="5"/>
  <c r="Z1097" i="5"/>
  <c r="Z1096" i="5"/>
  <c r="Z1095" i="5"/>
  <c r="Z1094" i="5"/>
  <c r="Z1093" i="5"/>
  <c r="Z1092" i="5"/>
  <c r="Z1091" i="5"/>
  <c r="Z1090" i="5"/>
  <c r="Z1089" i="5"/>
  <c r="Z1088" i="5"/>
  <c r="Z1087" i="5"/>
  <c r="Z1086" i="5"/>
  <c r="Z1085" i="5"/>
  <c r="Z1084" i="5"/>
  <c r="Z1083" i="5"/>
  <c r="Z1082" i="5"/>
  <c r="Z1081" i="5"/>
  <c r="Z1080" i="5"/>
  <c r="Z1079" i="5"/>
  <c r="Z1078" i="5"/>
  <c r="Z1077" i="5"/>
  <c r="Z1076" i="5"/>
  <c r="Z1075" i="5"/>
  <c r="Z1074" i="5"/>
  <c r="Z1073" i="5"/>
  <c r="Z1072" i="5"/>
  <c r="Z1071" i="5"/>
  <c r="Z1070" i="5"/>
  <c r="Z1069" i="5"/>
  <c r="Z1068" i="5"/>
  <c r="Z1067" i="5"/>
  <c r="Z1066" i="5"/>
  <c r="Z1065" i="5"/>
  <c r="Z1064" i="5"/>
  <c r="Z1063" i="5"/>
  <c r="Z1062" i="5"/>
  <c r="Z1061" i="5"/>
  <c r="Z1060" i="5"/>
  <c r="Z1059" i="5"/>
  <c r="Z1058" i="5"/>
  <c r="Z1057" i="5"/>
  <c r="Z1056" i="5"/>
  <c r="Z1055" i="5"/>
  <c r="Z1054" i="5"/>
  <c r="Z1053" i="5"/>
  <c r="Z1052" i="5"/>
  <c r="Z1051" i="5"/>
  <c r="Z1050" i="5"/>
  <c r="Z1049" i="5"/>
  <c r="Z1048" i="5"/>
  <c r="Z1047" i="5"/>
  <c r="Z1046" i="5"/>
  <c r="Z1045" i="5"/>
  <c r="Z1044" i="5"/>
  <c r="Z1043" i="5"/>
  <c r="Z1042" i="5"/>
  <c r="Z1041" i="5"/>
  <c r="Z1040" i="5"/>
  <c r="Z1039" i="5"/>
  <c r="Z1038" i="5"/>
  <c r="Z1037" i="5"/>
  <c r="Z1036" i="5"/>
  <c r="Z1035" i="5"/>
  <c r="Z1034" i="5"/>
  <c r="Z1033" i="5"/>
  <c r="Z1032" i="5"/>
  <c r="Z1031" i="5"/>
  <c r="Z1030" i="5"/>
  <c r="Z1029" i="5"/>
  <c r="Z1028" i="5"/>
  <c r="Z1027" i="5"/>
  <c r="Z1026" i="5"/>
  <c r="Z1025" i="5"/>
  <c r="Z1024" i="5"/>
  <c r="Z1023" i="5"/>
  <c r="Z1022" i="5"/>
  <c r="Z1021" i="5"/>
  <c r="Z1020" i="5"/>
  <c r="Z1019" i="5"/>
  <c r="Z1018" i="5"/>
  <c r="Z1017" i="5"/>
  <c r="Z1016" i="5"/>
  <c r="Z1015" i="5"/>
  <c r="Z1014" i="5"/>
  <c r="Z1013" i="5"/>
  <c r="Z1012" i="5"/>
  <c r="Z1011" i="5"/>
  <c r="Z1010" i="5"/>
  <c r="Z1009" i="5"/>
  <c r="Z1008" i="5"/>
  <c r="Z1007" i="5"/>
  <c r="Z1006" i="5"/>
  <c r="Z1005" i="5"/>
  <c r="Z1004" i="5"/>
  <c r="Z1003" i="5"/>
  <c r="Z1002" i="5"/>
  <c r="Z1001" i="5"/>
  <c r="Z1000" i="5"/>
  <c r="Z999" i="5"/>
  <c r="Z998" i="5"/>
  <c r="Z997" i="5"/>
  <c r="Z996" i="5"/>
  <c r="Z995" i="5"/>
  <c r="Z994" i="5"/>
  <c r="Z993" i="5"/>
  <c r="Z992" i="5"/>
  <c r="Z991" i="5"/>
  <c r="Z990" i="5"/>
  <c r="Z989" i="5"/>
  <c r="Z988" i="5"/>
  <c r="Z987" i="5"/>
  <c r="Z986" i="5"/>
  <c r="Z985" i="5"/>
  <c r="Z984" i="5"/>
  <c r="Z983" i="5"/>
  <c r="Z982" i="5"/>
  <c r="Z981" i="5"/>
  <c r="Z980" i="5"/>
  <c r="Z979" i="5"/>
  <c r="Z978" i="5"/>
  <c r="Z977" i="5"/>
  <c r="Z976" i="5"/>
  <c r="Z975" i="5"/>
  <c r="Z974" i="5"/>
  <c r="Z973" i="5"/>
  <c r="Z972" i="5"/>
  <c r="Z971" i="5"/>
  <c r="Z970" i="5"/>
  <c r="Z969" i="5"/>
  <c r="Z968" i="5"/>
  <c r="Z967" i="5"/>
  <c r="Z966" i="5"/>
  <c r="Z965" i="5"/>
  <c r="Z964" i="5"/>
  <c r="Z963" i="5"/>
  <c r="Z962" i="5"/>
  <c r="Z961" i="5"/>
  <c r="Z960" i="5"/>
  <c r="Z959" i="5"/>
  <c r="Z958" i="5"/>
  <c r="Z957" i="5"/>
  <c r="Z956" i="5"/>
  <c r="Z955" i="5"/>
  <c r="Z954" i="5"/>
  <c r="Z953" i="5"/>
  <c r="Z952" i="5"/>
  <c r="Z951" i="5"/>
  <c r="Z950" i="5"/>
  <c r="Z949" i="5"/>
  <c r="Z948" i="5"/>
  <c r="Z947" i="5"/>
  <c r="Z946" i="5"/>
  <c r="Z945" i="5"/>
  <c r="Z944" i="5"/>
  <c r="Z943" i="5"/>
  <c r="Z942" i="5"/>
  <c r="Z941" i="5"/>
  <c r="Z940" i="5"/>
  <c r="Z939" i="5"/>
  <c r="Z938" i="5"/>
  <c r="Z937" i="5"/>
  <c r="Z936" i="5"/>
  <c r="Z935" i="5"/>
  <c r="Z934" i="5"/>
  <c r="Z933" i="5"/>
  <c r="Z932" i="5"/>
  <c r="Z931" i="5"/>
  <c r="Z930" i="5"/>
  <c r="Z929" i="5"/>
  <c r="Z928" i="5"/>
  <c r="Z927" i="5"/>
  <c r="Z926" i="5"/>
  <c r="Z925" i="5"/>
  <c r="Z924" i="5"/>
  <c r="Z923" i="5"/>
  <c r="Z922" i="5"/>
  <c r="Z921" i="5"/>
  <c r="Z920" i="5"/>
  <c r="Z919" i="5"/>
  <c r="Z918" i="5"/>
  <c r="Z917" i="5"/>
  <c r="Z916" i="5"/>
  <c r="Z915" i="5"/>
  <c r="Z914" i="5"/>
  <c r="Z913" i="5"/>
  <c r="Z912" i="5"/>
  <c r="Z911" i="5"/>
  <c r="Z910" i="5"/>
  <c r="Z909" i="5"/>
  <c r="Z908" i="5"/>
  <c r="Z907" i="5"/>
  <c r="Z906" i="5"/>
  <c r="Z905" i="5"/>
  <c r="Z904" i="5"/>
  <c r="Z903" i="5"/>
  <c r="Z902" i="5"/>
  <c r="Z901" i="5"/>
  <c r="Z900" i="5"/>
  <c r="Z899" i="5"/>
  <c r="Z898" i="5"/>
  <c r="Z897" i="5"/>
  <c r="Z896" i="5"/>
  <c r="Z895" i="5"/>
  <c r="Z894" i="5"/>
  <c r="Z893" i="5"/>
  <c r="Z892" i="5"/>
  <c r="Z891" i="5"/>
  <c r="Z890" i="5"/>
  <c r="Z889" i="5"/>
  <c r="Z888" i="5"/>
  <c r="Z887" i="5"/>
  <c r="Z886" i="5"/>
  <c r="Z885" i="5"/>
  <c r="Z884" i="5"/>
  <c r="Z883" i="5"/>
  <c r="Z882" i="5"/>
  <c r="Z881" i="5"/>
  <c r="Z880" i="5"/>
  <c r="Z879" i="5"/>
  <c r="Z878" i="5"/>
  <c r="Z877" i="5"/>
  <c r="Z876" i="5"/>
  <c r="Z875" i="5"/>
  <c r="Z874" i="5"/>
  <c r="Z873" i="5"/>
  <c r="Z872" i="5"/>
  <c r="Z871" i="5"/>
  <c r="Z870" i="5"/>
  <c r="Z869" i="5"/>
  <c r="Z868" i="5"/>
  <c r="Z867" i="5"/>
  <c r="Z866" i="5"/>
  <c r="Z865" i="5"/>
  <c r="Z864" i="5"/>
  <c r="Z863" i="5"/>
  <c r="Z862" i="5"/>
  <c r="Z861" i="5"/>
  <c r="Z860" i="5"/>
  <c r="Z859" i="5"/>
  <c r="Z858" i="5"/>
  <c r="Z857" i="5"/>
  <c r="Z856" i="5"/>
  <c r="Z855" i="5"/>
  <c r="Z854" i="5"/>
  <c r="Z853" i="5"/>
  <c r="Z852" i="5"/>
  <c r="Z851" i="5"/>
  <c r="Z850" i="5"/>
  <c r="Z849" i="5"/>
  <c r="Z848" i="5"/>
  <c r="Z847" i="5"/>
  <c r="Z846" i="5"/>
  <c r="Z845" i="5"/>
  <c r="Z844" i="5"/>
  <c r="Z843" i="5"/>
  <c r="Z842" i="5"/>
  <c r="Z841" i="5"/>
  <c r="Z840" i="5"/>
  <c r="Z839" i="5"/>
  <c r="Z838" i="5"/>
  <c r="Z837" i="5"/>
  <c r="Z836" i="5"/>
  <c r="Z835" i="5"/>
  <c r="Z834" i="5"/>
  <c r="Z833" i="5"/>
  <c r="Z832" i="5"/>
  <c r="Z831" i="5"/>
  <c r="Z830" i="5"/>
  <c r="Z829" i="5"/>
  <c r="Z828" i="5"/>
  <c r="Z827" i="5"/>
  <c r="Z826" i="5"/>
  <c r="Z825" i="5"/>
  <c r="Z824" i="5"/>
  <c r="Z823" i="5"/>
  <c r="Z822" i="5"/>
  <c r="Z821" i="5"/>
  <c r="Z820" i="5"/>
  <c r="Z819" i="5"/>
  <c r="Z818" i="5"/>
  <c r="Z817" i="5"/>
  <c r="Z816" i="5"/>
  <c r="Z815" i="5"/>
  <c r="Z814" i="5"/>
  <c r="Z813" i="5"/>
  <c r="Z812" i="5"/>
  <c r="Z811" i="5"/>
  <c r="Z810" i="5"/>
  <c r="Z809" i="5"/>
  <c r="Z808" i="5"/>
  <c r="Z807" i="5"/>
  <c r="Z806" i="5"/>
  <c r="Z805" i="5"/>
  <c r="Z804" i="5"/>
  <c r="Z803" i="5"/>
  <c r="Z802" i="5"/>
  <c r="Z801" i="5"/>
  <c r="Z800" i="5"/>
  <c r="Z799" i="5"/>
  <c r="Z798" i="5"/>
  <c r="Z797" i="5"/>
  <c r="Z796" i="5"/>
  <c r="Z795" i="5"/>
  <c r="Z794" i="5"/>
  <c r="Z793" i="5"/>
  <c r="Z792" i="5"/>
  <c r="Z791" i="5"/>
  <c r="Z790" i="5"/>
  <c r="Z789" i="5"/>
  <c r="Z788" i="5"/>
  <c r="Z787" i="5"/>
  <c r="Z786" i="5"/>
  <c r="Z785" i="5"/>
  <c r="Z784" i="5"/>
  <c r="Z783" i="5"/>
  <c r="Z782" i="5"/>
  <c r="Z781" i="5"/>
  <c r="Z780" i="5"/>
  <c r="Z779" i="5"/>
  <c r="Z778" i="5"/>
  <c r="Z777" i="5"/>
  <c r="Z776" i="5"/>
  <c r="Z775" i="5"/>
  <c r="Z774" i="5"/>
  <c r="Z773" i="5"/>
  <c r="Z772" i="5"/>
  <c r="Z771" i="5"/>
  <c r="Z770" i="5"/>
  <c r="Z769" i="5"/>
  <c r="Z768" i="5"/>
  <c r="Z767" i="5"/>
  <c r="Z766" i="5"/>
  <c r="Z765" i="5"/>
  <c r="Z764" i="5"/>
  <c r="Z763" i="5"/>
  <c r="Z762" i="5"/>
  <c r="Z761" i="5"/>
  <c r="Z760" i="5"/>
  <c r="Z759" i="5"/>
  <c r="Z758" i="5"/>
  <c r="Z757" i="5"/>
  <c r="Z756" i="5"/>
  <c r="Z755" i="5"/>
  <c r="Z754" i="5"/>
  <c r="Z753" i="5"/>
  <c r="Z752" i="5"/>
  <c r="Z751" i="5"/>
  <c r="Z750" i="5"/>
  <c r="Z749" i="5"/>
  <c r="Z748" i="5"/>
  <c r="Z747" i="5"/>
  <c r="Z746" i="5"/>
  <c r="Z745" i="5"/>
  <c r="Z744" i="5"/>
  <c r="Z743" i="5"/>
  <c r="Z742" i="5"/>
  <c r="Z741" i="5"/>
  <c r="Z740" i="5"/>
  <c r="Z739" i="5"/>
  <c r="Z738" i="5"/>
  <c r="Z737" i="5"/>
  <c r="Z736" i="5"/>
  <c r="Z735" i="5"/>
  <c r="Z734" i="5"/>
  <c r="Z733" i="5"/>
  <c r="Z732" i="5"/>
  <c r="Z731" i="5"/>
  <c r="Z730" i="5"/>
  <c r="Z729" i="5"/>
  <c r="Z728" i="5"/>
  <c r="Z727" i="5"/>
  <c r="Z726" i="5"/>
  <c r="Z725" i="5"/>
  <c r="Z724" i="5"/>
  <c r="Z723" i="5"/>
  <c r="Z722" i="5"/>
  <c r="Z721" i="5"/>
  <c r="Z720" i="5"/>
  <c r="Z719" i="5"/>
  <c r="Z718" i="5"/>
  <c r="Z717" i="5"/>
  <c r="Z716" i="5"/>
  <c r="Z715" i="5"/>
  <c r="Z714" i="5"/>
  <c r="Z713" i="5"/>
  <c r="Z712" i="5"/>
  <c r="Z711" i="5"/>
  <c r="Z710" i="5"/>
  <c r="Z709" i="5"/>
  <c r="Z708" i="5"/>
  <c r="Z707" i="5"/>
  <c r="Z706" i="5"/>
  <c r="Z705" i="5"/>
  <c r="Z704" i="5"/>
  <c r="Z703" i="5"/>
  <c r="Z702" i="5"/>
  <c r="Z701" i="5"/>
  <c r="Z700" i="5"/>
  <c r="Z699" i="5"/>
  <c r="Z698" i="5"/>
  <c r="Z697" i="5"/>
  <c r="Z696" i="5"/>
  <c r="Z695" i="5"/>
  <c r="Z694" i="5"/>
  <c r="Z693" i="5"/>
  <c r="Z692" i="5"/>
  <c r="Z691" i="5"/>
  <c r="Z690" i="5"/>
  <c r="Z689" i="5"/>
  <c r="Z688" i="5"/>
  <c r="Z687" i="5"/>
  <c r="Z686" i="5"/>
  <c r="Z685" i="5"/>
  <c r="Z684" i="5"/>
  <c r="Z683" i="5"/>
  <c r="Z682" i="5"/>
  <c r="Z681" i="5"/>
  <c r="Z680" i="5"/>
  <c r="Z679" i="5"/>
  <c r="Z678" i="5"/>
  <c r="Z677" i="5"/>
  <c r="Z676" i="5"/>
  <c r="Z675" i="5"/>
  <c r="Z674" i="5"/>
  <c r="Z673" i="5"/>
  <c r="Z672" i="5"/>
  <c r="Z671" i="5"/>
  <c r="Z670" i="5"/>
  <c r="Z669" i="5"/>
  <c r="Z668" i="5"/>
  <c r="Z667" i="5"/>
  <c r="Z666" i="5"/>
  <c r="Z665" i="5"/>
  <c r="Z664" i="5"/>
  <c r="Z663" i="5"/>
  <c r="Z662" i="5"/>
  <c r="Z661" i="5"/>
  <c r="Z660" i="5"/>
  <c r="Z659" i="5"/>
  <c r="Z658" i="5"/>
  <c r="Z657" i="5"/>
  <c r="Z656" i="5"/>
  <c r="Z655" i="5"/>
  <c r="Z654" i="5"/>
  <c r="Z653" i="5"/>
  <c r="Z652" i="5"/>
  <c r="Z651" i="5"/>
  <c r="Z650" i="5"/>
  <c r="Z649" i="5"/>
  <c r="Z648" i="5"/>
  <c r="Z647" i="5"/>
  <c r="Z646" i="5"/>
  <c r="Z645" i="5"/>
  <c r="Z644" i="5"/>
  <c r="Z643" i="5"/>
  <c r="Z642" i="5"/>
  <c r="Z641" i="5"/>
  <c r="Z640" i="5"/>
  <c r="Z639" i="5"/>
  <c r="Z638" i="5"/>
  <c r="Z637" i="5"/>
  <c r="Z636" i="5"/>
  <c r="Z635" i="5"/>
  <c r="Z634" i="5"/>
  <c r="Z633" i="5"/>
  <c r="Z632" i="5"/>
  <c r="Z631" i="5"/>
  <c r="Z630" i="5"/>
  <c r="Z629" i="5"/>
  <c r="Z628" i="5"/>
  <c r="Z627" i="5"/>
  <c r="Z626" i="5"/>
  <c r="Z625" i="5"/>
  <c r="Z624" i="5"/>
  <c r="Z623" i="5"/>
  <c r="Z622" i="5"/>
  <c r="Z621" i="5"/>
  <c r="Z620" i="5"/>
  <c r="Z619" i="5"/>
  <c r="Z618" i="5"/>
  <c r="Z617" i="5"/>
  <c r="Z616" i="5"/>
  <c r="Z615" i="5"/>
  <c r="Z614" i="5"/>
  <c r="Z613" i="5"/>
  <c r="Z612" i="5"/>
  <c r="Z611" i="5"/>
  <c r="Z610" i="5"/>
  <c r="Z609" i="5"/>
  <c r="Z608" i="5"/>
  <c r="Z607" i="5"/>
  <c r="Z606" i="5"/>
  <c r="Z605" i="5"/>
  <c r="Z604" i="5"/>
  <c r="Z603" i="5"/>
  <c r="Z602" i="5"/>
  <c r="Z601" i="5"/>
  <c r="Z600" i="5"/>
  <c r="Z599" i="5"/>
  <c r="Z598" i="5"/>
  <c r="Z597" i="5"/>
  <c r="Z596" i="5"/>
  <c r="Z595" i="5"/>
  <c r="Z594" i="5"/>
  <c r="Z593" i="5"/>
  <c r="Z592" i="5"/>
  <c r="Z591" i="5"/>
  <c r="Z590" i="5"/>
  <c r="Z589" i="5"/>
  <c r="Z588" i="5"/>
  <c r="Z587" i="5"/>
  <c r="Z586" i="5"/>
  <c r="Z585" i="5"/>
  <c r="Z584" i="5"/>
  <c r="Z583" i="5"/>
  <c r="Z582" i="5"/>
  <c r="Z581" i="5"/>
  <c r="Z580" i="5"/>
  <c r="Z579" i="5"/>
  <c r="Z578" i="5"/>
  <c r="Z577" i="5"/>
  <c r="Z576" i="5"/>
  <c r="Z575" i="5"/>
  <c r="Z574" i="5"/>
  <c r="Z573" i="5"/>
  <c r="Z572" i="5"/>
  <c r="Z571" i="5"/>
  <c r="Z570" i="5"/>
  <c r="Z569" i="5"/>
  <c r="Z568" i="5"/>
  <c r="Z567" i="5"/>
  <c r="Z566" i="5"/>
  <c r="Z565" i="5"/>
  <c r="Z564" i="5"/>
  <c r="Z563" i="5"/>
  <c r="Z562" i="5"/>
  <c r="Z561" i="5"/>
  <c r="Z560" i="5"/>
  <c r="Z559" i="5"/>
  <c r="Z558" i="5"/>
  <c r="Z557" i="5"/>
  <c r="Z556" i="5"/>
  <c r="Z555" i="5"/>
  <c r="Z554" i="5"/>
  <c r="Z553" i="5"/>
  <c r="Z552" i="5"/>
  <c r="Z551" i="5"/>
  <c r="Z550" i="5"/>
  <c r="Z549" i="5"/>
  <c r="Z548" i="5"/>
  <c r="Z547" i="5"/>
  <c r="Z546" i="5"/>
  <c r="Z545" i="5"/>
  <c r="Z544" i="5"/>
  <c r="Z543" i="5"/>
  <c r="Z542" i="5"/>
  <c r="Z541" i="5"/>
  <c r="Z540" i="5"/>
  <c r="Z539" i="5"/>
  <c r="Z538" i="5"/>
  <c r="Z537" i="5"/>
  <c r="Z536" i="5"/>
  <c r="Z535" i="5"/>
  <c r="Z534" i="5"/>
  <c r="Z533" i="5"/>
  <c r="Z532" i="5"/>
  <c r="Z531" i="5"/>
  <c r="Z530" i="5"/>
  <c r="Z529" i="5"/>
  <c r="Z528" i="5"/>
  <c r="Z527" i="5"/>
  <c r="Z526" i="5"/>
  <c r="Z525" i="5"/>
  <c r="Z524" i="5"/>
  <c r="Z523" i="5"/>
  <c r="Z522" i="5"/>
  <c r="Z521" i="5"/>
  <c r="Z520" i="5"/>
  <c r="Z519" i="5"/>
  <c r="Z518" i="5"/>
  <c r="Z517" i="5"/>
  <c r="Z516" i="5"/>
  <c r="Z515" i="5"/>
  <c r="Z514" i="5"/>
  <c r="Z513" i="5"/>
  <c r="Z512" i="5"/>
  <c r="Z511" i="5"/>
  <c r="Z510" i="5"/>
  <c r="Z509" i="5"/>
  <c r="Z508" i="5"/>
  <c r="Z507" i="5"/>
  <c r="Z506" i="5"/>
  <c r="Z505" i="5"/>
  <c r="Z504" i="5"/>
  <c r="Z503" i="5"/>
  <c r="Z502" i="5"/>
  <c r="Z501" i="5"/>
  <c r="Z500" i="5"/>
  <c r="Z499" i="5"/>
  <c r="Z498" i="5"/>
  <c r="Z497" i="5"/>
  <c r="Z496" i="5"/>
  <c r="Z495" i="5"/>
  <c r="Z494" i="5"/>
  <c r="Z493" i="5"/>
  <c r="Z492" i="5"/>
  <c r="Z491" i="5"/>
  <c r="Z490" i="5"/>
  <c r="Z489" i="5"/>
  <c r="Z488" i="5"/>
  <c r="Z487" i="5"/>
  <c r="Z486" i="5"/>
  <c r="Z485" i="5"/>
  <c r="Z484" i="5"/>
  <c r="Z483" i="5"/>
  <c r="Z482" i="5"/>
  <c r="Z481" i="5"/>
  <c r="Z480" i="5"/>
  <c r="Z479" i="5"/>
  <c r="Z478" i="5"/>
  <c r="Z477" i="5"/>
  <c r="Z476" i="5"/>
  <c r="Z475" i="5"/>
  <c r="Z474" i="5"/>
  <c r="Z473" i="5"/>
  <c r="Z472" i="5"/>
  <c r="Z471" i="5"/>
  <c r="Z470" i="5"/>
  <c r="Z469" i="5"/>
  <c r="Z468" i="5"/>
  <c r="Z467" i="5"/>
  <c r="Z466" i="5"/>
  <c r="Z465" i="5"/>
  <c r="Z464" i="5"/>
  <c r="Z463" i="5"/>
  <c r="Z462" i="5"/>
  <c r="Z461" i="5"/>
  <c r="Z460" i="5"/>
  <c r="Z459" i="5"/>
  <c r="Z458" i="5"/>
  <c r="Z457" i="5"/>
  <c r="Z456" i="5"/>
  <c r="Z455" i="5"/>
  <c r="Z454" i="5"/>
  <c r="Z453" i="5"/>
  <c r="Z452" i="5"/>
  <c r="Z451" i="5"/>
  <c r="Z450" i="5"/>
  <c r="Z449" i="5"/>
  <c r="Z448" i="5"/>
  <c r="Z447" i="5"/>
  <c r="Z446" i="5"/>
  <c r="Z445" i="5"/>
  <c r="Z444" i="5"/>
  <c r="Z443" i="5"/>
  <c r="Z442" i="5"/>
  <c r="Z441" i="5"/>
  <c r="Z440" i="5"/>
  <c r="Z439" i="5"/>
  <c r="Z438" i="5"/>
  <c r="Z437" i="5"/>
  <c r="Z436" i="5"/>
  <c r="Z435" i="5"/>
  <c r="Z434" i="5"/>
  <c r="Z433" i="5"/>
  <c r="Z432" i="5"/>
  <c r="Z431" i="5"/>
  <c r="Z430" i="5"/>
  <c r="Z429" i="5"/>
  <c r="Z428" i="5"/>
  <c r="Z427" i="5"/>
  <c r="Z426" i="5"/>
  <c r="Z425" i="5"/>
  <c r="Z424" i="5"/>
  <c r="Z423" i="5"/>
  <c r="Z422" i="5"/>
  <c r="Z421" i="5"/>
  <c r="Z420" i="5"/>
  <c r="Z419" i="5"/>
  <c r="Z418" i="5"/>
  <c r="Z417" i="5"/>
  <c r="Z416" i="5"/>
  <c r="Z415" i="5"/>
  <c r="Z414" i="5"/>
  <c r="Z413" i="5"/>
  <c r="Z412" i="5"/>
  <c r="Z411" i="5"/>
  <c r="Z410" i="5"/>
  <c r="Z409" i="5"/>
  <c r="Z408" i="5"/>
  <c r="Z407" i="5"/>
  <c r="Z406" i="5"/>
  <c r="Z405" i="5"/>
  <c r="Z404" i="5"/>
  <c r="Z403" i="5"/>
  <c r="Z402" i="5"/>
  <c r="Z401" i="5"/>
  <c r="Z400" i="5"/>
  <c r="Z399" i="5"/>
  <c r="Z398" i="5"/>
  <c r="Z397" i="5"/>
  <c r="Z396" i="5"/>
  <c r="Z395" i="5"/>
  <c r="Z394" i="5"/>
  <c r="Z393" i="5"/>
  <c r="Z392" i="5"/>
  <c r="Z391" i="5"/>
  <c r="Z390" i="5"/>
  <c r="Z389" i="5"/>
  <c r="Z388" i="5"/>
  <c r="Z387" i="5"/>
  <c r="Z386" i="5"/>
  <c r="Z385" i="5"/>
  <c r="Z384" i="5"/>
  <c r="Z383" i="5"/>
  <c r="Z382" i="5"/>
  <c r="Z381" i="5"/>
  <c r="Z380" i="5"/>
  <c r="Z379" i="5"/>
  <c r="Z378" i="5"/>
  <c r="Z377" i="5"/>
  <c r="Z376" i="5"/>
  <c r="Z375" i="5"/>
  <c r="Z374" i="5"/>
  <c r="Z373" i="5"/>
  <c r="Z372" i="5"/>
  <c r="Z371" i="5"/>
  <c r="Z370" i="5"/>
  <c r="Z369" i="5"/>
  <c r="Z368" i="5"/>
  <c r="Z367" i="5"/>
  <c r="Z366" i="5"/>
  <c r="Z365" i="5"/>
  <c r="Z364" i="5"/>
  <c r="Z363" i="5"/>
  <c r="Z362" i="5"/>
  <c r="Z361" i="5"/>
  <c r="Z360" i="5"/>
  <c r="Z359" i="5"/>
  <c r="Z358" i="5"/>
  <c r="Z357" i="5"/>
  <c r="Z356" i="5"/>
  <c r="Z355" i="5"/>
  <c r="Z354" i="5"/>
  <c r="Z353" i="5"/>
  <c r="Z352" i="5"/>
  <c r="Z351" i="5"/>
  <c r="Z350" i="5"/>
  <c r="Z349" i="5"/>
  <c r="Z348" i="5"/>
  <c r="Z347" i="5"/>
  <c r="Z346" i="5"/>
  <c r="Z345" i="5"/>
  <c r="Z344" i="5"/>
  <c r="Z343" i="5"/>
  <c r="Z342" i="5"/>
  <c r="Z341" i="5"/>
  <c r="Z340" i="5"/>
  <c r="Z339" i="5"/>
  <c r="Z338" i="5"/>
  <c r="Z337" i="5"/>
  <c r="Z336" i="5"/>
  <c r="Z335" i="5"/>
  <c r="Z334" i="5"/>
  <c r="Z333" i="5"/>
  <c r="Z332" i="5"/>
  <c r="Z331" i="5"/>
  <c r="Z330" i="5"/>
  <c r="Z329" i="5"/>
  <c r="Z328" i="5"/>
  <c r="Z327" i="5"/>
  <c r="Z326" i="5"/>
  <c r="Z325" i="5"/>
  <c r="Z324" i="5"/>
  <c r="Z323" i="5"/>
  <c r="Z322" i="5"/>
  <c r="Z321" i="5"/>
  <c r="Z320" i="5"/>
  <c r="Z319" i="5"/>
  <c r="Z318" i="5"/>
  <c r="Z317" i="5"/>
  <c r="Z316" i="5"/>
  <c r="Z315" i="5"/>
  <c r="Z314" i="5"/>
  <c r="Z313" i="5"/>
  <c r="Z312" i="5"/>
  <c r="Z311" i="5"/>
  <c r="Z310" i="5"/>
  <c r="Z309" i="5"/>
  <c r="Z308" i="5"/>
  <c r="Z307" i="5"/>
  <c r="Z306" i="5"/>
  <c r="Z305" i="5"/>
  <c r="Z304" i="5"/>
  <c r="Z303" i="5"/>
  <c r="Z302" i="5"/>
  <c r="Z301" i="5"/>
  <c r="Z300" i="5"/>
  <c r="Z299" i="5"/>
  <c r="Z298" i="5"/>
  <c r="Z297" i="5"/>
  <c r="Z296" i="5"/>
  <c r="Z295" i="5"/>
  <c r="Z294" i="5"/>
  <c r="Z293" i="5"/>
  <c r="Z292" i="5"/>
  <c r="Z291" i="5"/>
  <c r="Z290" i="5"/>
  <c r="Z289" i="5"/>
  <c r="Z288" i="5"/>
  <c r="Z287" i="5"/>
  <c r="Z286" i="5"/>
  <c r="Z285" i="5"/>
  <c r="Z284" i="5"/>
  <c r="Z283" i="5"/>
  <c r="Z282" i="5"/>
  <c r="Z281" i="5"/>
  <c r="Z280" i="5"/>
  <c r="Z279" i="5"/>
  <c r="Z278" i="5"/>
  <c r="Z277" i="5"/>
  <c r="Z276" i="5"/>
  <c r="Z275" i="5"/>
  <c r="Z274" i="5"/>
  <c r="Z273" i="5"/>
  <c r="Z272" i="5"/>
  <c r="Z271" i="5"/>
  <c r="Z270" i="5"/>
  <c r="Z269" i="5"/>
  <c r="Z268" i="5"/>
  <c r="Z267" i="5"/>
  <c r="Z266" i="5"/>
  <c r="Z265" i="5"/>
  <c r="Z264" i="5"/>
  <c r="Z263" i="5"/>
  <c r="Z262" i="5"/>
  <c r="Z261" i="5"/>
  <c r="Z260" i="5"/>
  <c r="Z259" i="5"/>
  <c r="Z258" i="5"/>
  <c r="Z257" i="5"/>
  <c r="Z256" i="5"/>
  <c r="Z255" i="5"/>
  <c r="Z254" i="5"/>
  <c r="Z253" i="5"/>
  <c r="Z252" i="5"/>
  <c r="Z251" i="5"/>
  <c r="Z250" i="5"/>
  <c r="Z249" i="5"/>
  <c r="Z248" i="5"/>
  <c r="Z247" i="5"/>
  <c r="Z246" i="5"/>
  <c r="Z245" i="5"/>
  <c r="Z244" i="5"/>
  <c r="Z243" i="5"/>
  <c r="Z242" i="5"/>
  <c r="Z241" i="5"/>
  <c r="Z240" i="5"/>
  <c r="Z239" i="5"/>
  <c r="Z238" i="5"/>
  <c r="Z237" i="5"/>
  <c r="Z236" i="5"/>
  <c r="Z235" i="5"/>
  <c r="Z234" i="5"/>
  <c r="Z233" i="5"/>
  <c r="Z232" i="5"/>
  <c r="Z231" i="5"/>
  <c r="Z230" i="5"/>
  <c r="Z229" i="5"/>
  <c r="Z228" i="5"/>
  <c r="Z227" i="5"/>
  <c r="Z226" i="5"/>
  <c r="Z225" i="5"/>
  <c r="Z224" i="5"/>
  <c r="Z223" i="5"/>
  <c r="Z222" i="5"/>
  <c r="Z221" i="5"/>
  <c r="Z220" i="5"/>
  <c r="Z219" i="5"/>
  <c r="Z218" i="5"/>
  <c r="Z217" i="5"/>
  <c r="Z216" i="5"/>
  <c r="Z215" i="5"/>
  <c r="Z214" i="5"/>
  <c r="Z213" i="5"/>
  <c r="Z212" i="5"/>
  <c r="Z211" i="5"/>
  <c r="Z210" i="5"/>
  <c r="Z209" i="5"/>
  <c r="Z208" i="5"/>
  <c r="Z207" i="5"/>
  <c r="Z206" i="5"/>
  <c r="Z205" i="5"/>
  <c r="Z204" i="5"/>
  <c r="Z203" i="5"/>
  <c r="Z202" i="5"/>
  <c r="Z201" i="5"/>
  <c r="Z200" i="5"/>
  <c r="Z199" i="5"/>
  <c r="Z198" i="5"/>
  <c r="Z197" i="5"/>
  <c r="Z196" i="5"/>
  <c r="Z195" i="5"/>
  <c r="Z194" i="5"/>
  <c r="Z193" i="5"/>
  <c r="Z192" i="5"/>
  <c r="Z191" i="5"/>
  <c r="Z190" i="5"/>
  <c r="Z189" i="5"/>
  <c r="Z188" i="5"/>
  <c r="Z187" i="5"/>
  <c r="Z186" i="5"/>
  <c r="Z185" i="5"/>
  <c r="Z184" i="5"/>
  <c r="Z183" i="5"/>
  <c r="Z182" i="5"/>
  <c r="Z181" i="5"/>
  <c r="Z180" i="5"/>
  <c r="Z179" i="5"/>
  <c r="Z178" i="5"/>
  <c r="Z177" i="5"/>
  <c r="Z176" i="5"/>
  <c r="Z175" i="5"/>
  <c r="Z174" i="5"/>
  <c r="Z173" i="5"/>
  <c r="Z172" i="5"/>
  <c r="Z171" i="5"/>
  <c r="Z170" i="5"/>
  <c r="Z169" i="5"/>
  <c r="Z168" i="5"/>
  <c r="Z167" i="5"/>
  <c r="Z166" i="5"/>
  <c r="Z165" i="5"/>
  <c r="Z164" i="5"/>
  <c r="Z163" i="5"/>
  <c r="Z162" i="5"/>
  <c r="Z161" i="5"/>
  <c r="Z160" i="5"/>
  <c r="Z159" i="5"/>
  <c r="Z158" i="5"/>
  <c r="Z157" i="5"/>
  <c r="Z156" i="5"/>
  <c r="Z155" i="5"/>
  <c r="Z154" i="5"/>
  <c r="Z153" i="5"/>
  <c r="Z152" i="5"/>
  <c r="Z151" i="5"/>
  <c r="Z150" i="5"/>
  <c r="Z149" i="5"/>
  <c r="Z148" i="5"/>
  <c r="Z147" i="5"/>
  <c r="Z146" i="5"/>
  <c r="Z145" i="5"/>
  <c r="Z144" i="5"/>
  <c r="Z143" i="5"/>
  <c r="Z142" i="5"/>
  <c r="Z141" i="5"/>
  <c r="Z140" i="5"/>
  <c r="Z139" i="5"/>
  <c r="Z138" i="5"/>
  <c r="Z137" i="5"/>
  <c r="Z136" i="5"/>
  <c r="Z135" i="5"/>
  <c r="Z134" i="5"/>
  <c r="Z133" i="5"/>
  <c r="Z132" i="5"/>
  <c r="Z131" i="5"/>
  <c r="Z130" i="5"/>
  <c r="Z129" i="5"/>
  <c r="Z128" i="5"/>
  <c r="Z127" i="5"/>
  <c r="Z126" i="5"/>
  <c r="Z125" i="5"/>
  <c r="Z124" i="5"/>
  <c r="Z123" i="5"/>
  <c r="Z122" i="5"/>
  <c r="Z121" i="5"/>
  <c r="Z120" i="5"/>
  <c r="Z119" i="5"/>
  <c r="Z118" i="5"/>
  <c r="Z117" i="5"/>
  <c r="Z116" i="5"/>
  <c r="Z115" i="5"/>
  <c r="Z114" i="5"/>
  <c r="Z113" i="5"/>
  <c r="Z112" i="5"/>
  <c r="Z111" i="5"/>
  <c r="Z110" i="5"/>
  <c r="Z109" i="5"/>
  <c r="Z108" i="5"/>
  <c r="Z107" i="5"/>
  <c r="Z106" i="5"/>
  <c r="Z105" i="5"/>
  <c r="Z104" i="5"/>
  <c r="Z103" i="5"/>
  <c r="Z102" i="5"/>
  <c r="Z101" i="5"/>
  <c r="Z100" i="5"/>
  <c r="Z99" i="5"/>
  <c r="Z98" i="5"/>
  <c r="Z97" i="5"/>
  <c r="Z96" i="5"/>
  <c r="Z95" i="5"/>
  <c r="Z94" i="5"/>
  <c r="Z93" i="5"/>
  <c r="Z92" i="5"/>
  <c r="Z91" i="5"/>
  <c r="Z90" i="5"/>
  <c r="Z89" i="5"/>
  <c r="Z88" i="5"/>
  <c r="Z87" i="5"/>
  <c r="Z86" i="5"/>
  <c r="Z85" i="5"/>
  <c r="Z84" i="5"/>
  <c r="Z83" i="5"/>
  <c r="Z82" i="5"/>
  <c r="Z81" i="5"/>
  <c r="Z80" i="5"/>
  <c r="Z79" i="5"/>
  <c r="Z78" i="5"/>
  <c r="Z77" i="5"/>
  <c r="Z76" i="5"/>
  <c r="Z75" i="5"/>
  <c r="Z74" i="5"/>
  <c r="Z73" i="5"/>
  <c r="Z72" i="5"/>
  <c r="Z71" i="5"/>
  <c r="Z70" i="5"/>
  <c r="Z69" i="5"/>
  <c r="Z68" i="5"/>
  <c r="Z67" i="5"/>
  <c r="Z66" i="5"/>
  <c r="Z65" i="5"/>
  <c r="Z64" i="5"/>
  <c r="Z63" i="5"/>
  <c r="Z62" i="5"/>
  <c r="Z61" i="5"/>
  <c r="Z60" i="5"/>
  <c r="Z59" i="5"/>
  <c r="Z58" i="5"/>
  <c r="Z57" i="5"/>
  <c r="Z56" i="5"/>
  <c r="Z55" i="5"/>
  <c r="Z54" i="5"/>
  <c r="Z53" i="5"/>
  <c r="Z52" i="5"/>
  <c r="Z51" i="5"/>
  <c r="Z50" i="5"/>
  <c r="Z49" i="5"/>
  <c r="Z48" i="5"/>
  <c r="Z47" i="5"/>
  <c r="Z46" i="5"/>
  <c r="Z45" i="5"/>
  <c r="Z44" i="5"/>
  <c r="Z43" i="5"/>
  <c r="Z42" i="5"/>
  <c r="Z41" i="5"/>
  <c r="Z40" i="5"/>
  <c r="Z39" i="5"/>
  <c r="Z38" i="5"/>
  <c r="Z37" i="5"/>
  <c r="Z36" i="5"/>
  <c r="Z35" i="5"/>
  <c r="Z34" i="5"/>
  <c r="Z33" i="5"/>
  <c r="Z32" i="5"/>
  <c r="Z31" i="5"/>
  <c r="Z30" i="5"/>
  <c r="Z29" i="5"/>
  <c r="Z28" i="5"/>
  <c r="Z27" i="5"/>
  <c r="Z26" i="5"/>
  <c r="Z25" i="5"/>
  <c r="Z24" i="5"/>
  <c r="Z23" i="5"/>
  <c r="Z22" i="5"/>
  <c r="Z21" i="5"/>
  <c r="Z20" i="5"/>
  <c r="Z19" i="5"/>
  <c r="Z18" i="5"/>
  <c r="Z17" i="5"/>
  <c r="Z16" i="5"/>
  <c r="Z15" i="5"/>
  <c r="Z14" i="5"/>
  <c r="Z13" i="5"/>
  <c r="Z12" i="5"/>
  <c r="Z11" i="5"/>
  <c r="Z10" i="5"/>
  <c r="Z9" i="5"/>
  <c r="Z8" i="5"/>
  <c r="Z7" i="5"/>
  <c r="Z6" i="5"/>
  <c r="Z5" i="5"/>
  <c r="Z4" i="5"/>
  <c r="Z3" i="5"/>
  <c r="Z2" i="5"/>
  <c r="D784" i="5"/>
  <c r="C784" i="5"/>
  <c r="B784" i="5"/>
  <c r="A784" i="5"/>
  <c r="D783" i="5"/>
  <c r="C783" i="5"/>
  <c r="B783" i="5"/>
  <c r="A783" i="5"/>
  <c r="D782" i="5"/>
  <c r="C782" i="5"/>
  <c r="B782" i="5"/>
  <c r="A782" i="5"/>
  <c r="D781" i="5"/>
  <c r="C781" i="5"/>
  <c r="B781" i="5"/>
  <c r="A781" i="5"/>
  <c r="D780" i="5"/>
  <c r="C780" i="5"/>
  <c r="B780" i="5"/>
  <c r="A780" i="5"/>
  <c r="D779" i="5"/>
  <c r="C779" i="5"/>
  <c r="B779" i="5"/>
  <c r="A779" i="5"/>
  <c r="D778" i="5"/>
  <c r="C778" i="5"/>
  <c r="B778" i="5"/>
  <c r="A778" i="5"/>
  <c r="D777" i="5"/>
  <c r="C777" i="5"/>
  <c r="B777" i="5"/>
  <c r="A777" i="5"/>
  <c r="D776" i="5"/>
  <c r="C776" i="5"/>
  <c r="B776" i="5"/>
  <c r="A776" i="5"/>
  <c r="D775" i="5"/>
  <c r="C775" i="5"/>
  <c r="B775" i="5"/>
  <c r="A775" i="5"/>
  <c r="D774" i="5"/>
  <c r="C774" i="5"/>
  <c r="B774" i="5"/>
  <c r="A774" i="5"/>
  <c r="D773" i="5"/>
  <c r="C773" i="5"/>
  <c r="B773" i="5"/>
  <c r="A773" i="5"/>
  <c r="D772" i="5"/>
  <c r="C772" i="5"/>
  <c r="B772" i="5"/>
  <c r="A772" i="5"/>
  <c r="D771" i="5"/>
  <c r="C771" i="5"/>
  <c r="B771" i="5"/>
  <c r="A771" i="5"/>
  <c r="D770" i="5"/>
  <c r="C770" i="5"/>
  <c r="B770" i="5"/>
  <c r="A770" i="5"/>
  <c r="D769" i="5"/>
  <c r="C769" i="5"/>
  <c r="B769" i="5"/>
  <c r="A769" i="5"/>
  <c r="D768" i="5"/>
  <c r="C768" i="5"/>
  <c r="B768" i="5"/>
  <c r="A768" i="5"/>
  <c r="D767" i="5"/>
  <c r="C767" i="5"/>
  <c r="B767" i="5"/>
  <c r="A767" i="5"/>
  <c r="D766" i="5"/>
  <c r="C766" i="5"/>
  <c r="B766" i="5"/>
  <c r="A766" i="5"/>
  <c r="D765" i="5"/>
  <c r="C765" i="5"/>
  <c r="B765" i="5"/>
  <c r="A765" i="5"/>
  <c r="D764" i="5"/>
  <c r="C764" i="5"/>
  <c r="B764" i="5"/>
  <c r="A764" i="5"/>
  <c r="D763" i="5"/>
  <c r="C763" i="5"/>
  <c r="B763" i="5"/>
  <c r="A763" i="5"/>
  <c r="D762" i="5"/>
  <c r="C762" i="5"/>
  <c r="B762" i="5"/>
  <c r="A762" i="5"/>
  <c r="D761" i="5"/>
  <c r="C761" i="5"/>
  <c r="B761" i="5"/>
  <c r="A761" i="5"/>
  <c r="D760" i="5"/>
  <c r="C760" i="5"/>
  <c r="B760" i="5"/>
  <c r="A760" i="5"/>
  <c r="D759" i="5"/>
  <c r="C759" i="5"/>
  <c r="B759" i="5"/>
  <c r="A759" i="5"/>
  <c r="D758" i="5"/>
  <c r="C758" i="5"/>
  <c r="B758" i="5"/>
  <c r="A758" i="5"/>
  <c r="D757" i="5"/>
  <c r="C757" i="5"/>
  <c r="B757" i="5"/>
  <c r="A757" i="5"/>
  <c r="D756" i="5"/>
  <c r="C756" i="5"/>
  <c r="B756" i="5"/>
  <c r="A756" i="5"/>
  <c r="D755" i="5"/>
  <c r="C755" i="5"/>
  <c r="B755" i="5"/>
  <c r="A755" i="5"/>
  <c r="D754" i="5"/>
  <c r="C754" i="5"/>
  <c r="B754" i="5"/>
  <c r="A754" i="5"/>
  <c r="D753" i="5"/>
  <c r="C753" i="5"/>
  <c r="B753" i="5"/>
  <c r="A753" i="5"/>
  <c r="D752" i="5"/>
  <c r="C752" i="5"/>
  <c r="B752" i="5"/>
  <c r="A752" i="5"/>
  <c r="D751" i="5"/>
  <c r="C751" i="5"/>
  <c r="B751" i="5"/>
  <c r="A751" i="5"/>
  <c r="D750" i="5"/>
  <c r="C750" i="5"/>
  <c r="B750" i="5"/>
  <c r="A750" i="5"/>
  <c r="D749" i="5"/>
  <c r="C749" i="5"/>
  <c r="B749" i="5"/>
  <c r="A749" i="5"/>
  <c r="D748" i="5"/>
  <c r="C748" i="5"/>
  <c r="B748" i="5"/>
  <c r="A748" i="5"/>
  <c r="D747" i="5"/>
  <c r="C747" i="5"/>
  <c r="B747" i="5"/>
  <c r="A747" i="5"/>
  <c r="D746" i="5"/>
  <c r="C746" i="5"/>
  <c r="B746" i="5"/>
  <c r="A746" i="5"/>
  <c r="D745" i="5"/>
  <c r="C745" i="5"/>
  <c r="B745" i="5"/>
  <c r="A745" i="5"/>
  <c r="D744" i="5"/>
  <c r="C744" i="5"/>
  <c r="B744" i="5"/>
  <c r="A744" i="5"/>
  <c r="D743" i="5"/>
  <c r="C743" i="5"/>
  <c r="B743" i="5"/>
  <c r="A743" i="5"/>
  <c r="D742" i="5"/>
  <c r="C742" i="5"/>
  <c r="B742" i="5"/>
  <c r="A742" i="5"/>
  <c r="D741" i="5"/>
  <c r="C741" i="5"/>
  <c r="B741" i="5"/>
  <c r="A741" i="5"/>
  <c r="D740" i="5"/>
  <c r="C740" i="5"/>
  <c r="B740" i="5"/>
  <c r="A740" i="5"/>
  <c r="D739" i="5"/>
  <c r="C739" i="5"/>
  <c r="B739" i="5"/>
  <c r="A739" i="5"/>
  <c r="D738" i="5"/>
  <c r="C738" i="5"/>
  <c r="B738" i="5"/>
  <c r="A738" i="5"/>
  <c r="D737" i="5"/>
  <c r="C737" i="5"/>
  <c r="B737" i="5"/>
  <c r="A737" i="5"/>
  <c r="D736" i="5"/>
  <c r="C736" i="5"/>
  <c r="B736" i="5"/>
  <c r="A736" i="5"/>
  <c r="D735" i="5"/>
  <c r="C735" i="5"/>
  <c r="B735" i="5"/>
  <c r="A735" i="5"/>
  <c r="D734" i="5"/>
  <c r="C734" i="5"/>
  <c r="B734" i="5"/>
  <c r="A734" i="5"/>
  <c r="D733" i="5"/>
  <c r="C733" i="5"/>
  <c r="B733" i="5"/>
  <c r="A733" i="5"/>
  <c r="D732" i="5"/>
  <c r="C732" i="5"/>
  <c r="B732" i="5"/>
  <c r="A732" i="5"/>
  <c r="D731" i="5"/>
  <c r="C731" i="5"/>
  <c r="B731" i="5"/>
  <c r="A731" i="5"/>
  <c r="D730" i="5"/>
  <c r="C730" i="5"/>
  <c r="B730" i="5"/>
  <c r="A730" i="5"/>
  <c r="D729" i="5"/>
  <c r="C729" i="5"/>
  <c r="B729" i="5"/>
  <c r="A729" i="5"/>
  <c r="D728" i="5"/>
  <c r="C728" i="5"/>
  <c r="B728" i="5"/>
  <c r="A728" i="5"/>
  <c r="D727" i="5"/>
  <c r="C727" i="5"/>
  <c r="B727" i="5"/>
  <c r="A727" i="5"/>
  <c r="D726" i="5"/>
  <c r="C726" i="5"/>
  <c r="B726" i="5"/>
  <c r="A726" i="5"/>
  <c r="D725" i="5"/>
  <c r="C725" i="5"/>
  <c r="B725" i="5"/>
  <c r="A725" i="5"/>
  <c r="D724" i="5"/>
  <c r="C724" i="5"/>
  <c r="B724" i="5"/>
  <c r="A724" i="5"/>
  <c r="D723" i="5"/>
  <c r="C723" i="5"/>
  <c r="B723" i="5"/>
  <c r="A723" i="5"/>
  <c r="D722" i="5"/>
  <c r="C722" i="5"/>
  <c r="B722" i="5"/>
  <c r="A722" i="5"/>
  <c r="D721" i="5"/>
  <c r="C721" i="5"/>
  <c r="B721" i="5"/>
  <c r="A721" i="5"/>
  <c r="D720" i="5"/>
  <c r="C720" i="5"/>
  <c r="B720" i="5"/>
  <c r="A720" i="5"/>
  <c r="D719" i="5"/>
  <c r="C719" i="5"/>
  <c r="B719" i="5"/>
  <c r="A719" i="5"/>
  <c r="D718" i="5"/>
  <c r="C718" i="5"/>
  <c r="B718" i="5"/>
  <c r="A718" i="5"/>
  <c r="D717" i="5"/>
  <c r="C717" i="5"/>
  <c r="B717" i="5"/>
  <c r="A717" i="5"/>
  <c r="D716" i="5"/>
  <c r="C716" i="5"/>
  <c r="B716" i="5"/>
  <c r="A716" i="5"/>
  <c r="D715" i="5"/>
  <c r="C715" i="5"/>
  <c r="B715" i="5"/>
  <c r="A715" i="5"/>
  <c r="D714" i="5"/>
  <c r="C714" i="5"/>
  <c r="B714" i="5"/>
  <c r="A714" i="5"/>
  <c r="D713" i="5"/>
  <c r="C713" i="5"/>
  <c r="B713" i="5"/>
  <c r="A713" i="5"/>
  <c r="D712" i="5"/>
  <c r="C712" i="5"/>
  <c r="B712" i="5"/>
  <c r="A712" i="5"/>
  <c r="D711" i="5"/>
  <c r="C711" i="5"/>
  <c r="B711" i="5"/>
  <c r="A711" i="5"/>
  <c r="D710" i="5"/>
  <c r="C710" i="5"/>
  <c r="B710" i="5"/>
  <c r="A710" i="5"/>
  <c r="D709" i="5"/>
  <c r="C709" i="5"/>
  <c r="B709" i="5"/>
  <c r="A709" i="5"/>
  <c r="D708" i="5"/>
  <c r="C708" i="5"/>
  <c r="B708" i="5"/>
  <c r="A708" i="5"/>
  <c r="D707" i="5"/>
  <c r="C707" i="5"/>
  <c r="B707" i="5"/>
  <c r="A707" i="5"/>
  <c r="D706" i="5"/>
  <c r="C706" i="5"/>
  <c r="B706" i="5"/>
  <c r="A706" i="5"/>
  <c r="D705" i="5"/>
  <c r="C705" i="5"/>
  <c r="B705" i="5"/>
  <c r="A705" i="5"/>
  <c r="D704" i="5"/>
  <c r="C704" i="5"/>
  <c r="B704" i="5"/>
  <c r="A704" i="5"/>
  <c r="D703" i="5"/>
  <c r="C703" i="5"/>
  <c r="B703" i="5"/>
  <c r="A703" i="5"/>
  <c r="D702" i="5"/>
  <c r="C702" i="5"/>
  <c r="B702" i="5"/>
  <c r="A702" i="5"/>
  <c r="D701" i="5"/>
  <c r="C701" i="5"/>
  <c r="B701" i="5"/>
  <c r="A701" i="5"/>
  <c r="D700" i="5"/>
  <c r="C700" i="5"/>
  <c r="B700" i="5"/>
  <c r="A700" i="5"/>
  <c r="D699" i="5"/>
  <c r="C699" i="5"/>
  <c r="B699" i="5"/>
  <c r="A699" i="5"/>
  <c r="D698" i="5"/>
  <c r="C698" i="5"/>
  <c r="B698" i="5"/>
  <c r="A698" i="5"/>
  <c r="D697" i="5"/>
  <c r="C697" i="5"/>
  <c r="B697" i="5"/>
  <c r="A697" i="5"/>
  <c r="D696" i="5"/>
  <c r="C696" i="5"/>
  <c r="B696" i="5"/>
  <c r="A696" i="5"/>
  <c r="D695" i="5"/>
  <c r="C695" i="5"/>
  <c r="B695" i="5"/>
  <c r="A695" i="5"/>
  <c r="D694" i="5"/>
  <c r="C694" i="5"/>
  <c r="B694" i="5"/>
  <c r="A694" i="5"/>
  <c r="D693" i="5"/>
  <c r="C693" i="5"/>
  <c r="B693" i="5"/>
  <c r="A693" i="5"/>
  <c r="D692" i="5"/>
  <c r="C692" i="5"/>
  <c r="B692" i="5"/>
  <c r="A692" i="5"/>
  <c r="D691" i="5"/>
  <c r="C691" i="5"/>
  <c r="B691" i="5"/>
  <c r="A691" i="5"/>
  <c r="D690" i="5"/>
  <c r="C690" i="5"/>
  <c r="B690" i="5"/>
  <c r="A690" i="5"/>
  <c r="D689" i="5"/>
  <c r="C689" i="5"/>
  <c r="B689" i="5"/>
  <c r="A689" i="5"/>
  <c r="D688" i="5"/>
  <c r="C688" i="5"/>
  <c r="B688" i="5"/>
  <c r="A688" i="5"/>
  <c r="D687" i="5"/>
  <c r="C687" i="5"/>
  <c r="B687" i="5"/>
  <c r="A687" i="5"/>
  <c r="D686" i="5"/>
  <c r="C686" i="5"/>
  <c r="B686" i="5"/>
  <c r="A686" i="5"/>
  <c r="D685" i="5"/>
  <c r="C685" i="5"/>
  <c r="B685" i="5"/>
  <c r="A685" i="5"/>
  <c r="D684" i="5"/>
  <c r="C684" i="5"/>
  <c r="B684" i="5"/>
  <c r="A684" i="5"/>
  <c r="D683" i="5"/>
  <c r="C683" i="5"/>
  <c r="B683" i="5"/>
  <c r="A683" i="5"/>
  <c r="D682" i="5"/>
  <c r="C682" i="5"/>
  <c r="B682" i="5"/>
  <c r="A682" i="5"/>
  <c r="D681" i="5"/>
  <c r="C681" i="5"/>
  <c r="B681" i="5"/>
  <c r="A681" i="5"/>
  <c r="D680" i="5"/>
  <c r="C680" i="5"/>
  <c r="B680" i="5"/>
  <c r="A680" i="5"/>
  <c r="D679" i="5"/>
  <c r="C679" i="5"/>
  <c r="B679" i="5"/>
  <c r="A679" i="5"/>
  <c r="D678" i="5"/>
  <c r="C678" i="5"/>
  <c r="B678" i="5"/>
  <c r="A678" i="5"/>
  <c r="D677" i="5"/>
  <c r="C677" i="5"/>
  <c r="B677" i="5"/>
  <c r="A677" i="5"/>
  <c r="D676" i="5"/>
  <c r="C676" i="5"/>
  <c r="B676" i="5"/>
  <c r="A676" i="5"/>
  <c r="D675" i="5"/>
  <c r="C675" i="5"/>
  <c r="B675" i="5"/>
  <c r="A675" i="5"/>
  <c r="D674" i="5"/>
  <c r="C674" i="5"/>
  <c r="B674" i="5"/>
  <c r="A674" i="5"/>
  <c r="D673" i="5"/>
  <c r="C673" i="5"/>
  <c r="B673" i="5"/>
  <c r="A673" i="5"/>
  <c r="D672" i="5"/>
  <c r="C672" i="5"/>
  <c r="B672" i="5"/>
  <c r="A672" i="5"/>
  <c r="D671" i="5"/>
  <c r="C671" i="5"/>
  <c r="B671" i="5"/>
  <c r="A671" i="5"/>
  <c r="D670" i="5"/>
  <c r="C670" i="5"/>
  <c r="B670" i="5"/>
  <c r="A670" i="5"/>
  <c r="D669" i="5"/>
  <c r="C669" i="5"/>
  <c r="B669" i="5"/>
  <c r="A669" i="5"/>
  <c r="D668" i="5"/>
  <c r="C668" i="5"/>
  <c r="B668" i="5"/>
  <c r="A668" i="5"/>
  <c r="D667" i="5"/>
  <c r="C667" i="5"/>
  <c r="B667" i="5"/>
  <c r="A667" i="5"/>
  <c r="D666" i="5"/>
  <c r="C666" i="5"/>
  <c r="B666" i="5"/>
  <c r="A666" i="5"/>
  <c r="D665" i="5"/>
  <c r="C665" i="5"/>
  <c r="B665" i="5"/>
  <c r="A665" i="5"/>
  <c r="D664" i="5"/>
  <c r="C664" i="5"/>
  <c r="B664" i="5"/>
  <c r="A664" i="5"/>
  <c r="D663" i="5"/>
  <c r="C663" i="5"/>
  <c r="B663" i="5"/>
  <c r="A663" i="5"/>
  <c r="D662" i="5"/>
  <c r="C662" i="5"/>
  <c r="B662" i="5"/>
  <c r="A662" i="5"/>
  <c r="D661" i="5"/>
  <c r="C661" i="5"/>
  <c r="B661" i="5"/>
  <c r="A661" i="5"/>
  <c r="D660" i="5"/>
  <c r="C660" i="5"/>
  <c r="B660" i="5"/>
  <c r="A660" i="5"/>
  <c r="D659" i="5"/>
  <c r="C659" i="5"/>
  <c r="B659" i="5"/>
  <c r="A659" i="5"/>
  <c r="D658" i="5"/>
  <c r="C658" i="5"/>
  <c r="B658" i="5"/>
  <c r="A658" i="5"/>
  <c r="D657" i="5"/>
  <c r="C657" i="5"/>
  <c r="B657" i="5"/>
  <c r="A657" i="5"/>
  <c r="D656" i="5"/>
  <c r="C656" i="5"/>
  <c r="B656" i="5"/>
  <c r="A656" i="5"/>
  <c r="D655" i="5"/>
  <c r="C655" i="5"/>
  <c r="B655" i="5"/>
  <c r="A655" i="5"/>
  <c r="D654" i="5"/>
  <c r="C654" i="5"/>
  <c r="B654" i="5"/>
  <c r="A654" i="5"/>
  <c r="D653" i="5"/>
  <c r="C653" i="5"/>
  <c r="B653" i="5"/>
  <c r="A653" i="5"/>
  <c r="D652" i="5"/>
  <c r="C652" i="5"/>
  <c r="B652" i="5"/>
  <c r="A652" i="5"/>
  <c r="D651" i="5"/>
  <c r="C651" i="5"/>
  <c r="B651" i="5"/>
  <c r="A651" i="5"/>
  <c r="D650" i="5"/>
  <c r="C650" i="5"/>
  <c r="B650" i="5"/>
  <c r="A650" i="5"/>
  <c r="D649" i="5"/>
  <c r="C649" i="5"/>
  <c r="B649" i="5"/>
  <c r="A649" i="5"/>
  <c r="D648" i="5"/>
  <c r="C648" i="5"/>
  <c r="B648" i="5"/>
  <c r="A648" i="5"/>
  <c r="D647" i="5"/>
  <c r="C647" i="5"/>
  <c r="B647" i="5"/>
  <c r="A647" i="5"/>
  <c r="D646" i="5"/>
  <c r="C646" i="5"/>
  <c r="B646" i="5"/>
  <c r="A646" i="5"/>
  <c r="D645" i="5"/>
  <c r="C645" i="5"/>
  <c r="B645" i="5"/>
  <c r="A645" i="5"/>
  <c r="D644" i="5"/>
  <c r="C644" i="5"/>
  <c r="B644" i="5"/>
  <c r="A644" i="5"/>
  <c r="D643" i="5"/>
  <c r="C643" i="5"/>
  <c r="B643" i="5"/>
  <c r="A643" i="5"/>
  <c r="D642" i="5"/>
  <c r="C642" i="5"/>
  <c r="B642" i="5"/>
  <c r="A642" i="5"/>
  <c r="D641" i="5"/>
  <c r="C641" i="5"/>
  <c r="B641" i="5"/>
  <c r="A641" i="5"/>
  <c r="D640" i="5"/>
  <c r="C640" i="5"/>
  <c r="B640" i="5"/>
  <c r="A640" i="5"/>
  <c r="D639" i="5"/>
  <c r="C639" i="5"/>
  <c r="B639" i="5"/>
  <c r="A639" i="5"/>
  <c r="D638" i="5"/>
  <c r="C638" i="5"/>
  <c r="B638" i="5"/>
  <c r="A638" i="5"/>
  <c r="D637" i="5"/>
  <c r="C637" i="5"/>
  <c r="B637" i="5"/>
  <c r="A637" i="5"/>
  <c r="D636" i="5"/>
  <c r="C636" i="5"/>
  <c r="B636" i="5"/>
  <c r="A636" i="5"/>
  <c r="D635" i="5"/>
  <c r="C635" i="5"/>
  <c r="B635" i="5"/>
  <c r="A635" i="5"/>
  <c r="D634" i="5"/>
  <c r="C634" i="5"/>
  <c r="B634" i="5"/>
  <c r="A634" i="5"/>
  <c r="D633" i="5"/>
  <c r="C633" i="5"/>
  <c r="B633" i="5"/>
  <c r="A633" i="5"/>
  <c r="D632" i="5"/>
  <c r="C632" i="5"/>
  <c r="B632" i="5"/>
  <c r="A632" i="5"/>
  <c r="D631" i="5"/>
  <c r="C631" i="5"/>
  <c r="B631" i="5"/>
  <c r="A631" i="5"/>
  <c r="D630" i="5"/>
  <c r="C630" i="5"/>
  <c r="B630" i="5"/>
  <c r="A630" i="5"/>
  <c r="D629" i="5"/>
  <c r="C629" i="5"/>
  <c r="B629" i="5"/>
  <c r="A629" i="5"/>
  <c r="D628" i="5"/>
  <c r="C628" i="5"/>
  <c r="B628" i="5"/>
  <c r="A628" i="5"/>
  <c r="D627" i="5"/>
  <c r="C627" i="5"/>
  <c r="B627" i="5"/>
  <c r="A627" i="5"/>
  <c r="D626" i="5"/>
  <c r="C626" i="5"/>
  <c r="B626" i="5"/>
  <c r="A626" i="5"/>
  <c r="D625" i="5"/>
  <c r="C625" i="5"/>
  <c r="B625" i="5"/>
  <c r="A625" i="5"/>
  <c r="D624" i="5"/>
  <c r="C624" i="5"/>
  <c r="B624" i="5"/>
  <c r="A624" i="5"/>
  <c r="D623" i="5"/>
  <c r="C623" i="5"/>
  <c r="B623" i="5"/>
  <c r="A623" i="5"/>
  <c r="D622" i="5"/>
  <c r="C622" i="5"/>
  <c r="B622" i="5"/>
  <c r="A622" i="5"/>
  <c r="D621" i="5"/>
  <c r="C621" i="5"/>
  <c r="B621" i="5"/>
  <c r="A621" i="5"/>
  <c r="D620" i="5"/>
  <c r="C620" i="5"/>
  <c r="B620" i="5"/>
  <c r="A620" i="5"/>
  <c r="D619" i="5"/>
  <c r="C619" i="5"/>
  <c r="B619" i="5"/>
  <c r="A619" i="5"/>
  <c r="D618" i="5"/>
  <c r="C618" i="5"/>
  <c r="B618" i="5"/>
  <c r="A618" i="5"/>
  <c r="D617" i="5"/>
  <c r="C617" i="5"/>
  <c r="B617" i="5"/>
  <c r="A617" i="5"/>
  <c r="D616" i="5"/>
  <c r="C616" i="5"/>
  <c r="B616" i="5"/>
  <c r="A616" i="5"/>
  <c r="D615" i="5"/>
  <c r="C615" i="5"/>
  <c r="B615" i="5"/>
  <c r="A615" i="5"/>
  <c r="D614" i="5"/>
  <c r="C614" i="5"/>
  <c r="B614" i="5"/>
  <c r="A614" i="5"/>
  <c r="D613" i="5"/>
  <c r="C613" i="5"/>
  <c r="B613" i="5"/>
  <c r="A613" i="5"/>
  <c r="D612" i="5"/>
  <c r="C612" i="5"/>
  <c r="B612" i="5"/>
  <c r="A612" i="5"/>
  <c r="D611" i="5"/>
  <c r="C611" i="5"/>
  <c r="B611" i="5"/>
  <c r="A611" i="5"/>
  <c r="D610" i="5"/>
  <c r="C610" i="5"/>
  <c r="B610" i="5"/>
  <c r="A610" i="5"/>
  <c r="D609" i="5"/>
  <c r="C609" i="5"/>
  <c r="B609" i="5"/>
  <c r="A609" i="5"/>
  <c r="D608" i="5"/>
  <c r="C608" i="5"/>
  <c r="B608" i="5"/>
  <c r="A608" i="5"/>
  <c r="D607" i="5"/>
  <c r="C607" i="5"/>
  <c r="B607" i="5"/>
  <c r="A607" i="5"/>
  <c r="D606" i="5"/>
  <c r="C606" i="5"/>
  <c r="B606" i="5"/>
  <c r="A606" i="5"/>
  <c r="D605" i="5"/>
  <c r="C605" i="5"/>
  <c r="B605" i="5"/>
  <c r="A605" i="5"/>
  <c r="D604" i="5"/>
  <c r="C604" i="5"/>
  <c r="B604" i="5"/>
  <c r="A604" i="5"/>
  <c r="D603" i="5"/>
  <c r="C603" i="5"/>
  <c r="B603" i="5"/>
  <c r="A603" i="5"/>
  <c r="D602" i="5"/>
  <c r="C602" i="5"/>
  <c r="B602" i="5"/>
  <c r="A602" i="5"/>
  <c r="D601" i="5"/>
  <c r="C601" i="5"/>
  <c r="B601" i="5"/>
  <c r="A601" i="5"/>
  <c r="D600" i="5"/>
  <c r="C600" i="5"/>
  <c r="B600" i="5"/>
  <c r="A600" i="5"/>
  <c r="D599" i="5"/>
  <c r="C599" i="5"/>
  <c r="B599" i="5"/>
  <c r="A599" i="5"/>
  <c r="D598" i="5"/>
  <c r="C598" i="5"/>
  <c r="B598" i="5"/>
  <c r="A598" i="5"/>
  <c r="D597" i="5"/>
  <c r="C597" i="5"/>
  <c r="B597" i="5"/>
  <c r="A597" i="5"/>
  <c r="D596" i="5"/>
  <c r="C596" i="5"/>
  <c r="B596" i="5"/>
  <c r="A596" i="5"/>
  <c r="D595" i="5"/>
  <c r="C595" i="5"/>
  <c r="B595" i="5"/>
  <c r="A595" i="5"/>
  <c r="D594" i="5"/>
  <c r="C594" i="5"/>
  <c r="B594" i="5"/>
  <c r="A594" i="5"/>
  <c r="D593" i="5"/>
  <c r="C593" i="5"/>
  <c r="B593" i="5"/>
  <c r="A593" i="5"/>
  <c r="D592" i="5"/>
  <c r="C592" i="5"/>
  <c r="B592" i="5"/>
  <c r="A592" i="5"/>
  <c r="D591" i="5"/>
  <c r="C591" i="5"/>
  <c r="B591" i="5"/>
  <c r="A591" i="5"/>
  <c r="D590" i="5"/>
  <c r="C590" i="5"/>
  <c r="B590" i="5"/>
  <c r="A590" i="5"/>
  <c r="D589" i="5"/>
  <c r="C589" i="5"/>
  <c r="B589" i="5"/>
  <c r="A589" i="5"/>
  <c r="D588" i="5"/>
  <c r="C588" i="5"/>
  <c r="B588" i="5"/>
  <c r="A588" i="5"/>
  <c r="D587" i="5"/>
  <c r="C587" i="5"/>
  <c r="B587" i="5"/>
  <c r="A587" i="5"/>
  <c r="D586" i="5"/>
  <c r="C586" i="5"/>
  <c r="B586" i="5"/>
  <c r="A586" i="5"/>
  <c r="D585" i="5"/>
  <c r="C585" i="5"/>
  <c r="B585" i="5"/>
  <c r="A585" i="5"/>
  <c r="D584" i="5"/>
  <c r="C584" i="5"/>
  <c r="B584" i="5"/>
  <c r="A584" i="5"/>
  <c r="D583" i="5"/>
  <c r="C583" i="5"/>
  <c r="B583" i="5"/>
  <c r="A583" i="5"/>
  <c r="D582" i="5"/>
  <c r="C582" i="5"/>
  <c r="B582" i="5"/>
  <c r="A582" i="5"/>
  <c r="D581" i="5"/>
  <c r="C581" i="5"/>
  <c r="B581" i="5"/>
  <c r="A581" i="5"/>
  <c r="D580" i="5"/>
  <c r="C580" i="5"/>
  <c r="B580" i="5"/>
  <c r="A580" i="5"/>
  <c r="D579" i="5"/>
  <c r="C579" i="5"/>
  <c r="B579" i="5"/>
  <c r="A579" i="5"/>
  <c r="D578" i="5"/>
  <c r="C578" i="5"/>
  <c r="B578" i="5"/>
  <c r="A578" i="5"/>
  <c r="D577" i="5"/>
  <c r="C577" i="5"/>
  <c r="B577" i="5"/>
  <c r="A577" i="5"/>
  <c r="D576" i="5"/>
  <c r="C576" i="5"/>
  <c r="B576" i="5"/>
  <c r="A576" i="5"/>
  <c r="D575" i="5"/>
  <c r="C575" i="5"/>
  <c r="B575" i="5"/>
  <c r="A575" i="5"/>
  <c r="D574" i="5"/>
  <c r="C574" i="5"/>
  <c r="B574" i="5"/>
  <c r="A574" i="5"/>
  <c r="D573" i="5"/>
  <c r="C573" i="5"/>
  <c r="B573" i="5"/>
  <c r="A573" i="5"/>
  <c r="D572" i="5"/>
  <c r="C572" i="5"/>
  <c r="B572" i="5"/>
  <c r="A572" i="5"/>
  <c r="D571" i="5"/>
  <c r="C571" i="5"/>
  <c r="B571" i="5"/>
  <c r="A571" i="5"/>
  <c r="D570" i="5"/>
  <c r="C570" i="5"/>
  <c r="B570" i="5"/>
  <c r="A570" i="5"/>
  <c r="D569" i="5"/>
  <c r="C569" i="5"/>
  <c r="B569" i="5"/>
  <c r="A569" i="5"/>
  <c r="D568" i="5"/>
  <c r="C568" i="5"/>
  <c r="B568" i="5"/>
  <c r="A568" i="5"/>
  <c r="D567" i="5"/>
  <c r="C567" i="5"/>
  <c r="B567" i="5"/>
  <c r="A567" i="5"/>
  <c r="D566" i="5"/>
  <c r="C566" i="5"/>
  <c r="B566" i="5"/>
  <c r="A566" i="5"/>
  <c r="D565" i="5"/>
  <c r="C565" i="5"/>
  <c r="B565" i="5"/>
  <c r="A565" i="5"/>
  <c r="D564" i="5"/>
  <c r="C564" i="5"/>
  <c r="B564" i="5"/>
  <c r="A564" i="5"/>
  <c r="D563" i="5"/>
  <c r="C563" i="5"/>
  <c r="B563" i="5"/>
  <c r="A563" i="5"/>
  <c r="D562" i="5"/>
  <c r="C562" i="5"/>
  <c r="B562" i="5"/>
  <c r="A562" i="5"/>
  <c r="D561" i="5"/>
  <c r="C561" i="5"/>
  <c r="B561" i="5"/>
  <c r="A561" i="5"/>
  <c r="D560" i="5"/>
  <c r="C560" i="5"/>
  <c r="B560" i="5"/>
  <c r="A560" i="5"/>
  <c r="D559" i="5"/>
  <c r="C559" i="5"/>
  <c r="B559" i="5"/>
  <c r="A559" i="5"/>
  <c r="D558" i="5"/>
  <c r="C558" i="5"/>
  <c r="B558" i="5"/>
  <c r="A558" i="5"/>
  <c r="D557" i="5"/>
  <c r="C557" i="5"/>
  <c r="B557" i="5"/>
  <c r="A557" i="5"/>
  <c r="D556" i="5"/>
  <c r="C556" i="5"/>
  <c r="B556" i="5"/>
  <c r="A556" i="5"/>
  <c r="D555" i="5"/>
  <c r="C555" i="5"/>
  <c r="B555" i="5"/>
  <c r="A555" i="5"/>
  <c r="D554" i="5"/>
  <c r="C554" i="5"/>
  <c r="B554" i="5"/>
  <c r="A554" i="5"/>
  <c r="D553" i="5"/>
  <c r="C553" i="5"/>
  <c r="B553" i="5"/>
  <c r="A553" i="5"/>
  <c r="D552" i="5"/>
  <c r="C552" i="5"/>
  <c r="B552" i="5"/>
  <c r="A552" i="5"/>
  <c r="D551" i="5"/>
  <c r="C551" i="5"/>
  <c r="B551" i="5"/>
  <c r="A551" i="5"/>
  <c r="D550" i="5"/>
  <c r="C550" i="5"/>
  <c r="B550" i="5"/>
  <c r="A550" i="5"/>
  <c r="D549" i="5"/>
  <c r="C549" i="5"/>
  <c r="B549" i="5"/>
  <c r="A549" i="5"/>
  <c r="D548" i="5"/>
  <c r="C548" i="5"/>
  <c r="B548" i="5"/>
  <c r="A548" i="5"/>
  <c r="D547" i="5"/>
  <c r="C547" i="5"/>
  <c r="B547" i="5"/>
  <c r="A547" i="5"/>
  <c r="D546" i="5"/>
  <c r="C546" i="5"/>
  <c r="B546" i="5"/>
  <c r="A546" i="5"/>
  <c r="D545" i="5"/>
  <c r="C545" i="5"/>
  <c r="B545" i="5"/>
  <c r="A545" i="5"/>
  <c r="D544" i="5"/>
  <c r="C544" i="5"/>
  <c r="B544" i="5"/>
  <c r="A544" i="5"/>
  <c r="D543" i="5"/>
  <c r="C543" i="5"/>
  <c r="B543" i="5"/>
  <c r="A543" i="5"/>
  <c r="D542" i="5"/>
  <c r="C542" i="5"/>
  <c r="B542" i="5"/>
  <c r="A542" i="5"/>
  <c r="D541" i="5"/>
  <c r="C541" i="5"/>
  <c r="B541" i="5"/>
  <c r="A541" i="5"/>
  <c r="D540" i="5"/>
  <c r="C540" i="5"/>
  <c r="B540" i="5"/>
  <c r="A540" i="5"/>
  <c r="D539" i="5"/>
  <c r="C539" i="5"/>
  <c r="B539" i="5"/>
  <c r="A539" i="5"/>
  <c r="D538" i="5"/>
  <c r="C538" i="5"/>
  <c r="B538" i="5"/>
  <c r="A538" i="5"/>
  <c r="D537" i="5"/>
  <c r="C537" i="5"/>
  <c r="B537" i="5"/>
  <c r="A537" i="5"/>
  <c r="D536" i="5"/>
  <c r="C536" i="5"/>
  <c r="B536" i="5"/>
  <c r="A536" i="5"/>
  <c r="D535" i="5"/>
  <c r="C535" i="5"/>
  <c r="B535" i="5"/>
  <c r="A535" i="5"/>
  <c r="D534" i="5"/>
  <c r="C534" i="5"/>
  <c r="B534" i="5"/>
  <c r="A534" i="5"/>
  <c r="D533" i="5"/>
  <c r="C533" i="5"/>
  <c r="B533" i="5"/>
  <c r="A533" i="5"/>
  <c r="D532" i="5"/>
  <c r="C532" i="5"/>
  <c r="B532" i="5"/>
  <c r="A532" i="5"/>
  <c r="D531" i="5"/>
  <c r="C531" i="5"/>
  <c r="B531" i="5"/>
  <c r="A531" i="5"/>
  <c r="D530" i="5"/>
  <c r="C530" i="5"/>
  <c r="B530" i="5"/>
  <c r="A530" i="5"/>
  <c r="D529" i="5"/>
  <c r="C529" i="5"/>
  <c r="B529" i="5"/>
  <c r="A529" i="5"/>
  <c r="D528" i="5"/>
  <c r="C528" i="5"/>
  <c r="B528" i="5"/>
  <c r="A528" i="5"/>
  <c r="D527" i="5"/>
  <c r="C527" i="5"/>
  <c r="B527" i="5"/>
  <c r="A527" i="5"/>
  <c r="D526" i="5"/>
  <c r="C526" i="5"/>
  <c r="B526" i="5"/>
  <c r="A526" i="5"/>
  <c r="D525" i="5"/>
  <c r="C525" i="5"/>
  <c r="B525" i="5"/>
  <c r="A525" i="5"/>
  <c r="D524" i="5"/>
  <c r="C524" i="5"/>
  <c r="B524" i="5"/>
  <c r="A524" i="5"/>
  <c r="D523" i="5"/>
  <c r="C523" i="5"/>
  <c r="B523" i="5"/>
  <c r="A523" i="5"/>
  <c r="D522" i="5"/>
  <c r="C522" i="5"/>
  <c r="B522" i="5"/>
  <c r="A522" i="5"/>
  <c r="D521" i="5"/>
  <c r="C521" i="5"/>
  <c r="B521" i="5"/>
  <c r="A521" i="5"/>
  <c r="D520" i="5"/>
  <c r="C520" i="5"/>
  <c r="B520" i="5"/>
  <c r="A520" i="5"/>
  <c r="D519" i="5"/>
  <c r="C519" i="5"/>
  <c r="B519" i="5"/>
  <c r="A519" i="5"/>
  <c r="D518" i="5"/>
  <c r="C518" i="5"/>
  <c r="B518" i="5"/>
  <c r="A518" i="5"/>
  <c r="D517" i="5"/>
  <c r="C517" i="5"/>
  <c r="B517" i="5"/>
  <c r="A517" i="5"/>
  <c r="D516" i="5"/>
  <c r="C516" i="5"/>
  <c r="B516" i="5"/>
  <c r="A516" i="5"/>
  <c r="D515" i="5"/>
  <c r="C515" i="5"/>
  <c r="B515" i="5"/>
  <c r="A515" i="5"/>
  <c r="D514" i="5"/>
  <c r="C514" i="5"/>
  <c r="B514" i="5"/>
  <c r="A514" i="5"/>
  <c r="D513" i="5"/>
  <c r="C513" i="5"/>
  <c r="B513" i="5"/>
  <c r="A513" i="5"/>
  <c r="D512" i="5"/>
  <c r="C512" i="5"/>
  <c r="B512" i="5"/>
  <c r="A512" i="5"/>
  <c r="D511" i="5"/>
  <c r="C511" i="5"/>
  <c r="B511" i="5"/>
  <c r="A511" i="5"/>
  <c r="D510" i="5"/>
  <c r="C510" i="5"/>
  <c r="B510" i="5"/>
  <c r="A510" i="5"/>
  <c r="D509" i="5"/>
  <c r="C509" i="5"/>
  <c r="B509" i="5"/>
  <c r="A509" i="5"/>
  <c r="D508" i="5"/>
  <c r="C508" i="5"/>
  <c r="B508" i="5"/>
  <c r="A508" i="5"/>
  <c r="D507" i="5"/>
  <c r="C507" i="5"/>
  <c r="B507" i="5"/>
  <c r="A507" i="5"/>
  <c r="D506" i="5"/>
  <c r="C506" i="5"/>
  <c r="B506" i="5"/>
  <c r="A506" i="5"/>
  <c r="D505" i="5"/>
  <c r="C505" i="5"/>
  <c r="B505" i="5"/>
  <c r="A505" i="5"/>
  <c r="D504" i="5"/>
  <c r="C504" i="5"/>
  <c r="B504" i="5"/>
  <c r="A504" i="5"/>
  <c r="D503" i="5"/>
  <c r="C503" i="5"/>
  <c r="B503" i="5"/>
  <c r="A503" i="5"/>
  <c r="D502" i="5"/>
  <c r="C502" i="5"/>
  <c r="B502" i="5"/>
  <c r="A502" i="5"/>
  <c r="D501" i="5"/>
  <c r="C501" i="5"/>
  <c r="B501" i="5"/>
  <c r="A501" i="5"/>
  <c r="D500" i="5"/>
  <c r="C500" i="5"/>
  <c r="B500" i="5"/>
  <c r="A500" i="5"/>
  <c r="D499" i="5"/>
  <c r="C499" i="5"/>
  <c r="B499" i="5"/>
  <c r="A499" i="5"/>
  <c r="D498" i="5"/>
  <c r="C498" i="5"/>
  <c r="B498" i="5"/>
  <c r="A498" i="5"/>
  <c r="D497" i="5"/>
  <c r="C497" i="5"/>
  <c r="B497" i="5"/>
  <c r="A497" i="5"/>
  <c r="D496" i="5"/>
  <c r="C496" i="5"/>
  <c r="B496" i="5"/>
  <c r="A496" i="5"/>
  <c r="D495" i="5"/>
  <c r="C495" i="5"/>
  <c r="B495" i="5"/>
  <c r="A495" i="5"/>
  <c r="D494" i="5"/>
  <c r="C494" i="5"/>
  <c r="B494" i="5"/>
  <c r="A494" i="5"/>
  <c r="D493" i="5"/>
  <c r="C493" i="5"/>
  <c r="B493" i="5"/>
  <c r="A493" i="5"/>
  <c r="D492" i="5"/>
  <c r="C492" i="5"/>
  <c r="B492" i="5"/>
  <c r="A492" i="5"/>
  <c r="D491" i="5"/>
  <c r="C491" i="5"/>
  <c r="B491" i="5"/>
  <c r="A491" i="5"/>
  <c r="D490" i="5"/>
  <c r="C490" i="5"/>
  <c r="B490" i="5"/>
  <c r="A490" i="5"/>
  <c r="D489" i="5"/>
  <c r="C489" i="5"/>
  <c r="B489" i="5"/>
  <c r="A489" i="5"/>
  <c r="D488" i="5"/>
  <c r="C488" i="5"/>
  <c r="B488" i="5"/>
  <c r="A488" i="5"/>
  <c r="D487" i="5"/>
  <c r="C487" i="5"/>
  <c r="B487" i="5"/>
  <c r="A487" i="5"/>
  <c r="D486" i="5"/>
  <c r="C486" i="5"/>
  <c r="B486" i="5"/>
  <c r="A486" i="5"/>
  <c r="D485" i="5"/>
  <c r="C485" i="5"/>
  <c r="B485" i="5"/>
  <c r="A485" i="5"/>
  <c r="D484" i="5"/>
  <c r="C484" i="5"/>
  <c r="B484" i="5"/>
  <c r="A484" i="5"/>
  <c r="D483" i="5"/>
  <c r="C483" i="5"/>
  <c r="B483" i="5"/>
  <c r="A483" i="5"/>
  <c r="D482" i="5"/>
  <c r="C482" i="5"/>
  <c r="B482" i="5"/>
  <c r="A482" i="5"/>
  <c r="D481" i="5"/>
  <c r="C481" i="5"/>
  <c r="B481" i="5"/>
  <c r="A481" i="5"/>
  <c r="D480" i="5"/>
  <c r="C480" i="5"/>
  <c r="B480" i="5"/>
  <c r="A480" i="5"/>
  <c r="D479" i="5"/>
  <c r="C479" i="5"/>
  <c r="B479" i="5"/>
  <c r="A479" i="5"/>
  <c r="D478" i="5"/>
  <c r="C478" i="5"/>
  <c r="B478" i="5"/>
  <c r="A478" i="5"/>
  <c r="D477" i="5"/>
  <c r="C477" i="5"/>
  <c r="B477" i="5"/>
  <c r="A477" i="5"/>
  <c r="D476" i="5"/>
  <c r="C476" i="5"/>
  <c r="B476" i="5"/>
  <c r="A476" i="5"/>
  <c r="D475" i="5"/>
  <c r="C475" i="5"/>
  <c r="B475" i="5"/>
  <c r="A475" i="5"/>
  <c r="D474" i="5"/>
  <c r="C474" i="5"/>
  <c r="B474" i="5"/>
  <c r="A474" i="5"/>
  <c r="D473" i="5"/>
  <c r="C473" i="5"/>
  <c r="B473" i="5"/>
  <c r="A473" i="5"/>
  <c r="D472" i="5"/>
  <c r="C472" i="5"/>
  <c r="B472" i="5"/>
  <c r="A472" i="5"/>
  <c r="D471" i="5"/>
  <c r="C471" i="5"/>
  <c r="B471" i="5"/>
  <c r="A471" i="5"/>
  <c r="D470" i="5"/>
  <c r="C470" i="5"/>
  <c r="B470" i="5"/>
  <c r="A470" i="5"/>
  <c r="D469" i="5"/>
  <c r="C469" i="5"/>
  <c r="B469" i="5"/>
  <c r="A469" i="5"/>
  <c r="D468" i="5"/>
  <c r="C468" i="5"/>
  <c r="B468" i="5"/>
  <c r="A468" i="5"/>
  <c r="D467" i="5"/>
  <c r="C467" i="5"/>
  <c r="B467" i="5"/>
  <c r="A467" i="5"/>
  <c r="D466" i="5"/>
  <c r="C466" i="5"/>
  <c r="B466" i="5"/>
  <c r="A466" i="5"/>
  <c r="D465" i="5"/>
  <c r="C465" i="5"/>
  <c r="B465" i="5"/>
  <c r="A465" i="5"/>
  <c r="D464" i="5"/>
  <c r="C464" i="5"/>
  <c r="B464" i="5"/>
  <c r="A464" i="5"/>
  <c r="D463" i="5"/>
  <c r="C463" i="5"/>
  <c r="B463" i="5"/>
  <c r="A463" i="5"/>
  <c r="D462" i="5"/>
  <c r="C462" i="5"/>
  <c r="B462" i="5"/>
  <c r="A462" i="5"/>
  <c r="D461" i="5"/>
  <c r="C461" i="5"/>
  <c r="B461" i="5"/>
  <c r="A461" i="5"/>
  <c r="D460" i="5"/>
  <c r="C460" i="5"/>
  <c r="B460" i="5"/>
  <c r="A460" i="5"/>
  <c r="D459" i="5"/>
  <c r="C459" i="5"/>
  <c r="B459" i="5"/>
  <c r="A459" i="5"/>
  <c r="D458" i="5"/>
  <c r="C458" i="5"/>
  <c r="B458" i="5"/>
  <c r="A458" i="5"/>
  <c r="D457" i="5"/>
  <c r="C457" i="5"/>
  <c r="B457" i="5"/>
  <c r="A457" i="5"/>
  <c r="D456" i="5"/>
  <c r="C456" i="5"/>
  <c r="B456" i="5"/>
  <c r="A456" i="5"/>
  <c r="D455" i="5"/>
  <c r="C455" i="5"/>
  <c r="B455" i="5"/>
  <c r="A455" i="5"/>
  <c r="D454" i="5"/>
  <c r="C454" i="5"/>
  <c r="B454" i="5"/>
  <c r="A454" i="5"/>
  <c r="D453" i="5"/>
  <c r="C453" i="5"/>
  <c r="B453" i="5"/>
  <c r="A453" i="5"/>
  <c r="D452" i="5"/>
  <c r="C452" i="5"/>
  <c r="B452" i="5"/>
  <c r="A452" i="5"/>
  <c r="D451" i="5"/>
  <c r="C451" i="5"/>
  <c r="B451" i="5"/>
  <c r="A451" i="5"/>
  <c r="D450" i="5"/>
  <c r="C450" i="5"/>
  <c r="B450" i="5"/>
  <c r="A450" i="5"/>
  <c r="D449" i="5"/>
  <c r="C449" i="5"/>
  <c r="B449" i="5"/>
  <c r="A449" i="5"/>
  <c r="D448" i="5"/>
  <c r="C448" i="5"/>
  <c r="B448" i="5"/>
  <c r="A448" i="5"/>
  <c r="D447" i="5"/>
  <c r="C447" i="5"/>
  <c r="B447" i="5"/>
  <c r="A447" i="5"/>
  <c r="D446" i="5"/>
  <c r="C446" i="5"/>
  <c r="B446" i="5"/>
  <c r="A446" i="5"/>
  <c r="D445" i="5"/>
  <c r="C445" i="5"/>
  <c r="B445" i="5"/>
  <c r="A445" i="5"/>
  <c r="D444" i="5"/>
  <c r="C444" i="5"/>
  <c r="B444" i="5"/>
  <c r="A444" i="5"/>
  <c r="D443" i="5"/>
  <c r="C443" i="5"/>
  <c r="B443" i="5"/>
  <c r="A443" i="5"/>
  <c r="D442" i="5"/>
  <c r="C442" i="5"/>
  <c r="B442" i="5"/>
  <c r="A442" i="5"/>
  <c r="D441" i="5"/>
  <c r="C441" i="5"/>
  <c r="B441" i="5"/>
  <c r="A441" i="5"/>
  <c r="D440" i="5"/>
  <c r="C440" i="5"/>
  <c r="B440" i="5"/>
  <c r="A440" i="5"/>
  <c r="D439" i="5"/>
  <c r="C439" i="5"/>
  <c r="B439" i="5"/>
  <c r="A439" i="5"/>
  <c r="D438" i="5"/>
  <c r="C438" i="5"/>
  <c r="B438" i="5"/>
  <c r="A438" i="5"/>
  <c r="D437" i="5"/>
  <c r="C437" i="5"/>
  <c r="B437" i="5"/>
  <c r="A437" i="5"/>
  <c r="D436" i="5"/>
  <c r="C436" i="5"/>
  <c r="B436" i="5"/>
  <c r="A436" i="5"/>
  <c r="D435" i="5"/>
  <c r="C435" i="5"/>
  <c r="B435" i="5"/>
  <c r="A435" i="5"/>
  <c r="D434" i="5"/>
  <c r="C434" i="5"/>
  <c r="B434" i="5"/>
  <c r="A434" i="5"/>
  <c r="D433" i="5"/>
  <c r="C433" i="5"/>
  <c r="B433" i="5"/>
  <c r="A433" i="5"/>
  <c r="D432" i="5"/>
  <c r="C432" i="5"/>
  <c r="B432" i="5"/>
  <c r="A432" i="5"/>
  <c r="D431" i="5"/>
  <c r="C431" i="5"/>
  <c r="B431" i="5"/>
  <c r="A431" i="5"/>
  <c r="D430" i="5"/>
  <c r="C430" i="5"/>
  <c r="B430" i="5"/>
  <c r="A430" i="5"/>
  <c r="D429" i="5"/>
  <c r="C429" i="5"/>
  <c r="B429" i="5"/>
  <c r="A429" i="5"/>
  <c r="D428" i="5"/>
  <c r="C428" i="5"/>
  <c r="B428" i="5"/>
  <c r="A428" i="5"/>
  <c r="D427" i="5"/>
  <c r="C427" i="5"/>
  <c r="B427" i="5"/>
  <c r="A427" i="5"/>
  <c r="D426" i="5"/>
  <c r="C426" i="5"/>
  <c r="B426" i="5"/>
  <c r="A426" i="5"/>
  <c r="D425" i="5"/>
  <c r="C425" i="5"/>
  <c r="B425" i="5"/>
  <c r="A425" i="5"/>
  <c r="D424" i="5"/>
  <c r="C424" i="5"/>
  <c r="B424" i="5"/>
  <c r="A424" i="5"/>
  <c r="D423" i="5"/>
  <c r="C423" i="5"/>
  <c r="B423" i="5"/>
  <c r="A423" i="5"/>
  <c r="D422" i="5"/>
  <c r="C422" i="5"/>
  <c r="B422" i="5"/>
  <c r="A422" i="5"/>
  <c r="D421" i="5"/>
  <c r="C421" i="5"/>
  <c r="B421" i="5"/>
  <c r="A421" i="5"/>
  <c r="D420" i="5"/>
  <c r="C420" i="5"/>
  <c r="B420" i="5"/>
  <c r="A420" i="5"/>
  <c r="D419" i="5"/>
  <c r="C419" i="5"/>
  <c r="B419" i="5"/>
  <c r="A419" i="5"/>
  <c r="D418" i="5"/>
  <c r="C418" i="5"/>
  <c r="B418" i="5"/>
  <c r="A418" i="5"/>
  <c r="D417" i="5"/>
  <c r="C417" i="5"/>
  <c r="B417" i="5"/>
  <c r="A417" i="5"/>
  <c r="D416" i="5"/>
  <c r="C416" i="5"/>
  <c r="B416" i="5"/>
  <c r="A416" i="5"/>
  <c r="D415" i="5"/>
  <c r="C415" i="5"/>
  <c r="B415" i="5"/>
  <c r="A415" i="5"/>
  <c r="D414" i="5"/>
  <c r="C414" i="5"/>
  <c r="B414" i="5"/>
  <c r="A414" i="5"/>
  <c r="D413" i="5"/>
  <c r="C413" i="5"/>
  <c r="B413" i="5"/>
  <c r="A413" i="5"/>
  <c r="D412" i="5"/>
  <c r="C412" i="5"/>
  <c r="B412" i="5"/>
  <c r="A412" i="5"/>
  <c r="D411" i="5"/>
  <c r="C411" i="5"/>
  <c r="B411" i="5"/>
  <c r="A411" i="5"/>
  <c r="D410" i="5"/>
  <c r="C410" i="5"/>
  <c r="B410" i="5"/>
  <c r="A410" i="5"/>
  <c r="D409" i="5"/>
  <c r="C409" i="5"/>
  <c r="B409" i="5"/>
  <c r="A409" i="5"/>
  <c r="D408" i="5"/>
  <c r="C408" i="5"/>
  <c r="B408" i="5"/>
  <c r="A408" i="5"/>
  <c r="D407" i="5"/>
  <c r="C407" i="5"/>
  <c r="B407" i="5"/>
  <c r="A407" i="5"/>
  <c r="D406" i="5"/>
  <c r="C406" i="5"/>
  <c r="B406" i="5"/>
  <c r="A406" i="5"/>
  <c r="D405" i="5"/>
  <c r="C405" i="5"/>
  <c r="B405" i="5"/>
  <c r="A405" i="5"/>
  <c r="D404" i="5"/>
  <c r="C404" i="5"/>
  <c r="B404" i="5"/>
  <c r="A404" i="5"/>
  <c r="D403" i="5"/>
  <c r="C403" i="5"/>
  <c r="B403" i="5"/>
  <c r="A403" i="5"/>
  <c r="D402" i="5"/>
  <c r="C402" i="5"/>
  <c r="B402" i="5"/>
  <c r="A402" i="5"/>
  <c r="D401" i="5"/>
  <c r="C401" i="5"/>
  <c r="B401" i="5"/>
  <c r="A401" i="5"/>
  <c r="D400" i="5"/>
  <c r="C400" i="5"/>
  <c r="B400" i="5"/>
  <c r="A400" i="5"/>
  <c r="D399" i="5"/>
  <c r="C399" i="5"/>
  <c r="B399" i="5"/>
  <c r="A399" i="5"/>
  <c r="D398" i="5"/>
  <c r="C398" i="5"/>
  <c r="B398" i="5"/>
  <c r="A398" i="5"/>
  <c r="D397" i="5"/>
  <c r="C397" i="5"/>
  <c r="B397" i="5"/>
  <c r="A397" i="5"/>
  <c r="D396" i="5"/>
  <c r="C396" i="5"/>
  <c r="B396" i="5"/>
  <c r="A396" i="5"/>
  <c r="D395" i="5"/>
  <c r="C395" i="5"/>
  <c r="B395" i="5"/>
  <c r="A395" i="5"/>
  <c r="D394" i="5"/>
  <c r="C394" i="5"/>
  <c r="B394" i="5"/>
  <c r="A394" i="5"/>
  <c r="D393" i="5"/>
  <c r="C393" i="5"/>
  <c r="B393" i="5"/>
  <c r="A393" i="5"/>
  <c r="D392" i="5"/>
  <c r="C392" i="5"/>
  <c r="B392" i="5"/>
  <c r="A392" i="5"/>
  <c r="D391" i="5"/>
  <c r="C391" i="5"/>
  <c r="B391" i="5"/>
  <c r="A391" i="5"/>
  <c r="D390" i="5"/>
  <c r="C390" i="5"/>
  <c r="B390" i="5"/>
  <c r="A390" i="5"/>
  <c r="D389" i="5"/>
  <c r="C389" i="5"/>
  <c r="B389" i="5"/>
  <c r="A389" i="5"/>
  <c r="D388" i="5"/>
  <c r="C388" i="5"/>
  <c r="B388" i="5"/>
  <c r="A388" i="5"/>
  <c r="D387" i="5"/>
  <c r="C387" i="5"/>
  <c r="B387" i="5"/>
  <c r="A387" i="5"/>
  <c r="D386" i="5"/>
  <c r="C386" i="5"/>
  <c r="B386" i="5"/>
  <c r="A386" i="5"/>
  <c r="D385" i="5"/>
  <c r="C385" i="5"/>
  <c r="B385" i="5"/>
  <c r="A385" i="5"/>
  <c r="D384" i="5"/>
  <c r="C384" i="5"/>
  <c r="B384" i="5"/>
  <c r="A384" i="5"/>
  <c r="D383" i="5"/>
  <c r="C383" i="5"/>
  <c r="B383" i="5"/>
  <c r="A383" i="5"/>
  <c r="D382" i="5"/>
  <c r="C382" i="5"/>
  <c r="B382" i="5"/>
  <c r="A382" i="5"/>
  <c r="D381" i="5"/>
  <c r="C381" i="5"/>
  <c r="B381" i="5"/>
  <c r="A381" i="5"/>
  <c r="D380" i="5"/>
  <c r="C380" i="5"/>
  <c r="B380" i="5"/>
  <c r="A380" i="5"/>
  <c r="D379" i="5"/>
  <c r="C379" i="5"/>
  <c r="B379" i="5"/>
  <c r="A379" i="5"/>
  <c r="D378" i="5"/>
  <c r="C378" i="5"/>
  <c r="B378" i="5"/>
  <c r="A378" i="5"/>
  <c r="D377" i="5"/>
  <c r="C377" i="5"/>
  <c r="B377" i="5"/>
  <c r="A377" i="5"/>
  <c r="D376" i="5"/>
  <c r="C376" i="5"/>
  <c r="B376" i="5"/>
  <c r="A376" i="5"/>
  <c r="D375" i="5"/>
  <c r="C375" i="5"/>
  <c r="B375" i="5"/>
  <c r="A375" i="5"/>
  <c r="D374" i="5"/>
  <c r="C374" i="5"/>
  <c r="B374" i="5"/>
  <c r="A374" i="5"/>
  <c r="D373" i="5"/>
  <c r="C373" i="5"/>
  <c r="B373" i="5"/>
  <c r="A373" i="5"/>
  <c r="D372" i="5"/>
  <c r="C372" i="5"/>
  <c r="B372" i="5"/>
  <c r="A372" i="5"/>
  <c r="D371" i="5"/>
  <c r="C371" i="5"/>
  <c r="B371" i="5"/>
  <c r="A371" i="5"/>
  <c r="D370" i="5"/>
  <c r="C370" i="5"/>
  <c r="B370" i="5"/>
  <c r="A370" i="5"/>
  <c r="D369" i="5"/>
  <c r="C369" i="5"/>
  <c r="B369" i="5"/>
  <c r="A369" i="5"/>
  <c r="D368" i="5"/>
  <c r="C368" i="5"/>
  <c r="B368" i="5"/>
  <c r="A368" i="5"/>
  <c r="D367" i="5"/>
  <c r="C367" i="5"/>
  <c r="B367" i="5"/>
  <c r="A367" i="5"/>
  <c r="D366" i="5"/>
  <c r="C366" i="5"/>
  <c r="B366" i="5"/>
  <c r="A366" i="5"/>
  <c r="D365" i="5"/>
  <c r="C365" i="5"/>
  <c r="B365" i="5"/>
  <c r="A365" i="5"/>
  <c r="D364" i="5"/>
  <c r="C364" i="5"/>
  <c r="B364" i="5"/>
  <c r="A364" i="5"/>
  <c r="D363" i="5"/>
  <c r="C363" i="5"/>
  <c r="B363" i="5"/>
  <c r="A363" i="5"/>
  <c r="D362" i="5"/>
  <c r="C362" i="5"/>
  <c r="B362" i="5"/>
  <c r="A362" i="5"/>
  <c r="D361" i="5"/>
  <c r="C361" i="5"/>
  <c r="B361" i="5"/>
  <c r="A361" i="5"/>
  <c r="D360" i="5"/>
  <c r="C360" i="5"/>
  <c r="B360" i="5"/>
  <c r="A360" i="5"/>
  <c r="D359" i="5"/>
  <c r="C359" i="5"/>
  <c r="B359" i="5"/>
  <c r="A359" i="5"/>
  <c r="D358" i="5"/>
  <c r="C358" i="5"/>
  <c r="B358" i="5"/>
  <c r="A358" i="5"/>
  <c r="D357" i="5"/>
  <c r="C357" i="5"/>
  <c r="B357" i="5"/>
  <c r="A357" i="5"/>
  <c r="D356" i="5"/>
  <c r="C356" i="5"/>
  <c r="B356" i="5"/>
  <c r="A356" i="5"/>
  <c r="D355" i="5"/>
  <c r="C355" i="5"/>
  <c r="B355" i="5"/>
  <c r="A355" i="5"/>
  <c r="D354" i="5"/>
  <c r="C354" i="5"/>
  <c r="B354" i="5"/>
  <c r="A354" i="5"/>
  <c r="D353" i="5"/>
  <c r="C353" i="5"/>
  <c r="B353" i="5"/>
  <c r="A353" i="5"/>
  <c r="D352" i="5"/>
  <c r="C352" i="5"/>
  <c r="B352" i="5"/>
  <c r="A352" i="5"/>
  <c r="D351" i="5"/>
  <c r="C351" i="5"/>
  <c r="B351" i="5"/>
  <c r="A351" i="5"/>
  <c r="D350" i="5"/>
  <c r="C350" i="5"/>
  <c r="B350" i="5"/>
  <c r="A350" i="5"/>
  <c r="D349" i="5"/>
  <c r="C349" i="5"/>
  <c r="B349" i="5"/>
  <c r="A349" i="5"/>
  <c r="D348" i="5"/>
  <c r="C348" i="5"/>
  <c r="B348" i="5"/>
  <c r="A348" i="5"/>
  <c r="D347" i="5"/>
  <c r="C347" i="5"/>
  <c r="B347" i="5"/>
  <c r="A347" i="5"/>
  <c r="D346" i="5"/>
  <c r="C346" i="5"/>
  <c r="B346" i="5"/>
  <c r="A346" i="5"/>
  <c r="D345" i="5"/>
  <c r="C345" i="5"/>
  <c r="B345" i="5"/>
  <c r="A345" i="5"/>
  <c r="D344" i="5"/>
  <c r="C344" i="5"/>
  <c r="B344" i="5"/>
  <c r="A344" i="5"/>
  <c r="D343" i="5"/>
  <c r="C343" i="5"/>
  <c r="B343" i="5"/>
  <c r="A343" i="5"/>
  <c r="D342" i="5"/>
  <c r="C342" i="5"/>
  <c r="B342" i="5"/>
  <c r="A342" i="5"/>
  <c r="D341" i="5"/>
  <c r="C341" i="5"/>
  <c r="B341" i="5"/>
  <c r="A341" i="5"/>
  <c r="D340" i="5"/>
  <c r="C340" i="5"/>
  <c r="B340" i="5"/>
  <c r="A340" i="5"/>
  <c r="D339" i="5"/>
  <c r="C339" i="5"/>
  <c r="B339" i="5"/>
  <c r="A339" i="5"/>
  <c r="D338" i="5"/>
  <c r="C338" i="5"/>
  <c r="B338" i="5"/>
  <c r="A338" i="5"/>
  <c r="D337" i="5"/>
  <c r="C337" i="5"/>
  <c r="B337" i="5"/>
  <c r="A337" i="5"/>
  <c r="D336" i="5"/>
  <c r="C336" i="5"/>
  <c r="B336" i="5"/>
  <c r="A336" i="5"/>
  <c r="D335" i="5"/>
  <c r="C335" i="5"/>
  <c r="B335" i="5"/>
  <c r="A335" i="5"/>
  <c r="D334" i="5"/>
  <c r="C334" i="5"/>
  <c r="B334" i="5"/>
  <c r="A334" i="5"/>
  <c r="D333" i="5"/>
  <c r="C333" i="5"/>
  <c r="B333" i="5"/>
  <c r="A333" i="5"/>
  <c r="D332" i="5"/>
  <c r="C332" i="5"/>
  <c r="B332" i="5"/>
  <c r="A332" i="5"/>
  <c r="D331" i="5"/>
  <c r="C331" i="5"/>
  <c r="B331" i="5"/>
  <c r="A331" i="5"/>
  <c r="D330" i="5"/>
  <c r="C330" i="5"/>
  <c r="B330" i="5"/>
  <c r="A330" i="5"/>
  <c r="D329" i="5"/>
  <c r="C329" i="5"/>
  <c r="B329" i="5"/>
  <c r="A329" i="5"/>
  <c r="D328" i="5"/>
  <c r="C328" i="5"/>
  <c r="B328" i="5"/>
  <c r="A328" i="5"/>
  <c r="D327" i="5"/>
  <c r="C327" i="5"/>
  <c r="B327" i="5"/>
  <c r="A327" i="5"/>
  <c r="D326" i="5"/>
  <c r="C326" i="5"/>
  <c r="B326" i="5"/>
  <c r="A326" i="5"/>
  <c r="D325" i="5"/>
  <c r="C325" i="5"/>
  <c r="B325" i="5"/>
  <c r="A325" i="5"/>
  <c r="D324" i="5"/>
  <c r="C324" i="5"/>
  <c r="B324" i="5"/>
  <c r="A324" i="5"/>
  <c r="D323" i="5"/>
  <c r="C323" i="5"/>
  <c r="B323" i="5"/>
  <c r="A323" i="5"/>
  <c r="D322" i="5"/>
  <c r="C322" i="5"/>
  <c r="B322" i="5"/>
  <c r="A322" i="5"/>
  <c r="D321" i="5"/>
  <c r="C321" i="5"/>
  <c r="B321" i="5"/>
  <c r="A321" i="5"/>
  <c r="D320" i="5"/>
  <c r="C320" i="5"/>
  <c r="B320" i="5"/>
  <c r="A320" i="5"/>
  <c r="D319" i="5"/>
  <c r="C319" i="5"/>
  <c r="B319" i="5"/>
  <c r="A319" i="5"/>
  <c r="D318" i="5"/>
  <c r="C318" i="5"/>
  <c r="B318" i="5"/>
  <c r="A318" i="5"/>
  <c r="D317" i="5"/>
  <c r="C317" i="5"/>
  <c r="B317" i="5"/>
  <c r="A317" i="5"/>
  <c r="D316" i="5"/>
  <c r="C316" i="5"/>
  <c r="B316" i="5"/>
  <c r="A316" i="5"/>
  <c r="D315" i="5"/>
  <c r="C315" i="5"/>
  <c r="B315" i="5"/>
  <c r="A315" i="5"/>
  <c r="D314" i="5"/>
  <c r="C314" i="5"/>
  <c r="B314" i="5"/>
  <c r="A314" i="5"/>
  <c r="D313" i="5"/>
  <c r="C313" i="5"/>
  <c r="B313" i="5"/>
  <c r="A313" i="5"/>
  <c r="D312" i="5"/>
  <c r="C312" i="5"/>
  <c r="B312" i="5"/>
  <c r="A312" i="5"/>
  <c r="D311" i="5"/>
  <c r="C311" i="5"/>
  <c r="B311" i="5"/>
  <c r="A311" i="5"/>
  <c r="D310" i="5"/>
  <c r="C310" i="5"/>
  <c r="B310" i="5"/>
  <c r="A310" i="5"/>
  <c r="D309" i="5"/>
  <c r="C309" i="5"/>
  <c r="B309" i="5"/>
  <c r="A309" i="5"/>
  <c r="D308" i="5"/>
  <c r="C308" i="5"/>
  <c r="B308" i="5"/>
  <c r="A308" i="5"/>
  <c r="D307" i="5"/>
  <c r="C307" i="5"/>
  <c r="B307" i="5"/>
  <c r="A307" i="5"/>
  <c r="D306" i="5"/>
  <c r="C306" i="5"/>
  <c r="B306" i="5"/>
  <c r="A306" i="5"/>
  <c r="D305" i="5"/>
  <c r="C305" i="5"/>
  <c r="B305" i="5"/>
  <c r="A305" i="5"/>
  <c r="D304" i="5"/>
  <c r="C304" i="5"/>
  <c r="B304" i="5"/>
  <c r="A304" i="5"/>
  <c r="D303" i="5"/>
  <c r="C303" i="5"/>
  <c r="B303" i="5"/>
  <c r="A303" i="5"/>
  <c r="D302" i="5"/>
  <c r="C302" i="5"/>
  <c r="B302" i="5"/>
  <c r="A302" i="5"/>
  <c r="D301" i="5"/>
  <c r="C301" i="5"/>
  <c r="B301" i="5"/>
  <c r="A301" i="5"/>
  <c r="D300" i="5"/>
  <c r="C300" i="5"/>
  <c r="B300" i="5"/>
  <c r="A300" i="5"/>
  <c r="D299" i="5"/>
  <c r="C299" i="5"/>
  <c r="B299" i="5"/>
  <c r="A299" i="5"/>
  <c r="D298" i="5"/>
  <c r="C298" i="5"/>
  <c r="B298" i="5"/>
  <c r="A298" i="5"/>
  <c r="D297" i="5"/>
  <c r="C297" i="5"/>
  <c r="B297" i="5"/>
  <c r="A297" i="5"/>
  <c r="D296" i="5"/>
  <c r="C296" i="5"/>
  <c r="B296" i="5"/>
  <c r="A296" i="5"/>
  <c r="D295" i="5"/>
  <c r="C295" i="5"/>
  <c r="B295" i="5"/>
  <c r="A295" i="5"/>
  <c r="D294" i="5"/>
  <c r="C294" i="5"/>
  <c r="B294" i="5"/>
  <c r="A294" i="5"/>
  <c r="D293" i="5"/>
  <c r="C293" i="5"/>
  <c r="B293" i="5"/>
  <c r="A293" i="5"/>
  <c r="D292" i="5"/>
  <c r="C292" i="5"/>
  <c r="B292" i="5"/>
  <c r="A292" i="5"/>
  <c r="D291" i="5"/>
  <c r="C291" i="5"/>
  <c r="B291" i="5"/>
  <c r="A291" i="5"/>
  <c r="D290" i="5"/>
  <c r="C290" i="5"/>
  <c r="B290" i="5"/>
  <c r="A290" i="5"/>
  <c r="D289" i="5"/>
  <c r="C289" i="5"/>
  <c r="B289" i="5"/>
  <c r="A289" i="5"/>
  <c r="D288" i="5"/>
  <c r="C288" i="5"/>
  <c r="B288" i="5"/>
  <c r="A288" i="5"/>
  <c r="D287" i="5"/>
  <c r="C287" i="5"/>
  <c r="B287" i="5"/>
  <c r="A287" i="5"/>
  <c r="D286" i="5"/>
  <c r="C286" i="5"/>
  <c r="B286" i="5"/>
  <c r="A286" i="5"/>
  <c r="D285" i="5"/>
  <c r="C285" i="5"/>
  <c r="B285" i="5"/>
  <c r="A285" i="5"/>
  <c r="D284" i="5"/>
  <c r="C284" i="5"/>
  <c r="B284" i="5"/>
  <c r="A284" i="5"/>
  <c r="D283" i="5"/>
  <c r="C283" i="5"/>
  <c r="B283" i="5"/>
  <c r="A283" i="5"/>
  <c r="D282" i="5"/>
  <c r="C282" i="5"/>
  <c r="B282" i="5"/>
  <c r="A282" i="5"/>
  <c r="D281" i="5"/>
  <c r="C281" i="5"/>
  <c r="B281" i="5"/>
  <c r="A281" i="5"/>
  <c r="D280" i="5"/>
  <c r="C280" i="5"/>
  <c r="B280" i="5"/>
  <c r="A280" i="5"/>
  <c r="D279" i="5"/>
  <c r="C279" i="5"/>
  <c r="B279" i="5"/>
  <c r="A279" i="5"/>
  <c r="D278" i="5"/>
  <c r="C278" i="5"/>
  <c r="B278" i="5"/>
  <c r="A278" i="5"/>
  <c r="D277" i="5"/>
  <c r="C277" i="5"/>
  <c r="B277" i="5"/>
  <c r="A277" i="5"/>
  <c r="D276" i="5"/>
  <c r="C276" i="5"/>
  <c r="B276" i="5"/>
  <c r="A276" i="5"/>
  <c r="D275" i="5"/>
  <c r="C275" i="5"/>
  <c r="B275" i="5"/>
  <c r="A275" i="5"/>
  <c r="D274" i="5"/>
  <c r="C274" i="5"/>
  <c r="B274" i="5"/>
  <c r="A274" i="5"/>
  <c r="D273" i="5"/>
  <c r="C273" i="5"/>
  <c r="B273" i="5"/>
  <c r="A273" i="5"/>
  <c r="D272" i="5"/>
  <c r="C272" i="5"/>
  <c r="B272" i="5"/>
  <c r="A272" i="5"/>
  <c r="D271" i="5"/>
  <c r="C271" i="5"/>
  <c r="B271" i="5"/>
  <c r="A271" i="5"/>
  <c r="D270" i="5"/>
  <c r="C270" i="5"/>
  <c r="B270" i="5"/>
  <c r="A270" i="5"/>
  <c r="D269" i="5"/>
  <c r="C269" i="5"/>
  <c r="B269" i="5"/>
  <c r="A269" i="5"/>
  <c r="D268" i="5"/>
  <c r="C268" i="5"/>
  <c r="B268" i="5"/>
  <c r="A268" i="5"/>
  <c r="D267" i="5"/>
  <c r="C267" i="5"/>
  <c r="B267" i="5"/>
  <c r="A267" i="5"/>
  <c r="D266" i="5"/>
  <c r="C266" i="5"/>
  <c r="B266" i="5"/>
  <c r="A266" i="5"/>
  <c r="D265" i="5"/>
  <c r="C265" i="5"/>
  <c r="B265" i="5"/>
  <c r="A265" i="5"/>
  <c r="D264" i="5"/>
  <c r="C264" i="5"/>
  <c r="B264" i="5"/>
  <c r="A264" i="5"/>
  <c r="D263" i="5"/>
  <c r="C263" i="5"/>
  <c r="B263" i="5"/>
  <c r="A263" i="5"/>
  <c r="D262" i="5"/>
  <c r="C262" i="5"/>
  <c r="B262" i="5"/>
  <c r="A262" i="5"/>
  <c r="D261" i="5"/>
  <c r="C261" i="5"/>
  <c r="B261" i="5"/>
  <c r="A261" i="5"/>
  <c r="D260" i="5"/>
  <c r="C260" i="5"/>
  <c r="B260" i="5"/>
  <c r="A260" i="5"/>
  <c r="D259" i="5"/>
  <c r="C259" i="5"/>
  <c r="B259" i="5"/>
  <c r="A259" i="5"/>
  <c r="D258" i="5"/>
  <c r="C258" i="5"/>
  <c r="B258" i="5"/>
  <c r="A258" i="5"/>
  <c r="D257" i="5"/>
  <c r="C257" i="5"/>
  <c r="B257" i="5"/>
  <c r="A257" i="5"/>
  <c r="D256" i="5"/>
  <c r="C256" i="5"/>
  <c r="B256" i="5"/>
  <c r="A256" i="5"/>
  <c r="D255" i="5"/>
  <c r="C255" i="5"/>
  <c r="B255" i="5"/>
  <c r="A255" i="5"/>
  <c r="D254" i="5"/>
  <c r="C254" i="5"/>
  <c r="B254" i="5"/>
  <c r="A254" i="5"/>
  <c r="D253" i="5"/>
  <c r="C253" i="5"/>
  <c r="B253" i="5"/>
  <c r="A253" i="5"/>
  <c r="D252" i="5"/>
  <c r="C252" i="5"/>
  <c r="B252" i="5"/>
  <c r="A252" i="5"/>
  <c r="D251" i="5"/>
  <c r="C251" i="5"/>
  <c r="B251" i="5"/>
  <c r="A251" i="5"/>
  <c r="D250" i="5"/>
  <c r="C250" i="5"/>
  <c r="B250" i="5"/>
  <c r="A250" i="5"/>
  <c r="D249" i="5"/>
  <c r="C249" i="5"/>
  <c r="B249" i="5"/>
  <c r="A249" i="5"/>
  <c r="D248" i="5"/>
  <c r="C248" i="5"/>
  <c r="B248" i="5"/>
  <c r="A248" i="5"/>
  <c r="D247" i="5"/>
  <c r="C247" i="5"/>
  <c r="B247" i="5"/>
  <c r="A247" i="5"/>
  <c r="D246" i="5"/>
  <c r="C246" i="5"/>
  <c r="B246" i="5"/>
  <c r="A246" i="5"/>
  <c r="D245" i="5"/>
  <c r="C245" i="5"/>
  <c r="B245" i="5"/>
  <c r="A245" i="5"/>
  <c r="D244" i="5"/>
  <c r="C244" i="5"/>
  <c r="B244" i="5"/>
  <c r="A244" i="5"/>
  <c r="D243" i="5"/>
  <c r="C243" i="5"/>
  <c r="B243" i="5"/>
  <c r="A243" i="5"/>
  <c r="D242" i="5"/>
  <c r="C242" i="5"/>
  <c r="B242" i="5"/>
  <c r="A242" i="5"/>
  <c r="D241" i="5"/>
  <c r="C241" i="5"/>
  <c r="B241" i="5"/>
  <c r="A241" i="5"/>
  <c r="D240" i="5"/>
  <c r="C240" i="5"/>
  <c r="B240" i="5"/>
  <c r="A240" i="5"/>
  <c r="D239" i="5"/>
  <c r="C239" i="5"/>
  <c r="B239" i="5"/>
  <c r="A239" i="5"/>
  <c r="D238" i="5"/>
  <c r="C238" i="5"/>
  <c r="B238" i="5"/>
  <c r="A238" i="5"/>
  <c r="D237" i="5"/>
  <c r="C237" i="5"/>
  <c r="B237" i="5"/>
  <c r="A237" i="5"/>
  <c r="D236" i="5"/>
  <c r="C236" i="5"/>
  <c r="B236" i="5"/>
  <c r="A236" i="5"/>
  <c r="D235" i="5"/>
  <c r="C235" i="5"/>
  <c r="B235" i="5"/>
  <c r="A235" i="5"/>
  <c r="D234" i="5"/>
  <c r="C234" i="5"/>
  <c r="B234" i="5"/>
  <c r="A234" i="5"/>
  <c r="D233" i="5"/>
  <c r="C233" i="5"/>
  <c r="B233" i="5"/>
  <c r="A233" i="5"/>
  <c r="D232" i="5"/>
  <c r="C232" i="5"/>
  <c r="B232" i="5"/>
  <c r="A232" i="5"/>
  <c r="D231" i="5"/>
  <c r="C231" i="5"/>
  <c r="B231" i="5"/>
  <c r="A231" i="5"/>
  <c r="D230" i="5"/>
  <c r="C230" i="5"/>
  <c r="B230" i="5"/>
  <c r="A230" i="5"/>
  <c r="D229" i="5"/>
  <c r="C229" i="5"/>
  <c r="B229" i="5"/>
  <c r="A229" i="5"/>
  <c r="D228" i="5"/>
  <c r="C228" i="5"/>
  <c r="B228" i="5"/>
  <c r="A228" i="5"/>
  <c r="D227" i="5"/>
  <c r="C227" i="5"/>
  <c r="B227" i="5"/>
  <c r="A227" i="5"/>
  <c r="D226" i="5"/>
  <c r="C226" i="5"/>
  <c r="B226" i="5"/>
  <c r="A226" i="5"/>
  <c r="D225" i="5"/>
  <c r="C225" i="5"/>
  <c r="B225" i="5"/>
  <c r="A225" i="5"/>
  <c r="D224" i="5"/>
  <c r="C224" i="5"/>
  <c r="B224" i="5"/>
  <c r="A224" i="5"/>
  <c r="D223" i="5"/>
  <c r="C223" i="5"/>
  <c r="B223" i="5"/>
  <c r="A223" i="5"/>
  <c r="D222" i="5"/>
  <c r="C222" i="5"/>
  <c r="B222" i="5"/>
  <c r="A222" i="5"/>
  <c r="D221" i="5"/>
  <c r="C221" i="5"/>
  <c r="B221" i="5"/>
  <c r="A221" i="5"/>
  <c r="D220" i="5"/>
  <c r="C220" i="5"/>
  <c r="B220" i="5"/>
  <c r="A220" i="5"/>
  <c r="D219" i="5"/>
  <c r="C219" i="5"/>
  <c r="B219" i="5"/>
  <c r="A219" i="5"/>
  <c r="D218" i="5"/>
  <c r="C218" i="5"/>
  <c r="B218" i="5"/>
  <c r="A218" i="5"/>
  <c r="D217" i="5"/>
  <c r="C217" i="5"/>
  <c r="B217" i="5"/>
  <c r="A217" i="5"/>
  <c r="D216" i="5"/>
  <c r="C216" i="5"/>
  <c r="B216" i="5"/>
  <c r="A216" i="5"/>
  <c r="D215" i="5"/>
  <c r="C215" i="5"/>
  <c r="B215" i="5"/>
  <c r="A215" i="5"/>
  <c r="D214" i="5"/>
  <c r="C214" i="5"/>
  <c r="B214" i="5"/>
  <c r="A214" i="5"/>
  <c r="D213" i="5"/>
  <c r="C213" i="5"/>
  <c r="B213" i="5"/>
  <c r="A213" i="5"/>
  <c r="D212" i="5"/>
  <c r="C212" i="5"/>
  <c r="B212" i="5"/>
  <c r="A212" i="5"/>
  <c r="D211" i="5"/>
  <c r="C211" i="5"/>
  <c r="B211" i="5"/>
  <c r="A211" i="5"/>
  <c r="D210" i="5"/>
  <c r="C210" i="5"/>
  <c r="B210" i="5"/>
  <c r="A210" i="5"/>
  <c r="D209" i="5"/>
  <c r="C209" i="5"/>
  <c r="B209" i="5"/>
  <c r="A209" i="5"/>
  <c r="D208" i="5"/>
  <c r="C208" i="5"/>
  <c r="B208" i="5"/>
  <c r="A208" i="5"/>
  <c r="D207" i="5"/>
  <c r="C207" i="5"/>
  <c r="B207" i="5"/>
  <c r="A207" i="5"/>
  <c r="D206" i="5"/>
  <c r="C206" i="5"/>
  <c r="B206" i="5"/>
  <c r="A206" i="5"/>
  <c r="D205" i="5"/>
  <c r="C205" i="5"/>
  <c r="B205" i="5"/>
  <c r="A205" i="5"/>
  <c r="D204" i="5"/>
  <c r="C204" i="5"/>
  <c r="B204" i="5"/>
  <c r="A204" i="5"/>
  <c r="D203" i="5"/>
  <c r="C203" i="5"/>
  <c r="B203" i="5"/>
  <c r="A203" i="5"/>
  <c r="D202" i="5"/>
  <c r="C202" i="5"/>
  <c r="B202" i="5"/>
  <c r="A202" i="5"/>
  <c r="D201" i="5"/>
  <c r="C201" i="5"/>
  <c r="B201" i="5"/>
  <c r="A201" i="5"/>
  <c r="D200" i="5"/>
  <c r="C200" i="5"/>
  <c r="B200" i="5"/>
  <c r="A200" i="5"/>
  <c r="D199" i="5"/>
  <c r="C199" i="5"/>
  <c r="B199" i="5"/>
  <c r="A199" i="5"/>
  <c r="D198" i="5"/>
  <c r="C198" i="5"/>
  <c r="B198" i="5"/>
  <c r="A198" i="5"/>
  <c r="D197" i="5"/>
  <c r="C197" i="5"/>
  <c r="B197" i="5"/>
  <c r="A197" i="5"/>
  <c r="D196" i="5"/>
  <c r="C196" i="5"/>
  <c r="B196" i="5"/>
  <c r="A196" i="5"/>
  <c r="D195" i="5"/>
  <c r="C195" i="5"/>
  <c r="B195" i="5"/>
  <c r="A195" i="5"/>
  <c r="D194" i="5"/>
  <c r="C194" i="5"/>
  <c r="B194" i="5"/>
  <c r="A194" i="5"/>
  <c r="D193" i="5"/>
  <c r="C193" i="5"/>
  <c r="B193" i="5"/>
  <c r="A193" i="5"/>
  <c r="D192" i="5"/>
  <c r="C192" i="5"/>
  <c r="B192" i="5"/>
  <c r="A192" i="5"/>
  <c r="D191" i="5"/>
  <c r="C191" i="5"/>
  <c r="B191" i="5"/>
  <c r="A191" i="5"/>
  <c r="D190" i="5"/>
  <c r="C190" i="5"/>
  <c r="B190" i="5"/>
  <c r="A190" i="5"/>
  <c r="D189" i="5"/>
  <c r="C189" i="5"/>
  <c r="B189" i="5"/>
  <c r="A189" i="5"/>
  <c r="D188" i="5"/>
  <c r="C188" i="5"/>
  <c r="B188" i="5"/>
  <c r="A188" i="5"/>
  <c r="D187" i="5"/>
  <c r="C187" i="5"/>
  <c r="B187" i="5"/>
  <c r="A187" i="5"/>
  <c r="D186" i="5"/>
  <c r="C186" i="5"/>
  <c r="B186" i="5"/>
  <c r="A186" i="5"/>
  <c r="D185" i="5"/>
  <c r="C185" i="5"/>
  <c r="B185" i="5"/>
  <c r="A185" i="5"/>
  <c r="D184" i="5"/>
  <c r="C184" i="5"/>
  <c r="B184" i="5"/>
  <c r="A184" i="5"/>
  <c r="D183" i="5"/>
  <c r="C183" i="5"/>
  <c r="B183" i="5"/>
  <c r="A183" i="5"/>
  <c r="D182" i="5"/>
  <c r="C182" i="5"/>
  <c r="B182" i="5"/>
  <c r="A182" i="5"/>
  <c r="D181" i="5"/>
  <c r="C181" i="5"/>
  <c r="B181" i="5"/>
  <c r="A181" i="5"/>
  <c r="D180" i="5"/>
  <c r="C180" i="5"/>
  <c r="B180" i="5"/>
  <c r="A180" i="5"/>
  <c r="D179" i="5"/>
  <c r="C179" i="5"/>
  <c r="B179" i="5"/>
  <c r="A179" i="5"/>
  <c r="D178" i="5"/>
  <c r="C178" i="5"/>
  <c r="B178" i="5"/>
  <c r="A178" i="5"/>
  <c r="D177" i="5"/>
  <c r="C177" i="5"/>
  <c r="B177" i="5"/>
  <c r="A177" i="5"/>
  <c r="D176" i="5"/>
  <c r="C176" i="5"/>
  <c r="B176" i="5"/>
  <c r="A176" i="5"/>
  <c r="D175" i="5"/>
  <c r="C175" i="5"/>
  <c r="B175" i="5"/>
  <c r="A175" i="5"/>
  <c r="D174" i="5"/>
  <c r="C174" i="5"/>
  <c r="B174" i="5"/>
  <c r="A174" i="5"/>
  <c r="D173" i="5"/>
  <c r="C173" i="5"/>
  <c r="B173" i="5"/>
  <c r="A173" i="5"/>
  <c r="D172" i="5"/>
  <c r="C172" i="5"/>
  <c r="B172" i="5"/>
  <c r="A172" i="5"/>
  <c r="D171" i="5"/>
  <c r="C171" i="5"/>
  <c r="B171" i="5"/>
  <c r="A171" i="5"/>
  <c r="D170" i="5"/>
  <c r="C170" i="5"/>
  <c r="B170" i="5"/>
  <c r="A170" i="5"/>
  <c r="D169" i="5"/>
  <c r="C169" i="5"/>
  <c r="B169" i="5"/>
  <c r="A169" i="5"/>
  <c r="D168" i="5"/>
  <c r="C168" i="5"/>
  <c r="B168" i="5"/>
  <c r="A168" i="5"/>
  <c r="D167" i="5"/>
  <c r="C167" i="5"/>
  <c r="B167" i="5"/>
  <c r="A167" i="5"/>
  <c r="D166" i="5"/>
  <c r="C166" i="5"/>
  <c r="B166" i="5"/>
  <c r="A166" i="5"/>
  <c r="D165" i="5"/>
  <c r="C165" i="5"/>
  <c r="B165" i="5"/>
  <c r="A165" i="5"/>
  <c r="D164" i="5"/>
  <c r="C164" i="5"/>
  <c r="B164" i="5"/>
  <c r="A164" i="5"/>
  <c r="D163" i="5"/>
  <c r="C163" i="5"/>
  <c r="B163" i="5"/>
  <c r="A163" i="5"/>
  <c r="D162" i="5"/>
  <c r="C162" i="5"/>
  <c r="B162" i="5"/>
  <c r="A162" i="5"/>
  <c r="D161" i="5"/>
  <c r="C161" i="5"/>
  <c r="B161" i="5"/>
  <c r="A161" i="5"/>
  <c r="D160" i="5"/>
  <c r="C160" i="5"/>
  <c r="B160" i="5"/>
  <c r="A160" i="5"/>
  <c r="D159" i="5"/>
  <c r="C159" i="5"/>
  <c r="B159" i="5"/>
  <c r="A159" i="5"/>
  <c r="D158" i="5"/>
  <c r="C158" i="5"/>
  <c r="B158" i="5"/>
  <c r="A158" i="5"/>
  <c r="D157" i="5"/>
  <c r="C157" i="5"/>
  <c r="B157" i="5"/>
  <c r="A157" i="5"/>
  <c r="D156" i="5"/>
  <c r="C156" i="5"/>
  <c r="B156" i="5"/>
  <c r="A156" i="5"/>
  <c r="D155" i="5"/>
  <c r="C155" i="5"/>
  <c r="B155" i="5"/>
  <c r="A155" i="5"/>
  <c r="D154" i="5"/>
  <c r="C154" i="5"/>
  <c r="B154" i="5"/>
  <c r="A154" i="5"/>
  <c r="D153" i="5"/>
  <c r="C153" i="5"/>
  <c r="B153" i="5"/>
  <c r="A153" i="5"/>
  <c r="D152" i="5"/>
  <c r="C152" i="5"/>
  <c r="B152" i="5"/>
  <c r="A152" i="5"/>
  <c r="D151" i="5"/>
  <c r="C151" i="5"/>
  <c r="B151" i="5"/>
  <c r="A151" i="5"/>
  <c r="D150" i="5"/>
  <c r="C150" i="5"/>
  <c r="B150" i="5"/>
  <c r="A150" i="5"/>
  <c r="D149" i="5"/>
  <c r="C149" i="5"/>
  <c r="B149" i="5"/>
  <c r="A149" i="5"/>
  <c r="D148" i="5"/>
  <c r="C148" i="5"/>
  <c r="B148" i="5"/>
  <c r="A148" i="5"/>
  <c r="D147" i="5"/>
  <c r="C147" i="5"/>
  <c r="B147" i="5"/>
  <c r="A147" i="5"/>
  <c r="D146" i="5"/>
  <c r="C146" i="5"/>
  <c r="B146" i="5"/>
  <c r="A146" i="5"/>
  <c r="D145" i="5"/>
  <c r="C145" i="5"/>
  <c r="B145" i="5"/>
  <c r="A145" i="5"/>
  <c r="D144" i="5"/>
  <c r="C144" i="5"/>
  <c r="B144" i="5"/>
  <c r="A144" i="5"/>
  <c r="D143" i="5"/>
  <c r="C143" i="5"/>
  <c r="B143" i="5"/>
  <c r="A143" i="5"/>
  <c r="D142" i="5"/>
  <c r="C142" i="5"/>
  <c r="B142" i="5"/>
  <c r="A142" i="5"/>
  <c r="D141" i="5"/>
  <c r="C141" i="5"/>
  <c r="B141" i="5"/>
  <c r="A141" i="5"/>
  <c r="D140" i="5"/>
  <c r="C140" i="5"/>
  <c r="B140" i="5"/>
  <c r="A140" i="5"/>
  <c r="D139" i="5"/>
  <c r="C139" i="5"/>
  <c r="B139" i="5"/>
  <c r="A139" i="5"/>
  <c r="D138" i="5"/>
  <c r="C138" i="5"/>
  <c r="B138" i="5"/>
  <c r="A138" i="5"/>
  <c r="D137" i="5"/>
  <c r="C137" i="5"/>
  <c r="B137" i="5"/>
  <c r="A137" i="5"/>
  <c r="D136" i="5"/>
  <c r="C136" i="5"/>
  <c r="B136" i="5"/>
  <c r="A136" i="5"/>
  <c r="D135" i="5"/>
  <c r="C135" i="5"/>
  <c r="B135" i="5"/>
  <c r="A135" i="5"/>
  <c r="D134" i="5"/>
  <c r="C134" i="5"/>
  <c r="B134" i="5"/>
  <c r="A134" i="5"/>
  <c r="D133" i="5"/>
  <c r="C133" i="5"/>
  <c r="B133" i="5"/>
  <c r="A133" i="5"/>
  <c r="D132" i="5"/>
  <c r="C132" i="5"/>
  <c r="B132" i="5"/>
  <c r="A132" i="5"/>
  <c r="D131" i="5"/>
  <c r="C131" i="5"/>
  <c r="B131" i="5"/>
  <c r="A131" i="5"/>
  <c r="D130" i="5"/>
  <c r="C130" i="5"/>
  <c r="B130" i="5"/>
  <c r="A130" i="5"/>
  <c r="D129" i="5"/>
  <c r="C129" i="5"/>
  <c r="B129" i="5"/>
  <c r="A129" i="5"/>
  <c r="D128" i="5"/>
  <c r="C128" i="5"/>
  <c r="B128" i="5"/>
  <c r="A128" i="5"/>
  <c r="D127" i="5"/>
  <c r="C127" i="5"/>
  <c r="B127" i="5"/>
  <c r="A127" i="5"/>
  <c r="D126" i="5"/>
  <c r="C126" i="5"/>
  <c r="B126" i="5"/>
  <c r="A126" i="5"/>
  <c r="D125" i="5"/>
  <c r="C125" i="5"/>
  <c r="B125" i="5"/>
  <c r="A125" i="5"/>
  <c r="D124" i="5"/>
  <c r="C124" i="5"/>
  <c r="B124" i="5"/>
  <c r="A124" i="5"/>
  <c r="D123" i="5"/>
  <c r="C123" i="5"/>
  <c r="B123" i="5"/>
  <c r="A123" i="5"/>
  <c r="D122" i="5"/>
  <c r="C122" i="5"/>
  <c r="B122" i="5"/>
  <c r="A122" i="5"/>
  <c r="D121" i="5"/>
  <c r="C121" i="5"/>
  <c r="B121" i="5"/>
  <c r="A121" i="5"/>
  <c r="D120" i="5"/>
  <c r="C120" i="5"/>
  <c r="B120" i="5"/>
  <c r="A120" i="5"/>
  <c r="D119" i="5"/>
  <c r="C119" i="5"/>
  <c r="B119" i="5"/>
  <c r="A119" i="5"/>
  <c r="D118" i="5"/>
  <c r="C118" i="5"/>
  <c r="B118" i="5"/>
  <c r="A118" i="5"/>
  <c r="D117" i="5"/>
  <c r="C117" i="5"/>
  <c r="B117" i="5"/>
  <c r="A117" i="5"/>
  <c r="D116" i="5"/>
  <c r="C116" i="5"/>
  <c r="B116" i="5"/>
  <c r="A116" i="5"/>
  <c r="D115" i="5"/>
  <c r="C115" i="5"/>
  <c r="B115" i="5"/>
  <c r="A115" i="5"/>
  <c r="D114" i="5"/>
  <c r="C114" i="5"/>
  <c r="B114" i="5"/>
  <c r="A114" i="5"/>
  <c r="D113" i="5"/>
  <c r="C113" i="5"/>
  <c r="B113" i="5"/>
  <c r="A113" i="5"/>
  <c r="D112" i="5"/>
  <c r="C112" i="5"/>
  <c r="B112" i="5"/>
  <c r="A112" i="5"/>
  <c r="D111" i="5"/>
  <c r="C111" i="5"/>
  <c r="B111" i="5"/>
  <c r="A111" i="5"/>
  <c r="D110" i="5"/>
  <c r="C110" i="5"/>
  <c r="B110" i="5"/>
  <c r="A110" i="5"/>
  <c r="D109" i="5"/>
  <c r="C109" i="5"/>
  <c r="B109" i="5"/>
  <c r="A109" i="5"/>
  <c r="D108" i="5"/>
  <c r="C108" i="5"/>
  <c r="B108" i="5"/>
  <c r="A108" i="5"/>
  <c r="D107" i="5"/>
  <c r="C107" i="5"/>
  <c r="B107" i="5"/>
  <c r="A107" i="5"/>
  <c r="D106" i="5"/>
  <c r="C106" i="5"/>
  <c r="B106" i="5"/>
  <c r="A106" i="5"/>
  <c r="D105" i="5"/>
  <c r="C105" i="5"/>
  <c r="B105" i="5"/>
  <c r="A105" i="5"/>
  <c r="D104" i="5"/>
  <c r="C104" i="5"/>
  <c r="B104" i="5"/>
  <c r="A104" i="5"/>
  <c r="D103" i="5"/>
  <c r="C103" i="5"/>
  <c r="B103" i="5"/>
  <c r="A103" i="5"/>
  <c r="D102" i="5"/>
  <c r="C102" i="5"/>
  <c r="B102" i="5"/>
  <c r="A102" i="5"/>
  <c r="D101" i="5"/>
  <c r="C101" i="5"/>
  <c r="B101" i="5"/>
  <c r="A101" i="5"/>
  <c r="D100" i="5"/>
  <c r="C100" i="5"/>
  <c r="B100" i="5"/>
  <c r="A100" i="5"/>
  <c r="D99" i="5"/>
  <c r="C99" i="5"/>
  <c r="B99" i="5"/>
  <c r="A99" i="5"/>
  <c r="D98" i="5"/>
  <c r="C98" i="5"/>
  <c r="B98" i="5"/>
  <c r="A98" i="5"/>
  <c r="D97" i="5"/>
  <c r="C97" i="5"/>
  <c r="B97" i="5"/>
  <c r="A97" i="5"/>
  <c r="D96" i="5"/>
  <c r="C96" i="5"/>
  <c r="B96" i="5"/>
  <c r="A96" i="5"/>
  <c r="D95" i="5"/>
  <c r="C95" i="5"/>
  <c r="B95" i="5"/>
  <c r="A95" i="5"/>
  <c r="D94" i="5"/>
  <c r="C94" i="5"/>
  <c r="B94" i="5"/>
  <c r="A94" i="5"/>
  <c r="D93" i="5"/>
  <c r="C93" i="5"/>
  <c r="B93" i="5"/>
  <c r="A93" i="5"/>
  <c r="D92" i="5"/>
  <c r="C92" i="5"/>
  <c r="B92" i="5"/>
  <c r="A92" i="5"/>
  <c r="D91" i="5"/>
  <c r="C91" i="5"/>
  <c r="B91" i="5"/>
  <c r="A91" i="5"/>
  <c r="D90" i="5"/>
  <c r="C90" i="5"/>
  <c r="B90" i="5"/>
  <c r="A90" i="5"/>
  <c r="D89" i="5"/>
  <c r="C89" i="5"/>
  <c r="B89" i="5"/>
  <c r="A89" i="5"/>
  <c r="D88" i="5"/>
  <c r="C88" i="5"/>
  <c r="B88" i="5"/>
  <c r="A88" i="5"/>
  <c r="D87" i="5"/>
  <c r="C87" i="5"/>
  <c r="B87" i="5"/>
  <c r="A87" i="5"/>
  <c r="D86" i="5"/>
  <c r="C86" i="5"/>
  <c r="B86" i="5"/>
  <c r="A86" i="5"/>
  <c r="D85" i="5"/>
  <c r="C85" i="5"/>
  <c r="B85" i="5"/>
  <c r="A85" i="5"/>
  <c r="D84" i="5"/>
  <c r="C84" i="5"/>
  <c r="B84" i="5"/>
  <c r="A84" i="5"/>
  <c r="D83" i="5"/>
  <c r="C83" i="5"/>
  <c r="B83" i="5"/>
  <c r="A83" i="5"/>
  <c r="D82" i="5"/>
  <c r="C82" i="5"/>
  <c r="B82" i="5"/>
  <c r="A82" i="5"/>
  <c r="D81" i="5"/>
  <c r="C81" i="5"/>
  <c r="B81" i="5"/>
  <c r="A81" i="5"/>
  <c r="D80" i="5"/>
  <c r="C80" i="5"/>
  <c r="B80" i="5"/>
  <c r="A80" i="5"/>
  <c r="D79" i="5"/>
  <c r="C79" i="5"/>
  <c r="B79" i="5"/>
  <c r="A79" i="5"/>
  <c r="D78" i="5"/>
  <c r="C78" i="5"/>
  <c r="B78" i="5"/>
  <c r="A78" i="5"/>
  <c r="D77" i="5"/>
  <c r="C77" i="5"/>
  <c r="B77" i="5"/>
  <c r="A77" i="5"/>
  <c r="D76" i="5"/>
  <c r="C76" i="5"/>
  <c r="B76" i="5"/>
  <c r="A76" i="5"/>
  <c r="D75" i="5"/>
  <c r="C75" i="5"/>
  <c r="B75" i="5"/>
  <c r="A75" i="5"/>
  <c r="D74" i="5"/>
  <c r="C74" i="5"/>
  <c r="B74" i="5"/>
  <c r="A74" i="5"/>
  <c r="D73" i="5"/>
  <c r="C73" i="5"/>
  <c r="B73" i="5"/>
  <c r="A73" i="5"/>
  <c r="D72" i="5"/>
  <c r="C72" i="5"/>
  <c r="B72" i="5"/>
  <c r="A72" i="5"/>
  <c r="D71" i="5"/>
  <c r="C71" i="5"/>
  <c r="B71" i="5"/>
  <c r="A71" i="5"/>
  <c r="D70" i="5"/>
  <c r="C70" i="5"/>
  <c r="B70" i="5"/>
  <c r="A70" i="5"/>
  <c r="D69" i="5"/>
  <c r="C69" i="5"/>
  <c r="B69" i="5"/>
  <c r="A69" i="5"/>
  <c r="D68" i="5"/>
  <c r="C68" i="5"/>
  <c r="B68" i="5"/>
  <c r="A68" i="5"/>
  <c r="D67" i="5"/>
  <c r="C67" i="5"/>
  <c r="B67" i="5"/>
  <c r="A67" i="5"/>
  <c r="D66" i="5"/>
  <c r="C66" i="5"/>
  <c r="B66" i="5"/>
  <c r="A66" i="5"/>
  <c r="D65" i="5"/>
  <c r="C65" i="5"/>
  <c r="B65" i="5"/>
  <c r="A65" i="5"/>
  <c r="D64" i="5"/>
  <c r="C64" i="5"/>
  <c r="B64" i="5"/>
  <c r="A64" i="5"/>
  <c r="D63" i="5"/>
  <c r="C63" i="5"/>
  <c r="B63" i="5"/>
  <c r="A63" i="5"/>
  <c r="D62" i="5"/>
  <c r="C62" i="5"/>
  <c r="B62" i="5"/>
  <c r="A62" i="5"/>
  <c r="D61" i="5"/>
  <c r="C61" i="5"/>
  <c r="B61" i="5"/>
  <c r="A61" i="5"/>
  <c r="D60" i="5"/>
  <c r="C60" i="5"/>
  <c r="B60" i="5"/>
  <c r="A60" i="5"/>
  <c r="D59" i="5"/>
  <c r="C59" i="5"/>
  <c r="B59" i="5"/>
  <c r="A59" i="5"/>
  <c r="D58" i="5"/>
  <c r="C58" i="5"/>
  <c r="B58" i="5"/>
  <c r="A58" i="5"/>
  <c r="D57" i="5"/>
  <c r="C57" i="5"/>
  <c r="B57" i="5"/>
  <c r="A57" i="5"/>
  <c r="D56" i="5"/>
  <c r="C56" i="5"/>
  <c r="B56" i="5"/>
  <c r="A56" i="5"/>
  <c r="D55" i="5"/>
  <c r="C55" i="5"/>
  <c r="B55" i="5"/>
  <c r="A55" i="5"/>
  <c r="D54" i="5"/>
  <c r="C54" i="5"/>
  <c r="B54" i="5"/>
  <c r="A54" i="5"/>
  <c r="D53" i="5"/>
  <c r="C53" i="5"/>
  <c r="B53" i="5"/>
  <c r="A53" i="5"/>
  <c r="D52" i="5"/>
  <c r="C52" i="5"/>
  <c r="B52" i="5"/>
  <c r="A52" i="5"/>
  <c r="D51" i="5"/>
  <c r="C51" i="5"/>
  <c r="B51" i="5"/>
  <c r="A51" i="5"/>
  <c r="D50" i="5"/>
  <c r="C50" i="5"/>
  <c r="B50" i="5"/>
  <c r="A50" i="5"/>
  <c r="D49" i="5"/>
  <c r="C49" i="5"/>
  <c r="B49" i="5"/>
  <c r="A49" i="5"/>
  <c r="D48" i="5"/>
  <c r="C48" i="5"/>
  <c r="B48" i="5"/>
  <c r="A48" i="5"/>
  <c r="D47" i="5"/>
  <c r="C47" i="5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D5" i="5"/>
  <c r="C5" i="5"/>
  <c r="B5" i="5"/>
  <c r="A5" i="5"/>
  <c r="D4" i="5"/>
  <c r="C4" i="5"/>
  <c r="B4" i="5"/>
  <c r="A4" i="5"/>
  <c r="D3" i="5"/>
  <c r="C3" i="5"/>
  <c r="B3" i="5"/>
  <c r="A3" i="5"/>
  <c r="D2" i="5"/>
  <c r="C2" i="5"/>
  <c r="B2" i="5"/>
  <c r="A2" i="5"/>
  <c r="B56" i="6"/>
  <c r="A56" i="6"/>
  <c r="B55" i="6"/>
  <c r="A55" i="6"/>
  <c r="B54" i="6"/>
  <c r="A54" i="6"/>
  <c r="B53" i="6"/>
  <c r="A53" i="6"/>
  <c r="B52" i="6"/>
  <c r="A52" i="6"/>
  <c r="B51" i="6"/>
  <c r="A51" i="6"/>
  <c r="B50" i="6"/>
  <c r="A50" i="6"/>
  <c r="B49" i="6"/>
  <c r="A49" i="6"/>
  <c r="B48" i="6"/>
  <c r="A48" i="6"/>
  <c r="B47" i="6"/>
  <c r="A47" i="6"/>
  <c r="B46" i="6"/>
  <c r="A46" i="6"/>
  <c r="B45" i="6"/>
  <c r="A45" i="6"/>
  <c r="B44" i="6"/>
  <c r="A44" i="6"/>
  <c r="B43" i="6"/>
  <c r="A43" i="6"/>
  <c r="B42" i="6"/>
  <c r="A42" i="6"/>
  <c r="B41" i="6"/>
  <c r="A41" i="6"/>
  <c r="B40" i="6"/>
  <c r="A40" i="6"/>
  <c r="B39" i="6"/>
  <c r="A39" i="6"/>
  <c r="B38" i="6"/>
  <c r="A38" i="6"/>
  <c r="B37" i="6"/>
  <c r="A37" i="6"/>
  <c r="B36" i="6"/>
  <c r="A36" i="6"/>
  <c r="B35" i="6"/>
  <c r="A35" i="6"/>
  <c r="B34" i="6"/>
  <c r="A34" i="6"/>
  <c r="B33" i="6"/>
  <c r="A33" i="6"/>
  <c r="B32" i="6"/>
  <c r="A32" i="6"/>
  <c r="B31" i="6"/>
  <c r="A31" i="6"/>
  <c r="B30" i="6"/>
  <c r="A30" i="6"/>
  <c r="B29" i="6"/>
  <c r="A29" i="6"/>
  <c r="B28" i="6"/>
  <c r="A28" i="6"/>
  <c r="B27" i="6"/>
  <c r="A27" i="6"/>
  <c r="B26" i="6"/>
  <c r="A26" i="6"/>
  <c r="B25" i="6"/>
  <c r="A25" i="6"/>
  <c r="B24" i="6"/>
  <c r="A24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B5" i="6"/>
  <c r="A5" i="6"/>
  <c r="B4" i="6"/>
  <c r="A4" i="6"/>
  <c r="B3" i="6"/>
  <c r="A3" i="6"/>
  <c r="B2" i="6"/>
  <c r="A2" i="6"/>
  <c r="I65" i="9" l="1"/>
  <c r="H65" i="9"/>
  <c r="G65" i="9"/>
  <c r="F65" i="9"/>
  <c r="E65" i="9"/>
  <c r="D65" i="9"/>
  <c r="I74" i="9"/>
  <c r="H74" i="9"/>
  <c r="G74" i="9"/>
  <c r="F74" i="9"/>
  <c r="E74" i="9"/>
  <c r="D74" i="9"/>
  <c r="C74" i="9"/>
  <c r="I67" i="9"/>
  <c r="H67" i="9"/>
  <c r="G67" i="9"/>
  <c r="F67" i="9"/>
  <c r="E67" i="9"/>
  <c r="D67" i="9"/>
  <c r="I68" i="9"/>
  <c r="H68" i="9"/>
  <c r="G68" i="9"/>
  <c r="F68" i="9"/>
  <c r="E68" i="9"/>
  <c r="D68" i="9"/>
  <c r="I69" i="9"/>
  <c r="H69" i="9"/>
  <c r="G69" i="9"/>
  <c r="F69" i="9"/>
  <c r="E69" i="9"/>
  <c r="D69" i="9"/>
  <c r="C69" i="9"/>
  <c r="C68" i="9"/>
  <c r="I66" i="9"/>
  <c r="H66" i="9"/>
  <c r="G66" i="9"/>
  <c r="F66" i="9"/>
  <c r="E66" i="9"/>
  <c r="D66" i="9"/>
  <c r="C66" i="9"/>
  <c r="C67" i="9"/>
  <c r="C65" i="9"/>
  <c r="C64" i="9"/>
  <c r="C63" i="9"/>
  <c r="I57" i="9"/>
  <c r="H57" i="9"/>
  <c r="G57" i="9"/>
  <c r="F57" i="9"/>
  <c r="E57" i="9"/>
  <c r="D57" i="9"/>
  <c r="C57" i="9"/>
  <c r="I52" i="9"/>
  <c r="H52" i="9"/>
  <c r="G52" i="9"/>
  <c r="F52" i="9"/>
  <c r="E52" i="9"/>
  <c r="D52" i="9"/>
  <c r="C52" i="9"/>
  <c r="I51" i="9"/>
  <c r="H51" i="9"/>
  <c r="G51" i="9"/>
  <c r="F51" i="9"/>
  <c r="E51" i="9"/>
  <c r="D51" i="9"/>
  <c r="C51" i="9"/>
  <c r="I50" i="9"/>
  <c r="H50" i="9"/>
  <c r="G50" i="9"/>
  <c r="F50" i="9"/>
  <c r="E50" i="9"/>
  <c r="D50" i="9"/>
  <c r="C50" i="9"/>
  <c r="I49" i="9"/>
  <c r="H49" i="9"/>
  <c r="G49" i="9"/>
  <c r="F49" i="9"/>
  <c r="E49" i="9"/>
  <c r="D49" i="9"/>
  <c r="C49" i="9"/>
  <c r="I48" i="9"/>
  <c r="H48" i="9"/>
  <c r="G48" i="9"/>
  <c r="F48" i="9"/>
  <c r="E48" i="9"/>
  <c r="D48" i="9"/>
  <c r="C48" i="9"/>
  <c r="I47" i="9"/>
  <c r="H47" i="9"/>
  <c r="G47" i="9"/>
  <c r="F47" i="9"/>
  <c r="E47" i="9"/>
  <c r="D47" i="9"/>
  <c r="C47" i="9"/>
  <c r="C46" i="9"/>
  <c r="D46" i="9" s="1"/>
  <c r="E46" i="9" s="1"/>
  <c r="F46" i="9" s="1"/>
  <c r="G46" i="9" s="1"/>
  <c r="H46" i="9" s="1"/>
  <c r="I46" i="9" s="1"/>
  <c r="I40" i="9"/>
  <c r="H40" i="9"/>
  <c r="G40" i="9"/>
  <c r="F40" i="9"/>
  <c r="E40" i="9"/>
  <c r="D40" i="9"/>
  <c r="C40" i="9"/>
  <c r="I35" i="9"/>
  <c r="H35" i="9"/>
  <c r="G35" i="9"/>
  <c r="F35" i="9"/>
  <c r="E35" i="9"/>
  <c r="D35" i="9"/>
  <c r="C35" i="9"/>
  <c r="I34" i="9"/>
  <c r="H34" i="9"/>
  <c r="G34" i="9"/>
  <c r="F34" i="9"/>
  <c r="E34" i="9"/>
  <c r="D34" i="9"/>
  <c r="C34" i="9"/>
  <c r="I33" i="9"/>
  <c r="H33" i="9"/>
  <c r="G33" i="9"/>
  <c r="F33" i="9"/>
  <c r="E33" i="9"/>
  <c r="D33" i="9"/>
  <c r="C33" i="9"/>
  <c r="I32" i="9"/>
  <c r="H32" i="9"/>
  <c r="G32" i="9"/>
  <c r="F32" i="9"/>
  <c r="E32" i="9"/>
  <c r="D32" i="9"/>
  <c r="C32" i="9"/>
  <c r="I31" i="9"/>
  <c r="H31" i="9"/>
  <c r="G31" i="9"/>
  <c r="F31" i="9"/>
  <c r="E31" i="9"/>
  <c r="D31" i="9"/>
  <c r="C31" i="9"/>
  <c r="C13" i="9"/>
  <c r="I30" i="9"/>
  <c r="H30" i="9"/>
  <c r="G30" i="9"/>
  <c r="F30" i="9"/>
  <c r="E30" i="9"/>
  <c r="D30" i="9"/>
  <c r="C30" i="9"/>
  <c r="C29" i="9"/>
  <c r="D29" i="9" s="1"/>
  <c r="I39" i="9"/>
  <c r="H39" i="9"/>
  <c r="G39" i="9"/>
  <c r="F39" i="9"/>
  <c r="E39" i="9"/>
  <c r="D39" i="9"/>
  <c r="C39" i="9"/>
  <c r="D36" i="9" l="1"/>
  <c r="D41" i="9" s="1"/>
  <c r="E29" i="9"/>
  <c r="E37" i="9" s="1"/>
  <c r="C36" i="9"/>
  <c r="C41" i="9" s="1"/>
  <c r="C37" i="9"/>
  <c r="D37" i="9"/>
  <c r="I73" i="9"/>
  <c r="H73" i="9"/>
  <c r="G73" i="9"/>
  <c r="F73" i="9"/>
  <c r="E73" i="9"/>
  <c r="D73" i="9"/>
  <c r="C73" i="9"/>
  <c r="I64" i="9"/>
  <c r="H64" i="9"/>
  <c r="G64" i="9"/>
  <c r="F64" i="9"/>
  <c r="E64" i="9"/>
  <c r="D64" i="9"/>
  <c r="D63" i="9"/>
  <c r="C70" i="9"/>
  <c r="I56" i="9"/>
  <c r="H56" i="9"/>
  <c r="G56" i="9"/>
  <c r="F56" i="9"/>
  <c r="E56" i="9"/>
  <c r="D56" i="9"/>
  <c r="C56" i="9"/>
  <c r="D54" i="9"/>
  <c r="C53" i="9"/>
  <c r="C6" i="9"/>
  <c r="C12" i="9"/>
  <c r="F29" i="9" l="1"/>
  <c r="F36" i="9" s="1"/>
  <c r="F41" i="9" s="1"/>
  <c r="E36" i="9"/>
  <c r="E41" i="9" s="1"/>
  <c r="D71" i="9"/>
  <c r="C58" i="9"/>
  <c r="C75" i="9"/>
  <c r="D53" i="9"/>
  <c r="D58" i="9" s="1"/>
  <c r="C54" i="9"/>
  <c r="E63" i="9"/>
  <c r="D70" i="9"/>
  <c r="D75" i="9" s="1"/>
  <c r="C71" i="9"/>
  <c r="F37" i="9" l="1"/>
  <c r="G29" i="9"/>
  <c r="G36" i="9" s="1"/>
  <c r="G41" i="9" s="1"/>
  <c r="E70" i="9"/>
  <c r="E75" i="9" s="1"/>
  <c r="F63" i="9"/>
  <c r="E71" i="9"/>
  <c r="E53" i="9"/>
  <c r="E58" i="9" s="1"/>
  <c r="E54" i="9"/>
  <c r="G37" i="9" l="1"/>
  <c r="H29" i="9"/>
  <c r="H36" i="9" s="1"/>
  <c r="H41" i="9" s="1"/>
  <c r="D6" i="9"/>
  <c r="E6" i="9" s="1"/>
  <c r="F54" i="9"/>
  <c r="F53" i="9"/>
  <c r="F58" i="9" s="1"/>
  <c r="F71" i="9"/>
  <c r="F70" i="9"/>
  <c r="F75" i="9" s="1"/>
  <c r="G63" i="9"/>
  <c r="D3" i="9"/>
  <c r="D4" i="9"/>
  <c r="D5" i="9"/>
  <c r="H37" i="9" l="1"/>
  <c r="I29" i="9"/>
  <c r="I37" i="9" s="1"/>
  <c r="D7" i="9"/>
  <c r="G70" i="9"/>
  <c r="G75" i="9" s="1"/>
  <c r="H63" i="9"/>
  <c r="G71" i="9"/>
  <c r="G53" i="9"/>
  <c r="G58" i="9" s="1"/>
  <c r="G54" i="9"/>
  <c r="I36" i="9" l="1"/>
  <c r="I41" i="9" s="1"/>
  <c r="H54" i="9"/>
  <c r="H53" i="9"/>
  <c r="H58" i="9" s="1"/>
  <c r="H71" i="9"/>
  <c r="H70" i="9"/>
  <c r="H75" i="9" s="1"/>
  <c r="I63" i="9"/>
  <c r="I23" i="9"/>
  <c r="I18" i="9"/>
  <c r="I17" i="9"/>
  <c r="I16" i="9"/>
  <c r="I15" i="9"/>
  <c r="I70" i="9" l="1"/>
  <c r="I75" i="9" s="1"/>
  <c r="I71" i="9"/>
  <c r="I53" i="9"/>
  <c r="I58" i="9" s="1"/>
  <c r="I54" i="9"/>
  <c r="D23" i="9"/>
  <c r="H23" i="9" l="1"/>
  <c r="G23" i="9"/>
  <c r="F23" i="9"/>
  <c r="E23" i="9"/>
  <c r="C23" i="9"/>
  <c r="H18" i="9" l="1"/>
  <c r="G18" i="9"/>
  <c r="F18" i="9"/>
  <c r="E18" i="9"/>
  <c r="D18" i="9"/>
  <c r="C18" i="9"/>
  <c r="H17" i="9"/>
  <c r="G17" i="9"/>
  <c r="F17" i="9"/>
  <c r="E17" i="9"/>
  <c r="D17" i="9"/>
  <c r="C17" i="9"/>
  <c r="H16" i="9"/>
  <c r="G16" i="9"/>
  <c r="F16" i="9"/>
  <c r="E16" i="9"/>
  <c r="D16" i="9"/>
  <c r="C16" i="9"/>
  <c r="H15" i="9"/>
  <c r="G15" i="9"/>
  <c r="F15" i="9"/>
  <c r="E15" i="9"/>
  <c r="D15" i="9"/>
  <c r="C15" i="9"/>
  <c r="I14" i="9"/>
  <c r="H14" i="9"/>
  <c r="G14" i="9"/>
  <c r="F14" i="9"/>
  <c r="E14" i="9"/>
  <c r="D14" i="9"/>
  <c r="C14" i="9"/>
  <c r="I13" i="9"/>
  <c r="H13" i="9"/>
  <c r="G13" i="9"/>
  <c r="F13" i="9"/>
  <c r="E13" i="9"/>
  <c r="D13" i="9"/>
  <c r="C19" i="9" l="1"/>
  <c r="C24" i="9" s="1"/>
  <c r="C5" i="9" l="1"/>
  <c r="C4" i="9"/>
  <c r="C3" i="9"/>
  <c r="C7" i="9" l="1"/>
  <c r="E7" i="9" s="1"/>
  <c r="E5" i="9"/>
  <c r="E4" i="9"/>
  <c r="I22" i="9"/>
  <c r="H22" i="9"/>
  <c r="G22" i="9"/>
  <c r="F22" i="9"/>
  <c r="E22" i="9"/>
  <c r="D22" i="9"/>
  <c r="C22" i="9"/>
  <c r="E3" i="9" l="1"/>
  <c r="C20" i="9"/>
  <c r="D12" i="9"/>
  <c r="D19" i="9" s="1"/>
  <c r="D24" i="9" s="1"/>
  <c r="E12" i="9" l="1"/>
  <c r="E19" i="9" s="1"/>
  <c r="E24" i="9" s="1"/>
  <c r="D20" i="9"/>
  <c r="E20" i="9" l="1"/>
  <c r="F12" i="9"/>
  <c r="F19" i="9" s="1"/>
  <c r="F24" i="9" s="1"/>
  <c r="F20" i="9" l="1"/>
  <c r="G12" i="9"/>
  <c r="G19" i="9" s="1"/>
  <c r="G24" i="9" s="1"/>
  <c r="H12" i="9" l="1"/>
  <c r="H19" i="9" s="1"/>
  <c r="H24" i="9" s="1"/>
  <c r="G20" i="9"/>
  <c r="I12" i="9" l="1"/>
  <c r="H20" i="9"/>
  <c r="I19" i="9" l="1"/>
  <c r="I24" i="9" s="1"/>
  <c r="I20" i="9"/>
</calcChain>
</file>

<file path=xl/sharedStrings.xml><?xml version="1.0" encoding="utf-8"?>
<sst xmlns="http://schemas.openxmlformats.org/spreadsheetml/2006/main" count="7058" uniqueCount="1712">
  <si>
    <t>ACM</t>
  </si>
  <si>
    <t>Supervisor</t>
  </si>
  <si>
    <t>Last Name</t>
  </si>
  <si>
    <t>First Name</t>
  </si>
  <si>
    <t>Sunday</t>
  </si>
  <si>
    <t>Monday</t>
  </si>
  <si>
    <t>Tuesday</t>
  </si>
  <si>
    <t>Wednesday</t>
  </si>
  <si>
    <t>Thrusday</t>
  </si>
  <si>
    <t>Friday</t>
  </si>
  <si>
    <t>Saturday</t>
  </si>
  <si>
    <t>Comments</t>
  </si>
  <si>
    <t>Type</t>
  </si>
  <si>
    <t>Sun Hrs.</t>
  </si>
  <si>
    <t>Mon Hrs.</t>
  </si>
  <si>
    <t>Tue Hrs.</t>
  </si>
  <si>
    <t>Wed Hrs.</t>
  </si>
  <si>
    <t>Thu Hrs.</t>
  </si>
  <si>
    <t>Fri Hrs.</t>
  </si>
  <si>
    <t>Sat Hrs.</t>
  </si>
  <si>
    <t>Scheduled Hrs.</t>
  </si>
  <si>
    <t>ACDID</t>
  </si>
  <si>
    <t>CCMSID</t>
  </si>
  <si>
    <t>LOB</t>
  </si>
  <si>
    <t>Secondary Skill</t>
  </si>
  <si>
    <t>NT Loguin</t>
  </si>
  <si>
    <t>Telephone Number</t>
  </si>
  <si>
    <t>DNI</t>
  </si>
  <si>
    <t>CUIL</t>
  </si>
  <si>
    <t>TPARG Hire Date</t>
  </si>
  <si>
    <t>Tenure</t>
  </si>
  <si>
    <t>Legajo</t>
  </si>
  <si>
    <t>CCM</t>
  </si>
  <si>
    <t>Attriton Date</t>
  </si>
  <si>
    <t>Agent´s Payroll Number</t>
  </si>
  <si>
    <t>Supervisor´s Payroll Numer</t>
  </si>
  <si>
    <t>ACM´s Payroll Number</t>
  </si>
  <si>
    <t>Production Hire Date</t>
  </si>
  <si>
    <t>Project Hire Date</t>
  </si>
  <si>
    <t>User #2</t>
  </si>
  <si>
    <t>OFF</t>
  </si>
  <si>
    <t>Legajo Telecom</t>
  </si>
  <si>
    <t>LOAs</t>
  </si>
  <si>
    <t>Site</t>
  </si>
  <si>
    <t>Lob</t>
  </si>
  <si>
    <t>Nomina</t>
  </si>
  <si>
    <t>Total</t>
  </si>
  <si>
    <t>LOA</t>
  </si>
  <si>
    <t>Study Day</t>
  </si>
  <si>
    <t>h</t>
  </si>
  <si>
    <t>%</t>
  </si>
  <si>
    <t>HC Total Inbound</t>
  </si>
  <si>
    <t>Approved OFF</t>
  </si>
  <si>
    <t>VAC</t>
  </si>
  <si>
    <t>SUS</t>
  </si>
  <si>
    <t>HC Bis</t>
  </si>
  <si>
    <t>HC Total Inbound Neto</t>
  </si>
  <si>
    <t>Hs, Total Inbound</t>
  </si>
  <si>
    <t>Shift Avg.</t>
  </si>
  <si>
    <t>08:00 - 17:00</t>
  </si>
  <si>
    <t>09:00 - 18:00</t>
  </si>
  <si>
    <t>Retención Móvil</t>
  </si>
  <si>
    <t>Front</t>
  </si>
  <si>
    <t>Retención Red Preferida</t>
  </si>
  <si>
    <t>Set Skill Programado</t>
  </si>
  <si>
    <t>Downselling</t>
  </si>
  <si>
    <t>User #1</t>
  </si>
  <si>
    <t>12:00 - 21:00</t>
  </si>
  <si>
    <t xml:space="preserve">Agentes </t>
  </si>
  <si>
    <t>Share</t>
  </si>
  <si>
    <t xml:space="preserve">Supervisores </t>
  </si>
  <si>
    <t>Ortiz Jose María</t>
  </si>
  <si>
    <t>Arias Juan José</t>
  </si>
  <si>
    <t>Brandan Ernesto Alejandro</t>
  </si>
  <si>
    <t>Campero Juarez Maria Guadalupe</t>
  </si>
  <si>
    <t>Corbera Susana Sofía</t>
  </si>
  <si>
    <t>Diaz Jesica Luciana</t>
  </si>
  <si>
    <t>Podazza Villagra Daniel Matias</t>
  </si>
  <si>
    <t>Esquivel Pavan Pamela Sol</t>
  </si>
  <si>
    <t>Décima Romina Soledad</t>
  </si>
  <si>
    <t>Grand Total</t>
  </si>
  <si>
    <t>Ortiz Jose María Total</t>
  </si>
  <si>
    <t>RATIO Prisma</t>
  </si>
  <si>
    <t>Gerez Andrea Soledad</t>
  </si>
  <si>
    <t>07:00 - 16:00</t>
  </si>
  <si>
    <t>Gregoratti Juan Carlos</t>
  </si>
  <si>
    <t>Vazquez Valladares Eduardo Alejandro</t>
  </si>
  <si>
    <t>Villa Aleman Alejandro Roberto</t>
  </si>
  <si>
    <t>Britos Fernando José</t>
  </si>
  <si>
    <t>07:30 - 16:30</t>
  </si>
  <si>
    <t>WAHA</t>
  </si>
  <si>
    <t>Grimaldi Agustina Sofía</t>
  </si>
  <si>
    <t>Ramallo Jose Emanuel</t>
  </si>
  <si>
    <t>WAHA desde</t>
  </si>
  <si>
    <t>Criado Esteban</t>
  </si>
  <si>
    <t>Palomino Juan Pablo</t>
  </si>
  <si>
    <t>11:00 - 20:00</t>
  </si>
  <si>
    <t>Perez Zitzke Agustina</t>
  </si>
  <si>
    <t>Pérez Zitzke Agustina</t>
  </si>
  <si>
    <t>Campero Juarez Maria Guadalupe Total</t>
  </si>
  <si>
    <t>Perez Zitzke Agustina Total</t>
  </si>
  <si>
    <t>Silva Gabriel Alberto</t>
  </si>
  <si>
    <t>Bachur Karim</t>
  </si>
  <si>
    <t>Mendoza Norma Mercedes</t>
  </si>
  <si>
    <t>Extensión</t>
  </si>
  <si>
    <t>Horario Original</t>
  </si>
  <si>
    <t xml:space="preserve"> Bautista Boloña</t>
  </si>
  <si>
    <t>Luciana Florencia</t>
  </si>
  <si>
    <t>15:00 - 20:00</t>
  </si>
  <si>
    <t>CSV2</t>
  </si>
  <si>
    <t>CSV1 / CSV2</t>
  </si>
  <si>
    <t>bautistabolona.5</t>
  </si>
  <si>
    <t xml:space="preserve">VCTLUBAU </t>
  </si>
  <si>
    <t>381-155811017</t>
  </si>
  <si>
    <t>Campus Casino</t>
  </si>
  <si>
    <t>SI</t>
  </si>
  <si>
    <t>Albornoz Perez</t>
  </si>
  <si>
    <t>Jose Ezequiel</t>
  </si>
  <si>
    <t>DVH</t>
  </si>
  <si>
    <t>CSV1</t>
  </si>
  <si>
    <t>albornozperez.5</t>
  </si>
  <si>
    <t>VCTJOALB</t>
  </si>
  <si>
    <t>03814655139</t>
  </si>
  <si>
    <t>20-39972625-6</t>
  </si>
  <si>
    <t>Brito</t>
  </si>
  <si>
    <t>Jesus Exequiel</t>
  </si>
  <si>
    <t>brito.272</t>
  </si>
  <si>
    <t>VCTJEBRI</t>
  </si>
  <si>
    <t>03865-15419891</t>
  </si>
  <si>
    <t>Carabajal</t>
  </si>
  <si>
    <t>Priscila Daiana</t>
  </si>
  <si>
    <t>15:00 - 21:00</t>
  </si>
  <si>
    <t>CSV3</t>
  </si>
  <si>
    <t>CSV2 / CSV3</t>
  </si>
  <si>
    <t xml:space="preserve">carabajal.35 </t>
  </si>
  <si>
    <t xml:space="preserve">VCTPRCAR </t>
  </si>
  <si>
    <t xml:space="preserve">381-153508762 </t>
  </si>
  <si>
    <t>Casares</t>
  </si>
  <si>
    <t>Diego Jesus</t>
  </si>
  <si>
    <t>VIP</t>
  </si>
  <si>
    <t>CSV2/HD / CSV3 / VIP</t>
  </si>
  <si>
    <t>casares.15 </t>
  </si>
  <si>
    <t>VCTDICAS</t>
  </si>
  <si>
    <t>0381-154629051</t>
  </si>
  <si>
    <t>Cisneros</t>
  </si>
  <si>
    <t>Roxana Natalia</t>
  </si>
  <si>
    <t>Servicios web</t>
  </si>
  <si>
    <t>cisneros.153</t>
  </si>
  <si>
    <t>VCTROCIS</t>
  </si>
  <si>
    <t>Corbera</t>
  </si>
  <si>
    <t>Elena Beatriz</t>
  </si>
  <si>
    <t>corbera.8</t>
  </si>
  <si>
    <t>VCTELCOR</t>
  </si>
  <si>
    <t>Diaz</t>
  </si>
  <si>
    <t>Fernando Gabriel</t>
  </si>
  <si>
    <t>diaz.1260</t>
  </si>
  <si>
    <t>VCTFEDIA</t>
  </si>
  <si>
    <t>0381-156713498</t>
  </si>
  <si>
    <t>On Site</t>
  </si>
  <si>
    <t>Escobar</t>
  </si>
  <si>
    <t>Marcos Nahuel</t>
  </si>
  <si>
    <t xml:space="preserve">escobar.21 </t>
  </si>
  <si>
    <t xml:space="preserve">VCTMAESC </t>
  </si>
  <si>
    <t>381-156538022</t>
  </si>
  <si>
    <t>Juarez</t>
  </si>
  <si>
    <t>Carlos Luciano</t>
  </si>
  <si>
    <t xml:space="preserve">Juarez.286 </t>
  </si>
  <si>
    <t xml:space="preserve">VCTCAJUA </t>
  </si>
  <si>
    <t>381-155399372</t>
  </si>
  <si>
    <t>Muratore</t>
  </si>
  <si>
    <t>Daiana Gabriela</t>
  </si>
  <si>
    <t>muratore.9</t>
  </si>
  <si>
    <t>VCTDAMUR</t>
  </si>
  <si>
    <t>0381-153499565</t>
  </si>
  <si>
    <t>Nunez</t>
  </si>
  <si>
    <t>Marcelo Nahuel</t>
  </si>
  <si>
    <t>CSV2/CSV3 / VIP</t>
  </si>
  <si>
    <t xml:space="preserve">nuez.128  </t>
  </si>
  <si>
    <t xml:space="preserve">VCTMANUN </t>
  </si>
  <si>
    <t>0381-156179830</t>
  </si>
  <si>
    <t>Ortiz</t>
  </si>
  <si>
    <t>Silvina Gabriela</t>
  </si>
  <si>
    <t>CSV2/ CSV3</t>
  </si>
  <si>
    <t>ortiz.710</t>
  </si>
  <si>
    <t>VCTSIORT</t>
  </si>
  <si>
    <t>0381-154061434</t>
  </si>
  <si>
    <t>Pockorny</t>
  </si>
  <si>
    <t>Tomás Agustín</t>
  </si>
  <si>
    <t>CSV2/CSV3/ HD</t>
  </si>
  <si>
    <t>pockorny.5</t>
  </si>
  <si>
    <t>VCTTOPOC</t>
  </si>
  <si>
    <t>0381-156539796</t>
  </si>
  <si>
    <t>Yapura</t>
  </si>
  <si>
    <t>Cintia Elena del Valle</t>
  </si>
  <si>
    <t>CSV2/HD / CSV3/ VIP</t>
  </si>
  <si>
    <t>yapura.5</t>
  </si>
  <si>
    <t>VCTCIYAP</t>
  </si>
  <si>
    <t>0381-155060573</t>
  </si>
  <si>
    <t>Alonso</t>
  </si>
  <si>
    <t>Facundo ismael</t>
  </si>
  <si>
    <t>alonso.155</t>
  </si>
  <si>
    <t xml:space="preserve">VCTFAALO  </t>
  </si>
  <si>
    <t>Alvarez Maziad</t>
  </si>
  <si>
    <t>Monica Carolina</t>
  </si>
  <si>
    <t>alvarezmaziad.5</t>
  </si>
  <si>
    <t>VCTMOALV</t>
  </si>
  <si>
    <t>0381-156802261</t>
  </si>
  <si>
    <t>Azubel</t>
  </si>
  <si>
    <t xml:space="preserve">Solange </t>
  </si>
  <si>
    <t>azubel.7</t>
  </si>
  <si>
    <t>VCTSOAZU</t>
  </si>
  <si>
    <t>Cantos</t>
  </si>
  <si>
    <t xml:space="preserve">Horacio Nicolas </t>
  </si>
  <si>
    <t>cantos.58</t>
  </si>
  <si>
    <t>VCTHOCAN</t>
  </si>
  <si>
    <t>Castillo</t>
  </si>
  <si>
    <t xml:space="preserve">Angel Alberto </t>
  </si>
  <si>
    <t>castillo.1268</t>
  </si>
  <si>
    <t>VCTANCAS</t>
  </si>
  <si>
    <t>Chavarria Bevacqua</t>
  </si>
  <si>
    <t>Silvana Carolina</t>
  </si>
  <si>
    <t>chavarriabevacqua.5</t>
  </si>
  <si>
    <t xml:space="preserve">VCTSICHA </t>
  </si>
  <si>
    <t>381-156956998</t>
  </si>
  <si>
    <t>27-35192091-8</t>
  </si>
  <si>
    <t>Del Pino</t>
  </si>
  <si>
    <t>Agustin Alejandro</t>
  </si>
  <si>
    <t>16:00 - 21:00</t>
  </si>
  <si>
    <t>delpino.12</t>
  </si>
  <si>
    <t xml:space="preserve">VCTAGDEL </t>
  </si>
  <si>
    <t>381-155438690</t>
  </si>
  <si>
    <t>Elias</t>
  </si>
  <si>
    <t>Mario Jorge</t>
  </si>
  <si>
    <t xml:space="preserve">elias.112 </t>
  </si>
  <si>
    <t xml:space="preserve">VCTMAELI </t>
  </si>
  <si>
    <t>381-156987176</t>
  </si>
  <si>
    <t xml:space="preserve">Garcia </t>
  </si>
  <si>
    <t>Guillermo Eduardo</t>
  </si>
  <si>
    <t>garcia.3872</t>
  </si>
  <si>
    <t>VCTGUGAR</t>
  </si>
  <si>
    <t>0381-156358727</t>
  </si>
  <si>
    <t>Gjugum</t>
  </si>
  <si>
    <t>Sofia Denise</t>
  </si>
  <si>
    <t>gjugum.7</t>
  </si>
  <si>
    <t>VCTSOGJU</t>
  </si>
  <si>
    <t>Laitán Landro</t>
  </si>
  <si>
    <t>Gimena María</t>
  </si>
  <si>
    <t>HD</t>
  </si>
  <si>
    <t>CSV2/CSV3/HD</t>
  </si>
  <si>
    <t>laitnlandro.5</t>
  </si>
  <si>
    <t>VCTGILAI</t>
  </si>
  <si>
    <t>0381-156311579</t>
  </si>
  <si>
    <t>Martinez Teseyra</t>
  </si>
  <si>
    <t>Mayra Belen</t>
  </si>
  <si>
    <t>martinezteseyra.5</t>
  </si>
  <si>
    <t>VCTBEMAR</t>
  </si>
  <si>
    <t>3876-15401588</t>
  </si>
  <si>
    <t>Medina</t>
  </si>
  <si>
    <t>Leyla Maria</t>
  </si>
  <si>
    <t>CSV2 / HD/ CSV3</t>
  </si>
  <si>
    <t>medina.894</t>
  </si>
  <si>
    <t>VCTLEMED</t>
  </si>
  <si>
    <t>Nasif</t>
  </si>
  <si>
    <t>Mara Belen</t>
  </si>
  <si>
    <t>nasif.8</t>
  </si>
  <si>
    <t>VCTMANAS</t>
  </si>
  <si>
    <t>NO</t>
  </si>
  <si>
    <t>Ricci</t>
  </si>
  <si>
    <t>Marcos Jose</t>
  </si>
  <si>
    <t xml:space="preserve">ricci.57 </t>
  </si>
  <si>
    <t xml:space="preserve">VCTMARIC </t>
  </si>
  <si>
    <t>0381-154498587</t>
  </si>
  <si>
    <t>Ruiz Barrionuevo</t>
  </si>
  <si>
    <t xml:space="preserve">Isabella Catalina </t>
  </si>
  <si>
    <t>ruizbarrionuevo.6</t>
  </si>
  <si>
    <t xml:space="preserve">VCTISRUI </t>
  </si>
  <si>
    <t>381-153676323</t>
  </si>
  <si>
    <t>Amicone</t>
  </si>
  <si>
    <t>Julieta</t>
  </si>
  <si>
    <t>amicone.9</t>
  </si>
  <si>
    <t>VCTJUAMI</t>
  </si>
  <si>
    <t>381 432 4959</t>
  </si>
  <si>
    <t>Arias</t>
  </si>
  <si>
    <t>Ivan Santiago</t>
  </si>
  <si>
    <t>arias.197</t>
  </si>
  <si>
    <t>VCTIVARI</t>
  </si>
  <si>
    <t>381 364 1513</t>
  </si>
  <si>
    <t>Bernard</t>
  </si>
  <si>
    <t>Mariano</t>
  </si>
  <si>
    <t>bernard.212</t>
  </si>
  <si>
    <t>VCTMABER</t>
  </si>
  <si>
    <t>Blacut</t>
  </si>
  <si>
    <t>Carolina Concepcion</t>
  </si>
  <si>
    <t>13:00 - 19:00</t>
  </si>
  <si>
    <t>blacut.5</t>
  </si>
  <si>
    <t>VCTCABLA</t>
  </si>
  <si>
    <t>Chico</t>
  </si>
  <si>
    <t>Jessica Liliana</t>
  </si>
  <si>
    <t>chico.47</t>
  </si>
  <si>
    <t>VCTJECHI</t>
  </si>
  <si>
    <t>4330399 / 155782351</t>
  </si>
  <si>
    <t>Ferraro</t>
  </si>
  <si>
    <t>David Franco Ramón</t>
  </si>
  <si>
    <t>ferraro.26</t>
  </si>
  <si>
    <t>VCTDAFER</t>
  </si>
  <si>
    <t>381 153907269</t>
  </si>
  <si>
    <t>Jandar</t>
  </si>
  <si>
    <t>Fabio Nicolás</t>
  </si>
  <si>
    <t>jandar.8</t>
  </si>
  <si>
    <t>VCTFAJAN</t>
  </si>
  <si>
    <t>0381-154180132</t>
  </si>
  <si>
    <t>Jerez</t>
  </si>
  <si>
    <t>María Celeste</t>
  </si>
  <si>
    <t>jerez.37</t>
  </si>
  <si>
    <t>VCTMAJER</t>
  </si>
  <si>
    <t>0381 155585231</t>
  </si>
  <si>
    <t>Juri</t>
  </si>
  <si>
    <t>Aida Del Valle</t>
  </si>
  <si>
    <t>juri.10</t>
  </si>
  <si>
    <t>VCTAIJUR</t>
  </si>
  <si>
    <t>381 388 7424</t>
  </si>
  <si>
    <t>Leal Martinez</t>
  </si>
  <si>
    <t>Matias Emanuel</t>
  </si>
  <si>
    <t>lealmartinez.11</t>
  </si>
  <si>
    <t>VCTMALEA</t>
  </si>
  <si>
    <t>038 115 4981045</t>
  </si>
  <si>
    <t>Mansilla</t>
  </si>
  <si>
    <t>Karen Nicole</t>
  </si>
  <si>
    <t>mansilla.45</t>
  </si>
  <si>
    <t xml:space="preserve">VCTKAMAN </t>
  </si>
  <si>
    <t>381-156047766</t>
  </si>
  <si>
    <t>Paz</t>
  </si>
  <si>
    <t>Enzo Javier</t>
  </si>
  <si>
    <t>paz.230</t>
  </si>
  <si>
    <t>VCTENPAZ</t>
  </si>
  <si>
    <t>381 345 9389</t>
  </si>
  <si>
    <t>Ruiz</t>
  </si>
  <si>
    <t>Daniel Antonio</t>
  </si>
  <si>
    <t>ruiz.835</t>
  </si>
  <si>
    <t>VCTDARUI</t>
  </si>
  <si>
    <t>381 663 9013</t>
  </si>
  <si>
    <t>Salinas</t>
  </si>
  <si>
    <t>Mariana Josefina</t>
  </si>
  <si>
    <t>15:00 - 19:00</t>
  </si>
  <si>
    <t>Habilitaciones</t>
  </si>
  <si>
    <t>salinas.358</t>
  </si>
  <si>
    <t>VCTMASAL</t>
  </si>
  <si>
    <t>Santucho</t>
  </si>
  <si>
    <t>María del Rosario</t>
  </si>
  <si>
    <t>LOA 08/06 - mm/dd (Hs Orig  15:00 - 19:00 OFF Dom Sab)</t>
  </si>
  <si>
    <t>CSV1; servicions WEB; Compras Referidas</t>
  </si>
  <si>
    <t>santucho.22</t>
  </si>
  <si>
    <t>VCTMASAN</t>
  </si>
  <si>
    <t>0381-153469922</t>
  </si>
  <si>
    <t>Villagra</t>
  </si>
  <si>
    <t xml:space="preserve">Daniela Alejandra </t>
  </si>
  <si>
    <t>villagra.43</t>
  </si>
  <si>
    <t>VCTDAVIL</t>
  </si>
  <si>
    <t>03816416605</t>
  </si>
  <si>
    <t>27-31038158-1</t>
  </si>
  <si>
    <t>Agüero</t>
  </si>
  <si>
    <t>Maria Micaela</t>
  </si>
  <si>
    <t>aguero.57</t>
  </si>
  <si>
    <t>VCTMAAGU</t>
  </si>
  <si>
    <t>N/A</t>
  </si>
  <si>
    <t xml:space="preserve">Alarcon </t>
  </si>
  <si>
    <t>Yanet Micaela</t>
  </si>
  <si>
    <t>CAPA CSV1 a CSV2 08/10 - 08/31 (activo 09/01)(Hs Orig  15:00 - 20:00 OFF Dom Sab)</t>
  </si>
  <si>
    <t>alarcon.133</t>
  </si>
  <si>
    <t>VCTYAALA</t>
  </si>
  <si>
    <t>03816664035</t>
  </si>
  <si>
    <t>27-41870420-4</t>
  </si>
  <si>
    <t>Blanco Brandan</t>
  </si>
  <si>
    <t>Bianca Abigail</t>
  </si>
  <si>
    <t>CAPA CSV1 a CSV2 08/10 - 08/31 (activo 09/01)(Hs Orig  15:00 - 21:00 OFF Dom Sab)</t>
  </si>
  <si>
    <t>Compras Referidas</t>
  </si>
  <si>
    <t xml:space="preserve">blancobrandan.5 </t>
  </si>
  <si>
    <t xml:space="preserve">VCTBIBLA </t>
  </si>
  <si>
    <t>0381-156088304</t>
  </si>
  <si>
    <t>Carrizo</t>
  </si>
  <si>
    <t>Ulises Joel</t>
  </si>
  <si>
    <t>carrizo.93</t>
  </si>
  <si>
    <t>VCTULCAR</t>
  </si>
  <si>
    <t>0381-155111621</t>
  </si>
  <si>
    <t>Carolina del Valle</t>
  </si>
  <si>
    <t xml:space="preserve">escobar.209 </t>
  </si>
  <si>
    <t xml:space="preserve">VCTCAESC </t>
  </si>
  <si>
    <t>381-153008243</t>
  </si>
  <si>
    <t>Garcia Jerez</t>
  </si>
  <si>
    <t xml:space="preserve">Matias Agustin </t>
  </si>
  <si>
    <t xml:space="preserve">garciajerez.6 </t>
  </si>
  <si>
    <t xml:space="preserve">VCTMATGA </t>
  </si>
  <si>
    <t>0381-155330620</t>
  </si>
  <si>
    <t>Lafuente</t>
  </si>
  <si>
    <t>Facundo Edel</t>
  </si>
  <si>
    <t>CAPA CSV1 a CSV2 08/10 - 08/31 (activo 09/01)(Hs Orig  16:00 - 21:00 OFF Dom Sab)</t>
  </si>
  <si>
    <t>lafuente.23</t>
  </si>
  <si>
    <t>VCTFALAF</t>
  </si>
  <si>
    <t>03814774519</t>
  </si>
  <si>
    <t>20-41425872-8</t>
  </si>
  <si>
    <t>Lescano</t>
  </si>
  <si>
    <t>Daiana Gissel</t>
  </si>
  <si>
    <t>lescano.51</t>
  </si>
  <si>
    <t xml:space="preserve">VCTGILES  </t>
  </si>
  <si>
    <t>Lizárraga</t>
  </si>
  <si>
    <t>Lucas Iván</t>
  </si>
  <si>
    <t>lizrrraga.5</t>
  </si>
  <si>
    <t>VCTLULIZ</t>
  </si>
  <si>
    <t>381 328 3185</t>
  </si>
  <si>
    <t>Ochoa</t>
  </si>
  <si>
    <t>Florencia Belen</t>
  </si>
  <si>
    <t>ochoa.141</t>
  </si>
  <si>
    <t>VCTFLOCH</t>
  </si>
  <si>
    <t>381-156743025</t>
  </si>
  <si>
    <t>Pachao Medina</t>
  </si>
  <si>
    <t>Juan Carlos</t>
  </si>
  <si>
    <t>pachaomedina.5</t>
  </si>
  <si>
    <t>VCTJUPAC</t>
  </si>
  <si>
    <t>Robles Marquez</t>
  </si>
  <si>
    <t>Emilse Nahir</t>
  </si>
  <si>
    <t>09:00 - 15:00</t>
  </si>
  <si>
    <t>roblesmarquez.8</t>
  </si>
  <si>
    <t>VCTEMROB</t>
  </si>
  <si>
    <t>381 571 6055</t>
  </si>
  <si>
    <t>Sanchez</t>
  </si>
  <si>
    <t>Juan Jorge Augusto</t>
  </si>
  <si>
    <t>sanchez.2281</t>
  </si>
  <si>
    <t>VCTJUSAN</t>
  </si>
  <si>
    <t>03814965135</t>
  </si>
  <si>
    <t>20-41345711-5</t>
  </si>
  <si>
    <t>Vitar</t>
  </si>
  <si>
    <t>Nuria Mariel</t>
  </si>
  <si>
    <t xml:space="preserve">vitar.5 </t>
  </si>
  <si>
    <t xml:space="preserve">VCTNUVIT </t>
  </si>
  <si>
    <t>381-154686954</t>
  </si>
  <si>
    <t>Benito Javier</t>
  </si>
  <si>
    <t>yapura.8</t>
  </si>
  <si>
    <t xml:space="preserve">VCTBEYAP </t>
  </si>
  <si>
    <t>381-156375615</t>
  </si>
  <si>
    <t>Acosta</t>
  </si>
  <si>
    <t xml:space="preserve">Ignacio Matias </t>
  </si>
  <si>
    <t>acosta.490</t>
  </si>
  <si>
    <t xml:space="preserve">VCTIGACO </t>
  </si>
  <si>
    <t>381-156464004</t>
  </si>
  <si>
    <t>Albarracin</t>
  </si>
  <si>
    <t xml:space="preserve">Heber Wilson </t>
  </si>
  <si>
    <t>albarracin.54</t>
  </si>
  <si>
    <t xml:space="preserve">VCTHEALB </t>
  </si>
  <si>
    <t>381-155569434</t>
  </si>
  <si>
    <t>Almaraz</t>
  </si>
  <si>
    <t>Julio Cesar</t>
  </si>
  <si>
    <t>almaraz.41</t>
  </si>
  <si>
    <t xml:space="preserve">VCTJUALM  </t>
  </si>
  <si>
    <t>Antenucci</t>
  </si>
  <si>
    <t>Aldana Belén</t>
  </si>
  <si>
    <t>TLMK</t>
  </si>
  <si>
    <t>antenucci.9</t>
  </si>
  <si>
    <t>VCTALANT</t>
  </si>
  <si>
    <t>03815198750</t>
  </si>
  <si>
    <t>27-40086091-8</t>
  </si>
  <si>
    <t>Burgos</t>
  </si>
  <si>
    <t>Damaris Nahir</t>
  </si>
  <si>
    <t>burgos.173</t>
  </si>
  <si>
    <t xml:space="preserve">VCTDABUR  </t>
  </si>
  <si>
    <t>Bustos</t>
  </si>
  <si>
    <t>Cecilia Leonor</t>
  </si>
  <si>
    <t>bustos.105</t>
  </si>
  <si>
    <t>VCTCEBUS</t>
  </si>
  <si>
    <t>381-156355347</t>
  </si>
  <si>
    <t>Ciccarelli</t>
  </si>
  <si>
    <t>Marycel Rocio</t>
  </si>
  <si>
    <t>ciccarelli.7</t>
  </si>
  <si>
    <t>VCTMACIC</t>
  </si>
  <si>
    <t>381-156028072</t>
  </si>
  <si>
    <t>27-39478154-7</t>
  </si>
  <si>
    <t>De la Rosa</t>
  </si>
  <si>
    <t>Solana</t>
  </si>
  <si>
    <t>delarosa.359</t>
  </si>
  <si>
    <t xml:space="preserve">VCTSOROS </t>
  </si>
  <si>
    <t>381-156144731</t>
  </si>
  <si>
    <t>Del Rio</t>
  </si>
  <si>
    <t>Virginia Natalia</t>
  </si>
  <si>
    <t>delrio.52</t>
  </si>
  <si>
    <t xml:space="preserve">VCTVIDEL  </t>
  </si>
  <si>
    <t>Galindez</t>
  </si>
  <si>
    <t>Yuliana Lilia Denis</t>
  </si>
  <si>
    <t>09:00 - 14:00</t>
  </si>
  <si>
    <t>Cambio de horario provisorio durante Waha a 09:00 - 14:00 (Hs Orig  15:00 - 20:00 OFF Dom Sab)</t>
  </si>
  <si>
    <t>galindez.28</t>
  </si>
  <si>
    <t xml:space="preserve">VCTYUGAL </t>
  </si>
  <si>
    <t>381-155979585</t>
  </si>
  <si>
    <t>Latina</t>
  </si>
  <si>
    <t>Walter Fabian</t>
  </si>
  <si>
    <t>latina.13</t>
  </si>
  <si>
    <t>VCTWALAT</t>
  </si>
  <si>
    <t>381-156634740</t>
  </si>
  <si>
    <t>Monteros</t>
  </si>
  <si>
    <t>Maximiliano Leopoldo</t>
  </si>
  <si>
    <t>monteros.33</t>
  </si>
  <si>
    <t>VCTMAMON</t>
  </si>
  <si>
    <t>Nieva del Rio</t>
  </si>
  <si>
    <t>Micaela Anabel</t>
  </si>
  <si>
    <t>nievadelrio.5</t>
  </si>
  <si>
    <t xml:space="preserve">VCTMINIE </t>
  </si>
  <si>
    <t>381-153913270</t>
  </si>
  <si>
    <t>Perez Aguirre</t>
  </si>
  <si>
    <t>Luis Alejandro</t>
  </si>
  <si>
    <t>perez.2580</t>
  </si>
  <si>
    <t>VCTLUPER</t>
  </si>
  <si>
    <t>20-32158208-8</t>
  </si>
  <si>
    <t>Roibon Mesias</t>
  </si>
  <si>
    <t>Tomas</t>
  </si>
  <si>
    <t>roibonmesias.5</t>
  </si>
  <si>
    <t>VCTMEROI</t>
  </si>
  <si>
    <t>381-156153365</t>
  </si>
  <si>
    <t>Romano</t>
  </si>
  <si>
    <t xml:space="preserve">Juan Pablo </t>
  </si>
  <si>
    <t>romano.218</t>
  </si>
  <si>
    <t>VCTJUROM</t>
  </si>
  <si>
    <t>20-32460235-7</t>
  </si>
  <si>
    <t>Romero</t>
  </si>
  <si>
    <t>Romina Ailen</t>
  </si>
  <si>
    <t>romero.901</t>
  </si>
  <si>
    <t xml:space="preserve">VCTROROM  </t>
  </si>
  <si>
    <t>Serrano</t>
  </si>
  <si>
    <t>Maria Catalina</t>
  </si>
  <si>
    <t>serrano.498</t>
  </si>
  <si>
    <t>VCTMASER</t>
  </si>
  <si>
    <t>381-155997096</t>
  </si>
  <si>
    <t>Argañaráz</t>
  </si>
  <si>
    <t>Luciano</t>
  </si>
  <si>
    <t>arganaraz.45</t>
  </si>
  <si>
    <t>VCTLUARG</t>
  </si>
  <si>
    <t>0381-156485869</t>
  </si>
  <si>
    <t>Daniela Beatriz</t>
  </si>
  <si>
    <t>CSV2/CSV3/ VIP</t>
  </si>
  <si>
    <t>arias.191</t>
  </si>
  <si>
    <t>VCTDAARI</t>
  </si>
  <si>
    <t>0381 -153011270</t>
  </si>
  <si>
    <t>Campos</t>
  </si>
  <si>
    <t>Rodrigo Federico</t>
  </si>
  <si>
    <t>campos.120</t>
  </si>
  <si>
    <t>VCTROCAM</t>
  </si>
  <si>
    <t>0381-153303102</t>
  </si>
  <si>
    <t>Delgado</t>
  </si>
  <si>
    <t>Jessica Elizabeth</t>
  </si>
  <si>
    <t xml:space="preserve">delgado.492 </t>
  </si>
  <si>
    <t xml:space="preserve">VCTJEDEL </t>
  </si>
  <si>
    <t>0381-155789939</t>
  </si>
  <si>
    <t>Fernandez</t>
  </si>
  <si>
    <t xml:space="preserve">Carolina del Valle </t>
  </si>
  <si>
    <t xml:space="preserve">fernandez.1680 </t>
  </si>
  <si>
    <t xml:space="preserve">VCTCAFER </t>
  </si>
  <si>
    <t>0381-155090139</t>
  </si>
  <si>
    <t>Galarce</t>
  </si>
  <si>
    <t>Diego Jose</t>
  </si>
  <si>
    <t>galarce.6</t>
  </si>
  <si>
    <t>VCTDIGAL</t>
  </si>
  <si>
    <t>0381 -156406308</t>
  </si>
  <si>
    <t>Guzman</t>
  </si>
  <si>
    <t>Nahuel Maximiliano</t>
  </si>
  <si>
    <t>Cambio de horario durante WAHA a 15:00 - 21:00  (Hs Orig  09:00 - 15:00 OFF Dom Sab)</t>
  </si>
  <si>
    <t xml:space="preserve">guzman.452 </t>
  </si>
  <si>
    <t xml:space="preserve">VCTNAGUZ </t>
  </si>
  <si>
    <t>0381-154347497</t>
  </si>
  <si>
    <t>Lopez</t>
  </si>
  <si>
    <t>Ana Valentina</t>
  </si>
  <si>
    <t xml:space="preserve">lpez.19 </t>
  </si>
  <si>
    <t xml:space="preserve">VCTANLOP </t>
  </si>
  <si>
    <t>381-156254830</t>
  </si>
  <si>
    <t xml:space="preserve">Loto </t>
  </si>
  <si>
    <t>Fernanda</t>
  </si>
  <si>
    <t>LOA mm/dd - mm/dd (Hs Orig  09:00 - 15:00 OFF Dom Sab)</t>
  </si>
  <si>
    <t>loto.10</t>
  </si>
  <si>
    <t>VCTFELOT</t>
  </si>
  <si>
    <t>0381-155533301</t>
  </si>
  <si>
    <t>Luna</t>
  </si>
  <si>
    <t>Maria De Los Angeles</t>
  </si>
  <si>
    <t>luna.326</t>
  </si>
  <si>
    <t>VCTMALUN</t>
  </si>
  <si>
    <t>0381-153025745</t>
  </si>
  <si>
    <t>Micaela Belen</t>
  </si>
  <si>
    <t>CSV2/ HD/ CSV3</t>
  </si>
  <si>
    <t>mansilla.38</t>
  </si>
  <si>
    <t>VCTMIMAN</t>
  </si>
  <si>
    <t>0381 -155403921</t>
  </si>
  <si>
    <t>Martinez</t>
  </si>
  <si>
    <t>Lorena Macarena</t>
  </si>
  <si>
    <t>CSV2/ CSV3  VIP</t>
  </si>
  <si>
    <t>martinez.2823</t>
  </si>
  <si>
    <t>VCTMAMAR</t>
  </si>
  <si>
    <t>0381-153533229</t>
  </si>
  <si>
    <t>Morales</t>
  </si>
  <si>
    <t>Lucas Santiago</t>
  </si>
  <si>
    <t>morales.739</t>
  </si>
  <si>
    <t>VCTLUMOR</t>
  </si>
  <si>
    <t>0381-154762606</t>
  </si>
  <si>
    <t>Nuñez</t>
  </si>
  <si>
    <t>Roxana Marcela</t>
  </si>
  <si>
    <t>CAPA CSV1 a CSV2 08/10 - 08/31 (activo 09/01)(Hs Orig  09:00 - 15:00 OFF Dom Sab)</t>
  </si>
  <si>
    <t>nunez.36</t>
  </si>
  <si>
    <t>VCTRONUN</t>
  </si>
  <si>
    <t>0381-155710981</t>
  </si>
  <si>
    <t>Palavecino</t>
  </si>
  <si>
    <t>Marta Erika del Valle</t>
  </si>
  <si>
    <t>palavecino.17</t>
  </si>
  <si>
    <t>VCTMAPAL</t>
  </si>
  <si>
    <t>0381 - 155089689</t>
  </si>
  <si>
    <t>Rivadeneira</t>
  </si>
  <si>
    <t>Maira Belén</t>
  </si>
  <si>
    <t>LOA mm/dd - mm/dd</t>
  </si>
  <si>
    <t>rivadeneira.25</t>
  </si>
  <si>
    <t>VCTMARIV</t>
  </si>
  <si>
    <t>0381-155974525</t>
  </si>
  <si>
    <t>Rodriguez Ciccio</t>
  </si>
  <si>
    <t>Nicolas Exequiel</t>
  </si>
  <si>
    <t xml:space="preserve">rodriguezciccio.5 </t>
  </si>
  <si>
    <t xml:space="preserve">VCTNIROD </t>
  </si>
  <si>
    <t>381-156632446</t>
  </si>
  <si>
    <t>Salas</t>
  </si>
  <si>
    <t>Melina del Carmen</t>
  </si>
  <si>
    <t>Salas.258</t>
  </si>
  <si>
    <t xml:space="preserve">VCTMESAL </t>
  </si>
  <si>
    <t>381-155940438</t>
  </si>
  <si>
    <t>Ramon Eduardo</t>
  </si>
  <si>
    <t>santucho.19</t>
  </si>
  <si>
    <t>VCTRASAN</t>
  </si>
  <si>
    <t>0381 -156858989</t>
  </si>
  <si>
    <t>Vargas</t>
  </si>
  <si>
    <t>Ivan Xavier</t>
  </si>
  <si>
    <t>Vargas.622</t>
  </si>
  <si>
    <t xml:space="preserve">VCTIVVAR </t>
  </si>
  <si>
    <t>0381-153906006</t>
  </si>
  <si>
    <t>Alcaraz</t>
  </si>
  <si>
    <t>Maria Gabriela</t>
  </si>
  <si>
    <t>alcaraz.92</t>
  </si>
  <si>
    <t xml:space="preserve">VCTMAALC  </t>
  </si>
  <si>
    <t>Almada</t>
  </si>
  <si>
    <t>Nancy Alejandra</t>
  </si>
  <si>
    <t>10:00 - 15:00</t>
  </si>
  <si>
    <t>almada.19</t>
  </si>
  <si>
    <t xml:space="preserve">VCTNAALM </t>
  </si>
  <si>
    <t>03813016250</t>
  </si>
  <si>
    <t>27-32459324-7</t>
  </si>
  <si>
    <t>Angulo</t>
  </si>
  <si>
    <t>Luciano Nicolas</t>
  </si>
  <si>
    <t xml:space="preserve">angulo.38 </t>
  </si>
  <si>
    <t>VCTLUANG</t>
  </si>
  <si>
    <t>0381-154679160</t>
  </si>
  <si>
    <t>20-37502888-4</t>
  </si>
  <si>
    <t>Alvaro Rodrigo</t>
  </si>
  <si>
    <t>arias.266</t>
  </si>
  <si>
    <t xml:space="preserve">VCTALARI  </t>
  </si>
  <si>
    <t>Boffa</t>
  </si>
  <si>
    <t>Maria de Los Angeles</t>
  </si>
  <si>
    <t>boffa.6</t>
  </si>
  <si>
    <t>VCTMABOF</t>
  </si>
  <si>
    <t>0381 -153463744</t>
  </si>
  <si>
    <t>Cerdeira</t>
  </si>
  <si>
    <t>Rosana Valeria</t>
  </si>
  <si>
    <t>cerdeira.5</t>
  </si>
  <si>
    <t>Cortes Jozami</t>
  </si>
  <si>
    <t>Ana Sofia</t>
  </si>
  <si>
    <t>cortes.329</t>
  </si>
  <si>
    <t xml:space="preserve">VCTANJOZ  </t>
  </si>
  <si>
    <t>Maria Celeste</t>
  </si>
  <si>
    <t>delgado.581</t>
  </si>
  <si>
    <t xml:space="preserve">VCTMADEL  </t>
  </si>
  <si>
    <t>Dilodovico</t>
  </si>
  <si>
    <t>Maria Florencia</t>
  </si>
  <si>
    <t>Dilodovico,5</t>
  </si>
  <si>
    <t>0381-156981607</t>
  </si>
  <si>
    <t>Infante Marcello</t>
  </si>
  <si>
    <t>Christian Sebastian</t>
  </si>
  <si>
    <t>DVH / Compras Referidas/ Servicios Web</t>
  </si>
  <si>
    <t>Infantemarcello.6</t>
  </si>
  <si>
    <t>VCTCHINF</t>
  </si>
  <si>
    <t>0381-155124517</t>
  </si>
  <si>
    <t>Jorge</t>
  </si>
  <si>
    <t>German Omar</t>
  </si>
  <si>
    <t xml:space="preserve">jorge.100 </t>
  </si>
  <si>
    <t xml:space="preserve">VCTGEJOR </t>
  </si>
  <si>
    <t>381-155235919</t>
  </si>
  <si>
    <t>Patricia Isabel</t>
  </si>
  <si>
    <t>juarez.206</t>
  </si>
  <si>
    <t>VCTPAJUA</t>
  </si>
  <si>
    <t>Merlo</t>
  </si>
  <si>
    <t>Rocio Agustina</t>
  </si>
  <si>
    <t>merlo.17</t>
  </si>
  <si>
    <t>VCTROMER</t>
  </si>
  <si>
    <t>03814432147/ 03816301594</t>
  </si>
  <si>
    <t>27-41950682-1</t>
  </si>
  <si>
    <t>Moreira</t>
  </si>
  <si>
    <t>Fernando Ezequiel</t>
  </si>
  <si>
    <t>moreira.521</t>
  </si>
  <si>
    <t xml:space="preserve">VCTFEMOR  </t>
  </si>
  <si>
    <t>Rodriguez</t>
  </si>
  <si>
    <t xml:space="preserve">Maria Florencia </t>
  </si>
  <si>
    <t>Rodriguez.3446</t>
  </si>
  <si>
    <t xml:space="preserve">VCTMAROD </t>
  </si>
  <si>
    <t>0381-155178960</t>
  </si>
  <si>
    <t>Vidal</t>
  </si>
  <si>
    <t>Maria Elisa</t>
  </si>
  <si>
    <t>vidal.239</t>
  </si>
  <si>
    <t xml:space="preserve">VCTMAVID  </t>
  </si>
  <si>
    <t>Vizcarra</t>
  </si>
  <si>
    <t>Ayelén Magalí del Valle</t>
  </si>
  <si>
    <t>vizcarra.70</t>
  </si>
  <si>
    <t>VCTAYVIZ</t>
  </si>
  <si>
    <t>03814751743</t>
  </si>
  <si>
    <t>27-40089513-4</t>
  </si>
  <si>
    <t>Barros</t>
  </si>
  <si>
    <t>CSV2 / CSV3 / HD</t>
  </si>
  <si>
    <t>barros.296</t>
  </si>
  <si>
    <t>VCTJUBAR</t>
  </si>
  <si>
    <t>0381-155278437</t>
  </si>
  <si>
    <t>Bulacio Pereyra</t>
  </si>
  <si>
    <t>Leandro Emiliano</t>
  </si>
  <si>
    <t xml:space="preserve">bulaciopereyra.5 </t>
  </si>
  <si>
    <t>VCTLEBUL</t>
  </si>
  <si>
    <t>387-154037371</t>
  </si>
  <si>
    <t>Maria Belen</t>
  </si>
  <si>
    <t>campos.467</t>
  </si>
  <si>
    <t>VCTMACAM</t>
  </si>
  <si>
    <t>+54 381 429 8982</t>
  </si>
  <si>
    <t>Daiana Melina</t>
  </si>
  <si>
    <t>DVH / Compras Referidas / Servicios web / Formularios de contacto Débito/TLMK</t>
  </si>
  <si>
    <t xml:space="preserve">delgado.491 </t>
  </si>
  <si>
    <t xml:space="preserve">VCTDADEL </t>
  </si>
  <si>
    <t>0381-156938777</t>
  </si>
  <si>
    <t xml:space="preserve">Felipe </t>
  </si>
  <si>
    <t>Erika Tamara</t>
  </si>
  <si>
    <t>felipe.89</t>
  </si>
  <si>
    <t>VCTERFEL</t>
  </si>
  <si>
    <t>0381-156547468</t>
  </si>
  <si>
    <t xml:space="preserve">Isa Massa </t>
  </si>
  <si>
    <t>Leila Gabriela</t>
  </si>
  <si>
    <t>isamassa.5</t>
  </si>
  <si>
    <t>VCTLEISA</t>
  </si>
  <si>
    <t>0381-154192983</t>
  </si>
  <si>
    <t>Jeréz</t>
  </si>
  <si>
    <t>Eliana Del Milagro</t>
  </si>
  <si>
    <t>jerez.14</t>
  </si>
  <si>
    <t>VCTELJER</t>
  </si>
  <si>
    <t>0381-154067498</t>
  </si>
  <si>
    <t>Ruth Micaela</t>
  </si>
  <si>
    <t xml:space="preserve">lopez.2492 </t>
  </si>
  <si>
    <t xml:space="preserve">VCTRULOP </t>
  </si>
  <si>
    <t>0381-153514301</t>
  </si>
  <si>
    <t>Veronica Alejandra</t>
  </si>
  <si>
    <t xml:space="preserve">luna.535 </t>
  </si>
  <si>
    <t xml:space="preserve">VCTVELUN </t>
  </si>
  <si>
    <t>381-155633166</t>
  </si>
  <si>
    <t>Malinar</t>
  </si>
  <si>
    <t>Lorena</t>
  </si>
  <si>
    <t>malinar.5</t>
  </si>
  <si>
    <t>VCTLOMAL</t>
  </si>
  <si>
    <t>0381-154160828</t>
  </si>
  <si>
    <t xml:space="preserve">Molina </t>
  </si>
  <si>
    <t>María Jimena</t>
  </si>
  <si>
    <t>molina.244</t>
  </si>
  <si>
    <t>VCTMAMOL</t>
  </si>
  <si>
    <t>0381-155198663</t>
  </si>
  <si>
    <t>Morales Casen</t>
  </si>
  <si>
    <t>Zaida Yamile</t>
  </si>
  <si>
    <t xml:space="preserve">moralescasen.5 </t>
  </si>
  <si>
    <t xml:space="preserve">VCTZAMOR </t>
  </si>
  <si>
    <t>0381-156645832</t>
  </si>
  <si>
    <t>Pacheco</t>
  </si>
  <si>
    <t>Milagro Belen</t>
  </si>
  <si>
    <t>pacheco.259</t>
  </si>
  <si>
    <t>VCTBEPAC</t>
  </si>
  <si>
    <t>0381-156870493 / 0381-156870493</t>
  </si>
  <si>
    <t>Pavón</t>
  </si>
  <si>
    <t>Marcos Fidel</t>
  </si>
  <si>
    <t>pavn.6</t>
  </si>
  <si>
    <t>VCTMAPAV</t>
  </si>
  <si>
    <t>0381 -156365778</t>
  </si>
  <si>
    <t>Ponce</t>
  </si>
  <si>
    <t>Lucia Emilia</t>
  </si>
  <si>
    <t xml:space="preserve">ponce.308 </t>
  </si>
  <si>
    <t xml:space="preserve">VCTLUPON </t>
  </si>
  <si>
    <t>381-153311458</t>
  </si>
  <si>
    <t xml:space="preserve">Reyna </t>
  </si>
  <si>
    <t>Edith Macarena</t>
  </si>
  <si>
    <t>reyna.146</t>
  </si>
  <si>
    <t>VCTEDREY</t>
  </si>
  <si>
    <t>0381-155907511</t>
  </si>
  <si>
    <t>Serra</t>
  </si>
  <si>
    <t xml:space="preserve">Tamara </t>
  </si>
  <si>
    <t>Serra.75</t>
  </si>
  <si>
    <t>VCTTASER</t>
  </si>
  <si>
    <t>0381-154772633</t>
  </si>
  <si>
    <t>Silva</t>
  </si>
  <si>
    <t>Franco Gabriel</t>
  </si>
  <si>
    <t xml:space="preserve">silva.13039 </t>
  </si>
  <si>
    <t xml:space="preserve">VCTFRSIL </t>
  </si>
  <si>
    <t>03865-15264084</t>
  </si>
  <si>
    <t>Suarez</t>
  </si>
  <si>
    <t>suarez.249</t>
  </si>
  <si>
    <t>VCTMASUA</t>
  </si>
  <si>
    <t>0381 -155191372</t>
  </si>
  <si>
    <t>Valverde</t>
  </si>
  <si>
    <t>Lourdes Oriana</t>
  </si>
  <si>
    <t xml:space="preserve">valverde.30 </t>
  </si>
  <si>
    <t xml:space="preserve">VCTLOVAL </t>
  </si>
  <si>
    <t>381-154748771</t>
  </si>
  <si>
    <t>Joaquin Nicolas</t>
  </si>
  <si>
    <t>acosta.529</t>
  </si>
  <si>
    <t xml:space="preserve">VCTJOACO  </t>
  </si>
  <si>
    <t>Alderete</t>
  </si>
  <si>
    <t>Mayra Luciana</t>
  </si>
  <si>
    <t>VCTLUALD</t>
  </si>
  <si>
    <t>27-33374870-9</t>
  </si>
  <si>
    <t>Barrionuevo</t>
  </si>
  <si>
    <t>Natalia Elizabeth</t>
  </si>
  <si>
    <t xml:space="preserve">barrionuevo.75 </t>
  </si>
  <si>
    <t>VCTNABAR</t>
  </si>
  <si>
    <t>381-155893430</t>
  </si>
  <si>
    <t>Barros Fernandez</t>
  </si>
  <si>
    <t>Maria Luciana</t>
  </si>
  <si>
    <t>barrosfernandez.5</t>
  </si>
  <si>
    <t xml:space="preserve">VCTMABAR  </t>
  </si>
  <si>
    <t>Bonadelli</t>
  </si>
  <si>
    <t>Angel Fabian</t>
  </si>
  <si>
    <t>bonadeli.5</t>
  </si>
  <si>
    <t>VCTANBON</t>
  </si>
  <si>
    <t>0386 -153501845</t>
  </si>
  <si>
    <t>20-29088429-3</t>
  </si>
  <si>
    <t>Correa</t>
  </si>
  <si>
    <t>David Maximiliano</t>
  </si>
  <si>
    <t>Correa.309</t>
  </si>
  <si>
    <t>VCTDACOR</t>
  </si>
  <si>
    <t>0381-155618109</t>
  </si>
  <si>
    <t>Guevara</t>
  </si>
  <si>
    <t>Carlos Augusto</t>
  </si>
  <si>
    <t xml:space="preserve">guevara.168 </t>
  </si>
  <si>
    <t xml:space="preserve">VCTCAGUE </t>
  </si>
  <si>
    <t>0381-154638420</t>
  </si>
  <si>
    <t xml:space="preserve">Rodrigo Facundo </t>
  </si>
  <si>
    <t>VCTFAJER</t>
  </si>
  <si>
    <t>20-39356693-1</t>
  </si>
  <si>
    <t>Lazarte</t>
  </si>
  <si>
    <t>Carlos Enrique</t>
  </si>
  <si>
    <t>lazarte.85</t>
  </si>
  <si>
    <t>VCTCALAZ</t>
  </si>
  <si>
    <t>0381-155764472</t>
  </si>
  <si>
    <t>Franco Daniel</t>
  </si>
  <si>
    <t>DVH – Compras referidas – Habilitaciones – Servicio Web – Clave PIN</t>
  </si>
  <si>
    <t>lopez.2770</t>
  </si>
  <si>
    <t>VCTFRLOP</t>
  </si>
  <si>
    <t>Mendez</t>
  </si>
  <si>
    <t>Maria Laura</t>
  </si>
  <si>
    <t>VCTMAMEN</t>
  </si>
  <si>
    <t>27-36668244-4</t>
  </si>
  <si>
    <t>Moreno</t>
  </si>
  <si>
    <t>Fatima Rocio Belen</t>
  </si>
  <si>
    <t>VCTFAMOR</t>
  </si>
  <si>
    <t>27-41300232-5</t>
  </si>
  <si>
    <t>Navarro</t>
  </si>
  <si>
    <t xml:space="preserve">Luciano Gustavo </t>
  </si>
  <si>
    <t xml:space="preserve">navarro.744 </t>
  </si>
  <si>
    <t xml:space="preserve">VCTLUNAV </t>
  </si>
  <si>
    <t>0381-154722968</t>
  </si>
  <si>
    <t>20-39481760-1</t>
  </si>
  <si>
    <t>Perez</t>
  </si>
  <si>
    <t>Maria Jose</t>
  </si>
  <si>
    <t>VCTMAPER</t>
  </si>
  <si>
    <t>23-41983179-4</t>
  </si>
  <si>
    <t>Reinoso Cisnero</t>
  </si>
  <si>
    <t>Gaspar</t>
  </si>
  <si>
    <t xml:space="preserve">reinosocisnero.5 </t>
  </si>
  <si>
    <t xml:space="preserve">VCTGAREI </t>
  </si>
  <si>
    <t>03838-155400615</t>
  </si>
  <si>
    <t>Alejandra Isabel</t>
  </si>
  <si>
    <t>rodriguez.3867</t>
  </si>
  <si>
    <t>VCTALROD</t>
  </si>
  <si>
    <t>381-153301915</t>
  </si>
  <si>
    <t>Rossi</t>
  </si>
  <si>
    <t>Griselda Analia</t>
  </si>
  <si>
    <t>rossi.84</t>
  </si>
  <si>
    <t>VCTGRROS</t>
  </si>
  <si>
    <t>+54 038 150 95653</t>
  </si>
  <si>
    <t>Rotondo</t>
  </si>
  <si>
    <t>Eliana Romina</t>
  </si>
  <si>
    <t>rotondo.6</t>
  </si>
  <si>
    <t>VCTELROT</t>
  </si>
  <si>
    <t>0381 -155772644</t>
  </si>
  <si>
    <t>Soria</t>
  </si>
  <si>
    <t>Agustín Said</t>
  </si>
  <si>
    <t xml:space="preserve">soria.181 </t>
  </si>
  <si>
    <t xml:space="preserve">VCTAGSOR </t>
  </si>
  <si>
    <t>3813158987 / 3814167314</t>
  </si>
  <si>
    <t>20-41184272-0</t>
  </si>
  <si>
    <t>Torres Mariotti</t>
  </si>
  <si>
    <t>Rocio Alejandra</t>
  </si>
  <si>
    <t>torresmariotti.6</t>
  </si>
  <si>
    <t>VCTROTOR</t>
  </si>
  <si>
    <t>Paula</t>
  </si>
  <si>
    <t>carabajal.37</t>
  </si>
  <si>
    <t>VCTPACAR</t>
  </si>
  <si>
    <t>03815019439</t>
  </si>
  <si>
    <t>27-41238849-1</t>
  </si>
  <si>
    <t>Concha</t>
  </si>
  <si>
    <t>Maria de las Mercedes</t>
  </si>
  <si>
    <t>concha.56</t>
  </si>
  <si>
    <t>VCTMACON</t>
  </si>
  <si>
    <t>03813507269</t>
  </si>
  <si>
    <t>27-37499087-5</t>
  </si>
  <si>
    <t>Ana Florencia</t>
  </si>
  <si>
    <t>corbera.6</t>
  </si>
  <si>
    <t>VCTANCOR</t>
  </si>
  <si>
    <t>+54 381 519 4888</t>
  </si>
  <si>
    <t>Décima</t>
  </si>
  <si>
    <t>Alejo Nicolas</t>
  </si>
  <si>
    <t>decima.22</t>
  </si>
  <si>
    <t>VCTALDEC</t>
  </si>
  <si>
    <t>Del Valle</t>
  </si>
  <si>
    <t>Silvina</t>
  </si>
  <si>
    <t>delvalle.77</t>
  </si>
  <si>
    <t xml:space="preserve">VCTSIDEL  </t>
  </si>
  <si>
    <t>Gonzalez</t>
  </si>
  <si>
    <t>Sofia Anahi</t>
  </si>
  <si>
    <t>gonzalez.2548</t>
  </si>
  <si>
    <t xml:space="preserve">VCTSOGON  </t>
  </si>
  <si>
    <t xml:space="preserve">Lopez </t>
  </si>
  <si>
    <t xml:space="preserve">Rosa Mariana </t>
  </si>
  <si>
    <t>lopez.2211</t>
  </si>
  <si>
    <t>VCTROLOP</t>
  </si>
  <si>
    <t>0381-154433893</t>
  </si>
  <si>
    <t>Lugones Agüero</t>
  </si>
  <si>
    <t>Alejo Ezequiel</t>
  </si>
  <si>
    <t>lugonesaguero.5</t>
  </si>
  <si>
    <t>VCTALLUG</t>
  </si>
  <si>
    <t>03814652349</t>
  </si>
  <si>
    <t>20-34603002-0</t>
  </si>
  <si>
    <t>Marín</t>
  </si>
  <si>
    <t>Melisa Betsabé</t>
  </si>
  <si>
    <t>marin.260</t>
  </si>
  <si>
    <t xml:space="preserve">VCTMEMAR  </t>
  </si>
  <si>
    <t>Damaris</t>
  </si>
  <si>
    <t xml:space="preserve">moreno.758 </t>
  </si>
  <si>
    <t xml:space="preserve">VCTDAMOR </t>
  </si>
  <si>
    <t>0381-1561669012</t>
  </si>
  <si>
    <t>Ocaranza</t>
  </si>
  <si>
    <t xml:space="preserve">Jonathan Franco </t>
  </si>
  <si>
    <t>CAPA CSV1 a CSV2 08/10 - 08/31 (activo 09/01)(Hs Orig  10:00 - 15:00 OFF Dom Sab)</t>
  </si>
  <si>
    <t>ocaranza.12</t>
  </si>
  <si>
    <t>VCTJOOCA</t>
  </si>
  <si>
    <t>381-155218355</t>
  </si>
  <si>
    <t>sanchez.2280</t>
  </si>
  <si>
    <t>03813608549</t>
  </si>
  <si>
    <t>27-43202751-7</t>
  </si>
  <si>
    <t>Alicia Veronica</t>
  </si>
  <si>
    <t>suarez.131</t>
  </si>
  <si>
    <t>VCTALSUA</t>
  </si>
  <si>
    <t>0381-156574458</t>
  </si>
  <si>
    <t>Suarez Yapura</t>
  </si>
  <si>
    <t>Agostina</t>
  </si>
  <si>
    <t>suarezyapura.5</t>
  </si>
  <si>
    <t xml:space="preserve">VCTAGSUA  </t>
  </si>
  <si>
    <t>Tula</t>
  </si>
  <si>
    <t>Luciana Belen</t>
  </si>
  <si>
    <t>tula.20</t>
  </si>
  <si>
    <t xml:space="preserve">VCTLUTUL  </t>
  </si>
  <si>
    <t>Visuara</t>
  </si>
  <si>
    <t>Alberto Nicolas Emanuel</t>
  </si>
  <si>
    <t>visuara.9</t>
  </si>
  <si>
    <t>VCTALVIS</t>
  </si>
  <si>
    <t>0381-153378537</t>
  </si>
  <si>
    <t>Vizgarra</t>
  </si>
  <si>
    <t>Valentina Ercilia</t>
  </si>
  <si>
    <t>vizgarra.9</t>
  </si>
  <si>
    <t xml:space="preserve">VCTVAVIZ  </t>
  </si>
  <si>
    <t>Zerrizuela</t>
  </si>
  <si>
    <t>Mariana Agostina</t>
  </si>
  <si>
    <t>zerrizuela.6</t>
  </si>
  <si>
    <t>VCTMAZER</t>
  </si>
  <si>
    <t>0386-515350029</t>
  </si>
  <si>
    <t>Zottoli</t>
  </si>
  <si>
    <t>Gonzalo</t>
  </si>
  <si>
    <t>zottoli.6</t>
  </si>
  <si>
    <t xml:space="preserve">VCTGOZOT  </t>
  </si>
  <si>
    <t>Leonela María del Valle</t>
  </si>
  <si>
    <t>almaraz.36</t>
  </si>
  <si>
    <t>VCTMAALM</t>
  </si>
  <si>
    <t>0381-153472631</t>
  </si>
  <si>
    <t>Martinez Lorenzo</t>
  </si>
  <si>
    <t>Nayla Ayelen</t>
  </si>
  <si>
    <t>martinezlorenzo.7</t>
  </si>
  <si>
    <t>VCTNAMAR</t>
  </si>
  <si>
    <t>0381-156485842</t>
  </si>
  <si>
    <t>Emeterio Toscano</t>
  </si>
  <si>
    <t>Anabela</t>
  </si>
  <si>
    <t xml:space="preserve">emeteriotoscano.6 </t>
  </si>
  <si>
    <t xml:space="preserve">VCTANEME </t>
  </si>
  <si>
    <t>0381-154197485</t>
  </si>
  <si>
    <t>Cristian Daniel Antonio</t>
  </si>
  <si>
    <t>gonzalez.2059</t>
  </si>
  <si>
    <t>VCTCRGON</t>
  </si>
  <si>
    <t>+54 381 670 8290</t>
  </si>
  <si>
    <t>Orellana</t>
  </si>
  <si>
    <t>Maria Cecilia</t>
  </si>
  <si>
    <t>381-153330386</t>
  </si>
  <si>
    <t>Rojas</t>
  </si>
  <si>
    <t>rojas.103</t>
  </si>
  <si>
    <t>VCTBEROJ</t>
  </si>
  <si>
    <t>Teves</t>
  </si>
  <si>
    <t>Emiliano Gabriel</t>
  </si>
  <si>
    <t>teves.16</t>
  </si>
  <si>
    <t>VCTEMTEV</t>
  </si>
  <si>
    <t>0381-156675000</t>
  </si>
  <si>
    <t>Ale</t>
  </si>
  <si>
    <t xml:space="preserve"> Rocío Agustina</t>
  </si>
  <si>
    <t>ale.32</t>
  </si>
  <si>
    <t>VCTROALE</t>
  </si>
  <si>
    <t>381 620 2108</t>
  </si>
  <si>
    <t>Aragón</t>
  </si>
  <si>
    <t>LOA mm/dd - mm/dd (Hs Orig  15:00 - 21:00 OFF Dom Sab)</t>
  </si>
  <si>
    <t>aragon.180</t>
  </si>
  <si>
    <t>VCTMAARA</t>
  </si>
  <si>
    <t>381 550 4635</t>
  </si>
  <si>
    <t>Cejas</t>
  </si>
  <si>
    <t>Ignacio Martin</t>
  </si>
  <si>
    <t>cejasguijarro.5</t>
  </si>
  <si>
    <t>VCTIGCEJ</t>
  </si>
  <si>
    <t>381-154049900</t>
  </si>
  <si>
    <t>Quiroga</t>
  </si>
  <si>
    <t xml:space="preserve"> Marianella Stefania</t>
  </si>
  <si>
    <t>quiroga.96</t>
  </si>
  <si>
    <t>VCTMAQUI</t>
  </si>
  <si>
    <t>381 614 5326</t>
  </si>
  <si>
    <t>Pomo</t>
  </si>
  <si>
    <t xml:space="preserve"> Daniel Nicolas</t>
  </si>
  <si>
    <t>pomo.7</t>
  </si>
  <si>
    <t>VCTDAPOM</t>
  </si>
  <si>
    <t>387 619 4290</t>
  </si>
  <si>
    <t>Soto</t>
  </si>
  <si>
    <t>Fatima Belen</t>
  </si>
  <si>
    <t>soto.324</t>
  </si>
  <si>
    <t>VCTFASOT</t>
  </si>
  <si>
    <t>27-40697438-9</t>
  </si>
  <si>
    <t>Formoselle</t>
  </si>
  <si>
    <t>Ivana Veronica</t>
  </si>
  <si>
    <t>fermoselle.5</t>
  </si>
  <si>
    <t>VCTIVFOR</t>
  </si>
  <si>
    <t>381 545 7234</t>
  </si>
  <si>
    <t>Giolito</t>
  </si>
  <si>
    <t>Maira Elizabeth</t>
  </si>
  <si>
    <t>giolito.6</t>
  </si>
  <si>
    <t>VCTMAGIO</t>
  </si>
  <si>
    <t>López</t>
  </si>
  <si>
    <t xml:space="preserve"> Matias Gonzalo</t>
  </si>
  <si>
    <t>lpez.41</t>
  </si>
  <si>
    <t>VCTGOLOP</t>
  </si>
  <si>
    <t>385 409 3212</t>
  </si>
  <si>
    <t xml:space="preserve"> Pablo Mauricio</t>
  </si>
  <si>
    <t>palavecino.27</t>
  </si>
  <si>
    <t>VCTPAPAL</t>
  </si>
  <si>
    <t>381 664 5424</t>
  </si>
  <si>
    <t>Coronel</t>
  </si>
  <si>
    <t xml:space="preserve"> José Benjamín</t>
  </si>
  <si>
    <t>coronel.160</t>
  </si>
  <si>
    <t>VCTJOCOR</t>
  </si>
  <si>
    <t>381 571 2386</t>
  </si>
  <si>
    <t>Ferroni</t>
  </si>
  <si>
    <t>Carlos Agustin</t>
  </si>
  <si>
    <t>ferroni.6</t>
  </si>
  <si>
    <t>VCTFECAR</t>
  </si>
  <si>
    <t>381 341-1143</t>
  </si>
  <si>
    <t>Figueroa</t>
  </si>
  <si>
    <t>Aranda María</t>
  </si>
  <si>
    <t>figueroaaranda.5</t>
  </si>
  <si>
    <t>VCTARFIG</t>
  </si>
  <si>
    <t>381 510 2561</t>
  </si>
  <si>
    <t>Quiroga Castro</t>
  </si>
  <si>
    <t>Franco Nicolas</t>
  </si>
  <si>
    <t>quirogacastro.7</t>
  </si>
  <si>
    <t xml:space="preserve">VCTFRQUI </t>
  </si>
  <si>
    <t>381-154664980</t>
  </si>
  <si>
    <t>20-41126232-5</t>
  </si>
  <si>
    <t>Micaela Estefania</t>
  </si>
  <si>
    <t>ale.33</t>
  </si>
  <si>
    <t xml:space="preserve">VCTMIALE  </t>
  </si>
  <si>
    <t>Avellaneda</t>
  </si>
  <si>
    <t>Nicolás Alfredo</t>
  </si>
  <si>
    <t>avellaneda.31</t>
  </si>
  <si>
    <t>VCTNIAVE</t>
  </si>
  <si>
    <t>381 461-2091</t>
  </si>
  <si>
    <t>Courel</t>
  </si>
  <si>
    <t>Axel Nahuel</t>
  </si>
  <si>
    <t>courel.5</t>
  </si>
  <si>
    <t>VCTAXCOU</t>
  </si>
  <si>
    <t>0381-156816140</t>
  </si>
  <si>
    <t>Gamero Albornoz</t>
  </si>
  <si>
    <t>Romina</t>
  </si>
  <si>
    <t>gameroalbornoz.5</t>
  </si>
  <si>
    <t>VCTROGAM</t>
  </si>
  <si>
    <t>Gomez Toledo</t>
  </si>
  <si>
    <t>Marianela Lujan</t>
  </si>
  <si>
    <t>Gomeztoledo.6</t>
  </si>
  <si>
    <t>VCTLUGOM</t>
  </si>
  <si>
    <t>0381-155091174</t>
  </si>
  <si>
    <t>Luciano Matias</t>
  </si>
  <si>
    <t>juarez.64</t>
  </si>
  <si>
    <t>VCTLUJUA</t>
  </si>
  <si>
    <t>juarez.165</t>
  </si>
  <si>
    <t>VCTANJUA</t>
  </si>
  <si>
    <t>0381-155727327</t>
  </si>
  <si>
    <t>Mariani</t>
  </si>
  <si>
    <t>mariani.11</t>
  </si>
  <si>
    <t>VCTCEMAR</t>
  </si>
  <si>
    <t>153501142 / 155854338</t>
  </si>
  <si>
    <t>Leandro Dario</t>
  </si>
  <si>
    <t>mndez.19</t>
  </si>
  <si>
    <t>VCTLEMEN</t>
  </si>
  <si>
    <t>381 586 9128</t>
  </si>
  <si>
    <t>Monges</t>
  </si>
  <si>
    <t>Elina Teresa</t>
  </si>
  <si>
    <t>monges.6</t>
  </si>
  <si>
    <t>VCTELMON</t>
  </si>
  <si>
    <t>Olivera</t>
  </si>
  <si>
    <t>Irene Marcia</t>
  </si>
  <si>
    <t>olivera.20</t>
  </si>
  <si>
    <t>VCTIROLI</t>
  </si>
  <si>
    <t>Porello</t>
  </si>
  <si>
    <t>Maria Belén</t>
  </si>
  <si>
    <t>porello.7</t>
  </si>
  <si>
    <t>VCTMAPOR</t>
  </si>
  <si>
    <t>381 505 8651</t>
  </si>
  <si>
    <t>Rocio del Valle</t>
  </si>
  <si>
    <t>CAPA CSV1 a CSV2 08/10 - 08/31 (activo 09/01)(Hs Orig  09:00 - 14:00 OFF Dom Sab)</t>
  </si>
  <si>
    <t>ricci.61</t>
  </si>
  <si>
    <t>VCTRORIC</t>
  </si>
  <si>
    <t>03816760423</t>
  </si>
  <si>
    <t>27-42173457-2</t>
  </si>
  <si>
    <t>Sosa</t>
  </si>
  <si>
    <t>Maria Lucia</t>
  </si>
  <si>
    <t>sosa.227</t>
  </si>
  <si>
    <t>VCTMASOS</t>
  </si>
  <si>
    <t>381 153044814</t>
  </si>
  <si>
    <t>Uncos</t>
  </si>
  <si>
    <t>Cristian Carlos</t>
  </si>
  <si>
    <t>uncos.7</t>
  </si>
  <si>
    <t>VCTCRUNC</t>
  </si>
  <si>
    <t>381 423-6626</t>
  </si>
  <si>
    <t>Villa</t>
  </si>
  <si>
    <t>Luciana Pamela</t>
  </si>
  <si>
    <t>villa.276</t>
  </si>
  <si>
    <t>VCTLUVIL</t>
  </si>
  <si>
    <t>03814094052</t>
  </si>
  <si>
    <t>27-37503426-9</t>
  </si>
  <si>
    <t>Zamorano Ortiz</t>
  </si>
  <si>
    <t>Gabriel Martin</t>
  </si>
  <si>
    <t>zamoranoortiz.5</t>
  </si>
  <si>
    <t>VCTGAZAM</t>
  </si>
  <si>
    <t>381 155240603</t>
  </si>
  <si>
    <t>Fatima Noemi</t>
  </si>
  <si>
    <t>aguero.38</t>
  </si>
  <si>
    <t>VCTFAAGU</t>
  </si>
  <si>
    <t>0381-153040539</t>
  </si>
  <si>
    <t>Aguero Peralta</t>
  </si>
  <si>
    <t>Edith Alejandra Mabel</t>
  </si>
  <si>
    <t>agueroperalta.5</t>
  </si>
  <si>
    <t>VCTEDAGÜ</t>
  </si>
  <si>
    <t>03816169946</t>
  </si>
  <si>
    <t>27-36420663-7</t>
  </si>
  <si>
    <t>Ana Elizabeth</t>
  </si>
  <si>
    <t>castillo.1245</t>
  </si>
  <si>
    <t>VCTELCAS</t>
  </si>
  <si>
    <t>381-153419841</t>
  </si>
  <si>
    <t>Ezquer Texeira</t>
  </si>
  <si>
    <t>Mariana del Rosario</t>
  </si>
  <si>
    <t>ezquertexeira.5</t>
  </si>
  <si>
    <t>VCTMAEZQ</t>
  </si>
  <si>
    <t>381 492 7358</t>
  </si>
  <si>
    <t>Garcia</t>
  </si>
  <si>
    <t>Francisco Antonio</t>
  </si>
  <si>
    <t>garcia.4353</t>
  </si>
  <si>
    <t>VCTFRGAR</t>
  </si>
  <si>
    <t>Gomez</t>
  </si>
  <si>
    <t>Silvana Elizabeth</t>
  </si>
  <si>
    <t>gomez.660</t>
  </si>
  <si>
    <t>VCTSIGOM</t>
  </si>
  <si>
    <t>0381-154293451</t>
  </si>
  <si>
    <t>Mereles Zerda</t>
  </si>
  <si>
    <t>Ana Carolina</t>
  </si>
  <si>
    <t>mereleszerda.5</t>
  </si>
  <si>
    <t>VCTANMER</t>
  </si>
  <si>
    <t>381 638 9165</t>
  </si>
  <si>
    <t>Miguel Alfredo</t>
  </si>
  <si>
    <t>pacheco.283</t>
  </si>
  <si>
    <t>VCTMIPAC</t>
  </si>
  <si>
    <t>0381-156558636</t>
  </si>
  <si>
    <t>Parraga</t>
  </si>
  <si>
    <t>Guillermo Nicolas</t>
  </si>
  <si>
    <t>parraga.5</t>
  </si>
  <si>
    <t>VCTGUPAR</t>
  </si>
  <si>
    <t>Ramirez Zorrilla</t>
  </si>
  <si>
    <t>Maria Fernanda</t>
  </si>
  <si>
    <t>ramirezzorrilla.5</t>
  </si>
  <si>
    <t>VCTMARAM</t>
  </si>
  <si>
    <t>Rivas</t>
  </si>
  <si>
    <t>Yanina Del Valle</t>
  </si>
  <si>
    <t>rivas.112</t>
  </si>
  <si>
    <t>VCTYARIV</t>
  </si>
  <si>
    <t>Maria Victoria</t>
  </si>
  <si>
    <t>sanchez.2320</t>
  </si>
  <si>
    <t xml:space="preserve">VCTVISAN  </t>
  </si>
  <si>
    <t>Rita Victoria</t>
  </si>
  <si>
    <t>sanchez.1827</t>
  </si>
  <si>
    <t>VCTRISAN</t>
  </si>
  <si>
    <t>0381-4254092 / 381-156294945</t>
  </si>
  <si>
    <t>Sanna</t>
  </si>
  <si>
    <t>Luis Fernando</t>
  </si>
  <si>
    <t>sanna.5</t>
  </si>
  <si>
    <t>VCTLUSAN</t>
  </si>
  <si>
    <t>Soria Juarez</t>
  </si>
  <si>
    <t>Eugenia Soledad</t>
  </si>
  <si>
    <t>soriajuarez.5</t>
  </si>
  <si>
    <t>VCTEUSOR</t>
  </si>
  <si>
    <t>381 639 8503</t>
  </si>
  <si>
    <t>Teseyra</t>
  </si>
  <si>
    <t>Maria Estefania</t>
  </si>
  <si>
    <t>teseyra.8</t>
  </si>
  <si>
    <t>VCTMATES</t>
  </si>
  <si>
    <t>4310015 / 155754392</t>
  </si>
  <si>
    <t>Katerina Soledad</t>
  </si>
  <si>
    <t>vizcarra.40</t>
  </si>
  <si>
    <t>VCTKAVIZ</t>
  </si>
  <si>
    <t>4615514 / 155449037</t>
  </si>
  <si>
    <t>Caro</t>
  </si>
  <si>
    <t>Carolina Analia</t>
  </si>
  <si>
    <t>caro.44</t>
  </si>
  <si>
    <t>VCTANCAR</t>
  </si>
  <si>
    <t>+54 0381-155211391</t>
  </si>
  <si>
    <t>Ríos Yeser</t>
  </si>
  <si>
    <t xml:space="preserve"> María Florencia</t>
  </si>
  <si>
    <t>rosyeser.5</t>
  </si>
  <si>
    <t>VCTMARIO</t>
  </si>
  <si>
    <t>381 301 1859</t>
  </si>
  <si>
    <t>Antoni</t>
  </si>
  <si>
    <t>Pablo Sebastian</t>
  </si>
  <si>
    <t>13:00 - 18:00</t>
  </si>
  <si>
    <t>antoni.15</t>
  </si>
  <si>
    <t>VCTPAANT</t>
  </si>
  <si>
    <t>381-153431078</t>
  </si>
  <si>
    <t>Juan Jose</t>
  </si>
  <si>
    <t>avellaneda.33</t>
  </si>
  <si>
    <t xml:space="preserve">VCTJUAVE  </t>
  </si>
  <si>
    <t>Bazan</t>
  </si>
  <si>
    <t>Melina Soledad</t>
  </si>
  <si>
    <t>bazan.50</t>
  </si>
  <si>
    <t>VCTMEBAZ</t>
  </si>
  <si>
    <t>03815567436</t>
  </si>
  <si>
    <t>27-38245134-7</t>
  </si>
  <si>
    <t>Bravo</t>
  </si>
  <si>
    <t>Agustin Gonzalo</t>
  </si>
  <si>
    <t>bravo.169</t>
  </si>
  <si>
    <t>VCTAGBRA</t>
  </si>
  <si>
    <t>Caamaño</t>
  </si>
  <si>
    <t>Emmanuel David</t>
  </si>
  <si>
    <t>caamano.9</t>
  </si>
  <si>
    <t>VCTEMCAA</t>
  </si>
  <si>
    <t>20-33697993-6</t>
  </si>
  <si>
    <t>Cáceres</t>
  </si>
  <si>
    <t>Jose Maximo</t>
  </si>
  <si>
    <t>cceres.12</t>
  </si>
  <si>
    <t>VCTJOCAC</t>
  </si>
  <si>
    <t>0381- 156402158</t>
  </si>
  <si>
    <t>Carmona</t>
  </si>
  <si>
    <t>Camila Belen</t>
  </si>
  <si>
    <t>carmona.157</t>
  </si>
  <si>
    <t xml:space="preserve">VCTCACAR  </t>
  </si>
  <si>
    <t>Dominguez</t>
  </si>
  <si>
    <t>Julian Ernesto</t>
  </si>
  <si>
    <t>dominguez.431</t>
  </si>
  <si>
    <t>VCTJUDOM</t>
  </si>
  <si>
    <t>03814629366</t>
  </si>
  <si>
    <t>20-40698559-9</t>
  </si>
  <si>
    <t>Luciana Anahi</t>
  </si>
  <si>
    <t>fernandez.170</t>
  </si>
  <si>
    <t>VCTLUFER</t>
  </si>
  <si>
    <t>Maria Emilia</t>
  </si>
  <si>
    <t>gomez.1431</t>
  </si>
  <si>
    <t>VCTMAGOM</t>
  </si>
  <si>
    <t>27-29438749-3</t>
  </si>
  <si>
    <t>Elizabeth de los Angeles</t>
  </si>
  <si>
    <t>gonzalez.2549</t>
  </si>
  <si>
    <t xml:space="preserve">VCTELGON  </t>
  </si>
  <si>
    <t>González</t>
  </si>
  <si>
    <t>gonzalez.2577</t>
  </si>
  <si>
    <t>VCTENGON</t>
  </si>
  <si>
    <t>20-41772351-0</t>
  </si>
  <si>
    <t>Guerra</t>
  </si>
  <si>
    <t>Héctor Gonzalo</t>
  </si>
  <si>
    <t>14:00 - 20:00</t>
  </si>
  <si>
    <t>guerra.243</t>
  </si>
  <si>
    <t>VCTHEGUE</t>
  </si>
  <si>
    <t>+54 038 149 42328</t>
  </si>
  <si>
    <t>Juarez Fernandez</t>
  </si>
  <si>
    <t>Juan Gabriel</t>
  </si>
  <si>
    <t>jurezfernndez.5</t>
  </si>
  <si>
    <t>VCTJUJUA</t>
  </si>
  <si>
    <t>0381-4321344 / 0381-155574165</t>
  </si>
  <si>
    <t>Moya</t>
  </si>
  <si>
    <t>Nadia Florencia</t>
  </si>
  <si>
    <t>moya.50</t>
  </si>
  <si>
    <t>VCTNAMOY</t>
  </si>
  <si>
    <t>Perez Flores</t>
  </si>
  <si>
    <t>Leandro Nahuel</t>
  </si>
  <si>
    <t>perezflores.28</t>
  </si>
  <si>
    <t>VCTLEPER</t>
  </si>
  <si>
    <t>387 847-1326</t>
  </si>
  <si>
    <t>Prado</t>
  </si>
  <si>
    <t>Maria de los Angeles</t>
  </si>
  <si>
    <t xml:space="preserve">prado.268  </t>
  </si>
  <si>
    <t xml:space="preserve">VCTMAPRA </t>
  </si>
  <si>
    <t>0381-154140580</t>
  </si>
  <si>
    <t>27-38509438-3</t>
  </si>
  <si>
    <t>Sevilla</t>
  </si>
  <si>
    <t>Lourdes Florencia</t>
  </si>
  <si>
    <t>sevilla.259</t>
  </si>
  <si>
    <t>VCTLOSEV</t>
  </si>
  <si>
    <t>27-40532694-4</t>
  </si>
  <si>
    <t>Torres</t>
  </si>
  <si>
    <t>torres.1778</t>
  </si>
  <si>
    <t>VCTMATOR</t>
  </si>
  <si>
    <t>381-156471110</t>
  </si>
  <si>
    <t>Valenzuela</t>
  </si>
  <si>
    <t>Gonzalo Rene</t>
  </si>
  <si>
    <t>valenzuela.384</t>
  </si>
  <si>
    <t xml:space="preserve">VCTGOVAL </t>
  </si>
  <si>
    <t>381-155902404</t>
  </si>
  <si>
    <t>20-41651681-3</t>
  </si>
  <si>
    <t xml:space="preserve">Gaston Exequiel </t>
  </si>
  <si>
    <t>VCTGAACO</t>
  </si>
  <si>
    <t>23-40275956-9</t>
  </si>
  <si>
    <t>Alvarez</t>
  </si>
  <si>
    <t xml:space="preserve">Alejandra Liliana </t>
  </si>
  <si>
    <t>alvarez.1038</t>
  </si>
  <si>
    <t>VCTALALV</t>
  </si>
  <si>
    <t>Lucas Gabriel</t>
  </si>
  <si>
    <t>alvarez.1069</t>
  </si>
  <si>
    <t>VCTLUALV</t>
  </si>
  <si>
    <t>03816317544</t>
  </si>
  <si>
    <t>20-37997844-5</t>
  </si>
  <si>
    <t>Artaza</t>
  </si>
  <si>
    <t xml:space="preserve"> Milagro Ileana Maribel</t>
  </si>
  <si>
    <t>artaza.15</t>
  </si>
  <si>
    <t>VCTMIART</t>
  </si>
  <si>
    <t>381 488 4001</t>
  </si>
  <si>
    <t>Caballero</t>
  </si>
  <si>
    <t>Matias Nahuel</t>
  </si>
  <si>
    <t>CSV2/HD</t>
  </si>
  <si>
    <t>caballero.309</t>
  </si>
  <si>
    <t>VCTMACAB</t>
  </si>
  <si>
    <t>0381 -154014772</t>
  </si>
  <si>
    <t>Castro del Sastre</t>
  </si>
  <si>
    <t>Camila Belén</t>
  </si>
  <si>
    <t>VCTCACAS</t>
  </si>
  <si>
    <t>27-42467280-2</t>
  </si>
  <si>
    <t xml:space="preserve">Cipolla </t>
  </si>
  <si>
    <t>Naim</t>
  </si>
  <si>
    <t>CSV2/HD/CSV3/ VIP</t>
  </si>
  <si>
    <t>cipolla.5</t>
  </si>
  <si>
    <t>VCTNACIP</t>
  </si>
  <si>
    <t>0381-153017069</t>
  </si>
  <si>
    <t>Ana Gabriela</t>
  </si>
  <si>
    <t>correa.357</t>
  </si>
  <si>
    <t>VCTMACOR</t>
  </si>
  <si>
    <t>381-154069186</t>
  </si>
  <si>
    <t>27-41495251-3</t>
  </si>
  <si>
    <t>Alejandra Noemi</t>
  </si>
  <si>
    <t>delgado.582</t>
  </si>
  <si>
    <t xml:space="preserve">VCTALDEL  </t>
  </si>
  <si>
    <t>Solana Abigail</t>
  </si>
  <si>
    <t>delgado.546</t>
  </si>
  <si>
    <t>VCTSODEL</t>
  </si>
  <si>
    <t>Gómez</t>
  </si>
  <si>
    <t xml:space="preserve">Jonás </t>
  </si>
  <si>
    <t xml:space="preserve">gomez.1294  </t>
  </si>
  <si>
    <t xml:space="preserve">VCTJOGÓM </t>
  </si>
  <si>
    <t>0381-153869343</t>
  </si>
  <si>
    <t>Ocampo</t>
  </si>
  <si>
    <t>Franco Vicente</t>
  </si>
  <si>
    <t>VCTFROCA</t>
  </si>
  <si>
    <t>20-40356980-2</t>
  </si>
  <si>
    <t>Pavone</t>
  </si>
  <si>
    <t>David Emanuel</t>
  </si>
  <si>
    <t>pavone.20</t>
  </si>
  <si>
    <t>VCTDAPAV</t>
  </si>
  <si>
    <t>Jimena Alejandra</t>
  </si>
  <si>
    <t>ruiz.943</t>
  </si>
  <si>
    <t>VCTJIRUI</t>
  </si>
  <si>
    <t>27-37658363-0</t>
  </si>
  <si>
    <t>Alcorta</t>
  </si>
  <si>
    <t>Carla Andrea</t>
  </si>
  <si>
    <t>alcorta.10</t>
  </si>
  <si>
    <t>VCTCAALC</t>
  </si>
  <si>
    <t>27-39477028-6</t>
  </si>
  <si>
    <t>Blac Sleiman</t>
  </si>
  <si>
    <t>David Exequiel</t>
  </si>
  <si>
    <t>blacsleiman.6</t>
  </si>
  <si>
    <t>VCTDABLA</t>
  </si>
  <si>
    <t>0381-156552983</t>
  </si>
  <si>
    <t>20-39355647-2</t>
  </si>
  <si>
    <t>Carrasco Paiva</t>
  </si>
  <si>
    <t>Jhonny Daniel</t>
  </si>
  <si>
    <t>carrasco.131</t>
  </si>
  <si>
    <t>VCTJHCAR</t>
  </si>
  <si>
    <t>23-96001421-9</t>
  </si>
  <si>
    <t>Casella Lorca</t>
  </si>
  <si>
    <t>Gianfranco</t>
  </si>
  <si>
    <t>casellalorca.6</t>
  </si>
  <si>
    <t>VCTGICAS</t>
  </si>
  <si>
    <t>20-40357988-3</t>
  </si>
  <si>
    <t>Castro</t>
  </si>
  <si>
    <t xml:space="preserve">Diego Nicolas </t>
  </si>
  <si>
    <t>castro.1390</t>
  </si>
  <si>
    <t>VCTCANIC</t>
  </si>
  <si>
    <t>20-41649361-9</t>
  </si>
  <si>
    <t>Cuello</t>
  </si>
  <si>
    <t>Paula Mariana</t>
  </si>
  <si>
    <t>cuello.26</t>
  </si>
  <si>
    <t xml:space="preserve">VCTPACUE  </t>
  </si>
  <si>
    <t>Fernandez Lafuente</t>
  </si>
  <si>
    <t>Eliana</t>
  </si>
  <si>
    <t xml:space="preserve">fernndezlafuente.5 </t>
  </si>
  <si>
    <t xml:space="preserve">VCTELFER </t>
  </si>
  <si>
    <t>381-155070922</t>
  </si>
  <si>
    <t>27-38184365-9</t>
  </si>
  <si>
    <t>Carlos Martin</t>
  </si>
  <si>
    <t>guerra.335</t>
  </si>
  <si>
    <t>VCTGUCAR</t>
  </si>
  <si>
    <t>03816637449</t>
  </si>
  <si>
    <t>20-37727877-2</t>
  </si>
  <si>
    <t>Olga Tamara</t>
  </si>
  <si>
    <t>medina.514</t>
  </si>
  <si>
    <t>VCTOLMED</t>
  </si>
  <si>
    <t>0381-156690297</t>
  </si>
  <si>
    <t>Florencia Yudith</t>
  </si>
  <si>
    <t xml:space="preserve">navarro.740 </t>
  </si>
  <si>
    <t xml:space="preserve">VCTFLNAV </t>
  </si>
  <si>
    <t>381-153356081</t>
  </si>
  <si>
    <t>27-40217271-7</t>
  </si>
  <si>
    <t>89322 </t>
  </si>
  <si>
    <t>palavecino.29</t>
  </si>
  <si>
    <t>VCTLAPAL</t>
  </si>
  <si>
    <t>27-39698542-5</t>
  </si>
  <si>
    <t>Parrado Quiroga</t>
  </si>
  <si>
    <t>Gimena Marisol</t>
  </si>
  <si>
    <t>Parradoquiroga.5</t>
  </si>
  <si>
    <t>VCTGIPAR</t>
  </si>
  <si>
    <t>0381-156301220</t>
  </si>
  <si>
    <t>27-40155412-8</t>
  </si>
  <si>
    <t>Romina Mercedes</t>
  </si>
  <si>
    <t>salas.307</t>
  </si>
  <si>
    <t xml:space="preserve">VCTROSAL  </t>
  </si>
  <si>
    <t>Sánchez</t>
  </si>
  <si>
    <t>Pedro Alejandro</t>
  </si>
  <si>
    <t>snchez.16</t>
  </si>
  <si>
    <t>VCTPESAN</t>
  </si>
  <si>
    <t>0381-155065886</t>
  </si>
  <si>
    <t>Eric Emanuel</t>
  </si>
  <si>
    <t>soto.261</t>
  </si>
  <si>
    <t>VCTERSOT</t>
  </si>
  <si>
    <t>381-155616291</t>
  </si>
  <si>
    <t>Trionfini</t>
  </si>
  <si>
    <t>Monica Luciana</t>
  </si>
  <si>
    <t xml:space="preserve">trionfini.6 </t>
  </si>
  <si>
    <t>VCTMOTRI</t>
  </si>
  <si>
    <t>0381-154015977</t>
  </si>
  <si>
    <t>27-34186702-4</t>
  </si>
  <si>
    <t>Ballesteros</t>
  </si>
  <si>
    <t>Gabriela Elizabeth</t>
  </si>
  <si>
    <t>381-153554446</t>
  </si>
  <si>
    <t>27-43710701-2</t>
  </si>
  <si>
    <t>Paula Cristina</t>
  </si>
  <si>
    <t>381-156635470</t>
  </si>
  <si>
    <t>27-41534420-7</t>
  </si>
  <si>
    <t>Florencia Agostina</t>
  </si>
  <si>
    <t>381-154091663</t>
  </si>
  <si>
    <t>23-36867211-4</t>
  </si>
  <si>
    <t>Aramayo</t>
  </si>
  <si>
    <t>Fihama Loreley</t>
  </si>
  <si>
    <t>381-156566831</t>
  </si>
  <si>
    <t>27-41763147-5</t>
  </si>
  <si>
    <t>Rayó</t>
  </si>
  <si>
    <t>Rodrigo Exequiel</t>
  </si>
  <si>
    <t>381-154190596</t>
  </si>
  <si>
    <t>20-36712734-2</t>
  </si>
  <si>
    <t>Mercado</t>
  </si>
  <si>
    <t>Mikaela Sabrina</t>
  </si>
  <si>
    <t>381-155715427</t>
  </si>
  <si>
    <t>27-34327482-9</t>
  </si>
  <si>
    <t>Terriaca Lemme</t>
  </si>
  <si>
    <t>Flavia Solaina</t>
  </si>
  <si>
    <t>381-153016768</t>
  </si>
  <si>
    <t>27-35195568-1</t>
  </si>
  <si>
    <t>Ucciardello</t>
  </si>
  <si>
    <t>Luciana Daniza</t>
  </si>
  <si>
    <t>381-153396910</t>
  </si>
  <si>
    <t>27-42548543-7</t>
  </si>
  <si>
    <t>Dilascio</t>
  </si>
  <si>
    <t>Miguel Angel</t>
  </si>
  <si>
    <t>381-155249588</t>
  </si>
  <si>
    <t>20-39574767-4</t>
  </si>
  <si>
    <t>Rodríguez</t>
  </si>
  <si>
    <t>Brenda Agostina</t>
  </si>
  <si>
    <t>381-156070741</t>
  </si>
  <si>
    <t>27-39730809-5</t>
  </si>
  <si>
    <t>Montaldo</t>
  </si>
  <si>
    <t>Sol Agustina</t>
  </si>
  <si>
    <t>381-155455805</t>
  </si>
  <si>
    <t>27-41771566-0</t>
  </si>
  <si>
    <t>Yanelli</t>
  </si>
  <si>
    <t>Aníbal Hector Francisco</t>
  </si>
  <si>
    <t>381-15 6576805</t>
  </si>
  <si>
    <t>20-42371182-6</t>
  </si>
  <si>
    <t>Pascual</t>
  </si>
  <si>
    <t>Silvio Daniel</t>
  </si>
  <si>
    <t>381-153362589</t>
  </si>
  <si>
    <t>23-36439725-9</t>
  </si>
  <si>
    <t>Contreras</t>
  </si>
  <si>
    <t>Fernando Gonzalo</t>
  </si>
  <si>
    <t>381-153435386</t>
  </si>
  <si>
    <t>23-38224052-9</t>
  </si>
  <si>
    <t>Luciana Antonella</t>
  </si>
  <si>
    <t>381-155013812</t>
  </si>
  <si>
    <t>27-38244120-1</t>
  </si>
  <si>
    <t>Albornoz</t>
  </si>
  <si>
    <t>Luciana de los Angeles</t>
  </si>
  <si>
    <t>27-31354102-4</t>
  </si>
  <si>
    <t>Asen Ruiz</t>
  </si>
  <si>
    <t>Mirta Anahí</t>
  </si>
  <si>
    <t>23-39975338-4</t>
  </si>
  <si>
    <t>Rocío Mariel</t>
  </si>
  <si>
    <t>27-42371665-2</t>
  </si>
  <si>
    <t>Baez Silberstein</t>
  </si>
  <si>
    <t>Santiago</t>
  </si>
  <si>
    <t>20-37657560-9</t>
  </si>
  <si>
    <t>Coria</t>
  </si>
  <si>
    <t>Ana</t>
  </si>
  <si>
    <t>27-39142413-1</t>
  </si>
  <si>
    <t>Flores</t>
  </si>
  <si>
    <t>Ana Cecilia</t>
  </si>
  <si>
    <t>27-37190020-4</t>
  </si>
  <si>
    <t>Garcia Bulacio</t>
  </si>
  <si>
    <t>20-40437526-2</t>
  </si>
  <si>
    <t>Lourdes María</t>
  </si>
  <si>
    <t>23-41833251-4</t>
  </si>
  <si>
    <t>Gonzalez Conidares</t>
  </si>
  <si>
    <t>Enzo Micael</t>
  </si>
  <si>
    <t>20-42269972-5</t>
  </si>
  <si>
    <t>González Jiménez</t>
  </si>
  <si>
    <t>Jorge Iván</t>
  </si>
  <si>
    <t>20-37838075-9</t>
  </si>
  <si>
    <t>Guitiérrez</t>
  </si>
  <si>
    <t>Emmanuel Maximiliano</t>
  </si>
  <si>
    <t>20-36885457-4</t>
  </si>
  <si>
    <t>Ibañez</t>
  </si>
  <si>
    <t>Jeremias Raul</t>
  </si>
  <si>
    <t>27-37916231-8</t>
  </si>
  <si>
    <t>María Ines</t>
  </si>
  <si>
    <t>Ledesma</t>
  </si>
  <si>
    <t>27-36132635-6</t>
  </si>
  <si>
    <t>Lobo</t>
  </si>
  <si>
    <t>Miguel</t>
  </si>
  <si>
    <t>20-41736742-0</t>
  </si>
  <si>
    <t xml:space="preserve">Albornoz Miguel </t>
  </si>
  <si>
    <t>Lucero</t>
  </si>
  <si>
    <t>Noelia</t>
  </si>
  <si>
    <t>27-40089669-6</t>
  </si>
  <si>
    <t>Yahir Jesus</t>
  </si>
  <si>
    <t>20-36347133-2</t>
  </si>
  <si>
    <t>Martinez Iturbe</t>
  </si>
  <si>
    <t>Santiago Isaac</t>
  </si>
  <si>
    <t>20-43362130-2</t>
  </si>
  <si>
    <t>Maria del Valle</t>
  </si>
  <si>
    <t>27-35921828-7</t>
  </si>
  <si>
    <t>Mendoza</t>
  </si>
  <si>
    <t>Rocío Camila</t>
  </si>
  <si>
    <t>27-40643538-0</t>
  </si>
  <si>
    <t>Montenegro Mansilla</t>
  </si>
  <si>
    <t>Milagros</t>
  </si>
  <si>
    <t>27-41059241-5</t>
  </si>
  <si>
    <t>Peñaloza</t>
  </si>
  <si>
    <t>María Romina</t>
  </si>
  <si>
    <t>27-38185201-1</t>
  </si>
  <si>
    <t>Pons Amún</t>
  </si>
  <si>
    <t>Solana Agostina</t>
  </si>
  <si>
    <t>27-41649190-4</t>
  </si>
  <si>
    <t>Ribotis</t>
  </si>
  <si>
    <t>27-36182605-7</t>
  </si>
  <si>
    <t>Risso</t>
  </si>
  <si>
    <t>Florencia Marisel</t>
  </si>
  <si>
    <t>27-39359545-6</t>
  </si>
  <si>
    <t>Florecia Raquel</t>
  </si>
  <si>
    <t>Saavedra</t>
  </si>
  <si>
    <t>Virginia Valeria</t>
  </si>
  <si>
    <t>Victor Orlando</t>
  </si>
  <si>
    <t>María Soledad</t>
  </si>
  <si>
    <t>Villalba</t>
  </si>
  <si>
    <t>Rocío Micaela</t>
  </si>
  <si>
    <t>PT</t>
  </si>
  <si>
    <t>(Hs Orig  15:00 - 20:00 OFF Dom Sab)</t>
  </si>
  <si>
    <t>(Hs Orig  15:00 - 21:00 OFF Dom Sab)</t>
  </si>
  <si>
    <t>(Hs Orig  16:00 - 21:00 OFF Dom Sab)</t>
  </si>
  <si>
    <t>(Hs Orig  13:00 - 19:00 OFF Dom Sab)</t>
  </si>
  <si>
    <t>(Hs Orig  15:00 - 19:00 OFF Dom Sab)</t>
  </si>
  <si>
    <t>(Hs Orig  09:00 - 15:00 OFF Dom Sab)</t>
  </si>
  <si>
    <t>(Hs Orig  10:00 - 15:00 OFF Dom Sab)</t>
  </si>
  <si>
    <t>(Hs Orig  09:00 - 14:00 OFF Dom Sab)</t>
  </si>
  <si>
    <t>(Hs Orig  13:00 - 18:00 OFF Dom Vie Sab)</t>
  </si>
  <si>
    <t>(Hs Orig  14:00 - 20:00 OFF Dom Sab)</t>
  </si>
  <si>
    <t>(Hs Orig  10:00 - 15:00 OFF Dom Vie Sab)</t>
  </si>
  <si>
    <t>Back From CAPA CSV2 a CSV3 08/11 - 08/26 (activo 08/27)(Hs Orig  15:00 - 21:00 OFF Dom Sab)</t>
  </si>
  <si>
    <t>CAPA CSV3 a Vip  08/24 - 08/28 (activo 08/26)(Hs Orig  15:00 - 21:00 OFF Dom Sab)</t>
  </si>
  <si>
    <t>Swap Permanente</t>
  </si>
  <si>
    <t>CAPA CSV3 a Vip  08/24 - 08/28 (activo 08/26)(Hs Orig  09:00 - 15:00 OFF Dom Sab)</t>
  </si>
  <si>
    <t>Back From CAPA CSV2 a CSV3 08/11 - 08/26 (activo 08/27)(Hs Orig  09:00 - 15:00 OFF Dom Sab)</t>
  </si>
  <si>
    <t>ballesteros.176</t>
  </si>
  <si>
    <t xml:space="preserve">VCTGABAL </t>
  </si>
  <si>
    <t>figueroa.376</t>
  </si>
  <si>
    <t xml:space="preserve">VCTPAFIG </t>
  </si>
  <si>
    <t>pacheco.361</t>
  </si>
  <si>
    <t xml:space="preserve">VCTFLPAC </t>
  </si>
  <si>
    <t>aramayo.17</t>
  </si>
  <si>
    <t xml:space="preserve">VCTFIARA </t>
  </si>
  <si>
    <t>rayo.28</t>
  </si>
  <si>
    <t xml:space="preserve">VCTRORAY </t>
  </si>
  <si>
    <t>mercado.668</t>
  </si>
  <si>
    <t xml:space="preserve">VCTMIMER </t>
  </si>
  <si>
    <t>terriacalemme.5</t>
  </si>
  <si>
    <t xml:space="preserve">VCTFLTER </t>
  </si>
  <si>
    <t>ucciardello.5</t>
  </si>
  <si>
    <t xml:space="preserve">VCTLUUCC </t>
  </si>
  <si>
    <t>dilascio.10</t>
  </si>
  <si>
    <t xml:space="preserve">VCTMIDIL </t>
  </si>
  <si>
    <t>rodriguez.4165</t>
  </si>
  <si>
    <t xml:space="preserve">VCTBRROD </t>
  </si>
  <si>
    <t>montaldo.8</t>
  </si>
  <si>
    <t xml:space="preserve">VCTSOMON </t>
  </si>
  <si>
    <t>yanelli.5</t>
  </si>
  <si>
    <t xml:space="preserve">VCTANYAN </t>
  </si>
  <si>
    <t>pascual.465</t>
  </si>
  <si>
    <t xml:space="preserve">VCTSIPAS </t>
  </si>
  <si>
    <t>contreras.503</t>
  </si>
  <si>
    <t xml:space="preserve">VCTFECON </t>
  </si>
  <si>
    <t>navarro.873</t>
  </si>
  <si>
    <t xml:space="preserve">VCTANNAV </t>
  </si>
  <si>
    <t>albornoz.77</t>
  </si>
  <si>
    <t>VCTLUALB</t>
  </si>
  <si>
    <t>asenruiz.6</t>
  </si>
  <si>
    <t>VCTMIASE</t>
  </si>
  <si>
    <t>avellaneda.34</t>
  </si>
  <si>
    <t>VCTROAVE</t>
  </si>
  <si>
    <t>baezsilberstein.5</t>
  </si>
  <si>
    <t>VCTSABAE</t>
  </si>
  <si>
    <t>coria.27</t>
  </si>
  <si>
    <t>VCTCOANA</t>
  </si>
  <si>
    <t>flores.2460</t>
  </si>
  <si>
    <t>VCTANFLO</t>
  </si>
  <si>
    <t>garciabulacio.5</t>
  </si>
  <si>
    <t xml:space="preserve">VCTLUGAR </t>
  </si>
  <si>
    <t>gomez.1589</t>
  </si>
  <si>
    <t>VCTLOGOM</t>
  </si>
  <si>
    <t>gonzalezconidares.5</t>
  </si>
  <si>
    <t>VCTMIGON</t>
  </si>
  <si>
    <t>gonzalezjimenez.45</t>
  </si>
  <si>
    <t>VCTJOGON</t>
  </si>
  <si>
    <t>gutierrez.1383</t>
  </si>
  <si>
    <t>VCTEMGUI</t>
  </si>
  <si>
    <t>ibanez.209</t>
  </si>
  <si>
    <t>VCTJEIBA</t>
  </si>
  <si>
    <t>lazarte.103</t>
  </si>
  <si>
    <t xml:space="preserve">VCTMALAZ </t>
  </si>
  <si>
    <t>ledesma.271</t>
  </si>
  <si>
    <t>VCTMALED</t>
  </si>
  <si>
    <t>lobo.134</t>
  </si>
  <si>
    <t>VCTMILOB</t>
  </si>
  <si>
    <t>lucero.274</t>
  </si>
  <si>
    <t>VCTNOLUC</t>
  </si>
  <si>
    <t>martinez.3660</t>
  </si>
  <si>
    <t xml:space="preserve">VCTYAMAR </t>
  </si>
  <si>
    <t>martineziturbe.5</t>
  </si>
  <si>
    <t xml:space="preserve">VCTISMAR </t>
  </si>
  <si>
    <t>medina.989</t>
  </si>
  <si>
    <t xml:space="preserve">VCTMAMED </t>
  </si>
  <si>
    <t>mendoza.2175</t>
  </si>
  <si>
    <t xml:space="preserve">VCTROMEN </t>
  </si>
  <si>
    <t>montenegromansilla.5</t>
  </si>
  <si>
    <t>VCTMIMON</t>
  </si>
  <si>
    <t>penaloza.25</t>
  </si>
  <si>
    <t>VCTMAPEN</t>
  </si>
  <si>
    <t>ponsamun.5</t>
  </si>
  <si>
    <t xml:space="preserve">VCTSOPON </t>
  </si>
  <si>
    <t>ribotis.5</t>
  </si>
  <si>
    <t>VCTJURIB</t>
  </si>
  <si>
    <t>risso.9</t>
  </si>
  <si>
    <t>VCTFLRIS</t>
  </si>
  <si>
    <t>romero.932</t>
  </si>
  <si>
    <t xml:space="preserve">VCTFLROM </t>
  </si>
  <si>
    <t>saavedra.182</t>
  </si>
  <si>
    <t xml:space="preserve">VCTVISAA </t>
  </si>
  <si>
    <t>sanchez.2409</t>
  </si>
  <si>
    <t>VCTORSAN</t>
  </si>
  <si>
    <t>santucho.27</t>
  </si>
  <si>
    <t xml:space="preserve">VCTSOSAN </t>
  </si>
  <si>
    <t>villalba.63</t>
  </si>
  <si>
    <t>VCTROVIL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</si>
</sst>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dd/mm/yyyy;@"/>
    <numFmt numFmtId="165" formatCode="_ * #,##0_ ;_ * \-#,##0_ ;_ * &quot;-&quot;??_ ;_ @_ "/>
  </numFmts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sz val="1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color rgb="FFFFFF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25406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/>
      <bottom style="hair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hair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hair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theme="0" tint="-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/>
      <top style="medium">
        <color indexed="64"/>
      </top>
      <bottom style="hair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theme="0" tint="-0.34998626667073579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theme="0" tint="-0.499984740745262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/>
      <top style="hair">
        <color indexed="64"/>
      </top>
      <bottom style="medium">
        <color indexed="64"/>
      </bottom>
      <diagonal/>
    </border>
    <border>
      <left style="thin">
        <color theme="0" tint="-0.34998626667073579"/>
      </left>
      <right/>
      <top style="hair">
        <color auto="1"/>
      </top>
      <bottom style="medium">
        <color indexed="64"/>
      </bottom>
      <diagonal/>
    </border>
    <border>
      <left style="thin">
        <color theme="0" tint="-0.499984740745262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/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indexed="64"/>
      </bottom>
      <diagonal/>
    </border>
    <border>
      <left style="thin">
        <color theme="0" tint="-0.499984740745262"/>
      </left>
      <right/>
      <top/>
      <bottom style="hair">
        <color indexed="64"/>
      </bottom>
      <diagonal/>
    </border>
    <border>
      <left style="thin">
        <color theme="0" tint="-0.34998626667073579"/>
      </left>
      <right/>
      <top/>
      <bottom style="hair">
        <color auto="1"/>
      </bottom>
      <diagonal/>
    </border>
    <border>
      <left style="thin">
        <color theme="0" tint="-0.499984740745262"/>
      </left>
      <right style="medium">
        <color indexed="64"/>
      </right>
      <top/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indexed="64"/>
      </top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hair">
        <color indexed="8"/>
      </top>
      <bottom style="hair">
        <color indexed="8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indexed="64"/>
      </top>
      <bottom style="medium">
        <color indexed="64"/>
      </bottom>
      <diagonal/>
    </border>
    <border>
      <left style="thin">
        <color theme="0" tint="-0.499984740745262"/>
      </left>
      <right/>
      <top style="hair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71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</cellStyleXfs>
  <cellXfs count="15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 applyBorder="1"/>
    <xf numFmtId="0" fontId="4" fillId="0" borderId="0" xfId="0" applyFont="1"/>
    <xf numFmtId="0" fontId="7" fillId="0" borderId="0" xfId="0" applyFont="1"/>
    <xf numFmtId="0" fontId="8" fillId="0" borderId="7" xfId="0" applyFont="1" applyFill="1" applyBorder="1"/>
    <xf numFmtId="0" fontId="6" fillId="0" borderId="0" xfId="0" applyFont="1"/>
    <xf numFmtId="9" fontId="8" fillId="4" borderId="10" xfId="0" applyNumberFormat="1" applyFont="1" applyFill="1" applyBorder="1" applyAlignment="1">
      <alignment horizontal="center" vertical="center"/>
    </xf>
    <xf numFmtId="9" fontId="8" fillId="4" borderId="11" xfId="0" applyNumberFormat="1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165" fontId="4" fillId="0" borderId="8" xfId="62" applyNumberFormat="1" applyFont="1" applyFill="1" applyBorder="1" applyAlignment="1">
      <alignment horizontal="center" vertical="center"/>
    </xf>
    <xf numFmtId="10" fontId="4" fillId="0" borderId="9" xfId="0" applyNumberFormat="1" applyFont="1" applyFill="1" applyBorder="1" applyAlignment="1">
      <alignment horizontal="center" vertical="center"/>
    </xf>
    <xf numFmtId="0" fontId="8" fillId="0" borderId="4" xfId="0" applyFont="1" applyFill="1" applyBorder="1"/>
    <xf numFmtId="165" fontId="4" fillId="0" borderId="5" xfId="62" applyNumberFormat="1" applyFont="1" applyFill="1" applyBorder="1" applyAlignment="1">
      <alignment horizontal="center" vertical="center"/>
    </xf>
    <xf numFmtId="10" fontId="4" fillId="0" borderId="6" xfId="0" applyNumberFormat="1" applyFont="1" applyFill="1" applyBorder="1" applyAlignment="1">
      <alignment horizontal="center" vertical="center"/>
    </xf>
    <xf numFmtId="0" fontId="8" fillId="0" borderId="10" xfId="0" applyFont="1" applyFill="1" applyBorder="1"/>
    <xf numFmtId="165" fontId="4" fillId="0" borderId="11" xfId="62" applyNumberFormat="1" applyFont="1" applyFill="1" applyBorder="1" applyAlignment="1">
      <alignment horizontal="center" vertical="center"/>
    </xf>
    <xf numFmtId="10" fontId="4" fillId="0" borderId="12" xfId="0" applyNumberFormat="1" applyFont="1" applyFill="1" applyBorder="1" applyAlignment="1">
      <alignment horizontal="center" vertical="center"/>
    </xf>
    <xf numFmtId="0" fontId="8" fillId="0" borderId="0" xfId="0" applyFont="1" applyFill="1" applyBorder="1"/>
    <xf numFmtId="0" fontId="4" fillId="0" borderId="0" xfId="0" applyFont="1" applyFill="1" applyBorder="1" applyAlignment="1">
      <alignment horizontal="center" vertical="center"/>
    </xf>
    <xf numFmtId="10" fontId="4" fillId="0" borderId="0" xfId="0" applyNumberFormat="1" applyFont="1" applyFill="1" applyBorder="1" applyAlignment="1">
      <alignment horizontal="center" vertical="center"/>
    </xf>
    <xf numFmtId="9" fontId="8" fillId="4" borderId="12" xfId="0" applyNumberFormat="1" applyFont="1" applyFill="1" applyBorder="1" applyAlignment="1">
      <alignment horizontal="center" vertical="center"/>
    </xf>
    <xf numFmtId="0" fontId="8" fillId="0" borderId="13" xfId="0" applyFont="1" applyFill="1" applyBorder="1"/>
    <xf numFmtId="165" fontId="4" fillId="0" borderId="14" xfId="62" applyNumberFormat="1" applyFont="1" applyFill="1" applyBorder="1" applyAlignment="1">
      <alignment horizontal="center" vertical="center"/>
    </xf>
    <xf numFmtId="165" fontId="4" fillId="0" borderId="15" xfId="62" applyNumberFormat="1" applyFont="1" applyFill="1" applyBorder="1" applyAlignment="1">
      <alignment horizontal="center" vertical="center"/>
    </xf>
    <xf numFmtId="0" fontId="8" fillId="5" borderId="10" xfId="0" applyFont="1" applyFill="1" applyBorder="1"/>
    <xf numFmtId="0" fontId="0" fillId="0" borderId="0" xfId="0" applyAlignment="1"/>
    <xf numFmtId="43" fontId="4" fillId="5" borderId="11" xfId="62" applyFont="1" applyFill="1" applyBorder="1" applyAlignment="1">
      <alignment horizontal="center" vertical="center"/>
    </xf>
    <xf numFmtId="43" fontId="4" fillId="5" borderId="12" xfId="62" applyFont="1" applyFill="1" applyBorder="1" applyAlignment="1">
      <alignment horizontal="center" vertical="center"/>
    </xf>
    <xf numFmtId="165" fontId="4" fillId="0" borderId="8" xfId="62" applyNumberFormat="1" applyFont="1" applyFill="1" applyBorder="1" applyAlignment="1">
      <alignment vertical="center"/>
    </xf>
    <xf numFmtId="165" fontId="4" fillId="0" borderId="9" xfId="62" applyNumberFormat="1" applyFont="1" applyFill="1" applyBorder="1" applyAlignment="1">
      <alignment vertical="center"/>
    </xf>
    <xf numFmtId="165" fontId="4" fillId="0" borderId="14" xfId="62" applyNumberFormat="1" applyFont="1" applyFill="1" applyBorder="1" applyAlignment="1">
      <alignment vertical="center"/>
    </xf>
    <xf numFmtId="165" fontId="4" fillId="0" borderId="15" xfId="62" applyNumberFormat="1" applyFont="1" applyFill="1" applyBorder="1" applyAlignment="1">
      <alignment vertical="center"/>
    </xf>
    <xf numFmtId="165" fontId="4" fillId="5" borderId="11" xfId="62" applyNumberFormat="1" applyFont="1" applyFill="1" applyBorder="1" applyAlignment="1">
      <alignment vertical="center"/>
    </xf>
    <xf numFmtId="165" fontId="4" fillId="5" borderId="12" xfId="62" applyNumberFormat="1" applyFont="1" applyFill="1" applyBorder="1" applyAlignment="1">
      <alignment vertical="center"/>
    </xf>
    <xf numFmtId="0" fontId="4" fillId="0" borderId="17" xfId="0" applyFont="1" applyFill="1" applyBorder="1" applyAlignment="1">
      <alignment horizontal="center" vertical="center"/>
    </xf>
    <xf numFmtId="0" fontId="0" fillId="0" borderId="0" xfId="0" applyFill="1"/>
    <xf numFmtId="0" fontId="4" fillId="6" borderId="17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164" fontId="4" fillId="0" borderId="17" xfId="0" applyNumberFormat="1" applyFont="1" applyFill="1" applyBorder="1" applyAlignment="1">
      <alignment horizontal="center" vertical="center"/>
    </xf>
    <xf numFmtId="164" fontId="4" fillId="0" borderId="18" xfId="0" applyNumberFormat="1" applyFont="1" applyFill="1" applyBorder="1" applyAlignment="1">
      <alignment horizontal="center" vertical="center"/>
    </xf>
    <xf numFmtId="0" fontId="6" fillId="0" borderId="0" xfId="0" applyFont="1" applyFill="1"/>
    <xf numFmtId="0" fontId="4" fillId="0" borderId="19" xfId="0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center" vertical="center" wrapText="1"/>
    </xf>
    <xf numFmtId="1" fontId="11" fillId="0" borderId="27" xfId="0" applyNumberFormat="1" applyFont="1" applyFill="1" applyBorder="1" applyAlignment="1">
      <alignment horizontal="center" vertical="center"/>
    </xf>
    <xf numFmtId="1" fontId="11" fillId="0" borderId="28" xfId="0" applyNumberFormat="1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left" vertical="center"/>
    </xf>
    <xf numFmtId="0" fontId="4" fillId="0" borderId="29" xfId="0" applyFont="1" applyFill="1" applyBorder="1" applyAlignment="1">
      <alignment horizontal="center" vertical="center"/>
    </xf>
    <xf numFmtId="0" fontId="4" fillId="0" borderId="30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164" fontId="4" fillId="0" borderId="19" xfId="0" applyNumberFormat="1" applyFont="1" applyFill="1" applyBorder="1" applyAlignment="1">
      <alignment horizontal="center" vertical="center"/>
    </xf>
    <xf numFmtId="164" fontId="4" fillId="0" borderId="29" xfId="0" applyNumberFormat="1" applyFont="1" applyFill="1" applyBorder="1" applyAlignment="1">
      <alignment horizontal="center" vertical="center"/>
    </xf>
    <xf numFmtId="0" fontId="4" fillId="0" borderId="33" xfId="0" applyFont="1" applyFill="1" applyBorder="1" applyAlignment="1">
      <alignment horizontal="center" vertical="center"/>
    </xf>
    <xf numFmtId="0" fontId="4" fillId="0" borderId="33" xfId="0" applyFont="1" applyFill="1" applyBorder="1" applyAlignment="1">
      <alignment horizontal="left" vertical="center"/>
    </xf>
    <xf numFmtId="164" fontId="4" fillId="0" borderId="33" xfId="0" applyNumberFormat="1" applyFont="1" applyFill="1" applyBorder="1" applyAlignment="1">
      <alignment horizontal="center" vertical="center"/>
    </xf>
    <xf numFmtId="164" fontId="4" fillId="0" borderId="34" xfId="0" applyNumberFormat="1" applyFont="1" applyFill="1" applyBorder="1" applyAlignment="1">
      <alignment horizontal="center" vertical="center"/>
    </xf>
    <xf numFmtId="0" fontId="4" fillId="0" borderId="34" xfId="0" applyFont="1" applyFill="1" applyBorder="1" applyAlignment="1">
      <alignment horizontal="center" vertical="center"/>
    </xf>
    <xf numFmtId="0" fontId="4" fillId="0" borderId="35" xfId="0" applyFont="1" applyFill="1" applyBorder="1" applyAlignment="1">
      <alignment horizontal="center" vertical="center"/>
    </xf>
    <xf numFmtId="0" fontId="4" fillId="0" borderId="36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horizontal="center" vertical="center"/>
    </xf>
    <xf numFmtId="0" fontId="4" fillId="9" borderId="16" xfId="0" applyFont="1" applyFill="1" applyBorder="1" applyAlignment="1">
      <alignment horizontal="center" vertical="center"/>
    </xf>
    <xf numFmtId="0" fontId="4" fillId="9" borderId="26" xfId="0" applyFont="1" applyFill="1" applyBorder="1" applyAlignment="1">
      <alignment horizontal="center" vertical="center"/>
    </xf>
    <xf numFmtId="0" fontId="4" fillId="9" borderId="17" xfId="0" applyFont="1" applyFill="1" applyBorder="1" applyAlignment="1">
      <alignment horizontal="center" vertical="center" wrapText="1"/>
    </xf>
    <xf numFmtId="0" fontId="4" fillId="9" borderId="19" xfId="0" applyFont="1" applyFill="1" applyBorder="1" applyAlignment="1">
      <alignment horizontal="center" vertical="center" wrapText="1"/>
    </xf>
    <xf numFmtId="0" fontId="4" fillId="8" borderId="32" xfId="0" applyFont="1" applyFill="1" applyBorder="1" applyAlignment="1">
      <alignment horizontal="center" vertical="center"/>
    </xf>
    <xf numFmtId="0" fontId="4" fillId="8" borderId="33" xfId="0" applyFont="1" applyFill="1" applyBorder="1" applyAlignment="1">
      <alignment horizontal="center" vertical="center"/>
    </xf>
    <xf numFmtId="0" fontId="4" fillId="0" borderId="37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center" vertical="center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0" xfId="0" applyNumberFormat="1"/>
    <xf numFmtId="0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4" fillId="0" borderId="39" xfId="0" applyFont="1" applyFill="1" applyBorder="1" applyAlignment="1">
      <alignment horizontal="center" vertical="center"/>
    </xf>
    <xf numFmtId="0" fontId="4" fillId="0" borderId="39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4" fillId="0" borderId="3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/>
    </xf>
    <xf numFmtId="0" fontId="4" fillId="7" borderId="17" xfId="0" applyNumberFormat="1" applyFont="1" applyFill="1" applyBorder="1" applyAlignment="1">
      <alignment horizontal="left" vertical="center"/>
    </xf>
    <xf numFmtId="0" fontId="4" fillId="7" borderId="17" xfId="0" applyFont="1" applyFill="1" applyBorder="1" applyAlignment="1">
      <alignment horizontal="left" vertical="center"/>
    </xf>
    <xf numFmtId="14" fontId="4" fillId="7" borderId="17" xfId="0" applyNumberFormat="1" applyFont="1" applyFill="1" applyBorder="1" applyAlignment="1">
      <alignment horizontal="center" vertical="center"/>
    </xf>
    <xf numFmtId="164" fontId="4" fillId="7" borderId="17" xfId="0" applyNumberFormat="1" applyFont="1" applyFill="1" applyBorder="1" applyAlignment="1">
      <alignment horizontal="center" vertical="center"/>
    </xf>
    <xf numFmtId="164" fontId="4" fillId="7" borderId="18" xfId="0" applyNumberFormat="1" applyFont="1" applyFill="1" applyBorder="1" applyAlignment="1">
      <alignment horizontal="center" vertical="center"/>
    </xf>
    <xf numFmtId="0" fontId="4" fillId="7" borderId="41" xfId="0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0" fontId="4" fillId="7" borderId="45" xfId="0" applyFont="1" applyFill="1" applyBorder="1" applyAlignment="1">
      <alignment horizontal="center" vertical="center"/>
    </xf>
    <xf numFmtId="0" fontId="4" fillId="7" borderId="44" xfId="0" applyFont="1" applyFill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 wrapText="1"/>
    </xf>
    <xf numFmtId="0" fontId="4" fillId="7" borderId="47" xfId="0" applyNumberFormat="1" applyFont="1" applyFill="1" applyBorder="1" applyAlignment="1">
      <alignment horizontal="left" vertical="center"/>
    </xf>
    <xf numFmtId="0" fontId="4" fillId="7" borderId="47" xfId="0" applyFont="1" applyFill="1" applyBorder="1" applyAlignment="1">
      <alignment horizontal="left" vertical="center"/>
    </xf>
    <xf numFmtId="0" fontId="4" fillId="7" borderId="47" xfId="0" applyFont="1" applyFill="1" applyBorder="1" applyAlignment="1">
      <alignment horizontal="center" vertical="center"/>
    </xf>
    <xf numFmtId="14" fontId="4" fillId="7" borderId="47" xfId="0" applyNumberFormat="1" applyFont="1" applyFill="1" applyBorder="1" applyAlignment="1">
      <alignment horizontal="center" vertical="center"/>
    </xf>
    <xf numFmtId="164" fontId="4" fillId="7" borderId="47" xfId="0" applyNumberFormat="1" applyFont="1" applyFill="1" applyBorder="1" applyAlignment="1">
      <alignment horizontal="center" vertical="center"/>
    </xf>
    <xf numFmtId="164" fontId="4" fillId="7" borderId="48" xfId="0" applyNumberFormat="1" applyFont="1" applyFill="1" applyBorder="1" applyAlignment="1">
      <alignment horizontal="center" vertical="center"/>
    </xf>
    <xf numFmtId="0" fontId="4" fillId="7" borderId="49" xfId="0" applyFont="1" applyFill="1" applyBorder="1" applyAlignment="1">
      <alignment horizontal="center" vertical="center"/>
    </xf>
    <xf numFmtId="0" fontId="4" fillId="7" borderId="50" xfId="0" applyFont="1" applyFill="1" applyBorder="1" applyAlignment="1">
      <alignment horizontal="center" vertical="center"/>
    </xf>
    <xf numFmtId="0" fontId="4" fillId="7" borderId="51" xfId="0" applyFont="1" applyFill="1" applyBorder="1" applyAlignment="1">
      <alignment horizontal="center" vertical="center"/>
    </xf>
    <xf numFmtId="0" fontId="4" fillId="7" borderId="52" xfId="0" applyFont="1" applyFill="1" applyBorder="1" applyAlignment="1">
      <alignment horizontal="center" vertical="center"/>
    </xf>
    <xf numFmtId="0" fontId="4" fillId="7" borderId="53" xfId="0" applyFont="1" applyFill="1" applyBorder="1" applyAlignment="1">
      <alignment horizontal="center" vertical="center"/>
    </xf>
    <xf numFmtId="0" fontId="4" fillId="0" borderId="4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1" fillId="10" borderId="0" xfId="0" applyFont="1" applyFill="1" applyAlignment="1">
      <alignment horizontal="center"/>
    </xf>
    <xf numFmtId="0" fontId="4" fillId="0" borderId="17" xfId="0" applyNumberFormat="1" applyFont="1" applyFill="1" applyBorder="1" applyAlignment="1">
      <alignment horizontal="left" vertical="center"/>
    </xf>
    <xf numFmtId="14" fontId="4" fillId="0" borderId="17" xfId="0" applyNumberFormat="1" applyFont="1" applyFill="1" applyBorder="1" applyAlignment="1">
      <alignment horizontal="center" vertical="center"/>
    </xf>
    <xf numFmtId="0" fontId="4" fillId="0" borderId="41" xfId="0" applyFont="1" applyFill="1" applyBorder="1" applyAlignment="1">
      <alignment horizontal="center" vertical="center"/>
    </xf>
    <xf numFmtId="0" fontId="4" fillId="0" borderId="42" xfId="0" applyFont="1" applyFill="1" applyBorder="1" applyAlignment="1">
      <alignment horizontal="center" vertical="center"/>
    </xf>
    <xf numFmtId="0" fontId="4" fillId="0" borderId="28" xfId="0" applyFont="1" applyFill="1" applyBorder="1" applyAlignment="1">
      <alignment horizontal="center" vertical="center"/>
    </xf>
    <xf numFmtId="0" fontId="4" fillId="0" borderId="43" xfId="0" applyFont="1" applyFill="1" applyBorder="1" applyAlignment="1">
      <alignment horizontal="center" vertical="center"/>
    </xf>
    <xf numFmtId="0" fontId="4" fillId="0" borderId="44" xfId="0" applyFont="1" applyFill="1" applyBorder="1" applyAlignment="1">
      <alignment horizontal="center" vertical="center"/>
    </xf>
    <xf numFmtId="0" fontId="4" fillId="0" borderId="45" xfId="0" applyFont="1" applyFill="1" applyBorder="1" applyAlignment="1">
      <alignment horizontal="center" vertical="center"/>
    </xf>
    <xf numFmtId="0" fontId="4" fillId="0" borderId="17" xfId="0" applyNumberFormat="1" applyFont="1" applyFill="1" applyBorder="1" applyAlignment="1">
      <alignment horizontal="center" vertical="center"/>
    </xf>
    <xf numFmtId="0" fontId="11" fillId="0" borderId="17" xfId="70" applyFont="1" applyFill="1" applyBorder="1" applyAlignment="1">
      <alignment horizontal="center" vertical="center"/>
    </xf>
    <xf numFmtId="0" fontId="4" fillId="0" borderId="46" xfId="0" applyFont="1" applyFill="1" applyBorder="1" applyAlignment="1">
      <alignment horizontal="center" vertical="center"/>
    </xf>
    <xf numFmtId="0" fontId="1" fillId="11" borderId="17" xfId="0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left" vertical="center"/>
    </xf>
    <xf numFmtId="0" fontId="4" fillId="7" borderId="26" xfId="0" applyFont="1" applyFill="1" applyBorder="1" applyAlignment="1">
      <alignment horizontal="center" vertical="center"/>
    </xf>
    <xf numFmtId="0" fontId="1" fillId="11" borderId="47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center" vertical="center" wrapText="1"/>
    </xf>
  </cellXfs>
  <cellStyles count="71">
    <cellStyle name="%" xfId="63"/>
    <cellStyle name="Comma" xfId="62" builtinId="3"/>
    <cellStyle name="Excel Built-in Normal" xfId="64"/>
    <cellStyle name="Normal" xfId="0" builtinId="0"/>
    <cellStyle name="Normal 2" xfId="1"/>
    <cellStyle name="Normal 2 2" xfId="15"/>
    <cellStyle name="Normal 2 2 10" xfId="16"/>
    <cellStyle name="Normal 2 227" xfId="49"/>
    <cellStyle name="Normal 2 3" xfId="9"/>
    <cellStyle name="Normal 2 4" xfId="70"/>
    <cellStyle name="Normal 2 7" xfId="3"/>
    <cellStyle name="Normal 2 83 15" xfId="47"/>
    <cellStyle name="Normal 2 83 16" xfId="48"/>
    <cellStyle name="Normal 2 83 23" xfId="11"/>
    <cellStyle name="Normal 2 83 25" xfId="29"/>
    <cellStyle name="Normal 2 83 26" xfId="7"/>
    <cellStyle name="Normal 2 83 27" xfId="8"/>
    <cellStyle name="Normal 2 83 30" xfId="41"/>
    <cellStyle name="Normal 2 83 32" xfId="35"/>
    <cellStyle name="Normal 2 83 33" xfId="42"/>
    <cellStyle name="Normal 2 83 34" xfId="5"/>
    <cellStyle name="Normal 2 83 42" xfId="24"/>
    <cellStyle name="Normal 2 83 44" xfId="2"/>
    <cellStyle name="Normal 2 83 49" xfId="39"/>
    <cellStyle name="Normal 2 83 51" xfId="33"/>
    <cellStyle name="Normal 2 83 52" xfId="32"/>
    <cellStyle name="Normal 2 83 53" xfId="34"/>
    <cellStyle name="Normal 2 83 55" xfId="31"/>
    <cellStyle name="Normal 2 83 56" xfId="38"/>
    <cellStyle name="Normal 2 83 57" xfId="40"/>
    <cellStyle name="Normal 2 83 58" xfId="37"/>
    <cellStyle name="Normal 2 83 59" xfId="36"/>
    <cellStyle name="Normal 2 9 19" xfId="59"/>
    <cellStyle name="Normal 2 9 24" xfId="54"/>
    <cellStyle name="Normal 2 9 26" xfId="50"/>
    <cellStyle name="Normal 2 9 27" xfId="51"/>
    <cellStyle name="Normal 2 9 29" xfId="56"/>
    <cellStyle name="Normal 2 9 30" xfId="45"/>
    <cellStyle name="Normal 2 9 31" xfId="43"/>
    <cellStyle name="Normal 2 9 32" xfId="53"/>
    <cellStyle name="Normal 2 9 33" xfId="52"/>
    <cellStyle name="Normal 2 9 37" xfId="57"/>
    <cellStyle name="Normal 2 9 38" xfId="12"/>
    <cellStyle name="Normal 2 9 39" xfId="13"/>
    <cellStyle name="Normal 2 9 42" xfId="14"/>
    <cellStyle name="Normal 2 9 43" xfId="20"/>
    <cellStyle name="Normal 2 9 44" xfId="26"/>
    <cellStyle name="Normal 2 9 45" xfId="4"/>
    <cellStyle name="Normal 2 9 46" xfId="19"/>
    <cellStyle name="Normal 2 9 47" xfId="27"/>
    <cellStyle name="Normal 2 9 49" xfId="58"/>
    <cellStyle name="Normal 2 9 50" xfId="18"/>
    <cellStyle name="Normal 2 9 51" xfId="23"/>
    <cellStyle name="Normal 2 9 52" xfId="25"/>
    <cellStyle name="Normal 2 9 53" xfId="30"/>
    <cellStyle name="Normal 2 9 58" xfId="46"/>
    <cellStyle name="Normal 2 9 65" xfId="61"/>
    <cellStyle name="Normal 2 9 67 13" xfId="6"/>
    <cellStyle name="Normal 2 9 73" xfId="28"/>
    <cellStyle name="Normal 2 9 75" xfId="60"/>
    <cellStyle name="Normal 2 9 78" xfId="22"/>
    <cellStyle name="Normal 2 9 79" xfId="21"/>
    <cellStyle name="Normal 2 9 85" xfId="17"/>
    <cellStyle name="Normal 2 9 86" xfId="10"/>
    <cellStyle name="Normal 2 9 89" xfId="55"/>
    <cellStyle name="Normal 3" xfId="65"/>
    <cellStyle name="Normal 4" xfId="66"/>
    <cellStyle name="Normal 4 18" xfId="44"/>
    <cellStyle name="Normal 5" xfId="67"/>
    <cellStyle name="Normal 6" xfId="68"/>
    <cellStyle name="Normal 7" xfId="69"/>
  </cellStyles>
  <dxfs count="2600"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center" readingOrder="0"/>
    </dxf>
    <dxf>
      <alignment vertical="center" readingOrder="0"/>
    </dxf>
    <dxf>
      <alignment horizontal="center" readingOrder="0"/>
    </dxf>
    <dxf>
      <font>
        <b val="0"/>
      </font>
    </dxf>
    <dxf>
      <font>
        <b val="0"/>
      </font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</dxfs>
  <tableStyles count="0" defaultTableStyle="TableStyleMedium9" defaultPivotStyle="PivotStyleLight16"/>
  <colors>
    <mruColors>
      <color rgb="FFFFFFCC"/>
      <color rgb="FFCCFFCC"/>
      <color rgb="FFCC99FF"/>
      <color rgb="FFCCFFFF"/>
      <color rgb="FFCC00FF"/>
      <color rgb="FF0000FF"/>
      <color rgb="FF660066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uis Orlando Palavecino" refreshedDate="44056.414271643516" createdVersion="4" refreshedVersion="4" minRefreshableVersion="3" recordCount="332">
  <cacheSource type="worksheet">
    <worksheetSource ref="A1:Y1048576" sheet="Agents' Final Roster 0823-0829"/>
  </cacheSource>
  <cacheFields count="25">
    <cacheField name="ACM" numFmtId="0">
      <sharedItems containsBlank="1" count="10">
        <s v="Campero Juarez Maria Guadalupe"/>
        <s v="Pérez Zitzke Agustina"/>
        <s v="Ortiz Jose María"/>
        <s v="Perez Zitzke Agustina"/>
        <m/>
        <s v="REINSTATEMENT" u="1"/>
        <s v="PROMOTED" u="1"/>
        <s v="PENDING TERM" u="1"/>
        <s v="ACM TBD" u="1"/>
        <s v="TRANSFER" u="1"/>
      </sharedItems>
    </cacheField>
    <cacheField name="Supervisor" numFmtId="0">
      <sharedItems containsBlank="1" count="27">
        <s v="Arias Juan José"/>
        <s v="Vazquez Valladares Eduardo Alejandro"/>
        <s v="Corbera Susana Sofía"/>
        <s v="Criado Esteban"/>
        <s v="Gregoratti Juan Carlos"/>
        <s v="Britos Fernando José"/>
        <s v="Podazza Villagra Daniel Matias"/>
        <s v="Brandan Ernesto Alejandro"/>
        <s v="Esquivel Pavan Pamela Sol"/>
        <s v="Diaz Jesica Luciana"/>
        <s v="Gerez Andrea Soledad"/>
        <s v="Palomino Juan Pablo"/>
        <s v="Villa Aleman Alejandro Roberto"/>
        <s v="Grimaldi Agustina Sofía"/>
        <s v="Ramallo Jose Emanuel"/>
        <s v="Silva Gabriel Alberto"/>
        <s v="Bachur Karim"/>
        <s v="Mendoza Norma Mercedes"/>
        <s v="Albornoz Miguel "/>
        <m/>
        <s v="Rodriguez Paola Graciela" u="1"/>
        <s v="Supervisor TBD 1" u="1"/>
        <s v="Supervisor TBD 2" u="1"/>
        <s v="Supervisor TBD 3 CG" u="1"/>
        <s v="Supervisor TBD 3" u="1"/>
        <s v="Suopervisor TBD" u="1"/>
        <s v="Contrera Mayra Lucia" u="1"/>
      </sharedItems>
    </cacheField>
    <cacheField name="Last Name" numFmtId="0">
      <sharedItems containsBlank="1"/>
    </cacheField>
    <cacheField name="First Name" numFmtId="0">
      <sharedItems containsBlank="1"/>
    </cacheField>
    <cacheField name="Sunday" numFmtId="0">
      <sharedItems containsBlank="1"/>
    </cacheField>
    <cacheField name="Monday" numFmtId="0">
      <sharedItems containsBlank="1"/>
    </cacheField>
    <cacheField name="Tuesday" numFmtId="0">
      <sharedItems containsBlank="1"/>
    </cacheField>
    <cacheField name="Wednesday" numFmtId="0">
      <sharedItems containsBlank="1"/>
    </cacheField>
    <cacheField name="Thrusday" numFmtId="0">
      <sharedItems containsBlank="1"/>
    </cacheField>
    <cacheField name="Friday" numFmtId="0">
      <sharedItems containsBlank="1"/>
    </cacheField>
    <cacheField name="Saturday" numFmtId="0">
      <sharedItems containsBlank="1"/>
    </cacheField>
    <cacheField name="Attriton Date" numFmtId="0">
      <sharedItems containsNonDate="0" containsString="0" containsBlank="1"/>
    </cacheField>
    <cacheField name="Comments" numFmtId="0">
      <sharedItems containsBlank="1"/>
    </cacheField>
    <cacheField name="Type" numFmtId="0">
      <sharedItems containsBlank="1"/>
    </cacheField>
    <cacheField name="Sun Hrs." numFmtId="0">
      <sharedItems containsString="0" containsBlank="1" containsNumber="1" containsInteger="1" minValue="0" maxValue="0"/>
    </cacheField>
    <cacheField name="Mon Hrs." numFmtId="0">
      <sharedItems containsString="0" containsBlank="1" containsNumber="1" minValue="0" maxValue="6"/>
    </cacheField>
    <cacheField name="Tue Hrs." numFmtId="0">
      <sharedItems containsString="0" containsBlank="1" containsNumber="1" minValue="0" maxValue="6"/>
    </cacheField>
    <cacheField name="Wed Hrs." numFmtId="0">
      <sharedItems containsBlank="1" containsMixedTypes="1" containsNumber="1" minValue="0" maxValue="6"/>
    </cacheField>
    <cacheField name="Thu Hrs." numFmtId="0">
      <sharedItems containsString="0" containsBlank="1" containsNumber="1" minValue="0" maxValue="6"/>
    </cacheField>
    <cacheField name="Fri Hrs." numFmtId="0">
      <sharedItems containsString="0" containsBlank="1" containsNumber="1" minValue="0" maxValue="6"/>
    </cacheField>
    <cacheField name="Sat Hrs." numFmtId="0">
      <sharedItems containsString="0" containsBlank="1" containsNumber="1" containsInteger="1" minValue="0" maxValue="0"/>
    </cacheField>
    <cacheField name="Scheduled Hrs." numFmtId="0">
      <sharedItems containsBlank="1" containsMixedTypes="1" containsNumber="1" minValue="0" maxValue="30"/>
    </cacheField>
    <cacheField name="ACDID" numFmtId="0">
      <sharedItems containsBlank="1" containsMixedTypes="1" containsNumber="1" containsInteger="1" minValue="89000" maxValue="648392"/>
    </cacheField>
    <cacheField name="Agent´s Payroll Number" numFmtId="0">
      <sharedItems containsString="0" containsBlank="1" containsNumber="1" containsInteger="1" minValue="59401" maxValue="88365"/>
    </cacheField>
    <cacheField name="CCMSID" numFmtId="0">
      <sharedItems containsString="0" containsBlank="1" containsNumber="1" containsInteger="1" minValue="432923" maxValue="56346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uis Orlando Palavecino" refreshedDate="44056.414348148151" createdVersion="4" refreshedVersion="4" minRefreshableVersion="3" recordCount="332">
  <cacheSource type="worksheet">
    <worksheetSource ref="A1:AN1048576" sheet="Agents' Final Roster 0823-0829"/>
  </cacheSource>
  <cacheFields count="40">
    <cacheField name="ACM" numFmtId="0">
      <sharedItems containsBlank="1" count="10">
        <s v="Campero Juarez Maria Guadalupe"/>
        <s v="Pérez Zitzke Agustina"/>
        <s v="Ortiz Jose María"/>
        <s v="Perez Zitzke Agustina"/>
        <m/>
        <s v="REINSTATEMENT" u="1"/>
        <s v="PROMOTED" u="1"/>
        <s v="PENDING TERM" u="1"/>
        <s v="ACM TBD" u="1"/>
        <s v="TRANSFER" u="1"/>
      </sharedItems>
    </cacheField>
    <cacheField name="Supervisor" numFmtId="0">
      <sharedItems containsBlank="1" count="27">
        <s v="Arias Juan José"/>
        <s v="Vazquez Valladares Eduardo Alejandro"/>
        <s v="Corbera Susana Sofía"/>
        <s v="Criado Esteban"/>
        <s v="Gregoratti Juan Carlos"/>
        <s v="Britos Fernando José"/>
        <s v="Podazza Villagra Daniel Matias"/>
        <s v="Brandan Ernesto Alejandro"/>
        <s v="Esquivel Pavan Pamela Sol"/>
        <s v="Diaz Jesica Luciana"/>
        <s v="Gerez Andrea Soledad"/>
        <s v="Palomino Juan Pablo"/>
        <s v="Villa Aleman Alejandro Roberto"/>
        <s v="Grimaldi Agustina Sofía"/>
        <s v="Ramallo Jose Emanuel"/>
        <s v="Silva Gabriel Alberto"/>
        <s v="Bachur Karim"/>
        <s v="Mendoza Norma Mercedes"/>
        <s v="Albornoz Miguel "/>
        <m/>
        <s v="Rodriguez Paola Graciela" u="1"/>
        <s v="Supervisor TBD 1" u="1"/>
        <s v="Supervisor TBD 2" u="1"/>
        <s v="Supervisor TBD 3 CG" u="1"/>
        <s v="Supervisor TBD 3" u="1"/>
        <s v="Suopervisor TBD" u="1"/>
        <s v="Contrera Mayra Lucia" u="1"/>
      </sharedItems>
    </cacheField>
    <cacheField name="Last Name" numFmtId="0">
      <sharedItems containsBlank="1"/>
    </cacheField>
    <cacheField name="First Name" numFmtId="0">
      <sharedItems containsBlank="1"/>
    </cacheField>
    <cacheField name="Sunday" numFmtId="0">
      <sharedItems containsBlank="1"/>
    </cacheField>
    <cacheField name="Monday" numFmtId="0">
      <sharedItems containsBlank="1"/>
    </cacheField>
    <cacheField name="Tuesday" numFmtId="0">
      <sharedItems containsBlank="1"/>
    </cacheField>
    <cacheField name="Wednesday" numFmtId="0">
      <sharedItems containsBlank="1"/>
    </cacheField>
    <cacheField name="Thrusday" numFmtId="0">
      <sharedItems containsBlank="1"/>
    </cacheField>
    <cacheField name="Friday" numFmtId="0">
      <sharedItems containsBlank="1"/>
    </cacheField>
    <cacheField name="Saturday" numFmtId="0">
      <sharedItems containsBlank="1"/>
    </cacheField>
    <cacheField name="Attriton Date" numFmtId="0">
      <sharedItems containsNonDate="0" containsString="0" containsBlank="1"/>
    </cacheField>
    <cacheField name="Comments" numFmtId="0">
      <sharedItems containsBlank="1"/>
    </cacheField>
    <cacheField name="Type" numFmtId="0">
      <sharedItems containsBlank="1"/>
    </cacheField>
    <cacheField name="Sun Hrs." numFmtId="0">
      <sharedItems containsString="0" containsBlank="1" containsNumber="1" containsInteger="1" minValue="0" maxValue="0"/>
    </cacheField>
    <cacheField name="Mon Hrs." numFmtId="0">
      <sharedItems containsString="0" containsBlank="1" containsNumber="1" minValue="0" maxValue="6"/>
    </cacheField>
    <cacheField name="Tue Hrs." numFmtId="0">
      <sharedItems containsString="0" containsBlank="1" containsNumber="1" minValue="0" maxValue="6"/>
    </cacheField>
    <cacheField name="Wed Hrs." numFmtId="0">
      <sharedItems containsBlank="1" containsMixedTypes="1" containsNumber="1" minValue="0" maxValue="6"/>
    </cacheField>
    <cacheField name="Thu Hrs." numFmtId="0">
      <sharedItems containsString="0" containsBlank="1" containsNumber="1" minValue="0" maxValue="6"/>
    </cacheField>
    <cacheField name="Fri Hrs." numFmtId="0">
      <sharedItems containsString="0" containsBlank="1" containsNumber="1" minValue="0" maxValue="6"/>
    </cacheField>
    <cacheField name="Sat Hrs." numFmtId="0">
      <sharedItems containsString="0" containsBlank="1" containsNumber="1" containsInteger="1" minValue="0" maxValue="0"/>
    </cacheField>
    <cacheField name="Scheduled Hrs." numFmtId="0">
      <sharedItems containsBlank="1" containsMixedTypes="1" containsNumber="1" minValue="0" maxValue="30"/>
    </cacheField>
    <cacheField name="ACDID" numFmtId="0">
      <sharedItems containsBlank="1" containsMixedTypes="1" containsNumber="1" containsInteger="1" minValue="89000" maxValue="648392"/>
    </cacheField>
    <cacheField name="Agent´s Payroll Number" numFmtId="0">
      <sharedItems containsString="0" containsBlank="1" containsNumber="1" containsInteger="1" minValue="59401" maxValue="88365"/>
    </cacheField>
    <cacheField name="CCMSID" numFmtId="0">
      <sharedItems containsString="0" containsBlank="1" containsNumber="1" containsInteger="1" minValue="432923" maxValue="5634612"/>
    </cacheField>
    <cacheField name="LOB" numFmtId="0">
      <sharedItems containsBlank="1"/>
    </cacheField>
    <cacheField name="Secondary Skill" numFmtId="0">
      <sharedItems containsBlank="1"/>
    </cacheField>
    <cacheField name="Supervisor´s Payroll Numer" numFmtId="0">
      <sharedItems containsBlank="1" containsMixedTypes="1" containsNumber="1" containsInteger="1" minValue="64659" maxValue="85988"/>
    </cacheField>
    <cacheField name="ACM´s Payroll Number" numFmtId="0">
      <sharedItems containsBlank="1" containsMixedTypes="1" containsNumber="1" containsInteger="1" minValue="59438" maxValue="74054"/>
    </cacheField>
    <cacheField name="NT Loguin" numFmtId="0">
      <sharedItems containsBlank="1"/>
    </cacheField>
    <cacheField name="User #1" numFmtId="0">
      <sharedItems containsBlank="1"/>
    </cacheField>
    <cacheField name="WAHA desde" numFmtId="0">
      <sharedItems containsNonDate="0" containsDate="1" containsString="0" containsBlank="1" minDate="2020-03-20T00:00:00" maxDate="2020-07-29T00:00:00"/>
    </cacheField>
    <cacheField name="Telephone Number" numFmtId="0">
      <sharedItems containsBlank="1" containsMixedTypes="1" containsNumber="1" containsInteger="1" minValue="153048278" maxValue="385155980395"/>
    </cacheField>
    <cacheField name="DNI" numFmtId="0">
      <sharedItems containsString="0" containsBlank="1" containsNumber="1" containsInteger="1" minValue="22989370" maxValue="96001421"/>
    </cacheField>
    <cacheField name="CUIL" numFmtId="0">
      <sharedItems containsBlank="1" containsMixedTypes="1" containsNumber="1" containsInteger="1" minValue="20279062443" maxValue="27455133292"/>
    </cacheField>
    <cacheField name="TPARG Hire Date" numFmtId="0">
      <sharedItems containsNonDate="0" containsDate="1" containsString="0" containsBlank="1" minDate="2008-06-16T00:00:00" maxDate="2020-08-04T00:00:00"/>
    </cacheField>
    <cacheField name="Project Hire Date" numFmtId="0">
      <sharedItems containsNonDate="0" containsDate="1" containsString="0" containsBlank="1" minDate="2018-06-08T00:00:00" maxDate="2020-08-04T00:00:00"/>
    </cacheField>
    <cacheField name="Production Hire Date" numFmtId="0">
      <sharedItems containsNonDate="0" containsDate="1" containsString="0" containsBlank="1" minDate="2018-06-11T00:00:00" maxDate="2020-08-15T00:00:00"/>
    </cacheField>
    <cacheField name="Tenure" numFmtId="0">
      <sharedItems containsString="0" containsBlank="1" containsNumber="1" containsInteger="1" minValue="19" maxValue="4386"/>
    </cacheField>
    <cacheField name="Si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32">
  <r>
    <x v="0"/>
    <x v="0"/>
    <s v=" Bautista Boloña"/>
    <s v="Luciana Florencia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06"/>
    <n v="87043"/>
    <n v="3409624"/>
  </r>
  <r>
    <x v="0"/>
    <x v="0"/>
    <s v="Albornoz Perez"/>
    <s v="Jose Ezequiel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060"/>
    <n v="88037"/>
    <n v="3553112"/>
  </r>
  <r>
    <x v="0"/>
    <x v="0"/>
    <s v="Brito"/>
    <s v="Jesus Exequiel"/>
    <s v="OFF"/>
    <s v="Approved OFF"/>
    <s v="Approved OFF"/>
    <s v="Approved OFF"/>
    <s v="Approved OFF"/>
    <s v="Approved OFF"/>
    <s v="OFF"/>
    <m/>
    <s v="CAPA CSV2 a CSV3 08/11 - 08/26 (activo 08/27)(Hs Orig  15:00 - 21:00 OFF Dom Sab)"/>
    <s v="PT"/>
    <n v="0"/>
    <n v="0"/>
    <n v="0"/>
    <n v="0"/>
    <n v="0"/>
    <n v="0"/>
    <n v="0"/>
    <n v="0"/>
    <n v="89069"/>
    <n v="82613"/>
    <n v="2313015"/>
  </r>
  <r>
    <x v="0"/>
    <x v="0"/>
    <s v="Carabajal"/>
    <s v="Priscila Daia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18"/>
    <n v="86145"/>
    <n v="2358095"/>
  </r>
  <r>
    <x v="0"/>
    <x v="0"/>
    <s v="Casares"/>
    <s v="Diego Jesu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61"/>
    <n v="81099"/>
    <n v="1880623"/>
  </r>
  <r>
    <x v="0"/>
    <x v="0"/>
    <s v="Cisneros"/>
    <s v="Roxana Natal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37"/>
    <n v="87304"/>
    <n v="3462502"/>
  </r>
  <r>
    <x v="0"/>
    <x v="0"/>
    <s v="Corbera"/>
    <s v="Elena Beatriz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27"/>
    <n v="87314"/>
    <n v="3462518"/>
  </r>
  <r>
    <x v="1"/>
    <x v="1"/>
    <s v="Diaz"/>
    <s v="Fernando Gabri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64"/>
    <n v="85332"/>
    <n v="2811367"/>
  </r>
  <r>
    <x v="0"/>
    <x v="0"/>
    <s v="Escobar"/>
    <s v="Marcos Nahuel"/>
    <s v="OFF"/>
    <s v="Approved OFF"/>
    <s v="Approved OFF"/>
    <s v="Approved OFF"/>
    <s v="Approved OFF"/>
    <s v="Approved OFF"/>
    <s v="OFF"/>
    <m/>
    <s v="CAPA CSV2 a CSV3 08/11 - 08/26 (activo 08/27)(Hs Orig  15:00 - 21:00 OFF Dom Sab)"/>
    <s v="PT"/>
    <n v="0"/>
    <n v="0"/>
    <n v="0"/>
    <n v="0"/>
    <n v="0"/>
    <n v="0"/>
    <n v="0"/>
    <n v="0"/>
    <n v="89121"/>
    <n v="86155"/>
    <n v="2783079"/>
  </r>
  <r>
    <x v="0"/>
    <x v="0"/>
    <s v="Juarez"/>
    <s v="Carlos Lucian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25"/>
    <n v="86141"/>
    <n v="3118306"/>
  </r>
  <r>
    <x v="0"/>
    <x v="0"/>
    <s v="Muratore"/>
    <s v="Daiana Gabriel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53"/>
    <n v="82401"/>
    <n v="1063468"/>
  </r>
  <r>
    <x v="0"/>
    <x v="0"/>
    <s v="Nunez"/>
    <s v="Marcelo Nahu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64"/>
    <n v="86296"/>
    <n v="3133293"/>
  </r>
  <r>
    <x v="0"/>
    <x v="0"/>
    <s v="Ortiz"/>
    <s v="Silvina Gabriel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27"/>
    <n v="85614"/>
    <n v="2873639"/>
  </r>
  <r>
    <x v="0"/>
    <x v="0"/>
    <s v="Pockorny"/>
    <s v="Tomás Agustí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24"/>
    <n v="85621"/>
    <n v="2873911"/>
  </r>
  <r>
    <x v="0"/>
    <x v="0"/>
    <s v="Yapura"/>
    <s v="Cintia Elena del Valle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59"/>
    <n v="85474"/>
    <n v="2832262"/>
  </r>
  <r>
    <x v="0"/>
    <x v="2"/>
    <s v="Alonso"/>
    <s v="Facundo isma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313"/>
    <n v="88174"/>
    <n v="3624184"/>
  </r>
  <r>
    <x v="0"/>
    <x v="2"/>
    <s v="Alvarez Maziad"/>
    <s v="Monica Caroli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57"/>
    <n v="83603"/>
    <n v="2523112"/>
  </r>
  <r>
    <x v="0"/>
    <x v="2"/>
    <s v="Azubel"/>
    <s v="Solange 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25"/>
    <n v="87316"/>
    <n v="1100247"/>
  </r>
  <r>
    <x v="0"/>
    <x v="2"/>
    <s v="Cantos"/>
    <s v="Horacio Nicolas 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36"/>
    <n v="87308"/>
    <n v="3462509"/>
  </r>
  <r>
    <x v="0"/>
    <x v="2"/>
    <s v="Castillo"/>
    <s v="Angel Alberto 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04"/>
    <n v="85278"/>
    <n v="2803851"/>
  </r>
  <r>
    <x v="0"/>
    <x v="2"/>
    <s v="Chavarria Bevacqua"/>
    <s v="Silvana Carolina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07"/>
    <n v="87045"/>
    <n v="3409666"/>
  </r>
  <r>
    <x v="0"/>
    <x v="2"/>
    <s v="Del Pino"/>
    <s v="Agustin Alejandro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11"/>
    <n v="87057"/>
    <n v="3409641"/>
  </r>
  <r>
    <x v="0"/>
    <x v="2"/>
    <s v="Elias"/>
    <s v="Mario Jorge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19"/>
    <n v="86154"/>
    <n v="3118300"/>
  </r>
  <r>
    <x v="0"/>
    <x v="2"/>
    <s v="Garcia "/>
    <s v="Guillermo Eduardo"/>
    <s v="OFF"/>
    <s v="Approved OFF"/>
    <s v="Approved OFF"/>
    <s v="Approved OFF"/>
    <s v="Approved OFF"/>
    <s v="Approved OFF"/>
    <s v="OFF"/>
    <m/>
    <s v="CAPA CSV2 a CSV3 08/11 - 08/26 (activo 08/27)(Hs Orig  15:00 - 21:00 OFF Dom Sab)"/>
    <s v="PT"/>
    <n v="0"/>
    <n v="0"/>
    <n v="0"/>
    <n v="0"/>
    <n v="0"/>
    <n v="0"/>
    <n v="0"/>
    <n v="0"/>
    <n v="89001"/>
    <n v="83911"/>
    <n v="2657668"/>
  </r>
  <r>
    <x v="0"/>
    <x v="2"/>
    <s v="Gjugum"/>
    <s v="Sofia Denise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29"/>
    <n v="87310"/>
    <n v="3462512"/>
  </r>
  <r>
    <x v="0"/>
    <x v="2"/>
    <s v="Laitán Landro"/>
    <s v="Gimena Marí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56"/>
    <n v="85310"/>
    <n v="2811372"/>
  </r>
  <r>
    <x v="0"/>
    <x v="2"/>
    <s v="Martinez Teseyra"/>
    <s v="Mayra Belen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15"/>
    <n v="87060"/>
    <n v="3409628"/>
  </r>
  <r>
    <x v="0"/>
    <x v="2"/>
    <s v="Medina"/>
    <s v="Leyla Mar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41"/>
    <n v="87306"/>
    <n v="1729885"/>
  </r>
  <r>
    <x v="0"/>
    <x v="2"/>
    <s v="Nasif"/>
    <s v="Mara Bele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42"/>
    <n v="87300"/>
    <n v="3462489"/>
  </r>
  <r>
    <x v="0"/>
    <x v="2"/>
    <s v="Ricci"/>
    <s v="Marcos Jose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68"/>
    <n v="86288"/>
    <n v="3133272"/>
  </r>
  <r>
    <x v="0"/>
    <x v="2"/>
    <s v="Ruiz Barrionuevo"/>
    <s v="Isabella Catalina 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18"/>
    <n v="87054"/>
    <n v="3409729"/>
  </r>
  <r>
    <x v="0"/>
    <x v="3"/>
    <s v="Amicone"/>
    <s v="Juliet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84"/>
    <n v="86201"/>
    <n v="3120478"/>
  </r>
  <r>
    <x v="0"/>
    <x v="3"/>
    <s v="Arias"/>
    <s v="Ivan Santiag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92"/>
    <n v="86212"/>
    <n v="3119977"/>
  </r>
  <r>
    <x v="0"/>
    <x v="3"/>
    <s v="Bernard"/>
    <s v="Marian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78"/>
    <n v="86585"/>
    <n v="3290393"/>
  </r>
  <r>
    <x v="0"/>
    <x v="3"/>
    <s v="Blacut"/>
    <s v="Carolina Concepcion"/>
    <s v="OFF"/>
    <s v="13:00 - 19:00"/>
    <s v="13:00 - 19:00"/>
    <s v="13:00 - 19:00"/>
    <s v="13:00 - 19:00"/>
    <s v="13:00 - 19:00"/>
    <s v="OFF"/>
    <m/>
    <m/>
    <s v="PT"/>
    <n v="0"/>
    <n v="6"/>
    <n v="6"/>
    <n v="6"/>
    <n v="6"/>
    <n v="6"/>
    <n v="0"/>
    <n v="30"/>
    <n v="648379"/>
    <n v="64114"/>
    <n v="433384"/>
  </r>
  <r>
    <x v="0"/>
    <x v="3"/>
    <s v="Chico"/>
    <s v="Jessica Lilia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81"/>
    <n v="82194"/>
    <n v="2178609"/>
  </r>
  <r>
    <x v="0"/>
    <x v="3"/>
    <s v="Ferraro"/>
    <s v="David Franco Ramó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82"/>
    <n v="87912"/>
    <n v="3526348"/>
  </r>
  <r>
    <x v="0"/>
    <x v="3"/>
    <s v="Jandar"/>
    <s v="Fabio Nicolá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90"/>
    <n v="83918"/>
    <n v="2657804"/>
  </r>
  <r>
    <x v="0"/>
    <x v="3"/>
    <s v="Jerez"/>
    <s v="María Celeste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385"/>
    <n v="81571"/>
    <n v="1988450"/>
  </r>
  <r>
    <x v="0"/>
    <x v="3"/>
    <s v="Juri"/>
    <s v="Aida Del Valle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86"/>
    <n v="86032"/>
    <n v="3116938"/>
  </r>
  <r>
    <x v="0"/>
    <x v="3"/>
    <s v="Leal Martinez"/>
    <s v="Matias Emanu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52"/>
    <n v="80131"/>
    <n v="1567502"/>
  </r>
  <r>
    <x v="0"/>
    <x v="3"/>
    <s v="Mansilla"/>
    <s v="Karen Nicole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14"/>
    <n v="87056"/>
    <n v="3409650"/>
  </r>
  <r>
    <x v="0"/>
    <x v="3"/>
    <s v="Paz"/>
    <s v="Enzo Javier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61"/>
    <n v="85995"/>
    <n v="3116792"/>
  </r>
  <r>
    <x v="0"/>
    <x v="3"/>
    <s v="Ruiz"/>
    <s v="Daniel Antonio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383"/>
    <n v="86015"/>
    <n v="2765889"/>
  </r>
  <r>
    <x v="0"/>
    <x v="3"/>
    <s v="Salinas"/>
    <s v="Mariana Josefina"/>
    <s v="OFF"/>
    <s v="15:00 - 19:00"/>
    <s v="15:00 - 19:00"/>
    <s v="15:00 - 19:00"/>
    <s v="15:00 - 19:00"/>
    <s v="15:00 - 19:00"/>
    <s v="OFF"/>
    <m/>
    <m/>
    <s v="PT"/>
    <n v="0"/>
    <n v="4"/>
    <n v="4"/>
    <n v="4"/>
    <n v="4"/>
    <n v="4"/>
    <n v="0"/>
    <n v="20"/>
    <n v="648387"/>
    <n v="83101"/>
    <n v="1441889"/>
  </r>
  <r>
    <x v="0"/>
    <x v="3"/>
    <s v="Santucho"/>
    <s v="María del Rosario"/>
    <s v="OFF"/>
    <s v="LOA"/>
    <s v="LOA"/>
    <s v="LOA"/>
    <s v="LOA"/>
    <s v="LOA"/>
    <s v="OFF"/>
    <m/>
    <s v="LOA 08/06 - mm/dd (Hs Orig  15:00 - 19:00 OFF Dom Sab)"/>
    <s v="PT"/>
    <n v="0"/>
    <n v="0"/>
    <n v="0"/>
    <n v="0"/>
    <n v="0"/>
    <n v="0"/>
    <n v="0"/>
    <n v="0"/>
    <n v="648235"/>
    <n v="85552"/>
    <n v="2855603"/>
  </r>
  <r>
    <x v="0"/>
    <x v="3"/>
    <s v="Villagra"/>
    <s v="Daniela Alejandra 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061"/>
    <n v="88038"/>
    <n v="3553114"/>
  </r>
  <r>
    <x v="0"/>
    <x v="4"/>
    <s v="Agüero"/>
    <s v="Maria Micael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35"/>
    <n v="87307"/>
    <n v="3462508"/>
  </r>
  <r>
    <x v="0"/>
    <x v="4"/>
    <s v="Alarcon "/>
    <s v="Yanet Micaela"/>
    <s v="OFF"/>
    <s v="Approved OFF"/>
    <s v="Approved OFF"/>
    <s v="Approved OFF"/>
    <s v="Approved OFF"/>
    <s v="Approved OFF"/>
    <s v="OFF"/>
    <m/>
    <s v="CAPA CSV1 a CSV2 08/10 - 08/31 (activo 09/01)(Hs Orig  15:00 - 20:00 OFF Dom Sab)"/>
    <s v="PT"/>
    <n v="0"/>
    <n v="0"/>
    <n v="0"/>
    <n v="0"/>
    <n v="0"/>
    <n v="0"/>
    <n v="0"/>
    <n v="0"/>
    <n v="648058"/>
    <n v="88048"/>
    <n v="3553156"/>
  </r>
  <r>
    <x v="0"/>
    <x v="4"/>
    <s v="Blanco Brandan"/>
    <s v="Bianca Abigail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157"/>
    <n v="86290"/>
    <n v="3133275"/>
  </r>
  <r>
    <x v="0"/>
    <x v="4"/>
    <s v="Carrizo"/>
    <s v="Ulises Joel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648224"/>
    <n v="83409"/>
    <n v="2466183"/>
  </r>
  <r>
    <x v="0"/>
    <x v="4"/>
    <s v="Escobar"/>
    <s v="Carolina del Valle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22"/>
    <n v="86153"/>
    <n v="3118303"/>
  </r>
  <r>
    <x v="0"/>
    <x v="4"/>
    <s v="Garcia Jerez"/>
    <s v="Matias Agustin 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186"/>
    <n v="86334"/>
    <n v="3138482"/>
  </r>
  <r>
    <x v="0"/>
    <x v="4"/>
    <s v="Lafuente"/>
    <s v="Facundo Edel"/>
    <s v="OFF"/>
    <s v="Approved OFF"/>
    <s v="Approved OFF"/>
    <s v="Approved OFF"/>
    <s v="Approved OFF"/>
    <s v="Approved OFF"/>
    <s v="OFF"/>
    <m/>
    <s v="CAPA CSV1 a CSV2 08/10 - 08/31 (activo 09/01)(Hs Orig  16:00 - 21:00 OFF Dom Sab)"/>
    <s v="PT"/>
    <n v="0"/>
    <n v="0"/>
    <n v="0"/>
    <n v="0"/>
    <n v="0"/>
    <n v="0"/>
    <n v="0"/>
    <n v="0"/>
    <n v="648062"/>
    <n v="88050"/>
    <n v="3553149"/>
  </r>
  <r>
    <x v="0"/>
    <x v="4"/>
    <s v="Lescano"/>
    <s v="Daiana Gissel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312"/>
    <n v="88173"/>
    <n v="3624180"/>
  </r>
  <r>
    <x v="0"/>
    <x v="4"/>
    <s v="Lizárraga"/>
    <s v="Lucas Iván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648389"/>
    <n v="87712"/>
    <n v="3526355"/>
  </r>
  <r>
    <x v="0"/>
    <x v="4"/>
    <s v="Ochoa"/>
    <s v="Florencia Belen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103"/>
    <n v="85279"/>
    <n v="2804825"/>
  </r>
  <r>
    <x v="0"/>
    <x v="4"/>
    <s v="Pachao Medina"/>
    <s v="Juan Carlo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43"/>
    <n v="87301"/>
    <n v="3462491"/>
  </r>
  <r>
    <x v="2"/>
    <x v="5"/>
    <s v="Robles Marquez"/>
    <s v="Emilse Nahir"/>
    <s v="OFF"/>
    <s v="15:00 - 21:00"/>
    <s v="15:00 - 21:00"/>
    <s v="09:00 - 15:00"/>
    <s v="09:00 - 15:00"/>
    <s v="09:00 - 15:00"/>
    <s v="OFF"/>
    <m/>
    <m/>
    <s v="PT"/>
    <n v="0"/>
    <n v="6"/>
    <n v="6"/>
    <n v="6"/>
    <n v="6"/>
    <n v="6"/>
    <n v="0"/>
    <n v="30"/>
    <n v="648351"/>
    <n v="86179"/>
    <n v="3118459"/>
  </r>
  <r>
    <x v="0"/>
    <x v="4"/>
    <s v="Sanchez"/>
    <s v="Juan Jorge Augusto"/>
    <s v="OFF"/>
    <s v="Approved OFF"/>
    <s v="Approved OFF"/>
    <s v="Approved OFF"/>
    <s v="Approved OFF"/>
    <s v="Approved OFF"/>
    <s v="OFF"/>
    <m/>
    <s v="CAPA CSV1 a CSV2 08/10 - 08/31 (activo 09/01)(Hs Orig  16:00 - 21:00 OFF Dom Sab)"/>
    <s v="PT"/>
    <n v="0"/>
    <n v="0"/>
    <n v="0"/>
    <n v="0"/>
    <n v="0"/>
    <n v="0"/>
    <n v="0"/>
    <n v="0"/>
    <n v="648059"/>
    <n v="88036"/>
    <n v="3553110"/>
  </r>
  <r>
    <x v="0"/>
    <x v="4"/>
    <s v="Vitar"/>
    <s v="Nuria Mariel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135"/>
    <n v="86152"/>
    <n v="1154505"/>
  </r>
  <r>
    <x v="0"/>
    <x v="4"/>
    <s v="Yapura"/>
    <s v="Benito Javier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22"/>
    <n v="87048"/>
    <n v="3409593"/>
  </r>
  <r>
    <x v="0"/>
    <x v="6"/>
    <s v="Acosta"/>
    <s v="Ignacio Matias 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04"/>
    <n v="87044"/>
    <n v="3409636"/>
  </r>
  <r>
    <x v="0"/>
    <x v="6"/>
    <s v="Albarracin"/>
    <s v="Heber Wilson "/>
    <s v="OFF"/>
    <s v="Approved OFF"/>
    <s v="Approved OFF"/>
    <s v="Approved OFF"/>
    <s v="Approved OFF"/>
    <s v="Approved OFF"/>
    <s v="OFF"/>
    <m/>
    <s v="CAPA CSV1 a CSV2 08/10 - 08/31 (activo 09/01)(Hs Orig  15:00 - 20:00 OFF Dom Sab)"/>
    <s v="PT"/>
    <n v="0"/>
    <n v="0"/>
    <n v="0"/>
    <n v="0"/>
    <n v="0"/>
    <n v="0"/>
    <n v="0"/>
    <n v="0"/>
    <n v="89205"/>
    <n v="87052"/>
    <n v="2445607"/>
  </r>
  <r>
    <x v="0"/>
    <x v="6"/>
    <s v="Almaraz"/>
    <s v="Julio Cesar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311"/>
    <n v="88172"/>
    <n v="3624178"/>
  </r>
  <r>
    <x v="0"/>
    <x v="6"/>
    <s v="Antenucci"/>
    <s v="Aldana Belén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648073"/>
    <n v="88357"/>
    <n v="3667098"/>
  </r>
  <r>
    <x v="2"/>
    <x v="7"/>
    <s v="Burgos"/>
    <s v="Damaris Nahir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307"/>
    <n v="88168"/>
    <n v="3624164"/>
  </r>
  <r>
    <x v="0"/>
    <x v="6"/>
    <s v="Bustos"/>
    <s v="Cecilia Leonor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10"/>
    <n v="85199"/>
    <n v="2792749"/>
  </r>
  <r>
    <x v="0"/>
    <x v="6"/>
    <s v="Ciccarelli"/>
    <s v="Marycel Rocio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08"/>
    <n v="87049"/>
    <n v="1632745"/>
  </r>
  <r>
    <x v="0"/>
    <x v="6"/>
    <s v="De la Rosa"/>
    <s v="Solana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10"/>
    <n v="87061"/>
    <n v="3409646"/>
  </r>
  <r>
    <x v="0"/>
    <x v="6"/>
    <s v="Del Rio"/>
    <s v="Virginia Natal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305"/>
    <n v="88166"/>
    <n v="3624156"/>
  </r>
  <r>
    <x v="2"/>
    <x v="7"/>
    <s v="Galindez"/>
    <s v="Yuliana Lilia Denis"/>
    <s v="OFF"/>
    <s v="09:00 - 14:00"/>
    <s v="09:00 - 14:00"/>
    <s v="09:00 - 14:00"/>
    <s v="09:00 - 14:00"/>
    <s v="09:00 - 14:00"/>
    <s v="OFF"/>
    <m/>
    <s v="Cambio de horario provisorio durante Waha a 09:00 - 14:00 (Hs Orig  15:00 - 20:00 OFF Dom Sab)"/>
    <s v="PT"/>
    <n v="0"/>
    <n v="5.0000000000000009"/>
    <n v="5.0000000000000009"/>
    <n v="5.0000000000000009"/>
    <n v="5.0000000000000009"/>
    <n v="5.0000000000000009"/>
    <n v="0"/>
    <n v="25.000000000000004"/>
    <n v="89212"/>
    <n v="87058"/>
    <n v="2702133"/>
  </r>
  <r>
    <x v="0"/>
    <x v="6"/>
    <s v="Latina"/>
    <s v="Walter Fabian"/>
    <s v="OFF"/>
    <s v="Approved OFF"/>
    <s v="Approved OFF"/>
    <s v="Approved OFF"/>
    <s v="Approved OFF"/>
    <s v="Approved OFF"/>
    <s v="OFF"/>
    <m/>
    <s v="CAPA CSV1 a CSV2 08/10 - 08/31 (activo 09/01)(Hs Orig  16:00 - 21:00 OFF Dom Sab)"/>
    <s v="PT"/>
    <n v="0"/>
    <n v="0"/>
    <n v="0"/>
    <n v="0"/>
    <n v="0"/>
    <n v="0"/>
    <n v="0"/>
    <n v="0"/>
    <n v="648229"/>
    <n v="82706"/>
    <n v="1506174"/>
  </r>
  <r>
    <x v="0"/>
    <x v="6"/>
    <s v="Monteros"/>
    <s v="Maximiliano Leopoldo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72"/>
    <n v="88047"/>
    <n v="3553144"/>
  </r>
  <r>
    <x v="0"/>
    <x v="6"/>
    <s v="Nieva del Rio"/>
    <s v="Micaela Anab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16"/>
    <n v="87051"/>
    <n v="3409670"/>
  </r>
  <r>
    <x v="0"/>
    <x v="6"/>
    <s v="Perez Aguirre"/>
    <s v="Luis Alejandro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648081"/>
    <n v="88365"/>
    <n v="3667105"/>
  </r>
  <r>
    <x v="0"/>
    <x v="6"/>
    <s v="Roibon Mesias"/>
    <s v="Tomas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648233"/>
    <n v="84361"/>
    <n v="2741853"/>
  </r>
  <r>
    <x v="0"/>
    <x v="6"/>
    <s v="Romano"/>
    <s v="Juan Pablo 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44"/>
    <n v="87296"/>
    <n v="3462473"/>
  </r>
  <r>
    <x v="0"/>
    <x v="6"/>
    <s v="Romero"/>
    <s v="Romina Ailen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315"/>
    <n v="88176"/>
    <n v="3624188"/>
  </r>
  <r>
    <x v="0"/>
    <x v="6"/>
    <s v="Serrano"/>
    <s v="Maria Catalina"/>
    <s v="OFF"/>
    <s v="Approved OFF"/>
    <s v="Approved OFF"/>
    <s v="Approved OFF"/>
    <s v="Approved OFF"/>
    <s v="Approved OFF"/>
    <s v="OFF"/>
    <m/>
    <s v="CAPA CSV1 a CSV2 08/10 - 08/31 (activo 09/01)(Hs Orig  16:00 - 21:00 OFF Dom Sab)"/>
    <s v="PT"/>
    <n v="0"/>
    <n v="0"/>
    <n v="0"/>
    <n v="0"/>
    <n v="0"/>
    <n v="0"/>
    <n v="0"/>
    <n v="0"/>
    <n v="89219"/>
    <n v="87059"/>
    <n v="3267967"/>
  </r>
  <r>
    <x v="2"/>
    <x v="7"/>
    <s v="Argañaráz"/>
    <s v="Lucian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17"/>
    <n v="85609"/>
    <n v="1584478"/>
  </r>
  <r>
    <x v="2"/>
    <x v="7"/>
    <s v="Arias"/>
    <s v="Daniela Beatriz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25"/>
    <n v="85619"/>
    <n v="2873635"/>
  </r>
  <r>
    <x v="2"/>
    <x v="7"/>
    <s v="Campos"/>
    <s v="Rodrigo Federic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09"/>
    <n v="78561"/>
    <n v="1159887"/>
  </r>
  <r>
    <x v="2"/>
    <x v="7"/>
    <s v="Delgado"/>
    <s v="Jessica Elizabeth"/>
    <s v="OFF"/>
    <s v="Approved OFF"/>
    <s v="Approved OFF"/>
    <s v="Approved OFF"/>
    <s v="Approved OFF"/>
    <s v="Approved OFF"/>
    <s v="OFF"/>
    <m/>
    <s v="CAPA CSV2 a CSV3 08/11 - 08/26 (activo 08/27)(Hs Orig  09:00 - 15:00 OFF Dom Sab)"/>
    <s v="PT"/>
    <n v="0"/>
    <n v="0"/>
    <n v="0"/>
    <n v="0"/>
    <n v="0"/>
    <n v="0"/>
    <n v="0"/>
    <n v="0"/>
    <n v="89181"/>
    <n v="86326"/>
    <n v="3138477"/>
  </r>
  <r>
    <x v="2"/>
    <x v="7"/>
    <s v="Fernandez"/>
    <s v="Carolina del Valle 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84"/>
    <n v="86327"/>
    <n v="3138516"/>
  </r>
  <r>
    <x v="2"/>
    <x v="7"/>
    <s v="Galarce"/>
    <s v="Diego Jos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37"/>
    <n v="76594"/>
    <n v="796797"/>
  </r>
  <r>
    <x v="0"/>
    <x v="2"/>
    <s v="Guzman"/>
    <s v="Nahuel Maximiliano"/>
    <s v="OFF"/>
    <s v="15:00 - 21:00"/>
    <s v="15:00 - 21:00"/>
    <s v="15:00 - 21:00"/>
    <s v="15:00 - 21:00"/>
    <s v="15:00 - 21:00"/>
    <s v="OFF"/>
    <m/>
    <s v="Cambio de horario durante WAHA a 15:00 - 21:00  (Hs Orig  09:00 - 15:00 OFF Dom Sab)"/>
    <s v="PT"/>
    <n v="0"/>
    <n v="6"/>
    <n v="6"/>
    <n v="6"/>
    <n v="6"/>
    <n v="6"/>
    <n v="0"/>
    <n v="30"/>
    <n v="89188"/>
    <n v="86341"/>
    <n v="3138508"/>
  </r>
  <r>
    <x v="2"/>
    <x v="7"/>
    <s v="Lopez"/>
    <s v="Ana Valent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26"/>
    <n v="86147"/>
    <n v="3118280"/>
  </r>
  <r>
    <x v="2"/>
    <x v="7"/>
    <s v="Loto "/>
    <s v="Fernanda"/>
    <s v="OFF"/>
    <s v="LOA"/>
    <s v="LOA"/>
    <s v="LOA"/>
    <s v="LOA"/>
    <s v="LOA"/>
    <s v="OFF"/>
    <m/>
    <s v="LOA mm/dd - mm/dd (Hs Orig  09:00 - 15:00 OFF Dom Sab)"/>
    <s v="PT"/>
    <n v="0"/>
    <n v="0"/>
    <n v="0"/>
    <n v="0"/>
    <n v="0"/>
    <n v="0"/>
    <n v="0"/>
    <n v="0"/>
    <n v="89003"/>
    <n v="81254"/>
    <n v="1313201"/>
  </r>
  <r>
    <x v="2"/>
    <x v="7"/>
    <s v="Luna"/>
    <s v="Maria De Los Angele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85"/>
    <n v="82428"/>
    <n v="1581549"/>
  </r>
  <r>
    <x v="2"/>
    <x v="7"/>
    <s v="Mansilla"/>
    <s v="Micaela Bele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45"/>
    <n v="83798"/>
    <n v="2593757"/>
  </r>
  <r>
    <x v="2"/>
    <x v="7"/>
    <s v="Martinez"/>
    <s v="Lorena Macare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20"/>
    <n v="85612"/>
    <n v="2445213"/>
  </r>
  <r>
    <x v="2"/>
    <x v="7"/>
    <s v="Morales"/>
    <s v="Lucas Santiag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00"/>
    <n v="82330"/>
    <n v="1704898"/>
  </r>
  <r>
    <x v="2"/>
    <x v="7"/>
    <s v="Nuñez"/>
    <s v="Roxana Marcel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011"/>
    <n v="71634"/>
    <n v="513017"/>
  </r>
  <r>
    <x v="2"/>
    <x v="7"/>
    <s v="Palavecino"/>
    <s v="Marta Erika del Vall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38"/>
    <n v="77400"/>
    <n v="961948"/>
  </r>
  <r>
    <x v="2"/>
    <x v="7"/>
    <s v="Rivadeneira"/>
    <s v="Maira Belén"/>
    <s v="OFF"/>
    <s v="LOA"/>
    <s v="LOA"/>
    <s v="LOA"/>
    <s v="LOA"/>
    <s v="LOA"/>
    <s v="OFF"/>
    <m/>
    <s v="LOA mm/dd - mm/dd"/>
    <s v="PT"/>
    <n v="0"/>
    <n v="0"/>
    <n v="0"/>
    <n v="0"/>
    <n v="0"/>
    <n v="0"/>
    <n v="0"/>
    <n v="0"/>
    <n v="89006"/>
    <n v="83577"/>
    <n v="2523177"/>
  </r>
  <r>
    <x v="2"/>
    <x v="7"/>
    <s v="Rodriguez Ciccio"/>
    <s v="Nicolas Exequi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93"/>
    <n v="86339"/>
    <n v="3138527"/>
  </r>
  <r>
    <x v="2"/>
    <x v="7"/>
    <s v="Salas"/>
    <s v="Melina del Carme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32"/>
    <n v="86156"/>
    <n v="3118290"/>
  </r>
  <r>
    <x v="2"/>
    <x v="7"/>
    <s v="Santucho"/>
    <s v="Ramon Eduard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35"/>
    <n v="83852"/>
    <n v="2592591"/>
  </r>
  <r>
    <x v="2"/>
    <x v="7"/>
    <s v="Vargas"/>
    <s v="Ivan Xavier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175"/>
    <n v="86285"/>
    <n v="2831528"/>
  </r>
  <r>
    <x v="2"/>
    <x v="5"/>
    <s v="Alcaraz"/>
    <s v="Maria Gabriel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95"/>
    <n v="88157"/>
    <n v="3624105"/>
  </r>
  <r>
    <x v="2"/>
    <x v="5"/>
    <s v="Almada"/>
    <s v="Nancy Alejandra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648038"/>
    <n v="88032"/>
    <n v="3553100"/>
  </r>
  <r>
    <x v="2"/>
    <x v="8"/>
    <s v="Angulo"/>
    <s v="Luciano Nicolas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177"/>
    <n v="86333"/>
    <n v="3138500"/>
  </r>
  <r>
    <x v="2"/>
    <x v="5"/>
    <s v="Arias"/>
    <s v="Alvaro Rodrig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97"/>
    <n v="88158"/>
    <n v="3542988"/>
  </r>
  <r>
    <x v="2"/>
    <x v="5"/>
    <s v="Boffa"/>
    <s v="Maria de Los Angele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39"/>
    <n v="85338"/>
    <n v="2811355"/>
  </r>
  <r>
    <x v="2"/>
    <x v="5"/>
    <s v="Cerdeira"/>
    <s v="Rosana Valer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25"/>
    <n v="77345"/>
    <n v="946453"/>
  </r>
  <r>
    <x v="2"/>
    <x v="5"/>
    <s v="Cortes Jozami"/>
    <s v="Ana Sof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80"/>
    <n v="88142"/>
    <n v="3624021"/>
  </r>
  <r>
    <x v="2"/>
    <x v="5"/>
    <s v="Delgado"/>
    <s v="Maria Celest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78"/>
    <n v="88140"/>
    <n v="3623922"/>
  </r>
  <r>
    <x v="2"/>
    <x v="5"/>
    <s v="Dilodovico"/>
    <s v="Maria Florenc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26"/>
    <n v="83998"/>
    <n v="2714192"/>
  </r>
  <r>
    <x v="2"/>
    <x v="5"/>
    <s v="Infante Marcello"/>
    <s v="Christian Sebastia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61"/>
    <n v="86282"/>
    <n v="3133234"/>
  </r>
  <r>
    <x v="0"/>
    <x v="6"/>
    <s v="Jorge"/>
    <s v="German Omar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24"/>
    <n v="86148"/>
    <n v="3118297"/>
  </r>
  <r>
    <x v="2"/>
    <x v="5"/>
    <s v="Juarez"/>
    <s v="Patricia Isab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28"/>
    <n v="81801"/>
    <n v="2068786"/>
  </r>
  <r>
    <x v="2"/>
    <x v="5"/>
    <s v="Merlo"/>
    <s v="Rocio Agustina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648053"/>
    <n v="88029"/>
    <n v="3553091"/>
  </r>
  <r>
    <x v="2"/>
    <x v="5"/>
    <s v="Moreira"/>
    <s v="Fernando Ezequi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88"/>
    <n v="88150"/>
    <n v="2837489"/>
  </r>
  <r>
    <x v="2"/>
    <x v="5"/>
    <s v="Rodriguez"/>
    <s v="Maria Florencia 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69"/>
    <n v="86281"/>
    <n v="2464942"/>
  </r>
  <r>
    <x v="2"/>
    <x v="5"/>
    <s v="Vidal"/>
    <s v="Maria Elis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82"/>
    <n v="88144"/>
    <n v="3624024"/>
  </r>
  <r>
    <x v="2"/>
    <x v="5"/>
    <s v="Vizcarra"/>
    <s v="Ayelén Magalí del Vall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076"/>
    <n v="88360"/>
    <n v="3667100"/>
  </r>
  <r>
    <x v="2"/>
    <x v="9"/>
    <s v="Barros"/>
    <s v="Juan Carlo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06"/>
    <n v="85274"/>
    <n v="2804853"/>
  </r>
  <r>
    <x v="2"/>
    <x v="9"/>
    <s v="Bulacio Pereyra"/>
    <s v="Leandro Emiliano"/>
    <s v="OFF"/>
    <s v="Approved OFF"/>
    <s v="Approved OFF"/>
    <s v="Approved OFF"/>
    <s v="Approved OFF"/>
    <s v="Approved OFF"/>
    <s v="OFF"/>
    <m/>
    <s v="CAPA CSV2 a CSV3 08/11 - 08/26 (activo 08/27)(Hs Orig  09:00 - 15:00 OFF Dom Sab)"/>
    <s v="PT"/>
    <n v="0"/>
    <n v="0"/>
    <n v="0"/>
    <n v="0"/>
    <n v="0"/>
    <n v="0"/>
    <n v="0"/>
    <n v="0"/>
    <n v="89117"/>
    <n v="86142"/>
    <n v="3118266"/>
  </r>
  <r>
    <x v="2"/>
    <x v="9"/>
    <s v="Campos"/>
    <s v="Maria Bele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97"/>
    <n v="83159"/>
    <n v="2426406"/>
  </r>
  <r>
    <x v="2"/>
    <x v="9"/>
    <s v="Delgado"/>
    <s v="Daiana Mel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82"/>
    <n v="86332"/>
    <n v="3138445"/>
  </r>
  <r>
    <x v="2"/>
    <x v="9"/>
    <s v="Felipe "/>
    <s v="Erika Tamar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08"/>
    <n v="83111"/>
    <n v="2426435"/>
  </r>
  <r>
    <x v="2"/>
    <x v="9"/>
    <s v="Isa Massa "/>
    <s v="Leila Gabriel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10"/>
    <n v="78218"/>
    <n v="1167531"/>
  </r>
  <r>
    <x v="2"/>
    <x v="9"/>
    <s v="Jeréz"/>
    <s v="Eliana Del Milagr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04"/>
    <n v="65030"/>
    <n v="433692"/>
  </r>
  <r>
    <x v="2"/>
    <x v="9"/>
    <s v="Lopez"/>
    <s v="Ruth Micael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62"/>
    <n v="86292"/>
    <n v="3133281"/>
  </r>
  <r>
    <x v="2"/>
    <x v="9"/>
    <s v="Luna"/>
    <s v="Veronica Alejandr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27"/>
    <n v="86143"/>
    <n v="3118251"/>
  </r>
  <r>
    <x v="2"/>
    <x v="9"/>
    <s v="Malinar"/>
    <s v="Lore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86"/>
    <n v="82628"/>
    <n v="2313063"/>
  </r>
  <r>
    <x v="2"/>
    <x v="9"/>
    <s v="Molina "/>
    <s v="María Jime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05"/>
    <n v="80059"/>
    <n v="1535349"/>
  </r>
  <r>
    <x v="2"/>
    <x v="9"/>
    <s v="Morales Casen"/>
    <s v="Zaida Yamil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90"/>
    <n v="86338"/>
    <n v="3138452"/>
  </r>
  <r>
    <x v="2"/>
    <x v="9"/>
    <s v="Pacheco"/>
    <s v="Milagro Belen"/>
    <s v="OFF"/>
    <s v="Approved OFF"/>
    <s v="Approved OFF"/>
    <s v="Approved OFF"/>
    <s v="Approved OFF"/>
    <s v="Approved OFF"/>
    <s v="OFF"/>
    <m/>
    <s v="CAPA CSV2 a CSV3 08/11 - 08/26 (activo 08/27)(Hs Orig  09:00 - 15:00 OFF Dom Sab)"/>
    <s v="PT"/>
    <n v="0"/>
    <n v="0"/>
    <n v="0"/>
    <n v="0"/>
    <n v="0"/>
    <n v="0"/>
    <n v="0"/>
    <n v="0"/>
    <n v="89093"/>
    <n v="83709"/>
    <n v="2557023"/>
  </r>
  <r>
    <x v="2"/>
    <x v="9"/>
    <s v="Pavón"/>
    <s v="Marcos Fid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33"/>
    <n v="80925"/>
    <n v="1846621"/>
  </r>
  <r>
    <x v="2"/>
    <x v="9"/>
    <s v="Ponce"/>
    <s v="Lucia Emil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30"/>
    <n v="86149"/>
    <n v="1947342"/>
  </r>
  <r>
    <x v="2"/>
    <x v="9"/>
    <s v="Reyna "/>
    <s v="Edith Macaren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015"/>
    <n v="85607"/>
    <n v="2873901"/>
  </r>
  <r>
    <x v="2"/>
    <x v="9"/>
    <s v="Serra"/>
    <s v="Tamara 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71"/>
    <n v="86280"/>
    <n v="3133230"/>
  </r>
  <r>
    <x v="2"/>
    <x v="9"/>
    <s v="Silva"/>
    <s v="Franco Gabri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72"/>
    <n v="86295"/>
    <n v="3133292"/>
  </r>
  <r>
    <x v="2"/>
    <x v="9"/>
    <s v="Suarez"/>
    <s v="Maria Florencia"/>
    <s v="OFF"/>
    <s v="Approved OFF"/>
    <s v="Approved OFF"/>
    <s v="Approved OFF"/>
    <s v="Approved OFF"/>
    <s v="Approved OFF"/>
    <s v="OFF"/>
    <m/>
    <s v="CAPA CSV2 a CSV3 08/11 - 08/26 (activo 08/27)(Hs Orig  09:00 - 15:00 OFF Dom Sab)"/>
    <s v="PT"/>
    <n v="0"/>
    <n v="0"/>
    <n v="0"/>
    <n v="0"/>
    <n v="0"/>
    <n v="0"/>
    <n v="0"/>
    <n v="0"/>
    <n v="89034"/>
    <n v="80985"/>
    <n v="1880542"/>
  </r>
  <r>
    <x v="2"/>
    <x v="9"/>
    <s v="Valverde"/>
    <s v="Lourdes Oriana"/>
    <s v="OFF"/>
    <s v="Approved OFF"/>
    <s v="Approved OFF"/>
    <s v="Approved OFF"/>
    <s v="Approved OFF"/>
    <s v="Approved OFF"/>
    <s v="OFF"/>
    <m/>
    <s v="CAPA CSV2 a CSV3 08/11 - 08/26 (activo 08/27)(Hs Orig  09:00 - 15:00 OFF Dom Sab)"/>
    <s v="PT"/>
    <n v="0"/>
    <n v="0"/>
    <n v="0"/>
    <n v="0"/>
    <n v="0"/>
    <n v="0"/>
    <n v="0"/>
    <n v="0"/>
    <n v="89134"/>
    <n v="86146"/>
    <n v="3118276"/>
  </r>
  <r>
    <x v="2"/>
    <x v="8"/>
    <s v="Acosta"/>
    <s v="Joaquin Nicola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77"/>
    <n v="88139"/>
    <n v="3623919"/>
  </r>
  <r>
    <x v="2"/>
    <x v="8"/>
    <s v="Alderete"/>
    <s v="Mayra Luciana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89332"/>
    <n v="88362"/>
    <n v="3667102"/>
  </r>
  <r>
    <x v="2"/>
    <x v="8"/>
    <s v="Barrionuevo"/>
    <s v="Natalia Elizabeth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16"/>
    <n v="86139"/>
    <n v="3118248"/>
  </r>
  <r>
    <x v="2"/>
    <x v="8"/>
    <s v="Barros Fernandez"/>
    <s v="Maria Lucian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84"/>
    <n v="88146"/>
    <n v="3624026"/>
  </r>
  <r>
    <x v="2"/>
    <x v="8"/>
    <s v="Bonadelli"/>
    <s v="Angel Fabian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036"/>
    <n v="73450"/>
    <n v="567214"/>
  </r>
  <r>
    <x v="2"/>
    <x v="8"/>
    <s v="Correa"/>
    <s v="David Maximiliano"/>
    <s v="OFF"/>
    <s v="LOA"/>
    <s v="LOA"/>
    <s v="LOA"/>
    <s v="LOA"/>
    <s v="LOA"/>
    <s v="OFF"/>
    <m/>
    <s v="LOA mm/dd - mm/dd (Hs Orig  09:00 - 15:00 OFF Dom Sab)"/>
    <s v="PT"/>
    <n v="0"/>
    <n v="0"/>
    <n v="0"/>
    <n v="0"/>
    <n v="0"/>
    <n v="0"/>
    <n v="0"/>
    <n v="0"/>
    <n v="89159"/>
    <n v="86277"/>
    <n v="3133223"/>
  </r>
  <r>
    <x v="2"/>
    <x v="8"/>
    <s v="Guevara"/>
    <s v="Carlos August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60"/>
    <n v="86286"/>
    <n v="3133265"/>
  </r>
  <r>
    <x v="2"/>
    <x v="8"/>
    <s v="Jerez"/>
    <s v="Rodrigo Facundo 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89333"/>
    <n v="88363"/>
    <n v="3667103"/>
  </r>
  <r>
    <x v="2"/>
    <x v="8"/>
    <s v="Lazarte"/>
    <s v="Carlos Enriqu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87"/>
    <n v="83366"/>
    <n v="2455222"/>
  </r>
  <r>
    <x v="2"/>
    <x v="8"/>
    <s v="Lopez"/>
    <s v="Franco Dani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4"/>
    <n v="87513"/>
    <n v="3503290"/>
  </r>
  <r>
    <x v="2"/>
    <x v="8"/>
    <s v="Mendez"/>
    <s v="Maria Laura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89319"/>
    <n v="88349"/>
    <n v="3667091"/>
  </r>
  <r>
    <x v="2"/>
    <x v="8"/>
    <s v="Moreno"/>
    <s v="Fatima Rocio Belen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89318"/>
    <n v="88348"/>
    <n v="3667090"/>
  </r>
  <r>
    <x v="2"/>
    <x v="8"/>
    <s v="Navarro"/>
    <s v="Luciano Gustavo 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63"/>
    <n v="86291"/>
    <n v="1823340"/>
  </r>
  <r>
    <x v="2"/>
    <x v="8"/>
    <s v="Perez"/>
    <s v="Maria Jose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89325"/>
    <n v="88355"/>
    <n v="3667096"/>
  </r>
  <r>
    <x v="2"/>
    <x v="8"/>
    <s v="Reinoso Cisnero"/>
    <s v="Gaspar"/>
    <s v="OFF"/>
    <s v="09:00 - 15:00"/>
    <s v="09:00 - 15:00"/>
    <s v="SUS"/>
    <s v="09:00 - 15:00"/>
    <s v="09:00 - 15:00"/>
    <s v="OFF"/>
    <m/>
    <s v="SUS 08/19"/>
    <e v="#VALUE!"/>
    <n v="0"/>
    <n v="6"/>
    <n v="6"/>
    <e v="#VALUE!"/>
    <n v="6"/>
    <n v="6"/>
    <n v="0"/>
    <e v="#VALUE!"/>
    <n v="89192"/>
    <n v="86345"/>
    <n v="3138511"/>
  </r>
  <r>
    <x v="2"/>
    <x v="8"/>
    <s v="Rodriguez"/>
    <s v="Alejandra Isab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8"/>
    <n v="87599"/>
    <n v="3525648"/>
  </r>
  <r>
    <x v="2"/>
    <x v="8"/>
    <s v="Rossi"/>
    <s v="Griselda Anali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105"/>
    <n v="83066"/>
    <n v="2426256"/>
  </r>
  <r>
    <x v="2"/>
    <x v="8"/>
    <s v="Rotondo"/>
    <s v="Eliana Rom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46"/>
    <n v="85339"/>
    <n v="2811272"/>
  </r>
  <r>
    <x v="2"/>
    <x v="8"/>
    <s v="Soria"/>
    <s v="Agustín Said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94"/>
    <n v="86340"/>
    <n v="3138455"/>
  </r>
  <r>
    <x v="2"/>
    <x v="8"/>
    <s v="Torres Mariotti"/>
    <s v="Rocio Alejandr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88"/>
    <n v="84619"/>
    <n v="2745917"/>
  </r>
  <r>
    <x v="2"/>
    <x v="10"/>
    <s v="Carabajal"/>
    <s v="Paul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069"/>
    <n v="88353"/>
    <n v="3667094"/>
  </r>
  <r>
    <x v="2"/>
    <x v="10"/>
    <s v="Concha"/>
    <s v="Maria de las Mercedes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648051"/>
    <n v="88027"/>
    <n v="1213197"/>
  </r>
  <r>
    <x v="2"/>
    <x v="10"/>
    <s v="Corbera"/>
    <s v="Ana Florenc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91"/>
    <n v="83571"/>
    <n v="2523179"/>
  </r>
  <r>
    <x v="2"/>
    <x v="10"/>
    <s v="Décima"/>
    <s v="Alejo Nicola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317"/>
    <n v="88347"/>
    <n v="3123167"/>
  </r>
  <r>
    <x v="2"/>
    <x v="10"/>
    <s v="Del Valle"/>
    <s v="Silvin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87"/>
    <n v="88149"/>
    <n v="3624031"/>
  </r>
  <r>
    <x v="2"/>
    <x v="10"/>
    <s v="Gonzalez"/>
    <s v="Sofia Anahi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86"/>
    <n v="88148"/>
    <n v="3624029"/>
  </r>
  <r>
    <x v="2"/>
    <x v="10"/>
    <s v="Lopez "/>
    <s v="Rosa Mariana 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90"/>
    <n v="83904"/>
    <n v="2657802"/>
  </r>
  <r>
    <x v="2"/>
    <x v="10"/>
    <s v="Lugones Agüero"/>
    <s v="Alejo Ezequiel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648052"/>
    <n v="88028"/>
    <n v="3553088"/>
  </r>
  <r>
    <x v="2"/>
    <x v="10"/>
    <s v="Marín"/>
    <s v="Melisa Betsabé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76"/>
    <n v="88138"/>
    <n v="3623917"/>
  </r>
  <r>
    <x v="2"/>
    <x v="10"/>
    <s v="Moreno"/>
    <s v="Damari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91"/>
    <n v="86331"/>
    <n v="3138494"/>
  </r>
  <r>
    <x v="2"/>
    <x v="10"/>
    <s v="Ocaranza"/>
    <s v="Jonathan Franco "/>
    <s v="OFF"/>
    <s v="Approved OFF"/>
    <s v="Approved OFF"/>
    <s v="Approved OFF"/>
    <s v="Approved OFF"/>
    <s v="Approved OFF"/>
    <s v="OFF"/>
    <m/>
    <s v="CAPA CSV1 a CSV2 08/10 - 08/31 (activo 09/01)(Hs Orig  10:00 - 15:00 OFF Dom Sab)"/>
    <s v="PT"/>
    <n v="0"/>
    <n v="0"/>
    <n v="0"/>
    <n v="0"/>
    <n v="0"/>
    <n v="0"/>
    <n v="0"/>
    <n v="0"/>
    <n v="89255"/>
    <n v="88030"/>
    <n v="2852874"/>
  </r>
  <r>
    <x v="2"/>
    <x v="10"/>
    <s v="Sanchez"/>
    <s v="Maria Florencia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648050"/>
    <n v="88026"/>
    <n v="3553083"/>
  </r>
  <r>
    <x v="2"/>
    <x v="10"/>
    <s v="Suarez"/>
    <s v="Alicia Veronic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65"/>
    <n v="76572"/>
    <n v="796746"/>
  </r>
  <r>
    <x v="2"/>
    <x v="10"/>
    <s v="Suarez Yapura"/>
    <s v="Agost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85"/>
    <n v="88147"/>
    <n v="3624028"/>
  </r>
  <r>
    <x v="2"/>
    <x v="10"/>
    <s v="Tula"/>
    <s v="Luciana Belen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79"/>
    <n v="88141"/>
    <n v="3623928"/>
  </r>
  <r>
    <x v="2"/>
    <x v="10"/>
    <s v="Visuara"/>
    <s v="Alberto Nicolas Emanu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37"/>
    <n v="78142"/>
    <n v="1154719"/>
  </r>
  <r>
    <x v="2"/>
    <x v="10"/>
    <s v="Vizgarra"/>
    <s v="Valentina Ercil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83"/>
    <n v="88145"/>
    <n v="3624025"/>
  </r>
  <r>
    <x v="2"/>
    <x v="10"/>
    <s v="Zerrizuela"/>
    <s v="Mariana Agost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32"/>
    <n v="81902"/>
    <n v="2102074"/>
  </r>
  <r>
    <x v="2"/>
    <x v="10"/>
    <s v="Zottoli"/>
    <s v="Gonzalo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93"/>
    <n v="88155"/>
    <n v="3624072"/>
  </r>
  <r>
    <x v="3"/>
    <x v="11"/>
    <s v="Almaraz"/>
    <s v="Leonela María del Valle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648221"/>
    <n v="85556"/>
    <n v="2758426"/>
  </r>
  <r>
    <x v="3"/>
    <x v="11"/>
    <s v="Martinez Lorenzo"/>
    <s v="Nayla Ayele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30"/>
    <n v="81664"/>
    <n v="2024463"/>
  </r>
  <r>
    <x v="3"/>
    <x v="12"/>
    <s v="Emeterio Toscano"/>
    <s v="Anabel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83"/>
    <n v="86343"/>
    <n v="3138530"/>
  </r>
  <r>
    <x v="3"/>
    <x v="12"/>
    <s v="Gonzalez"/>
    <s v="Cristian Daniel Antoni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94"/>
    <n v="85804"/>
    <n v="2911897"/>
  </r>
  <r>
    <x v="3"/>
    <x v="12"/>
    <s v="Orellana"/>
    <s v="Maria Cecilia"/>
    <s v="OFF"/>
    <s v="09:00 - 14:00"/>
    <s v="09:00 - 14:00"/>
    <s v="09:00 - 14:00"/>
    <s v="09:00 - 14:00"/>
    <s v="09:00 - 14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366"/>
    <n v="87029"/>
    <n v="3405729"/>
  </r>
  <r>
    <x v="3"/>
    <x v="12"/>
    <s v="Rojas"/>
    <s v="Maria Bele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64"/>
    <n v="75493"/>
    <n v="717244"/>
  </r>
  <r>
    <x v="3"/>
    <x v="12"/>
    <s v="Teves"/>
    <s v="Emiliano Gabriel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013"/>
    <n v="72480"/>
    <n v="538948"/>
  </r>
  <r>
    <x v="0"/>
    <x v="0"/>
    <s v="Ale"/>
    <s v=" Rocío Agusti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02"/>
    <n v="87695"/>
    <n v="3526421"/>
  </r>
  <r>
    <x v="0"/>
    <x v="0"/>
    <s v="Aragón"/>
    <s v="Maria Celeste"/>
    <s v="OFF"/>
    <s v="LOA"/>
    <s v="LOA"/>
    <s v="LOA"/>
    <s v="LOA"/>
    <s v="LOA"/>
    <s v="OFF"/>
    <m/>
    <s v="LOA mm/dd - mm/dd (Hs Orig  15:00 - 21:00 OFF Dom Sab)"/>
    <s v="PT"/>
    <n v="0"/>
    <n v="0"/>
    <n v="0"/>
    <n v="0"/>
    <n v="0"/>
    <n v="0"/>
    <n v="0"/>
    <n v="0"/>
    <n v="648303"/>
    <n v="87688"/>
    <n v="1546296"/>
  </r>
  <r>
    <x v="0"/>
    <x v="0"/>
    <s v="Cejas"/>
    <s v="Ignacio Marti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06"/>
    <n v="87262"/>
    <n v="2837797"/>
  </r>
  <r>
    <x v="0"/>
    <x v="0"/>
    <s v="Quiroga"/>
    <s v=" Marianella Stefan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5"/>
    <n v="87719"/>
    <n v="3526375"/>
  </r>
  <r>
    <x v="0"/>
    <x v="2"/>
    <s v="Pomo"/>
    <s v=" Daniel Nicola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4"/>
    <n v="87699"/>
    <n v="3526445"/>
  </r>
  <r>
    <x v="0"/>
    <x v="2"/>
    <s v="Soto"/>
    <s v="Fatima Bele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46"/>
    <n v="87302"/>
    <n v="3462494"/>
  </r>
  <r>
    <x v="0"/>
    <x v="3"/>
    <s v="Formoselle"/>
    <s v="Ivana Veronic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0"/>
    <n v="87705"/>
    <n v="3526463"/>
  </r>
  <r>
    <x v="0"/>
    <x v="3"/>
    <s v="Giolito"/>
    <s v="Maira Elizabeth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39"/>
    <n v="87297"/>
    <n v="1294127"/>
  </r>
  <r>
    <x v="0"/>
    <x v="3"/>
    <s v="López"/>
    <s v=" Matias Gonzal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1"/>
    <n v="87722"/>
    <n v="3526400"/>
  </r>
  <r>
    <x v="0"/>
    <x v="3"/>
    <s v="Palavecino"/>
    <s v=" Pablo Maurici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2"/>
    <n v="87701"/>
    <n v="2000078"/>
  </r>
  <r>
    <x v="3"/>
    <x v="1"/>
    <s v="Coronel"/>
    <s v=" José Benjamí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07"/>
    <n v="87685"/>
    <n v="3526349"/>
  </r>
  <r>
    <x v="0"/>
    <x v="4"/>
    <s v="Ferroni"/>
    <s v="Carlos Agusti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08"/>
    <n v="87882"/>
    <n v="3123170"/>
  </r>
  <r>
    <x v="0"/>
    <x v="4"/>
    <s v="Figueroa"/>
    <s v="Aranda Marí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09"/>
    <n v="87715"/>
    <n v="2353705"/>
  </r>
  <r>
    <x v="0"/>
    <x v="4"/>
    <s v="Quiroga Castro"/>
    <s v="Franco Nicolas"/>
    <s v="OFF"/>
    <s v="Approved OFF"/>
    <s v="Approved OFF"/>
    <s v="Approved OFF"/>
    <s v="Approved OFF"/>
    <s v="Approved OFF"/>
    <s v="OFF"/>
    <m/>
    <s v="CAPA CSV1 a CSV2 08/10 - 08/31 (activo 09/01)(Hs Orig  15:00 - 20:00 OFF Dom Sab)"/>
    <s v="PT"/>
    <n v="0"/>
    <n v="0"/>
    <n v="0"/>
    <n v="0"/>
    <n v="0"/>
    <n v="0"/>
    <n v="0"/>
    <n v="0"/>
    <n v="89217"/>
    <n v="87050"/>
    <n v="3409733"/>
  </r>
  <r>
    <x v="3"/>
    <x v="13"/>
    <s v="Ale"/>
    <s v="Micaela Estefan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92"/>
    <n v="88154"/>
    <n v="3624040"/>
  </r>
  <r>
    <x v="3"/>
    <x v="13"/>
    <s v="Avellaneda"/>
    <s v="Nicolás Alfred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0"/>
    <n v="87868"/>
    <n v="1831428"/>
  </r>
  <r>
    <x v="3"/>
    <x v="13"/>
    <s v="Courel"/>
    <s v="Axel Nahu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68"/>
    <n v="76309"/>
    <n v="765954"/>
  </r>
  <r>
    <x v="3"/>
    <x v="13"/>
    <s v="Gamero Albornoz"/>
    <s v="Romina"/>
    <s v="OFF"/>
    <s v="09:00 - 15:00"/>
    <s v="09:00 - 15:00"/>
    <s v="09:00 - 15:00"/>
    <s v="09:00 - 15:00"/>
    <s v="09:00 - 15:00"/>
    <s v="OFF"/>
    <m/>
    <s v="Back from VAC 0802 - 08/16 (Hs Orig  09:00 - 15:00 OFF Dom Sab)"/>
    <s v="PT"/>
    <n v="0"/>
    <n v="6"/>
    <n v="6"/>
    <n v="6"/>
    <n v="6"/>
    <n v="6"/>
    <n v="0"/>
    <n v="30"/>
    <n v="648291"/>
    <n v="64167"/>
    <n v="433490"/>
  </r>
  <r>
    <x v="3"/>
    <x v="13"/>
    <s v="Gomez Toledo"/>
    <s v="Marianela Lujan"/>
    <s v="OFF"/>
    <s v="09:00 - 14:00"/>
    <s v="09:00 - 14:00"/>
    <s v="09:00 - 14:00"/>
    <s v="09:00 - 14:00"/>
    <s v="09:00 - 14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375"/>
    <n v="76198"/>
    <n v="765944"/>
  </r>
  <r>
    <x v="3"/>
    <x v="13"/>
    <s v="Juarez"/>
    <s v="Luciano Matia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2"/>
    <n v="71798"/>
    <n v="516965"/>
  </r>
  <r>
    <x v="3"/>
    <x v="13"/>
    <s v="Juarez"/>
    <s v="Ana Sof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3"/>
    <n v="80050"/>
    <n v="1535101"/>
  </r>
  <r>
    <x v="3"/>
    <x v="13"/>
    <s v="Mariani"/>
    <s v="Maria Cecil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91"/>
    <n v="81639"/>
    <n v="2024635"/>
  </r>
  <r>
    <x v="3"/>
    <x v="13"/>
    <s v="Mendez"/>
    <s v="Leandro Dari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5"/>
    <n v="87670"/>
    <n v="3525831"/>
  </r>
  <r>
    <x v="3"/>
    <x v="13"/>
    <s v="Monges"/>
    <s v="Elina Teres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6"/>
    <n v="60260"/>
    <n v="433236"/>
  </r>
  <r>
    <x v="3"/>
    <x v="13"/>
    <s v="Olivera"/>
    <s v="Irene Marc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59"/>
    <n v="75641"/>
    <n v="730819"/>
  </r>
  <r>
    <x v="3"/>
    <x v="13"/>
    <s v="Porello"/>
    <s v="Maria Belé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7"/>
    <n v="87883"/>
    <n v="3534209"/>
  </r>
  <r>
    <x v="3"/>
    <x v="13"/>
    <s v="Ricci"/>
    <s v="Rocio del Valle"/>
    <s v="OFF"/>
    <s v="Approved OFF"/>
    <s v="Approved OFF"/>
    <s v="Approved OFF"/>
    <s v="Approved OFF"/>
    <s v="Approved OFF"/>
    <s v="OFF"/>
    <m/>
    <s v="CAPA CSV1 a CSV2 08/10 - 08/31 (activo 09/01)(Hs Orig  09:00 - 14:00 OFF Dom Sab)"/>
    <s v="PT"/>
    <n v="0"/>
    <n v="0"/>
    <n v="0"/>
    <n v="0"/>
    <n v="0"/>
    <n v="0"/>
    <n v="0"/>
    <n v="0"/>
    <n v="648039"/>
    <n v="88033"/>
    <n v="3553104"/>
  </r>
  <r>
    <x v="3"/>
    <x v="13"/>
    <s v="Sosa"/>
    <s v="Maria Luc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9"/>
    <n v="87895"/>
    <n v="3534360"/>
  </r>
  <r>
    <x v="3"/>
    <x v="13"/>
    <s v="Uncos"/>
    <s v="Cristian Carlo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00"/>
    <n v="87867"/>
    <n v="3534207"/>
  </r>
  <r>
    <x v="3"/>
    <x v="13"/>
    <s v="Villa"/>
    <s v="Luciana Pamela"/>
    <s v="OFF"/>
    <s v="Approved OFF"/>
    <s v="Approved OFF"/>
    <s v="Approved OFF"/>
    <s v="Approved OFF"/>
    <s v="Approved OFF"/>
    <s v="OFF"/>
    <m/>
    <s v="CAPA CSV1 a CSV2 08/10 - 08/31 (activo 09/01)(Hs Orig  10:00 - 15:00 OFF Dom Sab)"/>
    <s v="PT"/>
    <n v="0"/>
    <n v="0"/>
    <n v="0"/>
    <n v="0"/>
    <n v="0"/>
    <n v="0"/>
    <n v="0"/>
    <n v="0"/>
    <n v="648040"/>
    <n v="88034"/>
    <n v="3553109"/>
  </r>
  <r>
    <x v="3"/>
    <x v="13"/>
    <s v="Zamorano Ortiz"/>
    <s v="Gabriel Marti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01"/>
    <n v="87891"/>
    <n v="3522061"/>
  </r>
  <r>
    <x v="3"/>
    <x v="11"/>
    <s v="Agüero"/>
    <s v="Fatima Noemi"/>
    <s v="OFF"/>
    <s v="09:00 - 14:00"/>
    <s v="09:00 - 14:00"/>
    <s v="09:00 - 14:00"/>
    <s v="09:00 - 14:00"/>
    <s v="09:00 - 14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220"/>
    <n v="80879"/>
    <n v="1833170"/>
  </r>
  <r>
    <x v="3"/>
    <x v="11"/>
    <s v="Aguero Peralta"/>
    <s v="Edith Alejandra Mabel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648041"/>
    <n v="88035"/>
    <n v="3553153"/>
  </r>
  <r>
    <x v="3"/>
    <x v="11"/>
    <s v="Castillo"/>
    <s v="Ana Elizabeth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67"/>
    <n v="84602"/>
    <n v="2744900"/>
  </r>
  <r>
    <x v="3"/>
    <x v="11"/>
    <s v="Ezquer Texeira"/>
    <s v="Mariana del Rosari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50"/>
    <n v="83317"/>
    <n v="2445631"/>
  </r>
  <r>
    <x v="3"/>
    <x v="11"/>
    <s v="Garcia"/>
    <s v="Francisco Antoni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76"/>
    <n v="86048"/>
    <n v="3124769"/>
  </r>
  <r>
    <x v="3"/>
    <x v="11"/>
    <s v="Gomez"/>
    <s v="Silvana Elizabeth"/>
    <s v="OFF"/>
    <s v="09:00 - 14:00"/>
    <s v="09:00 - 14:00"/>
    <s v="09:00 - 14:00"/>
    <s v="09:00 - 14:00"/>
    <s v="09:00 - 14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358"/>
    <n v="80032"/>
    <n v="1534867"/>
  </r>
  <r>
    <x v="3"/>
    <x v="11"/>
    <s v="Mereles Zerda"/>
    <s v="Ana Carol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74"/>
    <n v="85181"/>
    <n v="2360478"/>
  </r>
  <r>
    <x v="3"/>
    <x v="11"/>
    <s v="Pacheco"/>
    <s v="Miguel Alfred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18"/>
    <n v="85610"/>
    <n v="2873906"/>
  </r>
  <r>
    <x v="3"/>
    <x v="11"/>
    <s v="Parraga"/>
    <s v="Guillermo Nicola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56"/>
    <n v="68100"/>
    <n v="500872"/>
  </r>
  <r>
    <x v="3"/>
    <x v="11"/>
    <s v="Ramirez Zorrilla"/>
    <s v="Maria Fernand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62"/>
    <n v="70186"/>
    <n v="487637"/>
  </r>
  <r>
    <x v="3"/>
    <x v="11"/>
    <s v="Rivas"/>
    <s v="Yanina Del Vall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60"/>
    <n v="81211"/>
    <n v="1915088"/>
  </r>
  <r>
    <x v="3"/>
    <x v="11"/>
    <s v="Sanchez"/>
    <s v="Maria Victori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89"/>
    <n v="88151"/>
    <n v="1690062"/>
  </r>
  <r>
    <x v="3"/>
    <x v="11"/>
    <s v="Sanchez"/>
    <s v="Rita Victor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73"/>
    <n v="84600"/>
    <n v="1601683"/>
  </r>
  <r>
    <x v="3"/>
    <x v="11"/>
    <s v="Sanna"/>
    <s v="Luis Fernand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57"/>
    <n v="59401"/>
    <n v="432923"/>
  </r>
  <r>
    <x v="3"/>
    <x v="11"/>
    <s v="Soria Juarez"/>
    <s v="Eugenia Soledad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63"/>
    <n v="83489"/>
    <n v="2490376"/>
  </r>
  <r>
    <x v="3"/>
    <x v="11"/>
    <s v="Teseyra"/>
    <s v="Maria Estefan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71"/>
    <n v="80860"/>
    <n v="1817065"/>
  </r>
  <r>
    <x v="3"/>
    <x v="11"/>
    <s v="Vizcarra"/>
    <s v="Katerina Soledad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72"/>
    <n v="81847"/>
    <n v="2076324"/>
  </r>
  <r>
    <x v="0"/>
    <x v="6"/>
    <s v="Caro"/>
    <s v="Carolina Analia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648380"/>
    <n v="79759"/>
    <n v="1466034"/>
  </r>
  <r>
    <x v="0"/>
    <x v="6"/>
    <s v="Ríos Yeser"/>
    <s v=" María Florenc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6"/>
    <n v="87724"/>
    <n v="3526407"/>
  </r>
  <r>
    <x v="3"/>
    <x v="14"/>
    <s v="Antoni"/>
    <s v="Pablo Sebastian"/>
    <s v="OFF"/>
    <s v="13:00 - 18:00"/>
    <s v="13:00 - 18:00"/>
    <s v="13:00 - 18:00"/>
    <s v="13:00 - 18:00"/>
    <s v="OFF"/>
    <s v="OFF"/>
    <m/>
    <m/>
    <s v="PT"/>
    <n v="0"/>
    <n v="5.0000000000000009"/>
    <n v="5.0000000000000009"/>
    <n v="5.0000000000000009"/>
    <n v="5.0000000000000009"/>
    <n v="0"/>
    <n v="0"/>
    <n v="20.000000000000004"/>
    <n v="648222"/>
    <n v="84367"/>
    <n v="2741462"/>
  </r>
  <r>
    <x v="3"/>
    <x v="14"/>
    <s v="Avellaneda"/>
    <s v="Juan Jose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308"/>
    <n v="88169"/>
    <n v="3624172"/>
  </r>
  <r>
    <x v="3"/>
    <x v="14"/>
    <s v="Bazan"/>
    <s v="Melina Soledad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045"/>
    <n v="88043"/>
    <n v="3553124"/>
  </r>
  <r>
    <x v="3"/>
    <x v="14"/>
    <s v="Bravo"/>
    <s v="Agustin Gonzal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02"/>
    <n v="82973"/>
    <n v="2397193"/>
  </r>
  <r>
    <x v="3"/>
    <x v="14"/>
    <s v="Caamaño"/>
    <s v="Emmanuel David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64"/>
    <n v="88039"/>
    <n v="3553117"/>
  </r>
  <r>
    <x v="3"/>
    <x v="14"/>
    <s v="Cáceres"/>
    <s v="Jose Maxim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60"/>
    <n v="84980"/>
    <n v="2783370"/>
  </r>
  <r>
    <x v="3"/>
    <x v="14"/>
    <s v="Carmona"/>
    <s v="Camila Bele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303"/>
    <n v="88164"/>
    <n v="3624151"/>
  </r>
  <r>
    <x v="3"/>
    <x v="14"/>
    <s v="Dominguez"/>
    <s v="Julian Ernest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077"/>
    <n v="88361"/>
    <n v="3667101"/>
  </r>
  <r>
    <x v="3"/>
    <x v="14"/>
    <s v="Fernandez"/>
    <s v="Luciana Anahi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53"/>
    <n v="69253"/>
    <n v="464833"/>
  </r>
  <r>
    <x v="3"/>
    <x v="14"/>
    <s v="Gomez"/>
    <s v="Maria Emil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30"/>
    <n v="87309"/>
    <n v="3462510"/>
  </r>
  <r>
    <x v="3"/>
    <x v="14"/>
    <s v="Gonzalez"/>
    <s v="Elizabeth de los Angele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99"/>
    <n v="88160"/>
    <n v="2538332"/>
  </r>
  <r>
    <x v="3"/>
    <x v="14"/>
    <s v="González"/>
    <s v="Enzo Javier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075"/>
    <n v="88359"/>
    <n v="3646861"/>
  </r>
  <r>
    <x v="3"/>
    <x v="14"/>
    <s v="Guerra"/>
    <s v="Héctor Gonzalo"/>
    <s v="OFF"/>
    <s v="14:00 - 20:00"/>
    <s v="14:00 - 20:00"/>
    <s v="14:00 - 20:00"/>
    <s v="14:00 - 20:00"/>
    <s v="14:00 - 20:00"/>
    <s v="OFF"/>
    <m/>
    <m/>
    <s v="PT"/>
    <n v="0"/>
    <n v="6"/>
    <n v="6"/>
    <n v="6"/>
    <n v="6"/>
    <n v="6"/>
    <n v="0"/>
    <n v="30"/>
    <n v="648227"/>
    <n v="84358"/>
    <n v="2741865"/>
  </r>
  <r>
    <x v="3"/>
    <x v="14"/>
    <s v="Juarez Fernandez"/>
    <s v="Juan Gabri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88"/>
    <n v="84641"/>
    <n v="2746225"/>
  </r>
  <r>
    <x v="3"/>
    <x v="14"/>
    <s v="Moya"/>
    <s v="Nadia Florencia"/>
    <s v="OFF"/>
    <s v="14:00 - 20:00"/>
    <s v="14:00 - 20:00"/>
    <s v="14:00 - 20:00"/>
    <s v="14:00 - 20:00"/>
    <s v="14:00 - 20:00"/>
    <s v="OFF"/>
    <m/>
    <m/>
    <s v="PT"/>
    <n v="0"/>
    <n v="6"/>
    <n v="6"/>
    <n v="6"/>
    <n v="6"/>
    <n v="6"/>
    <n v="0"/>
    <n v="30"/>
    <n v="648239"/>
    <n v="79828"/>
    <n v="1496443"/>
  </r>
  <r>
    <x v="3"/>
    <x v="14"/>
    <s v="Perez Flores"/>
    <s v="Leandro Nahu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3"/>
    <n v="87884"/>
    <n v="3102002"/>
  </r>
  <r>
    <x v="3"/>
    <x v="14"/>
    <s v="Prado"/>
    <s v="Maria de los Angele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67"/>
    <n v="86287"/>
    <n v="3133268"/>
  </r>
  <r>
    <x v="3"/>
    <x v="14"/>
    <s v="Sevilla"/>
    <s v="Lourdes Florenc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334"/>
    <n v="88364"/>
    <n v="3667104"/>
  </r>
  <r>
    <x v="3"/>
    <x v="1"/>
    <s v="Torres"/>
    <s v="Maria Jose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7"/>
    <n v="87259"/>
    <n v="3448408"/>
  </r>
  <r>
    <x v="3"/>
    <x v="14"/>
    <s v="Valenzuela"/>
    <s v="Gonzalo Rene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21"/>
    <n v="87055"/>
    <n v="3409601"/>
  </r>
  <r>
    <x v="3"/>
    <x v="1"/>
    <s v="Acosta"/>
    <s v="Gaston Exequiel 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74"/>
    <n v="88049"/>
    <n v="3553148"/>
  </r>
  <r>
    <x v="3"/>
    <x v="1"/>
    <s v="Alvarez"/>
    <s v="Alejandra Liliana 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24"/>
    <n v="87317"/>
    <n v="3462526"/>
  </r>
  <r>
    <x v="3"/>
    <x v="1"/>
    <s v="Alvarez"/>
    <s v="Lucas Gabriel"/>
    <s v="OFF"/>
    <s v="Approved OFF"/>
    <s v="Approved OFF"/>
    <s v="Approved OFF"/>
    <s v="Approved OFF"/>
    <s v="Approved OFF"/>
    <s v="OFF"/>
    <m/>
    <s v="CAPA CSV1 a CSV2 08/10 - 08/31 (activo 09/01)(Hs Orig  15:00 - 20:00 OFF Dom Sab)"/>
    <s v="PT"/>
    <n v="0"/>
    <n v="0"/>
    <n v="0"/>
    <n v="0"/>
    <n v="0"/>
    <n v="0"/>
    <n v="0"/>
    <n v="0"/>
    <n v="648036"/>
    <n v="88040"/>
    <n v="1664812"/>
  </r>
  <r>
    <x v="3"/>
    <x v="1"/>
    <s v="Artaza"/>
    <s v=" Milagro Ileana Marib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04"/>
    <n v="87686"/>
    <n v="3526354"/>
  </r>
  <r>
    <x v="3"/>
    <x v="1"/>
    <s v="Caballero"/>
    <s v="Matias Nahuel"/>
    <s v="OFF"/>
    <s v="Approved OFF"/>
    <s v="Approved OFF"/>
    <s v="Approved OFF"/>
    <s v="Approved OFF"/>
    <s v="Approved OFF"/>
    <s v="OFF"/>
    <m/>
    <s v="CAPA CSV2 a CSV3 08/11 - 08/26 (activo 08/27)(Hs Orig  15:00 - 21:00 OFF Dom Sab)"/>
    <s v="PT"/>
    <n v="0"/>
    <n v="0"/>
    <n v="0"/>
    <n v="0"/>
    <n v="0"/>
    <n v="0"/>
    <n v="0"/>
    <n v="0"/>
    <n v="89022"/>
    <n v="85620"/>
    <n v="2873657"/>
  </r>
  <r>
    <x v="3"/>
    <x v="1"/>
    <s v="Castro del Sastre"/>
    <s v="Camila Belén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328"/>
    <n v="88358"/>
    <n v="3667099"/>
  </r>
  <r>
    <x v="3"/>
    <x v="1"/>
    <s v="Cipolla "/>
    <s v="Naim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07"/>
    <n v="83376"/>
    <n v="2453507"/>
  </r>
  <r>
    <x v="3"/>
    <x v="1"/>
    <s v="Correa"/>
    <s v="Ana Gabriela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09"/>
    <n v="87053"/>
    <n v="3409633"/>
  </r>
  <r>
    <x v="3"/>
    <x v="1"/>
    <s v="Delgado"/>
    <s v="Alejandra Noemi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300"/>
    <n v="88161"/>
    <n v="3624113"/>
  </r>
  <r>
    <x v="3"/>
    <x v="1"/>
    <s v="Delgado"/>
    <s v="Solana Abigai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38"/>
    <n v="87299"/>
    <n v="3295607"/>
  </r>
  <r>
    <x v="3"/>
    <x v="1"/>
    <s v="Gómez"/>
    <s v="Jonás 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87"/>
    <n v="86336"/>
    <n v="3138449"/>
  </r>
  <r>
    <x v="3"/>
    <x v="1"/>
    <s v="Ocampo"/>
    <s v="Franco Vicente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326"/>
    <n v="88356"/>
    <n v="3667097"/>
  </r>
  <r>
    <x v="3"/>
    <x v="1"/>
    <s v="Pavone"/>
    <s v="David Emanuel"/>
    <s v="OFF"/>
    <s v="Approved OFF"/>
    <s v="Approved OFF"/>
    <s v="Approved OFF"/>
    <s v="Approved OFF"/>
    <s v="Approved OFF"/>
    <s v="OFF"/>
    <m/>
    <s v="CAPA CSV2 a CSV3 08/11 - 08/26 (activo 08/27)(Hs Orig  15:00 - 21:00 OFF Dom Sab)"/>
    <s v="PT"/>
    <n v="0"/>
    <n v="0"/>
    <n v="0"/>
    <n v="0"/>
    <n v="0"/>
    <n v="0"/>
    <n v="0"/>
    <n v="0"/>
    <n v="89101"/>
    <n v="83362"/>
    <n v="2178550"/>
  </r>
  <r>
    <x v="3"/>
    <x v="1"/>
    <s v="Ruiz"/>
    <s v="Jimena Alejandr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31"/>
    <n v="87313"/>
    <n v="2001850"/>
  </r>
  <r>
    <x v="3"/>
    <x v="12"/>
    <s v="Alcorta"/>
    <s v="Carla Andre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23"/>
    <n v="87320"/>
    <n v="3462531"/>
  </r>
  <r>
    <x v="3"/>
    <x v="12"/>
    <s v="Blac Sleiman"/>
    <s v="David Exequiel"/>
    <s v="OFF"/>
    <s v="10:00 - 15:00"/>
    <s v="10:00 - 15:00"/>
    <s v="10:00 - 15:00"/>
    <s v="10:00 - 15:00"/>
    <s v="OFF"/>
    <s v="OFF"/>
    <m/>
    <m/>
    <s v="PT"/>
    <n v="0"/>
    <n v="5"/>
    <n v="5"/>
    <n v="5"/>
    <n v="5"/>
    <n v="0"/>
    <n v="0"/>
    <n v="20"/>
    <n v="89023"/>
    <n v="85615"/>
    <n v="2646185"/>
  </r>
  <r>
    <x v="3"/>
    <x v="12"/>
    <s v="Carrasco Paiva"/>
    <s v="Jhonny Dani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316"/>
    <n v="88346"/>
    <n v="3667089"/>
  </r>
  <r>
    <x v="3"/>
    <x v="12"/>
    <s v="Casella Lorca"/>
    <s v="Gianfranco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321"/>
    <n v="88351"/>
    <n v="3123376"/>
  </r>
  <r>
    <x v="3"/>
    <x v="12"/>
    <s v="Castro"/>
    <s v="Diego Nicolas 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26"/>
    <n v="87319"/>
    <n v="3462528"/>
  </r>
  <r>
    <x v="3"/>
    <x v="12"/>
    <s v="Cuello"/>
    <s v="Paula Marian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91"/>
    <n v="88153"/>
    <n v="3624035"/>
  </r>
  <r>
    <x v="3"/>
    <x v="12"/>
    <s v="Fernandez Lafuente"/>
    <s v="Elia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23"/>
    <n v="86151"/>
    <n v="3118301"/>
  </r>
  <r>
    <x v="3"/>
    <x v="12"/>
    <s v="Guerra"/>
    <s v="Carlos Martin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648067"/>
    <n v="88350"/>
    <n v="3667092"/>
  </r>
  <r>
    <x v="3"/>
    <x v="12"/>
    <s v="Medina"/>
    <s v="Olga Tamar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31"/>
    <n v="81663"/>
    <n v="2025854"/>
  </r>
  <r>
    <x v="3"/>
    <x v="12"/>
    <s v="Navarro"/>
    <s v="Florencia Yudith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29"/>
    <n v="86144"/>
    <n v="3118271"/>
  </r>
  <r>
    <x v="3"/>
    <x v="12"/>
    <s v="Palavecino"/>
    <s v="Maria Laur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s v="89322 "/>
    <n v="88352"/>
    <n v="3667093"/>
  </r>
  <r>
    <x v="3"/>
    <x v="12"/>
    <s v="Parrado Quiroga"/>
    <s v="Gimena Mariso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65"/>
    <n v="86283"/>
    <n v="3133256"/>
  </r>
  <r>
    <x v="3"/>
    <x v="12"/>
    <s v="Salas"/>
    <s v="Romina Mercede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81"/>
    <n v="88143"/>
    <n v="3624022"/>
  </r>
  <r>
    <x v="3"/>
    <x v="12"/>
    <s v="Sánchez"/>
    <s v="Pedro Alejandr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34"/>
    <n v="80591"/>
    <n v="1676298"/>
  </r>
  <r>
    <x v="3"/>
    <x v="12"/>
    <s v="Soto"/>
    <s v="Eric Emanu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36"/>
    <n v="84355"/>
    <n v="2741813"/>
  </r>
  <r>
    <x v="3"/>
    <x v="12"/>
    <s v="Trionfini"/>
    <s v="Monica Lucian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174"/>
    <n v="86284"/>
    <n v="1412049"/>
  </r>
  <r>
    <x v="2"/>
    <x v="15"/>
    <s v="Ballesteros"/>
    <s v="Gabriela Elizabeth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5633771"/>
  </r>
  <r>
    <x v="2"/>
    <x v="15"/>
    <s v="Figueroa"/>
    <s v="Paula Crist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5633837"/>
  </r>
  <r>
    <x v="2"/>
    <x v="15"/>
    <s v="Pacheco"/>
    <s v="Florencia Agost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5633840"/>
  </r>
  <r>
    <x v="2"/>
    <x v="15"/>
    <s v="Aramayo"/>
    <s v="Fihama Loreley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5633847"/>
  </r>
  <r>
    <x v="2"/>
    <x v="15"/>
    <s v="Rayó"/>
    <s v="Rodrigo Exequi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5633865"/>
  </r>
  <r>
    <x v="0"/>
    <x v="16"/>
    <s v="Mercado"/>
    <s v="Mikaela Sabri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3871"/>
  </r>
  <r>
    <x v="0"/>
    <x v="16"/>
    <s v="Terriaca Lemme"/>
    <s v="Flavia Solai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3877"/>
  </r>
  <r>
    <x v="0"/>
    <x v="16"/>
    <s v="Ucciardello"/>
    <s v="Luciana Daniz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038"/>
  </r>
  <r>
    <x v="0"/>
    <x v="16"/>
    <s v="Dilascio"/>
    <s v="Miguel Ang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041"/>
  </r>
  <r>
    <x v="0"/>
    <x v="16"/>
    <s v="Rodríguez"/>
    <s v="Brenda Agosti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046"/>
  </r>
  <r>
    <x v="0"/>
    <x v="16"/>
    <s v="Montaldo"/>
    <s v="Sol Agusti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051"/>
  </r>
  <r>
    <x v="0"/>
    <x v="16"/>
    <s v="Yanelli"/>
    <s v="Aníbal Hector Francisc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068"/>
  </r>
  <r>
    <x v="0"/>
    <x v="16"/>
    <s v="Pascual"/>
    <s v="Silvio Dani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612"/>
  </r>
  <r>
    <x v="0"/>
    <x v="16"/>
    <s v="Contreras"/>
    <s v="Fernando Gonzal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072"/>
  </r>
  <r>
    <x v="0"/>
    <x v="16"/>
    <s v="Navarro"/>
    <s v="Luciana Antonell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075"/>
  </r>
  <r>
    <x v="0"/>
    <x v="16"/>
    <s v="Albornoz"/>
    <s v="Luciana de los Angele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436665"/>
  </r>
  <r>
    <x v="2"/>
    <x v="15"/>
    <s v="Asen Ruiz"/>
    <s v="Mirta Anahí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849916"/>
  </r>
  <r>
    <x v="0"/>
    <x v="16"/>
    <s v="Avellaneda"/>
    <s v="Rocío Mari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320633"/>
  </r>
  <r>
    <x v="0"/>
    <x v="16"/>
    <s v="Baez Silberstein"/>
    <s v="Santiag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41"/>
  </r>
  <r>
    <x v="0"/>
    <x v="16"/>
    <s v="Coria"/>
    <s v="A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49"/>
  </r>
  <r>
    <x v="2"/>
    <x v="15"/>
    <s v="Flores"/>
    <s v="Ana Cecil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851211"/>
  </r>
  <r>
    <x v="0"/>
    <x v="17"/>
    <s v="Garcia Bulacio"/>
    <s v="Lucian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54"/>
  </r>
  <r>
    <x v="0"/>
    <x v="17"/>
    <s v="Gomez"/>
    <s v="Lourdes Marí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65"/>
  </r>
  <r>
    <x v="0"/>
    <x v="17"/>
    <s v="Gonzalez Conidares"/>
    <s v="Enzo Mica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28"/>
  </r>
  <r>
    <x v="0"/>
    <x v="17"/>
    <s v="González Jiménez"/>
    <s v="Jorge Ivá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68"/>
  </r>
  <r>
    <x v="2"/>
    <x v="15"/>
    <s v="Guitiérrez"/>
    <s v="Emmanuel Maximilian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849918"/>
  </r>
  <r>
    <x v="0"/>
    <x v="17"/>
    <s v="Ibañez"/>
    <s v="Jeremias Rau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1308377"/>
  </r>
  <r>
    <x v="2"/>
    <x v="15"/>
    <s v="Lazarte"/>
    <s v="María Ine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1929044"/>
  </r>
  <r>
    <x v="0"/>
    <x v="17"/>
    <s v="Ledesma"/>
    <s v="Maria Florenc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59"/>
  </r>
  <r>
    <x v="0"/>
    <x v="17"/>
    <s v="Lobo"/>
    <s v="Migu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63"/>
  </r>
  <r>
    <x v="3"/>
    <x v="18"/>
    <s v="Lucero"/>
    <s v="Noel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851271"/>
  </r>
  <r>
    <x v="0"/>
    <x v="17"/>
    <s v="Martinez"/>
    <s v="Yahir Jesu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36"/>
  </r>
  <r>
    <x v="0"/>
    <x v="17"/>
    <s v="Martinez Iturbe"/>
    <s v="Santiago Isaac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64"/>
  </r>
  <r>
    <x v="3"/>
    <x v="18"/>
    <s v="Medina"/>
    <s v="Maria del Vall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1525070"/>
  </r>
  <r>
    <x v="3"/>
    <x v="18"/>
    <s v="Mendoza"/>
    <s v="Rocío Camil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528515"/>
  </r>
  <r>
    <x v="0"/>
    <x v="17"/>
    <s v="Montenegro Mansilla"/>
    <s v="Milagro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76"/>
  </r>
  <r>
    <x v="3"/>
    <x v="18"/>
    <s v="Peñaloza"/>
    <s v="María Rom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1187330"/>
  </r>
  <r>
    <x v="0"/>
    <x v="17"/>
    <s v="Pons Amún"/>
    <s v="Solana Agosti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77"/>
  </r>
  <r>
    <x v="3"/>
    <x v="18"/>
    <s v="Ribotis"/>
    <s v="Juliet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851218"/>
  </r>
  <r>
    <x v="3"/>
    <x v="18"/>
    <s v="Risso"/>
    <s v="Florencia Maris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851213"/>
  </r>
  <r>
    <x v="3"/>
    <x v="18"/>
    <s v="Romero"/>
    <s v="Florecia Raqu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851219"/>
  </r>
  <r>
    <x v="0"/>
    <x v="17"/>
    <s v="Saavedra"/>
    <s v="Virginia Valer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21"/>
  </r>
  <r>
    <x v="0"/>
    <x v="17"/>
    <s v="Sánchez"/>
    <s v="Victor Orland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25"/>
  </r>
  <r>
    <x v="3"/>
    <x v="18"/>
    <s v="Santucho"/>
    <s v="María Soledad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2419193"/>
  </r>
  <r>
    <x v="3"/>
    <x v="18"/>
    <s v="Villalba"/>
    <s v="Rocío Micael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1119960"/>
  </r>
  <r>
    <x v="4"/>
    <x v="19"/>
    <m/>
    <m/>
    <m/>
    <m/>
    <m/>
    <m/>
    <m/>
    <m/>
    <m/>
    <m/>
    <m/>
    <m/>
    <m/>
    <m/>
    <m/>
    <m/>
    <m/>
    <m/>
    <m/>
    <m/>
    <m/>
    <m/>
    <m/>
  </r>
  <r>
    <x v="4"/>
    <x v="19"/>
    <m/>
    <m/>
    <m/>
    <m/>
    <m/>
    <m/>
    <m/>
    <m/>
    <m/>
    <m/>
    <m/>
    <m/>
    <m/>
    <m/>
    <m/>
    <m/>
    <m/>
    <m/>
    <m/>
    <m/>
    <m/>
    <m/>
    <m/>
  </r>
  <r>
    <x v="4"/>
    <x v="19"/>
    <m/>
    <m/>
    <m/>
    <m/>
    <m/>
    <m/>
    <m/>
    <m/>
    <m/>
    <m/>
    <m/>
    <m/>
    <m/>
    <m/>
    <m/>
    <m/>
    <m/>
    <m/>
    <m/>
    <m/>
    <m/>
    <m/>
    <m/>
  </r>
  <r>
    <x v="4"/>
    <x v="19"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32">
  <r>
    <x v="0"/>
    <x v="0"/>
    <s v=" Bautista Boloña"/>
    <s v="Luciana Florencia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06"/>
    <n v="87043"/>
    <n v="3409624"/>
    <s v="CSV2"/>
    <s v="CSV1 / CSV2"/>
    <n v="84825"/>
    <n v="74054"/>
    <s v="bautistabolona.5"/>
    <s v="VCTLUBAU "/>
    <d v="2020-03-26T00:00:00"/>
    <s v="381-155811017"/>
    <n v="35517416"/>
    <n v="27355174161"/>
    <d v="2019-07-22T00:00:00"/>
    <d v="2019-07-23T00:00:00"/>
    <d v="2019-08-01T00:00:00"/>
    <n v="390"/>
    <s v="Campus Casino"/>
  </r>
  <r>
    <x v="0"/>
    <x v="0"/>
    <s v="Albornoz Perez"/>
    <s v="Jose Ezequiel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060"/>
    <n v="88037"/>
    <n v="3553112"/>
    <s v="DVH"/>
    <s v="CSV1"/>
    <n v="84825"/>
    <n v="74054"/>
    <s v="albornozperez.5"/>
    <s v="VCTJOALB"/>
    <d v="2020-04-22T00:00:00"/>
    <s v="03814655139"/>
    <n v="39972625"/>
    <s v="20-39972625-6"/>
    <d v="2020-04-21T00:00:00"/>
    <d v="2020-04-21T00:00:00"/>
    <d v="2020-04-22T00:00:00"/>
    <n v="121"/>
    <s v="Campus Casino"/>
  </r>
  <r>
    <x v="0"/>
    <x v="0"/>
    <s v="Brito"/>
    <s v="Jesus Exequiel"/>
    <s v="OFF"/>
    <s v="Approved OFF"/>
    <s v="Approved OFF"/>
    <s v="Approved OFF"/>
    <s v="Approved OFF"/>
    <s v="Approved OFF"/>
    <s v="OFF"/>
    <m/>
    <s v="CAPA CSV2 a CSV3 08/11 - 08/26 (activo 08/27)(Hs Orig  15:00 - 21:00 OFF Dom Sab)"/>
    <s v="PT"/>
    <n v="0"/>
    <n v="0"/>
    <n v="0"/>
    <n v="0"/>
    <n v="0"/>
    <n v="0"/>
    <n v="0"/>
    <n v="0"/>
    <n v="89069"/>
    <n v="82613"/>
    <n v="2313015"/>
    <s v="CSV2"/>
    <s v="CSV2"/>
    <n v="84825"/>
    <n v="74054"/>
    <s v="brito.272"/>
    <s v="VCTJEBRI"/>
    <d v="2020-03-27T00:00:00"/>
    <s v="03865-15419891"/>
    <n v="37311054"/>
    <n v="20373110540"/>
    <d v="2016-11-14T00:00:00"/>
    <d v="2018-09-26T00:00:00"/>
    <d v="2018-10-30T00:00:00"/>
    <n v="1358"/>
    <s v="Campus Casino"/>
  </r>
  <r>
    <x v="0"/>
    <x v="0"/>
    <s v="Carabajal"/>
    <s v="Priscila Daia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18"/>
    <n v="86145"/>
    <n v="2358095"/>
    <s v="CSV3"/>
    <s v="CSV2 / CSV3"/>
    <n v="84825"/>
    <n v="74054"/>
    <s v="carabajal.35 "/>
    <s v="VCTPRCAR "/>
    <d v="2020-03-27T00:00:00"/>
    <s v="381-153508762 "/>
    <n v="39141166"/>
    <n v="27391411668"/>
    <d v="2018-12-03T00:00:00"/>
    <d v="2018-12-03T00:00:00"/>
    <d v="2018-12-14T00:00:00"/>
    <n v="619"/>
    <s v="Campus Casino"/>
  </r>
  <r>
    <x v="0"/>
    <x v="0"/>
    <s v="Casares"/>
    <s v="Diego Jesu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61"/>
    <n v="81099"/>
    <n v="1880623"/>
    <s v="VIP"/>
    <s v="CSV2/HD / CSV3 / VIP"/>
    <n v="84825"/>
    <n v="74054"/>
    <s v="casares.15 "/>
    <s v="VCTDICAS"/>
    <d v="2020-03-26T00:00:00"/>
    <s v="0381-154629051"/>
    <n v="37656704"/>
    <n v="20376567045"/>
    <d v="2015-11-02T00:00:00"/>
    <d v="2018-08-15T00:00:00"/>
    <d v="2018-08-16T00:00:00"/>
    <n v="1730"/>
    <s v="Campus Casino"/>
  </r>
  <r>
    <x v="0"/>
    <x v="0"/>
    <s v="Cisneros"/>
    <s v="Roxana Natal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37"/>
    <n v="87304"/>
    <n v="3462502"/>
    <s v="Servicios web"/>
    <s v="CSV1"/>
    <n v="84825"/>
    <n v="74054"/>
    <s v="cisneros.153"/>
    <s v="VCTROCIS"/>
    <d v="2020-03-25T00:00:00"/>
    <n v="3815811118"/>
    <n v="30759743"/>
    <n v="27307597433"/>
    <d v="2019-08-26T00:00:00"/>
    <d v="2019-08-26T00:00:00"/>
    <d v="2019-09-05T00:00:00"/>
    <n v="356"/>
    <s v="Campus Casino"/>
  </r>
  <r>
    <x v="0"/>
    <x v="0"/>
    <s v="Corbera"/>
    <s v="Elena Beatriz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27"/>
    <n v="87314"/>
    <n v="3462518"/>
    <s v="CSV2"/>
    <s v="CSV1 / CSV2"/>
    <n v="84825"/>
    <n v="74054"/>
    <s v="corbera.8"/>
    <s v="VCTELCOR"/>
    <d v="2020-03-26T00:00:00"/>
    <n v="3816363464"/>
    <n v="32200145"/>
    <n v="27322001458"/>
    <d v="2019-08-26T00:00:00"/>
    <d v="2019-08-26T00:00:00"/>
    <d v="2019-09-05T00:00:00"/>
    <n v="356"/>
    <s v="Campus Casino"/>
  </r>
  <r>
    <x v="1"/>
    <x v="1"/>
    <s v="Diaz"/>
    <s v="Fernando Gabri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64"/>
    <n v="85332"/>
    <n v="2811367"/>
    <s v="CSV2"/>
    <s v="CSV2"/>
    <e v="#N/A"/>
    <n v="59438"/>
    <s v="diaz.1260"/>
    <s v="VCTFEDIA"/>
    <d v="2020-07-21T00:00:00"/>
    <s v="0381-156713498"/>
    <n v="36585224"/>
    <n v="20365852244"/>
    <d v="2018-03-12T00:00:00"/>
    <d v="2018-08-15T00:00:00"/>
    <d v="2018-08-16T00:00:00"/>
    <n v="880"/>
    <s v="Campus Casino"/>
  </r>
  <r>
    <x v="0"/>
    <x v="0"/>
    <s v="Escobar"/>
    <s v="Marcos Nahuel"/>
    <s v="OFF"/>
    <s v="Approved OFF"/>
    <s v="Approved OFF"/>
    <s v="Approved OFF"/>
    <s v="Approved OFF"/>
    <s v="Approved OFF"/>
    <s v="OFF"/>
    <m/>
    <s v="CAPA CSV2 a CSV3 08/11 - 08/26 (activo 08/27)(Hs Orig  15:00 - 21:00 OFF Dom Sab)"/>
    <s v="PT"/>
    <n v="0"/>
    <n v="0"/>
    <n v="0"/>
    <n v="0"/>
    <n v="0"/>
    <n v="0"/>
    <n v="0"/>
    <n v="0"/>
    <n v="89121"/>
    <n v="86155"/>
    <n v="2783079"/>
    <s v="CSV2"/>
    <s v="CSV1 / CSV2"/>
    <n v="84825"/>
    <n v="74054"/>
    <s v="escobar.21 "/>
    <s v="VCTMAESC "/>
    <d v="2020-03-26T00:00:00"/>
    <s v="381-156538022"/>
    <n v="38741741"/>
    <n v="23387417419"/>
    <d v="2018-12-03T00:00:00"/>
    <d v="2018-12-03T00:00:00"/>
    <d v="2018-12-14T00:00:00"/>
    <n v="619"/>
    <s v="Campus Casino"/>
  </r>
  <r>
    <x v="0"/>
    <x v="0"/>
    <s v="Juarez"/>
    <s v="Carlos Lucian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25"/>
    <n v="86141"/>
    <n v="3118306"/>
    <s v="CSV3"/>
    <s v="CSV2 / CSV3"/>
    <n v="84825"/>
    <n v="74054"/>
    <s v="Juarez.286 "/>
    <s v="VCTCAJUA "/>
    <d v="2020-04-24T00:00:00"/>
    <s v="381-155399372"/>
    <n v="40437730"/>
    <n v="20404377303"/>
    <d v="2018-12-03T00:00:00"/>
    <d v="2018-12-03T00:00:00"/>
    <d v="2018-12-14T00:00:00"/>
    <n v="619"/>
    <s v="Campus Casino"/>
  </r>
  <r>
    <x v="0"/>
    <x v="0"/>
    <s v="Muratore"/>
    <s v="Daiana Gabriel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53"/>
    <n v="82401"/>
    <n v="1063468"/>
    <s v="CSV2"/>
    <s v="CSV2"/>
    <n v="84825"/>
    <n v="74054"/>
    <s v="muratore.9"/>
    <s v="VCTDAMUR"/>
    <d v="2020-04-24T00:00:00"/>
    <s v="0381-153499565"/>
    <n v="37311904"/>
    <n v="27373119046"/>
    <d v="2016-09-12T00:00:00"/>
    <d v="2018-08-15T00:00:00"/>
    <d v="2018-08-16T00:00:00"/>
    <n v="1420"/>
    <s v="Campus Casino"/>
  </r>
  <r>
    <x v="0"/>
    <x v="0"/>
    <s v="Nunez"/>
    <s v="Marcelo Nahu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64"/>
    <n v="86296"/>
    <n v="3133293"/>
    <s v="VIP"/>
    <s v="CSV2/CSV3 / VIP"/>
    <n v="84825"/>
    <n v="74054"/>
    <s v="nuez.128  "/>
    <s v="VCTMANUN "/>
    <d v="2020-03-26T00:00:00"/>
    <s v="0381-156179830"/>
    <n v="42221286"/>
    <n v="20422212869"/>
    <d v="2018-12-17T00:00:00"/>
    <d v="2018-12-17T00:00:00"/>
    <d v="2019-01-02T00:00:00"/>
    <n v="605"/>
    <s v="Campus Casino"/>
  </r>
  <r>
    <x v="0"/>
    <x v="0"/>
    <s v="Ortiz"/>
    <s v="Silvina Gabriel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27"/>
    <n v="85614"/>
    <n v="2873639"/>
    <s v="CSV3"/>
    <s v="CSV2/ CSV3"/>
    <n v="84825"/>
    <n v="74054"/>
    <s v="ortiz.710"/>
    <s v="VCTSIORT"/>
    <d v="2020-03-27T00:00:00"/>
    <s v="0381-154061434"/>
    <n v="38115785"/>
    <n v="27381157852"/>
    <d v="2018-05-07T00:00:00"/>
    <d v="2018-06-08T00:00:00"/>
    <d v="2018-06-11T00:00:00"/>
    <n v="825"/>
    <s v="Campus Casino"/>
  </r>
  <r>
    <x v="0"/>
    <x v="0"/>
    <s v="Pockorny"/>
    <s v="Tomás Agustí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24"/>
    <n v="85621"/>
    <n v="2873911"/>
    <s v="CSV3"/>
    <s v="CSV2/CSV3/ HD"/>
    <n v="84825"/>
    <n v="74054"/>
    <s v="pockorny.5"/>
    <s v="VCTTOPOC"/>
    <d v="2020-03-26T00:00:00"/>
    <s v="0381-156539796"/>
    <n v="38185380"/>
    <n v="20381853803"/>
    <d v="2018-05-07T00:00:00"/>
    <d v="2018-06-08T00:00:00"/>
    <d v="2018-06-11T00:00:00"/>
    <n v="825"/>
    <s v="Campus Casino"/>
  </r>
  <r>
    <x v="0"/>
    <x v="0"/>
    <s v="Yapura"/>
    <s v="Cintia Elena del Valle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59"/>
    <n v="85474"/>
    <n v="2832262"/>
    <s v="VIP"/>
    <s v="CSV2/HD / CSV3/ VIP"/>
    <n v="84825"/>
    <n v="74054"/>
    <s v="yapura.5"/>
    <s v="VCTCIYAP"/>
    <d v="2020-03-20T00:00:00"/>
    <s v="0381-155060573"/>
    <n v="40696111"/>
    <n v="27406961112"/>
    <d v="2018-04-03T00:00:00"/>
    <d v="2018-08-15T00:00:00"/>
    <d v="2018-08-16T00:00:00"/>
    <n v="859"/>
    <s v="Campus Casino"/>
  </r>
  <r>
    <x v="0"/>
    <x v="2"/>
    <s v="Alonso"/>
    <s v="Facundo isma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313"/>
    <n v="88174"/>
    <n v="3624184"/>
    <s v="CSV2"/>
    <s v="CSV2"/>
    <e v="#N/A"/>
    <n v="74054"/>
    <s v="alonso.155"/>
    <s v="VCTFAALO  "/>
    <d v="2020-03-27T00:00:00"/>
    <m/>
    <n v="42007693"/>
    <n v="20420076933"/>
    <d v="2019-12-09T00:00:00"/>
    <d v="2019-12-09T00:00:00"/>
    <d v="2020-01-01T00:00:00"/>
    <n v="253"/>
    <s v="Campus Casino"/>
  </r>
  <r>
    <x v="0"/>
    <x v="2"/>
    <s v="Alvarez Maziad"/>
    <s v="Monica Caroli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57"/>
    <n v="83603"/>
    <n v="2523112"/>
    <s v="CSV2"/>
    <s v="CSV1 / CSV2"/>
    <e v="#N/A"/>
    <n v="74054"/>
    <s v="alvarezmaziad.5"/>
    <s v="VCTMOALV"/>
    <d v="2020-03-27T00:00:00"/>
    <s v="0381-156802261"/>
    <n v="39145406"/>
    <n v="27391454065"/>
    <d v="2017-06-05T00:00:00"/>
    <d v="2018-08-15T00:00:00"/>
    <d v="2018-08-16T00:00:00"/>
    <n v="1157"/>
    <s v="Campus Casino"/>
  </r>
  <r>
    <x v="0"/>
    <x v="2"/>
    <s v="Azubel"/>
    <s v="Solange 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25"/>
    <n v="87316"/>
    <n v="1100247"/>
    <s v="CSV3"/>
    <s v="CSV2/ CSV3"/>
    <e v="#N/A"/>
    <n v="74054"/>
    <s v="azubel.7"/>
    <s v="VCTSOAZU"/>
    <d v="2020-03-26T00:00:00"/>
    <n v="3814637258"/>
    <n v="35921500"/>
    <n v="27359215008"/>
    <d v="2019-08-26T00:00:00"/>
    <d v="2019-08-26T00:00:00"/>
    <d v="2019-09-05T00:00:00"/>
    <n v="356"/>
    <s v="Campus Casino"/>
  </r>
  <r>
    <x v="0"/>
    <x v="2"/>
    <s v="Cantos"/>
    <s v="Horacio Nicolas 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36"/>
    <n v="87308"/>
    <n v="3462509"/>
    <s v="CSV3"/>
    <s v="CSV2 / CSV3"/>
    <e v="#N/A"/>
    <n v="74054"/>
    <s v="cantos.58"/>
    <s v="VCTHOCAN"/>
    <d v="2020-03-25T00:00:00"/>
    <n v="3814742874"/>
    <n v="41650790"/>
    <n v="20416507903"/>
    <d v="2019-08-26T00:00:00"/>
    <d v="2019-08-26T00:00:00"/>
    <d v="2019-09-05T00:00:00"/>
    <n v="356"/>
    <s v="Campus Casino"/>
  </r>
  <r>
    <x v="0"/>
    <x v="2"/>
    <s v="Castillo"/>
    <s v="Angel Alberto 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04"/>
    <n v="85278"/>
    <n v="2803851"/>
    <s v="CSV3"/>
    <s v="CSV2 / CSV3"/>
    <e v="#N/A"/>
    <n v="74054"/>
    <s v="castillo.1268"/>
    <s v="VCTANCAS"/>
    <d v="2020-03-20T00:00:00"/>
    <n v="3816509596"/>
    <n v="37457052"/>
    <n v="20374570529"/>
    <d v="2018-03-05T00:00:00"/>
    <d v="2018-11-05T00:00:00"/>
    <d v="2018-11-19T00:00:00"/>
    <n v="887"/>
    <s v="Campus Casino"/>
  </r>
  <r>
    <x v="0"/>
    <x v="2"/>
    <s v="Chavarria Bevacqua"/>
    <s v="Silvana Carolina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07"/>
    <n v="87045"/>
    <n v="3409666"/>
    <s v="CSV2"/>
    <s v="CSV1 / CSV2"/>
    <e v="#N/A"/>
    <n v="74054"/>
    <s v="chavarriabevacqua.5"/>
    <s v="VCTSICHA "/>
    <d v="2020-03-26T00:00:00"/>
    <s v="381-156956998"/>
    <n v="35192091"/>
    <s v="27-35192091-8"/>
    <d v="2019-07-22T00:00:00"/>
    <d v="2019-07-23T00:00:00"/>
    <d v="2019-08-01T00:00:00"/>
    <n v="390"/>
    <s v="Campus Casino"/>
  </r>
  <r>
    <x v="0"/>
    <x v="2"/>
    <s v="Del Pino"/>
    <s v="Agustin Alejandro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11"/>
    <n v="87057"/>
    <n v="3409641"/>
    <s v="DVH"/>
    <s v="CSV1"/>
    <e v="#N/A"/>
    <n v="74054"/>
    <s v="delpino.12"/>
    <s v="VCTAGDEL "/>
    <d v="2020-04-24T00:00:00"/>
    <s v="381-155438690"/>
    <n v="41495060"/>
    <n v="20414950605"/>
    <d v="2019-07-22T00:00:00"/>
    <d v="2019-07-23T00:00:00"/>
    <d v="2019-08-01T00:00:00"/>
    <n v="390"/>
    <s v="Campus Casino"/>
  </r>
  <r>
    <x v="0"/>
    <x v="2"/>
    <s v="Elias"/>
    <s v="Mario Jorge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19"/>
    <n v="86154"/>
    <n v="3118300"/>
    <s v="CSV2"/>
    <s v="CSV2"/>
    <e v="#N/A"/>
    <n v="74054"/>
    <s v="elias.112 "/>
    <s v="VCTMAELI "/>
    <d v="2020-04-13T00:00:00"/>
    <s v="381-156987176"/>
    <n v="35822667"/>
    <n v="20358226672"/>
    <d v="2018-12-03T00:00:00"/>
    <d v="2018-12-03T00:00:00"/>
    <d v="2018-12-14T00:00:00"/>
    <n v="619"/>
    <s v="Campus Casino"/>
  </r>
  <r>
    <x v="0"/>
    <x v="2"/>
    <s v="Garcia "/>
    <s v="Guillermo Eduardo"/>
    <s v="OFF"/>
    <s v="Approved OFF"/>
    <s v="Approved OFF"/>
    <s v="Approved OFF"/>
    <s v="Approved OFF"/>
    <s v="Approved OFF"/>
    <s v="OFF"/>
    <m/>
    <s v="CAPA CSV2 a CSV3 08/11 - 08/26 (activo 08/27)(Hs Orig  15:00 - 21:00 OFF Dom Sab)"/>
    <s v="PT"/>
    <n v="0"/>
    <n v="0"/>
    <n v="0"/>
    <n v="0"/>
    <n v="0"/>
    <n v="0"/>
    <n v="0"/>
    <n v="0"/>
    <n v="89001"/>
    <n v="83911"/>
    <n v="2657668"/>
    <s v="CSV2"/>
    <s v="CSV2"/>
    <e v="#N/A"/>
    <n v="74054"/>
    <s v="garcia.3872"/>
    <s v="VCTGUGAR"/>
    <d v="2020-03-31T00:00:00"/>
    <s v="0381-156358727"/>
    <n v="37455215"/>
    <n v="20374552156"/>
    <d v="2017-10-02T00:00:00"/>
    <d v="2018-06-08T00:00:00"/>
    <d v="2018-06-11T00:00:00"/>
    <n v="1040"/>
    <s v="Campus Casino"/>
  </r>
  <r>
    <x v="0"/>
    <x v="2"/>
    <s v="Gjugum"/>
    <s v="Sofia Denise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29"/>
    <n v="87310"/>
    <n v="3462512"/>
    <s v="CSV3"/>
    <s v="CSV2 / CSV3"/>
    <e v="#N/A"/>
    <n v="74054"/>
    <s v="gjugum.7"/>
    <s v="VCTSOGJU"/>
    <d v="2020-03-27T00:00:00"/>
    <n v="3816313769"/>
    <n v="40532665"/>
    <n v="27405326650"/>
    <d v="2019-08-26T00:00:00"/>
    <d v="2019-08-26T00:00:00"/>
    <d v="2019-09-05T00:00:00"/>
    <n v="356"/>
    <s v="Campus Casino"/>
  </r>
  <r>
    <x v="0"/>
    <x v="2"/>
    <s v="Laitán Landro"/>
    <s v="Gimena Marí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56"/>
    <n v="85310"/>
    <n v="2811372"/>
    <s v="HD"/>
    <s v="CSV2/CSV3/HD"/>
    <e v="#N/A"/>
    <n v="74054"/>
    <s v="laitnlandro.5"/>
    <s v="VCTGILAI"/>
    <d v="2020-03-27T00:00:00"/>
    <s v="0381-156311579"/>
    <n v="36865396"/>
    <n v="27368653964"/>
    <d v="2018-03-12T00:00:00"/>
    <d v="2018-08-15T00:00:00"/>
    <d v="2018-08-16T00:00:00"/>
    <n v="880"/>
    <s v="Campus Casino"/>
  </r>
  <r>
    <x v="0"/>
    <x v="2"/>
    <s v="Martinez Teseyra"/>
    <s v="Mayra Belen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15"/>
    <n v="87060"/>
    <n v="3409628"/>
    <s v="CSV2"/>
    <s v="CSV1 / CSV2"/>
    <e v="#N/A"/>
    <n v="74054"/>
    <s v="martinezteseyra.5"/>
    <s v="VCTBEMAR"/>
    <d v="2020-04-13T00:00:00"/>
    <s v="3876-15401588"/>
    <n v="36129883"/>
    <n v="27361298832"/>
    <d v="2019-07-22T00:00:00"/>
    <d v="2019-07-23T00:00:00"/>
    <d v="2019-08-01T00:00:00"/>
    <n v="390"/>
    <s v="Campus Casino"/>
  </r>
  <r>
    <x v="0"/>
    <x v="2"/>
    <s v="Medina"/>
    <s v="Leyla Mar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41"/>
    <n v="87306"/>
    <n v="1729885"/>
    <s v="HD"/>
    <s v="CSV2 / HD/ CSV3"/>
    <e v="#N/A"/>
    <n v="74054"/>
    <s v="medina.894"/>
    <s v="VCTLEMED"/>
    <d v="2020-03-25T00:00:00"/>
    <n v="3813545684"/>
    <n v="36584345"/>
    <n v="27365843452"/>
    <d v="2019-08-26T00:00:00"/>
    <d v="2019-08-26T00:00:00"/>
    <d v="2019-09-05T00:00:00"/>
    <n v="356"/>
    <s v="Campus Casino"/>
  </r>
  <r>
    <x v="0"/>
    <x v="2"/>
    <s v="Nasif"/>
    <s v="Mara Bele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42"/>
    <n v="87300"/>
    <n v="3462489"/>
    <s v="DVH"/>
    <s v="CSV1"/>
    <e v="#N/A"/>
    <n v="74054"/>
    <s v="nasif.8"/>
    <s v="VCTMANAS"/>
    <m/>
    <n v="3854161581"/>
    <n v="35251517"/>
    <n v="27352515170"/>
    <d v="2019-08-26T00:00:00"/>
    <d v="2019-08-26T00:00:00"/>
    <d v="2019-09-05T00:00:00"/>
    <n v="356"/>
    <s v="Campus Casino"/>
  </r>
  <r>
    <x v="0"/>
    <x v="2"/>
    <s v="Ricci"/>
    <s v="Marcos Jose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68"/>
    <n v="86288"/>
    <n v="3133272"/>
    <s v="CSV3"/>
    <s v="CSV2/ CSV3"/>
    <e v="#N/A"/>
    <n v="74054"/>
    <s v="ricci.57 "/>
    <s v="VCTMARIC "/>
    <d v="2020-03-26T00:00:00"/>
    <s v="0381-154498587"/>
    <n v="36550805"/>
    <n v="20365508055"/>
    <d v="2018-12-17T00:00:00"/>
    <d v="2018-12-17T00:00:00"/>
    <d v="2019-01-02T00:00:00"/>
    <n v="605"/>
    <s v="Campus Casino"/>
  </r>
  <r>
    <x v="0"/>
    <x v="2"/>
    <s v="Ruiz Barrionuevo"/>
    <s v="Isabella Catalina 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18"/>
    <n v="87054"/>
    <n v="3409729"/>
    <s v="CSV2"/>
    <s v="CSV1 / CSV2"/>
    <e v="#N/A"/>
    <n v="74054"/>
    <s v="ruizbarrionuevo.6"/>
    <s v="VCTISRUI "/>
    <d v="2020-03-25T00:00:00"/>
    <s v="381-153676323"/>
    <n v="42664926"/>
    <n v="27426649263"/>
    <d v="2019-07-22T00:00:00"/>
    <d v="2019-07-23T00:00:00"/>
    <d v="2019-08-01T00:00:00"/>
    <n v="390"/>
    <s v="Campus Casino"/>
  </r>
  <r>
    <x v="0"/>
    <x v="3"/>
    <s v="Amicone"/>
    <s v="Juliet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84"/>
    <n v="86201"/>
    <n v="3120478"/>
    <s v="CSV1"/>
    <s v="CSV1"/>
    <n v="85154"/>
    <n v="74054"/>
    <s v="amicone.9"/>
    <s v="VCTJUAMI"/>
    <d v="2020-05-18T00:00:00"/>
    <s v="381 432 4959"/>
    <n v="42007271"/>
    <n v="27420072711"/>
    <d v="2018-12-03T00:00:00"/>
    <d v="2020-05-11T00:00:00"/>
    <d v="2020-05-18T00:00:00"/>
    <n v="619"/>
    <s v="Campus Casino"/>
  </r>
  <r>
    <x v="0"/>
    <x v="3"/>
    <s v="Arias"/>
    <s v="Ivan Santiag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92"/>
    <n v="86212"/>
    <n v="3119977"/>
    <s v="DVH"/>
    <s v="CSV1"/>
    <n v="85154"/>
    <n v="74054"/>
    <s v="arias.197"/>
    <s v="VCTIVARI"/>
    <d v="2020-05-18T00:00:00"/>
    <s v="381 364 1513"/>
    <n v="36839830"/>
    <n v="20368398307"/>
    <d v="2018-12-03T00:00:00"/>
    <d v="2020-05-11T00:00:00"/>
    <d v="2020-05-18T00:00:00"/>
    <n v="619"/>
    <s v="Campus Casino"/>
  </r>
  <r>
    <x v="0"/>
    <x v="3"/>
    <s v="Bernard"/>
    <s v="Marian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78"/>
    <n v="86585"/>
    <n v="3290393"/>
    <s v="CSV1"/>
    <s v="CSV1"/>
    <n v="85154"/>
    <n v="74054"/>
    <s v="bernard.212"/>
    <s v="VCTMABER"/>
    <d v="2020-05-18T00:00:00"/>
    <n v="3816761743"/>
    <n v="37457894"/>
    <n v="20374578945"/>
    <d v="2019-05-09T00:00:00"/>
    <d v="2020-05-11T00:00:00"/>
    <d v="2020-05-18T00:00:00"/>
    <n v="463"/>
    <s v="Campus Casino"/>
  </r>
  <r>
    <x v="0"/>
    <x v="3"/>
    <s v="Blacut"/>
    <s v="Carolina Concepcion"/>
    <s v="OFF"/>
    <s v="13:00 - 19:00"/>
    <s v="13:00 - 19:00"/>
    <s v="13:00 - 19:00"/>
    <s v="13:00 - 19:00"/>
    <s v="13:00 - 19:00"/>
    <s v="OFF"/>
    <m/>
    <m/>
    <s v="PT"/>
    <n v="0"/>
    <n v="6"/>
    <n v="6"/>
    <n v="6"/>
    <n v="6"/>
    <n v="6"/>
    <n v="0"/>
    <n v="30"/>
    <n v="648379"/>
    <n v="64114"/>
    <n v="433384"/>
    <s v="CSV1"/>
    <s v="CSV1"/>
    <n v="85154"/>
    <n v="74054"/>
    <s v="blacut.5"/>
    <s v="VCTCABLA"/>
    <d v="2020-05-18T00:00:00"/>
    <n v="3814360935"/>
    <n v="22989370"/>
    <n v="27229893705"/>
    <d v="2009-05-04T00:00:00"/>
    <d v="2020-05-11T00:00:00"/>
    <d v="2020-05-18T00:00:00"/>
    <n v="4068"/>
    <s v="Campus Casino"/>
  </r>
  <r>
    <x v="0"/>
    <x v="3"/>
    <s v="Chico"/>
    <s v="Jessica Lilia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81"/>
    <n v="82194"/>
    <n v="2178609"/>
    <s v="CSV1"/>
    <s v="CSV1"/>
    <n v="85154"/>
    <n v="74054"/>
    <s v="chico.47"/>
    <s v="VCTJECHI"/>
    <d v="2020-05-18T00:00:00"/>
    <s v="4330399 / 155782351"/>
    <n v="36584697"/>
    <n v="27365846974"/>
    <d v="2016-07-29T00:00:00"/>
    <d v="2020-05-11T00:00:00"/>
    <d v="2020-05-18T00:00:00"/>
    <n v="1463"/>
    <s v="Campus Casino"/>
  </r>
  <r>
    <x v="0"/>
    <x v="3"/>
    <s v="Ferraro"/>
    <s v="David Franco Ramó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82"/>
    <n v="87912"/>
    <n v="3526348"/>
    <s v="CSV1"/>
    <s v="CSV1"/>
    <n v="85154"/>
    <n v="74054"/>
    <s v="ferraro.26"/>
    <s v="VCTDAFER"/>
    <d v="2020-05-18T00:00:00"/>
    <s v="381 153907269"/>
    <n v="37310000"/>
    <n v="20373100006"/>
    <d v="2019-10-07T00:00:00"/>
    <d v="2020-05-11T00:00:00"/>
    <d v="2020-05-18T00:00:00"/>
    <n v="315"/>
    <s v="Campus Casino"/>
  </r>
  <r>
    <x v="0"/>
    <x v="3"/>
    <s v="Jandar"/>
    <s v="Fabio Nicolá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90"/>
    <n v="83918"/>
    <n v="2657804"/>
    <s v="CSV1"/>
    <s v="CSV1"/>
    <n v="85154"/>
    <n v="74054"/>
    <s v="jandar.8"/>
    <s v="VCTFAJAN"/>
    <d v="2020-05-18T00:00:00"/>
    <s v="0381-154180132"/>
    <n v="39481787"/>
    <n v="20394817873"/>
    <d v="2017-10-02T00:00:00"/>
    <d v="2020-05-11T00:00:00"/>
    <d v="2020-05-18T00:00:00"/>
    <n v="1040"/>
    <s v="Campus Casino"/>
  </r>
  <r>
    <x v="0"/>
    <x v="3"/>
    <s v="Jerez"/>
    <s v="María Celeste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385"/>
    <n v="81571"/>
    <n v="1988450"/>
    <s v="DVH"/>
    <s v="CSV1"/>
    <n v="85154"/>
    <n v="74054"/>
    <s v="jerez.37"/>
    <s v="VCTMAJER"/>
    <d v="2020-05-18T00:00:00"/>
    <s v="0381 155585231"/>
    <n v="34764648"/>
    <n v="27347646488"/>
    <d v="2016-02-29T00:00:00"/>
    <d v="2020-05-11T00:00:00"/>
    <d v="2020-05-18T00:00:00"/>
    <n v="1612"/>
    <s v="Campus Casino"/>
  </r>
  <r>
    <x v="0"/>
    <x v="3"/>
    <s v="Juri"/>
    <s v="Aida Del Valle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86"/>
    <n v="86032"/>
    <n v="3116938"/>
    <s v="CSV1"/>
    <s v="CSV1"/>
    <n v="85154"/>
    <n v="74054"/>
    <s v="juri.10"/>
    <s v="VCTAIJUR"/>
    <d v="2020-05-18T00:00:00"/>
    <s v="381 388 7424"/>
    <n v="39572913"/>
    <n v="27395729131"/>
    <d v="2018-12-03T00:00:00"/>
    <d v="2020-05-11T00:00:00"/>
    <d v="2020-05-18T00:00:00"/>
    <n v="619"/>
    <s v="Campus Casino"/>
  </r>
  <r>
    <x v="0"/>
    <x v="3"/>
    <s v="Leal Martinez"/>
    <s v="Matias Emanu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52"/>
    <n v="80131"/>
    <n v="1567502"/>
    <s v="CSV1"/>
    <s v="CSV1"/>
    <n v="85154"/>
    <n v="74054"/>
    <s v="lealmartinez.11"/>
    <s v="VCTMALEA"/>
    <d v="2020-05-18T00:00:00"/>
    <s v="038 115 4981045"/>
    <n v="38509359"/>
    <n v="20385093595"/>
    <d v="2015-02-02T00:00:00"/>
    <d v="2020-05-11T00:00:00"/>
    <d v="2020-05-18T00:00:00"/>
    <n v="2000"/>
    <s v="Campus Casino"/>
  </r>
  <r>
    <x v="0"/>
    <x v="3"/>
    <s v="Mansilla"/>
    <s v="Karen Nicole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14"/>
    <n v="87056"/>
    <n v="3409650"/>
    <s v="DVH"/>
    <s v="CSV1"/>
    <n v="85154"/>
    <n v="74054"/>
    <s v="mansilla.45"/>
    <s v="VCTKAMAN "/>
    <d v="2020-03-25T00:00:00"/>
    <s v="381-156047766"/>
    <n v="42523139"/>
    <n v="27425231397"/>
    <d v="2019-07-22T00:00:00"/>
    <d v="2019-07-23T00:00:00"/>
    <d v="2019-08-01T00:00:00"/>
    <n v="390"/>
    <s v="Campus Casino"/>
  </r>
  <r>
    <x v="0"/>
    <x v="3"/>
    <s v="Paz"/>
    <s v="Enzo Javier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61"/>
    <n v="85995"/>
    <n v="3116792"/>
    <s v="DVH"/>
    <s v="CSV1"/>
    <n v="85154"/>
    <n v="74054"/>
    <s v="paz.230"/>
    <s v="VCTENPAZ"/>
    <d v="2020-05-18T00:00:00"/>
    <s v="381 345 9389"/>
    <n v="42467181"/>
    <n v="23424671819"/>
    <d v="2018-12-03T00:00:00"/>
    <d v="2020-05-11T00:00:00"/>
    <d v="2020-05-18T00:00:00"/>
    <n v="619"/>
    <s v="Campus Casino"/>
  </r>
  <r>
    <x v="0"/>
    <x v="3"/>
    <s v="Ruiz"/>
    <s v="Daniel Antonio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383"/>
    <n v="86015"/>
    <n v="2765889"/>
    <s v="DVH"/>
    <s v="CSV1"/>
    <n v="85154"/>
    <n v="74054"/>
    <s v="ruiz.835"/>
    <s v="VCTDARUI"/>
    <d v="2020-05-18T00:00:00"/>
    <s v="381 663 9013"/>
    <n v="40215879"/>
    <n v="20402158795"/>
    <d v="2018-12-03T00:00:00"/>
    <d v="2020-05-11T00:00:00"/>
    <d v="2020-05-18T00:00:00"/>
    <n v="619"/>
    <s v="Campus Casino"/>
  </r>
  <r>
    <x v="0"/>
    <x v="3"/>
    <s v="Salinas"/>
    <s v="Mariana Josefina"/>
    <s v="OFF"/>
    <s v="15:00 - 19:00"/>
    <s v="15:00 - 19:00"/>
    <s v="15:00 - 19:00"/>
    <s v="15:00 - 19:00"/>
    <s v="15:00 - 19:00"/>
    <s v="OFF"/>
    <m/>
    <m/>
    <s v="PT"/>
    <n v="0"/>
    <n v="4"/>
    <n v="4"/>
    <n v="4"/>
    <n v="4"/>
    <n v="4"/>
    <n v="0"/>
    <n v="20"/>
    <n v="648387"/>
    <n v="83101"/>
    <n v="1441889"/>
    <s v="Habilitaciones"/>
    <s v="CSV1"/>
    <n v="85154"/>
    <n v="74054"/>
    <s v="salinas.358"/>
    <s v="VCTMASAL"/>
    <d v="2020-05-18T00:00:00"/>
    <n v="3816591167"/>
    <n v="31100304"/>
    <n v="27311003041"/>
    <d v="2017-03-06T00:00:00"/>
    <d v="2020-05-11T00:00:00"/>
    <d v="2020-05-18T00:00:00"/>
    <n v="1246"/>
    <s v="Campus Casino"/>
  </r>
  <r>
    <x v="0"/>
    <x v="3"/>
    <s v="Santucho"/>
    <s v="María del Rosario"/>
    <s v="OFF"/>
    <s v="LOA"/>
    <s v="LOA"/>
    <s v="LOA"/>
    <s v="LOA"/>
    <s v="LOA"/>
    <s v="OFF"/>
    <m/>
    <s v="LOA 08/06 - mm/dd (Hs Orig  15:00 - 19:00 OFF Dom Sab)"/>
    <s v="PT"/>
    <n v="0"/>
    <n v="0"/>
    <n v="0"/>
    <n v="0"/>
    <n v="0"/>
    <n v="0"/>
    <n v="0"/>
    <n v="0"/>
    <n v="648235"/>
    <n v="85552"/>
    <n v="2855603"/>
    <s v="CSV1"/>
    <s v="CSV1; servicions WEB; Compras Referidas"/>
    <n v="85154"/>
    <n v="74054"/>
    <s v="santucho.22"/>
    <s v="VCTMASAN"/>
    <d v="2020-04-14T00:00:00"/>
    <s v="0381-153469922"/>
    <n v="45513329"/>
    <n v="27455133292"/>
    <d v="2018-04-19T00:00:00"/>
    <d v="2020-04-09T00:00:00"/>
    <d v="2020-04-14T00:00:00"/>
    <n v="843"/>
    <s v="Campus Casino"/>
  </r>
  <r>
    <x v="0"/>
    <x v="3"/>
    <s v="Villagra"/>
    <s v="Daniela Alejandra 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061"/>
    <n v="88038"/>
    <n v="3553114"/>
    <s v="DVH"/>
    <s v="CSV1"/>
    <n v="85154"/>
    <n v="74054"/>
    <s v="villagra.43"/>
    <s v="VCTDAVIL"/>
    <d v="2020-04-22T00:00:00"/>
    <s v="03816416605"/>
    <n v="31038158"/>
    <s v="27-31038158-1"/>
    <d v="2020-04-21T00:00:00"/>
    <d v="2020-04-21T00:00:00"/>
    <d v="2020-04-22T00:00:00"/>
    <n v="121"/>
    <s v="Campus Casino"/>
  </r>
  <r>
    <x v="0"/>
    <x v="4"/>
    <s v="Agüero"/>
    <s v="Maria Micael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35"/>
    <n v="87307"/>
    <n v="3462508"/>
    <s v="DVH"/>
    <s v="CSV1"/>
    <n v="79688"/>
    <n v="74054"/>
    <s v="aguero.57"/>
    <s v="VCTMAAGU"/>
    <d v="2020-03-25T00:00:00"/>
    <s v="N/A"/>
    <n v="40085899"/>
    <n v="27400858999"/>
    <d v="2019-08-26T00:00:00"/>
    <d v="2019-08-26T00:00:00"/>
    <d v="2019-09-05T00:00:00"/>
    <n v="356"/>
    <s v="Campus Casino"/>
  </r>
  <r>
    <x v="0"/>
    <x v="4"/>
    <s v="Alarcon "/>
    <s v="Yanet Micaela"/>
    <s v="OFF"/>
    <s v="Approved OFF"/>
    <s v="Approved OFF"/>
    <s v="Approved OFF"/>
    <s v="Approved OFF"/>
    <s v="Approved OFF"/>
    <s v="OFF"/>
    <m/>
    <s v="CAPA CSV1 a CSV2 08/10 - 08/31 (activo 09/01)(Hs Orig  15:00 - 20:00 OFF Dom Sab)"/>
    <s v="PT"/>
    <n v="0"/>
    <n v="0"/>
    <n v="0"/>
    <n v="0"/>
    <n v="0"/>
    <n v="0"/>
    <n v="0"/>
    <n v="0"/>
    <n v="648058"/>
    <n v="88048"/>
    <n v="3553156"/>
    <s v="DVH"/>
    <s v="CSV1"/>
    <n v="79688"/>
    <n v="74054"/>
    <s v="alarcon.133"/>
    <s v="VCTYAALA"/>
    <d v="2020-04-22T00:00:00"/>
    <s v="03816664035"/>
    <n v="41870420"/>
    <s v="27-41870420-4"/>
    <d v="2020-04-21T00:00:00"/>
    <d v="2020-04-21T00:00:00"/>
    <d v="2020-04-22T00:00:00"/>
    <n v="121"/>
    <s v="Campus Casino"/>
  </r>
  <r>
    <x v="0"/>
    <x v="4"/>
    <s v="Blanco Brandan"/>
    <s v="Bianca Abigail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157"/>
    <n v="86290"/>
    <n v="3133275"/>
    <s v="Compras Referidas"/>
    <s v="CSV1"/>
    <n v="79688"/>
    <n v="74054"/>
    <s v="blancobrandan.5 "/>
    <s v="VCTBIBLA "/>
    <d v="2020-03-25T00:00:00"/>
    <s v="0381-156088304"/>
    <n v="41763285"/>
    <n v="27417632854"/>
    <d v="2018-12-17T00:00:00"/>
    <d v="2018-12-17T00:00:00"/>
    <d v="2019-01-02T00:00:00"/>
    <n v="605"/>
    <s v="Campus Casino"/>
  </r>
  <r>
    <x v="0"/>
    <x v="4"/>
    <s v="Carrizo"/>
    <s v="Ulises Joel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648224"/>
    <n v="83409"/>
    <n v="2466183"/>
    <s v="Servicios web"/>
    <s v="CSV1; servicions WEB; Compras Referidas"/>
    <n v="79688"/>
    <n v="74054"/>
    <s v="carrizo.93"/>
    <s v="VCTULCAR"/>
    <d v="2020-04-14T00:00:00"/>
    <s v="0381-155111621"/>
    <n v="37996896"/>
    <n v="20379968962"/>
    <d v="2017-04-17T00:00:00"/>
    <d v="2020-04-09T00:00:00"/>
    <d v="2020-04-14T00:00:00"/>
    <n v="1205"/>
    <s v="Campus Casino"/>
  </r>
  <r>
    <x v="0"/>
    <x v="4"/>
    <s v="Escobar"/>
    <s v="Carolina del Valle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22"/>
    <n v="86153"/>
    <n v="3118303"/>
    <s v="CSV2"/>
    <s v="CSV1 / CSV2"/>
    <n v="79688"/>
    <n v="74054"/>
    <s v="escobar.209 "/>
    <s v="VCTCAESC "/>
    <d v="2020-06-29T00:00:00"/>
    <s v="381-153008243"/>
    <n v="35921616"/>
    <n v="27359216160"/>
    <d v="2018-12-03T00:00:00"/>
    <d v="2018-12-03T00:00:00"/>
    <d v="2018-12-14T00:00:00"/>
    <n v="619"/>
    <s v="Campus Casino"/>
  </r>
  <r>
    <x v="0"/>
    <x v="4"/>
    <s v="Garcia Jerez"/>
    <s v="Matias Agustin 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186"/>
    <n v="86334"/>
    <n v="3138482"/>
    <s v="DVH"/>
    <s v="CSV1"/>
    <n v="79688"/>
    <n v="74054"/>
    <s v="garciajerez.6 "/>
    <s v="VCTMATGA "/>
    <d v="2020-03-26T00:00:00"/>
    <s v="0381-155330620"/>
    <n v="28883627"/>
    <n v="20288836273"/>
    <d v="2018-12-26T00:00:00"/>
    <d v="2018-12-26T00:00:00"/>
    <d v="2019-01-11T00:00:00"/>
    <n v="596"/>
    <s v="Campus Casino"/>
  </r>
  <r>
    <x v="0"/>
    <x v="4"/>
    <s v="Lafuente"/>
    <s v="Facundo Edel"/>
    <s v="OFF"/>
    <s v="Approved OFF"/>
    <s v="Approved OFF"/>
    <s v="Approved OFF"/>
    <s v="Approved OFF"/>
    <s v="Approved OFF"/>
    <s v="OFF"/>
    <m/>
    <s v="CAPA CSV1 a CSV2 08/10 - 08/31 (activo 09/01)(Hs Orig  16:00 - 21:00 OFF Dom Sab)"/>
    <s v="PT"/>
    <n v="0"/>
    <n v="0"/>
    <n v="0"/>
    <n v="0"/>
    <n v="0"/>
    <n v="0"/>
    <n v="0"/>
    <n v="0"/>
    <n v="648062"/>
    <n v="88050"/>
    <n v="3553149"/>
    <s v="DVH"/>
    <s v="CSV1"/>
    <n v="79688"/>
    <n v="74054"/>
    <s v="lafuente.23"/>
    <s v="VCTFALAF"/>
    <d v="2020-04-22T00:00:00"/>
    <s v="03814774519"/>
    <n v="41425872"/>
    <s v="20-41425872-8"/>
    <d v="2020-04-21T00:00:00"/>
    <d v="2020-04-21T00:00:00"/>
    <d v="2020-04-22T00:00:00"/>
    <n v="121"/>
    <s v="Campus Casino"/>
  </r>
  <r>
    <x v="0"/>
    <x v="4"/>
    <s v="Lescano"/>
    <s v="Daiana Gissel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312"/>
    <n v="88173"/>
    <n v="3624180"/>
    <s v="DVH"/>
    <s v="CSV1"/>
    <n v="79688"/>
    <n v="74054"/>
    <s v="lescano.51"/>
    <s v="VCTGILES  "/>
    <d v="2020-03-25T00:00:00"/>
    <m/>
    <n v="37460467"/>
    <n v="27374604673"/>
    <d v="2019-12-09T00:00:00"/>
    <d v="2019-12-09T00:00:00"/>
    <d v="2020-01-01T00:00:00"/>
    <n v="253"/>
    <s v="Campus Casino"/>
  </r>
  <r>
    <x v="0"/>
    <x v="4"/>
    <s v="Lizárraga"/>
    <s v="Lucas Iván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648389"/>
    <n v="87712"/>
    <n v="3526355"/>
    <s v="CSV1"/>
    <s v="CSV1"/>
    <n v="79688"/>
    <n v="74054"/>
    <s v="lizrrraga.5"/>
    <s v="VCTLULIZ"/>
    <d v="2020-05-18T00:00:00"/>
    <s v="381 328 3185"/>
    <n v="41060400"/>
    <n v="20410604001"/>
    <d v="2019-10-07T00:00:00"/>
    <d v="2020-05-11T00:00:00"/>
    <d v="2020-05-18T00:00:00"/>
    <n v="315"/>
    <s v="Campus Casino"/>
  </r>
  <r>
    <x v="0"/>
    <x v="4"/>
    <s v="Ochoa"/>
    <s v="Florencia Belen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103"/>
    <n v="85279"/>
    <n v="2804825"/>
    <s v="DVH"/>
    <s v="CSV1"/>
    <n v="79688"/>
    <n v="74054"/>
    <s v="ochoa.141"/>
    <s v="VCTFLOCH"/>
    <d v="2020-03-22T00:00:00"/>
    <s v="381-156743025"/>
    <n v="35374408"/>
    <n v="27353744084"/>
    <d v="2018-03-05T00:00:00"/>
    <d v="2018-11-05T00:00:00"/>
    <d v="2018-11-19T00:00:00"/>
    <n v="887"/>
    <s v="Campus Casino"/>
  </r>
  <r>
    <x v="0"/>
    <x v="4"/>
    <s v="Pachao Medina"/>
    <s v="Juan Carlo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43"/>
    <n v="87301"/>
    <n v="3462491"/>
    <s v="DVH"/>
    <s v="CSV1"/>
    <n v="79688"/>
    <n v="74054"/>
    <s v="pachaomedina.5"/>
    <s v="VCTJUPAC"/>
    <d v="2020-03-29T00:00:00"/>
    <n v="3816470378"/>
    <n v="37455387"/>
    <n v="23374553879"/>
    <d v="2019-08-26T00:00:00"/>
    <d v="2019-08-26T00:00:00"/>
    <d v="2019-09-05T00:00:00"/>
    <n v="356"/>
    <s v="Campus Casino"/>
  </r>
  <r>
    <x v="2"/>
    <x v="5"/>
    <s v="Robles Marquez"/>
    <s v="Emilse Nahir"/>
    <s v="OFF"/>
    <s v="15:00 - 21:00"/>
    <s v="15:00 - 21:00"/>
    <s v="09:00 - 15:00"/>
    <s v="09:00 - 15:00"/>
    <s v="09:00 - 15:00"/>
    <s v="OFF"/>
    <m/>
    <m/>
    <s v="PT"/>
    <n v="0"/>
    <n v="6"/>
    <n v="6"/>
    <n v="6"/>
    <n v="6"/>
    <n v="6"/>
    <n v="0"/>
    <n v="30"/>
    <n v="648351"/>
    <n v="86179"/>
    <n v="3118459"/>
    <s v="DVH"/>
    <s v="CSV1"/>
    <n v="77681"/>
    <n v="64118"/>
    <s v="roblesmarquez.8"/>
    <s v="VCTEMROB"/>
    <d v="2020-05-18T00:00:00"/>
    <s v="381 571 6055"/>
    <n v="41959700"/>
    <n v="27419597002"/>
    <d v="2018-12-03T00:00:00"/>
    <d v="2020-05-11T00:00:00"/>
    <d v="2020-05-18T00:00:00"/>
    <n v="619"/>
    <s v="Campus Casino"/>
  </r>
  <r>
    <x v="0"/>
    <x v="4"/>
    <s v="Sanchez"/>
    <s v="Juan Jorge Augusto"/>
    <s v="OFF"/>
    <s v="Approved OFF"/>
    <s v="Approved OFF"/>
    <s v="Approved OFF"/>
    <s v="Approved OFF"/>
    <s v="Approved OFF"/>
    <s v="OFF"/>
    <m/>
    <s v="CAPA CSV1 a CSV2 08/10 - 08/31 (activo 09/01)(Hs Orig  16:00 - 21:00 OFF Dom Sab)"/>
    <s v="PT"/>
    <n v="0"/>
    <n v="0"/>
    <n v="0"/>
    <n v="0"/>
    <n v="0"/>
    <n v="0"/>
    <n v="0"/>
    <n v="0"/>
    <n v="648059"/>
    <n v="88036"/>
    <n v="3553110"/>
    <s v="DVH"/>
    <s v="CSV1"/>
    <n v="79688"/>
    <n v="74054"/>
    <s v="sanchez.2281"/>
    <s v="VCTJUSAN"/>
    <d v="2020-04-22T00:00:00"/>
    <s v="03814965135"/>
    <n v="41345711"/>
    <s v="20-41345711-5"/>
    <d v="2020-04-21T00:00:00"/>
    <d v="2020-04-21T00:00:00"/>
    <d v="2020-04-22T00:00:00"/>
    <n v="121"/>
    <s v="Campus Casino"/>
  </r>
  <r>
    <x v="0"/>
    <x v="4"/>
    <s v="Vitar"/>
    <s v="Nuria Mariel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135"/>
    <n v="86152"/>
    <n v="1154505"/>
    <s v="Compras Referidas"/>
    <s v="CSV1"/>
    <n v="79688"/>
    <n v="74054"/>
    <s v="vitar.5 "/>
    <s v="VCTNUVIT "/>
    <d v="2020-03-27T00:00:00"/>
    <s v="381-154686954"/>
    <n v="38045027"/>
    <n v="27380450270"/>
    <d v="2018-12-03T00:00:00"/>
    <d v="2018-12-03T00:00:00"/>
    <d v="2018-12-14T00:00:00"/>
    <n v="619"/>
    <s v="Campus Casino"/>
  </r>
  <r>
    <x v="0"/>
    <x v="4"/>
    <s v="Yapura"/>
    <s v="Benito Javier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22"/>
    <n v="87048"/>
    <n v="3409593"/>
    <s v="DVH"/>
    <s v="CSV1"/>
    <n v="79688"/>
    <n v="74054"/>
    <s v="yapura.8"/>
    <s v="VCTBEYAP "/>
    <d v="2020-03-26T00:00:00"/>
    <s v="381-156375615"/>
    <n v="36998015"/>
    <n v="20369980158"/>
    <d v="2019-07-22T00:00:00"/>
    <d v="2019-07-23T00:00:00"/>
    <d v="2019-08-01T00:00:00"/>
    <n v="390"/>
    <s v="Campus Casino"/>
  </r>
  <r>
    <x v="0"/>
    <x v="6"/>
    <s v="Acosta"/>
    <s v="Ignacio Matias 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04"/>
    <n v="87044"/>
    <n v="3409636"/>
    <s v="Servicios web"/>
    <s v="CSV1"/>
    <n v="80740"/>
    <n v="74054"/>
    <s v="acosta.490"/>
    <s v="VCTIGACO "/>
    <d v="2020-03-31T00:00:00"/>
    <s v="381-156464004"/>
    <n v="40238197"/>
    <n v="20402381974"/>
    <d v="2019-07-22T00:00:00"/>
    <d v="2019-07-23T00:00:00"/>
    <d v="2019-08-01T00:00:00"/>
    <n v="390"/>
    <s v="Campus Casino"/>
  </r>
  <r>
    <x v="0"/>
    <x v="6"/>
    <s v="Albarracin"/>
    <s v="Heber Wilson "/>
    <s v="OFF"/>
    <s v="Approved OFF"/>
    <s v="Approved OFF"/>
    <s v="Approved OFF"/>
    <s v="Approved OFF"/>
    <s v="Approved OFF"/>
    <s v="OFF"/>
    <m/>
    <s v="CAPA CSV1 a CSV2 08/10 - 08/31 (activo 09/01)(Hs Orig  15:00 - 20:00 OFF Dom Sab)"/>
    <s v="PT"/>
    <n v="0"/>
    <n v="0"/>
    <n v="0"/>
    <n v="0"/>
    <n v="0"/>
    <n v="0"/>
    <n v="0"/>
    <n v="0"/>
    <n v="89205"/>
    <n v="87052"/>
    <n v="2445607"/>
    <s v="Servicios web"/>
    <s v="CSV1"/>
    <n v="80740"/>
    <n v="74054"/>
    <s v="albarracin.54"/>
    <s v="VCTHEALB "/>
    <d v="2020-04-13T00:00:00"/>
    <s v="381-155569434"/>
    <n v="35107662"/>
    <n v="20351076624"/>
    <d v="2019-07-22T00:00:00"/>
    <d v="2019-07-23T00:00:00"/>
    <d v="2019-08-01T00:00:00"/>
    <n v="390"/>
    <s v="Campus Casino"/>
  </r>
  <r>
    <x v="0"/>
    <x v="6"/>
    <s v="Almaraz"/>
    <s v="Julio Cesar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311"/>
    <n v="88172"/>
    <n v="3624178"/>
    <s v="Habilitaciones"/>
    <s v="CSV1"/>
    <n v="80740"/>
    <n v="74054"/>
    <s v="almaraz.41"/>
    <s v="VCTJUALM  "/>
    <d v="2020-03-31T00:00:00"/>
    <m/>
    <n v="40532698"/>
    <n v="20405326982"/>
    <d v="2019-12-09T00:00:00"/>
    <d v="2019-12-09T00:00:00"/>
    <d v="2020-01-01T00:00:00"/>
    <n v="253"/>
    <s v="Campus Casino"/>
  </r>
  <r>
    <x v="0"/>
    <x v="6"/>
    <s v="Antenucci"/>
    <s v="Aldana Belén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648073"/>
    <n v="88357"/>
    <n v="3667098"/>
    <s v="TLMK"/>
    <s v="CSV1"/>
    <n v="80740"/>
    <n v="74054"/>
    <s v="antenucci.9"/>
    <s v="VCTALANT"/>
    <d v="2020-04-22T00:00:00"/>
    <s v="03815198750"/>
    <n v="40086091"/>
    <s v="27-40086091-8"/>
    <d v="2020-04-21T00:00:00"/>
    <d v="2020-04-21T00:00:00"/>
    <d v="2020-04-22T00:00:00"/>
    <n v="121"/>
    <s v="Campus Casino"/>
  </r>
  <r>
    <x v="2"/>
    <x v="7"/>
    <s v="Burgos"/>
    <s v="Damaris Nahir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307"/>
    <n v="88168"/>
    <n v="3624164"/>
    <s v="CSV2"/>
    <s v="CSV2"/>
    <n v="74323"/>
    <n v="64118"/>
    <s v="burgos.173"/>
    <s v="VCTDABUR  "/>
    <d v="2020-03-29T00:00:00"/>
    <m/>
    <n v="40274928"/>
    <n v="27402749283"/>
    <d v="2019-12-09T00:00:00"/>
    <d v="2019-12-09T00:00:00"/>
    <d v="2020-01-01T00:00:00"/>
    <n v="253"/>
    <s v="Campus Casino"/>
  </r>
  <r>
    <x v="0"/>
    <x v="6"/>
    <s v="Bustos"/>
    <s v="Cecilia Leonor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10"/>
    <n v="85199"/>
    <n v="2792749"/>
    <s v="Compras Referidas"/>
    <s v="CSV1"/>
    <n v="80740"/>
    <n v="74054"/>
    <s v="bustos.105"/>
    <s v="VCTCEBUS"/>
    <d v="2020-07-06T00:00:00"/>
    <s v="381-156355347"/>
    <n v="38250399"/>
    <n v="27382503991"/>
    <d v="2018-02-19T00:00:00"/>
    <d v="2018-11-05T00:00:00"/>
    <d v="2018-11-19T00:00:00"/>
    <n v="903"/>
    <s v="Campus Casino"/>
  </r>
  <r>
    <x v="0"/>
    <x v="6"/>
    <s v="Ciccarelli"/>
    <s v="Marycel Rocio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08"/>
    <n v="87049"/>
    <n v="1632745"/>
    <s v="CSV2"/>
    <s v="CSV2"/>
    <n v="80740"/>
    <n v="74054"/>
    <s v="ciccarelli.7"/>
    <s v="VCTMACIC"/>
    <d v="2020-03-22T00:00:00"/>
    <s v="381-156028072"/>
    <n v="39478154"/>
    <s v="27-39478154-7"/>
    <d v="2019-07-22T00:00:00"/>
    <d v="2019-07-23T00:00:00"/>
    <d v="2019-08-01T00:00:00"/>
    <n v="390"/>
    <s v="Campus Casino"/>
  </r>
  <r>
    <x v="0"/>
    <x v="6"/>
    <s v="De la Rosa"/>
    <s v="Solana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10"/>
    <n v="87061"/>
    <n v="3409646"/>
    <s v="CSV2"/>
    <s v="CSV2"/>
    <n v="80740"/>
    <n v="74054"/>
    <s v="delarosa.359"/>
    <s v="VCTSOROS "/>
    <d v="2020-03-29T00:00:00"/>
    <s v="381-156144731"/>
    <n v="43162247"/>
    <n v="27431622470"/>
    <d v="2019-07-22T00:00:00"/>
    <d v="2019-07-23T00:00:00"/>
    <d v="2019-08-01T00:00:00"/>
    <n v="390"/>
    <s v="Campus Casino"/>
  </r>
  <r>
    <x v="0"/>
    <x v="6"/>
    <s v="Del Rio"/>
    <s v="Virginia Natal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305"/>
    <n v="88166"/>
    <n v="3624156"/>
    <s v="CSV2"/>
    <s v="CSV1 / CSV2"/>
    <n v="80740"/>
    <n v="74054"/>
    <s v="delrio.52"/>
    <s v="VCTVIDEL  "/>
    <d v="2020-03-20T00:00:00"/>
    <m/>
    <n v="40088998"/>
    <n v="27400889983"/>
    <d v="2019-12-09T00:00:00"/>
    <d v="2019-12-09T00:00:00"/>
    <d v="2020-01-01T00:00:00"/>
    <n v="253"/>
    <s v="Campus Casino"/>
  </r>
  <r>
    <x v="2"/>
    <x v="7"/>
    <s v="Galindez"/>
    <s v="Yuliana Lilia Denis"/>
    <s v="OFF"/>
    <s v="09:00 - 14:00"/>
    <s v="09:00 - 14:00"/>
    <s v="09:00 - 14:00"/>
    <s v="09:00 - 14:00"/>
    <s v="09:00 - 14:00"/>
    <s v="OFF"/>
    <m/>
    <s v="Cambio de horario provisorio durante Waha a 09:00 - 14:00 (Hs Orig  15:00 - 20:00 OFF Dom Sab)"/>
    <s v="PT"/>
    <n v="0"/>
    <n v="5.0000000000000009"/>
    <n v="5.0000000000000009"/>
    <n v="5.0000000000000009"/>
    <n v="5.0000000000000009"/>
    <n v="5.0000000000000009"/>
    <n v="0"/>
    <n v="25.000000000000004"/>
    <n v="89212"/>
    <n v="87058"/>
    <n v="2702133"/>
    <s v="CSV2"/>
    <s v="CSV2"/>
    <n v="74323"/>
    <n v="64118"/>
    <s v="galindez.28"/>
    <s v="VCTYUGAL "/>
    <d v="2020-03-27T00:00:00"/>
    <s v="381-155979585"/>
    <n v="37837958"/>
    <n v="27378379585"/>
    <d v="2019-07-22T00:00:00"/>
    <d v="2019-07-23T00:00:00"/>
    <d v="2019-08-01T00:00:00"/>
    <n v="390"/>
    <s v="Campus Casino"/>
  </r>
  <r>
    <x v="0"/>
    <x v="6"/>
    <s v="Latina"/>
    <s v="Walter Fabian"/>
    <s v="OFF"/>
    <s v="Approved OFF"/>
    <s v="Approved OFF"/>
    <s v="Approved OFF"/>
    <s v="Approved OFF"/>
    <s v="Approved OFF"/>
    <s v="OFF"/>
    <m/>
    <s v="CAPA CSV1 a CSV2 08/10 - 08/31 (activo 09/01)(Hs Orig  16:00 - 21:00 OFF Dom Sab)"/>
    <s v="PT"/>
    <n v="0"/>
    <n v="0"/>
    <n v="0"/>
    <n v="0"/>
    <n v="0"/>
    <n v="0"/>
    <n v="0"/>
    <n v="0"/>
    <n v="648229"/>
    <n v="82706"/>
    <n v="1506174"/>
    <s v="CSV1"/>
    <s v="CSV1; servicions WEB; Compras Referidas"/>
    <n v="80740"/>
    <n v="74054"/>
    <s v="latina.13"/>
    <s v="VCTWALAT"/>
    <d v="2020-04-14T00:00:00"/>
    <s v="381-156634740"/>
    <n v="38488834"/>
    <n v="20384888349"/>
    <d v="2016-12-12T00:00:00"/>
    <d v="2020-04-09T00:00:00"/>
    <d v="2020-04-14T00:00:00"/>
    <n v="1330"/>
    <s v="Campus Casino"/>
  </r>
  <r>
    <x v="0"/>
    <x v="6"/>
    <s v="Monteros"/>
    <s v="Maximiliano Leopoldo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72"/>
    <n v="88047"/>
    <n v="3553144"/>
    <s v="CSV2"/>
    <s v="CSV2"/>
    <n v="80740"/>
    <n v="74054"/>
    <s v="monteros.33"/>
    <s v="VCTMAMON"/>
    <d v="2020-03-22T00:00:00"/>
    <m/>
    <n v="38060703"/>
    <n v="20380607035"/>
    <d v="2019-10-28T00:00:00"/>
    <d v="2019-10-28T00:00:00"/>
    <d v="2019-11-07T00:00:00"/>
    <n v="294"/>
    <s v="Campus Casino"/>
  </r>
  <r>
    <x v="0"/>
    <x v="6"/>
    <s v="Nieva del Rio"/>
    <s v="Micaela Anab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16"/>
    <n v="87051"/>
    <n v="3409670"/>
    <s v="CSV2"/>
    <s v="CSV1 / CSV2"/>
    <n v="80740"/>
    <n v="74054"/>
    <s v="nievadelrio.5"/>
    <s v="VCTMINIE "/>
    <d v="2020-03-27T00:00:00"/>
    <s v="381-153913270"/>
    <n v="34953151"/>
    <n v="27349531513"/>
    <d v="2019-07-22T00:00:00"/>
    <d v="2019-07-23T00:00:00"/>
    <d v="2019-08-01T00:00:00"/>
    <n v="390"/>
    <s v="Campus Casino"/>
  </r>
  <r>
    <x v="0"/>
    <x v="6"/>
    <s v="Perez Aguirre"/>
    <s v="Luis Alejandro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648081"/>
    <n v="88365"/>
    <n v="3667105"/>
    <s v="TLMK"/>
    <s v="CSV1"/>
    <n v="80740"/>
    <n v="74054"/>
    <s v="perez.2580"/>
    <s v="VCTLUPER"/>
    <d v="2020-04-22T00:00:00"/>
    <n v="3815426913"/>
    <n v="32158208"/>
    <s v="20-32158208-8"/>
    <d v="2020-04-21T00:00:00"/>
    <d v="2020-04-21T00:00:00"/>
    <d v="2020-04-22T00:00:00"/>
    <n v="121"/>
    <s v="Campus Casino"/>
  </r>
  <r>
    <x v="0"/>
    <x v="6"/>
    <s v="Roibon Mesias"/>
    <s v="Tomas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648233"/>
    <n v="84361"/>
    <n v="2741853"/>
    <s v="Servicios web"/>
    <s v="CSV1; servicions WEB; Compras Referidas"/>
    <n v="80740"/>
    <n v="74054"/>
    <s v="roibonmesias.5"/>
    <s v="VCTMEROI"/>
    <d v="2020-04-14T00:00:00"/>
    <s v="381-156153365"/>
    <n v="36948295"/>
    <n v="20369482956"/>
    <d v="2018-01-02T00:00:00"/>
    <d v="2020-04-09T00:00:00"/>
    <d v="2020-04-14T00:00:00"/>
    <n v="950"/>
    <s v="Campus Casino"/>
  </r>
  <r>
    <x v="0"/>
    <x v="6"/>
    <s v="Romano"/>
    <s v="Juan Pablo 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44"/>
    <n v="87296"/>
    <n v="3462473"/>
    <s v="DVH"/>
    <s v="CSV1"/>
    <n v="80740"/>
    <n v="74054"/>
    <s v="romano.218"/>
    <s v="VCTJUROM"/>
    <d v="2020-03-31T00:00:00"/>
    <n v="3813039101"/>
    <n v="32460235"/>
    <s v="20-32460235-7"/>
    <d v="2019-08-26T00:00:00"/>
    <d v="2019-08-26T00:00:00"/>
    <d v="2019-09-05T00:00:00"/>
    <n v="356"/>
    <s v="Campus Casino"/>
  </r>
  <r>
    <x v="0"/>
    <x v="6"/>
    <s v="Romero"/>
    <s v="Romina Ailen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315"/>
    <n v="88176"/>
    <n v="3624188"/>
    <s v="CSV1"/>
    <s v="CSV1"/>
    <n v="80740"/>
    <n v="74054"/>
    <s v="romero.901"/>
    <s v="VCTROROM  "/>
    <d v="2020-06-07T00:00:00"/>
    <m/>
    <n v="41522108"/>
    <n v="27415221083"/>
    <d v="2019-12-09T00:00:00"/>
    <d v="2019-12-09T00:00:00"/>
    <d v="2020-01-01T00:00:00"/>
    <n v="253"/>
    <s v="Campus Casino"/>
  </r>
  <r>
    <x v="0"/>
    <x v="6"/>
    <s v="Serrano"/>
    <s v="Maria Catalina"/>
    <s v="OFF"/>
    <s v="Approved OFF"/>
    <s v="Approved OFF"/>
    <s v="Approved OFF"/>
    <s v="Approved OFF"/>
    <s v="Approved OFF"/>
    <s v="OFF"/>
    <m/>
    <s v="CAPA CSV1 a CSV2 08/10 - 08/31 (activo 09/01)(Hs Orig  16:00 - 21:00 OFF Dom Sab)"/>
    <s v="PT"/>
    <n v="0"/>
    <n v="0"/>
    <n v="0"/>
    <n v="0"/>
    <n v="0"/>
    <n v="0"/>
    <n v="0"/>
    <n v="0"/>
    <n v="89219"/>
    <n v="87059"/>
    <n v="3267967"/>
    <s v="DVH"/>
    <s v="CSV1"/>
    <n v="80740"/>
    <n v="74054"/>
    <s v="serrano.498"/>
    <s v="VCTMASER"/>
    <d v="2020-03-25T00:00:00"/>
    <s v="381-155997096"/>
    <n v="38063040"/>
    <n v="27380630406"/>
    <d v="2019-07-22T00:00:00"/>
    <d v="2019-07-23T00:00:00"/>
    <d v="2019-08-01T00:00:00"/>
    <n v="390"/>
    <s v="Campus Casino"/>
  </r>
  <r>
    <x v="2"/>
    <x v="7"/>
    <s v="Argañaráz"/>
    <s v="Lucian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17"/>
    <n v="85609"/>
    <n v="1584478"/>
    <s v="CSV3"/>
    <s v="CSV2/ CSV3"/>
    <n v="74323"/>
    <n v="64118"/>
    <s v="arganaraz.45"/>
    <s v="VCTLUARG"/>
    <d v="2020-04-24T00:00:00"/>
    <s v="0381-156485869"/>
    <n v="36350437"/>
    <n v="20363504370"/>
    <d v="2018-05-07T00:00:00"/>
    <d v="2018-06-08T00:00:00"/>
    <d v="2018-06-11T00:00:00"/>
    <n v="825"/>
    <s v="Campus Casino"/>
  </r>
  <r>
    <x v="2"/>
    <x v="7"/>
    <s v="Arias"/>
    <s v="Daniela Beatriz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25"/>
    <n v="85619"/>
    <n v="2873635"/>
    <s v="VIP"/>
    <s v="CSV2/CSV3/ VIP"/>
    <n v="74323"/>
    <n v="64118"/>
    <s v="arias.191"/>
    <s v="VCTDAARI"/>
    <d v="2020-03-20T00:00:00"/>
    <s v="0381 -153011270"/>
    <n v="33978353"/>
    <n v="27339783530"/>
    <d v="2018-05-07T00:00:00"/>
    <d v="2018-06-08T00:00:00"/>
    <d v="2018-06-11T00:00:00"/>
    <n v="825"/>
    <s v="Campus Casino"/>
  </r>
  <r>
    <x v="2"/>
    <x v="7"/>
    <s v="Campos"/>
    <s v="Rodrigo Federic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09"/>
    <n v="78561"/>
    <n v="1159887"/>
    <s v="CSV3"/>
    <s v="CSV2/CSV3/HD"/>
    <n v="74323"/>
    <n v="64118"/>
    <s v="campos.120"/>
    <s v="VCTROCAM"/>
    <d v="2020-03-29T00:00:00"/>
    <s v="0381-153303102"/>
    <n v="37501588"/>
    <n v="23375015889"/>
    <d v="2014-01-04T00:00:00"/>
    <d v="2018-06-08T00:00:00"/>
    <d v="2018-06-11T00:00:00"/>
    <n v="2388"/>
    <s v="Campus Casino"/>
  </r>
  <r>
    <x v="2"/>
    <x v="7"/>
    <s v="Delgado"/>
    <s v="Jessica Elizabeth"/>
    <s v="OFF"/>
    <s v="Approved OFF"/>
    <s v="Approved OFF"/>
    <s v="Approved OFF"/>
    <s v="Approved OFF"/>
    <s v="Approved OFF"/>
    <s v="OFF"/>
    <m/>
    <s v="CAPA CSV2 a CSV3 08/11 - 08/26 (activo 08/27)(Hs Orig  09:00 - 15:00 OFF Dom Sab)"/>
    <s v="PT"/>
    <n v="0"/>
    <n v="0"/>
    <n v="0"/>
    <n v="0"/>
    <n v="0"/>
    <n v="0"/>
    <n v="0"/>
    <n v="0"/>
    <n v="89181"/>
    <n v="86326"/>
    <n v="3138477"/>
    <s v="CSV2"/>
    <s v="CSV1 / CSV2"/>
    <n v="74323"/>
    <n v="64118"/>
    <s v="delgado.492 "/>
    <s v="VCTJEDEL "/>
    <d v="2020-03-26T00:00:00"/>
    <s v="0381-155789939"/>
    <n v="35029789"/>
    <n v="27350297893"/>
    <d v="2018-12-26T00:00:00"/>
    <d v="2018-12-26T00:00:00"/>
    <d v="2019-01-11T00:00:00"/>
    <n v="596"/>
    <s v="Campus Casino"/>
  </r>
  <r>
    <x v="2"/>
    <x v="7"/>
    <s v="Fernandez"/>
    <s v="Carolina del Valle 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84"/>
    <n v="86327"/>
    <n v="3138516"/>
    <s v="CSV2"/>
    <s v="CSV1 / CSV2"/>
    <n v="74323"/>
    <n v="64118"/>
    <s v="fernandez.1680 "/>
    <s v="VCTCAFER "/>
    <d v="2020-03-26T00:00:00"/>
    <s v="0381-155090139"/>
    <n v="25502915"/>
    <n v="27255029156"/>
    <d v="2018-12-26T00:00:00"/>
    <d v="2018-12-26T00:00:00"/>
    <d v="2019-01-11T00:00:00"/>
    <n v="596"/>
    <s v="Campus Casino"/>
  </r>
  <r>
    <x v="2"/>
    <x v="7"/>
    <s v="Galarce"/>
    <s v="Diego Jos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37"/>
    <n v="76594"/>
    <n v="796797"/>
    <s v="CSV2"/>
    <s v="CSV2"/>
    <n v="74323"/>
    <n v="64118"/>
    <s v="galarce.6"/>
    <s v="VCTDIGAL"/>
    <d v="2020-03-31T00:00:00"/>
    <s v="0381 -156406308"/>
    <n v="33609113"/>
    <n v="20336091137"/>
    <d v="2012-04-09T00:00:00"/>
    <d v="2018-08-15T00:00:00"/>
    <d v="2018-08-16T00:00:00"/>
    <n v="3013"/>
    <s v="Campus Casino"/>
  </r>
  <r>
    <x v="0"/>
    <x v="2"/>
    <s v="Guzman"/>
    <s v="Nahuel Maximiliano"/>
    <s v="OFF"/>
    <s v="15:00 - 21:00"/>
    <s v="15:00 - 21:00"/>
    <s v="15:00 - 21:00"/>
    <s v="15:00 - 21:00"/>
    <s v="15:00 - 21:00"/>
    <s v="OFF"/>
    <m/>
    <s v="Cambio de horario durante WAHA a 15:00 - 21:00  (Hs Orig  09:00 - 15:00 OFF Dom Sab)"/>
    <s v="PT"/>
    <n v="0"/>
    <n v="6"/>
    <n v="6"/>
    <n v="6"/>
    <n v="6"/>
    <n v="6"/>
    <n v="0"/>
    <n v="30"/>
    <n v="89188"/>
    <n v="86341"/>
    <n v="3138508"/>
    <s v="CSV2"/>
    <s v="CSV1 / CSV2"/>
    <e v="#N/A"/>
    <n v="74054"/>
    <s v="guzman.452 "/>
    <s v="VCTNAGUZ "/>
    <d v="2020-03-27T00:00:00"/>
    <s v="0381-154347497"/>
    <n v="40273349"/>
    <n v="20402733498"/>
    <d v="2018-12-26T00:00:00"/>
    <d v="2018-12-26T00:00:00"/>
    <d v="2019-01-11T00:00:00"/>
    <n v="596"/>
    <s v="Campus Casino"/>
  </r>
  <r>
    <x v="2"/>
    <x v="7"/>
    <s v="Lopez"/>
    <s v="Ana Valent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26"/>
    <n v="86147"/>
    <n v="3118280"/>
    <s v="CSV2"/>
    <s v="CSV1 / CSV2"/>
    <n v="74323"/>
    <n v="64118"/>
    <s v="lpez.19 "/>
    <s v="VCTANLOP "/>
    <d v="2020-03-29T00:00:00"/>
    <s v="381-156254830"/>
    <n v="37740165"/>
    <n v="23377401654"/>
    <d v="2018-12-03T00:00:00"/>
    <d v="2018-12-03T00:00:00"/>
    <d v="2018-12-14T00:00:00"/>
    <n v="619"/>
    <s v="Campus Casino"/>
  </r>
  <r>
    <x v="2"/>
    <x v="7"/>
    <s v="Loto "/>
    <s v="Fernanda"/>
    <s v="OFF"/>
    <s v="LOA"/>
    <s v="LOA"/>
    <s v="LOA"/>
    <s v="LOA"/>
    <s v="LOA"/>
    <s v="OFF"/>
    <m/>
    <s v="LOA mm/dd - mm/dd (Hs Orig  09:00 - 15:00 OFF Dom Sab)"/>
    <s v="PT"/>
    <n v="0"/>
    <n v="0"/>
    <n v="0"/>
    <n v="0"/>
    <n v="0"/>
    <n v="0"/>
    <n v="0"/>
    <n v="0"/>
    <n v="89003"/>
    <n v="81254"/>
    <n v="1313201"/>
    <s v="CSV2"/>
    <s v="CSV2"/>
    <n v="74323"/>
    <n v="64118"/>
    <s v="loto.10"/>
    <s v="VCTFELOT"/>
    <m/>
    <s v="0381-155533301"/>
    <n v="32775545"/>
    <n v="27327755450"/>
    <d v="2015-12-09T00:00:00"/>
    <d v="2018-06-08T00:00:00"/>
    <d v="2018-06-11T00:00:00"/>
    <n v="1693"/>
    <s v="Campus Casino"/>
  </r>
  <r>
    <x v="2"/>
    <x v="7"/>
    <s v="Luna"/>
    <s v="Maria De Los Angele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85"/>
    <n v="82428"/>
    <n v="1581549"/>
    <s v="CSV2"/>
    <s v="CSV1 / CSV2"/>
    <n v="74323"/>
    <n v="64118"/>
    <s v="luna.326"/>
    <s v="VCTMALUN"/>
    <d v="2020-03-22T00:00:00"/>
    <s v="0381-153025745"/>
    <n v="31127334"/>
    <n v="27311273340"/>
    <d v="2016-09-23T00:00:00"/>
    <d v="2018-11-05T00:00:00"/>
    <d v="2018-11-19T00:00:00"/>
    <n v="1409"/>
    <s v="Campus Casino"/>
  </r>
  <r>
    <x v="2"/>
    <x v="7"/>
    <s v="Mansilla"/>
    <s v="Micaela Bele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45"/>
    <n v="83798"/>
    <n v="2593757"/>
    <s v="CSV3"/>
    <s v="CSV2/ HD/ CSV3"/>
    <n v="74323"/>
    <n v="64118"/>
    <s v="mansilla.38"/>
    <s v="VCTMIMAN"/>
    <d v="2020-03-27T00:00:00"/>
    <s v="0381 -155403921"/>
    <n v="39140995"/>
    <n v="27391409957"/>
    <d v="2017-08-07T00:00:00"/>
    <d v="2018-08-15T00:00:00"/>
    <d v="2018-08-16T00:00:00"/>
    <n v="1095"/>
    <s v="Campus Casino"/>
  </r>
  <r>
    <x v="2"/>
    <x v="7"/>
    <s v="Martinez"/>
    <s v="Lorena Macare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20"/>
    <n v="85612"/>
    <n v="2445213"/>
    <s v="VIP"/>
    <s v="CSV2/ CSV3  VIP"/>
    <n v="74323"/>
    <n v="64118"/>
    <s v="martinez.2823"/>
    <s v="VCTMAMAR"/>
    <d v="2020-04-24T00:00:00"/>
    <s v="0381-153533229"/>
    <n v="41060279"/>
    <n v="27410602798"/>
    <d v="2018-05-07T00:00:00"/>
    <d v="2018-06-08T00:00:00"/>
    <d v="2018-06-11T00:00:00"/>
    <n v="825"/>
    <s v="Campus Casino"/>
  </r>
  <r>
    <x v="2"/>
    <x v="7"/>
    <s v="Morales"/>
    <s v="Lucas Santiag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00"/>
    <n v="82330"/>
    <n v="1704898"/>
    <s v="HD"/>
    <s v="CSV2/ HD/ CSV3"/>
    <n v="74323"/>
    <n v="64118"/>
    <s v="morales.739"/>
    <s v="VCTLUMOR"/>
    <d v="2020-03-25T00:00:00"/>
    <s v="0381-154762606"/>
    <n v="39138577"/>
    <n v="20391385778"/>
    <d v="2016-08-31T00:00:00"/>
    <d v="2018-06-08T00:00:00"/>
    <d v="2018-06-11T00:00:00"/>
    <n v="1432"/>
    <s v="Campus Casino"/>
  </r>
  <r>
    <x v="2"/>
    <x v="7"/>
    <s v="Nuñez"/>
    <s v="Roxana Marcel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011"/>
    <n v="71634"/>
    <n v="513017"/>
    <s v="DVH"/>
    <s v="CSV1"/>
    <n v="74323"/>
    <n v="64118"/>
    <s v="nunez.36"/>
    <s v="VCTRONUN"/>
    <d v="2020-04-24T00:00:00"/>
    <s v="0381-155710981"/>
    <n v="23931674"/>
    <n v="27239316749"/>
    <d v="2010-10-22T00:00:00"/>
    <d v="2018-06-08T00:00:00"/>
    <d v="2018-06-11T00:00:00"/>
    <n v="3540"/>
    <s v="Campus Casino"/>
  </r>
  <r>
    <x v="2"/>
    <x v="7"/>
    <s v="Palavecino"/>
    <s v="Marta Erika del Vall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38"/>
    <n v="77400"/>
    <n v="961948"/>
    <s v="VIP"/>
    <s v="CSV2/CSV3/ VIP"/>
    <n v="74323"/>
    <n v="64118"/>
    <s v="palavecino.17"/>
    <s v="VCTMAPAL"/>
    <d v="2020-03-29T00:00:00"/>
    <s v="0381 - 155089689"/>
    <n v="33161905"/>
    <n v="27331619057"/>
    <d v="2013-01-14T00:00:00"/>
    <d v="2018-08-15T00:00:00"/>
    <d v="2018-08-16T00:00:00"/>
    <n v="2738"/>
    <s v="Campus Casino"/>
  </r>
  <r>
    <x v="2"/>
    <x v="7"/>
    <s v="Rivadeneira"/>
    <s v="Maira Belén"/>
    <s v="OFF"/>
    <s v="LOA"/>
    <s v="LOA"/>
    <s v="LOA"/>
    <s v="LOA"/>
    <s v="LOA"/>
    <s v="OFF"/>
    <m/>
    <s v="LOA mm/dd - mm/dd"/>
    <s v="PT"/>
    <n v="0"/>
    <n v="0"/>
    <n v="0"/>
    <n v="0"/>
    <n v="0"/>
    <n v="0"/>
    <n v="0"/>
    <n v="0"/>
    <n v="89006"/>
    <n v="83577"/>
    <n v="2523177"/>
    <s v="CSV2"/>
    <s v="CSV2"/>
    <n v="74323"/>
    <n v="64118"/>
    <s v="rivadeneira.25"/>
    <s v="VCTMARIV"/>
    <m/>
    <s v="0381-155974525"/>
    <n v="39729566"/>
    <n v="23397295664"/>
    <d v="2016-06-01T00:00:00"/>
    <d v="2018-06-08T00:00:00"/>
    <d v="2018-06-11T00:00:00"/>
    <n v="1521"/>
    <s v="Campus Casino"/>
  </r>
  <r>
    <x v="2"/>
    <x v="7"/>
    <s v="Rodriguez Ciccio"/>
    <s v="Nicolas Exequi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93"/>
    <n v="86339"/>
    <n v="3138527"/>
    <s v="VIP"/>
    <s v="CSV2/CSV3/ VIP"/>
    <n v="74323"/>
    <n v="64118"/>
    <s v="rodriguezciccio.5 "/>
    <s v="VCTNIROD "/>
    <d v="2020-03-29T00:00:00"/>
    <s v="381-156632446"/>
    <n v="40531146"/>
    <n v="20405311462"/>
    <d v="2018-12-26T00:00:00"/>
    <d v="2018-12-26T00:00:00"/>
    <d v="2019-01-11T00:00:00"/>
    <n v="596"/>
    <s v="Campus Casino"/>
  </r>
  <r>
    <x v="2"/>
    <x v="7"/>
    <s v="Salas"/>
    <s v="Melina del Carme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32"/>
    <n v="86156"/>
    <n v="3118290"/>
    <s v="CSV2"/>
    <s v="CSV1 / CSV2"/>
    <n v="74323"/>
    <n v="64118"/>
    <s v="Salas.258"/>
    <s v="VCTMESAL "/>
    <d v="2020-03-29T00:00:00"/>
    <s v="381-155940438"/>
    <n v="39574228"/>
    <n v="27395742286"/>
    <d v="2018-12-03T00:00:00"/>
    <d v="2018-12-03T00:00:00"/>
    <d v="2018-12-14T00:00:00"/>
    <n v="619"/>
    <s v="Campus Casino"/>
  </r>
  <r>
    <x v="2"/>
    <x v="7"/>
    <s v="Santucho"/>
    <s v="Ramon Eduard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35"/>
    <n v="83852"/>
    <n v="2592591"/>
    <s v="VIP"/>
    <s v="CSV2/CSV3/ VIP"/>
    <n v="74323"/>
    <n v="64118"/>
    <s v="santucho.19"/>
    <s v="VCTRASAN"/>
    <d v="2020-03-25T00:00:00"/>
    <s v="0381 -156858989"/>
    <n v="38243803"/>
    <n v="20382438036"/>
    <d v="2017-08-07T00:00:00"/>
    <d v="2018-08-15T00:00:00"/>
    <d v="2018-08-16T00:00:00"/>
    <n v="1095"/>
    <s v="Campus Casino"/>
  </r>
  <r>
    <x v="2"/>
    <x v="7"/>
    <s v="Vargas"/>
    <s v="Ivan Xavier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175"/>
    <n v="86285"/>
    <n v="2831528"/>
    <s v="DVH"/>
    <s v="CSV1"/>
    <n v="74323"/>
    <n v="64118"/>
    <s v="Vargas.622"/>
    <s v="VCTIVVAR "/>
    <d v="2020-03-26T00:00:00"/>
    <s v="0381-153906006"/>
    <n v="39313697"/>
    <n v="23393136979"/>
    <d v="2018-12-17T00:00:00"/>
    <d v="2018-12-17T00:00:00"/>
    <d v="2019-01-02T00:00:00"/>
    <n v="605"/>
    <s v="Campus Casino"/>
  </r>
  <r>
    <x v="2"/>
    <x v="5"/>
    <s v="Alcaraz"/>
    <s v="Maria Gabriel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95"/>
    <n v="88157"/>
    <n v="3624105"/>
    <s v="Habilitaciones"/>
    <s v="CSV1"/>
    <n v="77681"/>
    <n v="64118"/>
    <s v="alcaraz.92"/>
    <s v="VCTMAALC  "/>
    <d v="2020-03-31T00:00:00"/>
    <m/>
    <n v="35816404"/>
    <n v="27358164043"/>
    <d v="2019-12-09T00:00:00"/>
    <d v="2019-12-09T00:00:00"/>
    <d v="2020-01-01T00:00:00"/>
    <n v="253"/>
    <s v="Campus Casino"/>
  </r>
  <r>
    <x v="2"/>
    <x v="5"/>
    <s v="Almada"/>
    <s v="Nancy Alejandra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648038"/>
    <n v="88032"/>
    <n v="3553100"/>
    <s v="DVH"/>
    <s v="CSV1"/>
    <n v="77681"/>
    <n v="64118"/>
    <s v="almada.19"/>
    <s v="VCTNAALM "/>
    <d v="2020-04-22T00:00:00"/>
    <s v="03813016250"/>
    <n v="32459324"/>
    <s v="27-32459324-7"/>
    <d v="2020-04-21T00:00:00"/>
    <d v="2020-04-21T00:00:00"/>
    <d v="2020-04-22T00:00:00"/>
    <n v="121"/>
    <s v="Campus Casino"/>
  </r>
  <r>
    <x v="2"/>
    <x v="8"/>
    <s v="Angulo"/>
    <s v="Luciano Nicolas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177"/>
    <n v="86333"/>
    <n v="3138500"/>
    <s v="Compras Referidas"/>
    <s v="CSV1"/>
    <n v="78667"/>
    <n v="64118"/>
    <s v="angulo.38 "/>
    <s v="VCTLUANG"/>
    <d v="2020-07-17T00:00:00"/>
    <s v="0381-154679160"/>
    <n v="37502888"/>
    <s v="20-37502888-4"/>
    <d v="2018-12-26T00:00:00"/>
    <d v="2018-12-26T00:00:00"/>
    <d v="2019-01-11T00:00:00"/>
    <n v="596"/>
    <s v="Campus Casino"/>
  </r>
  <r>
    <x v="2"/>
    <x v="5"/>
    <s v="Arias"/>
    <s v="Alvaro Rodrig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97"/>
    <n v="88158"/>
    <n v="3542988"/>
    <s v="Servicios web"/>
    <s v="CSV1"/>
    <n v="77681"/>
    <n v="64118"/>
    <s v="arias.266"/>
    <s v="VCTALARI  "/>
    <d v="2020-03-26T00:00:00"/>
    <m/>
    <n v="38490162"/>
    <n v="20384901620"/>
    <d v="2019-12-09T00:00:00"/>
    <d v="2019-12-09T00:00:00"/>
    <d v="2020-01-01T00:00:00"/>
    <n v="253"/>
    <s v="Campus Casino"/>
  </r>
  <r>
    <x v="2"/>
    <x v="5"/>
    <s v="Boffa"/>
    <s v="Maria de Los Angele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39"/>
    <n v="85338"/>
    <n v="2811355"/>
    <s v="Servicios web"/>
    <s v="CSV1"/>
    <n v="77681"/>
    <n v="64118"/>
    <s v="boffa.6"/>
    <s v="VCTMABOF"/>
    <d v="2020-03-26T00:00:00"/>
    <s v="0381 -153463744"/>
    <n v="39358274"/>
    <n v="27393582745"/>
    <d v="2018-03-12T00:00:00"/>
    <d v="2018-08-15T00:00:00"/>
    <d v="2018-08-16T00:00:00"/>
    <n v="880"/>
    <s v="Campus Casino"/>
  </r>
  <r>
    <x v="2"/>
    <x v="5"/>
    <s v="Cerdeira"/>
    <s v="Rosana Valer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25"/>
    <n v="77345"/>
    <n v="946453"/>
    <s v="CSV1"/>
    <s v="CSV1; servicions WEB; Compras Referidas"/>
    <n v="77681"/>
    <n v="64118"/>
    <s v="cerdeira.5"/>
    <e v="#N/A"/>
    <d v="2020-04-14T00:00:00"/>
    <n v="3814299551"/>
    <n v="29412707"/>
    <n v="27294127076"/>
    <d v="2012-12-19T00:00:00"/>
    <d v="2020-04-09T00:00:00"/>
    <d v="2020-04-14T00:00:00"/>
    <n v="2763"/>
    <s v="Campus Casino"/>
  </r>
  <r>
    <x v="2"/>
    <x v="5"/>
    <s v="Cortes Jozami"/>
    <s v="Ana Sof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80"/>
    <n v="88142"/>
    <n v="3624021"/>
    <s v="Servicios web"/>
    <s v="CSV1"/>
    <n v="77681"/>
    <n v="64118"/>
    <s v="cortes.329"/>
    <s v="VCTANJOZ  "/>
    <d v="2020-03-27T00:00:00"/>
    <m/>
    <n v="39573252"/>
    <n v="27395732523"/>
    <d v="2019-12-09T00:00:00"/>
    <d v="2019-12-09T00:00:00"/>
    <d v="2020-01-01T00:00:00"/>
    <n v="253"/>
    <s v="Campus Casino"/>
  </r>
  <r>
    <x v="2"/>
    <x v="5"/>
    <s v="Delgado"/>
    <s v="Maria Celest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78"/>
    <n v="88140"/>
    <n v="3623922"/>
    <s v="DVH"/>
    <s v="CSV1"/>
    <n v="77681"/>
    <n v="64118"/>
    <s v="delgado.581"/>
    <s v="VCTMADEL  "/>
    <d v="2020-03-20T00:00:00"/>
    <m/>
    <n v="41276143"/>
    <n v="27412761435"/>
    <d v="2019-12-09T00:00:00"/>
    <d v="2019-12-09T00:00:00"/>
    <d v="2020-01-01T00:00:00"/>
    <n v="253"/>
    <s v="Campus Casino"/>
  </r>
  <r>
    <x v="2"/>
    <x v="5"/>
    <s v="Dilodovico"/>
    <s v="Maria Florenc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26"/>
    <n v="83998"/>
    <n v="2714192"/>
    <s v="CSV1"/>
    <s v="CSV1; servicions WEB; Compras Referidas"/>
    <n v="77681"/>
    <n v="64118"/>
    <s v="Dilodovico,5"/>
    <e v="#N/A"/>
    <d v="2020-04-14T00:00:00"/>
    <s v="0381-156981607"/>
    <n v="35921164"/>
    <n v="27359211649"/>
    <d v="2017-11-27T00:00:00"/>
    <d v="2020-04-09T00:00:00"/>
    <d v="2020-04-14T00:00:00"/>
    <n v="985"/>
    <s v="Campus Casino"/>
  </r>
  <r>
    <x v="2"/>
    <x v="5"/>
    <s v="Infante Marcello"/>
    <s v="Christian Sebastia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61"/>
    <n v="86282"/>
    <n v="3133234"/>
    <s v="Compras Referidas"/>
    <s v="DVH / Compras Referidas/ Servicios Web"/>
    <n v="77681"/>
    <n v="64118"/>
    <s v="Infantemarcello.6"/>
    <s v="VCTCHINF"/>
    <d v="2020-03-22T00:00:00"/>
    <s v="0381-155124517"/>
    <n v="40437969"/>
    <n v="23404379690"/>
    <d v="2018-12-17T00:00:00"/>
    <d v="2018-12-17T00:00:00"/>
    <d v="2019-01-02T00:00:00"/>
    <n v="605"/>
    <s v="Campus Casino"/>
  </r>
  <r>
    <x v="0"/>
    <x v="6"/>
    <s v="Jorge"/>
    <s v="German Omar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24"/>
    <n v="86148"/>
    <n v="3118297"/>
    <s v="Servicios web"/>
    <s v="CSV1"/>
    <n v="80740"/>
    <n v="74054"/>
    <s v="jorge.100 "/>
    <s v="VCTGEJOR "/>
    <d v="2020-03-20T00:00:00"/>
    <s v="381-155235919"/>
    <n v="39078538"/>
    <n v="20390785381"/>
    <d v="2018-12-03T00:00:00"/>
    <d v="2018-12-03T00:00:00"/>
    <d v="2018-12-14T00:00:00"/>
    <n v="619"/>
    <s v="Campus Casino"/>
  </r>
  <r>
    <x v="2"/>
    <x v="5"/>
    <s v="Juarez"/>
    <s v="Patricia Isab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28"/>
    <n v="81801"/>
    <n v="2068786"/>
    <s v="CSV1"/>
    <s v="CSV1; servicions WEB; Compras Referidas"/>
    <n v="77681"/>
    <n v="64118"/>
    <s v="juarez.206"/>
    <s v="VCTPAJUA"/>
    <d v="2020-04-14T00:00:00"/>
    <n v="156578456"/>
    <n v="32630352"/>
    <n v="27326303521"/>
    <d v="2016-05-04T00:00:00"/>
    <d v="2020-04-09T00:00:00"/>
    <d v="2020-04-14T00:00:00"/>
    <n v="1548"/>
    <s v="Campus Casino"/>
  </r>
  <r>
    <x v="2"/>
    <x v="5"/>
    <s v="Merlo"/>
    <s v="Rocio Agustina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648053"/>
    <n v="88029"/>
    <n v="3553091"/>
    <s v="DVH"/>
    <s v="CSV1"/>
    <n v="77681"/>
    <n v="64118"/>
    <s v="merlo.17"/>
    <s v="VCTROMER"/>
    <d v="2020-04-22T00:00:00"/>
    <s v="03814432147/ 03816301594"/>
    <n v="41950682"/>
    <s v="27-41950682-1"/>
    <d v="2020-04-21T00:00:00"/>
    <d v="2020-04-21T00:00:00"/>
    <d v="2020-04-22T00:00:00"/>
    <n v="121"/>
    <s v="Campus Casino"/>
  </r>
  <r>
    <x v="2"/>
    <x v="5"/>
    <s v="Moreira"/>
    <s v="Fernando Ezequi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88"/>
    <n v="88150"/>
    <n v="2837489"/>
    <s v="DVH"/>
    <s v="CSV1"/>
    <n v="77681"/>
    <n v="64118"/>
    <s v="moreira.521"/>
    <s v="VCTFEMOR  "/>
    <d v="2020-03-22T00:00:00"/>
    <m/>
    <n v="41950442"/>
    <n v="20419504425"/>
    <d v="2019-12-09T00:00:00"/>
    <d v="2019-12-09T00:00:00"/>
    <d v="2020-01-01T00:00:00"/>
    <n v="253"/>
    <s v="Campus Casino"/>
  </r>
  <r>
    <x v="2"/>
    <x v="5"/>
    <s v="Rodriguez"/>
    <s v="Maria Florencia 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69"/>
    <n v="86281"/>
    <n v="2464942"/>
    <s v="DVH"/>
    <s v="CSV1"/>
    <n v="77681"/>
    <n v="64118"/>
    <s v="Rodriguez.3446"/>
    <s v="VCTMAROD "/>
    <d v="2020-03-26T00:00:00"/>
    <s v="0381-155178960"/>
    <n v="39358829"/>
    <n v="27393588298"/>
    <d v="2018-12-17T00:00:00"/>
    <d v="2018-12-17T00:00:00"/>
    <d v="2019-01-02T00:00:00"/>
    <n v="605"/>
    <s v="Campus Casino"/>
  </r>
  <r>
    <x v="2"/>
    <x v="5"/>
    <s v="Vidal"/>
    <s v="Maria Elis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82"/>
    <n v="88144"/>
    <n v="3624024"/>
    <s v="TLMK"/>
    <s v="CSV1"/>
    <n v="77681"/>
    <n v="64118"/>
    <s v="vidal.239"/>
    <s v="VCTMAVID  "/>
    <d v="2020-03-26T00:00:00"/>
    <m/>
    <n v="40314189"/>
    <n v="27403141890"/>
    <d v="2019-12-09T00:00:00"/>
    <d v="2019-12-09T00:00:00"/>
    <d v="2020-01-01T00:00:00"/>
    <n v="253"/>
    <s v="Campus Casino"/>
  </r>
  <r>
    <x v="2"/>
    <x v="5"/>
    <s v="Vizcarra"/>
    <s v="Ayelén Magalí del Vall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076"/>
    <n v="88360"/>
    <n v="3667100"/>
    <s v="TLMK"/>
    <s v="CSV1"/>
    <n v="77681"/>
    <n v="64118"/>
    <s v="vizcarra.70"/>
    <s v="VCTAYVIZ"/>
    <d v="2020-04-22T00:00:00"/>
    <s v="03814751743"/>
    <n v="40089513"/>
    <s v="27-40089513-4"/>
    <d v="2020-04-21T00:00:00"/>
    <d v="2020-04-21T00:00:00"/>
    <d v="2020-04-22T00:00:00"/>
    <n v="121"/>
    <s v="Campus Casino"/>
  </r>
  <r>
    <x v="2"/>
    <x v="9"/>
    <s v="Barros"/>
    <s v="Juan Carlo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06"/>
    <n v="85274"/>
    <n v="2804853"/>
    <s v="CSV3"/>
    <s v="CSV2 / CSV3 / HD"/>
    <n v="66977"/>
    <n v="64118"/>
    <s v="barros.296"/>
    <s v="VCTJUBAR"/>
    <d v="2020-03-29T00:00:00"/>
    <s v="0381-155278437"/>
    <n v="37188262"/>
    <n v="20371882627"/>
    <d v="2018-03-05T00:00:00"/>
    <d v="2018-11-05T00:00:00"/>
    <d v="2018-11-19T00:00:00"/>
    <n v="887"/>
    <s v="Campus Casino"/>
  </r>
  <r>
    <x v="2"/>
    <x v="9"/>
    <s v="Bulacio Pereyra"/>
    <s v="Leandro Emiliano"/>
    <s v="OFF"/>
    <s v="Approved OFF"/>
    <s v="Approved OFF"/>
    <s v="Approved OFF"/>
    <s v="Approved OFF"/>
    <s v="Approved OFF"/>
    <s v="OFF"/>
    <m/>
    <s v="CAPA CSV2 a CSV3 08/11 - 08/26 (activo 08/27)(Hs Orig  09:00 - 15:00 OFF Dom Sab)"/>
    <s v="PT"/>
    <n v="0"/>
    <n v="0"/>
    <n v="0"/>
    <n v="0"/>
    <n v="0"/>
    <n v="0"/>
    <n v="0"/>
    <n v="0"/>
    <n v="89117"/>
    <n v="86142"/>
    <n v="3118266"/>
    <s v="CSV2"/>
    <s v="CSV2"/>
    <n v="66977"/>
    <n v="64118"/>
    <s v="bulaciopereyra.5 "/>
    <s v="VCTLEBUL"/>
    <d v="2020-04-24T00:00:00"/>
    <s v="387-154037371"/>
    <n v="39037592"/>
    <n v="20390375922"/>
    <d v="2018-12-03T00:00:00"/>
    <d v="2018-12-03T00:00:00"/>
    <d v="2018-12-14T00:00:00"/>
    <n v="619"/>
    <s v="Campus Casino"/>
  </r>
  <r>
    <x v="2"/>
    <x v="9"/>
    <s v="Campos"/>
    <s v="Maria Bele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97"/>
    <n v="83159"/>
    <n v="2426406"/>
    <s v="CSV2"/>
    <s v="CSV2"/>
    <n v="66977"/>
    <n v="64118"/>
    <s v="campos.467"/>
    <s v="VCTMACAM"/>
    <d v="2020-03-25T00:00:00"/>
    <s v="+54 381 429 8982"/>
    <n v="34064086"/>
    <n v="27340640867"/>
    <d v="2017-03-06T00:00:00"/>
    <d v="2018-11-05T00:00:00"/>
    <d v="2018-11-19T00:00:00"/>
    <n v="1246"/>
    <s v="Campus Casino"/>
  </r>
  <r>
    <x v="2"/>
    <x v="9"/>
    <s v="Delgado"/>
    <s v="Daiana Mel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82"/>
    <n v="86332"/>
    <n v="3138445"/>
    <s v="Compras Referidas"/>
    <s v="DVH / Compras Referidas / Servicios web / Formularios de contacto Débito/TLMK"/>
    <n v="66977"/>
    <n v="64118"/>
    <s v="delgado.491 "/>
    <s v="VCTDADEL "/>
    <d v="2020-03-25T00:00:00"/>
    <s v="0381-156938777"/>
    <n v="39575029"/>
    <n v="27395750297"/>
    <d v="2018-12-26T00:00:00"/>
    <d v="2018-12-26T00:00:00"/>
    <d v="2019-01-11T00:00:00"/>
    <n v="596"/>
    <s v="Campus Casino"/>
  </r>
  <r>
    <x v="2"/>
    <x v="9"/>
    <s v="Felipe "/>
    <s v="Erika Tamar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08"/>
    <n v="83111"/>
    <n v="2426435"/>
    <s v="CSV2"/>
    <s v="CSV2"/>
    <n v="66977"/>
    <n v="64118"/>
    <s v="felipe.89"/>
    <s v="VCTERFEL"/>
    <d v="2020-03-29T00:00:00"/>
    <s v="0381-156547468"/>
    <n v="39143903"/>
    <n v="27391439031"/>
    <d v="2017-03-06T00:00:00"/>
    <d v="2018-06-08T00:00:00"/>
    <d v="2018-06-11T00:00:00"/>
    <n v="1246"/>
    <s v="Campus Casino"/>
  </r>
  <r>
    <x v="2"/>
    <x v="9"/>
    <s v="Isa Massa "/>
    <s v="Leila Gabriel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10"/>
    <n v="78218"/>
    <n v="1167531"/>
    <s v="Compras Referidas"/>
    <s v="CSV1"/>
    <n v="66977"/>
    <n v="64118"/>
    <s v="isamassa.5"/>
    <s v="VCTLEISA"/>
    <d v="2020-03-29T00:00:00"/>
    <s v="0381-154192983"/>
    <n v="29290007"/>
    <n v="23292900074"/>
    <d v="2013-11-04T00:00:00"/>
    <d v="2018-06-08T00:00:00"/>
    <d v="2018-06-11T00:00:00"/>
    <n v="2448"/>
    <s v="Campus Casino"/>
  </r>
  <r>
    <x v="2"/>
    <x v="9"/>
    <s v="Jeréz"/>
    <s v="Eliana Del Milagr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04"/>
    <n v="65030"/>
    <n v="433692"/>
    <s v="HD"/>
    <s v="CSV2 / HD/ CSV3"/>
    <n v="66977"/>
    <n v="64118"/>
    <s v="jerez.14"/>
    <s v="VCTELJER"/>
    <d v="2020-03-29T00:00:00"/>
    <s v="0381-154067498"/>
    <n v="27016062"/>
    <n v="27270160625"/>
    <d v="2009-07-06T00:00:00"/>
    <d v="2018-06-08T00:00:00"/>
    <d v="2018-06-11T00:00:00"/>
    <n v="4006"/>
    <s v="Campus Casino"/>
  </r>
  <r>
    <x v="2"/>
    <x v="9"/>
    <s v="Lopez"/>
    <s v="Ruth Micael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62"/>
    <n v="86292"/>
    <n v="3133281"/>
    <s v="CSV3"/>
    <s v="CSV2 / CSV3"/>
    <n v="66977"/>
    <n v="64118"/>
    <s v="lopez.2492 "/>
    <s v="VCTRULOP "/>
    <d v="2020-03-27T00:00:00"/>
    <s v="0381-153514301"/>
    <n v="39357619"/>
    <n v="27393576192"/>
    <d v="2018-12-17T00:00:00"/>
    <d v="2018-12-17T00:00:00"/>
    <d v="2019-01-02T00:00:00"/>
    <n v="605"/>
    <s v="Campus Casino"/>
  </r>
  <r>
    <x v="2"/>
    <x v="9"/>
    <s v="Luna"/>
    <s v="Veronica Alejandr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27"/>
    <n v="86143"/>
    <n v="3118251"/>
    <s v="CSV2"/>
    <s v="CSV1 / CSV2"/>
    <n v="66977"/>
    <n v="64118"/>
    <s v="luna.535 "/>
    <s v="VCTVELUN "/>
    <d v="2020-03-20T00:00:00"/>
    <s v="381-155633166"/>
    <n v="33755672"/>
    <n v="27337556723"/>
    <d v="2018-12-03T00:00:00"/>
    <d v="2018-12-03T00:00:00"/>
    <d v="2018-12-14T00:00:00"/>
    <n v="619"/>
    <s v="Campus Casino"/>
  </r>
  <r>
    <x v="2"/>
    <x v="9"/>
    <s v="Malinar"/>
    <s v="Lore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86"/>
    <n v="82628"/>
    <n v="2313063"/>
    <s v="CSV2"/>
    <s v="CSV2"/>
    <n v="66977"/>
    <n v="64118"/>
    <s v="malinar.5"/>
    <s v="VCTLOMAL"/>
    <d v="2020-03-29T00:00:00"/>
    <s v="0381-154160828"/>
    <n v="25255663"/>
    <n v="27252556635"/>
    <d v="2016-11-14T00:00:00"/>
    <d v="2018-11-05T00:00:00"/>
    <d v="2018-11-19T00:00:00"/>
    <n v="1358"/>
    <s v="Campus Casino"/>
  </r>
  <r>
    <x v="2"/>
    <x v="9"/>
    <s v="Molina "/>
    <s v="María Jime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05"/>
    <n v="80059"/>
    <n v="1535349"/>
    <s v="Compras Referidas"/>
    <s v="CSV1"/>
    <n v="66977"/>
    <n v="64118"/>
    <s v="molina.244"/>
    <s v="VCTMAMOL"/>
    <d v="2020-04-24T00:00:00"/>
    <s v="0381-155198663"/>
    <n v="36583773"/>
    <n v="27365837738"/>
    <d v="2015-01-05T00:00:00"/>
    <d v="2018-06-08T00:00:00"/>
    <d v="2018-06-11T00:00:00"/>
    <n v="2027"/>
    <s v="Campus Casino"/>
  </r>
  <r>
    <x v="2"/>
    <x v="9"/>
    <s v="Morales Casen"/>
    <s v="Zaida Yamil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90"/>
    <n v="86338"/>
    <n v="3138452"/>
    <s v="CSV2"/>
    <s v="CSV2"/>
    <n v="66977"/>
    <n v="64118"/>
    <s v="moralescasen.5 "/>
    <s v="VCTZAMOR "/>
    <d v="2020-03-25T00:00:00"/>
    <s v="0381-156645832"/>
    <n v="39575371"/>
    <n v="27395753717"/>
    <d v="2018-12-26T00:00:00"/>
    <d v="2018-12-26T00:00:00"/>
    <d v="2019-01-11T00:00:00"/>
    <n v="596"/>
    <s v="Campus Casino"/>
  </r>
  <r>
    <x v="2"/>
    <x v="9"/>
    <s v="Pacheco"/>
    <s v="Milagro Belen"/>
    <s v="OFF"/>
    <s v="Approved OFF"/>
    <s v="Approved OFF"/>
    <s v="Approved OFF"/>
    <s v="Approved OFF"/>
    <s v="Approved OFF"/>
    <s v="OFF"/>
    <m/>
    <s v="CAPA CSV2 a CSV3 08/11 - 08/26 (activo 08/27)(Hs Orig  09:00 - 15:00 OFF Dom Sab)"/>
    <s v="PT"/>
    <n v="0"/>
    <n v="0"/>
    <n v="0"/>
    <n v="0"/>
    <n v="0"/>
    <n v="0"/>
    <n v="0"/>
    <n v="0"/>
    <n v="89093"/>
    <n v="83709"/>
    <n v="2557023"/>
    <s v="CSV2"/>
    <s v="CSV2"/>
    <n v="66977"/>
    <n v="64118"/>
    <s v="pacheco.259"/>
    <s v="VCTBEPAC"/>
    <d v="2020-04-24T00:00:00"/>
    <s v="0381-156870493 / 0381-156870493"/>
    <n v="40237972"/>
    <n v="27402379729"/>
    <d v="2017-07-03T00:00:00"/>
    <d v="2018-11-05T00:00:00"/>
    <d v="2018-11-19T00:00:00"/>
    <n v="1129"/>
    <s v="Campus Casino"/>
  </r>
  <r>
    <x v="2"/>
    <x v="9"/>
    <s v="Pavón"/>
    <s v="Marcos Fid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33"/>
    <n v="80925"/>
    <n v="1846621"/>
    <s v="CSV3"/>
    <s v="CSV2 / CSV3"/>
    <n v="66977"/>
    <n v="64118"/>
    <s v="pavn.6"/>
    <s v="VCTMAPAV"/>
    <d v="2020-03-26T00:00:00"/>
    <s v="0381 -156365778"/>
    <n v="38745124"/>
    <n v="20387451243"/>
    <d v="2015-10-05T00:00:00"/>
    <d v="2018-08-15T00:00:00"/>
    <d v="2018-08-16T00:00:00"/>
    <n v="1757"/>
    <s v="Campus Casino"/>
  </r>
  <r>
    <x v="2"/>
    <x v="9"/>
    <s v="Ponce"/>
    <s v="Lucia Emil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30"/>
    <n v="86149"/>
    <n v="1947342"/>
    <s v="CSV3"/>
    <s v="CSV2/ CSV3"/>
    <n v="66977"/>
    <n v="64118"/>
    <s v="ponce.308 "/>
    <s v="VCTLUPON "/>
    <d v="2020-04-13T00:00:00"/>
    <s v="381-153311458"/>
    <n v="37927030"/>
    <n v="27379270307"/>
    <d v="2018-12-03T00:00:00"/>
    <d v="2018-12-03T00:00:00"/>
    <d v="2018-12-14T00:00:00"/>
    <n v="619"/>
    <s v="Campus Casino"/>
  </r>
  <r>
    <x v="2"/>
    <x v="9"/>
    <s v="Reyna "/>
    <s v="Edith Macaren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015"/>
    <n v="85607"/>
    <n v="2873901"/>
    <s v="DVH"/>
    <s v="CSV1"/>
    <n v="66977"/>
    <n v="64118"/>
    <s v="reyna.146"/>
    <s v="VCTEDREY"/>
    <d v="2020-04-24T00:00:00"/>
    <s v="0381-155907511"/>
    <n v="37728242"/>
    <n v="27377282421"/>
    <d v="2018-05-07T00:00:00"/>
    <d v="2018-06-08T00:00:00"/>
    <d v="2018-06-11T00:00:00"/>
    <n v="825"/>
    <s v="Campus Casino"/>
  </r>
  <r>
    <x v="2"/>
    <x v="9"/>
    <s v="Serra"/>
    <s v="Tamara 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71"/>
    <n v="86280"/>
    <n v="3133230"/>
    <s v="CSV2"/>
    <s v="CSV1 / CSV2"/>
    <n v="66977"/>
    <n v="64118"/>
    <s v="Serra.75"/>
    <s v="VCTTASER"/>
    <d v="2020-03-31T00:00:00"/>
    <s v="0381-154772633"/>
    <n v="39573437"/>
    <n v="27395734372"/>
    <d v="2018-12-17T00:00:00"/>
    <d v="2018-12-17T00:00:00"/>
    <d v="2019-01-02T00:00:00"/>
    <n v="605"/>
    <s v="Campus Casino"/>
  </r>
  <r>
    <x v="2"/>
    <x v="9"/>
    <s v="Silva"/>
    <s v="Franco Gabri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72"/>
    <n v="86295"/>
    <n v="3133292"/>
    <s v="CSV2"/>
    <s v="CSV1 / CSV2"/>
    <n v="66977"/>
    <n v="64118"/>
    <s v="silva.13039 "/>
    <s v="VCTFRSIL "/>
    <d v="2020-03-20T00:00:00"/>
    <s v="03865-15264084"/>
    <n v="43037646"/>
    <n v="20430376463"/>
    <d v="2018-12-17T00:00:00"/>
    <d v="2018-12-17T00:00:00"/>
    <d v="2019-01-02T00:00:00"/>
    <n v="605"/>
    <s v="Campus Casino"/>
  </r>
  <r>
    <x v="2"/>
    <x v="9"/>
    <s v="Suarez"/>
    <s v="Maria Florencia"/>
    <s v="OFF"/>
    <s v="Approved OFF"/>
    <s v="Approved OFF"/>
    <s v="Approved OFF"/>
    <s v="Approved OFF"/>
    <s v="Approved OFF"/>
    <s v="OFF"/>
    <m/>
    <s v="CAPA CSV2 a CSV3 08/11 - 08/26 (activo 08/27)(Hs Orig  09:00 - 15:00 OFF Dom Sab)"/>
    <s v="PT"/>
    <n v="0"/>
    <n v="0"/>
    <n v="0"/>
    <n v="0"/>
    <n v="0"/>
    <n v="0"/>
    <n v="0"/>
    <n v="0"/>
    <n v="89034"/>
    <n v="80985"/>
    <n v="1880542"/>
    <s v="CSV2"/>
    <s v="CSV2"/>
    <n v="66977"/>
    <n v="64118"/>
    <s v="suarez.249"/>
    <s v="VCTMASUA"/>
    <d v="2020-04-24T00:00:00"/>
    <s v="0381 -155191372"/>
    <n v="34133058"/>
    <n v="27341330586"/>
    <d v="2015-11-02T00:00:00"/>
    <d v="2018-08-15T00:00:00"/>
    <d v="2018-08-16T00:00:00"/>
    <n v="1730"/>
    <s v="Campus Casino"/>
  </r>
  <r>
    <x v="2"/>
    <x v="9"/>
    <s v="Valverde"/>
    <s v="Lourdes Oriana"/>
    <s v="OFF"/>
    <s v="Approved OFF"/>
    <s v="Approved OFF"/>
    <s v="Approved OFF"/>
    <s v="Approved OFF"/>
    <s v="Approved OFF"/>
    <s v="OFF"/>
    <m/>
    <s v="CAPA CSV2 a CSV3 08/11 - 08/26 (activo 08/27)(Hs Orig  09:00 - 15:00 OFF Dom Sab)"/>
    <s v="PT"/>
    <n v="0"/>
    <n v="0"/>
    <n v="0"/>
    <n v="0"/>
    <n v="0"/>
    <n v="0"/>
    <n v="0"/>
    <n v="0"/>
    <n v="89134"/>
    <n v="86146"/>
    <n v="3118276"/>
    <s v="CSV2"/>
    <s v="CSV2"/>
    <n v="66977"/>
    <n v="64118"/>
    <s v="valverde.30 "/>
    <s v="VCTLOVAL "/>
    <d v="2020-03-29T00:00:00"/>
    <s v="381-154748771"/>
    <n v="41299933"/>
    <n v="27412999334"/>
    <d v="2018-12-03T00:00:00"/>
    <d v="2018-12-03T00:00:00"/>
    <d v="2018-12-14T00:00:00"/>
    <n v="619"/>
    <s v="Campus Casino"/>
  </r>
  <r>
    <x v="2"/>
    <x v="8"/>
    <s v="Acosta"/>
    <s v="Joaquin Nicola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77"/>
    <n v="88139"/>
    <n v="3623919"/>
    <s v="Habilitaciones"/>
    <s v="CSV1"/>
    <n v="78667"/>
    <n v="64118"/>
    <s v="acosta.529"/>
    <s v="VCTJOACO  "/>
    <d v="2020-03-26T00:00:00"/>
    <m/>
    <n v="39138709"/>
    <n v="20391387096"/>
    <d v="2019-12-09T00:00:00"/>
    <d v="2019-12-09T00:00:00"/>
    <d v="2020-01-01T00:00:00"/>
    <n v="253"/>
    <s v="Campus Casino"/>
  </r>
  <r>
    <x v="2"/>
    <x v="8"/>
    <s v="Alderete"/>
    <s v="Mayra Luciana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89332"/>
    <n v="88362"/>
    <n v="3667102"/>
    <s v="CSV1"/>
    <s v="CSV1"/>
    <n v="78667"/>
    <n v="64118"/>
    <m/>
    <s v="VCTLUALD"/>
    <m/>
    <m/>
    <n v="33374870"/>
    <s v="27-33374870-9"/>
    <d v="2020-07-14T00:00:00"/>
    <d v="2020-07-14T00:00:00"/>
    <d v="2020-07-17T00:00:00"/>
    <n v="38"/>
    <s v="Campus Casino"/>
  </r>
  <r>
    <x v="2"/>
    <x v="8"/>
    <s v="Barrionuevo"/>
    <s v="Natalia Elizabeth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16"/>
    <n v="86139"/>
    <n v="3118248"/>
    <s v="Servicios web"/>
    <s v="CSV1"/>
    <n v="78667"/>
    <n v="64118"/>
    <s v="barrionuevo.75 "/>
    <s v="VCTNABAR"/>
    <d v="2020-03-25T00:00:00"/>
    <s v="381-155893430"/>
    <n v="27017947"/>
    <n v="27270179474"/>
    <d v="2018-12-03T00:00:00"/>
    <d v="2018-12-03T00:00:00"/>
    <d v="2018-12-14T00:00:00"/>
    <n v="619"/>
    <s v="Campus Casino"/>
  </r>
  <r>
    <x v="2"/>
    <x v="8"/>
    <s v="Barros Fernandez"/>
    <s v="Maria Lucian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84"/>
    <n v="88146"/>
    <n v="3624026"/>
    <s v="Servicios web"/>
    <s v="CSV1"/>
    <n v="78667"/>
    <n v="64118"/>
    <s v="barrosfernandez.5"/>
    <s v="VCTMABAR  "/>
    <d v="2020-03-29T00:00:00"/>
    <m/>
    <n v="39972866"/>
    <n v="27399728660"/>
    <d v="2019-12-09T00:00:00"/>
    <d v="2019-12-09T00:00:00"/>
    <d v="2020-01-01T00:00:00"/>
    <n v="253"/>
    <s v="Campus Casino"/>
  </r>
  <r>
    <x v="2"/>
    <x v="8"/>
    <s v="Bonadelli"/>
    <s v="Angel Fabian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036"/>
    <n v="73450"/>
    <n v="567214"/>
    <s v="Servicios web"/>
    <s v="CSV1"/>
    <n v="78667"/>
    <n v="64118"/>
    <s v="bonadeli.5"/>
    <s v="VCTANBON"/>
    <d v="2020-07-17T00:00:00"/>
    <s v="0386 -153501845"/>
    <n v="29088429"/>
    <s v="20-29088429-3"/>
    <d v="2010-11-08T00:00:00"/>
    <d v="2018-08-15T00:00:00"/>
    <d v="2018-08-16T00:00:00"/>
    <n v="3524"/>
    <s v="Campus Casino"/>
  </r>
  <r>
    <x v="2"/>
    <x v="8"/>
    <s v="Correa"/>
    <s v="David Maximiliano"/>
    <s v="OFF"/>
    <s v="LOA"/>
    <s v="LOA"/>
    <s v="LOA"/>
    <s v="LOA"/>
    <s v="LOA"/>
    <s v="OFF"/>
    <m/>
    <s v="LOA mm/dd - mm/dd (Hs Orig  09:00 - 15:00 OFF Dom Sab)"/>
    <s v="PT"/>
    <n v="0"/>
    <n v="0"/>
    <n v="0"/>
    <n v="0"/>
    <n v="0"/>
    <n v="0"/>
    <n v="0"/>
    <n v="0"/>
    <n v="89159"/>
    <n v="86277"/>
    <n v="3133223"/>
    <s v="DVH"/>
    <s v="CSV1"/>
    <n v="78667"/>
    <n v="64118"/>
    <s v="Correa.309"/>
    <s v="VCTDACOR"/>
    <d v="2020-07-28T00:00:00"/>
    <s v="0381-155618109"/>
    <n v="34285435"/>
    <n v="20342854355"/>
    <d v="2018-12-17T00:00:00"/>
    <d v="2018-12-17T00:00:00"/>
    <d v="2019-01-02T00:00:00"/>
    <n v="605"/>
    <s v="Campus Casino"/>
  </r>
  <r>
    <x v="2"/>
    <x v="8"/>
    <s v="Guevara"/>
    <s v="Carlos August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60"/>
    <n v="86286"/>
    <n v="3133265"/>
    <s v="CSV2"/>
    <s v="CSV2"/>
    <n v="78667"/>
    <n v="64118"/>
    <s v="guevara.168 "/>
    <s v="VCTCAGUE "/>
    <d v="2020-07-21T00:00:00"/>
    <s v="0381-154638420"/>
    <n v="36042494"/>
    <n v="20360424945"/>
    <d v="2018-12-17T00:00:00"/>
    <d v="2018-12-17T00:00:00"/>
    <d v="2019-01-02T00:00:00"/>
    <n v="605"/>
    <s v="Campus Casino"/>
  </r>
  <r>
    <x v="2"/>
    <x v="8"/>
    <s v="Jerez"/>
    <s v="Rodrigo Facundo 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89333"/>
    <n v="88363"/>
    <n v="3667103"/>
    <s v="CSV1"/>
    <s v="CSV1"/>
    <n v="78667"/>
    <n v="64118"/>
    <m/>
    <s v="VCTFAJER"/>
    <m/>
    <m/>
    <n v="39356693"/>
    <s v="20-39356693-1"/>
    <d v="2020-07-14T00:00:00"/>
    <d v="2020-07-14T00:00:00"/>
    <d v="2020-07-17T00:00:00"/>
    <n v="38"/>
    <s v="Campus Casino"/>
  </r>
  <r>
    <x v="2"/>
    <x v="8"/>
    <s v="Lazarte"/>
    <s v="Carlos Enriqu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87"/>
    <n v="83366"/>
    <n v="2455222"/>
    <s v="DVH"/>
    <s v="CSV1"/>
    <n v="78667"/>
    <n v="64118"/>
    <s v="lazarte.85"/>
    <s v="VCTCALAZ"/>
    <d v="2020-07-28T00:00:00"/>
    <s v="0381-155764472"/>
    <n v="40695733"/>
    <n v="20406957331"/>
    <d v="2017-04-03T00:00:00"/>
    <d v="2018-11-05T00:00:00"/>
    <d v="2018-11-19T00:00:00"/>
    <n v="1219"/>
    <s v="Campus Casino"/>
  </r>
  <r>
    <x v="2"/>
    <x v="8"/>
    <s v="Lopez"/>
    <s v="Franco Dani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4"/>
    <n v="87513"/>
    <n v="3503290"/>
    <s v="Servicios web"/>
    <s v="DVH – Compras referidas – Habilitaciones – Servicio Web – Clave PIN"/>
    <n v="78667"/>
    <n v="64118"/>
    <s v="lopez.2770"/>
    <s v="VCTFRLOP"/>
    <d v="2020-05-04T00:00:00"/>
    <m/>
    <n v="42008494"/>
    <n v="20420084944"/>
    <d v="2019-09-23T00:00:00"/>
    <d v="2020-04-24T00:00:00"/>
    <d v="2020-05-05T00:00:00"/>
    <n v="329"/>
    <s v="Campus Casino"/>
  </r>
  <r>
    <x v="2"/>
    <x v="8"/>
    <s v="Mendez"/>
    <s v="Maria Laura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89319"/>
    <n v="88349"/>
    <n v="3667091"/>
    <s v="CSV1"/>
    <s v="CSV1"/>
    <n v="78667"/>
    <n v="64118"/>
    <m/>
    <s v="VCTMAMEN"/>
    <m/>
    <m/>
    <n v="36668244"/>
    <s v="27-36668244-4"/>
    <d v="2020-07-14T00:00:00"/>
    <d v="2020-07-14T00:00:00"/>
    <d v="2020-07-17T00:00:00"/>
    <n v="38"/>
    <s v="Campus Casino"/>
  </r>
  <r>
    <x v="2"/>
    <x v="8"/>
    <s v="Moreno"/>
    <s v="Fatima Rocio Belen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89318"/>
    <n v="88348"/>
    <n v="3667090"/>
    <s v="CSV1"/>
    <s v="CSV1"/>
    <n v="78667"/>
    <n v="64118"/>
    <m/>
    <s v="VCTFAMOR"/>
    <m/>
    <m/>
    <n v="41300232"/>
    <s v="27-41300232-5"/>
    <d v="2020-07-14T00:00:00"/>
    <d v="2020-07-14T00:00:00"/>
    <d v="2020-07-17T00:00:00"/>
    <n v="38"/>
    <s v="Campus Casino"/>
  </r>
  <r>
    <x v="2"/>
    <x v="8"/>
    <s v="Navarro"/>
    <s v="Luciano Gustavo 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63"/>
    <n v="86291"/>
    <n v="1823340"/>
    <s v="CSV2"/>
    <s v="CSV2"/>
    <n v="78667"/>
    <n v="64118"/>
    <s v="navarro.744 "/>
    <s v="VCTLUNAV "/>
    <d v="2020-07-21T00:00:00"/>
    <s v="0381-154722968"/>
    <n v="39481760"/>
    <s v="20-39481760-1"/>
    <d v="2018-12-17T00:00:00"/>
    <d v="2018-12-17T00:00:00"/>
    <d v="2019-01-02T00:00:00"/>
    <n v="605"/>
    <s v="Campus Casino"/>
  </r>
  <r>
    <x v="2"/>
    <x v="8"/>
    <s v="Perez"/>
    <s v="Maria Jose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89325"/>
    <n v="88355"/>
    <n v="3667096"/>
    <s v="CSV1"/>
    <s v="CSV1"/>
    <n v="78667"/>
    <n v="64118"/>
    <m/>
    <s v="VCTMAPER"/>
    <m/>
    <m/>
    <n v="41983179"/>
    <s v="23-41983179-4"/>
    <d v="2020-07-14T00:00:00"/>
    <d v="2020-07-14T00:00:00"/>
    <d v="2020-07-17T00:00:00"/>
    <n v="38"/>
    <s v="Campus Casino"/>
  </r>
  <r>
    <x v="2"/>
    <x v="8"/>
    <s v="Reinoso Cisnero"/>
    <s v="Gaspar"/>
    <s v="OFF"/>
    <s v="09:00 - 15:00"/>
    <s v="09:00 - 15:00"/>
    <s v="SUS"/>
    <s v="09:00 - 15:00"/>
    <s v="09:00 - 15:00"/>
    <s v="OFF"/>
    <m/>
    <s v="SUS 08/19"/>
    <e v="#VALUE!"/>
    <n v="0"/>
    <n v="6"/>
    <n v="6"/>
    <e v="#VALUE!"/>
    <n v="6"/>
    <n v="6"/>
    <n v="0"/>
    <e v="#VALUE!"/>
    <n v="89192"/>
    <n v="86345"/>
    <n v="3138511"/>
    <s v="Servicios web"/>
    <s v="CSV1"/>
    <n v="78667"/>
    <n v="64118"/>
    <s v="reinosocisnero.5 "/>
    <s v="VCTGAREI "/>
    <d v="2020-04-24T00:00:00"/>
    <s v="03838-155400615"/>
    <n v="41038574"/>
    <n v="20410385741"/>
    <d v="2018-12-26T00:00:00"/>
    <d v="2018-12-26T00:00:00"/>
    <d v="2019-01-11T00:00:00"/>
    <n v="596"/>
    <s v="Campus Casino"/>
  </r>
  <r>
    <x v="2"/>
    <x v="8"/>
    <s v="Rodriguez"/>
    <s v="Alejandra Isab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8"/>
    <n v="87599"/>
    <n v="3525648"/>
    <s v="Compras Referidas"/>
    <s v="DVH – Compras referidas – Habilitaciones – Servicio Web – Clave PIN"/>
    <n v="78667"/>
    <n v="64118"/>
    <s v="rodriguez.3867"/>
    <s v="VCTALROD"/>
    <d v="2020-05-04T00:00:00"/>
    <s v="381-153301915"/>
    <n v="33328577"/>
    <n v="27333285776"/>
    <d v="2019-10-07T00:00:00"/>
    <d v="2020-04-24T00:00:00"/>
    <d v="2020-05-05T00:00:00"/>
    <n v="315"/>
    <s v="Campus Casino"/>
  </r>
  <r>
    <x v="2"/>
    <x v="8"/>
    <s v="Rossi"/>
    <s v="Griselda Anali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105"/>
    <n v="83066"/>
    <n v="2426256"/>
    <s v="DVH"/>
    <s v="CSV1"/>
    <n v="78667"/>
    <n v="64118"/>
    <s v="rossi.84"/>
    <s v="VCTGRROS"/>
    <d v="2020-07-17T00:00:00"/>
    <s v="+54 038 150 95653"/>
    <n v="34105812"/>
    <n v="27341058126"/>
    <d v="2017-03-06T00:00:00"/>
    <d v="2018-11-05T00:00:00"/>
    <d v="2018-11-19T00:00:00"/>
    <n v="1246"/>
    <s v="Campus Casino"/>
  </r>
  <r>
    <x v="2"/>
    <x v="8"/>
    <s v="Rotondo"/>
    <s v="Eliana Rom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46"/>
    <n v="85339"/>
    <n v="2811272"/>
    <s v="CSV1"/>
    <s v="CSV1"/>
    <n v="78667"/>
    <n v="64118"/>
    <s v="rotondo.6"/>
    <s v="VCTELROT"/>
    <d v="2020-07-17T00:00:00"/>
    <s v="0381 -155772644"/>
    <n v="34287811"/>
    <n v="27342878119"/>
    <d v="2018-03-12T00:00:00"/>
    <d v="2018-08-15T00:00:00"/>
    <d v="2018-08-16T00:00:00"/>
    <n v="880"/>
    <s v="Campus Casino"/>
  </r>
  <r>
    <x v="2"/>
    <x v="8"/>
    <s v="Soria"/>
    <s v="Agustín Said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94"/>
    <n v="86340"/>
    <n v="3138455"/>
    <s v="DVH"/>
    <s v="CSV1"/>
    <n v="78667"/>
    <n v="64118"/>
    <s v="soria.181 "/>
    <s v="VCTAGSOR "/>
    <d v="2020-06-29T00:00:00"/>
    <s v="3813158987 / 3814167314"/>
    <n v="41184272"/>
    <s v="20-41184272-0"/>
    <d v="2018-12-26T00:00:00"/>
    <d v="2018-12-26T00:00:00"/>
    <d v="2019-01-11T00:00:00"/>
    <n v="596"/>
    <s v="Campus Casino"/>
  </r>
  <r>
    <x v="2"/>
    <x v="8"/>
    <s v="Torres Mariotti"/>
    <s v="Rocio Alejandr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88"/>
    <n v="84619"/>
    <n v="2745917"/>
    <s v="CSV2"/>
    <s v="CSV2"/>
    <n v="78667"/>
    <n v="64118"/>
    <s v="torresmariotti.6"/>
    <s v="VCTROTOR"/>
    <d v="2020-07-21T00:00:00"/>
    <n v="155941758"/>
    <n v="39728877"/>
    <n v="27397288779"/>
    <d v="2018-01-08T00:00:00"/>
    <d v="2018-11-05T00:00:00"/>
    <d v="2018-11-19T00:00:00"/>
    <n v="944"/>
    <s v="Campus Casino"/>
  </r>
  <r>
    <x v="2"/>
    <x v="10"/>
    <s v="Carabajal"/>
    <s v="Paul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069"/>
    <n v="88353"/>
    <n v="3667094"/>
    <s v="TLMK"/>
    <s v="CSV1"/>
    <n v="64659"/>
    <n v="64118"/>
    <s v="carabajal.37"/>
    <s v="VCTPACAR"/>
    <d v="2020-04-22T00:00:00"/>
    <s v="03815019439"/>
    <n v="41238849"/>
    <s v="27-41238849-1"/>
    <d v="2020-04-21T00:00:00"/>
    <d v="2020-04-21T00:00:00"/>
    <d v="2020-04-22T00:00:00"/>
    <n v="121"/>
    <s v="Campus Casino"/>
  </r>
  <r>
    <x v="2"/>
    <x v="10"/>
    <s v="Concha"/>
    <s v="Maria de las Mercedes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648051"/>
    <n v="88027"/>
    <n v="1213197"/>
    <s v="DVH"/>
    <s v="CSV1"/>
    <n v="64659"/>
    <n v="64118"/>
    <s v="concha.56"/>
    <s v="VCTMACON"/>
    <d v="2020-04-22T00:00:00"/>
    <s v="03813507269"/>
    <n v="37499087"/>
    <s v="27-37499087-5"/>
    <d v="2020-04-21T00:00:00"/>
    <d v="2020-04-21T00:00:00"/>
    <d v="2020-04-22T00:00:00"/>
    <n v="121"/>
    <s v="Campus Casino"/>
  </r>
  <r>
    <x v="2"/>
    <x v="10"/>
    <s v="Corbera"/>
    <s v="Ana Florenc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91"/>
    <n v="83571"/>
    <n v="2523179"/>
    <s v="Servicios web"/>
    <s v="CSV1"/>
    <n v="64659"/>
    <n v="64118"/>
    <s v="corbera.6"/>
    <s v="VCTANCOR"/>
    <d v="2020-03-25T00:00:00"/>
    <s v="+54 381 519 4888"/>
    <n v="38488161"/>
    <n v="27384881616"/>
    <d v="2017-06-05T00:00:00"/>
    <d v="2018-11-05T00:00:00"/>
    <d v="2018-11-19T00:00:00"/>
    <n v="1157"/>
    <s v="Campus Casino"/>
  </r>
  <r>
    <x v="2"/>
    <x v="10"/>
    <s v="Décima"/>
    <s v="Alejo Nicola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317"/>
    <n v="88347"/>
    <n v="3123167"/>
    <s v="DVH"/>
    <s v="CSV1"/>
    <n v="64659"/>
    <n v="64118"/>
    <s v="decima.22"/>
    <s v="VCTALDEC"/>
    <d v="2020-03-20T00:00:00"/>
    <m/>
    <n v="42277306"/>
    <n v="20422773062"/>
    <d v="2020-01-22T00:00:00"/>
    <d v="2020-01-22T00:00:00"/>
    <d v="2020-02-12T00:00:00"/>
    <n v="210"/>
    <s v="Campus Casino"/>
  </r>
  <r>
    <x v="2"/>
    <x v="10"/>
    <s v="Del Valle"/>
    <s v="Silvin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87"/>
    <n v="88149"/>
    <n v="3624031"/>
    <s v="Servicios web"/>
    <s v="CSV1"/>
    <n v="64659"/>
    <n v="64118"/>
    <s v="delvalle.77"/>
    <s v="VCTSIDEL  "/>
    <d v="2020-03-27T00:00:00"/>
    <m/>
    <n v="39146028"/>
    <n v="27391460286"/>
    <d v="2019-12-09T00:00:00"/>
    <d v="2019-12-09T00:00:00"/>
    <d v="2020-01-01T00:00:00"/>
    <n v="253"/>
    <s v="Campus Casino"/>
  </r>
  <r>
    <x v="2"/>
    <x v="10"/>
    <s v="Gonzalez"/>
    <s v="Sofia Anahi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86"/>
    <n v="88148"/>
    <n v="3624029"/>
    <s v="CSV2"/>
    <s v="CSV2"/>
    <n v="64659"/>
    <n v="64118"/>
    <s v="gonzalez.2548"/>
    <s v="VCTSOGON  "/>
    <d v="2020-03-27T00:00:00"/>
    <m/>
    <n v="41736994"/>
    <n v="27417369940"/>
    <d v="2019-12-09T00:00:00"/>
    <d v="2019-12-09T00:00:00"/>
    <d v="2020-01-01T00:00:00"/>
    <n v="253"/>
    <s v="Campus Casino"/>
  </r>
  <r>
    <x v="2"/>
    <x v="10"/>
    <s v="Lopez "/>
    <s v="Rosa Mariana 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90"/>
    <n v="83904"/>
    <n v="2657802"/>
    <s v="DVH"/>
    <s v="CSV1"/>
    <n v="64659"/>
    <n v="64118"/>
    <s v="lopez.2211"/>
    <s v="VCTROLOP"/>
    <d v="2020-03-25T00:00:00"/>
    <s v="0381-154433893"/>
    <n v="37657901"/>
    <n v="27376579013"/>
    <d v="2017-10-02T00:00:00"/>
    <d v="2018-11-05T00:00:00"/>
    <d v="2018-11-19T00:00:00"/>
    <n v="1040"/>
    <s v="Campus Casino"/>
  </r>
  <r>
    <x v="2"/>
    <x v="10"/>
    <s v="Lugones Agüero"/>
    <s v="Alejo Ezequiel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648052"/>
    <n v="88028"/>
    <n v="3553088"/>
    <s v="DVH"/>
    <s v="CSV1"/>
    <n v="64659"/>
    <n v="64118"/>
    <s v="lugonesaguero.5"/>
    <s v="VCTALLUG"/>
    <d v="2020-04-22T00:00:00"/>
    <s v="03814652349"/>
    <n v="34603002"/>
    <s v="20-34603002-0"/>
    <d v="2020-04-21T00:00:00"/>
    <d v="2020-04-21T00:00:00"/>
    <d v="2020-04-22T00:00:00"/>
    <n v="121"/>
    <s v="Campus Casino"/>
  </r>
  <r>
    <x v="2"/>
    <x v="10"/>
    <s v="Marín"/>
    <s v="Melisa Betsabé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76"/>
    <n v="88138"/>
    <n v="3623917"/>
    <s v="CSV2"/>
    <s v="CSV2"/>
    <n v="64659"/>
    <n v="64118"/>
    <s v="marin.260"/>
    <s v="VCTMEMAR  "/>
    <d v="2020-03-29T00:00:00"/>
    <m/>
    <n v="36998325"/>
    <n v="27369983259"/>
    <d v="2019-12-09T00:00:00"/>
    <d v="2019-12-09T00:00:00"/>
    <d v="2020-01-01T00:00:00"/>
    <n v="253"/>
    <s v="Campus Casino"/>
  </r>
  <r>
    <x v="2"/>
    <x v="10"/>
    <s v="Moreno"/>
    <s v="Damari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91"/>
    <n v="86331"/>
    <n v="3138494"/>
    <s v="CSV2"/>
    <s v="CSV1 / CSV2"/>
    <n v="64659"/>
    <n v="64118"/>
    <s v="moreno.758 "/>
    <s v="VCTDAMOR "/>
    <d v="2020-03-26T00:00:00"/>
    <s v="0381-1561669012"/>
    <n v="41983155"/>
    <n v="27419831552"/>
    <d v="2018-12-26T00:00:00"/>
    <d v="2018-12-26T00:00:00"/>
    <d v="2019-01-11T00:00:00"/>
    <n v="596"/>
    <s v="Campus Casino"/>
  </r>
  <r>
    <x v="2"/>
    <x v="10"/>
    <s v="Ocaranza"/>
    <s v="Jonathan Franco "/>
    <s v="OFF"/>
    <s v="Approved OFF"/>
    <s v="Approved OFF"/>
    <s v="Approved OFF"/>
    <s v="Approved OFF"/>
    <s v="Approved OFF"/>
    <s v="OFF"/>
    <m/>
    <s v="CAPA CSV1 a CSV2 08/10 - 08/31 (activo 09/01)(Hs Orig  10:00 - 15:00 OFF Dom Sab)"/>
    <s v="PT"/>
    <n v="0"/>
    <n v="0"/>
    <n v="0"/>
    <n v="0"/>
    <n v="0"/>
    <n v="0"/>
    <n v="0"/>
    <n v="0"/>
    <n v="89255"/>
    <n v="88030"/>
    <n v="2852874"/>
    <s v="DVH"/>
    <s v="CSV1"/>
    <n v="64659"/>
    <n v="64118"/>
    <s v="ocaranza.12"/>
    <s v="VCTJOOCA"/>
    <d v="2020-03-20T00:00:00"/>
    <s v="381-155218355"/>
    <n v="36998204"/>
    <n v="20369982045"/>
    <d v="2019-10-28T00:00:00"/>
    <d v="2019-10-28T00:00:00"/>
    <d v="2019-11-07T00:00:00"/>
    <n v="294"/>
    <s v="Campus Casino"/>
  </r>
  <r>
    <x v="2"/>
    <x v="10"/>
    <s v="Sanchez"/>
    <s v="Maria Florencia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648050"/>
    <n v="88026"/>
    <n v="3553083"/>
    <s v="DVH"/>
    <s v="CSV1"/>
    <n v="64659"/>
    <n v="64118"/>
    <s v="sanchez.2280"/>
    <s v="VCTMASAN"/>
    <d v="2020-04-22T00:00:00"/>
    <s v="03813608549"/>
    <n v="43202751"/>
    <s v="27-43202751-7"/>
    <d v="2020-04-21T00:00:00"/>
    <d v="2020-04-21T00:00:00"/>
    <d v="2020-04-22T00:00:00"/>
    <n v="121"/>
    <s v="Campus Casino"/>
  </r>
  <r>
    <x v="2"/>
    <x v="10"/>
    <s v="Suarez"/>
    <s v="Alicia Veronic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65"/>
    <n v="76572"/>
    <n v="796746"/>
    <s v="CSV1"/>
    <s v="CSV1"/>
    <n v="64659"/>
    <n v="64118"/>
    <s v="suarez.131"/>
    <s v="VCTALSUA"/>
    <d v="2020-05-18T00:00:00"/>
    <s v="0381-156574458"/>
    <n v="30835040"/>
    <n v="27308350407"/>
    <d v="2012-04-09T00:00:00"/>
    <d v="2020-05-11T00:00:00"/>
    <d v="2020-05-18T00:00:00"/>
    <n v="3013"/>
    <s v="Campus Casino"/>
  </r>
  <r>
    <x v="2"/>
    <x v="10"/>
    <s v="Suarez Yapura"/>
    <s v="Agost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85"/>
    <n v="88147"/>
    <n v="3624028"/>
    <s v="DVH"/>
    <s v="CSV1"/>
    <n v="64659"/>
    <n v="64118"/>
    <s v="suarezyapura.5"/>
    <s v="VCTAGSUA  "/>
    <d v="2020-03-27T00:00:00"/>
    <m/>
    <n v="39078566"/>
    <n v="27390785661"/>
    <d v="2019-12-09T00:00:00"/>
    <d v="2019-12-09T00:00:00"/>
    <d v="2020-01-01T00:00:00"/>
    <n v="253"/>
    <s v="Campus Casino"/>
  </r>
  <r>
    <x v="2"/>
    <x v="10"/>
    <s v="Tula"/>
    <s v="Luciana Belen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79"/>
    <n v="88141"/>
    <n v="3623928"/>
    <s v="DVH"/>
    <s v="CSV1"/>
    <n v="64659"/>
    <n v="64118"/>
    <s v="tula.20"/>
    <s v="VCTLUTUL  "/>
    <d v="2020-03-26T00:00:00"/>
    <m/>
    <n v="40356540"/>
    <n v="27403565402"/>
    <d v="2019-12-09T00:00:00"/>
    <d v="2019-12-09T00:00:00"/>
    <d v="2020-01-01T00:00:00"/>
    <n v="253"/>
    <s v="Campus Casino"/>
  </r>
  <r>
    <x v="2"/>
    <x v="10"/>
    <s v="Visuara"/>
    <s v="Alberto Nicolas Emanu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37"/>
    <n v="78142"/>
    <n v="1154719"/>
    <s v="CSV1"/>
    <s v="CSV1; servicions WEB; Compras Referidas"/>
    <n v="64659"/>
    <n v="64118"/>
    <s v="visuara.9"/>
    <s v="VCTALVIS"/>
    <d v="2020-04-14T00:00:00"/>
    <s v="0381-153378537"/>
    <n v="37191171"/>
    <n v="20371911716"/>
    <d v="2013-10-21T00:00:00"/>
    <d v="2020-04-09T00:00:00"/>
    <d v="2020-04-14T00:00:00"/>
    <n v="2461"/>
    <s v="Campus Casino"/>
  </r>
  <r>
    <x v="2"/>
    <x v="10"/>
    <s v="Vizgarra"/>
    <s v="Valentina Ercil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83"/>
    <n v="88145"/>
    <n v="3624025"/>
    <s v="CSV2"/>
    <s v="CSV2"/>
    <n v="64659"/>
    <n v="64118"/>
    <s v="vizgarra.9"/>
    <s v="VCTVAVIZ  "/>
    <d v="2020-03-27T00:00:00"/>
    <m/>
    <n v="42525848"/>
    <n v="27425258481"/>
    <d v="2019-12-09T00:00:00"/>
    <d v="2019-12-09T00:00:00"/>
    <d v="2020-01-01T00:00:00"/>
    <n v="253"/>
    <s v="Campus Casino"/>
  </r>
  <r>
    <x v="2"/>
    <x v="10"/>
    <s v="Zerrizuela"/>
    <s v="Mariana Agost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32"/>
    <n v="81902"/>
    <n v="2102074"/>
    <s v="CSV1"/>
    <s v="CSV1; servicions WEB; Compras Referidas"/>
    <n v="64659"/>
    <n v="64118"/>
    <s v="zerrizuela.6"/>
    <s v="VCTMAZER"/>
    <d v="2020-04-14T00:00:00"/>
    <s v="0386-515350029"/>
    <n v="37498078"/>
    <n v="27374980780"/>
    <d v="2016-05-30T00:00:00"/>
    <d v="2020-04-09T00:00:00"/>
    <d v="2020-04-14T00:00:00"/>
    <n v="1522"/>
    <s v="Campus Casino"/>
  </r>
  <r>
    <x v="2"/>
    <x v="10"/>
    <s v="Zottoli"/>
    <s v="Gonzalo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93"/>
    <n v="88155"/>
    <n v="3624072"/>
    <s v="CSV1"/>
    <s v="CSV1"/>
    <n v="64659"/>
    <n v="64118"/>
    <s v="zottoli.6"/>
    <s v="VCTGOZOT  "/>
    <d v="2020-03-20T00:00:00"/>
    <m/>
    <n v="33163365"/>
    <n v="20331633659"/>
    <d v="2019-12-09T00:00:00"/>
    <d v="2019-12-09T00:00:00"/>
    <d v="2020-01-01T00:00:00"/>
    <n v="253"/>
    <s v="Campus Casino"/>
  </r>
  <r>
    <x v="3"/>
    <x v="11"/>
    <s v="Almaraz"/>
    <s v="Leonela María del Valle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648221"/>
    <n v="85556"/>
    <n v="2758426"/>
    <s v="CSV1"/>
    <s v="CSV1; servicions WEB; Compras Referidas"/>
    <n v="83505"/>
    <e v="#N/A"/>
    <s v="almaraz.36"/>
    <s v="VCTMAALM"/>
    <d v="2020-04-14T00:00:00"/>
    <s v="0381-153472631"/>
    <n v="35548085"/>
    <n v="27355480858"/>
    <d v="2018-04-19T00:00:00"/>
    <d v="2020-04-09T00:00:00"/>
    <d v="2020-04-14T00:00:00"/>
    <n v="843"/>
    <s v="Campus Casino"/>
  </r>
  <r>
    <x v="3"/>
    <x v="11"/>
    <s v="Martinez Lorenzo"/>
    <s v="Nayla Ayele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30"/>
    <n v="81664"/>
    <n v="2024463"/>
    <s v="CSV1"/>
    <s v="CSV1; servicions WEB; Compras Referidas"/>
    <n v="83505"/>
    <e v="#N/A"/>
    <s v="martinezlorenzo.7"/>
    <s v="VCTNAMAR"/>
    <d v="2020-04-14T00:00:00"/>
    <s v="0381-156485842"/>
    <n v="37502520"/>
    <n v="27375025200"/>
    <d v="2016-04-01T00:00:00"/>
    <d v="2020-04-09T00:00:00"/>
    <d v="2020-04-14T00:00:00"/>
    <n v="1581"/>
    <s v="Campus Casino"/>
  </r>
  <r>
    <x v="3"/>
    <x v="12"/>
    <s v="Emeterio Toscano"/>
    <s v="Anabel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83"/>
    <n v="86343"/>
    <n v="3138530"/>
    <s v="CSV2"/>
    <s v="CSV2"/>
    <n v="81043"/>
    <e v="#N/A"/>
    <s v="emeteriotoscano.6 "/>
    <s v="VCTANEME "/>
    <d v="2020-03-27T00:00:00"/>
    <s v="0381-154197485"/>
    <n v="38216500"/>
    <n v="23382165004"/>
    <d v="2018-12-26T00:00:00"/>
    <d v="2018-12-26T00:00:00"/>
    <d v="2019-01-11T00:00:00"/>
    <n v="596"/>
    <s v="Campus Casino"/>
  </r>
  <r>
    <x v="3"/>
    <x v="12"/>
    <s v="Gonzalez"/>
    <s v="Cristian Daniel Antoni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94"/>
    <n v="85804"/>
    <n v="2911897"/>
    <s v="CSV2"/>
    <s v="CSV2"/>
    <n v="81043"/>
    <e v="#N/A"/>
    <s v="gonzalez.2059"/>
    <s v="VCTCRGON"/>
    <d v="2020-03-26T00:00:00"/>
    <s v="+54 381 670 8290"/>
    <n v="39575074"/>
    <n v="20395750748"/>
    <d v="2018-06-11T00:00:00"/>
    <d v="2018-11-05T00:00:00"/>
    <d v="2018-11-19T00:00:00"/>
    <n v="791"/>
    <s v="Campus Casino"/>
  </r>
  <r>
    <x v="3"/>
    <x v="12"/>
    <s v="Orellana"/>
    <s v="Maria Cecilia"/>
    <s v="OFF"/>
    <s v="09:00 - 14:00"/>
    <s v="09:00 - 14:00"/>
    <s v="09:00 - 14:00"/>
    <s v="09:00 - 14:00"/>
    <s v="09:00 - 14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366"/>
    <n v="87029"/>
    <n v="3405729"/>
    <s v="DVH"/>
    <s v="CSV1"/>
    <n v="81043"/>
    <e v="#N/A"/>
    <s v="N/A"/>
    <s v="N/A"/>
    <d v="2020-06-24T00:00:00"/>
    <s v="381-153330386"/>
    <n v="37658620"/>
    <n v="27376586206"/>
    <d v="2019-07-18T00:00:00"/>
    <d v="2020-05-11T00:00:00"/>
    <d v="2020-05-18T00:00:00"/>
    <n v="394"/>
    <s v="Campus Casino"/>
  </r>
  <r>
    <x v="3"/>
    <x v="12"/>
    <s v="Rojas"/>
    <s v="Maria Bele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64"/>
    <n v="75493"/>
    <n v="717244"/>
    <s v="CSV1"/>
    <s v="CSV1"/>
    <n v="81043"/>
    <e v="#N/A"/>
    <s v="rojas.103"/>
    <s v="VCTBEROJ"/>
    <d v="2020-05-18T00:00:00"/>
    <n v="381155546584"/>
    <n v="32132541"/>
    <n v="27321325411"/>
    <d v="2011-10-11T00:00:00"/>
    <d v="2020-05-11T00:00:00"/>
    <d v="2020-05-18T00:00:00"/>
    <n v="3191"/>
    <s v="Campus Casino"/>
  </r>
  <r>
    <x v="3"/>
    <x v="12"/>
    <s v="Teves"/>
    <s v="Emiliano Gabriel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013"/>
    <n v="72480"/>
    <n v="538948"/>
    <s v="DVH"/>
    <s v="CSV1"/>
    <n v="81043"/>
    <e v="#N/A"/>
    <s v="teves.16"/>
    <s v="VCTEMTEV"/>
    <d v="2020-05-05T00:00:00"/>
    <s v="0381-156675000"/>
    <n v="36049213"/>
    <n v="20360492134"/>
    <d v="2010-08-23T00:00:00"/>
    <d v="2018-06-08T00:00:00"/>
    <d v="2018-06-11T00:00:00"/>
    <n v="3599"/>
    <s v="Campus Casino"/>
  </r>
  <r>
    <x v="0"/>
    <x v="0"/>
    <s v="Ale"/>
    <s v=" Rocío Agusti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02"/>
    <n v="87695"/>
    <n v="3526421"/>
    <s v="Servicios web"/>
    <s v="DVH – Compras referidas – Habilitaciones – Servicio Web – Clave PIN"/>
    <n v="84825"/>
    <n v="74054"/>
    <s v="ale.32"/>
    <s v="VCTROALE"/>
    <d v="2020-05-04T00:00:00"/>
    <s v="381 620 2108"/>
    <n v="41299917"/>
    <n v="27412999172"/>
    <d v="2019-10-07T00:00:00"/>
    <d v="2020-04-24T00:00:00"/>
    <d v="2020-05-05T00:00:00"/>
    <n v="315"/>
    <s v="Campus Casino"/>
  </r>
  <r>
    <x v="0"/>
    <x v="0"/>
    <s v="Aragón"/>
    <s v="Maria Celeste"/>
    <s v="OFF"/>
    <s v="LOA"/>
    <s v="LOA"/>
    <s v="LOA"/>
    <s v="LOA"/>
    <s v="LOA"/>
    <s v="OFF"/>
    <m/>
    <s v="LOA mm/dd - mm/dd (Hs Orig  15:00 - 21:00 OFF Dom Sab)"/>
    <s v="PT"/>
    <n v="0"/>
    <n v="0"/>
    <n v="0"/>
    <n v="0"/>
    <n v="0"/>
    <n v="0"/>
    <n v="0"/>
    <n v="0"/>
    <n v="648303"/>
    <n v="87688"/>
    <n v="1546296"/>
    <s v="Compras Referidas"/>
    <s v="DVH – Compras referidas – Habilitaciones – Servicio Web – Clave PIN"/>
    <n v="84825"/>
    <n v="74054"/>
    <s v="aragon.180"/>
    <s v="VCTMAARA"/>
    <d v="2020-05-04T00:00:00"/>
    <s v="381 550 4635"/>
    <n v="36231401"/>
    <n v="27362314017"/>
    <d v="2019-10-07T00:00:00"/>
    <d v="2020-04-24T00:00:00"/>
    <d v="2020-05-05T00:00:00"/>
    <n v="315"/>
    <s v="Campus Casino"/>
  </r>
  <r>
    <x v="0"/>
    <x v="0"/>
    <s v="Cejas"/>
    <s v="Ignacio Marti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06"/>
    <n v="87262"/>
    <n v="2837797"/>
    <s v="Compras Referidas"/>
    <s v="DVH – Compras referidas – Habilitaciones – Servicio Web – Clave PIN"/>
    <n v="84825"/>
    <n v="74054"/>
    <s v="cejasguijarro.5"/>
    <s v="VCTIGCEJ"/>
    <d v="2020-05-04T00:00:00"/>
    <s v="381-154049900"/>
    <n v="41059943"/>
    <n v="20410599431"/>
    <d v="2019-08-15T00:00:00"/>
    <d v="2020-04-24T00:00:00"/>
    <d v="2020-05-05T00:00:00"/>
    <n v="367"/>
    <s v="Campus Casino"/>
  </r>
  <r>
    <x v="0"/>
    <x v="0"/>
    <s v="Quiroga"/>
    <s v=" Marianella Stefan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5"/>
    <n v="87719"/>
    <n v="3526375"/>
    <s v="Servicios web"/>
    <s v="DVH – Compras referidas – Habilitaciones – Servicio Web – Clave PIN"/>
    <n v="84825"/>
    <n v="74054"/>
    <s v="quiroga.96"/>
    <s v="VCTMAQUI"/>
    <d v="2020-05-04T00:00:00"/>
    <s v="381 614 5326"/>
    <n v="35548816"/>
    <n v="27355488166"/>
    <d v="2019-10-07T00:00:00"/>
    <d v="2020-04-24T00:00:00"/>
    <d v="2020-05-05T00:00:00"/>
    <n v="315"/>
    <s v="Campus Casino"/>
  </r>
  <r>
    <x v="0"/>
    <x v="2"/>
    <s v="Pomo"/>
    <s v=" Daniel Nicola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4"/>
    <n v="87699"/>
    <n v="3526445"/>
    <s v="Compras Referidas"/>
    <s v="DVH – Compras referidas – Habilitaciones – Servicio Web – Clave PIN"/>
    <e v="#N/A"/>
    <n v="74054"/>
    <s v="pomo.7"/>
    <s v="VCTDAPOM"/>
    <d v="2020-05-04T00:00:00"/>
    <s v="387 619 4290"/>
    <n v="38246090"/>
    <n v="20382460902"/>
    <d v="2019-10-07T00:00:00"/>
    <d v="2020-04-24T00:00:00"/>
    <d v="2020-05-05T00:00:00"/>
    <n v="315"/>
    <s v="Campus Casino"/>
  </r>
  <r>
    <x v="0"/>
    <x v="2"/>
    <s v="Soto"/>
    <s v="Fatima Bele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46"/>
    <n v="87302"/>
    <n v="3462494"/>
    <s v="CSV2"/>
    <s v="CSV1 / CSV2"/>
    <e v="#N/A"/>
    <n v="74054"/>
    <s v="soto.324"/>
    <s v="VCTFASOT"/>
    <d v="2020-03-22T00:00:00"/>
    <n v="3815494273"/>
    <n v="40697438"/>
    <s v="27-40697438-9"/>
    <d v="2019-08-26T00:00:00"/>
    <d v="2019-08-26T00:00:00"/>
    <d v="2019-09-05T00:00:00"/>
    <n v="356"/>
    <s v="Campus Casino"/>
  </r>
  <r>
    <x v="0"/>
    <x v="3"/>
    <s v="Formoselle"/>
    <s v="Ivana Veronic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0"/>
    <n v="87705"/>
    <n v="3526463"/>
    <s v="Servicios web"/>
    <s v="DVH – Compras referidas – Habilitaciones – Servicio Web – Clave PIN"/>
    <n v="85154"/>
    <n v="74054"/>
    <s v="fermoselle.5"/>
    <s v="VCTIVFOR"/>
    <d v="2020-05-04T00:00:00"/>
    <s v="381 545 7234"/>
    <n v="39141069"/>
    <n v="27391410696"/>
    <d v="2019-10-07T00:00:00"/>
    <d v="2020-04-24T00:00:00"/>
    <d v="2020-05-05T00:00:00"/>
    <n v="315"/>
    <s v="Campus Casino"/>
  </r>
  <r>
    <x v="0"/>
    <x v="3"/>
    <s v="Giolito"/>
    <s v="Maira Elizabeth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39"/>
    <n v="87297"/>
    <n v="1294127"/>
    <s v="DVH"/>
    <s v="CSV1"/>
    <n v="85154"/>
    <n v="74054"/>
    <s v="giolito.6"/>
    <s v="VCTMAGIO"/>
    <d v="2020-04-24T00:00:00"/>
    <n v="3814152698"/>
    <n v="34953742"/>
    <n v="27349537422"/>
    <d v="2019-08-26T00:00:00"/>
    <d v="2019-08-26T00:00:00"/>
    <d v="2019-09-05T00:00:00"/>
    <n v="356"/>
    <s v="Campus Casino"/>
  </r>
  <r>
    <x v="0"/>
    <x v="3"/>
    <s v="López"/>
    <s v=" Matias Gonzal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1"/>
    <n v="87722"/>
    <n v="3526400"/>
    <s v="Compras Referidas"/>
    <s v="DVH – Compras referidas – Habilitaciones – Servicio Web – Clave PIN"/>
    <n v="85154"/>
    <n v="74054"/>
    <s v="lpez.41"/>
    <s v="VCTGOLOP"/>
    <d v="2020-05-04T00:00:00"/>
    <s v="385 409 3212"/>
    <n v="33882372"/>
    <n v="20338823720"/>
    <d v="2019-10-07T00:00:00"/>
    <d v="2020-04-24T00:00:00"/>
    <d v="2020-05-05T00:00:00"/>
    <n v="315"/>
    <s v="Campus Casino"/>
  </r>
  <r>
    <x v="0"/>
    <x v="3"/>
    <s v="Palavecino"/>
    <s v=" Pablo Maurici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2"/>
    <n v="87701"/>
    <n v="2000078"/>
    <s v="Compras Referidas"/>
    <s v="DVH – Compras referidas – Habilitaciones – Servicio Web – Clave PIN"/>
    <n v="85154"/>
    <n v="74054"/>
    <s v="palavecino.27"/>
    <s v="VCTPAPAL"/>
    <d v="2020-05-04T00:00:00"/>
    <s v="381 664 5424"/>
    <n v="36281639"/>
    <n v="20362816395"/>
    <d v="2019-10-07T00:00:00"/>
    <d v="2020-04-24T00:00:00"/>
    <d v="2020-05-05T00:00:00"/>
    <n v="315"/>
    <s v="Campus Casino"/>
  </r>
  <r>
    <x v="3"/>
    <x v="1"/>
    <s v="Coronel"/>
    <s v=" José Benjamí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07"/>
    <n v="87685"/>
    <n v="3526349"/>
    <s v="Servicios web"/>
    <s v="DVH – Compras referidas – Habilitaciones – Servicio Web – Clave PIN"/>
    <e v="#N/A"/>
    <e v="#N/A"/>
    <s v="coronel.160"/>
    <s v="VCTJOCOR"/>
    <d v="2020-06-07T00:00:00"/>
    <s v="381 571 2386"/>
    <n v="42467693"/>
    <n v="20424676935"/>
    <d v="2019-10-07T00:00:00"/>
    <d v="2020-04-24T00:00:00"/>
    <d v="2020-05-05T00:00:00"/>
    <n v="315"/>
    <s v="Campus Casino"/>
  </r>
  <r>
    <x v="0"/>
    <x v="4"/>
    <s v="Ferroni"/>
    <s v="Carlos Agusti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08"/>
    <n v="87882"/>
    <n v="3123170"/>
    <s v="Compras Referidas"/>
    <s v="DVH – Compras referidas – Habilitaciones – Servicio Web – Clave PIN"/>
    <n v="79688"/>
    <n v="74054"/>
    <s v="ferroni.6"/>
    <s v="VCTFECAR"/>
    <d v="2020-05-04T00:00:00"/>
    <s v="381 341-1143"/>
    <n v="42007193"/>
    <n v="20420071931"/>
    <d v="2019-10-14T00:00:00"/>
    <d v="2020-04-24T00:00:00"/>
    <d v="2020-05-05T00:00:00"/>
    <n v="308"/>
    <s v="Campus Casino"/>
  </r>
  <r>
    <x v="0"/>
    <x v="4"/>
    <s v="Figueroa"/>
    <s v="Aranda Marí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09"/>
    <n v="87715"/>
    <n v="2353705"/>
    <s v="Servicios web"/>
    <s v="DVH – Compras referidas – Habilitaciones – Servicio Web – Clave PIN"/>
    <n v="79688"/>
    <n v="74054"/>
    <s v="figueroaaranda.5"/>
    <s v="VCTARFIG"/>
    <d v="2020-05-04T00:00:00"/>
    <s v="381 510 2561"/>
    <n v="37503155"/>
    <n v="27375031553"/>
    <d v="2019-10-07T00:00:00"/>
    <d v="2020-04-24T00:00:00"/>
    <d v="2020-05-05T00:00:00"/>
    <n v="315"/>
    <s v="Campus Casino"/>
  </r>
  <r>
    <x v="0"/>
    <x v="4"/>
    <s v="Quiroga Castro"/>
    <s v="Franco Nicolas"/>
    <s v="OFF"/>
    <s v="Approved OFF"/>
    <s v="Approved OFF"/>
    <s v="Approved OFF"/>
    <s v="Approved OFF"/>
    <s v="Approved OFF"/>
    <s v="OFF"/>
    <m/>
    <s v="CAPA CSV1 a CSV2 08/10 - 08/31 (activo 09/01)(Hs Orig  15:00 - 20:00 OFF Dom Sab)"/>
    <s v="PT"/>
    <n v="0"/>
    <n v="0"/>
    <n v="0"/>
    <n v="0"/>
    <n v="0"/>
    <n v="0"/>
    <n v="0"/>
    <n v="0"/>
    <n v="89217"/>
    <n v="87050"/>
    <n v="3409733"/>
    <s v="DVH"/>
    <s v="CSV1"/>
    <n v="79688"/>
    <n v="74054"/>
    <s v="quirogacastro.7"/>
    <s v="VCTFRQUI "/>
    <d v="2020-03-26T00:00:00"/>
    <s v="381-154664980"/>
    <n v="41126232"/>
    <s v="20-41126232-5"/>
    <d v="2019-07-22T00:00:00"/>
    <d v="2019-07-23T00:00:00"/>
    <d v="2019-08-01T00:00:00"/>
    <n v="390"/>
    <s v="Campus Casino"/>
  </r>
  <r>
    <x v="3"/>
    <x v="13"/>
    <s v="Ale"/>
    <s v="Micaela Estefan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92"/>
    <n v="88154"/>
    <n v="3624040"/>
    <s v="DVH"/>
    <s v="CSV1"/>
    <n v="79943"/>
    <e v="#N/A"/>
    <s v="ale.33"/>
    <s v="VCTMIALE  "/>
    <d v="2020-03-29T00:00:00"/>
    <m/>
    <n v="40274531"/>
    <n v="27402745318"/>
    <d v="2019-12-09T00:00:00"/>
    <d v="2019-12-09T00:00:00"/>
    <d v="2020-01-01T00:00:00"/>
    <n v="253"/>
    <s v="Campus Casino"/>
  </r>
  <r>
    <x v="3"/>
    <x v="13"/>
    <s v="Avellaneda"/>
    <s v="Nicolás Alfred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0"/>
    <n v="87868"/>
    <n v="1831428"/>
    <s v="Compras Referidas"/>
    <s v="DVH – Compras referidas – Habilitaciones – Servicio Web – Clave PIN"/>
    <n v="79943"/>
    <e v="#N/A"/>
    <s v="avellaneda.31"/>
    <s v="VCTNIAVE"/>
    <d v="2020-05-04T00:00:00"/>
    <s v="381 461-2091"/>
    <n v="38248191"/>
    <n v="20382481918"/>
    <d v="2019-10-14T00:00:00"/>
    <d v="2020-04-24T00:00:00"/>
    <d v="2020-05-05T00:00:00"/>
    <n v="308"/>
    <s v="Campus Casino"/>
  </r>
  <r>
    <x v="3"/>
    <x v="13"/>
    <s v="Courel"/>
    <s v="Axel Nahu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68"/>
    <n v="76309"/>
    <n v="765954"/>
    <s v="Servicios web"/>
    <s v="CSV1"/>
    <n v="79943"/>
    <e v="#N/A"/>
    <s v="courel.5"/>
    <s v="VCTAXCOU"/>
    <d v="2020-05-18T00:00:00"/>
    <s v="0381-156816140"/>
    <n v="37259157"/>
    <n v="23372591579"/>
    <d v="2012-02-28T00:00:00"/>
    <d v="2020-05-11T00:00:00"/>
    <d v="2020-05-18T00:00:00"/>
    <n v="3054"/>
    <s v="Campus Casino"/>
  </r>
  <r>
    <x v="3"/>
    <x v="13"/>
    <s v="Gamero Albornoz"/>
    <s v="Romina"/>
    <s v="OFF"/>
    <s v="09:00 - 15:00"/>
    <s v="09:00 - 15:00"/>
    <s v="09:00 - 15:00"/>
    <s v="09:00 - 15:00"/>
    <s v="09:00 - 15:00"/>
    <s v="OFF"/>
    <m/>
    <s v="Back from VAC 0802 - 08/16 (Hs Orig  09:00 - 15:00 OFF Dom Sab)"/>
    <s v="PT"/>
    <n v="0"/>
    <n v="6"/>
    <n v="6"/>
    <n v="6"/>
    <n v="6"/>
    <n v="6"/>
    <n v="0"/>
    <n v="30"/>
    <n v="648291"/>
    <n v="64167"/>
    <n v="433490"/>
    <s v="Servicios web"/>
    <s v="DVH – Compras referidas – Habilitaciones – Servicio Web – Clave PIN"/>
    <n v="79943"/>
    <e v="#N/A"/>
    <s v="gameroalbornoz.5"/>
    <s v="VCTROGAM"/>
    <d v="2020-05-04T00:00:00"/>
    <n v="3814348840"/>
    <n v="29391113"/>
    <n v="23293911134"/>
    <d v="2009-05-04T00:00:00"/>
    <d v="2020-04-24T00:00:00"/>
    <d v="2020-05-05T00:00:00"/>
    <n v="4068"/>
    <s v="Campus Casino"/>
  </r>
  <r>
    <x v="3"/>
    <x v="13"/>
    <s v="Gomez Toledo"/>
    <s v="Marianela Lujan"/>
    <s v="OFF"/>
    <s v="09:00 - 14:00"/>
    <s v="09:00 - 14:00"/>
    <s v="09:00 - 14:00"/>
    <s v="09:00 - 14:00"/>
    <s v="09:00 - 14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375"/>
    <n v="76198"/>
    <n v="765944"/>
    <s v="DVH"/>
    <s v="CSV1"/>
    <n v="79943"/>
    <e v="#N/A"/>
    <s v="Gomeztoledo.6"/>
    <s v="VCTLUGOM"/>
    <d v="2020-05-18T00:00:00"/>
    <s v="0381-155091174"/>
    <n v="35419321"/>
    <n v="27354193219"/>
    <d v="2012-01-30T00:00:00"/>
    <d v="2020-05-11T00:00:00"/>
    <d v="2020-05-18T00:00:00"/>
    <n v="3082"/>
    <s v="Campus Casino"/>
  </r>
  <r>
    <x v="3"/>
    <x v="13"/>
    <s v="Juarez"/>
    <s v="Luciano Matia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2"/>
    <n v="71798"/>
    <n v="516965"/>
    <s v="Servicios web"/>
    <s v="DVH – Compras referidas – Habilitaciones – Servicio Web – Clave PIN"/>
    <n v="79943"/>
    <e v="#N/A"/>
    <s v="juarez.64"/>
    <s v="VCTLUJUA"/>
    <d v="2020-05-04T00:00:00"/>
    <n v="381156539986"/>
    <n v="32853762"/>
    <n v="20328537622"/>
    <d v="2010-06-28T00:00:00"/>
    <d v="2020-04-24T00:00:00"/>
    <d v="2020-05-05T00:00:00"/>
    <n v="3654"/>
    <s v="Campus Casino"/>
  </r>
  <r>
    <x v="3"/>
    <x v="13"/>
    <s v="Juarez"/>
    <s v="Ana Sof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3"/>
    <n v="80050"/>
    <n v="1535101"/>
    <s v="Servicios web"/>
    <s v="DVH – Compras referidas – Habilitaciones – Servicio Web – Clave PIN"/>
    <n v="79943"/>
    <e v="#N/A"/>
    <s v="juarez.165"/>
    <s v="VCTANJUA"/>
    <d v="2020-05-04T00:00:00"/>
    <s v="0381-155727327"/>
    <n v="34064053"/>
    <n v="27340640530"/>
    <d v="2015-01-05T00:00:00"/>
    <d v="2020-04-24T00:00:00"/>
    <d v="2020-05-05T00:00:00"/>
    <n v="2027"/>
    <s v="Campus Casino"/>
  </r>
  <r>
    <x v="3"/>
    <x v="13"/>
    <s v="Mariani"/>
    <s v="Maria Cecil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91"/>
    <n v="81639"/>
    <n v="2024635"/>
    <s v="DVH"/>
    <s v="CSV1"/>
    <n v="79943"/>
    <e v="#N/A"/>
    <s v="mariani.11"/>
    <s v="VCTCEMAR"/>
    <d v="2020-05-18T00:00:00"/>
    <s v="153501142 / 155854338"/>
    <n v="37456943"/>
    <n v="27374569436"/>
    <d v="2016-03-31T00:00:00"/>
    <d v="2020-05-11T00:00:00"/>
    <d v="2020-05-18T00:00:00"/>
    <n v="1582"/>
    <s v="Campus Casino"/>
  </r>
  <r>
    <x v="3"/>
    <x v="13"/>
    <s v="Mendez"/>
    <s v="Leandro Dari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5"/>
    <n v="87670"/>
    <n v="3525831"/>
    <s v="Servicios web"/>
    <s v="DVH – Compras referidas – Habilitaciones – Servicio Web – Clave PIN"/>
    <n v="79943"/>
    <e v="#N/A"/>
    <s v="mndez.19"/>
    <s v="VCTLEMEN"/>
    <d v="2020-05-04T00:00:00"/>
    <s v="381 586 9128"/>
    <n v="40273863"/>
    <n v="20402738635"/>
    <d v="2019-10-07T00:00:00"/>
    <d v="2020-04-24T00:00:00"/>
    <d v="2020-05-05T00:00:00"/>
    <n v="315"/>
    <s v="Campus Casino"/>
  </r>
  <r>
    <x v="3"/>
    <x v="13"/>
    <s v="Monges"/>
    <s v="Elina Teres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6"/>
    <n v="60260"/>
    <n v="433236"/>
    <s v="Servicios web"/>
    <s v="DVH – Compras referidas – Habilitaciones – Servicio Web – Clave PIN"/>
    <n v="79943"/>
    <e v="#N/A"/>
    <s v="monges.6"/>
    <s v="VCTELMON"/>
    <d v="2020-05-04T00:00:00"/>
    <n v="3814392233"/>
    <n v="24982560"/>
    <n v="27249825609"/>
    <d v="2008-08-11T00:00:00"/>
    <d v="2020-04-24T00:00:00"/>
    <d v="2020-05-05T00:00:00"/>
    <n v="4331"/>
    <s v="Campus Casino"/>
  </r>
  <r>
    <x v="3"/>
    <x v="13"/>
    <s v="Olivera"/>
    <s v="Irene Marc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59"/>
    <n v="75641"/>
    <n v="730819"/>
    <s v="CSV1"/>
    <s v="CSV1"/>
    <n v="79943"/>
    <e v="#N/A"/>
    <s v="olivera.20"/>
    <s v="VCTIROLI"/>
    <d v="2020-05-18T00:00:00"/>
    <n v="385155980395"/>
    <n v="31305838"/>
    <n v="27313058382"/>
    <d v="2011-11-07T00:00:00"/>
    <d v="2020-05-11T00:00:00"/>
    <d v="2020-05-18T00:00:00"/>
    <n v="3165"/>
    <s v="Campus Casino"/>
  </r>
  <r>
    <x v="3"/>
    <x v="13"/>
    <s v="Porello"/>
    <s v="Maria Belé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7"/>
    <n v="87883"/>
    <n v="3534209"/>
    <s v="Compras Referidas"/>
    <s v="DVH – Compras referidas – Habilitaciones – Servicio Web – Clave PIN"/>
    <n v="79943"/>
    <e v="#N/A"/>
    <s v="porello.7"/>
    <s v="VCTMAPOR"/>
    <d v="2020-05-04T00:00:00"/>
    <s v="381 505 8651"/>
    <n v="40782555"/>
    <n v="27407825557"/>
    <d v="2019-10-14T00:00:00"/>
    <d v="2020-04-24T00:00:00"/>
    <d v="2020-05-05T00:00:00"/>
    <n v="308"/>
    <s v="Campus Casino"/>
  </r>
  <r>
    <x v="3"/>
    <x v="13"/>
    <s v="Ricci"/>
    <s v="Rocio del Valle"/>
    <s v="OFF"/>
    <s v="Approved OFF"/>
    <s v="Approved OFF"/>
    <s v="Approved OFF"/>
    <s v="Approved OFF"/>
    <s v="Approved OFF"/>
    <s v="OFF"/>
    <m/>
    <s v="CAPA CSV1 a CSV2 08/10 - 08/31 (activo 09/01)(Hs Orig  09:00 - 14:00 OFF Dom Sab)"/>
    <s v="PT"/>
    <n v="0"/>
    <n v="0"/>
    <n v="0"/>
    <n v="0"/>
    <n v="0"/>
    <n v="0"/>
    <n v="0"/>
    <n v="0"/>
    <n v="648039"/>
    <n v="88033"/>
    <n v="3553104"/>
    <s v="DVH"/>
    <s v="CSV1"/>
    <n v="79943"/>
    <e v="#N/A"/>
    <s v="ricci.61"/>
    <s v="VCTRORIC"/>
    <d v="2020-04-22T00:00:00"/>
    <s v="03816760423"/>
    <n v="42173457"/>
    <s v="27-42173457-2"/>
    <d v="2020-04-21T00:00:00"/>
    <d v="2020-04-21T00:00:00"/>
    <d v="2020-04-22T00:00:00"/>
    <n v="121"/>
    <s v="Campus Casino"/>
  </r>
  <r>
    <x v="3"/>
    <x v="13"/>
    <s v="Sosa"/>
    <s v="Maria Luc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9"/>
    <n v="87895"/>
    <n v="3534360"/>
    <s v="Compras Referidas"/>
    <s v="DVH – Compras referidas – Habilitaciones – Servicio Web – Clave PIN"/>
    <n v="79943"/>
    <e v="#N/A"/>
    <s v="sosa.227"/>
    <s v="VCTMASOS"/>
    <d v="2020-05-04T00:00:00"/>
    <s v="381 153044814"/>
    <n v="31809122"/>
    <n v="27318091221"/>
    <d v="2019-10-14T00:00:00"/>
    <d v="2020-04-24T00:00:00"/>
    <d v="2020-05-05T00:00:00"/>
    <n v="308"/>
    <s v="Campus Casino"/>
  </r>
  <r>
    <x v="3"/>
    <x v="13"/>
    <s v="Uncos"/>
    <s v="Cristian Carlo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00"/>
    <n v="87867"/>
    <n v="3534207"/>
    <s v="Compras Referidas"/>
    <s v="DVH – Compras referidas – Habilitaciones – Servicio Web – Clave PIN"/>
    <n v="79943"/>
    <e v="#N/A"/>
    <s v="uncos.7"/>
    <s v="VCTCRUNC"/>
    <d v="2020-05-04T00:00:00"/>
    <s v="381 423-6626"/>
    <n v="42371528"/>
    <n v="20423715287"/>
    <d v="2019-10-14T00:00:00"/>
    <d v="2020-04-24T00:00:00"/>
    <d v="2020-05-05T00:00:00"/>
    <n v="308"/>
    <s v="Campus Casino"/>
  </r>
  <r>
    <x v="3"/>
    <x v="13"/>
    <s v="Villa"/>
    <s v="Luciana Pamela"/>
    <s v="OFF"/>
    <s v="Approved OFF"/>
    <s v="Approved OFF"/>
    <s v="Approved OFF"/>
    <s v="Approved OFF"/>
    <s v="Approved OFF"/>
    <s v="OFF"/>
    <m/>
    <s v="CAPA CSV1 a CSV2 08/10 - 08/31 (activo 09/01)(Hs Orig  10:00 - 15:00 OFF Dom Sab)"/>
    <s v="PT"/>
    <n v="0"/>
    <n v="0"/>
    <n v="0"/>
    <n v="0"/>
    <n v="0"/>
    <n v="0"/>
    <n v="0"/>
    <n v="0"/>
    <n v="648040"/>
    <n v="88034"/>
    <n v="3553109"/>
    <s v="DVH"/>
    <s v="CSV1"/>
    <n v="79943"/>
    <e v="#N/A"/>
    <s v="villa.276"/>
    <s v="VCTLUVIL"/>
    <d v="2020-04-22T00:00:00"/>
    <s v="03814094052"/>
    <n v="37503426"/>
    <s v="27-37503426-9"/>
    <d v="2020-04-21T00:00:00"/>
    <d v="2020-04-21T00:00:00"/>
    <d v="2020-04-22T00:00:00"/>
    <n v="121"/>
    <s v="Campus Casino"/>
  </r>
  <r>
    <x v="3"/>
    <x v="13"/>
    <s v="Zamorano Ortiz"/>
    <s v="Gabriel Marti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01"/>
    <n v="87891"/>
    <n v="3522061"/>
    <s v="Compras Referidas"/>
    <s v="DVH – Compras referidas – Habilitaciones – Servicio Web – Clave PIN"/>
    <n v="79943"/>
    <e v="#N/A"/>
    <s v="zamoranoortiz.5"/>
    <s v="VCTGAZAM"/>
    <d v="2020-05-04T00:00:00"/>
    <s v="381 155240603"/>
    <n v="38023091"/>
    <n v="20380230918"/>
    <d v="2019-10-14T00:00:00"/>
    <d v="2020-04-24T00:00:00"/>
    <d v="2020-05-05T00:00:00"/>
    <n v="308"/>
    <s v="Campus Casino"/>
  </r>
  <r>
    <x v="3"/>
    <x v="11"/>
    <s v="Agüero"/>
    <s v="Fatima Noemi"/>
    <s v="OFF"/>
    <s v="09:00 - 14:00"/>
    <s v="09:00 - 14:00"/>
    <s v="09:00 - 14:00"/>
    <s v="09:00 - 14:00"/>
    <s v="09:00 - 14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220"/>
    <n v="80879"/>
    <n v="1833170"/>
    <s v="CSV1"/>
    <s v="CSV1; servicions WEB; Compras Referidas"/>
    <n v="83505"/>
    <e v="#N/A"/>
    <s v="aguero.38"/>
    <s v="VCTFAAGU"/>
    <d v="2020-04-14T00:00:00"/>
    <s v="0381-153040539"/>
    <n v="32601762"/>
    <n v="27326017626"/>
    <d v="2015-09-17T00:00:00"/>
    <d v="2020-04-09T00:00:00"/>
    <d v="2020-04-14T00:00:00"/>
    <n v="1775"/>
    <s v="Campus Casino"/>
  </r>
  <r>
    <x v="3"/>
    <x v="11"/>
    <s v="Aguero Peralta"/>
    <s v="Edith Alejandra Mabel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648041"/>
    <n v="88035"/>
    <n v="3553153"/>
    <s v="DVH"/>
    <s v="CSV1"/>
    <n v="83505"/>
    <e v="#N/A"/>
    <s v="agueroperalta.5"/>
    <s v="VCTEDAGÜ"/>
    <d v="2020-04-22T00:00:00"/>
    <s v="03816169946"/>
    <n v="36420663"/>
    <s v="27-36420663-7"/>
    <d v="2020-04-21T00:00:00"/>
    <d v="2020-04-21T00:00:00"/>
    <d v="2020-04-22T00:00:00"/>
    <n v="121"/>
    <s v="Campus Casino"/>
  </r>
  <r>
    <x v="3"/>
    <x v="11"/>
    <s v="Castillo"/>
    <s v="Ana Elizabeth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67"/>
    <n v="84602"/>
    <n v="2744900"/>
    <s v="Servicios web"/>
    <s v="CSV1"/>
    <n v="83505"/>
    <e v="#N/A"/>
    <s v="castillo.1245"/>
    <s v="VCTELCAS"/>
    <d v="2020-05-18T00:00:00"/>
    <s v="381-153419841"/>
    <n v="41374252"/>
    <n v="27413742523"/>
    <d v="2018-01-08T00:00:00"/>
    <d v="2020-05-11T00:00:00"/>
    <d v="2020-05-18T00:00:00"/>
    <n v="944"/>
    <s v="Campus Casino"/>
  </r>
  <r>
    <x v="3"/>
    <x v="11"/>
    <s v="Ezquer Texeira"/>
    <s v="Mariana del Rosari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50"/>
    <n v="83317"/>
    <n v="2445631"/>
    <s v="DVH"/>
    <s v="CSV1"/>
    <n v="83505"/>
    <e v="#N/A"/>
    <s v="ezquertexeira.5"/>
    <s v="VCTMAEZQ"/>
    <d v="2020-05-18T00:00:00"/>
    <s v="381 492 7358"/>
    <n v="34911669"/>
    <n v="27349116699"/>
    <d v="2017-03-27T00:00:00"/>
    <d v="2020-05-11T00:00:00"/>
    <d v="2020-05-18T00:00:00"/>
    <n v="1225"/>
    <s v="Campus Casino"/>
  </r>
  <r>
    <x v="3"/>
    <x v="11"/>
    <s v="Garcia"/>
    <s v="Francisco Antoni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76"/>
    <n v="86048"/>
    <n v="3124769"/>
    <s v="DVH"/>
    <s v="CSV1"/>
    <n v="83505"/>
    <e v="#N/A"/>
    <s v="garcia.4353"/>
    <s v="VCTFRGAR"/>
    <d v="2020-05-18T00:00:00"/>
    <n v="3816402083"/>
    <n v="31588787"/>
    <n v="23315887879"/>
    <d v="2018-12-03T00:00:00"/>
    <d v="2020-05-11T00:00:00"/>
    <d v="2020-05-18T00:00:00"/>
    <n v="619"/>
    <s v="Campus Casino"/>
  </r>
  <r>
    <x v="3"/>
    <x v="11"/>
    <s v="Gomez"/>
    <s v="Silvana Elizabeth"/>
    <s v="OFF"/>
    <s v="09:00 - 14:00"/>
    <s v="09:00 - 14:00"/>
    <s v="09:00 - 14:00"/>
    <s v="09:00 - 14:00"/>
    <s v="09:00 - 14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358"/>
    <n v="80032"/>
    <n v="1534867"/>
    <s v="CSV1"/>
    <s v="CSV1"/>
    <n v="83505"/>
    <e v="#N/A"/>
    <s v="gomez.660"/>
    <s v="VCTSIGOM"/>
    <d v="2020-05-18T00:00:00"/>
    <s v="0381-154293451"/>
    <n v="31443913"/>
    <n v="27314439134"/>
    <d v="2015-01-05T00:00:00"/>
    <d v="2020-05-11T00:00:00"/>
    <d v="2020-05-18T00:00:00"/>
    <n v="2027"/>
    <s v="Campus Casino"/>
  </r>
  <r>
    <x v="3"/>
    <x v="11"/>
    <s v="Mereles Zerda"/>
    <s v="Ana Carol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74"/>
    <n v="85181"/>
    <n v="2360478"/>
    <s v="DVH"/>
    <s v="CSV1"/>
    <n v="83505"/>
    <e v="#N/A"/>
    <s v="mereleszerda.5"/>
    <s v="VCTANMER"/>
    <d v="2020-05-18T00:00:00"/>
    <s v="381 638 9165"/>
    <n v="39359211"/>
    <n v="27393592112"/>
    <d v="2018-02-19T00:00:00"/>
    <d v="2020-05-11T00:00:00"/>
    <d v="2020-05-18T00:00:00"/>
    <n v="903"/>
    <s v="Campus Casino"/>
  </r>
  <r>
    <x v="3"/>
    <x v="11"/>
    <s v="Pacheco"/>
    <s v="Miguel Alfred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18"/>
    <n v="85610"/>
    <n v="2873906"/>
    <s v="Servicios web"/>
    <s v="CSV1"/>
    <n v="83505"/>
    <e v="#N/A"/>
    <s v="pacheco.283"/>
    <s v="VCTMIPAC"/>
    <d v="2020-03-25T00:00:00"/>
    <s v="0381-156558636"/>
    <n v="32201685"/>
    <n v="23322016859"/>
    <d v="2018-05-07T00:00:00"/>
    <d v="2018-06-08T00:00:00"/>
    <d v="2018-06-11T00:00:00"/>
    <n v="825"/>
    <s v="Campus Casino"/>
  </r>
  <r>
    <x v="3"/>
    <x v="11"/>
    <s v="Parraga"/>
    <s v="Guillermo Nicola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56"/>
    <n v="68100"/>
    <n v="500872"/>
    <s v="CSV1"/>
    <s v="CSV1"/>
    <n v="83505"/>
    <e v="#N/A"/>
    <s v="parraga.5"/>
    <s v="VCTGUPAR"/>
    <d v="2020-05-18T00:00:00"/>
    <n v="3814314836"/>
    <n v="31100697"/>
    <n v="20311006976"/>
    <d v="2009-11-30T00:00:00"/>
    <d v="2020-05-11T00:00:00"/>
    <d v="2020-05-18T00:00:00"/>
    <n v="3862"/>
    <s v="Campus Casino"/>
  </r>
  <r>
    <x v="3"/>
    <x v="11"/>
    <s v="Ramirez Zorrilla"/>
    <s v="Maria Fernand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62"/>
    <n v="70186"/>
    <n v="487637"/>
    <s v="CSV1"/>
    <s v="CSV1"/>
    <n v="83505"/>
    <e v="#N/A"/>
    <s v="ramirezzorrilla.5"/>
    <s v="VCTMARAM"/>
    <d v="2020-05-18T00:00:00"/>
    <n v="381154157004"/>
    <n v="28290663"/>
    <n v="27282906630"/>
    <d v="2010-04-12T00:00:00"/>
    <d v="2020-05-11T00:00:00"/>
    <d v="2020-05-18T00:00:00"/>
    <n v="3730"/>
    <s v="Campus Casino"/>
  </r>
  <r>
    <x v="3"/>
    <x v="11"/>
    <s v="Rivas"/>
    <s v="Yanina Del Vall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60"/>
    <n v="81211"/>
    <n v="1915088"/>
    <s v="CSV1"/>
    <s v="CSV1"/>
    <n v="83505"/>
    <e v="#N/A"/>
    <s v="rivas.112"/>
    <s v="VCTYARIV"/>
    <d v="2020-05-18T00:00:00"/>
    <n v="155130505"/>
    <n v="33161942"/>
    <n v="27331619421"/>
    <d v="2015-12-09T00:00:00"/>
    <d v="2020-05-11T00:00:00"/>
    <d v="2020-05-18T00:00:00"/>
    <n v="1693"/>
    <s v="Campus Casino"/>
  </r>
  <r>
    <x v="3"/>
    <x v="11"/>
    <s v="Sanchez"/>
    <s v="Maria Victori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89"/>
    <n v="88151"/>
    <n v="1690062"/>
    <s v="DVH"/>
    <s v="CSV1"/>
    <n v="83505"/>
    <e v="#N/A"/>
    <s v="sanchez.2320"/>
    <s v="VCTVISAN  "/>
    <d v="2020-03-27T00:00:00"/>
    <m/>
    <n v="34357057"/>
    <n v="27343570576"/>
    <d v="2019-12-09T00:00:00"/>
    <d v="2019-12-09T00:00:00"/>
    <d v="2020-01-01T00:00:00"/>
    <n v="253"/>
    <s v="Campus Casino"/>
  </r>
  <r>
    <x v="3"/>
    <x v="11"/>
    <s v="Sanchez"/>
    <s v="Rita Victor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73"/>
    <n v="84600"/>
    <n v="1601683"/>
    <s v="DVH"/>
    <s v="CSV1"/>
    <n v="83505"/>
    <e v="#N/A"/>
    <s v="sanchez.1827"/>
    <s v="VCTRISAN"/>
    <d v="2020-05-18T00:00:00"/>
    <s v="0381-4254092 / 381-156294945"/>
    <n v="37456968"/>
    <n v="27374569681"/>
    <d v="2018-01-08T00:00:00"/>
    <d v="2020-05-11T00:00:00"/>
    <d v="2020-05-18T00:00:00"/>
    <n v="944"/>
    <s v="Campus Casino"/>
  </r>
  <r>
    <x v="3"/>
    <x v="11"/>
    <s v="Sanna"/>
    <s v="Luis Fernand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57"/>
    <n v="59401"/>
    <n v="432923"/>
    <s v="CSV1"/>
    <s v="CSV1"/>
    <n v="83505"/>
    <e v="#N/A"/>
    <s v="sanna.5"/>
    <s v="VCTLUSAN"/>
    <d v="2020-05-18T00:00:00"/>
    <n v="3814283174"/>
    <n v="31030140"/>
    <n v="20310301400"/>
    <d v="2008-06-16T00:00:00"/>
    <d v="2020-05-11T00:00:00"/>
    <d v="2020-05-18T00:00:00"/>
    <n v="4386"/>
    <s v="Campus Casino"/>
  </r>
  <r>
    <x v="3"/>
    <x v="11"/>
    <s v="Soria Juarez"/>
    <s v="Eugenia Soledad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63"/>
    <n v="83489"/>
    <n v="2490376"/>
    <s v="CSV1"/>
    <s v="CSV1"/>
    <n v="83505"/>
    <e v="#N/A"/>
    <s v="soriajuarez.5"/>
    <s v="VCTEUSOR"/>
    <d v="2020-05-18T00:00:00"/>
    <s v="381 639 8503"/>
    <n v="35578660"/>
    <n v="27355786604"/>
    <d v="2017-05-08T00:00:00"/>
    <d v="2020-05-11T00:00:00"/>
    <d v="2020-05-18T00:00:00"/>
    <n v="1184"/>
    <s v="Campus Casino"/>
  </r>
  <r>
    <x v="3"/>
    <x v="11"/>
    <s v="Teseyra"/>
    <s v="Maria Estefan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71"/>
    <n v="80860"/>
    <n v="1817065"/>
    <s v="Habilitaciones"/>
    <s v="CSV1"/>
    <n v="83505"/>
    <e v="#N/A"/>
    <s v="teseyra.8"/>
    <s v="VCTMATES"/>
    <d v="2020-05-18T00:00:00"/>
    <s v="4310015 / 155754392"/>
    <n v="37457670"/>
    <n v="23374576704"/>
    <d v="2015-09-07T00:00:00"/>
    <d v="2020-05-11T00:00:00"/>
    <d v="2020-05-18T00:00:00"/>
    <n v="1785"/>
    <s v="Campus Casino"/>
  </r>
  <r>
    <x v="3"/>
    <x v="11"/>
    <s v="Vizcarra"/>
    <s v="Katerina Soledad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72"/>
    <n v="81847"/>
    <n v="2076324"/>
    <s v="CSV1"/>
    <s v="CSV1"/>
    <n v="83505"/>
    <e v="#N/A"/>
    <s v="vizcarra.40"/>
    <s v="VCTKAVIZ"/>
    <d v="2020-05-18T00:00:00"/>
    <s v="4615514 / 155449037"/>
    <n v="38491058"/>
    <n v="27384910586"/>
    <d v="2016-05-09T00:00:00"/>
    <d v="2020-05-11T00:00:00"/>
    <d v="2020-05-18T00:00:00"/>
    <n v="1543"/>
    <s v="Campus Casino"/>
  </r>
  <r>
    <x v="0"/>
    <x v="6"/>
    <s v="Caro"/>
    <s v="Carolina Analia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648380"/>
    <n v="79759"/>
    <n v="1466034"/>
    <s v="CSV1"/>
    <s v="CSV1"/>
    <n v="80740"/>
    <n v="74054"/>
    <s v="caro.44"/>
    <s v="VCTANCAR"/>
    <d v="2020-05-18T00:00:00"/>
    <s v="+54 0381-155211391"/>
    <n v="35262083"/>
    <n v="27352620837"/>
    <d v="2014-11-03T00:00:00"/>
    <d v="2020-05-11T00:00:00"/>
    <d v="2020-05-18T00:00:00"/>
    <n v="2089"/>
    <s v="Campus Casino"/>
  </r>
  <r>
    <x v="0"/>
    <x v="6"/>
    <s v="Ríos Yeser"/>
    <s v=" María Florenc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6"/>
    <n v="87724"/>
    <n v="3526407"/>
    <s v="Compras Referidas"/>
    <s v="DVH – Compras referidas – Habilitaciones – Servicio Web – Clave PIN"/>
    <n v="80740"/>
    <n v="74054"/>
    <s v="rosyeser.5"/>
    <s v="VCTMARIO"/>
    <d v="2020-05-04T00:00:00"/>
    <s v="381 301 1859"/>
    <n v="40085777"/>
    <n v="27400857771"/>
    <d v="2019-10-07T00:00:00"/>
    <d v="2020-04-24T00:00:00"/>
    <d v="2020-05-05T00:00:00"/>
    <n v="315"/>
    <s v="Campus Casino"/>
  </r>
  <r>
    <x v="3"/>
    <x v="14"/>
    <s v="Antoni"/>
    <s v="Pablo Sebastian"/>
    <s v="OFF"/>
    <s v="13:00 - 18:00"/>
    <s v="13:00 - 18:00"/>
    <s v="13:00 - 18:00"/>
    <s v="13:00 - 18:00"/>
    <s v="OFF"/>
    <s v="OFF"/>
    <m/>
    <m/>
    <s v="PT"/>
    <n v="0"/>
    <n v="5.0000000000000009"/>
    <n v="5.0000000000000009"/>
    <n v="5.0000000000000009"/>
    <n v="5.0000000000000009"/>
    <n v="0"/>
    <n v="0"/>
    <n v="20.000000000000004"/>
    <n v="648222"/>
    <n v="84367"/>
    <n v="2741462"/>
    <s v="CSV1"/>
    <s v="CSV1; servicions WEB; Compras Referidas"/>
    <n v="79479"/>
    <e v="#N/A"/>
    <s v="antoni.15"/>
    <s v="VCTPAANT"/>
    <d v="2020-04-14T00:00:00"/>
    <s v="381-153431078"/>
    <n v="31053001"/>
    <n v="20310530019"/>
    <d v="2018-01-02T00:00:00"/>
    <d v="2020-04-09T00:00:00"/>
    <d v="2020-04-14T00:00:00"/>
    <n v="950"/>
    <s v="Campus Casino"/>
  </r>
  <r>
    <x v="3"/>
    <x v="14"/>
    <s v="Avellaneda"/>
    <s v="Juan Jose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308"/>
    <n v="88169"/>
    <n v="3624172"/>
    <s v="Servicios web"/>
    <s v="CSV1"/>
    <n v="79479"/>
    <e v="#N/A"/>
    <s v="avellaneda.33"/>
    <s v="VCTJUAVE  "/>
    <d v="2020-03-27T00:00:00"/>
    <m/>
    <n v="38246432"/>
    <n v="20382464320"/>
    <d v="2019-12-09T00:00:00"/>
    <d v="2019-12-09T00:00:00"/>
    <d v="2020-01-01T00:00:00"/>
    <n v="253"/>
    <s v="Campus Casino"/>
  </r>
  <r>
    <x v="3"/>
    <x v="14"/>
    <s v="Bazan"/>
    <s v="Melina Soledad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045"/>
    <n v="88043"/>
    <n v="3553124"/>
    <s v="DVH"/>
    <s v="CSV1"/>
    <n v="79479"/>
    <e v="#N/A"/>
    <s v="bazan.50"/>
    <s v="VCTMEBAZ"/>
    <d v="2020-04-22T00:00:00"/>
    <s v="03815567436"/>
    <n v="38245134"/>
    <s v="27-38245134-7"/>
    <d v="2020-04-21T00:00:00"/>
    <d v="2020-04-21T00:00:00"/>
    <d v="2020-04-22T00:00:00"/>
    <n v="121"/>
    <s v="Campus Casino"/>
  </r>
  <r>
    <x v="3"/>
    <x v="14"/>
    <s v="Bravo"/>
    <s v="Agustin Gonzal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02"/>
    <n v="82973"/>
    <n v="2397193"/>
    <s v="Compras Referidas"/>
    <s v="CSV1"/>
    <n v="79479"/>
    <e v="#N/A"/>
    <s v="bravo.169"/>
    <s v="VCTAGBRA"/>
    <d v="2020-03-27T00:00:00"/>
    <n v="154435369"/>
    <n v="30357462"/>
    <n v="20303574620"/>
    <d v="2017-02-06T00:00:00"/>
    <d v="2018-11-05T00:00:00"/>
    <d v="2018-11-19T00:00:00"/>
    <n v="1276"/>
    <s v="Campus Casino"/>
  </r>
  <r>
    <x v="3"/>
    <x v="14"/>
    <s v="Caamaño"/>
    <s v="Emmanuel David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64"/>
    <n v="88039"/>
    <n v="3553117"/>
    <s v="CSV2"/>
    <s v="DVH"/>
    <n v="79479"/>
    <e v="#N/A"/>
    <s v="caamano.9"/>
    <s v="VCTEMCAA"/>
    <d v="2020-03-22T00:00:00"/>
    <m/>
    <n v="33697993"/>
    <s v="20-33697993-6"/>
    <d v="2019-10-28T00:00:00"/>
    <d v="2019-10-28T00:00:00"/>
    <d v="2019-11-07T00:00:00"/>
    <n v="294"/>
    <s v="Campus Casino"/>
  </r>
  <r>
    <x v="3"/>
    <x v="14"/>
    <s v="Cáceres"/>
    <s v="Jose Maxim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60"/>
    <n v="84980"/>
    <n v="2783370"/>
    <s v="Compras Referidas"/>
    <s v="CSV1"/>
    <n v="79479"/>
    <e v="#N/A"/>
    <s v="cceres.12"/>
    <s v="VCTJOCAC"/>
    <d v="2020-04-24T00:00:00"/>
    <s v="0381- 156402158"/>
    <n v="27906244"/>
    <n v="20279062443"/>
    <d v="2018-02-14T00:00:00"/>
    <d v="2018-08-15T00:00:00"/>
    <d v="2018-08-16T00:00:00"/>
    <n v="908"/>
    <s v="Campus Casino"/>
  </r>
  <r>
    <x v="3"/>
    <x v="14"/>
    <s v="Carmona"/>
    <s v="Camila Bele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303"/>
    <n v="88164"/>
    <n v="3624151"/>
    <s v="TLMK"/>
    <s v="CSV1"/>
    <n v="79479"/>
    <e v="#N/A"/>
    <s v="carmona.157"/>
    <s v="VCTCACAR  "/>
    <d v="2020-03-22T00:00:00"/>
    <m/>
    <n v="40876335"/>
    <n v="27408763350"/>
    <d v="2019-12-09T00:00:00"/>
    <d v="2019-12-09T00:00:00"/>
    <d v="2020-01-01T00:00:00"/>
    <n v="253"/>
    <s v="Campus Casino"/>
  </r>
  <r>
    <x v="3"/>
    <x v="14"/>
    <s v="Dominguez"/>
    <s v="Julian Ernest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077"/>
    <n v="88361"/>
    <n v="3667101"/>
    <s v="CSV1"/>
    <s v="CSV1"/>
    <n v="79479"/>
    <e v="#N/A"/>
    <s v="dominguez.431"/>
    <s v="VCTJUDOM"/>
    <d v="2020-04-22T00:00:00"/>
    <s v="03814629366"/>
    <n v="40698559"/>
    <s v="20-40698559-9"/>
    <d v="2020-04-21T00:00:00"/>
    <d v="2020-04-21T00:00:00"/>
    <d v="2020-04-22T00:00:00"/>
    <n v="121"/>
    <s v="Campus Casino"/>
  </r>
  <r>
    <x v="3"/>
    <x v="14"/>
    <s v="Fernandez"/>
    <s v="Luciana Anahi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53"/>
    <n v="69253"/>
    <n v="464833"/>
    <s v="Habilitaciones"/>
    <s v="CSV1"/>
    <n v="79479"/>
    <e v="#N/A"/>
    <s v="fernandez.170"/>
    <s v="VCTLUFER"/>
    <d v="2020-05-18T00:00:00"/>
    <n v="381156284181"/>
    <n v="34132310"/>
    <n v="27341323105"/>
    <d v="2010-02-08T00:00:00"/>
    <d v="2020-05-11T00:00:00"/>
    <d v="2020-05-18T00:00:00"/>
    <n v="3794"/>
    <s v="Campus Casino"/>
  </r>
  <r>
    <x v="3"/>
    <x v="14"/>
    <s v="Gomez"/>
    <s v="Maria Emil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30"/>
    <n v="87309"/>
    <n v="3462510"/>
    <s v="DVH"/>
    <s v="CSV1"/>
    <n v="79479"/>
    <e v="#N/A"/>
    <s v="gomez.1431"/>
    <s v="VCTMAGOM"/>
    <d v="2020-03-29T00:00:00"/>
    <n v="3813030689"/>
    <n v="29438749"/>
    <s v="27-29438749-3"/>
    <d v="2019-08-26T00:00:00"/>
    <d v="2019-08-26T00:00:00"/>
    <d v="2019-09-05T00:00:00"/>
    <n v="356"/>
    <s v="Campus Casino"/>
  </r>
  <r>
    <x v="3"/>
    <x v="14"/>
    <s v="Gonzalez"/>
    <s v="Elizabeth de los Angele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99"/>
    <n v="88160"/>
    <n v="2538332"/>
    <s v="TLMK"/>
    <s v="CSV1"/>
    <n v="79479"/>
    <e v="#N/A"/>
    <s v="gonzalez.2549"/>
    <s v="VCTELGON  "/>
    <d v="2020-03-29T00:00:00"/>
    <m/>
    <n v="38490522"/>
    <n v="27384905221"/>
    <d v="2019-12-09T00:00:00"/>
    <d v="2019-12-09T00:00:00"/>
    <d v="2020-01-01T00:00:00"/>
    <n v="253"/>
    <s v="Campus Casino"/>
  </r>
  <r>
    <x v="3"/>
    <x v="14"/>
    <s v="González"/>
    <s v="Enzo Javier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075"/>
    <n v="88359"/>
    <n v="3646861"/>
    <s v="CSV1"/>
    <s v="CSV1"/>
    <n v="79479"/>
    <e v="#N/A"/>
    <s v="gonzalez.2577"/>
    <s v="VCTENGON"/>
    <d v="2020-04-22T00:00:00"/>
    <n v="3814563507"/>
    <n v="41772351"/>
    <s v="20-41772351-0"/>
    <d v="2020-04-21T00:00:00"/>
    <d v="2020-04-21T00:00:00"/>
    <d v="2020-04-22T00:00:00"/>
    <n v="121"/>
    <s v="Campus Casino"/>
  </r>
  <r>
    <x v="3"/>
    <x v="14"/>
    <s v="Guerra"/>
    <s v="Héctor Gonzalo"/>
    <s v="OFF"/>
    <s v="14:00 - 20:00"/>
    <s v="14:00 - 20:00"/>
    <s v="14:00 - 20:00"/>
    <s v="14:00 - 20:00"/>
    <s v="14:00 - 20:00"/>
    <s v="OFF"/>
    <m/>
    <m/>
    <s v="PT"/>
    <n v="0"/>
    <n v="6"/>
    <n v="6"/>
    <n v="6"/>
    <n v="6"/>
    <n v="6"/>
    <n v="0"/>
    <n v="30"/>
    <n v="648227"/>
    <n v="84358"/>
    <n v="2741865"/>
    <s v="CSV1"/>
    <s v="CSV1; servicions WEB; Compras Referidas"/>
    <n v="79479"/>
    <e v="#N/A"/>
    <s v="guerra.243"/>
    <s v="VCTHEGUE"/>
    <d v="2020-04-14T00:00:00"/>
    <s v="+54 038 149 42328"/>
    <n v="39699234"/>
    <n v="20396992346"/>
    <d v="2018-01-02T00:00:00"/>
    <d v="2020-04-09T00:00:00"/>
    <d v="2020-04-14T00:00:00"/>
    <n v="950"/>
    <s v="Campus Casino"/>
  </r>
  <r>
    <x v="3"/>
    <x v="14"/>
    <s v="Juarez Fernandez"/>
    <s v="Juan Gabri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88"/>
    <n v="84641"/>
    <n v="2746225"/>
    <s v="CSV1"/>
    <s v="CSV1"/>
    <n v="79479"/>
    <e v="#N/A"/>
    <s v="jurezfernndez.5"/>
    <s v="VCTJUJUA"/>
    <d v="2020-05-18T00:00:00"/>
    <s v="0381-4321344 / 0381-155574165"/>
    <n v="39730187"/>
    <n v="20397301878"/>
    <d v="2018-01-08T00:00:00"/>
    <d v="2020-05-11T00:00:00"/>
    <d v="2020-05-18T00:00:00"/>
    <n v="944"/>
    <s v="Campus Casino"/>
  </r>
  <r>
    <x v="3"/>
    <x v="14"/>
    <s v="Moya"/>
    <s v="Nadia Florencia"/>
    <s v="OFF"/>
    <s v="14:00 - 20:00"/>
    <s v="14:00 - 20:00"/>
    <s v="14:00 - 20:00"/>
    <s v="14:00 - 20:00"/>
    <s v="14:00 - 20:00"/>
    <s v="OFF"/>
    <m/>
    <m/>
    <s v="PT"/>
    <n v="0"/>
    <n v="6"/>
    <n v="6"/>
    <n v="6"/>
    <n v="6"/>
    <n v="6"/>
    <n v="0"/>
    <n v="30"/>
    <n v="648239"/>
    <n v="79828"/>
    <n v="1496443"/>
    <s v="CSV1"/>
    <s v="CSV1; servicions WEB; Compras Referidas"/>
    <n v="79479"/>
    <e v="#N/A"/>
    <s v="moya.50"/>
    <s v="VCTNAMOY"/>
    <d v="2020-04-14T00:00:00"/>
    <m/>
    <n v="31857587"/>
    <m/>
    <d v="2016-04-01T00:00:00"/>
    <d v="2020-04-09T00:00:00"/>
    <d v="2020-04-14T00:00:00"/>
    <n v="1581"/>
    <s v="Campus Casino"/>
  </r>
  <r>
    <x v="3"/>
    <x v="14"/>
    <s v="Perez Flores"/>
    <s v="Leandro Nahu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3"/>
    <n v="87884"/>
    <n v="3102002"/>
    <s v="Servicios web"/>
    <s v="DVH – Compras referidas – Habilitaciones – Servicio Web – Clave PIN"/>
    <n v="79479"/>
    <e v="#N/A"/>
    <s v="perezflores.28"/>
    <s v="VCTLEPER"/>
    <d v="2020-05-04T00:00:00"/>
    <s v="387 847-1326"/>
    <n v="35073705"/>
    <n v="20350737058"/>
    <d v="2019-10-14T00:00:00"/>
    <d v="2020-04-24T00:00:00"/>
    <d v="2020-05-05T00:00:00"/>
    <n v="308"/>
    <s v="Campus Casino"/>
  </r>
  <r>
    <x v="3"/>
    <x v="14"/>
    <s v="Prado"/>
    <s v="Maria de los Angele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67"/>
    <n v="86287"/>
    <n v="3133268"/>
    <s v="Compras Referidas"/>
    <s v="CSV1"/>
    <n v="79479"/>
    <e v="#N/A"/>
    <s v="prado.268  "/>
    <s v="VCTMAPRA "/>
    <d v="2020-03-25T00:00:00"/>
    <s v="0381-154140580"/>
    <n v="38509438"/>
    <s v="27-38509438-3"/>
    <d v="2018-12-17T00:00:00"/>
    <d v="2018-12-17T00:00:00"/>
    <d v="2019-01-02T00:00:00"/>
    <n v="605"/>
    <s v="Campus Casino"/>
  </r>
  <r>
    <x v="3"/>
    <x v="14"/>
    <s v="Sevilla"/>
    <s v="Lourdes Florenc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334"/>
    <n v="88364"/>
    <n v="3667104"/>
    <s v="CSV1"/>
    <s v="CSV1"/>
    <n v="79479"/>
    <e v="#N/A"/>
    <s v="sevilla.259"/>
    <s v="VCTLOSEV"/>
    <d v="2020-03-22T00:00:00"/>
    <m/>
    <n v="40532694"/>
    <s v="27-40532694-4"/>
    <d v="2020-01-22T00:00:00"/>
    <d v="2020-01-22T00:00:00"/>
    <d v="2020-02-12T00:00:00"/>
    <n v="210"/>
    <s v="Campus Casino"/>
  </r>
  <r>
    <x v="3"/>
    <x v="1"/>
    <s v="Torres"/>
    <s v="Maria Jose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7"/>
    <n v="87259"/>
    <n v="3448408"/>
    <s v="Compras Referidas"/>
    <s v="DVH – Compras referidas – Habilitaciones – Servicio Web – Clave PIN"/>
    <e v="#N/A"/>
    <e v="#N/A"/>
    <s v="torres.1778"/>
    <s v="VCTMATOR"/>
    <d v="2020-05-04T00:00:00"/>
    <s v="381-156471110"/>
    <n v="36690903"/>
    <n v="27366909031"/>
    <d v="2019-08-15T00:00:00"/>
    <d v="2020-04-24T00:00:00"/>
    <d v="2020-05-05T00:00:00"/>
    <n v="367"/>
    <s v="Campus Casino"/>
  </r>
  <r>
    <x v="3"/>
    <x v="14"/>
    <s v="Valenzuela"/>
    <s v="Gonzalo Rene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21"/>
    <n v="87055"/>
    <n v="3409601"/>
    <s v="DVH"/>
    <s v="CSV1"/>
    <n v="79479"/>
    <e v="#N/A"/>
    <s v="valenzuela.384"/>
    <s v="VCTGOVAL "/>
    <d v="2020-03-27T00:00:00"/>
    <s v="381-155902404"/>
    <n v="41651681"/>
    <s v="20-41651681-3"/>
    <d v="2019-07-22T00:00:00"/>
    <d v="2019-07-23T00:00:00"/>
    <d v="2019-08-01T00:00:00"/>
    <n v="390"/>
    <s v="Campus Casino"/>
  </r>
  <r>
    <x v="3"/>
    <x v="1"/>
    <s v="Acosta"/>
    <s v="Gaston Exequiel 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74"/>
    <n v="88049"/>
    <n v="3553148"/>
    <s v="DVH"/>
    <s v="DVH"/>
    <e v="#N/A"/>
    <e v="#N/A"/>
    <m/>
    <s v="VCTGAACO"/>
    <m/>
    <m/>
    <n v="40275956"/>
    <s v="23-40275956-9"/>
    <d v="2020-07-14T00:00:00"/>
    <d v="2020-07-14T00:00:00"/>
    <d v="2020-07-15T00:00:00"/>
    <n v="38"/>
    <s v="Campus Casino"/>
  </r>
  <r>
    <x v="3"/>
    <x v="1"/>
    <s v="Alvarez"/>
    <s v="Alejandra Liliana 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24"/>
    <n v="87317"/>
    <n v="3462526"/>
    <s v="Servicios web"/>
    <s v="CSV1"/>
    <e v="#N/A"/>
    <e v="#N/A"/>
    <s v="alvarez.1038"/>
    <s v="VCTALALV"/>
    <d v="2020-03-26T00:00:00"/>
    <n v="3815532654"/>
    <n v="31870365"/>
    <n v="27318703650"/>
    <d v="2019-08-26T00:00:00"/>
    <d v="2019-08-26T00:00:00"/>
    <d v="2019-09-05T00:00:00"/>
    <n v="356"/>
    <s v="Campus Casino"/>
  </r>
  <r>
    <x v="3"/>
    <x v="1"/>
    <s v="Alvarez"/>
    <s v="Lucas Gabriel"/>
    <s v="OFF"/>
    <s v="Approved OFF"/>
    <s v="Approved OFF"/>
    <s v="Approved OFF"/>
    <s v="Approved OFF"/>
    <s v="Approved OFF"/>
    <s v="OFF"/>
    <m/>
    <s v="CAPA CSV1 a CSV2 08/10 - 08/31 (activo 09/01)(Hs Orig  15:00 - 20:00 OFF Dom Sab)"/>
    <s v="PT"/>
    <n v="0"/>
    <n v="0"/>
    <n v="0"/>
    <n v="0"/>
    <n v="0"/>
    <n v="0"/>
    <n v="0"/>
    <n v="0"/>
    <n v="648036"/>
    <n v="88040"/>
    <n v="1664812"/>
    <s v="DVH"/>
    <s v="CSV1"/>
    <e v="#N/A"/>
    <e v="#N/A"/>
    <s v="alvarez.1069"/>
    <s v="VCTLUALV"/>
    <d v="2020-04-22T00:00:00"/>
    <s v="03816317544"/>
    <n v="37997844"/>
    <s v="20-37997844-5"/>
    <d v="2020-04-21T00:00:00"/>
    <d v="2020-04-21T00:00:00"/>
    <d v="2020-04-22T00:00:00"/>
    <n v="121"/>
    <s v="Campus Casino"/>
  </r>
  <r>
    <x v="3"/>
    <x v="1"/>
    <s v="Artaza"/>
    <s v=" Milagro Ileana Marib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04"/>
    <n v="87686"/>
    <n v="3526354"/>
    <s v="Servicios web"/>
    <s v="DVH – Compras referidas – Habilitaciones – Servicio Web – Clave PIN"/>
    <e v="#N/A"/>
    <e v="#N/A"/>
    <s v="artaza.15"/>
    <s v="VCTMIART"/>
    <d v="2020-05-04T00:00:00"/>
    <s v="381 488 4001"/>
    <n v="41950744"/>
    <n v="27419507445"/>
    <d v="2019-10-07T00:00:00"/>
    <d v="2020-04-24T00:00:00"/>
    <d v="2020-05-05T00:00:00"/>
    <n v="315"/>
    <s v="Campus Casino"/>
  </r>
  <r>
    <x v="3"/>
    <x v="1"/>
    <s v="Caballero"/>
    <s v="Matias Nahuel"/>
    <s v="OFF"/>
    <s v="Approved OFF"/>
    <s v="Approved OFF"/>
    <s v="Approved OFF"/>
    <s v="Approved OFF"/>
    <s v="Approved OFF"/>
    <s v="OFF"/>
    <m/>
    <s v="CAPA CSV2 a CSV3 08/11 - 08/26 (activo 08/27)(Hs Orig  15:00 - 21:00 OFF Dom Sab)"/>
    <s v="PT"/>
    <n v="0"/>
    <n v="0"/>
    <n v="0"/>
    <n v="0"/>
    <n v="0"/>
    <n v="0"/>
    <n v="0"/>
    <n v="0"/>
    <n v="89022"/>
    <n v="85620"/>
    <n v="2873657"/>
    <s v="CSV2"/>
    <s v="CSV2/HD"/>
    <e v="#N/A"/>
    <e v="#N/A"/>
    <s v="caballero.309"/>
    <s v="VCTMACAB"/>
    <d v="2020-04-24T00:00:00"/>
    <s v="0381 -154014772"/>
    <n v="41694320"/>
    <n v="20416943207"/>
    <d v="2018-05-07T00:00:00"/>
    <d v="2018-06-08T00:00:00"/>
    <d v="2018-06-11T00:00:00"/>
    <n v="825"/>
    <s v="Campus Casino"/>
  </r>
  <r>
    <x v="3"/>
    <x v="1"/>
    <s v="Castro del Sastre"/>
    <s v="Camila Belén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328"/>
    <n v="88358"/>
    <n v="3667099"/>
    <s v="CSV1"/>
    <s v="CSV1"/>
    <e v="#N/A"/>
    <e v="#N/A"/>
    <m/>
    <s v="VCTCACAS"/>
    <m/>
    <m/>
    <n v="42467280"/>
    <s v="27-42467280-2"/>
    <d v="2020-07-14T00:00:00"/>
    <d v="2020-07-14T00:00:00"/>
    <d v="2020-07-17T00:00:00"/>
    <n v="38"/>
    <s v="Campus Casino"/>
  </r>
  <r>
    <x v="3"/>
    <x v="1"/>
    <s v="Cipolla "/>
    <s v="Naim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07"/>
    <n v="83376"/>
    <n v="2453507"/>
    <s v="VIP"/>
    <s v="CSV2/HD/CSV3/ VIP"/>
    <e v="#N/A"/>
    <e v="#N/A"/>
    <s v="cipolla.5"/>
    <s v="VCTNACIP"/>
    <d v="2020-03-25T00:00:00"/>
    <s v="0381-153017069"/>
    <n v="40533169"/>
    <n v="27405331697"/>
    <d v="2017-04-03T00:00:00"/>
    <d v="2018-06-08T00:00:00"/>
    <d v="2018-06-11T00:00:00"/>
    <n v="1219"/>
    <s v="Campus Casino"/>
  </r>
  <r>
    <x v="3"/>
    <x v="1"/>
    <s v="Correa"/>
    <s v="Ana Gabriela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09"/>
    <n v="87053"/>
    <n v="3409633"/>
    <s v="Servicios web"/>
    <s v="CSV1"/>
    <e v="#N/A"/>
    <e v="#N/A"/>
    <s v="correa.357"/>
    <s v="VCTMACOR"/>
    <d v="2020-07-17T00:00:00"/>
    <s v="381-154069186"/>
    <n v="41495251"/>
    <s v="27-41495251-3"/>
    <d v="2019-07-22T00:00:00"/>
    <d v="2019-07-23T00:00:00"/>
    <d v="2019-08-01T00:00:00"/>
    <n v="390"/>
    <s v="Campus Casino"/>
  </r>
  <r>
    <x v="3"/>
    <x v="1"/>
    <s v="Delgado"/>
    <s v="Alejandra Noemi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300"/>
    <n v="88161"/>
    <n v="3624113"/>
    <s v="Servicios web"/>
    <s v="CSV1"/>
    <e v="#N/A"/>
    <e v="#N/A"/>
    <s v="delgado.582"/>
    <s v="VCTALDEL  "/>
    <d v="2020-03-29T00:00:00"/>
    <m/>
    <n v="34285532"/>
    <n v="27342855321"/>
    <d v="2019-12-09T00:00:00"/>
    <d v="2019-12-09T00:00:00"/>
    <d v="2020-01-01T00:00:00"/>
    <n v="253"/>
    <s v="Campus Casino"/>
  </r>
  <r>
    <x v="3"/>
    <x v="1"/>
    <s v="Delgado"/>
    <s v="Solana Abigai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38"/>
    <n v="87299"/>
    <n v="3295607"/>
    <s v="Servicios web"/>
    <s v="CSV1"/>
    <e v="#N/A"/>
    <e v="#N/A"/>
    <s v="delgado.546"/>
    <s v="VCTSODEL"/>
    <d v="2020-03-26T00:00:00"/>
    <n v="3813397461"/>
    <n v="43002203"/>
    <n v="27430022038"/>
    <d v="2019-08-26T00:00:00"/>
    <d v="2019-08-26T00:00:00"/>
    <d v="2019-09-05T00:00:00"/>
    <n v="356"/>
    <s v="Campus Casino"/>
  </r>
  <r>
    <x v="3"/>
    <x v="1"/>
    <s v="Gómez"/>
    <s v="Jonás 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87"/>
    <n v="86336"/>
    <n v="3138449"/>
    <s v="CSV2"/>
    <s v="CSV2"/>
    <e v="#N/A"/>
    <e v="#N/A"/>
    <s v="gomez.1294  "/>
    <s v="VCTJOGÓM "/>
    <d v="2020-04-24T00:00:00"/>
    <s v="0381-153869343"/>
    <n v="42797032"/>
    <n v="23427970329"/>
    <d v="2018-12-26T00:00:00"/>
    <d v="2018-12-26T00:00:00"/>
    <d v="2019-01-11T00:00:00"/>
    <n v="596"/>
    <s v="Campus Casino"/>
  </r>
  <r>
    <x v="3"/>
    <x v="1"/>
    <s v="Ocampo"/>
    <s v="Franco Vicente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326"/>
    <n v="88356"/>
    <n v="3667097"/>
    <s v="CSV1"/>
    <s v="CSV1"/>
    <e v="#N/A"/>
    <e v="#N/A"/>
    <m/>
    <s v="VCTFROCA"/>
    <m/>
    <m/>
    <n v="40356980"/>
    <s v="20-40356980-2"/>
    <d v="2020-07-14T00:00:00"/>
    <d v="2020-07-14T00:00:00"/>
    <d v="2020-07-17T00:00:00"/>
    <n v="38"/>
    <s v="Campus Casino"/>
  </r>
  <r>
    <x v="3"/>
    <x v="1"/>
    <s v="Pavone"/>
    <s v="David Emanuel"/>
    <s v="OFF"/>
    <s v="Approved OFF"/>
    <s v="Approved OFF"/>
    <s v="Approved OFF"/>
    <s v="Approved OFF"/>
    <s v="Approved OFF"/>
    <s v="OFF"/>
    <m/>
    <s v="CAPA CSV2 a CSV3 08/11 - 08/26 (activo 08/27)(Hs Orig  15:00 - 21:00 OFF Dom Sab)"/>
    <s v="PT"/>
    <n v="0"/>
    <n v="0"/>
    <n v="0"/>
    <n v="0"/>
    <n v="0"/>
    <n v="0"/>
    <n v="0"/>
    <n v="0"/>
    <n v="89101"/>
    <n v="83362"/>
    <n v="2178550"/>
    <s v="CSV2"/>
    <s v="CSV2"/>
    <e v="#N/A"/>
    <e v="#N/A"/>
    <s v="pavone.20"/>
    <s v="VCTDAPAV"/>
    <d v="2020-03-31T00:00:00"/>
    <n v="153048278"/>
    <n v="39975325"/>
    <n v="20399753253"/>
    <d v="2017-04-03T00:00:00"/>
    <d v="2018-11-05T00:00:00"/>
    <d v="2018-11-19T00:00:00"/>
    <n v="1219"/>
    <s v="Campus Casino"/>
  </r>
  <r>
    <x v="3"/>
    <x v="1"/>
    <s v="Ruiz"/>
    <s v="Jimena Alejandr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31"/>
    <n v="87313"/>
    <n v="2001850"/>
    <s v="CSV2"/>
    <s v="CSV2"/>
    <e v="#N/A"/>
    <e v="#N/A"/>
    <s v="ruiz.943"/>
    <s v="VCTJIRUI"/>
    <d v="2020-07-21T00:00:00"/>
    <n v="3816699242"/>
    <n v="37658363"/>
    <s v="27-37658363-0"/>
    <d v="2019-08-26T00:00:00"/>
    <d v="2019-08-26T00:00:00"/>
    <d v="2019-09-05T00:00:00"/>
    <n v="356"/>
    <s v="Campus Casino"/>
  </r>
  <r>
    <x v="3"/>
    <x v="12"/>
    <s v="Alcorta"/>
    <s v="Carla Andre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23"/>
    <n v="87320"/>
    <n v="3462531"/>
    <s v="CSV2"/>
    <s v="CSV2"/>
    <n v="81043"/>
    <e v="#N/A"/>
    <s v="alcorta.10"/>
    <s v="VCTCAALC"/>
    <d v="2020-04-24T00:00:00"/>
    <n v="3814735728"/>
    <n v="39477028"/>
    <s v="27-39477028-6"/>
    <d v="2019-08-26T00:00:00"/>
    <d v="2019-08-26T00:00:00"/>
    <d v="2019-09-05T00:00:00"/>
    <n v="356"/>
    <s v="Campus Casino"/>
  </r>
  <r>
    <x v="3"/>
    <x v="12"/>
    <s v="Blac Sleiman"/>
    <s v="David Exequiel"/>
    <s v="OFF"/>
    <s v="10:00 - 15:00"/>
    <s v="10:00 - 15:00"/>
    <s v="10:00 - 15:00"/>
    <s v="10:00 - 15:00"/>
    <s v="OFF"/>
    <s v="OFF"/>
    <m/>
    <m/>
    <s v="PT"/>
    <n v="0"/>
    <n v="5"/>
    <n v="5"/>
    <n v="5"/>
    <n v="5"/>
    <n v="0"/>
    <n v="0"/>
    <n v="20"/>
    <n v="89023"/>
    <n v="85615"/>
    <n v="2646185"/>
    <s v="Compras Referidas"/>
    <s v="CSV1"/>
    <n v="81043"/>
    <e v="#N/A"/>
    <s v="blacsleiman.6"/>
    <s v="VCTDABLA"/>
    <d v="2020-03-22T00:00:00"/>
    <s v="0381-156552983"/>
    <n v="39355647"/>
    <s v="20-39355647-2"/>
    <d v="2018-05-07T00:00:00"/>
    <d v="2018-06-08T00:00:00"/>
    <d v="2018-06-11T00:00:00"/>
    <n v="825"/>
    <s v="Campus Casino"/>
  </r>
  <r>
    <x v="3"/>
    <x v="12"/>
    <s v="Carrasco Paiva"/>
    <s v="Jhonny Dani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316"/>
    <n v="88346"/>
    <n v="3667089"/>
    <s v="CSV1"/>
    <s v="CSV1"/>
    <n v="81043"/>
    <e v="#N/A"/>
    <s v="carrasco.131"/>
    <s v="VCTJHCAR"/>
    <d v="2020-03-22T00:00:00"/>
    <m/>
    <n v="96001421"/>
    <s v="23-96001421-9"/>
    <d v="2020-01-22T00:00:00"/>
    <d v="2020-01-22T00:00:00"/>
    <d v="2020-02-12T00:00:00"/>
    <n v="210"/>
    <s v="Campus Casino"/>
  </r>
  <r>
    <x v="3"/>
    <x v="12"/>
    <s v="Casella Lorca"/>
    <s v="Gianfranco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321"/>
    <n v="88351"/>
    <n v="3123376"/>
    <s v="CSV1"/>
    <s v="CSV1"/>
    <n v="81043"/>
    <e v="#N/A"/>
    <s v="casellalorca.6"/>
    <s v="VCTGICAS"/>
    <d v="2020-03-22T00:00:00"/>
    <m/>
    <n v="40357988"/>
    <s v="20-40357988-3"/>
    <d v="2020-01-22T00:00:00"/>
    <d v="2020-01-22T00:00:00"/>
    <d v="2020-02-12T00:00:00"/>
    <n v="210"/>
    <s v="Campus Casino"/>
  </r>
  <r>
    <x v="3"/>
    <x v="12"/>
    <s v="Castro"/>
    <s v="Diego Nicolas 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26"/>
    <n v="87319"/>
    <n v="3462528"/>
    <s v="CSV1"/>
    <s v="CSV1"/>
    <n v="81043"/>
    <e v="#N/A"/>
    <s v="castro.1390"/>
    <s v="VCTCANIC"/>
    <d v="2020-03-25T00:00:00"/>
    <s v="N/A"/>
    <n v="41649361"/>
    <s v="20-41649361-9"/>
    <d v="2019-08-26T00:00:00"/>
    <d v="2019-08-26T00:00:00"/>
    <d v="2019-09-05T00:00:00"/>
    <n v="356"/>
    <s v="Campus Casino"/>
  </r>
  <r>
    <x v="3"/>
    <x v="12"/>
    <s v="Cuello"/>
    <s v="Paula Marian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91"/>
    <n v="88153"/>
    <n v="3624035"/>
    <s v="Servicios web"/>
    <s v="CSV1"/>
    <n v="81043"/>
    <e v="#N/A"/>
    <s v="cuello.26"/>
    <s v="VCTPACUE  "/>
    <d v="2020-03-27T00:00:00"/>
    <m/>
    <n v="38184629"/>
    <n v="27381846291"/>
    <d v="2019-12-09T00:00:00"/>
    <d v="2019-12-09T00:00:00"/>
    <d v="2020-01-01T00:00:00"/>
    <n v="253"/>
    <s v="Campus Casino"/>
  </r>
  <r>
    <x v="3"/>
    <x v="12"/>
    <s v="Fernandez Lafuente"/>
    <s v="Elia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23"/>
    <n v="86151"/>
    <n v="3118301"/>
    <s v="CSV2"/>
    <s v="CSV1 / CSV2"/>
    <n v="81043"/>
    <e v="#N/A"/>
    <s v="fernndezlafuente.5 "/>
    <s v="VCTELFER "/>
    <d v="2020-03-22T00:00:00"/>
    <s v="381-155070922"/>
    <n v="38184365"/>
    <s v="27-38184365-9"/>
    <d v="2018-12-03T00:00:00"/>
    <d v="2018-12-03T00:00:00"/>
    <d v="2018-12-14T00:00:00"/>
    <n v="619"/>
    <s v="Campus Casino"/>
  </r>
  <r>
    <x v="3"/>
    <x v="12"/>
    <s v="Guerra"/>
    <s v="Carlos Martin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648067"/>
    <n v="88350"/>
    <n v="3667092"/>
    <s v="CSV1"/>
    <s v="CSV1"/>
    <n v="81043"/>
    <e v="#N/A"/>
    <s v="guerra.335"/>
    <s v="VCTGUCAR"/>
    <d v="2020-04-22T00:00:00"/>
    <s v="03816637449"/>
    <n v="37727877"/>
    <s v="20-37727877-2"/>
    <d v="2020-04-21T00:00:00"/>
    <d v="2020-04-21T00:00:00"/>
    <d v="2020-04-22T00:00:00"/>
    <n v="121"/>
    <s v="Campus Casino"/>
  </r>
  <r>
    <x v="3"/>
    <x v="12"/>
    <s v="Medina"/>
    <s v="Olga Tamar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31"/>
    <n v="81663"/>
    <n v="2025854"/>
    <s v="CSV1"/>
    <s v="CSV1; servicions WEB; Compras Referidas"/>
    <n v="81043"/>
    <e v="#N/A"/>
    <s v="medina.514"/>
    <s v="VCTOLMED"/>
    <d v="2020-04-14T00:00:00"/>
    <s v="0381-156690297"/>
    <n v="39139933"/>
    <n v="27391399331"/>
    <d v="2016-04-01T00:00:00"/>
    <d v="2020-04-09T00:00:00"/>
    <d v="2020-04-14T00:00:00"/>
    <n v="1581"/>
    <s v="Campus Casino"/>
  </r>
  <r>
    <x v="3"/>
    <x v="12"/>
    <s v="Navarro"/>
    <s v="Florencia Yudith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29"/>
    <n v="86144"/>
    <n v="3118271"/>
    <s v="DVH"/>
    <s v="CSV1"/>
    <n v="81043"/>
    <e v="#N/A"/>
    <s v="navarro.740 "/>
    <s v="VCTFLNAV "/>
    <d v="2020-03-25T00:00:00"/>
    <s v="381-153356081"/>
    <n v="40217271"/>
    <s v="27-40217271-7"/>
    <d v="2018-12-03T00:00:00"/>
    <d v="2018-12-03T00:00:00"/>
    <d v="2018-12-14T00:00:00"/>
    <n v="619"/>
    <s v="Campus Casino"/>
  </r>
  <r>
    <x v="3"/>
    <x v="12"/>
    <s v="Palavecino"/>
    <s v="Maria Laur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s v="89322 "/>
    <n v="88352"/>
    <n v="3667093"/>
    <s v="CSV1"/>
    <s v="CSV1"/>
    <n v="81043"/>
    <e v="#N/A"/>
    <s v="palavecino.29"/>
    <s v="VCTLAPAL"/>
    <d v="2020-03-22T00:00:00"/>
    <m/>
    <n v="39698542"/>
    <s v="27-39698542-5"/>
    <d v="2020-01-22T00:00:00"/>
    <d v="2020-01-22T00:00:00"/>
    <d v="2020-02-12T00:00:00"/>
    <n v="210"/>
    <s v="Campus Casino"/>
  </r>
  <r>
    <x v="3"/>
    <x v="12"/>
    <s v="Parrado Quiroga"/>
    <s v="Gimena Mariso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65"/>
    <n v="86283"/>
    <n v="3133256"/>
    <s v="Servicios web"/>
    <s v="DVH / Compras Referidas/ Servicios Web"/>
    <n v="81043"/>
    <e v="#N/A"/>
    <s v="Parradoquiroga.5"/>
    <s v="VCTGIPAR"/>
    <d v="2020-03-22T00:00:00"/>
    <s v="0381-156301220"/>
    <n v="40155412"/>
    <s v="27-40155412-8"/>
    <d v="2018-12-17T00:00:00"/>
    <d v="2018-12-17T00:00:00"/>
    <d v="2019-01-02T00:00:00"/>
    <n v="605"/>
    <s v="Campus Casino"/>
  </r>
  <r>
    <x v="3"/>
    <x v="12"/>
    <s v="Salas"/>
    <s v="Romina Mercede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81"/>
    <n v="88143"/>
    <n v="3624022"/>
    <s v="CSV1"/>
    <s v="CSV1"/>
    <n v="81043"/>
    <e v="#N/A"/>
    <s v="salas.307"/>
    <s v="VCTROSAL  "/>
    <d v="2020-03-27T00:00:00"/>
    <m/>
    <n v="32501160"/>
    <n v="27325011608"/>
    <d v="2019-12-09T00:00:00"/>
    <d v="2019-12-09T00:00:00"/>
    <d v="2020-01-01T00:00:00"/>
    <n v="253"/>
    <s v="Campus Casino"/>
  </r>
  <r>
    <x v="3"/>
    <x v="12"/>
    <s v="Sánchez"/>
    <s v="Pedro Alejandr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34"/>
    <n v="80591"/>
    <n v="1676298"/>
    <s v="CSV1"/>
    <s v="CSV1; servicions WEB; Compras Referidas"/>
    <n v="81043"/>
    <e v="#N/A"/>
    <s v="snchez.16"/>
    <s v="VCTPESAN"/>
    <d v="2020-04-14T00:00:00"/>
    <s v="0381-155065886"/>
    <n v="31253777"/>
    <n v="20312537770"/>
    <d v="2015-05-11T00:00:00"/>
    <d v="2020-04-09T00:00:00"/>
    <d v="2020-04-14T00:00:00"/>
    <n v="1901"/>
    <s v="Campus Casino"/>
  </r>
  <r>
    <x v="3"/>
    <x v="12"/>
    <s v="Soto"/>
    <s v="Eric Emanu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36"/>
    <n v="84355"/>
    <n v="2741813"/>
    <s v="CSV1"/>
    <s v="CSV1; servicions WEB; Compras Referidas"/>
    <n v="81043"/>
    <e v="#N/A"/>
    <s v="soto.261"/>
    <s v="VCTERSOT"/>
    <d v="2020-04-14T00:00:00"/>
    <s v="381-155616291"/>
    <n v="40698650"/>
    <n v="20406986501"/>
    <d v="2018-01-02T00:00:00"/>
    <d v="2020-04-09T00:00:00"/>
    <d v="2020-04-14T00:00:00"/>
    <n v="950"/>
    <s v="Campus Casino"/>
  </r>
  <r>
    <x v="3"/>
    <x v="12"/>
    <s v="Trionfini"/>
    <s v="Monica Lucian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174"/>
    <n v="86284"/>
    <n v="1412049"/>
    <s v="DVH"/>
    <s v="CSV1"/>
    <n v="81043"/>
    <e v="#N/A"/>
    <s v="trionfini.6 "/>
    <s v="VCTMOTRI"/>
    <d v="2020-03-26T00:00:00"/>
    <s v="0381-154015977"/>
    <n v="34186702"/>
    <s v="27-34186702-4"/>
    <d v="2018-12-17T00:00:00"/>
    <d v="2018-12-17T00:00:00"/>
    <d v="2019-01-02T00:00:00"/>
    <n v="605"/>
    <s v="Campus Casino"/>
  </r>
  <r>
    <x v="2"/>
    <x v="15"/>
    <s v="Ballesteros"/>
    <s v="Gabriela Elizabeth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5633771"/>
    <s v="DVH"/>
    <s v="DVH"/>
    <n v="84144"/>
    <n v="64118"/>
    <m/>
    <m/>
    <m/>
    <s v="381-153554446"/>
    <n v="43710701"/>
    <s v="27-43710701-2"/>
    <d v="2020-07-27T00:00:00"/>
    <d v="2020-07-27T00:00:00"/>
    <d v="2020-08-04T00:00:00"/>
    <n v="25"/>
    <s v="Campus Casino"/>
  </r>
  <r>
    <x v="2"/>
    <x v="15"/>
    <s v="Figueroa"/>
    <s v="Paula Crist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5633837"/>
    <s v="DVH"/>
    <s v="DVH"/>
    <n v="84144"/>
    <n v="64118"/>
    <m/>
    <m/>
    <m/>
    <s v="381-156635470"/>
    <n v="41534420"/>
    <s v="27-41534420-7"/>
    <d v="2020-07-27T00:00:00"/>
    <d v="2020-07-27T00:00:00"/>
    <d v="2020-08-04T00:00:00"/>
    <n v="25"/>
    <s v="Campus Casino"/>
  </r>
  <r>
    <x v="2"/>
    <x v="15"/>
    <s v="Pacheco"/>
    <s v="Florencia Agost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5633840"/>
    <s v="DVH"/>
    <s v="DVH"/>
    <n v="84144"/>
    <n v="64118"/>
    <m/>
    <m/>
    <m/>
    <s v="381-154091663"/>
    <n v="36867211"/>
    <s v="23-36867211-4"/>
    <d v="2020-07-27T00:00:00"/>
    <d v="2020-07-27T00:00:00"/>
    <d v="2020-08-04T00:00:00"/>
    <n v="25"/>
    <s v="Campus Casino"/>
  </r>
  <r>
    <x v="2"/>
    <x v="15"/>
    <s v="Aramayo"/>
    <s v="Fihama Loreley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5633847"/>
    <s v="DVH"/>
    <s v="DVH"/>
    <n v="84144"/>
    <n v="64118"/>
    <m/>
    <m/>
    <m/>
    <s v="381-156566831"/>
    <n v="41763147"/>
    <s v="27-41763147-5"/>
    <d v="2020-07-27T00:00:00"/>
    <d v="2020-07-27T00:00:00"/>
    <d v="2020-08-04T00:00:00"/>
    <n v="25"/>
    <s v="Campus Casino"/>
  </r>
  <r>
    <x v="2"/>
    <x v="15"/>
    <s v="Rayó"/>
    <s v="Rodrigo Exequi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5633865"/>
    <s v="DVH"/>
    <s v="DVH"/>
    <n v="84144"/>
    <n v="64118"/>
    <m/>
    <m/>
    <m/>
    <s v="381-154190596"/>
    <n v="36712734"/>
    <s v="20-36712734-2"/>
    <d v="2020-07-27T00:00:00"/>
    <d v="2020-07-27T00:00:00"/>
    <d v="2020-08-04T00:00:00"/>
    <n v="25"/>
    <s v="Campus Casino"/>
  </r>
  <r>
    <x v="0"/>
    <x v="16"/>
    <s v="Mercado"/>
    <s v="Mikaela Sabri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3871"/>
    <s v="DVH"/>
    <s v="DVH"/>
    <n v="83851"/>
    <n v="74054"/>
    <m/>
    <m/>
    <m/>
    <s v="381-155715427"/>
    <n v="34327482"/>
    <s v="27-34327482-9"/>
    <d v="2020-07-27T00:00:00"/>
    <d v="2020-07-27T00:00:00"/>
    <d v="2020-08-04T00:00:00"/>
    <n v="25"/>
    <s v="Campus Casino"/>
  </r>
  <r>
    <x v="0"/>
    <x v="16"/>
    <s v="Terriaca Lemme"/>
    <s v="Flavia Solai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3877"/>
    <s v="DVH"/>
    <s v="DVH"/>
    <n v="83851"/>
    <n v="74054"/>
    <m/>
    <m/>
    <m/>
    <s v="381-153016768"/>
    <n v="35195568"/>
    <s v="27-35195568-1"/>
    <d v="2020-07-27T00:00:00"/>
    <d v="2020-07-27T00:00:00"/>
    <d v="2020-08-04T00:00:00"/>
    <n v="25"/>
    <s v="Campus Casino"/>
  </r>
  <r>
    <x v="0"/>
    <x v="16"/>
    <s v="Ucciardello"/>
    <s v="Luciana Daniz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038"/>
    <s v="DVH"/>
    <s v="DVH"/>
    <n v="83851"/>
    <n v="74054"/>
    <m/>
    <m/>
    <m/>
    <s v="381-153396910"/>
    <n v="42548543"/>
    <s v="27-42548543-7"/>
    <d v="2020-07-27T00:00:00"/>
    <d v="2020-07-27T00:00:00"/>
    <d v="2020-08-04T00:00:00"/>
    <n v="25"/>
    <s v="Campus Casino"/>
  </r>
  <r>
    <x v="0"/>
    <x v="16"/>
    <s v="Dilascio"/>
    <s v="Miguel Ang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041"/>
    <s v="DVH"/>
    <s v="DVH"/>
    <n v="83851"/>
    <n v="74054"/>
    <m/>
    <m/>
    <m/>
    <s v="381-155249588"/>
    <n v="39574767"/>
    <s v="20-39574767-4"/>
    <d v="2020-07-27T00:00:00"/>
    <d v="2020-07-27T00:00:00"/>
    <d v="2020-08-04T00:00:00"/>
    <n v="25"/>
    <s v="Campus Casino"/>
  </r>
  <r>
    <x v="0"/>
    <x v="16"/>
    <s v="Rodríguez"/>
    <s v="Brenda Agosti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046"/>
    <s v="DVH"/>
    <s v="DVH"/>
    <n v="83851"/>
    <n v="74054"/>
    <m/>
    <m/>
    <m/>
    <s v="381-156070741"/>
    <n v="39730809"/>
    <s v="27-39730809-5"/>
    <d v="2020-07-27T00:00:00"/>
    <d v="2020-07-27T00:00:00"/>
    <d v="2020-08-04T00:00:00"/>
    <n v="25"/>
    <s v="Campus Casino"/>
  </r>
  <r>
    <x v="0"/>
    <x v="16"/>
    <s v="Montaldo"/>
    <s v="Sol Agusti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051"/>
    <s v="DVH"/>
    <s v="DVH"/>
    <n v="83851"/>
    <n v="74054"/>
    <m/>
    <m/>
    <m/>
    <s v="381-155455805"/>
    <n v="41771566"/>
    <s v="27-41771566-0"/>
    <d v="2020-07-27T00:00:00"/>
    <d v="2020-07-27T00:00:00"/>
    <d v="2020-08-04T00:00:00"/>
    <n v="25"/>
    <s v="Campus Casino"/>
  </r>
  <r>
    <x v="0"/>
    <x v="16"/>
    <s v="Yanelli"/>
    <s v="Aníbal Hector Francisc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068"/>
    <s v="DVH"/>
    <s v="DVH"/>
    <n v="83851"/>
    <n v="74054"/>
    <m/>
    <m/>
    <m/>
    <s v="381-15 6576805"/>
    <n v="42371182"/>
    <s v="20-42371182-6"/>
    <d v="2020-07-27T00:00:00"/>
    <d v="2020-07-27T00:00:00"/>
    <d v="2020-08-04T00:00:00"/>
    <n v="25"/>
    <s v="Campus Casino"/>
  </r>
  <r>
    <x v="0"/>
    <x v="16"/>
    <s v="Pascual"/>
    <s v="Silvio Dani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612"/>
    <s v="DVH"/>
    <s v="DVH"/>
    <n v="83851"/>
    <n v="74054"/>
    <m/>
    <m/>
    <m/>
    <s v="381-153362589"/>
    <n v="36439725"/>
    <s v="23-36439725-9"/>
    <d v="2020-07-27T00:00:00"/>
    <d v="2020-07-27T00:00:00"/>
    <d v="2020-08-04T00:00:00"/>
    <n v="25"/>
    <s v="Campus Casino"/>
  </r>
  <r>
    <x v="0"/>
    <x v="16"/>
    <s v="Contreras"/>
    <s v="Fernando Gonzal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072"/>
    <s v="DVH"/>
    <s v="DVH"/>
    <n v="83851"/>
    <n v="74054"/>
    <m/>
    <m/>
    <m/>
    <s v="381-153435386"/>
    <n v="38224052"/>
    <s v="23-38224052-9"/>
    <d v="2020-07-27T00:00:00"/>
    <d v="2020-07-27T00:00:00"/>
    <d v="2020-08-04T00:00:00"/>
    <n v="25"/>
    <s v="Campus Casino"/>
  </r>
  <r>
    <x v="0"/>
    <x v="16"/>
    <s v="Navarro"/>
    <s v="Luciana Antonell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075"/>
    <s v="DVH"/>
    <s v="DVH"/>
    <n v="83851"/>
    <n v="74054"/>
    <m/>
    <m/>
    <m/>
    <s v="381-155013812"/>
    <n v="38244120"/>
    <s v="27-38244120-1"/>
    <d v="2020-07-27T00:00:00"/>
    <d v="2020-07-27T00:00:00"/>
    <d v="2020-08-04T00:00:00"/>
    <n v="25"/>
    <s v="Campus Casino"/>
  </r>
  <r>
    <x v="0"/>
    <x v="16"/>
    <s v="Albornoz"/>
    <s v="Luciana de los Angele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436665"/>
    <s v="DVH"/>
    <s v="DVH"/>
    <n v="83851"/>
    <n v="74054"/>
    <m/>
    <m/>
    <m/>
    <m/>
    <n v="31354102"/>
    <s v="27-31354102-4"/>
    <d v="2020-08-03T00:00:00"/>
    <d v="2020-08-03T00:00:00"/>
    <d v="2020-08-14T00:00:00"/>
    <n v="19"/>
    <s v="Campus Casino"/>
  </r>
  <r>
    <x v="2"/>
    <x v="15"/>
    <s v="Asen Ruiz"/>
    <s v="Mirta Anahí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849916"/>
    <s v="DVH"/>
    <s v="DVH"/>
    <n v="84144"/>
    <n v="64118"/>
    <m/>
    <m/>
    <m/>
    <m/>
    <n v="39975338"/>
    <s v="23-39975338-4"/>
    <d v="2020-08-03T00:00:00"/>
    <d v="2020-08-03T00:00:00"/>
    <d v="2020-08-14T00:00:00"/>
    <n v="19"/>
    <s v="Campus Casino"/>
  </r>
  <r>
    <x v="0"/>
    <x v="16"/>
    <s v="Avellaneda"/>
    <s v="Rocío Mari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320633"/>
    <s v="DVH"/>
    <s v="DVH"/>
    <n v="83851"/>
    <n v="74054"/>
    <m/>
    <m/>
    <m/>
    <m/>
    <n v="42371665"/>
    <s v="27-42371665-2"/>
    <d v="2020-08-03T00:00:00"/>
    <d v="2020-08-03T00:00:00"/>
    <d v="2020-08-14T00:00:00"/>
    <n v="19"/>
    <s v="Campus Casino"/>
  </r>
  <r>
    <x v="0"/>
    <x v="16"/>
    <s v="Baez Silberstein"/>
    <s v="Santiag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41"/>
    <s v="DVH"/>
    <s v="DVH"/>
    <n v="83851"/>
    <n v="74054"/>
    <m/>
    <m/>
    <m/>
    <m/>
    <n v="37657560"/>
    <s v="20-37657560-9"/>
    <d v="2020-08-03T00:00:00"/>
    <d v="2020-08-03T00:00:00"/>
    <d v="2020-08-14T00:00:00"/>
    <n v="19"/>
    <s v="Campus Casino"/>
  </r>
  <r>
    <x v="0"/>
    <x v="16"/>
    <s v="Coria"/>
    <s v="A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49"/>
    <s v="DVH"/>
    <s v="DVH"/>
    <n v="83851"/>
    <n v="74054"/>
    <m/>
    <m/>
    <m/>
    <m/>
    <n v="39142413"/>
    <s v="27-39142413-1"/>
    <d v="2020-08-03T00:00:00"/>
    <d v="2020-08-03T00:00:00"/>
    <d v="2020-08-14T00:00:00"/>
    <n v="19"/>
    <s v="Campus Casino"/>
  </r>
  <r>
    <x v="2"/>
    <x v="15"/>
    <s v="Flores"/>
    <s v="Ana Cecil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851211"/>
    <s v="DVH"/>
    <s v="DVH"/>
    <n v="84144"/>
    <n v="64118"/>
    <m/>
    <m/>
    <m/>
    <m/>
    <n v="37190020"/>
    <s v="27-37190020-4"/>
    <d v="2020-08-03T00:00:00"/>
    <d v="2020-08-03T00:00:00"/>
    <d v="2020-08-14T00:00:00"/>
    <n v="19"/>
    <s v="Campus Casino"/>
  </r>
  <r>
    <x v="0"/>
    <x v="17"/>
    <s v="Garcia Bulacio"/>
    <s v="Lucian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54"/>
    <s v="DVH"/>
    <s v="DVH"/>
    <n v="83947"/>
    <n v="74054"/>
    <m/>
    <m/>
    <m/>
    <m/>
    <n v="40437526"/>
    <s v="20-40437526-2"/>
    <d v="2020-08-03T00:00:00"/>
    <d v="2020-08-03T00:00:00"/>
    <d v="2020-08-14T00:00:00"/>
    <n v="19"/>
    <s v="Campus Casino"/>
  </r>
  <r>
    <x v="0"/>
    <x v="17"/>
    <s v="Gomez"/>
    <s v="Lourdes Marí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65"/>
    <s v="DVH"/>
    <s v="DVH"/>
    <n v="83947"/>
    <n v="74054"/>
    <m/>
    <m/>
    <m/>
    <m/>
    <n v="41833251"/>
    <s v="23-41833251-4"/>
    <d v="2020-08-03T00:00:00"/>
    <d v="2020-08-03T00:00:00"/>
    <d v="2020-08-14T00:00:00"/>
    <n v="19"/>
    <s v="Campus Casino"/>
  </r>
  <r>
    <x v="0"/>
    <x v="17"/>
    <s v="Gonzalez Conidares"/>
    <s v="Enzo Mica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28"/>
    <s v="DVH"/>
    <s v="DVH"/>
    <n v="83947"/>
    <n v="74054"/>
    <m/>
    <m/>
    <m/>
    <m/>
    <n v="42269972"/>
    <s v="20-42269972-5"/>
    <d v="2020-08-03T00:00:00"/>
    <d v="2020-08-03T00:00:00"/>
    <d v="2020-08-14T00:00:00"/>
    <n v="19"/>
    <s v="Campus Casino"/>
  </r>
  <r>
    <x v="0"/>
    <x v="17"/>
    <s v="González Jiménez"/>
    <s v="Jorge Ivá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68"/>
    <s v="DVH"/>
    <s v="DVH"/>
    <n v="83947"/>
    <n v="74054"/>
    <m/>
    <m/>
    <m/>
    <m/>
    <n v="37838075"/>
    <s v="20-37838075-9"/>
    <d v="2020-08-03T00:00:00"/>
    <d v="2020-08-03T00:00:00"/>
    <d v="2020-08-14T00:00:00"/>
    <n v="19"/>
    <s v="Campus Casino"/>
  </r>
  <r>
    <x v="2"/>
    <x v="15"/>
    <s v="Guitiérrez"/>
    <s v="Emmanuel Maximilian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849918"/>
    <s v="DVH"/>
    <s v="DVH"/>
    <n v="84144"/>
    <n v="64118"/>
    <m/>
    <m/>
    <m/>
    <m/>
    <n v="36885457"/>
    <s v="20-36885457-4"/>
    <d v="2020-08-03T00:00:00"/>
    <d v="2020-08-03T00:00:00"/>
    <d v="2020-08-14T00:00:00"/>
    <n v="19"/>
    <s v="Campus Casino"/>
  </r>
  <r>
    <x v="0"/>
    <x v="17"/>
    <s v="Ibañez"/>
    <s v="Jeremias Rau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1308377"/>
    <s v="DVH"/>
    <s v="DVH"/>
    <n v="83947"/>
    <n v="74054"/>
    <m/>
    <m/>
    <m/>
    <m/>
    <n v="37916231"/>
    <s v="27-37916231-8"/>
    <d v="2020-08-03T00:00:00"/>
    <d v="2020-08-03T00:00:00"/>
    <d v="2020-08-14T00:00:00"/>
    <n v="19"/>
    <s v="Campus Casino"/>
  </r>
  <r>
    <x v="2"/>
    <x v="15"/>
    <s v="Lazarte"/>
    <s v="María Ine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1929044"/>
    <s v="DVH"/>
    <s v="DVH"/>
    <n v="84144"/>
    <n v="64118"/>
    <m/>
    <m/>
    <m/>
    <m/>
    <m/>
    <m/>
    <d v="2020-08-03T00:00:00"/>
    <d v="2020-08-03T00:00:00"/>
    <d v="2020-08-14T00:00:00"/>
    <n v="19"/>
    <s v="Campus Casino"/>
  </r>
  <r>
    <x v="0"/>
    <x v="17"/>
    <s v="Ledesma"/>
    <s v="Maria Florenc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59"/>
    <s v="DVH"/>
    <s v="DVH"/>
    <n v="83947"/>
    <n v="74054"/>
    <m/>
    <m/>
    <m/>
    <m/>
    <n v="36132635"/>
    <s v="27-36132635-6"/>
    <d v="2020-08-03T00:00:00"/>
    <d v="2020-08-03T00:00:00"/>
    <d v="2020-08-14T00:00:00"/>
    <n v="19"/>
    <s v="Campus Casino"/>
  </r>
  <r>
    <x v="0"/>
    <x v="17"/>
    <s v="Lobo"/>
    <s v="Migu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63"/>
    <s v="DVH"/>
    <s v="DVH"/>
    <n v="83947"/>
    <n v="74054"/>
    <m/>
    <m/>
    <m/>
    <m/>
    <n v="41736742"/>
    <s v="20-41736742-0"/>
    <d v="2020-08-03T00:00:00"/>
    <d v="2020-08-03T00:00:00"/>
    <d v="2020-08-14T00:00:00"/>
    <n v="19"/>
    <s v="Campus Casino"/>
  </r>
  <r>
    <x v="3"/>
    <x v="18"/>
    <s v="Lucero"/>
    <s v="Noel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851271"/>
    <s v="DVH"/>
    <s v="DVH"/>
    <n v="85988"/>
    <e v="#N/A"/>
    <m/>
    <m/>
    <m/>
    <m/>
    <n v="40089669"/>
    <s v="27-40089669-6"/>
    <d v="2020-08-03T00:00:00"/>
    <d v="2020-08-03T00:00:00"/>
    <d v="2020-08-14T00:00:00"/>
    <n v="19"/>
    <s v="Campus Casino"/>
  </r>
  <r>
    <x v="0"/>
    <x v="17"/>
    <s v="Martinez"/>
    <s v="Yahir Jesu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36"/>
    <s v="DVH"/>
    <s v="DVH"/>
    <n v="83947"/>
    <n v="74054"/>
    <m/>
    <m/>
    <m/>
    <m/>
    <n v="36347133"/>
    <s v="20-36347133-2"/>
    <d v="2020-08-03T00:00:00"/>
    <d v="2020-08-03T00:00:00"/>
    <d v="2020-08-14T00:00:00"/>
    <n v="19"/>
    <s v="Campus Casino"/>
  </r>
  <r>
    <x v="0"/>
    <x v="17"/>
    <s v="Martinez Iturbe"/>
    <s v="Santiago Isaac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64"/>
    <s v="DVH"/>
    <s v="DVH"/>
    <n v="83947"/>
    <n v="74054"/>
    <m/>
    <m/>
    <m/>
    <m/>
    <n v="43362130"/>
    <s v="20-43362130-2"/>
    <d v="2020-08-03T00:00:00"/>
    <d v="2020-08-03T00:00:00"/>
    <d v="2020-08-14T00:00:00"/>
    <n v="19"/>
    <s v="Campus Casino"/>
  </r>
  <r>
    <x v="3"/>
    <x v="18"/>
    <s v="Medina"/>
    <s v="Maria del Vall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1525070"/>
    <s v="DVH"/>
    <s v="DVH"/>
    <n v="85988"/>
    <e v="#N/A"/>
    <m/>
    <m/>
    <m/>
    <m/>
    <n v="35921828"/>
    <s v="27-35921828-7"/>
    <d v="2020-08-03T00:00:00"/>
    <d v="2020-08-03T00:00:00"/>
    <d v="2020-08-14T00:00:00"/>
    <n v="19"/>
    <s v="Campus Casino"/>
  </r>
  <r>
    <x v="3"/>
    <x v="18"/>
    <s v="Mendoza"/>
    <s v="Rocío Camil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528515"/>
    <s v="DVH"/>
    <s v="DVH"/>
    <n v="85988"/>
    <e v="#N/A"/>
    <m/>
    <m/>
    <m/>
    <m/>
    <n v="40643538"/>
    <s v="27-40643538-0"/>
    <d v="2020-08-03T00:00:00"/>
    <d v="2020-08-03T00:00:00"/>
    <d v="2020-08-14T00:00:00"/>
    <n v="19"/>
    <s v="Campus Casino"/>
  </r>
  <r>
    <x v="0"/>
    <x v="17"/>
    <s v="Montenegro Mansilla"/>
    <s v="Milagro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76"/>
    <s v="DVH"/>
    <s v="DVH"/>
    <n v="83947"/>
    <n v="74054"/>
    <m/>
    <m/>
    <m/>
    <m/>
    <n v="41059241"/>
    <s v="27-41059241-5"/>
    <d v="2020-08-03T00:00:00"/>
    <d v="2020-08-03T00:00:00"/>
    <d v="2020-08-14T00:00:00"/>
    <n v="19"/>
    <s v="Campus Casino"/>
  </r>
  <r>
    <x v="3"/>
    <x v="18"/>
    <s v="Peñaloza"/>
    <s v="María Rom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1187330"/>
    <s v="DVH"/>
    <s v="DVH"/>
    <n v="85988"/>
    <e v="#N/A"/>
    <m/>
    <m/>
    <m/>
    <m/>
    <n v="38185201"/>
    <s v="27-38185201-1"/>
    <d v="2020-08-03T00:00:00"/>
    <d v="2020-08-03T00:00:00"/>
    <d v="2020-08-14T00:00:00"/>
    <n v="19"/>
    <s v="Campus Casino"/>
  </r>
  <r>
    <x v="0"/>
    <x v="17"/>
    <s v="Pons Amún"/>
    <s v="Solana Agosti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77"/>
    <s v="DVH"/>
    <s v="DVH"/>
    <n v="83947"/>
    <n v="74054"/>
    <m/>
    <m/>
    <m/>
    <m/>
    <n v="41649190"/>
    <s v="27-41649190-4"/>
    <d v="2020-08-03T00:00:00"/>
    <d v="2020-08-03T00:00:00"/>
    <d v="2020-08-14T00:00:00"/>
    <n v="19"/>
    <s v="Campus Casino"/>
  </r>
  <r>
    <x v="3"/>
    <x v="18"/>
    <s v="Ribotis"/>
    <s v="Juliet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851218"/>
    <s v="DVH"/>
    <s v="DVH"/>
    <n v="85988"/>
    <e v="#N/A"/>
    <m/>
    <m/>
    <m/>
    <m/>
    <n v="36182605"/>
    <s v="27-36182605-7"/>
    <d v="2020-08-03T00:00:00"/>
    <d v="2020-08-03T00:00:00"/>
    <d v="2020-08-14T00:00:00"/>
    <n v="19"/>
    <s v="Campus Casino"/>
  </r>
  <r>
    <x v="3"/>
    <x v="18"/>
    <s v="Risso"/>
    <s v="Florencia Maris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851213"/>
    <s v="DVH"/>
    <s v="DVH"/>
    <n v="85988"/>
    <e v="#N/A"/>
    <m/>
    <m/>
    <m/>
    <m/>
    <n v="39359545"/>
    <s v="27-39359545-6"/>
    <d v="2020-08-03T00:00:00"/>
    <d v="2020-08-03T00:00:00"/>
    <d v="2020-08-14T00:00:00"/>
    <n v="19"/>
    <s v="Campus Casino"/>
  </r>
  <r>
    <x v="3"/>
    <x v="18"/>
    <s v="Romero"/>
    <s v="Florecia Raqu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851219"/>
    <s v="DVH"/>
    <s v="DVH"/>
    <n v="85988"/>
    <e v="#N/A"/>
    <m/>
    <m/>
    <m/>
    <m/>
    <m/>
    <m/>
    <d v="2020-08-03T00:00:00"/>
    <d v="2020-08-03T00:00:00"/>
    <d v="2020-08-14T00:00:00"/>
    <n v="19"/>
    <s v="Campus Casino"/>
  </r>
  <r>
    <x v="0"/>
    <x v="17"/>
    <s v="Saavedra"/>
    <s v="Virginia Valer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21"/>
    <s v="DVH"/>
    <s v="DVH"/>
    <n v="83947"/>
    <n v="74054"/>
    <m/>
    <m/>
    <m/>
    <m/>
    <m/>
    <m/>
    <d v="2020-08-03T00:00:00"/>
    <d v="2020-08-03T00:00:00"/>
    <d v="2020-08-14T00:00:00"/>
    <n v="19"/>
    <s v="Campus Casino"/>
  </r>
  <r>
    <x v="0"/>
    <x v="17"/>
    <s v="Sánchez"/>
    <s v="Victor Orland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25"/>
    <s v="DVH"/>
    <s v="DVH"/>
    <n v="83947"/>
    <n v="74054"/>
    <m/>
    <m/>
    <m/>
    <m/>
    <m/>
    <m/>
    <d v="2020-08-03T00:00:00"/>
    <d v="2020-08-03T00:00:00"/>
    <d v="2020-08-14T00:00:00"/>
    <n v="19"/>
    <s v="Campus Casino"/>
  </r>
  <r>
    <x v="3"/>
    <x v="18"/>
    <s v="Santucho"/>
    <s v="María Soledad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2419193"/>
    <s v="DVH"/>
    <s v="DVH"/>
    <n v="85988"/>
    <e v="#N/A"/>
    <m/>
    <m/>
    <m/>
    <m/>
    <m/>
    <m/>
    <d v="2020-08-03T00:00:00"/>
    <d v="2020-08-03T00:00:00"/>
    <d v="2020-08-14T00:00:00"/>
    <n v="19"/>
    <s v="Campus Casino"/>
  </r>
  <r>
    <x v="3"/>
    <x v="18"/>
    <s v="Villalba"/>
    <s v="Rocío Micael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1119960"/>
    <s v="DVH"/>
    <s v="DVH"/>
    <n v="85988"/>
    <e v="#N/A"/>
    <m/>
    <m/>
    <m/>
    <m/>
    <m/>
    <m/>
    <d v="2020-08-03T00:00:00"/>
    <d v="2020-08-03T00:00:00"/>
    <d v="2020-08-14T00:00:00"/>
    <n v="19"/>
    <s v="Campus Casino"/>
  </r>
  <r>
    <x v="4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1" cacheId="1" applyNumberFormats="0" applyBorderFormats="0" applyFontFormats="0" applyPatternFormats="0" applyAlignmentFormats="0" applyWidthHeightFormats="1" dataCaption="Valores" updatedVersion="4" minRefreshableVersion="3" useAutoFormatting="1" itemPrintTitles="1" mergeItem="1" createdVersion="5" indent="0" compact="0" compactData="0" multipleFieldFilters="0">
  <location ref="H3:K18" firstHeaderRow="0" firstDataRow="1" firstDataCol="2"/>
  <pivotFields count="40">
    <pivotField axis="axisRow" compact="0" outline="0" showAll="0">
      <items count="11">
        <item h="1" x="4"/>
        <item x="2"/>
        <item m="1" x="7"/>
        <item m="1" x="5"/>
        <item m="1" x="9"/>
        <item x="0"/>
        <item x="3"/>
        <item m="1" x="8"/>
        <item h="1" m="1" x="6"/>
        <item h="1" x="1"/>
        <item t="default"/>
      </items>
    </pivotField>
    <pivotField axis="axisRow" compact="0" outline="0" showAll="0" sortType="descending">
      <items count="28">
        <item h="1" x="19"/>
        <item x="0"/>
        <item x="7"/>
        <item x="2"/>
        <item x="9"/>
        <item x="8"/>
        <item x="6"/>
        <item x="10"/>
        <item m="1" x="20"/>
        <item x="4"/>
        <item x="1"/>
        <item m="1" x="23"/>
        <item m="1" x="21"/>
        <item x="5"/>
        <item x="12"/>
        <item h="1" x="13"/>
        <item h="1" x="14"/>
        <item h="1" m="1" x="26"/>
        <item h="1" m="1" x="22"/>
        <item h="1" m="1" x="24"/>
        <item h="1" x="11"/>
        <item h="1" x="3"/>
        <item h="1" m="1" x="25"/>
        <item h="1" x="15"/>
        <item h="1" x="16"/>
        <item h="1" x="17"/>
        <item h="1"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0"/>
    <field x="1"/>
  </rowFields>
  <rowItems count="15">
    <i>
      <x v="1"/>
      <x v="2"/>
    </i>
    <i r="1">
      <x v="5"/>
    </i>
    <i r="1">
      <x v="4"/>
    </i>
    <i r="1">
      <x v="7"/>
    </i>
    <i r="1">
      <x v="13"/>
    </i>
    <i t="default">
      <x v="1"/>
    </i>
    <i>
      <x v="5"/>
      <x v="6"/>
    </i>
    <i r="1">
      <x v="3"/>
    </i>
    <i r="1">
      <x v="1"/>
    </i>
    <i r="1">
      <x v="9"/>
    </i>
    <i t="default">
      <x v="5"/>
    </i>
    <i>
      <x v="6"/>
      <x v="14"/>
    </i>
    <i r="1">
      <x v="10"/>
    </i>
    <i t="default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Agentes " fld="2" subtotal="count" baseField="0" baseItem="0"/>
    <dataField name="Share" fld="2" subtotal="count" showDataAs="percentOfCol" baseField="0" baseItem="0" numFmtId="10"/>
  </dataFields>
  <formats count="2">
    <format dxfId="1986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1985">
      <pivotArea dataOnly="0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 dinámica2" cacheId="0" applyNumberFormats="0" applyBorderFormats="0" applyFontFormats="0" applyPatternFormats="0" applyAlignmentFormats="0" applyWidthHeightFormats="1" dataCaption="Valores" updatedVersion="4" minRefreshableVersion="3" useAutoFormatting="1" itemPrintTitles="1" mergeItem="1" createdVersion="5" indent="0" compact="0" compactData="0" multipleFieldFilters="0">
  <location ref="A3:D26" firstHeaderRow="0" firstDataRow="1" firstDataCol="2"/>
  <pivotFields count="25">
    <pivotField axis="axisRow" compact="0" outline="0" showAll="0">
      <items count="11">
        <item h="1" x="4"/>
        <item x="2"/>
        <item m="1" x="7"/>
        <item m="1" x="5"/>
        <item m="1" x="9"/>
        <item x="0"/>
        <item x="3"/>
        <item m="1" x="8"/>
        <item h="1" m="1" x="6"/>
        <item h="1" x="1"/>
        <item t="default"/>
      </items>
    </pivotField>
    <pivotField axis="axisRow" dataField="1" compact="0" outline="0" showAll="0">
      <items count="28">
        <item x="19"/>
        <item sd="0" x="9"/>
        <item sd="0" x="7"/>
        <item sd="0" x="8"/>
        <item sd="0" x="0"/>
        <item sd="0" x="6"/>
        <item sd="0" x="10"/>
        <item sd="0" m="1" x="20"/>
        <item sd="0" x="4"/>
        <item sd="0" x="2"/>
        <item sd="0" x="1"/>
        <item m="1" x="23"/>
        <item m="1" x="21"/>
        <item sd="0" x="5"/>
        <item sd="0" x="12"/>
        <item x="13"/>
        <item x="14"/>
        <item m="1" x="26"/>
        <item m="1" x="22"/>
        <item m="1" x="24"/>
        <item x="11"/>
        <item x="3"/>
        <item m="1" x="25"/>
        <item x="15"/>
        <item x="16"/>
        <item x="17"/>
        <item x="18"/>
        <item t="default"/>
      </items>
    </pivotField>
    <pivotField compact="0" outline="0" showAll="0" defaultSubtotal="0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/>
  </pivotFields>
  <rowFields count="2">
    <field x="0"/>
    <field x="1"/>
  </rowFields>
  <rowItems count="23">
    <i>
      <x v="1"/>
      <x v="1"/>
    </i>
    <i r="1">
      <x v="2"/>
    </i>
    <i r="1">
      <x v="3"/>
    </i>
    <i r="1">
      <x v="6"/>
    </i>
    <i r="1">
      <x v="13"/>
    </i>
    <i r="1">
      <x v="23"/>
    </i>
    <i t="default">
      <x v="1"/>
    </i>
    <i>
      <x v="5"/>
      <x v="4"/>
    </i>
    <i r="1">
      <x v="5"/>
    </i>
    <i r="1">
      <x v="8"/>
    </i>
    <i r="1">
      <x v="9"/>
    </i>
    <i r="1">
      <x v="21"/>
    </i>
    <i r="1">
      <x v="24"/>
    </i>
    <i r="1">
      <x v="25"/>
    </i>
    <i t="default">
      <x v="5"/>
    </i>
    <i>
      <x v="6"/>
      <x v="10"/>
    </i>
    <i r="1">
      <x v="14"/>
    </i>
    <i r="1">
      <x v="15"/>
    </i>
    <i r="1">
      <x v="16"/>
    </i>
    <i r="1">
      <x v="20"/>
    </i>
    <i r="1">
      <x v="26"/>
    </i>
    <i t="default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pervisores " fld="1" subtotal="count" baseField="0" baseItem="0"/>
    <dataField name="Share" fld="1" subtotal="count" showDataAs="percentOfCol" baseField="0" baseItem="0" numFmtId="10"/>
  </dataFields>
  <formats count="7">
    <format dxfId="1993">
      <pivotArea outline="0" fieldPosition="0">
        <references count="1">
          <reference field="0" count="0" selected="0" defaultSubtotal="1"/>
        </references>
      </pivotArea>
    </format>
    <format dxfId="199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91">
      <pivotArea outline="0" fieldPosition="0">
        <references count="1">
          <reference field="0" count="0" selected="0" defaultSubtotal="1"/>
        </references>
      </pivotArea>
    </format>
    <format dxfId="199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89">
      <pivotArea dataOnly="0" labelOnly="1" outline="0" fieldPosition="0">
        <references count="1">
          <reference field="0" count="0"/>
        </references>
      </pivotArea>
    </format>
    <format dxfId="1988">
      <pivotArea dataOnly="0" labelOnly="1" outline="0" fieldPosition="0">
        <references count="1">
          <reference field="0" count="0" defaultSubtotal="1"/>
        </references>
      </pivotArea>
    </format>
    <format dxfId="1987">
      <pivotArea outline="0" collapsedLevelsAreSubtotals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32"/>
  <sheetViews>
    <sheetView showGridLines="0" tabSelected="1" zoomScale="70" zoomScaleNormal="70" workbookViewId="0">
      <pane ySplit="1" topLeftCell="A2" activePane="bottomLeft" state="frozen"/>
      <selection pane="bottomLeft"/>
    </sheetView>
  </sheetViews>
  <sheetFormatPr defaultColWidth="0" defaultRowHeight="15" zeroHeight="1" x14ac:dyDescent="0.25"/>
  <cols>
    <col min="1" max="1" width="33.42578125" style="5" customWidth="1"/>
    <col min="2" max="2" width="25.28515625" style="5" customWidth="1"/>
    <col min="3" max="3" width="19.28515625" style="5" customWidth="1"/>
    <col min="4" max="4" width="19.7109375" style="5" customWidth="1"/>
    <col min="5" max="12" width="15.85546875" style="5" customWidth="1"/>
    <col min="13" max="13" width="24.42578125" style="5" customWidth="1"/>
    <col min="14" max="22" width="15.85546875" style="5" customWidth="1"/>
    <col min="23" max="25" width="12.28515625" style="5" customWidth="1"/>
    <col min="26" max="26" width="27.85546875" style="5" customWidth="1"/>
    <col min="27" max="30" width="12.28515625" style="5" customWidth="1"/>
    <col min="31" max="31" width="15.42578125" style="5" customWidth="1"/>
    <col min="32" max="32" width="18.85546875" style="5" customWidth="1"/>
    <col min="33" max="33" width="24" style="5" customWidth="1"/>
    <col min="34" max="34" width="12.140625" style="5" customWidth="1"/>
    <col min="35" max="35" width="17.140625" style="5" customWidth="1"/>
    <col min="36" max="36" width="18.85546875" style="5" customWidth="1"/>
    <col min="37" max="38" width="14.140625" style="5" customWidth="1"/>
    <col min="39" max="39" width="12.140625" style="5" customWidth="1"/>
    <col min="40" max="40" width="21.42578125" style="5" bestFit="1" customWidth="1"/>
    <col min="41" max="41" width="10.5703125" style="5" customWidth="1"/>
    <col min="42" max="42" width="12.5703125" style="5" customWidth="1"/>
    <col min="43" max="43" width="40.140625" style="5" bestFit="1" customWidth="1"/>
    <col min="44" max="44" width="4.42578125" style="5" customWidth="1"/>
    <col min="45" max="16384" width="9.140625" style="5" hidden="1"/>
  </cols>
  <sheetData>
    <row r="1" spans="1:43" customFormat="1" ht="30.7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33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34</v>
      </c>
      <c r="Y1" s="2" t="s">
        <v>22</v>
      </c>
      <c r="Z1" s="2" t="s">
        <v>23</v>
      </c>
      <c r="AA1" s="2" t="s">
        <v>24</v>
      </c>
      <c r="AB1" s="2" t="s">
        <v>35</v>
      </c>
      <c r="AC1" s="2" t="s">
        <v>36</v>
      </c>
      <c r="AD1" s="2" t="s">
        <v>25</v>
      </c>
      <c r="AE1" s="2" t="s">
        <v>66</v>
      </c>
      <c r="AF1" s="101" t="s">
        <v>93</v>
      </c>
      <c r="AG1" s="2" t="s">
        <v>26</v>
      </c>
      <c r="AH1" s="2" t="s">
        <v>27</v>
      </c>
      <c r="AI1" s="2" t="s">
        <v>28</v>
      </c>
      <c r="AJ1" s="2" t="s">
        <v>29</v>
      </c>
      <c r="AK1" s="2" t="s">
        <v>38</v>
      </c>
      <c r="AL1" s="66" t="s">
        <v>37</v>
      </c>
      <c r="AM1" s="66" t="s">
        <v>30</v>
      </c>
      <c r="AN1" s="66" t="s">
        <v>43</v>
      </c>
      <c r="AO1" s="66" t="s">
        <v>104</v>
      </c>
      <c r="AP1" s="3" t="s">
        <v>90</v>
      </c>
      <c r="AQ1" s="107" t="s">
        <v>105</v>
      </c>
    </row>
    <row r="2" spans="1:43" ht="15" customHeight="1" x14ac:dyDescent="0.25">
      <c r="A2" s="44" t="s">
        <v>74</v>
      </c>
      <c r="B2" s="39" t="s">
        <v>72</v>
      </c>
      <c r="C2" s="39" t="s">
        <v>106</v>
      </c>
      <c r="D2" s="39" t="s">
        <v>107</v>
      </c>
      <c r="E2" s="39" t="s">
        <v>40</v>
      </c>
      <c r="F2" s="39" t="s">
        <v>108</v>
      </c>
      <c r="G2" s="39" t="s">
        <v>108</v>
      </c>
      <c r="H2" s="39" t="s">
        <v>108</v>
      </c>
      <c r="I2" s="39" t="s">
        <v>108</v>
      </c>
      <c r="J2" s="39" t="s">
        <v>108</v>
      </c>
      <c r="K2" s="39" t="s">
        <v>40</v>
      </c>
      <c r="L2" s="135"/>
      <c r="M2" s="45"/>
      <c r="N2" s="39" t="s">
        <v>1605</v>
      </c>
      <c r="O2" s="39">
        <v>0</v>
      </c>
      <c r="P2" s="39">
        <v>5.0000000000000009</v>
      </c>
      <c r="Q2" s="39">
        <v>5.0000000000000009</v>
      </c>
      <c r="R2" s="39">
        <v>5.0000000000000009</v>
      </c>
      <c r="S2" s="39">
        <v>5.0000000000000009</v>
      </c>
      <c r="T2" s="39">
        <v>5.0000000000000009</v>
      </c>
      <c r="U2" s="39">
        <v>0</v>
      </c>
      <c r="V2" s="39">
        <v>25.000000000000004</v>
      </c>
      <c r="W2" s="39">
        <v>89206</v>
      </c>
      <c r="X2" s="39">
        <v>87043</v>
      </c>
      <c r="Y2" s="39">
        <v>3409624</v>
      </c>
      <c r="Z2" s="39" t="s">
        <v>109</v>
      </c>
      <c r="AA2" s="39" t="s">
        <v>110</v>
      </c>
      <c r="AB2" s="39">
        <v>84825</v>
      </c>
      <c r="AC2" s="39">
        <v>74054</v>
      </c>
      <c r="AD2" s="39" t="s">
        <v>111</v>
      </c>
      <c r="AE2" s="39" t="s">
        <v>112</v>
      </c>
      <c r="AF2" s="136">
        <v>43916</v>
      </c>
      <c r="AG2" s="39" t="s">
        <v>113</v>
      </c>
      <c r="AH2" s="39">
        <v>35517416</v>
      </c>
      <c r="AI2" s="39">
        <v>27355174161</v>
      </c>
      <c r="AJ2" s="46">
        <v>43668</v>
      </c>
      <c r="AK2" s="46">
        <v>43669</v>
      </c>
      <c r="AL2" s="47">
        <v>43678</v>
      </c>
      <c r="AM2" s="102">
        <v>397</v>
      </c>
      <c r="AN2" s="137" t="s">
        <v>114</v>
      </c>
      <c r="AO2" s="138">
        <v>89953</v>
      </c>
      <c r="AP2" s="139" t="s">
        <v>115</v>
      </c>
      <c r="AQ2" s="140" t="s">
        <v>1606</v>
      </c>
    </row>
    <row r="3" spans="1:43" ht="15" customHeight="1" x14ac:dyDescent="0.25">
      <c r="A3" s="44" t="s">
        <v>74</v>
      </c>
      <c r="B3" s="39" t="s">
        <v>72</v>
      </c>
      <c r="C3" s="39" t="s">
        <v>116</v>
      </c>
      <c r="D3" s="39" t="s">
        <v>117</v>
      </c>
      <c r="E3" s="39" t="s">
        <v>40</v>
      </c>
      <c r="F3" s="39" t="s">
        <v>108</v>
      </c>
      <c r="G3" s="39" t="s">
        <v>108</v>
      </c>
      <c r="H3" s="39" t="s">
        <v>108</v>
      </c>
      <c r="I3" s="39" t="s">
        <v>108</v>
      </c>
      <c r="J3" s="39" t="s">
        <v>108</v>
      </c>
      <c r="K3" s="39" t="s">
        <v>40</v>
      </c>
      <c r="L3" s="135"/>
      <c r="M3" s="45"/>
      <c r="N3" s="39" t="s">
        <v>1605</v>
      </c>
      <c r="O3" s="39">
        <v>0</v>
      </c>
      <c r="P3" s="39">
        <v>5.0000000000000009</v>
      </c>
      <c r="Q3" s="39">
        <v>5.0000000000000009</v>
      </c>
      <c r="R3" s="39">
        <v>5.0000000000000009</v>
      </c>
      <c r="S3" s="39">
        <v>5.0000000000000009</v>
      </c>
      <c r="T3" s="39">
        <v>5.0000000000000009</v>
      </c>
      <c r="U3" s="39">
        <v>0</v>
      </c>
      <c r="V3" s="39">
        <v>25.000000000000004</v>
      </c>
      <c r="W3" s="39">
        <v>648060</v>
      </c>
      <c r="X3" s="39">
        <v>88037</v>
      </c>
      <c r="Y3" s="39">
        <v>3553112</v>
      </c>
      <c r="Z3" s="39" t="s">
        <v>118</v>
      </c>
      <c r="AA3" s="39" t="s">
        <v>119</v>
      </c>
      <c r="AB3" s="39">
        <v>84825</v>
      </c>
      <c r="AC3" s="39">
        <v>74054</v>
      </c>
      <c r="AD3" s="39" t="s">
        <v>120</v>
      </c>
      <c r="AE3" s="39" t="s">
        <v>121</v>
      </c>
      <c r="AF3" s="136">
        <v>43943</v>
      </c>
      <c r="AG3" s="39" t="s">
        <v>122</v>
      </c>
      <c r="AH3" s="39">
        <v>39972625</v>
      </c>
      <c r="AI3" s="39" t="s">
        <v>123</v>
      </c>
      <c r="AJ3" s="46">
        <v>43942</v>
      </c>
      <c r="AK3" s="46">
        <v>43942</v>
      </c>
      <c r="AL3" s="47">
        <v>43943</v>
      </c>
      <c r="AM3" s="39">
        <v>128</v>
      </c>
      <c r="AN3" s="137" t="s">
        <v>114</v>
      </c>
      <c r="AO3" s="141">
        <v>89999</v>
      </c>
      <c r="AP3" s="139" t="s">
        <v>115</v>
      </c>
      <c r="AQ3" s="142" t="s">
        <v>1606</v>
      </c>
    </row>
    <row r="4" spans="1:43" ht="15" customHeight="1" x14ac:dyDescent="0.25">
      <c r="A4" s="42" t="s">
        <v>74</v>
      </c>
      <c r="B4" s="41" t="s">
        <v>72</v>
      </c>
      <c r="C4" s="41" t="s">
        <v>124</v>
      </c>
      <c r="D4" s="41" t="s">
        <v>125</v>
      </c>
      <c r="E4" s="41" t="s">
        <v>40</v>
      </c>
      <c r="F4" s="41" t="s">
        <v>52</v>
      </c>
      <c r="G4" s="41" t="s">
        <v>52</v>
      </c>
      <c r="H4" s="41" t="s">
        <v>52</v>
      </c>
      <c r="I4" s="41" t="s">
        <v>131</v>
      </c>
      <c r="J4" s="41" t="s">
        <v>131</v>
      </c>
      <c r="K4" s="41" t="s">
        <v>40</v>
      </c>
      <c r="L4" s="135"/>
      <c r="M4" s="45" t="s">
        <v>1617</v>
      </c>
      <c r="N4" s="39" t="s">
        <v>1605</v>
      </c>
      <c r="O4" s="39">
        <v>0</v>
      </c>
      <c r="P4" s="39">
        <v>0</v>
      </c>
      <c r="Q4" s="39">
        <v>0</v>
      </c>
      <c r="R4" s="39">
        <v>0</v>
      </c>
      <c r="S4" s="39">
        <v>6</v>
      </c>
      <c r="T4" s="39">
        <v>6</v>
      </c>
      <c r="U4" s="39">
        <v>0</v>
      </c>
      <c r="V4" s="39">
        <v>12</v>
      </c>
      <c r="W4" s="39">
        <v>89069</v>
      </c>
      <c r="X4" s="39">
        <v>82613</v>
      </c>
      <c r="Y4" s="39">
        <v>2313015</v>
      </c>
      <c r="Z4" s="39" t="s">
        <v>109</v>
      </c>
      <c r="AA4" s="39" t="s">
        <v>109</v>
      </c>
      <c r="AB4" s="39">
        <v>84825</v>
      </c>
      <c r="AC4" s="39">
        <v>74054</v>
      </c>
      <c r="AD4" s="39" t="s">
        <v>126</v>
      </c>
      <c r="AE4" s="39" t="s">
        <v>127</v>
      </c>
      <c r="AF4" s="136">
        <v>43917</v>
      </c>
      <c r="AG4" s="39" t="s">
        <v>128</v>
      </c>
      <c r="AH4" s="39">
        <v>37311054</v>
      </c>
      <c r="AI4" s="39">
        <v>20373110540</v>
      </c>
      <c r="AJ4" s="46">
        <v>42688</v>
      </c>
      <c r="AK4" s="46">
        <v>43369</v>
      </c>
      <c r="AL4" s="47">
        <v>43403</v>
      </c>
      <c r="AM4" s="39">
        <v>1365</v>
      </c>
      <c r="AN4" s="137" t="s">
        <v>114</v>
      </c>
      <c r="AO4" s="141">
        <v>89924</v>
      </c>
      <c r="AP4" s="139" t="s">
        <v>115</v>
      </c>
      <c r="AQ4" s="142" t="s">
        <v>1607</v>
      </c>
    </row>
    <row r="5" spans="1:43" ht="15" customHeight="1" x14ac:dyDescent="0.25">
      <c r="A5" s="44" t="s">
        <v>74</v>
      </c>
      <c r="B5" s="39" t="s">
        <v>72</v>
      </c>
      <c r="C5" s="39" t="s">
        <v>129</v>
      </c>
      <c r="D5" s="39" t="s">
        <v>130</v>
      </c>
      <c r="E5" s="39" t="s">
        <v>40</v>
      </c>
      <c r="F5" s="39" t="s">
        <v>131</v>
      </c>
      <c r="G5" s="39" t="s">
        <v>131</v>
      </c>
      <c r="H5" s="39" t="s">
        <v>131</v>
      </c>
      <c r="I5" s="39" t="s">
        <v>131</v>
      </c>
      <c r="J5" s="39" t="s">
        <v>131</v>
      </c>
      <c r="K5" s="39" t="s">
        <v>40</v>
      </c>
      <c r="L5" s="135"/>
      <c r="M5" s="45"/>
      <c r="N5" s="39" t="s">
        <v>1605</v>
      </c>
      <c r="O5" s="39">
        <v>0</v>
      </c>
      <c r="P5" s="39">
        <v>6</v>
      </c>
      <c r="Q5" s="39">
        <v>6</v>
      </c>
      <c r="R5" s="39">
        <v>6</v>
      </c>
      <c r="S5" s="39">
        <v>6</v>
      </c>
      <c r="T5" s="39">
        <v>6</v>
      </c>
      <c r="U5" s="39">
        <v>0</v>
      </c>
      <c r="V5" s="39">
        <v>30</v>
      </c>
      <c r="W5" s="39">
        <v>89118</v>
      </c>
      <c r="X5" s="39">
        <v>86145</v>
      </c>
      <c r="Y5" s="39">
        <v>2358095</v>
      </c>
      <c r="Z5" s="39" t="s">
        <v>132</v>
      </c>
      <c r="AA5" s="39" t="s">
        <v>133</v>
      </c>
      <c r="AB5" s="39">
        <v>84825</v>
      </c>
      <c r="AC5" s="39">
        <v>74054</v>
      </c>
      <c r="AD5" s="39" t="s">
        <v>134</v>
      </c>
      <c r="AE5" s="39" t="s">
        <v>135</v>
      </c>
      <c r="AF5" s="136">
        <v>43917</v>
      </c>
      <c r="AG5" s="39" t="s">
        <v>136</v>
      </c>
      <c r="AH5" s="39">
        <v>39141166</v>
      </c>
      <c r="AI5" s="39">
        <v>27391411668</v>
      </c>
      <c r="AJ5" s="46">
        <v>43437</v>
      </c>
      <c r="AK5" s="46">
        <v>43437</v>
      </c>
      <c r="AL5" s="47">
        <v>43448</v>
      </c>
      <c r="AM5" s="39">
        <v>626</v>
      </c>
      <c r="AN5" s="137" t="s">
        <v>114</v>
      </c>
      <c r="AO5" s="141">
        <v>89925</v>
      </c>
      <c r="AP5" s="139" t="s">
        <v>115</v>
      </c>
      <c r="AQ5" s="142" t="s">
        <v>1607</v>
      </c>
    </row>
    <row r="6" spans="1:43" ht="15" customHeight="1" x14ac:dyDescent="0.25">
      <c r="A6" s="44" t="s">
        <v>74</v>
      </c>
      <c r="B6" s="39" t="s">
        <v>72</v>
      </c>
      <c r="C6" s="39" t="s">
        <v>137</v>
      </c>
      <c r="D6" s="39" t="s">
        <v>138</v>
      </c>
      <c r="E6" s="39" t="s">
        <v>40</v>
      </c>
      <c r="F6" s="39" t="s">
        <v>131</v>
      </c>
      <c r="G6" s="39" t="s">
        <v>131</v>
      </c>
      <c r="H6" s="39" t="s">
        <v>131</v>
      </c>
      <c r="I6" s="39" t="s">
        <v>131</v>
      </c>
      <c r="J6" s="39" t="s">
        <v>131</v>
      </c>
      <c r="K6" s="39" t="s">
        <v>40</v>
      </c>
      <c r="L6" s="135"/>
      <c r="M6" s="45"/>
      <c r="N6" s="39" t="s">
        <v>1605</v>
      </c>
      <c r="O6" s="39">
        <v>0</v>
      </c>
      <c r="P6" s="39">
        <v>6</v>
      </c>
      <c r="Q6" s="39">
        <v>6</v>
      </c>
      <c r="R6" s="39">
        <v>6</v>
      </c>
      <c r="S6" s="39">
        <v>6</v>
      </c>
      <c r="T6" s="39">
        <v>6</v>
      </c>
      <c r="U6" s="39">
        <v>0</v>
      </c>
      <c r="V6" s="39">
        <v>30</v>
      </c>
      <c r="W6" s="39">
        <v>89061</v>
      </c>
      <c r="X6" s="39">
        <v>81099</v>
      </c>
      <c r="Y6" s="39">
        <v>1880623</v>
      </c>
      <c r="Z6" s="39" t="s">
        <v>139</v>
      </c>
      <c r="AA6" s="39" t="s">
        <v>140</v>
      </c>
      <c r="AB6" s="39">
        <v>84825</v>
      </c>
      <c r="AC6" s="39">
        <v>74054</v>
      </c>
      <c r="AD6" s="39" t="s">
        <v>141</v>
      </c>
      <c r="AE6" s="39" t="s">
        <v>142</v>
      </c>
      <c r="AF6" s="136">
        <v>43916</v>
      </c>
      <c r="AG6" s="39" t="s">
        <v>143</v>
      </c>
      <c r="AH6" s="39">
        <v>37656704</v>
      </c>
      <c r="AI6" s="39">
        <v>20376567045</v>
      </c>
      <c r="AJ6" s="46">
        <v>42310</v>
      </c>
      <c r="AK6" s="46">
        <v>43327</v>
      </c>
      <c r="AL6" s="47">
        <v>43328</v>
      </c>
      <c r="AM6" s="39">
        <v>1737</v>
      </c>
      <c r="AN6" s="137" t="s">
        <v>114</v>
      </c>
      <c r="AO6" s="141">
        <v>89926</v>
      </c>
      <c r="AP6" s="139" t="s">
        <v>115</v>
      </c>
      <c r="AQ6" s="142" t="s">
        <v>1607</v>
      </c>
    </row>
    <row r="7" spans="1:43" ht="15" customHeight="1" x14ac:dyDescent="0.25">
      <c r="A7" s="44" t="s">
        <v>74</v>
      </c>
      <c r="B7" s="39" t="s">
        <v>72</v>
      </c>
      <c r="C7" s="39" t="s">
        <v>144</v>
      </c>
      <c r="D7" s="39" t="s">
        <v>145</v>
      </c>
      <c r="E7" s="39" t="s">
        <v>40</v>
      </c>
      <c r="F7" s="39" t="s">
        <v>131</v>
      </c>
      <c r="G7" s="39" t="s">
        <v>131</v>
      </c>
      <c r="H7" s="39" t="s">
        <v>131</v>
      </c>
      <c r="I7" s="39" t="s">
        <v>131</v>
      </c>
      <c r="J7" s="39" t="s">
        <v>131</v>
      </c>
      <c r="K7" s="39" t="s">
        <v>40</v>
      </c>
      <c r="L7" s="135"/>
      <c r="M7" s="45"/>
      <c r="N7" s="39" t="s">
        <v>1605</v>
      </c>
      <c r="O7" s="39">
        <v>0</v>
      </c>
      <c r="P7" s="39">
        <v>6</v>
      </c>
      <c r="Q7" s="39">
        <v>6</v>
      </c>
      <c r="R7" s="39">
        <v>6</v>
      </c>
      <c r="S7" s="39">
        <v>6</v>
      </c>
      <c r="T7" s="39">
        <v>6</v>
      </c>
      <c r="U7" s="39">
        <v>0</v>
      </c>
      <c r="V7" s="39">
        <v>30</v>
      </c>
      <c r="W7" s="143">
        <v>89237</v>
      </c>
      <c r="X7" s="39">
        <v>87304</v>
      </c>
      <c r="Y7" s="39">
        <v>3462502</v>
      </c>
      <c r="Z7" s="39" t="s">
        <v>146</v>
      </c>
      <c r="AA7" s="39" t="s">
        <v>119</v>
      </c>
      <c r="AB7" s="39">
        <v>84825</v>
      </c>
      <c r="AC7" s="39">
        <v>74054</v>
      </c>
      <c r="AD7" s="39" t="s">
        <v>147</v>
      </c>
      <c r="AE7" s="39" t="s">
        <v>148</v>
      </c>
      <c r="AF7" s="136">
        <v>43915</v>
      </c>
      <c r="AG7" s="39">
        <v>3815811118</v>
      </c>
      <c r="AH7" s="39">
        <v>30759743</v>
      </c>
      <c r="AI7" s="39">
        <v>27307597433</v>
      </c>
      <c r="AJ7" s="46">
        <v>43703</v>
      </c>
      <c r="AK7" s="46">
        <v>43703</v>
      </c>
      <c r="AL7" s="47">
        <v>43713</v>
      </c>
      <c r="AM7" s="39">
        <v>363</v>
      </c>
      <c r="AN7" s="137" t="s">
        <v>114</v>
      </c>
      <c r="AO7" s="141">
        <v>89875</v>
      </c>
      <c r="AP7" s="139" t="s">
        <v>115</v>
      </c>
      <c r="AQ7" s="142" t="s">
        <v>1607</v>
      </c>
    </row>
    <row r="8" spans="1:43" ht="15" customHeight="1" x14ac:dyDescent="0.25">
      <c r="A8" s="44" t="s">
        <v>74</v>
      </c>
      <c r="B8" s="39" t="s">
        <v>72</v>
      </c>
      <c r="C8" s="39" t="s">
        <v>149</v>
      </c>
      <c r="D8" s="39" t="s">
        <v>150</v>
      </c>
      <c r="E8" s="39" t="s">
        <v>40</v>
      </c>
      <c r="F8" s="39" t="s">
        <v>131</v>
      </c>
      <c r="G8" s="39" t="s">
        <v>131</v>
      </c>
      <c r="H8" s="39" t="s">
        <v>131</v>
      </c>
      <c r="I8" s="39" t="s">
        <v>131</v>
      </c>
      <c r="J8" s="39" t="s">
        <v>131</v>
      </c>
      <c r="K8" s="39" t="s">
        <v>40</v>
      </c>
      <c r="L8" s="135"/>
      <c r="M8" s="45"/>
      <c r="N8" s="39" t="s">
        <v>1605</v>
      </c>
      <c r="O8" s="39">
        <v>0</v>
      </c>
      <c r="P8" s="39">
        <v>6</v>
      </c>
      <c r="Q8" s="39">
        <v>6</v>
      </c>
      <c r="R8" s="39">
        <v>6</v>
      </c>
      <c r="S8" s="39">
        <v>6</v>
      </c>
      <c r="T8" s="39">
        <v>6</v>
      </c>
      <c r="U8" s="39">
        <v>0</v>
      </c>
      <c r="V8" s="39">
        <v>30</v>
      </c>
      <c r="W8" s="143">
        <v>89227</v>
      </c>
      <c r="X8" s="39">
        <v>87314</v>
      </c>
      <c r="Y8" s="39">
        <v>3462518</v>
      </c>
      <c r="Z8" s="39" t="s">
        <v>109</v>
      </c>
      <c r="AA8" s="39" t="s">
        <v>110</v>
      </c>
      <c r="AB8" s="39">
        <v>84825</v>
      </c>
      <c r="AC8" s="39">
        <v>74054</v>
      </c>
      <c r="AD8" s="39" t="s">
        <v>151</v>
      </c>
      <c r="AE8" s="39" t="s">
        <v>152</v>
      </c>
      <c r="AF8" s="136">
        <v>43916</v>
      </c>
      <c r="AG8" s="39">
        <v>3816363464</v>
      </c>
      <c r="AH8" s="39">
        <v>32200145</v>
      </c>
      <c r="AI8" s="39">
        <v>27322001458</v>
      </c>
      <c r="AJ8" s="46">
        <v>43703</v>
      </c>
      <c r="AK8" s="46">
        <v>43703</v>
      </c>
      <c r="AL8" s="47">
        <v>43713</v>
      </c>
      <c r="AM8" s="39">
        <v>363</v>
      </c>
      <c r="AN8" s="137" t="s">
        <v>114</v>
      </c>
      <c r="AO8" s="141">
        <v>89928</v>
      </c>
      <c r="AP8" s="139" t="s">
        <v>115</v>
      </c>
      <c r="AQ8" s="142" t="s">
        <v>1607</v>
      </c>
    </row>
    <row r="9" spans="1:43" ht="15" customHeight="1" x14ac:dyDescent="0.25">
      <c r="A9" s="44" t="s">
        <v>97</v>
      </c>
      <c r="B9" s="39" t="s">
        <v>86</v>
      </c>
      <c r="C9" s="39" t="s">
        <v>153</v>
      </c>
      <c r="D9" s="39" t="s">
        <v>154</v>
      </c>
      <c r="E9" s="39" t="s">
        <v>40</v>
      </c>
      <c r="F9" s="39" t="s">
        <v>131</v>
      </c>
      <c r="G9" s="39" t="s">
        <v>131</v>
      </c>
      <c r="H9" s="39" t="s">
        <v>131</v>
      </c>
      <c r="I9" s="39" t="s">
        <v>131</v>
      </c>
      <c r="J9" s="39" t="s">
        <v>131</v>
      </c>
      <c r="K9" s="39" t="s">
        <v>40</v>
      </c>
      <c r="L9" s="135"/>
      <c r="M9" s="45"/>
      <c r="N9" s="39" t="s">
        <v>1605</v>
      </c>
      <c r="O9" s="39">
        <v>0</v>
      </c>
      <c r="P9" s="39">
        <v>6</v>
      </c>
      <c r="Q9" s="39">
        <v>6</v>
      </c>
      <c r="R9" s="39">
        <v>6</v>
      </c>
      <c r="S9" s="39">
        <v>6</v>
      </c>
      <c r="T9" s="39">
        <v>6</v>
      </c>
      <c r="U9" s="39">
        <v>0</v>
      </c>
      <c r="V9" s="39">
        <v>30</v>
      </c>
      <c r="W9" s="39">
        <v>89064</v>
      </c>
      <c r="X9" s="39">
        <v>85332</v>
      </c>
      <c r="Y9" s="39">
        <v>2811367</v>
      </c>
      <c r="Z9" s="39" t="s">
        <v>109</v>
      </c>
      <c r="AA9" s="39" t="s">
        <v>109</v>
      </c>
      <c r="AB9" s="39" t="e">
        <v>#N/A</v>
      </c>
      <c r="AC9" s="39" t="e">
        <v>#N/A</v>
      </c>
      <c r="AD9" s="39" t="s">
        <v>155</v>
      </c>
      <c r="AE9" s="144" t="s">
        <v>156</v>
      </c>
      <c r="AF9" s="136">
        <v>44033</v>
      </c>
      <c r="AG9" s="39" t="s">
        <v>157</v>
      </c>
      <c r="AH9" s="39">
        <v>36585224</v>
      </c>
      <c r="AI9" s="39">
        <v>20365852244</v>
      </c>
      <c r="AJ9" s="46">
        <v>43171</v>
      </c>
      <c r="AK9" s="46">
        <v>43327</v>
      </c>
      <c r="AL9" s="47">
        <v>43328</v>
      </c>
      <c r="AM9" s="39">
        <v>887</v>
      </c>
      <c r="AN9" s="137" t="s">
        <v>114</v>
      </c>
      <c r="AO9" s="141">
        <v>89929</v>
      </c>
      <c r="AP9" s="139" t="s">
        <v>158</v>
      </c>
      <c r="AQ9" s="142" t="s">
        <v>1607</v>
      </c>
    </row>
    <row r="10" spans="1:43" ht="15" customHeight="1" x14ac:dyDescent="0.25">
      <c r="A10" s="42" t="s">
        <v>74</v>
      </c>
      <c r="B10" s="41" t="s">
        <v>72</v>
      </c>
      <c r="C10" s="41" t="s">
        <v>159</v>
      </c>
      <c r="D10" s="41" t="s">
        <v>160</v>
      </c>
      <c r="E10" s="41" t="s">
        <v>40</v>
      </c>
      <c r="F10" s="41" t="s">
        <v>52</v>
      </c>
      <c r="G10" s="41" t="s">
        <v>52</v>
      </c>
      <c r="H10" s="41" t="s">
        <v>52</v>
      </c>
      <c r="I10" s="41" t="s">
        <v>131</v>
      </c>
      <c r="J10" s="41" t="s">
        <v>131</v>
      </c>
      <c r="K10" s="41" t="s">
        <v>40</v>
      </c>
      <c r="L10" s="135"/>
      <c r="M10" s="45" t="s">
        <v>1617</v>
      </c>
      <c r="N10" s="39" t="s">
        <v>1605</v>
      </c>
      <c r="O10" s="39">
        <v>0</v>
      </c>
      <c r="P10" s="39">
        <v>0</v>
      </c>
      <c r="Q10" s="39">
        <v>0</v>
      </c>
      <c r="R10" s="39">
        <v>0</v>
      </c>
      <c r="S10" s="39">
        <v>6</v>
      </c>
      <c r="T10" s="39">
        <v>6</v>
      </c>
      <c r="U10" s="39">
        <v>0</v>
      </c>
      <c r="V10" s="39">
        <v>12</v>
      </c>
      <c r="W10" s="39">
        <v>89121</v>
      </c>
      <c r="X10" s="39">
        <v>86155</v>
      </c>
      <c r="Y10" s="39">
        <v>2783079</v>
      </c>
      <c r="Z10" s="39" t="s">
        <v>109</v>
      </c>
      <c r="AA10" s="39" t="s">
        <v>110</v>
      </c>
      <c r="AB10" s="39">
        <v>84825</v>
      </c>
      <c r="AC10" s="39">
        <v>74054</v>
      </c>
      <c r="AD10" s="39" t="s">
        <v>161</v>
      </c>
      <c r="AE10" s="39" t="s">
        <v>162</v>
      </c>
      <c r="AF10" s="136">
        <v>43916</v>
      </c>
      <c r="AG10" s="39" t="s">
        <v>163</v>
      </c>
      <c r="AH10" s="39">
        <v>38741741</v>
      </c>
      <c r="AI10" s="39">
        <v>23387417419</v>
      </c>
      <c r="AJ10" s="46">
        <v>43437</v>
      </c>
      <c r="AK10" s="46">
        <v>43437</v>
      </c>
      <c r="AL10" s="47">
        <v>43448</v>
      </c>
      <c r="AM10" s="39">
        <v>626</v>
      </c>
      <c r="AN10" s="137" t="s">
        <v>114</v>
      </c>
      <c r="AO10" s="141">
        <v>89930</v>
      </c>
      <c r="AP10" s="139" t="s">
        <v>115</v>
      </c>
      <c r="AQ10" s="142" t="s">
        <v>1607</v>
      </c>
    </row>
    <row r="11" spans="1:43" ht="15" customHeight="1" x14ac:dyDescent="0.25">
      <c r="A11" s="69" t="s">
        <v>74</v>
      </c>
      <c r="B11" s="70" t="s">
        <v>72</v>
      </c>
      <c r="C11" s="70" t="s">
        <v>164</v>
      </c>
      <c r="D11" s="70" t="s">
        <v>165</v>
      </c>
      <c r="E11" s="70" t="s">
        <v>40</v>
      </c>
      <c r="F11" s="70" t="s">
        <v>52</v>
      </c>
      <c r="G11" s="70" t="s">
        <v>52</v>
      </c>
      <c r="H11" s="70" t="s">
        <v>52</v>
      </c>
      <c r="I11" s="70" t="s">
        <v>52</v>
      </c>
      <c r="J11" s="70" t="s">
        <v>52</v>
      </c>
      <c r="K11" s="70" t="s">
        <v>40</v>
      </c>
      <c r="L11" s="135"/>
      <c r="M11" s="45" t="s">
        <v>1618</v>
      </c>
      <c r="N11" s="39" t="s">
        <v>1605</v>
      </c>
      <c r="O11" s="39">
        <v>0</v>
      </c>
      <c r="P11" s="39">
        <v>0</v>
      </c>
      <c r="Q11" s="39">
        <v>0</v>
      </c>
      <c r="R11" s="39">
        <v>0</v>
      </c>
      <c r="S11" s="39">
        <v>0</v>
      </c>
      <c r="T11" s="39">
        <v>0</v>
      </c>
      <c r="U11" s="39">
        <v>0</v>
      </c>
      <c r="V11" s="39">
        <v>0</v>
      </c>
      <c r="W11" s="39">
        <v>89125</v>
      </c>
      <c r="X11" s="39">
        <v>86141</v>
      </c>
      <c r="Y11" s="39">
        <v>3118306</v>
      </c>
      <c r="Z11" s="39" t="s">
        <v>132</v>
      </c>
      <c r="AA11" s="39" t="s">
        <v>133</v>
      </c>
      <c r="AB11" s="39">
        <v>84825</v>
      </c>
      <c r="AC11" s="39">
        <v>74054</v>
      </c>
      <c r="AD11" s="39" t="s">
        <v>166</v>
      </c>
      <c r="AE11" s="39" t="s">
        <v>167</v>
      </c>
      <c r="AF11" s="136">
        <v>43945</v>
      </c>
      <c r="AG11" s="39" t="s">
        <v>168</v>
      </c>
      <c r="AH11" s="39">
        <v>40437730</v>
      </c>
      <c r="AI11" s="39">
        <v>20404377303</v>
      </c>
      <c r="AJ11" s="46">
        <v>43437</v>
      </c>
      <c r="AK11" s="46">
        <v>43437</v>
      </c>
      <c r="AL11" s="47">
        <v>43448</v>
      </c>
      <c r="AM11" s="39">
        <v>626</v>
      </c>
      <c r="AN11" s="137" t="s">
        <v>114</v>
      </c>
      <c r="AO11" s="141">
        <v>89932</v>
      </c>
      <c r="AP11" s="139" t="s">
        <v>115</v>
      </c>
      <c r="AQ11" s="142" t="s">
        <v>1607</v>
      </c>
    </row>
    <row r="12" spans="1:43" ht="15" customHeight="1" x14ac:dyDescent="0.25">
      <c r="A12" s="44" t="s">
        <v>74</v>
      </c>
      <c r="B12" s="39" t="s">
        <v>72</v>
      </c>
      <c r="C12" s="39" t="s">
        <v>169</v>
      </c>
      <c r="D12" s="39" t="s">
        <v>170</v>
      </c>
      <c r="E12" s="39" t="s">
        <v>40</v>
      </c>
      <c r="F12" s="39" t="s">
        <v>131</v>
      </c>
      <c r="G12" s="39" t="s">
        <v>131</v>
      </c>
      <c r="H12" s="39" t="s">
        <v>131</v>
      </c>
      <c r="I12" s="39" t="s">
        <v>131</v>
      </c>
      <c r="J12" s="39" t="s">
        <v>131</v>
      </c>
      <c r="K12" s="39" t="s">
        <v>40</v>
      </c>
      <c r="L12" s="135"/>
      <c r="M12" s="45"/>
      <c r="N12" s="39" t="s">
        <v>1605</v>
      </c>
      <c r="O12" s="39">
        <v>0</v>
      </c>
      <c r="P12" s="39">
        <v>6</v>
      </c>
      <c r="Q12" s="39">
        <v>6</v>
      </c>
      <c r="R12" s="39">
        <v>6</v>
      </c>
      <c r="S12" s="39">
        <v>6</v>
      </c>
      <c r="T12" s="39">
        <v>6</v>
      </c>
      <c r="U12" s="39">
        <v>0</v>
      </c>
      <c r="V12" s="39">
        <v>30</v>
      </c>
      <c r="W12" s="39">
        <v>89053</v>
      </c>
      <c r="X12" s="39">
        <v>82401</v>
      </c>
      <c r="Y12" s="39">
        <v>1063468</v>
      </c>
      <c r="Z12" s="39" t="s">
        <v>109</v>
      </c>
      <c r="AA12" s="39" t="s">
        <v>109</v>
      </c>
      <c r="AB12" s="39">
        <v>84825</v>
      </c>
      <c r="AC12" s="39">
        <v>74054</v>
      </c>
      <c r="AD12" s="39" t="s">
        <v>171</v>
      </c>
      <c r="AE12" s="39" t="s">
        <v>172</v>
      </c>
      <c r="AF12" s="136">
        <v>43945</v>
      </c>
      <c r="AG12" s="39" t="s">
        <v>173</v>
      </c>
      <c r="AH12" s="39">
        <v>37311904</v>
      </c>
      <c r="AI12" s="39">
        <v>27373119046</v>
      </c>
      <c r="AJ12" s="46">
        <v>42625</v>
      </c>
      <c r="AK12" s="46">
        <v>43327</v>
      </c>
      <c r="AL12" s="47">
        <v>43328</v>
      </c>
      <c r="AM12" s="39">
        <v>1427</v>
      </c>
      <c r="AN12" s="137" t="s">
        <v>114</v>
      </c>
      <c r="AO12" s="141">
        <v>89933</v>
      </c>
      <c r="AP12" s="139" t="s">
        <v>115</v>
      </c>
      <c r="AQ12" s="142" t="s">
        <v>1607</v>
      </c>
    </row>
    <row r="13" spans="1:43" ht="15" customHeight="1" x14ac:dyDescent="0.25">
      <c r="A13" s="44" t="s">
        <v>74</v>
      </c>
      <c r="B13" s="39" t="s">
        <v>72</v>
      </c>
      <c r="C13" s="39" t="s">
        <v>174</v>
      </c>
      <c r="D13" s="39" t="s">
        <v>175</v>
      </c>
      <c r="E13" s="39" t="s">
        <v>40</v>
      </c>
      <c r="F13" s="39" t="s">
        <v>131</v>
      </c>
      <c r="G13" s="39" t="s">
        <v>131</v>
      </c>
      <c r="H13" s="39" t="s">
        <v>131</v>
      </c>
      <c r="I13" s="39" t="s">
        <v>131</v>
      </c>
      <c r="J13" s="39" t="s">
        <v>131</v>
      </c>
      <c r="K13" s="39" t="s">
        <v>40</v>
      </c>
      <c r="L13" s="135"/>
      <c r="M13" s="45"/>
      <c r="N13" s="39" t="s">
        <v>1605</v>
      </c>
      <c r="O13" s="39">
        <v>0</v>
      </c>
      <c r="P13" s="39">
        <v>6</v>
      </c>
      <c r="Q13" s="39">
        <v>6</v>
      </c>
      <c r="R13" s="39">
        <v>6</v>
      </c>
      <c r="S13" s="39">
        <v>6</v>
      </c>
      <c r="T13" s="39">
        <v>6</v>
      </c>
      <c r="U13" s="39">
        <v>0</v>
      </c>
      <c r="V13" s="39">
        <v>30</v>
      </c>
      <c r="W13" s="39">
        <v>89164</v>
      </c>
      <c r="X13" s="39">
        <v>86296</v>
      </c>
      <c r="Y13" s="39">
        <v>3133293</v>
      </c>
      <c r="Z13" s="39" t="s">
        <v>139</v>
      </c>
      <c r="AA13" s="39" t="s">
        <v>176</v>
      </c>
      <c r="AB13" s="39">
        <v>84825</v>
      </c>
      <c r="AC13" s="39">
        <v>74054</v>
      </c>
      <c r="AD13" s="39" t="s">
        <v>177</v>
      </c>
      <c r="AE13" s="39" t="s">
        <v>178</v>
      </c>
      <c r="AF13" s="136">
        <v>43916</v>
      </c>
      <c r="AG13" s="39" t="s">
        <v>179</v>
      </c>
      <c r="AH13" s="39">
        <v>42221286</v>
      </c>
      <c r="AI13" s="39">
        <v>20422212869</v>
      </c>
      <c r="AJ13" s="46">
        <v>43451</v>
      </c>
      <c r="AK13" s="46">
        <v>43451</v>
      </c>
      <c r="AL13" s="47">
        <v>43467</v>
      </c>
      <c r="AM13" s="39">
        <v>612</v>
      </c>
      <c r="AN13" s="137" t="s">
        <v>114</v>
      </c>
      <c r="AO13" s="141">
        <v>89934</v>
      </c>
      <c r="AP13" s="139" t="s">
        <v>115</v>
      </c>
      <c r="AQ13" s="142" t="s">
        <v>1607</v>
      </c>
    </row>
    <row r="14" spans="1:43" ht="15" customHeight="1" x14ac:dyDescent="0.25">
      <c r="A14" s="44" t="s">
        <v>74</v>
      </c>
      <c r="B14" s="39" t="s">
        <v>72</v>
      </c>
      <c r="C14" s="39" t="s">
        <v>180</v>
      </c>
      <c r="D14" s="39" t="s">
        <v>181</v>
      </c>
      <c r="E14" s="39" t="s">
        <v>40</v>
      </c>
      <c r="F14" s="39" t="s">
        <v>131</v>
      </c>
      <c r="G14" s="39" t="s">
        <v>131</v>
      </c>
      <c r="H14" s="39" t="s">
        <v>131</v>
      </c>
      <c r="I14" s="39" t="s">
        <v>131</v>
      </c>
      <c r="J14" s="39" t="s">
        <v>131</v>
      </c>
      <c r="K14" s="39" t="s">
        <v>40</v>
      </c>
      <c r="L14" s="135"/>
      <c r="M14" s="45"/>
      <c r="N14" s="39" t="s">
        <v>1605</v>
      </c>
      <c r="O14" s="39">
        <v>0</v>
      </c>
      <c r="P14" s="39">
        <v>6</v>
      </c>
      <c r="Q14" s="39">
        <v>6</v>
      </c>
      <c r="R14" s="39">
        <v>6</v>
      </c>
      <c r="S14" s="39">
        <v>6</v>
      </c>
      <c r="T14" s="39">
        <v>6</v>
      </c>
      <c r="U14" s="39">
        <v>0</v>
      </c>
      <c r="V14" s="39">
        <v>30</v>
      </c>
      <c r="W14" s="39">
        <v>89027</v>
      </c>
      <c r="X14" s="39">
        <v>85614</v>
      </c>
      <c r="Y14" s="39">
        <v>2873639</v>
      </c>
      <c r="Z14" s="39" t="s">
        <v>132</v>
      </c>
      <c r="AA14" s="39" t="s">
        <v>182</v>
      </c>
      <c r="AB14" s="39">
        <v>84825</v>
      </c>
      <c r="AC14" s="39">
        <v>74054</v>
      </c>
      <c r="AD14" s="39" t="s">
        <v>183</v>
      </c>
      <c r="AE14" s="39" t="s">
        <v>184</v>
      </c>
      <c r="AF14" s="136">
        <v>43917</v>
      </c>
      <c r="AG14" s="39" t="s">
        <v>185</v>
      </c>
      <c r="AH14" s="39">
        <v>38115785</v>
      </c>
      <c r="AI14" s="39">
        <v>27381157852</v>
      </c>
      <c r="AJ14" s="46">
        <v>43227</v>
      </c>
      <c r="AK14" s="46">
        <v>43259</v>
      </c>
      <c r="AL14" s="47">
        <v>43262</v>
      </c>
      <c r="AM14" s="39">
        <v>832</v>
      </c>
      <c r="AN14" s="137" t="s">
        <v>114</v>
      </c>
      <c r="AO14" s="141">
        <v>89935</v>
      </c>
      <c r="AP14" s="139" t="s">
        <v>115</v>
      </c>
      <c r="AQ14" s="142" t="s">
        <v>1607</v>
      </c>
    </row>
    <row r="15" spans="1:43" ht="15" customHeight="1" x14ac:dyDescent="0.25">
      <c r="A15" s="44" t="s">
        <v>74</v>
      </c>
      <c r="B15" s="39" t="s">
        <v>72</v>
      </c>
      <c r="C15" s="39" t="s">
        <v>186</v>
      </c>
      <c r="D15" s="39" t="s">
        <v>187</v>
      </c>
      <c r="E15" s="39" t="s">
        <v>40</v>
      </c>
      <c r="F15" s="39" t="s">
        <v>131</v>
      </c>
      <c r="G15" s="39" t="s">
        <v>131</v>
      </c>
      <c r="H15" s="39" t="s">
        <v>131</v>
      </c>
      <c r="I15" s="39" t="s">
        <v>131</v>
      </c>
      <c r="J15" s="39" t="s">
        <v>131</v>
      </c>
      <c r="K15" s="39" t="s">
        <v>40</v>
      </c>
      <c r="L15" s="135"/>
      <c r="M15" s="45"/>
      <c r="N15" s="39" t="s">
        <v>1605</v>
      </c>
      <c r="O15" s="39">
        <v>0</v>
      </c>
      <c r="P15" s="39">
        <v>6</v>
      </c>
      <c r="Q15" s="39">
        <v>6</v>
      </c>
      <c r="R15" s="39">
        <v>6</v>
      </c>
      <c r="S15" s="39">
        <v>6</v>
      </c>
      <c r="T15" s="39">
        <v>6</v>
      </c>
      <c r="U15" s="39">
        <v>0</v>
      </c>
      <c r="V15" s="39">
        <v>30</v>
      </c>
      <c r="W15" s="39">
        <v>89024</v>
      </c>
      <c r="X15" s="39">
        <v>85621</v>
      </c>
      <c r="Y15" s="39">
        <v>2873911</v>
      </c>
      <c r="Z15" s="39" t="s">
        <v>132</v>
      </c>
      <c r="AA15" s="39" t="s">
        <v>188</v>
      </c>
      <c r="AB15" s="39">
        <v>84825</v>
      </c>
      <c r="AC15" s="39">
        <v>74054</v>
      </c>
      <c r="AD15" s="39" t="s">
        <v>189</v>
      </c>
      <c r="AE15" s="39" t="s">
        <v>190</v>
      </c>
      <c r="AF15" s="136">
        <v>43916</v>
      </c>
      <c r="AG15" s="39" t="s">
        <v>191</v>
      </c>
      <c r="AH15" s="39">
        <v>38185380</v>
      </c>
      <c r="AI15" s="39">
        <v>20381853803</v>
      </c>
      <c r="AJ15" s="46">
        <v>43227</v>
      </c>
      <c r="AK15" s="46">
        <v>43259</v>
      </c>
      <c r="AL15" s="47">
        <v>43262</v>
      </c>
      <c r="AM15" s="39">
        <v>832</v>
      </c>
      <c r="AN15" s="137" t="s">
        <v>114</v>
      </c>
      <c r="AO15" s="141">
        <v>89937</v>
      </c>
      <c r="AP15" s="139" t="s">
        <v>115</v>
      </c>
      <c r="AQ15" s="142" t="s">
        <v>1607</v>
      </c>
    </row>
    <row r="16" spans="1:43" ht="15" customHeight="1" x14ac:dyDescent="0.25">
      <c r="A16" s="44" t="s">
        <v>74</v>
      </c>
      <c r="B16" s="39" t="s">
        <v>72</v>
      </c>
      <c r="C16" s="39" t="s">
        <v>192</v>
      </c>
      <c r="D16" s="39" t="s">
        <v>193</v>
      </c>
      <c r="E16" s="39" t="s">
        <v>40</v>
      </c>
      <c r="F16" s="39" t="s">
        <v>131</v>
      </c>
      <c r="G16" s="39" t="s">
        <v>131</v>
      </c>
      <c r="H16" s="39" t="s">
        <v>131</v>
      </c>
      <c r="I16" s="39" t="s">
        <v>131</v>
      </c>
      <c r="J16" s="39" t="s">
        <v>131</v>
      </c>
      <c r="K16" s="39" t="s">
        <v>40</v>
      </c>
      <c r="L16" s="135"/>
      <c r="M16" s="45"/>
      <c r="N16" s="39" t="s">
        <v>1605</v>
      </c>
      <c r="O16" s="39">
        <v>0</v>
      </c>
      <c r="P16" s="39">
        <v>6</v>
      </c>
      <c r="Q16" s="39">
        <v>6</v>
      </c>
      <c r="R16" s="39">
        <v>6</v>
      </c>
      <c r="S16" s="39">
        <v>6</v>
      </c>
      <c r="T16" s="39">
        <v>6</v>
      </c>
      <c r="U16" s="39">
        <v>0</v>
      </c>
      <c r="V16" s="39">
        <v>30</v>
      </c>
      <c r="W16" s="39">
        <v>89059</v>
      </c>
      <c r="X16" s="39">
        <v>85474</v>
      </c>
      <c r="Y16" s="39">
        <v>2832262</v>
      </c>
      <c r="Z16" s="39" t="s">
        <v>139</v>
      </c>
      <c r="AA16" s="39" t="s">
        <v>194</v>
      </c>
      <c r="AB16" s="39">
        <v>84825</v>
      </c>
      <c r="AC16" s="39">
        <v>74054</v>
      </c>
      <c r="AD16" s="39" t="s">
        <v>195</v>
      </c>
      <c r="AE16" s="39" t="s">
        <v>196</v>
      </c>
      <c r="AF16" s="136">
        <v>43910</v>
      </c>
      <c r="AG16" s="39" t="s">
        <v>197</v>
      </c>
      <c r="AH16" s="39">
        <v>40696111</v>
      </c>
      <c r="AI16" s="39">
        <v>27406961112</v>
      </c>
      <c r="AJ16" s="46">
        <v>43193</v>
      </c>
      <c r="AK16" s="46">
        <v>43327</v>
      </c>
      <c r="AL16" s="47">
        <v>43328</v>
      </c>
      <c r="AM16" s="39">
        <v>866</v>
      </c>
      <c r="AN16" s="137" t="s">
        <v>114</v>
      </c>
      <c r="AO16" s="141">
        <v>89939</v>
      </c>
      <c r="AP16" s="139" t="s">
        <v>115</v>
      </c>
      <c r="AQ16" s="142" t="s">
        <v>1607</v>
      </c>
    </row>
    <row r="17" spans="1:43" ht="15" customHeight="1" x14ac:dyDescent="0.25">
      <c r="A17" s="44" t="s">
        <v>74</v>
      </c>
      <c r="B17" s="39" t="s">
        <v>75</v>
      </c>
      <c r="C17" s="39" t="s">
        <v>198</v>
      </c>
      <c r="D17" s="39" t="s">
        <v>199</v>
      </c>
      <c r="E17" s="39" t="s">
        <v>40</v>
      </c>
      <c r="F17" s="39" t="s">
        <v>131</v>
      </c>
      <c r="G17" s="39" t="s">
        <v>131</v>
      </c>
      <c r="H17" s="39" t="s">
        <v>131</v>
      </c>
      <c r="I17" s="39" t="s">
        <v>131</v>
      </c>
      <c r="J17" s="39" t="s">
        <v>131</v>
      </c>
      <c r="K17" s="39" t="s">
        <v>40</v>
      </c>
      <c r="L17" s="135"/>
      <c r="M17" s="45"/>
      <c r="N17" s="39" t="s">
        <v>1605</v>
      </c>
      <c r="O17" s="39">
        <v>0</v>
      </c>
      <c r="P17" s="39">
        <v>6</v>
      </c>
      <c r="Q17" s="39">
        <v>6</v>
      </c>
      <c r="R17" s="39">
        <v>6</v>
      </c>
      <c r="S17" s="39">
        <v>6</v>
      </c>
      <c r="T17" s="39">
        <v>6</v>
      </c>
      <c r="U17" s="39">
        <v>0</v>
      </c>
      <c r="V17" s="39">
        <v>30</v>
      </c>
      <c r="W17" s="39">
        <v>89313</v>
      </c>
      <c r="X17" s="39">
        <v>88174</v>
      </c>
      <c r="Y17" s="39">
        <v>3624184</v>
      </c>
      <c r="Z17" s="39" t="s">
        <v>109</v>
      </c>
      <c r="AA17" s="39" t="s">
        <v>109</v>
      </c>
      <c r="AB17" s="39" t="e">
        <v>#N/A</v>
      </c>
      <c r="AC17" s="39">
        <v>74054</v>
      </c>
      <c r="AD17" s="39" t="s">
        <v>200</v>
      </c>
      <c r="AE17" s="39" t="s">
        <v>201</v>
      </c>
      <c r="AF17" s="136">
        <v>43917</v>
      </c>
      <c r="AG17" s="39"/>
      <c r="AH17" s="39">
        <v>42007693</v>
      </c>
      <c r="AI17" s="39">
        <v>20420076933</v>
      </c>
      <c r="AJ17" s="46">
        <v>43808</v>
      </c>
      <c r="AK17" s="46">
        <v>43808</v>
      </c>
      <c r="AL17" s="47">
        <v>43831</v>
      </c>
      <c r="AM17" s="39">
        <v>260</v>
      </c>
      <c r="AN17" s="137" t="s">
        <v>114</v>
      </c>
      <c r="AO17" s="141">
        <v>89871</v>
      </c>
      <c r="AP17" s="139" t="s">
        <v>115</v>
      </c>
      <c r="AQ17" s="142" t="s">
        <v>1607</v>
      </c>
    </row>
    <row r="18" spans="1:43" ht="15" customHeight="1" x14ac:dyDescent="0.25">
      <c r="A18" s="44" t="s">
        <v>74</v>
      </c>
      <c r="B18" s="39" t="s">
        <v>75</v>
      </c>
      <c r="C18" s="39" t="s">
        <v>202</v>
      </c>
      <c r="D18" s="39" t="s">
        <v>203</v>
      </c>
      <c r="E18" s="39" t="s">
        <v>40</v>
      </c>
      <c r="F18" s="39" t="s">
        <v>131</v>
      </c>
      <c r="G18" s="39" t="s">
        <v>131</v>
      </c>
      <c r="H18" s="39" t="s">
        <v>131</v>
      </c>
      <c r="I18" s="39" t="s">
        <v>131</v>
      </c>
      <c r="J18" s="39" t="s">
        <v>131</v>
      </c>
      <c r="K18" s="39" t="s">
        <v>40</v>
      </c>
      <c r="L18" s="135"/>
      <c r="M18" s="45"/>
      <c r="N18" s="39" t="s">
        <v>1605</v>
      </c>
      <c r="O18" s="39">
        <v>0</v>
      </c>
      <c r="P18" s="39">
        <v>6</v>
      </c>
      <c r="Q18" s="39">
        <v>6</v>
      </c>
      <c r="R18" s="39">
        <v>6</v>
      </c>
      <c r="S18" s="39">
        <v>6</v>
      </c>
      <c r="T18" s="39">
        <v>6</v>
      </c>
      <c r="U18" s="39">
        <v>0</v>
      </c>
      <c r="V18" s="39">
        <v>30</v>
      </c>
      <c r="W18" s="39">
        <v>89057</v>
      </c>
      <c r="X18" s="39">
        <v>83603</v>
      </c>
      <c r="Y18" s="39">
        <v>2523112</v>
      </c>
      <c r="Z18" s="39" t="s">
        <v>109</v>
      </c>
      <c r="AA18" s="39" t="s">
        <v>110</v>
      </c>
      <c r="AB18" s="39" t="e">
        <v>#N/A</v>
      </c>
      <c r="AC18" s="39">
        <v>74054</v>
      </c>
      <c r="AD18" s="39" t="s">
        <v>204</v>
      </c>
      <c r="AE18" s="39" t="s">
        <v>205</v>
      </c>
      <c r="AF18" s="136">
        <v>43917</v>
      </c>
      <c r="AG18" s="39" t="s">
        <v>206</v>
      </c>
      <c r="AH18" s="39">
        <v>39145406</v>
      </c>
      <c r="AI18" s="39">
        <v>27391454065</v>
      </c>
      <c r="AJ18" s="46">
        <v>42891</v>
      </c>
      <c r="AK18" s="46">
        <v>43327</v>
      </c>
      <c r="AL18" s="47">
        <v>43328</v>
      </c>
      <c r="AM18" s="39">
        <v>1164</v>
      </c>
      <c r="AN18" s="137" t="s">
        <v>114</v>
      </c>
      <c r="AO18" s="141">
        <v>89940</v>
      </c>
      <c r="AP18" s="139" t="s">
        <v>115</v>
      </c>
      <c r="AQ18" s="142" t="s">
        <v>1607</v>
      </c>
    </row>
    <row r="19" spans="1:43" ht="15" customHeight="1" x14ac:dyDescent="0.25">
      <c r="A19" s="44" t="s">
        <v>74</v>
      </c>
      <c r="B19" s="39" t="s">
        <v>75</v>
      </c>
      <c r="C19" s="39" t="s">
        <v>207</v>
      </c>
      <c r="D19" s="39" t="s">
        <v>208</v>
      </c>
      <c r="E19" s="39" t="s">
        <v>40</v>
      </c>
      <c r="F19" s="39" t="s">
        <v>131</v>
      </c>
      <c r="G19" s="39" t="s">
        <v>131</v>
      </c>
      <c r="H19" s="39" t="s">
        <v>131</v>
      </c>
      <c r="I19" s="39" t="s">
        <v>131</v>
      </c>
      <c r="J19" s="39" t="s">
        <v>131</v>
      </c>
      <c r="K19" s="39" t="s">
        <v>40</v>
      </c>
      <c r="L19" s="135"/>
      <c r="M19" s="45"/>
      <c r="N19" s="39" t="s">
        <v>1605</v>
      </c>
      <c r="O19" s="39">
        <v>0</v>
      </c>
      <c r="P19" s="39">
        <v>6</v>
      </c>
      <c r="Q19" s="39">
        <v>6</v>
      </c>
      <c r="R19" s="39">
        <v>6</v>
      </c>
      <c r="S19" s="39">
        <v>6</v>
      </c>
      <c r="T19" s="39">
        <v>6</v>
      </c>
      <c r="U19" s="39">
        <v>0</v>
      </c>
      <c r="V19" s="39">
        <v>30</v>
      </c>
      <c r="W19" s="143">
        <v>89225</v>
      </c>
      <c r="X19" s="39">
        <v>87316</v>
      </c>
      <c r="Y19" s="39">
        <v>1100247</v>
      </c>
      <c r="Z19" s="39" t="s">
        <v>132</v>
      </c>
      <c r="AA19" s="39" t="s">
        <v>182</v>
      </c>
      <c r="AB19" s="39" t="e">
        <v>#N/A</v>
      </c>
      <c r="AC19" s="39">
        <v>74054</v>
      </c>
      <c r="AD19" s="39" t="s">
        <v>209</v>
      </c>
      <c r="AE19" s="145" t="s">
        <v>210</v>
      </c>
      <c r="AF19" s="136">
        <v>43916</v>
      </c>
      <c r="AG19" s="39">
        <v>3814637258</v>
      </c>
      <c r="AH19" s="39">
        <v>35921500</v>
      </c>
      <c r="AI19" s="39">
        <v>27359215008</v>
      </c>
      <c r="AJ19" s="46">
        <v>43703</v>
      </c>
      <c r="AK19" s="46">
        <v>43703</v>
      </c>
      <c r="AL19" s="47">
        <v>43713</v>
      </c>
      <c r="AM19" s="39">
        <v>363</v>
      </c>
      <c r="AN19" s="137" t="s">
        <v>114</v>
      </c>
      <c r="AO19" s="141">
        <v>89941</v>
      </c>
      <c r="AP19" s="139" t="s">
        <v>115</v>
      </c>
      <c r="AQ19" s="142" t="s">
        <v>1607</v>
      </c>
    </row>
    <row r="20" spans="1:43" ht="15" customHeight="1" x14ac:dyDescent="0.25">
      <c r="A20" s="44" t="s">
        <v>74</v>
      </c>
      <c r="B20" s="39" t="s">
        <v>75</v>
      </c>
      <c r="C20" s="39" t="s">
        <v>211</v>
      </c>
      <c r="D20" s="39" t="s">
        <v>212</v>
      </c>
      <c r="E20" s="39" t="s">
        <v>40</v>
      </c>
      <c r="F20" s="39" t="s">
        <v>131</v>
      </c>
      <c r="G20" s="39" t="s">
        <v>131</v>
      </c>
      <c r="H20" s="39" t="s">
        <v>131</v>
      </c>
      <c r="I20" s="39" t="s">
        <v>131</v>
      </c>
      <c r="J20" s="39" t="s">
        <v>131</v>
      </c>
      <c r="K20" s="39" t="s">
        <v>40</v>
      </c>
      <c r="L20" s="135"/>
      <c r="M20" s="45"/>
      <c r="N20" s="39" t="s">
        <v>1605</v>
      </c>
      <c r="O20" s="39">
        <v>0</v>
      </c>
      <c r="P20" s="39">
        <v>6</v>
      </c>
      <c r="Q20" s="39">
        <v>6</v>
      </c>
      <c r="R20" s="39">
        <v>6</v>
      </c>
      <c r="S20" s="39">
        <v>6</v>
      </c>
      <c r="T20" s="39">
        <v>6</v>
      </c>
      <c r="U20" s="39">
        <v>0</v>
      </c>
      <c r="V20" s="39">
        <v>30</v>
      </c>
      <c r="W20" s="143">
        <v>89236</v>
      </c>
      <c r="X20" s="39">
        <v>87308</v>
      </c>
      <c r="Y20" s="39">
        <v>3462509</v>
      </c>
      <c r="Z20" s="39" t="s">
        <v>132</v>
      </c>
      <c r="AA20" s="39" t="s">
        <v>133</v>
      </c>
      <c r="AB20" s="39" t="e">
        <v>#N/A</v>
      </c>
      <c r="AC20" s="39">
        <v>74054</v>
      </c>
      <c r="AD20" s="39" t="s">
        <v>213</v>
      </c>
      <c r="AE20" s="39" t="s">
        <v>214</v>
      </c>
      <c r="AF20" s="136">
        <v>43915</v>
      </c>
      <c r="AG20" s="39">
        <v>3814742874</v>
      </c>
      <c r="AH20" s="39">
        <v>41650790</v>
      </c>
      <c r="AI20" s="39">
        <v>20416507903</v>
      </c>
      <c r="AJ20" s="46">
        <v>43703</v>
      </c>
      <c r="AK20" s="46">
        <v>43703</v>
      </c>
      <c r="AL20" s="47">
        <v>43713</v>
      </c>
      <c r="AM20" s="39">
        <v>363</v>
      </c>
      <c r="AN20" s="137" t="s">
        <v>114</v>
      </c>
      <c r="AO20" s="141">
        <v>89944</v>
      </c>
      <c r="AP20" s="139" t="s">
        <v>115</v>
      </c>
      <c r="AQ20" s="142" t="s">
        <v>1607</v>
      </c>
    </row>
    <row r="21" spans="1:43" ht="15" customHeight="1" x14ac:dyDescent="0.25">
      <c r="A21" s="44" t="s">
        <v>74</v>
      </c>
      <c r="B21" s="39" t="s">
        <v>75</v>
      </c>
      <c r="C21" s="39" t="s">
        <v>215</v>
      </c>
      <c r="D21" s="39" t="s">
        <v>216</v>
      </c>
      <c r="E21" s="39" t="s">
        <v>40</v>
      </c>
      <c r="F21" s="39" t="s">
        <v>131</v>
      </c>
      <c r="G21" s="39" t="s">
        <v>131</v>
      </c>
      <c r="H21" s="39" t="s">
        <v>131</v>
      </c>
      <c r="I21" s="39" t="s">
        <v>131</v>
      </c>
      <c r="J21" s="39" t="s">
        <v>131</v>
      </c>
      <c r="K21" s="39" t="s">
        <v>40</v>
      </c>
      <c r="L21" s="135"/>
      <c r="M21" s="45"/>
      <c r="N21" s="39" t="s">
        <v>1605</v>
      </c>
      <c r="O21" s="39">
        <v>0</v>
      </c>
      <c r="P21" s="39">
        <v>6</v>
      </c>
      <c r="Q21" s="39">
        <v>6</v>
      </c>
      <c r="R21" s="39">
        <v>6</v>
      </c>
      <c r="S21" s="39">
        <v>6</v>
      </c>
      <c r="T21" s="39">
        <v>6</v>
      </c>
      <c r="U21" s="39">
        <v>0</v>
      </c>
      <c r="V21" s="39">
        <v>30</v>
      </c>
      <c r="W21" s="39">
        <v>89104</v>
      </c>
      <c r="X21" s="39">
        <v>85278</v>
      </c>
      <c r="Y21" s="39">
        <v>2803851</v>
      </c>
      <c r="Z21" s="39" t="s">
        <v>132</v>
      </c>
      <c r="AA21" s="39" t="s">
        <v>133</v>
      </c>
      <c r="AB21" s="39" t="e">
        <v>#N/A</v>
      </c>
      <c r="AC21" s="39">
        <v>74054</v>
      </c>
      <c r="AD21" s="39" t="s">
        <v>217</v>
      </c>
      <c r="AE21" s="39" t="s">
        <v>218</v>
      </c>
      <c r="AF21" s="136">
        <v>43910</v>
      </c>
      <c r="AG21" s="39">
        <v>3816509596</v>
      </c>
      <c r="AH21" s="39">
        <v>37457052</v>
      </c>
      <c r="AI21" s="39">
        <v>20374570529</v>
      </c>
      <c r="AJ21" s="46">
        <v>43164</v>
      </c>
      <c r="AK21" s="46">
        <v>43409</v>
      </c>
      <c r="AL21" s="47">
        <v>43423</v>
      </c>
      <c r="AM21" s="39">
        <v>894</v>
      </c>
      <c r="AN21" s="137" t="s">
        <v>114</v>
      </c>
      <c r="AO21" s="141">
        <v>89945</v>
      </c>
      <c r="AP21" s="139" t="s">
        <v>115</v>
      </c>
      <c r="AQ21" s="142" t="s">
        <v>1607</v>
      </c>
    </row>
    <row r="22" spans="1:43" ht="15" customHeight="1" x14ac:dyDescent="0.25">
      <c r="A22" s="44" t="s">
        <v>74</v>
      </c>
      <c r="B22" s="39" t="s">
        <v>75</v>
      </c>
      <c r="C22" s="39" t="s">
        <v>219</v>
      </c>
      <c r="D22" s="39" t="s">
        <v>220</v>
      </c>
      <c r="E22" s="39" t="s">
        <v>40</v>
      </c>
      <c r="F22" s="39" t="s">
        <v>108</v>
      </c>
      <c r="G22" s="39" t="s">
        <v>108</v>
      </c>
      <c r="H22" s="39" t="s">
        <v>108</v>
      </c>
      <c r="I22" s="39" t="s">
        <v>108</v>
      </c>
      <c r="J22" s="39" t="s">
        <v>108</v>
      </c>
      <c r="K22" s="39" t="s">
        <v>40</v>
      </c>
      <c r="L22" s="135"/>
      <c r="M22" s="45"/>
      <c r="N22" s="39" t="s">
        <v>1605</v>
      </c>
      <c r="O22" s="39">
        <v>0</v>
      </c>
      <c r="P22" s="39">
        <v>5.0000000000000009</v>
      </c>
      <c r="Q22" s="39">
        <v>5.0000000000000009</v>
      </c>
      <c r="R22" s="39">
        <v>5.0000000000000009</v>
      </c>
      <c r="S22" s="39">
        <v>5.0000000000000009</v>
      </c>
      <c r="T22" s="39">
        <v>5.0000000000000009</v>
      </c>
      <c r="U22" s="39">
        <v>0</v>
      </c>
      <c r="V22" s="39">
        <v>25.000000000000004</v>
      </c>
      <c r="W22" s="39">
        <v>89207</v>
      </c>
      <c r="X22" s="39">
        <v>87045</v>
      </c>
      <c r="Y22" s="39">
        <v>3409666</v>
      </c>
      <c r="Z22" s="39" t="s">
        <v>109</v>
      </c>
      <c r="AA22" s="39" t="s">
        <v>110</v>
      </c>
      <c r="AB22" s="39" t="e">
        <v>#N/A</v>
      </c>
      <c r="AC22" s="39">
        <v>74054</v>
      </c>
      <c r="AD22" s="39" t="s">
        <v>221</v>
      </c>
      <c r="AE22" s="39" t="s">
        <v>222</v>
      </c>
      <c r="AF22" s="136">
        <v>43916</v>
      </c>
      <c r="AG22" s="39" t="s">
        <v>223</v>
      </c>
      <c r="AH22" s="39">
        <v>35192091</v>
      </c>
      <c r="AI22" s="39" t="s">
        <v>224</v>
      </c>
      <c r="AJ22" s="46">
        <v>43668</v>
      </c>
      <c r="AK22" s="46">
        <v>43669</v>
      </c>
      <c r="AL22" s="47">
        <v>43678</v>
      </c>
      <c r="AM22" s="39">
        <v>397</v>
      </c>
      <c r="AN22" s="137" t="s">
        <v>114</v>
      </c>
      <c r="AO22" s="141">
        <v>89887</v>
      </c>
      <c r="AP22" s="139" t="s">
        <v>115</v>
      </c>
      <c r="AQ22" s="142" t="s">
        <v>1606</v>
      </c>
    </row>
    <row r="23" spans="1:43" ht="15" customHeight="1" x14ac:dyDescent="0.25">
      <c r="A23" s="44" t="s">
        <v>74</v>
      </c>
      <c r="B23" s="39" t="s">
        <v>75</v>
      </c>
      <c r="C23" s="39" t="s">
        <v>225</v>
      </c>
      <c r="D23" s="39" t="s">
        <v>226</v>
      </c>
      <c r="E23" s="39" t="s">
        <v>40</v>
      </c>
      <c r="F23" s="39" t="s">
        <v>227</v>
      </c>
      <c r="G23" s="39" t="s">
        <v>227</v>
      </c>
      <c r="H23" s="39" t="s">
        <v>227</v>
      </c>
      <c r="I23" s="39" t="s">
        <v>227</v>
      </c>
      <c r="J23" s="39" t="s">
        <v>227</v>
      </c>
      <c r="K23" s="39" t="s">
        <v>40</v>
      </c>
      <c r="L23" s="135"/>
      <c r="M23" s="45"/>
      <c r="N23" s="39" t="s">
        <v>1605</v>
      </c>
      <c r="O23" s="39">
        <v>0</v>
      </c>
      <c r="P23" s="39">
        <v>5.0000000000000009</v>
      </c>
      <c r="Q23" s="39">
        <v>5.0000000000000009</v>
      </c>
      <c r="R23" s="39">
        <v>5.0000000000000009</v>
      </c>
      <c r="S23" s="39">
        <v>5.0000000000000009</v>
      </c>
      <c r="T23" s="39">
        <v>5.0000000000000009</v>
      </c>
      <c r="U23" s="39">
        <v>0</v>
      </c>
      <c r="V23" s="39">
        <v>25.000000000000004</v>
      </c>
      <c r="W23" s="39">
        <v>89211</v>
      </c>
      <c r="X23" s="39">
        <v>87057</v>
      </c>
      <c r="Y23" s="39">
        <v>3409641</v>
      </c>
      <c r="Z23" s="39" t="s">
        <v>118</v>
      </c>
      <c r="AA23" s="39" t="s">
        <v>119</v>
      </c>
      <c r="AB23" s="39" t="e">
        <v>#N/A</v>
      </c>
      <c r="AC23" s="39">
        <v>74054</v>
      </c>
      <c r="AD23" s="39" t="s">
        <v>228</v>
      </c>
      <c r="AE23" s="39" t="s">
        <v>229</v>
      </c>
      <c r="AF23" s="136">
        <v>43945</v>
      </c>
      <c r="AG23" s="39" t="s">
        <v>230</v>
      </c>
      <c r="AH23" s="39">
        <v>41495060</v>
      </c>
      <c r="AI23" s="39">
        <v>20414950605</v>
      </c>
      <c r="AJ23" s="46">
        <v>43668</v>
      </c>
      <c r="AK23" s="46">
        <v>43669</v>
      </c>
      <c r="AL23" s="47">
        <v>43678</v>
      </c>
      <c r="AM23" s="39">
        <v>397</v>
      </c>
      <c r="AN23" s="137" t="s">
        <v>114</v>
      </c>
      <c r="AO23" s="141">
        <v>89876</v>
      </c>
      <c r="AP23" s="139" t="s">
        <v>115</v>
      </c>
      <c r="AQ23" s="142" t="s">
        <v>1608</v>
      </c>
    </row>
    <row r="24" spans="1:43" ht="15" customHeight="1" x14ac:dyDescent="0.25">
      <c r="A24" s="44" t="s">
        <v>74</v>
      </c>
      <c r="B24" s="39" t="s">
        <v>75</v>
      </c>
      <c r="C24" s="39" t="s">
        <v>231</v>
      </c>
      <c r="D24" s="39" t="s">
        <v>232</v>
      </c>
      <c r="E24" s="39" t="s">
        <v>40</v>
      </c>
      <c r="F24" s="39" t="s">
        <v>131</v>
      </c>
      <c r="G24" s="39" t="s">
        <v>131</v>
      </c>
      <c r="H24" s="39" t="s">
        <v>131</v>
      </c>
      <c r="I24" s="39" t="s">
        <v>131</v>
      </c>
      <c r="J24" s="39" t="s">
        <v>131</v>
      </c>
      <c r="K24" s="39" t="s">
        <v>40</v>
      </c>
      <c r="L24" s="135"/>
      <c r="M24" s="45"/>
      <c r="N24" s="39" t="s">
        <v>1605</v>
      </c>
      <c r="O24" s="39">
        <v>0</v>
      </c>
      <c r="P24" s="39">
        <v>6</v>
      </c>
      <c r="Q24" s="39">
        <v>6</v>
      </c>
      <c r="R24" s="39">
        <v>6</v>
      </c>
      <c r="S24" s="39">
        <v>6</v>
      </c>
      <c r="T24" s="39">
        <v>6</v>
      </c>
      <c r="U24" s="39">
        <v>0</v>
      </c>
      <c r="V24" s="39">
        <v>30</v>
      </c>
      <c r="W24" s="39">
        <v>89119</v>
      </c>
      <c r="X24" s="39">
        <v>86154</v>
      </c>
      <c r="Y24" s="39">
        <v>3118300</v>
      </c>
      <c r="Z24" s="39" t="s">
        <v>109</v>
      </c>
      <c r="AA24" s="39" t="s">
        <v>109</v>
      </c>
      <c r="AB24" s="39" t="e">
        <v>#N/A</v>
      </c>
      <c r="AC24" s="39">
        <v>74054</v>
      </c>
      <c r="AD24" s="39" t="s">
        <v>233</v>
      </c>
      <c r="AE24" s="39" t="s">
        <v>234</v>
      </c>
      <c r="AF24" s="136">
        <v>43934</v>
      </c>
      <c r="AG24" s="39" t="s">
        <v>235</v>
      </c>
      <c r="AH24" s="39">
        <v>35822667</v>
      </c>
      <c r="AI24" s="39">
        <v>20358226672</v>
      </c>
      <c r="AJ24" s="46">
        <v>43437</v>
      </c>
      <c r="AK24" s="46">
        <v>43437</v>
      </c>
      <c r="AL24" s="47">
        <v>43448</v>
      </c>
      <c r="AM24" s="39">
        <v>626</v>
      </c>
      <c r="AN24" s="137" t="s">
        <v>114</v>
      </c>
      <c r="AO24" s="141">
        <v>89946</v>
      </c>
      <c r="AP24" s="139" t="s">
        <v>115</v>
      </c>
      <c r="AQ24" s="142" t="s">
        <v>1607</v>
      </c>
    </row>
    <row r="25" spans="1:43" ht="15" customHeight="1" x14ac:dyDescent="0.25">
      <c r="A25" s="42" t="s">
        <v>74</v>
      </c>
      <c r="B25" s="41" t="s">
        <v>75</v>
      </c>
      <c r="C25" s="41" t="s">
        <v>236</v>
      </c>
      <c r="D25" s="41" t="s">
        <v>237</v>
      </c>
      <c r="E25" s="41" t="s">
        <v>40</v>
      </c>
      <c r="F25" s="41" t="s">
        <v>52</v>
      </c>
      <c r="G25" s="41" t="s">
        <v>52</v>
      </c>
      <c r="H25" s="41" t="s">
        <v>52</v>
      </c>
      <c r="I25" s="41" t="s">
        <v>131</v>
      </c>
      <c r="J25" s="41" t="s">
        <v>131</v>
      </c>
      <c r="K25" s="41" t="s">
        <v>40</v>
      </c>
      <c r="L25" s="135"/>
      <c r="M25" s="45" t="s">
        <v>1617</v>
      </c>
      <c r="N25" s="39" t="s">
        <v>1605</v>
      </c>
      <c r="O25" s="39">
        <v>0</v>
      </c>
      <c r="P25" s="39">
        <v>0</v>
      </c>
      <c r="Q25" s="39">
        <v>0</v>
      </c>
      <c r="R25" s="39">
        <v>0</v>
      </c>
      <c r="S25" s="39">
        <v>6</v>
      </c>
      <c r="T25" s="39">
        <v>6</v>
      </c>
      <c r="U25" s="39">
        <v>0</v>
      </c>
      <c r="V25" s="39">
        <v>12</v>
      </c>
      <c r="W25" s="39">
        <v>89001</v>
      </c>
      <c r="X25" s="39">
        <v>83911</v>
      </c>
      <c r="Y25" s="39">
        <v>2657668</v>
      </c>
      <c r="Z25" s="39" t="s">
        <v>109</v>
      </c>
      <c r="AA25" s="39" t="s">
        <v>109</v>
      </c>
      <c r="AB25" s="39" t="e">
        <v>#N/A</v>
      </c>
      <c r="AC25" s="39">
        <v>74054</v>
      </c>
      <c r="AD25" s="39" t="s">
        <v>238</v>
      </c>
      <c r="AE25" s="39" t="s">
        <v>239</v>
      </c>
      <c r="AF25" s="136">
        <v>43921</v>
      </c>
      <c r="AG25" s="39" t="s">
        <v>240</v>
      </c>
      <c r="AH25" s="39">
        <v>37455215</v>
      </c>
      <c r="AI25" s="39">
        <v>20374552156</v>
      </c>
      <c r="AJ25" s="46">
        <v>43010</v>
      </c>
      <c r="AK25" s="46">
        <v>43259</v>
      </c>
      <c r="AL25" s="47">
        <v>43262</v>
      </c>
      <c r="AM25" s="39">
        <v>1047</v>
      </c>
      <c r="AN25" s="137" t="s">
        <v>114</v>
      </c>
      <c r="AO25" s="141">
        <v>89947</v>
      </c>
      <c r="AP25" s="139" t="s">
        <v>115</v>
      </c>
      <c r="AQ25" s="142" t="s">
        <v>1607</v>
      </c>
    </row>
    <row r="26" spans="1:43" ht="15" customHeight="1" x14ac:dyDescent="0.25">
      <c r="A26" s="44" t="s">
        <v>74</v>
      </c>
      <c r="B26" s="39" t="s">
        <v>75</v>
      </c>
      <c r="C26" s="39" t="s">
        <v>241</v>
      </c>
      <c r="D26" s="39" t="s">
        <v>242</v>
      </c>
      <c r="E26" s="39" t="s">
        <v>40</v>
      </c>
      <c r="F26" s="39" t="s">
        <v>131</v>
      </c>
      <c r="G26" s="39" t="s">
        <v>131</v>
      </c>
      <c r="H26" s="39" t="s">
        <v>131</v>
      </c>
      <c r="I26" s="39" t="s">
        <v>131</v>
      </c>
      <c r="J26" s="39" t="s">
        <v>131</v>
      </c>
      <c r="K26" s="39" t="s">
        <v>40</v>
      </c>
      <c r="L26" s="135"/>
      <c r="M26" s="45"/>
      <c r="N26" s="39" t="s">
        <v>1605</v>
      </c>
      <c r="O26" s="39">
        <v>0</v>
      </c>
      <c r="P26" s="39">
        <v>6</v>
      </c>
      <c r="Q26" s="39">
        <v>6</v>
      </c>
      <c r="R26" s="39">
        <v>6</v>
      </c>
      <c r="S26" s="39">
        <v>6</v>
      </c>
      <c r="T26" s="39">
        <v>6</v>
      </c>
      <c r="U26" s="39">
        <v>0</v>
      </c>
      <c r="V26" s="39">
        <v>30</v>
      </c>
      <c r="W26" s="143">
        <v>89229</v>
      </c>
      <c r="X26" s="39">
        <v>87310</v>
      </c>
      <c r="Y26" s="39">
        <v>3462512</v>
      </c>
      <c r="Z26" s="39" t="s">
        <v>132</v>
      </c>
      <c r="AA26" s="39" t="s">
        <v>133</v>
      </c>
      <c r="AB26" s="39" t="e">
        <v>#N/A</v>
      </c>
      <c r="AC26" s="39">
        <v>74054</v>
      </c>
      <c r="AD26" s="39" t="s">
        <v>243</v>
      </c>
      <c r="AE26" s="39" t="s">
        <v>244</v>
      </c>
      <c r="AF26" s="136">
        <v>43917</v>
      </c>
      <c r="AG26" s="39">
        <v>3816313769</v>
      </c>
      <c r="AH26" s="39">
        <v>40532665</v>
      </c>
      <c r="AI26" s="39">
        <v>27405326650</v>
      </c>
      <c r="AJ26" s="46">
        <v>43703</v>
      </c>
      <c r="AK26" s="46">
        <v>43703</v>
      </c>
      <c r="AL26" s="47">
        <v>43713</v>
      </c>
      <c r="AM26" s="39">
        <v>363</v>
      </c>
      <c r="AN26" s="137" t="s">
        <v>114</v>
      </c>
      <c r="AO26" s="141">
        <v>89948</v>
      </c>
      <c r="AP26" s="139" t="s">
        <v>115</v>
      </c>
      <c r="AQ26" s="142" t="s">
        <v>1607</v>
      </c>
    </row>
    <row r="27" spans="1:43" ht="15" customHeight="1" x14ac:dyDescent="0.25">
      <c r="A27" s="44" t="s">
        <v>74</v>
      </c>
      <c r="B27" s="39" t="s">
        <v>75</v>
      </c>
      <c r="C27" s="39" t="s">
        <v>245</v>
      </c>
      <c r="D27" s="39" t="s">
        <v>246</v>
      </c>
      <c r="E27" s="39" t="s">
        <v>40</v>
      </c>
      <c r="F27" s="39" t="s">
        <v>131</v>
      </c>
      <c r="G27" s="39" t="s">
        <v>131</v>
      </c>
      <c r="H27" s="39" t="s">
        <v>131</v>
      </c>
      <c r="I27" s="39" t="s">
        <v>131</v>
      </c>
      <c r="J27" s="39" t="s">
        <v>131</v>
      </c>
      <c r="K27" s="39" t="s">
        <v>40</v>
      </c>
      <c r="L27" s="135"/>
      <c r="M27" s="45"/>
      <c r="N27" s="39" t="s">
        <v>1605</v>
      </c>
      <c r="O27" s="39">
        <v>0</v>
      </c>
      <c r="P27" s="39">
        <v>6</v>
      </c>
      <c r="Q27" s="39">
        <v>6</v>
      </c>
      <c r="R27" s="39">
        <v>6</v>
      </c>
      <c r="S27" s="39">
        <v>6</v>
      </c>
      <c r="T27" s="39">
        <v>6</v>
      </c>
      <c r="U27" s="39">
        <v>0</v>
      </c>
      <c r="V27" s="39">
        <v>30</v>
      </c>
      <c r="W27" s="39">
        <v>89056</v>
      </c>
      <c r="X27" s="39">
        <v>85310</v>
      </c>
      <c r="Y27" s="39">
        <v>2811372</v>
      </c>
      <c r="Z27" s="39" t="s">
        <v>247</v>
      </c>
      <c r="AA27" s="39" t="s">
        <v>248</v>
      </c>
      <c r="AB27" s="39" t="e">
        <v>#N/A</v>
      </c>
      <c r="AC27" s="39">
        <v>74054</v>
      </c>
      <c r="AD27" s="39" t="s">
        <v>249</v>
      </c>
      <c r="AE27" s="39" t="s">
        <v>250</v>
      </c>
      <c r="AF27" s="136">
        <v>43917</v>
      </c>
      <c r="AG27" s="39" t="s">
        <v>251</v>
      </c>
      <c r="AH27" s="39">
        <v>36865396</v>
      </c>
      <c r="AI27" s="39">
        <v>27368653964</v>
      </c>
      <c r="AJ27" s="46">
        <v>43171</v>
      </c>
      <c r="AK27" s="46">
        <v>43327</v>
      </c>
      <c r="AL27" s="47">
        <v>43328</v>
      </c>
      <c r="AM27" s="39">
        <v>887</v>
      </c>
      <c r="AN27" s="137" t="s">
        <v>114</v>
      </c>
      <c r="AO27" s="141">
        <v>89949</v>
      </c>
      <c r="AP27" s="139" t="s">
        <v>115</v>
      </c>
      <c r="AQ27" s="142" t="s">
        <v>1607</v>
      </c>
    </row>
    <row r="28" spans="1:43" ht="15" customHeight="1" x14ac:dyDescent="0.25">
      <c r="A28" s="44" t="s">
        <v>74</v>
      </c>
      <c r="B28" s="39" t="s">
        <v>75</v>
      </c>
      <c r="C28" s="39" t="s">
        <v>252</v>
      </c>
      <c r="D28" s="39" t="s">
        <v>253</v>
      </c>
      <c r="E28" s="39" t="s">
        <v>40</v>
      </c>
      <c r="F28" s="39" t="s">
        <v>227</v>
      </c>
      <c r="G28" s="39" t="s">
        <v>227</v>
      </c>
      <c r="H28" s="39" t="s">
        <v>227</v>
      </c>
      <c r="I28" s="39" t="s">
        <v>227</v>
      </c>
      <c r="J28" s="39" t="s">
        <v>227</v>
      </c>
      <c r="K28" s="39" t="s">
        <v>40</v>
      </c>
      <c r="L28" s="135"/>
      <c r="M28" s="45"/>
      <c r="N28" s="39" t="s">
        <v>1605</v>
      </c>
      <c r="O28" s="39">
        <v>0</v>
      </c>
      <c r="P28" s="39">
        <v>5.0000000000000009</v>
      </c>
      <c r="Q28" s="39">
        <v>5.0000000000000009</v>
      </c>
      <c r="R28" s="39">
        <v>5.0000000000000009</v>
      </c>
      <c r="S28" s="39">
        <v>5.0000000000000009</v>
      </c>
      <c r="T28" s="39">
        <v>5.0000000000000009</v>
      </c>
      <c r="U28" s="39">
        <v>0</v>
      </c>
      <c r="V28" s="39">
        <v>25.000000000000004</v>
      </c>
      <c r="W28" s="39">
        <v>89215</v>
      </c>
      <c r="X28" s="39">
        <v>87060</v>
      </c>
      <c r="Y28" s="39">
        <v>3409628</v>
      </c>
      <c r="Z28" s="39" t="s">
        <v>109</v>
      </c>
      <c r="AA28" s="39" t="s">
        <v>110</v>
      </c>
      <c r="AB28" s="39" t="e">
        <v>#N/A</v>
      </c>
      <c r="AC28" s="39">
        <v>74054</v>
      </c>
      <c r="AD28" s="39" t="s">
        <v>254</v>
      </c>
      <c r="AE28" s="39" t="s">
        <v>255</v>
      </c>
      <c r="AF28" s="136">
        <v>43934</v>
      </c>
      <c r="AG28" s="39" t="s">
        <v>256</v>
      </c>
      <c r="AH28" s="39">
        <v>36129883</v>
      </c>
      <c r="AI28" s="39">
        <v>27361298832</v>
      </c>
      <c r="AJ28" s="46">
        <v>43668</v>
      </c>
      <c r="AK28" s="46">
        <v>43669</v>
      </c>
      <c r="AL28" s="47">
        <v>43678</v>
      </c>
      <c r="AM28" s="39">
        <v>397</v>
      </c>
      <c r="AN28" s="137" t="s">
        <v>114</v>
      </c>
      <c r="AO28" s="141">
        <v>89961</v>
      </c>
      <c r="AP28" s="139" t="s">
        <v>115</v>
      </c>
      <c r="AQ28" s="142" t="s">
        <v>1608</v>
      </c>
    </row>
    <row r="29" spans="1:43" ht="15" customHeight="1" x14ac:dyDescent="0.25">
      <c r="A29" s="69" t="s">
        <v>74</v>
      </c>
      <c r="B29" s="70" t="s">
        <v>75</v>
      </c>
      <c r="C29" s="70" t="s">
        <v>257</v>
      </c>
      <c r="D29" s="70" t="s">
        <v>258</v>
      </c>
      <c r="E29" s="70" t="s">
        <v>40</v>
      </c>
      <c r="F29" s="70" t="s">
        <v>52</v>
      </c>
      <c r="G29" s="70" t="s">
        <v>52</v>
      </c>
      <c r="H29" s="70" t="s">
        <v>52</v>
      </c>
      <c r="I29" s="70" t="s">
        <v>52</v>
      </c>
      <c r="J29" s="70" t="s">
        <v>52</v>
      </c>
      <c r="K29" s="70" t="s">
        <v>40</v>
      </c>
      <c r="L29" s="135"/>
      <c r="M29" s="45" t="s">
        <v>1618</v>
      </c>
      <c r="N29" s="39" t="s">
        <v>1605</v>
      </c>
      <c r="O29" s="39">
        <v>0</v>
      </c>
      <c r="P29" s="39">
        <v>0</v>
      </c>
      <c r="Q29" s="39">
        <v>0</v>
      </c>
      <c r="R29" s="39">
        <v>0</v>
      </c>
      <c r="S29" s="39">
        <v>0</v>
      </c>
      <c r="T29" s="39">
        <v>0</v>
      </c>
      <c r="U29" s="39">
        <v>0</v>
      </c>
      <c r="V29" s="39">
        <v>0</v>
      </c>
      <c r="W29" s="143">
        <v>89241</v>
      </c>
      <c r="X29" s="39">
        <v>87306</v>
      </c>
      <c r="Y29" s="39">
        <v>1729885</v>
      </c>
      <c r="Z29" s="39" t="s">
        <v>247</v>
      </c>
      <c r="AA29" s="39" t="s">
        <v>259</v>
      </c>
      <c r="AB29" s="39" t="e">
        <v>#N/A</v>
      </c>
      <c r="AC29" s="39">
        <v>74054</v>
      </c>
      <c r="AD29" s="39" t="s">
        <v>260</v>
      </c>
      <c r="AE29" s="39" t="s">
        <v>261</v>
      </c>
      <c r="AF29" s="136">
        <v>43915</v>
      </c>
      <c r="AG29" s="39">
        <v>3813545684</v>
      </c>
      <c r="AH29" s="39">
        <v>36584345</v>
      </c>
      <c r="AI29" s="39">
        <v>27365843452</v>
      </c>
      <c r="AJ29" s="46">
        <v>43703</v>
      </c>
      <c r="AK29" s="46">
        <v>43703</v>
      </c>
      <c r="AL29" s="47">
        <v>43713</v>
      </c>
      <c r="AM29" s="39">
        <v>363</v>
      </c>
      <c r="AN29" s="137" t="s">
        <v>114</v>
      </c>
      <c r="AO29" s="141">
        <v>89950</v>
      </c>
      <c r="AP29" s="139" t="s">
        <v>115</v>
      </c>
      <c r="AQ29" s="142" t="s">
        <v>1607</v>
      </c>
    </row>
    <row r="30" spans="1:43" ht="15" customHeight="1" x14ac:dyDescent="0.25">
      <c r="A30" s="44" t="s">
        <v>74</v>
      </c>
      <c r="B30" s="39" t="s">
        <v>75</v>
      </c>
      <c r="C30" s="39" t="s">
        <v>262</v>
      </c>
      <c r="D30" s="39" t="s">
        <v>263</v>
      </c>
      <c r="E30" s="39" t="s">
        <v>40</v>
      </c>
      <c r="F30" s="39" t="s">
        <v>131</v>
      </c>
      <c r="G30" s="39" t="s">
        <v>131</v>
      </c>
      <c r="H30" s="39" t="s">
        <v>131</v>
      </c>
      <c r="I30" s="39" t="s">
        <v>131</v>
      </c>
      <c r="J30" s="39" t="s">
        <v>131</v>
      </c>
      <c r="K30" s="39" t="s">
        <v>40</v>
      </c>
      <c r="L30" s="135"/>
      <c r="M30" s="45"/>
      <c r="N30" s="39" t="s">
        <v>1605</v>
      </c>
      <c r="O30" s="39">
        <v>0</v>
      </c>
      <c r="P30" s="39">
        <v>6</v>
      </c>
      <c r="Q30" s="39">
        <v>6</v>
      </c>
      <c r="R30" s="39">
        <v>6</v>
      </c>
      <c r="S30" s="39">
        <v>6</v>
      </c>
      <c r="T30" s="39">
        <v>6</v>
      </c>
      <c r="U30" s="39">
        <v>0</v>
      </c>
      <c r="V30" s="39">
        <v>30</v>
      </c>
      <c r="W30" s="143">
        <v>89242</v>
      </c>
      <c r="X30" s="39">
        <v>87300</v>
      </c>
      <c r="Y30" s="39">
        <v>3462489</v>
      </c>
      <c r="Z30" s="39" t="s">
        <v>118</v>
      </c>
      <c r="AA30" s="39" t="s">
        <v>119</v>
      </c>
      <c r="AB30" s="39" t="e">
        <v>#N/A</v>
      </c>
      <c r="AC30" s="39">
        <v>74054</v>
      </c>
      <c r="AD30" s="39" t="s">
        <v>264</v>
      </c>
      <c r="AE30" s="39" t="s">
        <v>265</v>
      </c>
      <c r="AF30" s="136"/>
      <c r="AG30" s="39">
        <v>3854161581</v>
      </c>
      <c r="AH30" s="39">
        <v>35251517</v>
      </c>
      <c r="AI30" s="39">
        <v>27352515170</v>
      </c>
      <c r="AJ30" s="46">
        <v>43703</v>
      </c>
      <c r="AK30" s="46">
        <v>43703</v>
      </c>
      <c r="AL30" s="47">
        <v>43713</v>
      </c>
      <c r="AM30" s="39">
        <v>363</v>
      </c>
      <c r="AN30" s="137" t="s">
        <v>114</v>
      </c>
      <c r="AO30" s="141"/>
      <c r="AP30" s="139" t="s">
        <v>266</v>
      </c>
      <c r="AQ30" s="142" t="s">
        <v>1607</v>
      </c>
    </row>
    <row r="31" spans="1:43" ht="15" customHeight="1" x14ac:dyDescent="0.25">
      <c r="A31" s="69" t="s">
        <v>74</v>
      </c>
      <c r="B31" s="70" t="s">
        <v>75</v>
      </c>
      <c r="C31" s="70" t="s">
        <v>267</v>
      </c>
      <c r="D31" s="70" t="s">
        <v>268</v>
      </c>
      <c r="E31" s="70" t="s">
        <v>40</v>
      </c>
      <c r="F31" s="70" t="s">
        <v>52</v>
      </c>
      <c r="G31" s="70" t="s">
        <v>52</v>
      </c>
      <c r="H31" s="70" t="s">
        <v>52</v>
      </c>
      <c r="I31" s="70" t="s">
        <v>52</v>
      </c>
      <c r="J31" s="70" t="s">
        <v>52</v>
      </c>
      <c r="K31" s="70" t="s">
        <v>40</v>
      </c>
      <c r="L31" s="108"/>
      <c r="M31" s="109" t="s">
        <v>1618</v>
      </c>
      <c r="N31" s="70" t="s">
        <v>1605</v>
      </c>
      <c r="O31" s="70">
        <v>0</v>
      </c>
      <c r="P31" s="70">
        <v>0</v>
      </c>
      <c r="Q31" s="70">
        <v>0</v>
      </c>
      <c r="R31" s="70">
        <v>0</v>
      </c>
      <c r="S31" s="70">
        <v>0</v>
      </c>
      <c r="T31" s="70">
        <v>0</v>
      </c>
      <c r="U31" s="70">
        <v>0</v>
      </c>
      <c r="V31" s="70">
        <v>0</v>
      </c>
      <c r="W31" s="70">
        <v>89168</v>
      </c>
      <c r="X31" s="70">
        <v>86288</v>
      </c>
      <c r="Y31" s="70">
        <v>3133272</v>
      </c>
      <c r="Z31" s="70" t="s">
        <v>132</v>
      </c>
      <c r="AA31" s="146" t="s">
        <v>259</v>
      </c>
      <c r="AB31" s="70" t="e">
        <v>#N/A</v>
      </c>
      <c r="AC31" s="70">
        <v>74054</v>
      </c>
      <c r="AD31" s="70" t="s">
        <v>269</v>
      </c>
      <c r="AE31" s="70" t="s">
        <v>270</v>
      </c>
      <c r="AF31" s="110">
        <v>43916</v>
      </c>
      <c r="AG31" s="70" t="s">
        <v>271</v>
      </c>
      <c r="AH31" s="70">
        <v>36550805</v>
      </c>
      <c r="AI31" s="70">
        <v>20365508055</v>
      </c>
      <c r="AJ31" s="111">
        <v>43451</v>
      </c>
      <c r="AK31" s="111">
        <v>43451</v>
      </c>
      <c r="AL31" s="112">
        <v>43467</v>
      </c>
      <c r="AM31" s="70">
        <v>612</v>
      </c>
      <c r="AN31" s="113" t="s">
        <v>114</v>
      </c>
      <c r="AO31" s="116">
        <v>89951</v>
      </c>
      <c r="AP31" s="114" t="s">
        <v>115</v>
      </c>
      <c r="AQ31" s="115" t="s">
        <v>1607</v>
      </c>
    </row>
    <row r="32" spans="1:43" ht="15" customHeight="1" x14ac:dyDescent="0.25">
      <c r="A32" s="44" t="s">
        <v>74</v>
      </c>
      <c r="B32" s="39" t="s">
        <v>75</v>
      </c>
      <c r="C32" s="39" t="s">
        <v>272</v>
      </c>
      <c r="D32" s="39" t="s">
        <v>273</v>
      </c>
      <c r="E32" s="39" t="s">
        <v>40</v>
      </c>
      <c r="F32" s="39" t="s">
        <v>227</v>
      </c>
      <c r="G32" s="39" t="s">
        <v>227</v>
      </c>
      <c r="H32" s="39" t="s">
        <v>227</v>
      </c>
      <c r="I32" s="39" t="s">
        <v>227</v>
      </c>
      <c r="J32" s="39" t="s">
        <v>227</v>
      </c>
      <c r="K32" s="39" t="s">
        <v>40</v>
      </c>
      <c r="L32" s="135"/>
      <c r="M32" s="45"/>
      <c r="N32" s="39" t="s">
        <v>1605</v>
      </c>
      <c r="O32" s="39">
        <v>0</v>
      </c>
      <c r="P32" s="39">
        <v>5.0000000000000009</v>
      </c>
      <c r="Q32" s="39">
        <v>5.0000000000000009</v>
      </c>
      <c r="R32" s="39">
        <v>5.0000000000000009</v>
      </c>
      <c r="S32" s="39">
        <v>5.0000000000000009</v>
      </c>
      <c r="T32" s="39">
        <v>5.0000000000000009</v>
      </c>
      <c r="U32" s="39">
        <v>0</v>
      </c>
      <c r="V32" s="39">
        <v>25.000000000000004</v>
      </c>
      <c r="W32" s="39">
        <v>89218</v>
      </c>
      <c r="X32" s="39">
        <v>87054</v>
      </c>
      <c r="Y32" s="39">
        <v>3409729</v>
      </c>
      <c r="Z32" s="39" t="s">
        <v>109</v>
      </c>
      <c r="AA32" s="39" t="s">
        <v>110</v>
      </c>
      <c r="AB32" s="39" t="e">
        <v>#N/A</v>
      </c>
      <c r="AC32" s="39">
        <v>74054</v>
      </c>
      <c r="AD32" s="39" t="s">
        <v>274</v>
      </c>
      <c r="AE32" s="39" t="s">
        <v>275</v>
      </c>
      <c r="AF32" s="136">
        <v>43915</v>
      </c>
      <c r="AG32" s="39" t="s">
        <v>276</v>
      </c>
      <c r="AH32" s="39">
        <v>42664926</v>
      </c>
      <c r="AI32" s="39">
        <v>27426649263</v>
      </c>
      <c r="AJ32" s="46">
        <v>43668</v>
      </c>
      <c r="AK32" s="46">
        <v>43669</v>
      </c>
      <c r="AL32" s="47">
        <v>43678</v>
      </c>
      <c r="AM32" s="39">
        <v>397</v>
      </c>
      <c r="AN32" s="137" t="s">
        <v>114</v>
      </c>
      <c r="AO32" s="141">
        <v>89981</v>
      </c>
      <c r="AP32" s="139" t="s">
        <v>115</v>
      </c>
      <c r="AQ32" s="142" t="s">
        <v>1608</v>
      </c>
    </row>
    <row r="33" spans="1:43" ht="15" customHeight="1" x14ac:dyDescent="0.25">
      <c r="A33" s="44" t="s">
        <v>74</v>
      </c>
      <c r="B33" s="39" t="s">
        <v>94</v>
      </c>
      <c r="C33" s="39" t="s">
        <v>277</v>
      </c>
      <c r="D33" s="39" t="s">
        <v>278</v>
      </c>
      <c r="E33" s="39" t="s">
        <v>40</v>
      </c>
      <c r="F33" s="39" t="s">
        <v>131</v>
      </c>
      <c r="G33" s="39" t="s">
        <v>131</v>
      </c>
      <c r="H33" s="39" t="s">
        <v>131</v>
      </c>
      <c r="I33" s="39" t="s">
        <v>131</v>
      </c>
      <c r="J33" s="39" t="s">
        <v>131</v>
      </c>
      <c r="K33" s="39" t="s">
        <v>40</v>
      </c>
      <c r="L33" s="135"/>
      <c r="M33" s="45"/>
      <c r="N33" s="39" t="s">
        <v>1605</v>
      </c>
      <c r="O33" s="39">
        <v>0</v>
      </c>
      <c r="P33" s="39">
        <v>6</v>
      </c>
      <c r="Q33" s="39">
        <v>6</v>
      </c>
      <c r="R33" s="39">
        <v>6</v>
      </c>
      <c r="S33" s="39">
        <v>6</v>
      </c>
      <c r="T33" s="39">
        <v>6</v>
      </c>
      <c r="U33" s="39">
        <v>0</v>
      </c>
      <c r="V33" s="39">
        <v>30</v>
      </c>
      <c r="W33" s="39">
        <v>648384</v>
      </c>
      <c r="X33" s="39">
        <v>86201</v>
      </c>
      <c r="Y33" s="39">
        <v>3120478</v>
      </c>
      <c r="Z33" s="39" t="s">
        <v>119</v>
      </c>
      <c r="AA33" s="39" t="s">
        <v>119</v>
      </c>
      <c r="AB33" s="39">
        <v>85154</v>
      </c>
      <c r="AC33" s="39">
        <v>74054</v>
      </c>
      <c r="AD33" s="39" t="s">
        <v>279</v>
      </c>
      <c r="AE33" s="39" t="s">
        <v>280</v>
      </c>
      <c r="AF33" s="136">
        <v>43969</v>
      </c>
      <c r="AG33" s="39" t="s">
        <v>281</v>
      </c>
      <c r="AH33" s="39">
        <v>42007271</v>
      </c>
      <c r="AI33" s="39">
        <v>27420072711</v>
      </c>
      <c r="AJ33" s="46">
        <v>43437</v>
      </c>
      <c r="AK33" s="46">
        <v>43962</v>
      </c>
      <c r="AL33" s="47">
        <v>43969</v>
      </c>
      <c r="AM33" s="39">
        <v>626</v>
      </c>
      <c r="AN33" s="137" t="s">
        <v>114</v>
      </c>
      <c r="AO33" s="141">
        <v>648326</v>
      </c>
      <c r="AP33" s="139" t="s">
        <v>115</v>
      </c>
      <c r="AQ33" s="142" t="s">
        <v>1607</v>
      </c>
    </row>
    <row r="34" spans="1:43" ht="15" customHeight="1" x14ac:dyDescent="0.25">
      <c r="A34" s="44" t="s">
        <v>74</v>
      </c>
      <c r="B34" s="39" t="s">
        <v>94</v>
      </c>
      <c r="C34" s="39" t="s">
        <v>282</v>
      </c>
      <c r="D34" s="39" t="s">
        <v>283</v>
      </c>
      <c r="E34" s="39" t="s">
        <v>40</v>
      </c>
      <c r="F34" s="39" t="s">
        <v>131</v>
      </c>
      <c r="G34" s="39" t="s">
        <v>131</v>
      </c>
      <c r="H34" s="39" t="s">
        <v>131</v>
      </c>
      <c r="I34" s="39" t="s">
        <v>131</v>
      </c>
      <c r="J34" s="39" t="s">
        <v>131</v>
      </c>
      <c r="K34" s="39" t="s">
        <v>40</v>
      </c>
      <c r="L34" s="135"/>
      <c r="M34" s="45"/>
      <c r="N34" s="39" t="s">
        <v>1605</v>
      </c>
      <c r="O34" s="39">
        <v>0</v>
      </c>
      <c r="P34" s="39">
        <v>6</v>
      </c>
      <c r="Q34" s="39">
        <v>6</v>
      </c>
      <c r="R34" s="39">
        <v>6</v>
      </c>
      <c r="S34" s="39">
        <v>6</v>
      </c>
      <c r="T34" s="39">
        <v>6</v>
      </c>
      <c r="U34" s="39">
        <v>0</v>
      </c>
      <c r="V34" s="39">
        <v>30</v>
      </c>
      <c r="W34" s="39">
        <v>648392</v>
      </c>
      <c r="X34" s="39">
        <v>86212</v>
      </c>
      <c r="Y34" s="39">
        <v>3119977</v>
      </c>
      <c r="Z34" s="39" t="s">
        <v>118</v>
      </c>
      <c r="AA34" s="39" t="s">
        <v>119</v>
      </c>
      <c r="AB34" s="39">
        <v>85154</v>
      </c>
      <c r="AC34" s="39">
        <v>74054</v>
      </c>
      <c r="AD34" s="39" t="s">
        <v>284</v>
      </c>
      <c r="AE34" s="39" t="s">
        <v>285</v>
      </c>
      <c r="AF34" s="136">
        <v>43969</v>
      </c>
      <c r="AG34" s="39" t="s">
        <v>286</v>
      </c>
      <c r="AH34" s="39">
        <v>36839830</v>
      </c>
      <c r="AI34" s="39">
        <v>20368398307</v>
      </c>
      <c r="AJ34" s="46">
        <v>43437</v>
      </c>
      <c r="AK34" s="46">
        <v>43962</v>
      </c>
      <c r="AL34" s="47">
        <v>43969</v>
      </c>
      <c r="AM34" s="39">
        <v>626</v>
      </c>
      <c r="AN34" s="137" t="s">
        <v>114</v>
      </c>
      <c r="AO34" s="141">
        <v>648331</v>
      </c>
      <c r="AP34" s="139" t="s">
        <v>115</v>
      </c>
      <c r="AQ34" s="142" t="s">
        <v>1607</v>
      </c>
    </row>
    <row r="35" spans="1:43" ht="15" customHeight="1" x14ac:dyDescent="0.25">
      <c r="A35" s="44" t="s">
        <v>74</v>
      </c>
      <c r="B35" s="39" t="s">
        <v>94</v>
      </c>
      <c r="C35" s="39" t="s">
        <v>287</v>
      </c>
      <c r="D35" s="39" t="s">
        <v>288</v>
      </c>
      <c r="E35" s="39" t="s">
        <v>40</v>
      </c>
      <c r="F35" s="39" t="s">
        <v>131</v>
      </c>
      <c r="G35" s="39" t="s">
        <v>131</v>
      </c>
      <c r="H35" s="39" t="s">
        <v>131</v>
      </c>
      <c r="I35" s="39" t="s">
        <v>131</v>
      </c>
      <c r="J35" s="39" t="s">
        <v>131</v>
      </c>
      <c r="K35" s="39" t="s">
        <v>40</v>
      </c>
      <c r="L35" s="135"/>
      <c r="M35" s="45"/>
      <c r="N35" s="39" t="s">
        <v>1605</v>
      </c>
      <c r="O35" s="39">
        <v>0</v>
      </c>
      <c r="P35" s="39">
        <v>6</v>
      </c>
      <c r="Q35" s="39">
        <v>6</v>
      </c>
      <c r="R35" s="39">
        <v>6</v>
      </c>
      <c r="S35" s="39">
        <v>6</v>
      </c>
      <c r="T35" s="39">
        <v>6</v>
      </c>
      <c r="U35" s="39">
        <v>0</v>
      </c>
      <c r="V35" s="39">
        <v>30</v>
      </c>
      <c r="W35" s="39">
        <v>648378</v>
      </c>
      <c r="X35" s="39">
        <v>86585</v>
      </c>
      <c r="Y35" s="39">
        <v>3290393</v>
      </c>
      <c r="Z35" s="39" t="s">
        <v>119</v>
      </c>
      <c r="AA35" s="39" t="s">
        <v>119</v>
      </c>
      <c r="AB35" s="39">
        <v>85154</v>
      </c>
      <c r="AC35" s="39">
        <v>74054</v>
      </c>
      <c r="AD35" s="39" t="s">
        <v>289</v>
      </c>
      <c r="AE35" s="39" t="s">
        <v>290</v>
      </c>
      <c r="AF35" s="136">
        <v>43969</v>
      </c>
      <c r="AG35" s="39">
        <v>3816761743</v>
      </c>
      <c r="AH35" s="39">
        <v>37457894</v>
      </c>
      <c r="AI35" s="39">
        <v>20374578945</v>
      </c>
      <c r="AJ35" s="46">
        <v>43594</v>
      </c>
      <c r="AK35" s="46">
        <v>43962</v>
      </c>
      <c r="AL35" s="47">
        <v>43969</v>
      </c>
      <c r="AM35" s="39">
        <v>470</v>
      </c>
      <c r="AN35" s="137" t="s">
        <v>114</v>
      </c>
      <c r="AO35" s="141">
        <v>648321</v>
      </c>
      <c r="AP35" s="139" t="s">
        <v>115</v>
      </c>
      <c r="AQ35" s="142" t="s">
        <v>1607</v>
      </c>
    </row>
    <row r="36" spans="1:43" ht="15" customHeight="1" x14ac:dyDescent="0.25">
      <c r="A36" s="44" t="s">
        <v>74</v>
      </c>
      <c r="B36" s="39" t="s">
        <v>94</v>
      </c>
      <c r="C36" s="39" t="s">
        <v>291</v>
      </c>
      <c r="D36" s="39" t="s">
        <v>292</v>
      </c>
      <c r="E36" s="39" t="s">
        <v>40</v>
      </c>
      <c r="F36" s="39" t="s">
        <v>293</v>
      </c>
      <c r="G36" s="39" t="s">
        <v>293</v>
      </c>
      <c r="H36" s="39" t="s">
        <v>293</v>
      </c>
      <c r="I36" s="39" t="s">
        <v>293</v>
      </c>
      <c r="J36" s="39" t="s">
        <v>293</v>
      </c>
      <c r="K36" s="39" t="s">
        <v>40</v>
      </c>
      <c r="L36" s="135"/>
      <c r="M36" s="45"/>
      <c r="N36" s="39" t="s">
        <v>1605</v>
      </c>
      <c r="O36" s="39">
        <v>0</v>
      </c>
      <c r="P36" s="39">
        <v>6</v>
      </c>
      <c r="Q36" s="39">
        <v>6</v>
      </c>
      <c r="R36" s="39">
        <v>6</v>
      </c>
      <c r="S36" s="39">
        <v>6</v>
      </c>
      <c r="T36" s="39">
        <v>6</v>
      </c>
      <c r="U36" s="39">
        <v>0</v>
      </c>
      <c r="V36" s="39">
        <v>30</v>
      </c>
      <c r="W36" s="39">
        <v>648379</v>
      </c>
      <c r="X36" s="39">
        <v>64114</v>
      </c>
      <c r="Y36" s="39">
        <v>433384</v>
      </c>
      <c r="Z36" s="39" t="s">
        <v>119</v>
      </c>
      <c r="AA36" s="39" t="s">
        <v>119</v>
      </c>
      <c r="AB36" s="39">
        <v>85154</v>
      </c>
      <c r="AC36" s="39">
        <v>74054</v>
      </c>
      <c r="AD36" s="39" t="s">
        <v>294</v>
      </c>
      <c r="AE36" s="39" t="s">
        <v>295</v>
      </c>
      <c r="AF36" s="136">
        <v>43969</v>
      </c>
      <c r="AG36" s="39">
        <v>3814360935</v>
      </c>
      <c r="AH36" s="39">
        <v>22989370</v>
      </c>
      <c r="AI36" s="39">
        <v>27229893705</v>
      </c>
      <c r="AJ36" s="46">
        <v>39937</v>
      </c>
      <c r="AK36" s="46">
        <v>43962</v>
      </c>
      <c r="AL36" s="47">
        <v>43969</v>
      </c>
      <c r="AM36" s="39">
        <v>4075</v>
      </c>
      <c r="AN36" s="137" t="s">
        <v>114</v>
      </c>
      <c r="AO36" s="141">
        <v>648322</v>
      </c>
      <c r="AP36" s="139" t="s">
        <v>115</v>
      </c>
      <c r="AQ36" s="142" t="s">
        <v>1609</v>
      </c>
    </row>
    <row r="37" spans="1:43" ht="15" customHeight="1" x14ac:dyDescent="0.25">
      <c r="A37" s="44" t="s">
        <v>74</v>
      </c>
      <c r="B37" s="39" t="s">
        <v>94</v>
      </c>
      <c r="C37" s="39" t="s">
        <v>296</v>
      </c>
      <c r="D37" s="39" t="s">
        <v>297</v>
      </c>
      <c r="E37" s="39" t="s">
        <v>40</v>
      </c>
      <c r="F37" s="39" t="s">
        <v>131</v>
      </c>
      <c r="G37" s="39" t="s">
        <v>131</v>
      </c>
      <c r="H37" s="39" t="s">
        <v>131</v>
      </c>
      <c r="I37" s="39" t="s">
        <v>131</v>
      </c>
      <c r="J37" s="39" t="s">
        <v>131</v>
      </c>
      <c r="K37" s="39" t="s">
        <v>40</v>
      </c>
      <c r="L37" s="135"/>
      <c r="M37" s="45"/>
      <c r="N37" s="39" t="s">
        <v>1605</v>
      </c>
      <c r="O37" s="39">
        <v>0</v>
      </c>
      <c r="P37" s="39">
        <v>6</v>
      </c>
      <c r="Q37" s="39">
        <v>6</v>
      </c>
      <c r="R37" s="39">
        <v>6</v>
      </c>
      <c r="S37" s="39">
        <v>6</v>
      </c>
      <c r="T37" s="39">
        <v>6</v>
      </c>
      <c r="U37" s="39">
        <v>0</v>
      </c>
      <c r="V37" s="39">
        <v>30</v>
      </c>
      <c r="W37" s="39">
        <v>648381</v>
      </c>
      <c r="X37" s="39">
        <v>82194</v>
      </c>
      <c r="Y37" s="39">
        <v>2178609</v>
      </c>
      <c r="Z37" s="39" t="s">
        <v>119</v>
      </c>
      <c r="AA37" s="39" t="s">
        <v>119</v>
      </c>
      <c r="AB37" s="39">
        <v>85154</v>
      </c>
      <c r="AC37" s="39">
        <v>74054</v>
      </c>
      <c r="AD37" s="39" t="s">
        <v>298</v>
      </c>
      <c r="AE37" s="39" t="s">
        <v>299</v>
      </c>
      <c r="AF37" s="136">
        <v>43969</v>
      </c>
      <c r="AG37" s="39" t="s">
        <v>300</v>
      </c>
      <c r="AH37" s="39">
        <v>36584697</v>
      </c>
      <c r="AI37" s="39">
        <v>27365846974</v>
      </c>
      <c r="AJ37" s="46">
        <v>42580</v>
      </c>
      <c r="AK37" s="46">
        <v>43962</v>
      </c>
      <c r="AL37" s="47">
        <v>43969</v>
      </c>
      <c r="AM37" s="39">
        <v>1470</v>
      </c>
      <c r="AN37" s="137" t="s">
        <v>114</v>
      </c>
      <c r="AO37" s="141">
        <v>648324</v>
      </c>
      <c r="AP37" s="139" t="s">
        <v>115</v>
      </c>
      <c r="AQ37" s="142" t="s">
        <v>1607</v>
      </c>
    </row>
    <row r="38" spans="1:43" ht="15" customHeight="1" x14ac:dyDescent="0.25">
      <c r="A38" s="42" t="s">
        <v>74</v>
      </c>
      <c r="B38" s="41" t="s">
        <v>94</v>
      </c>
      <c r="C38" s="41" t="s">
        <v>301</v>
      </c>
      <c r="D38" s="41" t="s">
        <v>302</v>
      </c>
      <c r="E38" s="41" t="s">
        <v>40</v>
      </c>
      <c r="F38" s="41" t="s">
        <v>131</v>
      </c>
      <c r="G38" s="41" t="s">
        <v>131</v>
      </c>
      <c r="H38" s="41" t="s">
        <v>131</v>
      </c>
      <c r="I38" s="41" t="s">
        <v>131</v>
      </c>
      <c r="J38" s="41" t="s">
        <v>131</v>
      </c>
      <c r="K38" s="41" t="s">
        <v>40</v>
      </c>
      <c r="L38" s="135"/>
      <c r="M38" s="45"/>
      <c r="N38" s="39" t="s">
        <v>1605</v>
      </c>
      <c r="O38" s="39">
        <v>0</v>
      </c>
      <c r="P38" s="39">
        <v>6</v>
      </c>
      <c r="Q38" s="39">
        <v>6</v>
      </c>
      <c r="R38" s="39">
        <v>6</v>
      </c>
      <c r="S38" s="39">
        <v>6</v>
      </c>
      <c r="T38" s="39">
        <v>6</v>
      </c>
      <c r="U38" s="39">
        <v>0</v>
      </c>
      <c r="V38" s="39">
        <v>30</v>
      </c>
      <c r="W38" s="39">
        <v>648382</v>
      </c>
      <c r="X38" s="39">
        <v>87912</v>
      </c>
      <c r="Y38" s="39">
        <v>3526348</v>
      </c>
      <c r="Z38" s="39" t="s">
        <v>119</v>
      </c>
      <c r="AA38" s="39" t="s">
        <v>119</v>
      </c>
      <c r="AB38" s="39">
        <v>85154</v>
      </c>
      <c r="AC38" s="39">
        <v>74054</v>
      </c>
      <c r="AD38" s="39" t="s">
        <v>303</v>
      </c>
      <c r="AE38" s="39" t="s">
        <v>304</v>
      </c>
      <c r="AF38" s="136">
        <v>43969</v>
      </c>
      <c r="AG38" s="39" t="s">
        <v>305</v>
      </c>
      <c r="AH38" s="39">
        <v>37310000</v>
      </c>
      <c r="AI38" s="39">
        <v>20373100006</v>
      </c>
      <c r="AJ38" s="46">
        <v>43745</v>
      </c>
      <c r="AK38" s="46">
        <v>43962</v>
      </c>
      <c r="AL38" s="47">
        <v>43969</v>
      </c>
      <c r="AM38" s="39">
        <v>322</v>
      </c>
      <c r="AN38" s="137" t="s">
        <v>114</v>
      </c>
      <c r="AO38" s="141">
        <v>648325</v>
      </c>
      <c r="AP38" s="139" t="s">
        <v>115</v>
      </c>
      <c r="AQ38" s="142" t="s">
        <v>1607</v>
      </c>
    </row>
    <row r="39" spans="1:43" ht="15" customHeight="1" x14ac:dyDescent="0.25">
      <c r="A39" s="44" t="s">
        <v>74</v>
      </c>
      <c r="B39" s="39" t="s">
        <v>94</v>
      </c>
      <c r="C39" s="39" t="s">
        <v>306</v>
      </c>
      <c r="D39" s="39" t="s">
        <v>307</v>
      </c>
      <c r="E39" s="39" t="s">
        <v>40</v>
      </c>
      <c r="F39" s="39" t="s">
        <v>131</v>
      </c>
      <c r="G39" s="39" t="s">
        <v>131</v>
      </c>
      <c r="H39" s="39" t="s">
        <v>131</v>
      </c>
      <c r="I39" s="39" t="s">
        <v>131</v>
      </c>
      <c r="J39" s="39" t="s">
        <v>131</v>
      </c>
      <c r="K39" s="39" t="s">
        <v>40</v>
      </c>
      <c r="L39" s="135"/>
      <c r="M39" s="45"/>
      <c r="N39" s="39" t="s">
        <v>1605</v>
      </c>
      <c r="O39" s="39">
        <v>0</v>
      </c>
      <c r="P39" s="39">
        <v>6</v>
      </c>
      <c r="Q39" s="39">
        <v>6</v>
      </c>
      <c r="R39" s="39">
        <v>6</v>
      </c>
      <c r="S39" s="39">
        <v>6</v>
      </c>
      <c r="T39" s="39">
        <v>6</v>
      </c>
      <c r="U39" s="39">
        <v>0</v>
      </c>
      <c r="V39" s="39">
        <v>30</v>
      </c>
      <c r="W39" s="39">
        <v>648390</v>
      </c>
      <c r="X39" s="39">
        <v>83918</v>
      </c>
      <c r="Y39" s="39">
        <v>2657804</v>
      </c>
      <c r="Z39" s="39" t="s">
        <v>119</v>
      </c>
      <c r="AA39" s="39" t="s">
        <v>119</v>
      </c>
      <c r="AB39" s="39">
        <v>85154</v>
      </c>
      <c r="AC39" s="39">
        <v>74054</v>
      </c>
      <c r="AD39" s="39" t="s">
        <v>308</v>
      </c>
      <c r="AE39" s="39" t="s">
        <v>309</v>
      </c>
      <c r="AF39" s="136">
        <v>43969</v>
      </c>
      <c r="AG39" s="39" t="s">
        <v>310</v>
      </c>
      <c r="AH39" s="39">
        <v>39481787</v>
      </c>
      <c r="AI39" s="39">
        <v>20394817873</v>
      </c>
      <c r="AJ39" s="46">
        <v>43010</v>
      </c>
      <c r="AK39" s="46">
        <v>43962</v>
      </c>
      <c r="AL39" s="47">
        <v>43969</v>
      </c>
      <c r="AM39" s="39">
        <v>1047</v>
      </c>
      <c r="AN39" s="137" t="s">
        <v>114</v>
      </c>
      <c r="AO39" s="141">
        <v>648330</v>
      </c>
      <c r="AP39" s="139" t="s">
        <v>115</v>
      </c>
      <c r="AQ39" s="142" t="s">
        <v>1607</v>
      </c>
    </row>
    <row r="40" spans="1:43" ht="15" customHeight="1" x14ac:dyDescent="0.25">
      <c r="A40" s="44" t="s">
        <v>74</v>
      </c>
      <c r="B40" s="39" t="s">
        <v>94</v>
      </c>
      <c r="C40" s="39" t="s">
        <v>311</v>
      </c>
      <c r="D40" s="39" t="s">
        <v>312</v>
      </c>
      <c r="E40" s="39" t="s">
        <v>40</v>
      </c>
      <c r="F40" s="39" t="s">
        <v>227</v>
      </c>
      <c r="G40" s="39" t="s">
        <v>227</v>
      </c>
      <c r="H40" s="39" t="s">
        <v>227</v>
      </c>
      <c r="I40" s="39" t="s">
        <v>227</v>
      </c>
      <c r="J40" s="39" t="s">
        <v>227</v>
      </c>
      <c r="K40" s="39" t="s">
        <v>40</v>
      </c>
      <c r="L40" s="135"/>
      <c r="M40" s="45"/>
      <c r="N40" s="39" t="s">
        <v>1605</v>
      </c>
      <c r="O40" s="39">
        <v>0</v>
      </c>
      <c r="P40" s="39">
        <v>5.0000000000000009</v>
      </c>
      <c r="Q40" s="39">
        <v>5.0000000000000009</v>
      </c>
      <c r="R40" s="39">
        <v>5.0000000000000009</v>
      </c>
      <c r="S40" s="39">
        <v>5.0000000000000009</v>
      </c>
      <c r="T40" s="39">
        <v>5.0000000000000009</v>
      </c>
      <c r="U40" s="39">
        <v>0</v>
      </c>
      <c r="V40" s="39">
        <v>25.000000000000004</v>
      </c>
      <c r="W40" s="39">
        <v>648385</v>
      </c>
      <c r="X40" s="39">
        <v>81571</v>
      </c>
      <c r="Y40" s="39">
        <v>1988450</v>
      </c>
      <c r="Z40" s="39" t="s">
        <v>118</v>
      </c>
      <c r="AA40" s="39" t="s">
        <v>119</v>
      </c>
      <c r="AB40" s="39">
        <v>85154</v>
      </c>
      <c r="AC40" s="39">
        <v>74054</v>
      </c>
      <c r="AD40" s="39" t="s">
        <v>313</v>
      </c>
      <c r="AE40" s="39" t="s">
        <v>314</v>
      </c>
      <c r="AF40" s="136">
        <v>43969</v>
      </c>
      <c r="AG40" s="39" t="s">
        <v>315</v>
      </c>
      <c r="AH40" s="39">
        <v>34764648</v>
      </c>
      <c r="AI40" s="39">
        <v>27347646488</v>
      </c>
      <c r="AJ40" s="46">
        <v>42429</v>
      </c>
      <c r="AK40" s="46">
        <v>43962</v>
      </c>
      <c r="AL40" s="47">
        <v>43969</v>
      </c>
      <c r="AM40" s="39">
        <v>1619</v>
      </c>
      <c r="AN40" s="137" t="s">
        <v>114</v>
      </c>
      <c r="AO40" s="141">
        <v>648337</v>
      </c>
      <c r="AP40" s="139" t="s">
        <v>115</v>
      </c>
      <c r="AQ40" s="142" t="s">
        <v>1608</v>
      </c>
    </row>
    <row r="41" spans="1:43" ht="15" customHeight="1" x14ac:dyDescent="0.25">
      <c r="A41" s="44" t="s">
        <v>74</v>
      </c>
      <c r="B41" s="39" t="s">
        <v>94</v>
      </c>
      <c r="C41" s="39" t="s">
        <v>316</v>
      </c>
      <c r="D41" s="39" t="s">
        <v>317</v>
      </c>
      <c r="E41" s="39" t="s">
        <v>40</v>
      </c>
      <c r="F41" s="39" t="s">
        <v>131</v>
      </c>
      <c r="G41" s="39" t="s">
        <v>131</v>
      </c>
      <c r="H41" s="39" t="s">
        <v>131</v>
      </c>
      <c r="I41" s="39" t="s">
        <v>131</v>
      </c>
      <c r="J41" s="39" t="s">
        <v>131</v>
      </c>
      <c r="K41" s="39" t="s">
        <v>40</v>
      </c>
      <c r="L41" s="135"/>
      <c r="M41" s="45"/>
      <c r="N41" s="39" t="s">
        <v>1605</v>
      </c>
      <c r="O41" s="39">
        <v>0</v>
      </c>
      <c r="P41" s="39">
        <v>6</v>
      </c>
      <c r="Q41" s="39">
        <v>6</v>
      </c>
      <c r="R41" s="39">
        <v>6</v>
      </c>
      <c r="S41" s="39">
        <v>6</v>
      </c>
      <c r="T41" s="39">
        <v>6</v>
      </c>
      <c r="U41" s="39">
        <v>0</v>
      </c>
      <c r="V41" s="39">
        <v>30</v>
      </c>
      <c r="W41" s="39">
        <v>648386</v>
      </c>
      <c r="X41" s="39">
        <v>86032</v>
      </c>
      <c r="Y41" s="39">
        <v>3116938</v>
      </c>
      <c r="Z41" s="39" t="s">
        <v>119</v>
      </c>
      <c r="AA41" s="39" t="s">
        <v>119</v>
      </c>
      <c r="AB41" s="39">
        <v>85154</v>
      </c>
      <c r="AC41" s="39">
        <v>74054</v>
      </c>
      <c r="AD41" s="39" t="s">
        <v>318</v>
      </c>
      <c r="AE41" s="39" t="s">
        <v>319</v>
      </c>
      <c r="AF41" s="136">
        <v>43969</v>
      </c>
      <c r="AG41" s="39" t="s">
        <v>320</v>
      </c>
      <c r="AH41" s="39">
        <v>39572913</v>
      </c>
      <c r="AI41" s="39">
        <v>27395729131</v>
      </c>
      <c r="AJ41" s="46">
        <v>43437</v>
      </c>
      <c r="AK41" s="46">
        <v>43962</v>
      </c>
      <c r="AL41" s="47">
        <v>43969</v>
      </c>
      <c r="AM41" s="39">
        <v>626</v>
      </c>
      <c r="AN41" s="137" t="s">
        <v>114</v>
      </c>
      <c r="AO41" s="141">
        <v>648327</v>
      </c>
      <c r="AP41" s="139" t="s">
        <v>115</v>
      </c>
      <c r="AQ41" s="142" t="s">
        <v>1607</v>
      </c>
    </row>
    <row r="42" spans="1:43" ht="15" customHeight="1" x14ac:dyDescent="0.25">
      <c r="A42" s="44" t="s">
        <v>74</v>
      </c>
      <c r="B42" s="39" t="s">
        <v>94</v>
      </c>
      <c r="C42" s="39" t="s">
        <v>321</v>
      </c>
      <c r="D42" s="39" t="s">
        <v>322</v>
      </c>
      <c r="E42" s="39" t="s">
        <v>40</v>
      </c>
      <c r="F42" s="39" t="s">
        <v>131</v>
      </c>
      <c r="G42" s="39" t="s">
        <v>131</v>
      </c>
      <c r="H42" s="39" t="s">
        <v>131</v>
      </c>
      <c r="I42" s="39" t="s">
        <v>131</v>
      </c>
      <c r="J42" s="39" t="s">
        <v>131</v>
      </c>
      <c r="K42" s="39" t="s">
        <v>40</v>
      </c>
      <c r="L42" s="135"/>
      <c r="M42" s="45"/>
      <c r="N42" s="39" t="s">
        <v>1605</v>
      </c>
      <c r="O42" s="39">
        <v>0</v>
      </c>
      <c r="P42" s="39">
        <v>6</v>
      </c>
      <c r="Q42" s="39">
        <v>6</v>
      </c>
      <c r="R42" s="39">
        <v>6</v>
      </c>
      <c r="S42" s="39">
        <v>6</v>
      </c>
      <c r="T42" s="39">
        <v>6</v>
      </c>
      <c r="U42" s="39">
        <v>0</v>
      </c>
      <c r="V42" s="39">
        <v>30</v>
      </c>
      <c r="W42" s="39">
        <v>648352</v>
      </c>
      <c r="X42" s="39">
        <v>80131</v>
      </c>
      <c r="Y42" s="39">
        <v>1567502</v>
      </c>
      <c r="Z42" s="39" t="s">
        <v>119</v>
      </c>
      <c r="AA42" s="39" t="s">
        <v>119</v>
      </c>
      <c r="AB42" s="39">
        <v>85154</v>
      </c>
      <c r="AC42" s="39">
        <v>74054</v>
      </c>
      <c r="AD42" s="39" t="s">
        <v>323</v>
      </c>
      <c r="AE42" s="39" t="s">
        <v>324</v>
      </c>
      <c r="AF42" s="136">
        <v>43969</v>
      </c>
      <c r="AG42" s="39" t="s">
        <v>325</v>
      </c>
      <c r="AH42" s="39">
        <v>38509359</v>
      </c>
      <c r="AI42" s="39">
        <v>20385093595</v>
      </c>
      <c r="AJ42" s="46">
        <v>42037</v>
      </c>
      <c r="AK42" s="46">
        <v>43962</v>
      </c>
      <c r="AL42" s="47">
        <v>43969</v>
      </c>
      <c r="AM42" s="39">
        <v>2007</v>
      </c>
      <c r="AN42" s="137" t="s">
        <v>114</v>
      </c>
      <c r="AO42" s="141">
        <v>89982</v>
      </c>
      <c r="AP42" s="139" t="s">
        <v>115</v>
      </c>
      <c r="AQ42" s="142" t="s">
        <v>1607</v>
      </c>
    </row>
    <row r="43" spans="1:43" ht="15" customHeight="1" x14ac:dyDescent="0.25">
      <c r="A43" s="44" t="s">
        <v>74</v>
      </c>
      <c r="B43" s="39" t="s">
        <v>94</v>
      </c>
      <c r="C43" s="39" t="s">
        <v>326</v>
      </c>
      <c r="D43" s="39" t="s">
        <v>327</v>
      </c>
      <c r="E43" s="39" t="s">
        <v>40</v>
      </c>
      <c r="F43" s="39" t="s">
        <v>227</v>
      </c>
      <c r="G43" s="39" t="s">
        <v>227</v>
      </c>
      <c r="H43" s="39" t="s">
        <v>227</v>
      </c>
      <c r="I43" s="39" t="s">
        <v>227</v>
      </c>
      <c r="J43" s="39" t="s">
        <v>227</v>
      </c>
      <c r="K43" s="39" t="s">
        <v>40</v>
      </c>
      <c r="L43" s="147"/>
      <c r="M43" s="45"/>
      <c r="N43" s="39" t="s">
        <v>1605</v>
      </c>
      <c r="O43" s="39">
        <v>0</v>
      </c>
      <c r="P43" s="39">
        <v>5.0000000000000009</v>
      </c>
      <c r="Q43" s="39">
        <v>5.0000000000000009</v>
      </c>
      <c r="R43" s="39">
        <v>5.0000000000000009</v>
      </c>
      <c r="S43" s="39">
        <v>5.0000000000000009</v>
      </c>
      <c r="T43" s="39">
        <v>5.0000000000000009</v>
      </c>
      <c r="U43" s="39">
        <v>0</v>
      </c>
      <c r="V43" s="39">
        <v>25.000000000000004</v>
      </c>
      <c r="W43" s="39">
        <v>89214</v>
      </c>
      <c r="X43" s="39">
        <v>87056</v>
      </c>
      <c r="Y43" s="39">
        <v>3409650</v>
      </c>
      <c r="Z43" s="39" t="s">
        <v>118</v>
      </c>
      <c r="AA43" s="39" t="s">
        <v>119</v>
      </c>
      <c r="AB43" s="39">
        <v>85154</v>
      </c>
      <c r="AC43" s="39">
        <v>74054</v>
      </c>
      <c r="AD43" s="39" t="s">
        <v>328</v>
      </c>
      <c r="AE43" s="39" t="s">
        <v>329</v>
      </c>
      <c r="AF43" s="136">
        <v>43915</v>
      </c>
      <c r="AG43" s="39" t="s">
        <v>330</v>
      </c>
      <c r="AH43" s="39">
        <v>42523139</v>
      </c>
      <c r="AI43" s="39">
        <v>27425231397</v>
      </c>
      <c r="AJ43" s="46">
        <v>43668</v>
      </c>
      <c r="AK43" s="46">
        <v>43669</v>
      </c>
      <c r="AL43" s="47">
        <v>43678</v>
      </c>
      <c r="AM43" s="39">
        <v>397</v>
      </c>
      <c r="AN43" s="137" t="s">
        <v>114</v>
      </c>
      <c r="AO43" s="141">
        <v>89975</v>
      </c>
      <c r="AP43" s="139" t="s">
        <v>115</v>
      </c>
      <c r="AQ43" s="142" t="s">
        <v>1608</v>
      </c>
    </row>
    <row r="44" spans="1:43" ht="15" customHeight="1" x14ac:dyDescent="0.25">
      <c r="A44" s="44" t="s">
        <v>74</v>
      </c>
      <c r="B44" s="39" t="s">
        <v>94</v>
      </c>
      <c r="C44" s="39" t="s">
        <v>331</v>
      </c>
      <c r="D44" s="39" t="s">
        <v>332</v>
      </c>
      <c r="E44" s="39" t="s">
        <v>40</v>
      </c>
      <c r="F44" s="39" t="s">
        <v>131</v>
      </c>
      <c r="G44" s="39" t="s">
        <v>131</v>
      </c>
      <c r="H44" s="39" t="s">
        <v>131</v>
      </c>
      <c r="I44" s="39" t="s">
        <v>131</v>
      </c>
      <c r="J44" s="39" t="s">
        <v>131</v>
      </c>
      <c r="K44" s="39" t="s">
        <v>40</v>
      </c>
      <c r="L44" s="135"/>
      <c r="M44" s="45"/>
      <c r="N44" s="39" t="s">
        <v>1605</v>
      </c>
      <c r="O44" s="39">
        <v>0</v>
      </c>
      <c r="P44" s="39">
        <v>6</v>
      </c>
      <c r="Q44" s="39">
        <v>6</v>
      </c>
      <c r="R44" s="39">
        <v>6</v>
      </c>
      <c r="S44" s="39">
        <v>6</v>
      </c>
      <c r="T44" s="39">
        <v>6</v>
      </c>
      <c r="U44" s="39">
        <v>0</v>
      </c>
      <c r="V44" s="39">
        <v>30</v>
      </c>
      <c r="W44" s="39">
        <v>648361</v>
      </c>
      <c r="X44" s="39">
        <v>85995</v>
      </c>
      <c r="Y44" s="39">
        <v>3116792</v>
      </c>
      <c r="Z44" s="39" t="s">
        <v>118</v>
      </c>
      <c r="AA44" s="39" t="s">
        <v>119</v>
      </c>
      <c r="AB44" s="39">
        <v>85154</v>
      </c>
      <c r="AC44" s="39">
        <v>74054</v>
      </c>
      <c r="AD44" s="39" t="s">
        <v>333</v>
      </c>
      <c r="AE44" s="39" t="s">
        <v>334</v>
      </c>
      <c r="AF44" s="136">
        <v>43969</v>
      </c>
      <c r="AG44" s="39" t="s">
        <v>335</v>
      </c>
      <c r="AH44" s="39">
        <v>42467181</v>
      </c>
      <c r="AI44" s="39">
        <v>23424671819</v>
      </c>
      <c r="AJ44" s="46">
        <v>43437</v>
      </c>
      <c r="AK44" s="46">
        <v>43962</v>
      </c>
      <c r="AL44" s="47">
        <v>43969</v>
      </c>
      <c r="AM44" s="39">
        <v>626</v>
      </c>
      <c r="AN44" s="137" t="s">
        <v>114</v>
      </c>
      <c r="AO44" s="141">
        <v>648334</v>
      </c>
      <c r="AP44" s="139" t="s">
        <v>115</v>
      </c>
      <c r="AQ44" s="142" t="s">
        <v>1607</v>
      </c>
    </row>
    <row r="45" spans="1:43" ht="15" customHeight="1" x14ac:dyDescent="0.25">
      <c r="A45" s="44" t="s">
        <v>74</v>
      </c>
      <c r="B45" s="39" t="s">
        <v>94</v>
      </c>
      <c r="C45" s="39" t="s">
        <v>336</v>
      </c>
      <c r="D45" s="39" t="s">
        <v>337</v>
      </c>
      <c r="E45" s="39" t="s">
        <v>40</v>
      </c>
      <c r="F45" s="39" t="s">
        <v>227</v>
      </c>
      <c r="G45" s="39" t="s">
        <v>227</v>
      </c>
      <c r="H45" s="39" t="s">
        <v>227</v>
      </c>
      <c r="I45" s="39" t="s">
        <v>227</v>
      </c>
      <c r="J45" s="39" t="s">
        <v>227</v>
      </c>
      <c r="K45" s="39" t="s">
        <v>40</v>
      </c>
      <c r="L45" s="135"/>
      <c r="M45" s="45"/>
      <c r="N45" s="39" t="s">
        <v>1605</v>
      </c>
      <c r="O45" s="39">
        <v>0</v>
      </c>
      <c r="P45" s="39">
        <v>5.0000000000000009</v>
      </c>
      <c r="Q45" s="39">
        <v>5.0000000000000009</v>
      </c>
      <c r="R45" s="39">
        <v>5.0000000000000009</v>
      </c>
      <c r="S45" s="39">
        <v>5.0000000000000009</v>
      </c>
      <c r="T45" s="39">
        <v>5.0000000000000009</v>
      </c>
      <c r="U45" s="39">
        <v>0</v>
      </c>
      <c r="V45" s="39">
        <v>25.000000000000004</v>
      </c>
      <c r="W45" s="39">
        <v>648383</v>
      </c>
      <c r="X45" s="39">
        <v>86015</v>
      </c>
      <c r="Y45" s="39">
        <v>2765889</v>
      </c>
      <c r="Z45" s="39" t="s">
        <v>118</v>
      </c>
      <c r="AA45" s="39" t="s">
        <v>119</v>
      </c>
      <c r="AB45" s="39">
        <v>85154</v>
      </c>
      <c r="AC45" s="39">
        <v>74054</v>
      </c>
      <c r="AD45" s="39" t="s">
        <v>338</v>
      </c>
      <c r="AE45" s="39" t="s">
        <v>339</v>
      </c>
      <c r="AF45" s="136">
        <v>43969</v>
      </c>
      <c r="AG45" s="39" t="s">
        <v>340</v>
      </c>
      <c r="AH45" s="39">
        <v>40215879</v>
      </c>
      <c r="AI45" s="39">
        <v>20402158795</v>
      </c>
      <c r="AJ45" s="46">
        <v>43437</v>
      </c>
      <c r="AK45" s="46">
        <v>43962</v>
      </c>
      <c r="AL45" s="47">
        <v>43969</v>
      </c>
      <c r="AM45" s="39">
        <v>626</v>
      </c>
      <c r="AN45" s="137" t="s">
        <v>114</v>
      </c>
      <c r="AO45" s="141">
        <v>648336</v>
      </c>
      <c r="AP45" s="139" t="s">
        <v>115</v>
      </c>
      <c r="AQ45" s="142" t="s">
        <v>1608</v>
      </c>
    </row>
    <row r="46" spans="1:43" x14ac:dyDescent="0.25">
      <c r="A46" s="44" t="s">
        <v>74</v>
      </c>
      <c r="B46" s="39" t="s">
        <v>94</v>
      </c>
      <c r="C46" s="39" t="s">
        <v>341</v>
      </c>
      <c r="D46" s="39" t="s">
        <v>342</v>
      </c>
      <c r="E46" s="39" t="s">
        <v>40</v>
      </c>
      <c r="F46" s="39" t="s">
        <v>343</v>
      </c>
      <c r="G46" s="39" t="s">
        <v>343</v>
      </c>
      <c r="H46" s="39" t="s">
        <v>343</v>
      </c>
      <c r="I46" s="39" t="s">
        <v>343</v>
      </c>
      <c r="J46" s="39" t="s">
        <v>343</v>
      </c>
      <c r="K46" s="39" t="s">
        <v>40</v>
      </c>
      <c r="L46" s="135"/>
      <c r="M46" s="45"/>
      <c r="N46" s="39" t="s">
        <v>1605</v>
      </c>
      <c r="O46" s="39">
        <v>0</v>
      </c>
      <c r="P46" s="39">
        <v>4</v>
      </c>
      <c r="Q46" s="39">
        <v>4</v>
      </c>
      <c r="R46" s="39">
        <v>4</v>
      </c>
      <c r="S46" s="39">
        <v>4</v>
      </c>
      <c r="T46" s="39">
        <v>4</v>
      </c>
      <c r="U46" s="39">
        <v>0</v>
      </c>
      <c r="V46" s="39">
        <v>20</v>
      </c>
      <c r="W46" s="39">
        <v>648387</v>
      </c>
      <c r="X46" s="39">
        <v>83101</v>
      </c>
      <c r="Y46" s="39">
        <v>1441889</v>
      </c>
      <c r="Z46" s="39" t="s">
        <v>344</v>
      </c>
      <c r="AA46" s="39" t="s">
        <v>119</v>
      </c>
      <c r="AB46" s="39">
        <v>85154</v>
      </c>
      <c r="AC46" s="39">
        <v>74054</v>
      </c>
      <c r="AD46" s="39" t="s">
        <v>345</v>
      </c>
      <c r="AE46" s="39" t="s">
        <v>346</v>
      </c>
      <c r="AF46" s="136">
        <v>43969</v>
      </c>
      <c r="AG46" s="39">
        <v>3816591167</v>
      </c>
      <c r="AH46" s="39">
        <v>31100304</v>
      </c>
      <c r="AI46" s="39">
        <v>27311003041</v>
      </c>
      <c r="AJ46" s="46">
        <v>42800</v>
      </c>
      <c r="AK46" s="46">
        <v>43962</v>
      </c>
      <c r="AL46" s="47">
        <v>43969</v>
      </c>
      <c r="AM46" s="39">
        <v>1253</v>
      </c>
      <c r="AN46" s="137" t="s">
        <v>114</v>
      </c>
      <c r="AO46" s="141">
        <v>648320</v>
      </c>
      <c r="AP46" s="139" t="s">
        <v>115</v>
      </c>
      <c r="AQ46" s="142" t="s">
        <v>1610</v>
      </c>
    </row>
    <row r="47" spans="1:43" x14ac:dyDescent="0.25">
      <c r="A47" s="44" t="s">
        <v>74</v>
      </c>
      <c r="B47" s="39" t="s">
        <v>94</v>
      </c>
      <c r="C47" s="39" t="s">
        <v>347</v>
      </c>
      <c r="D47" s="39" t="s">
        <v>348</v>
      </c>
      <c r="E47" s="39" t="s">
        <v>40</v>
      </c>
      <c r="F47" s="39" t="s">
        <v>47</v>
      </c>
      <c r="G47" s="39" t="s">
        <v>47</v>
      </c>
      <c r="H47" s="39" t="s">
        <v>47</v>
      </c>
      <c r="I47" s="39" t="s">
        <v>47</v>
      </c>
      <c r="J47" s="39" t="s">
        <v>47</v>
      </c>
      <c r="K47" s="39" t="s">
        <v>40</v>
      </c>
      <c r="L47" s="135"/>
      <c r="M47" s="45" t="s">
        <v>349</v>
      </c>
      <c r="N47" s="39" t="s">
        <v>1605</v>
      </c>
      <c r="O47" s="39">
        <v>0</v>
      </c>
      <c r="P47" s="39">
        <v>0</v>
      </c>
      <c r="Q47" s="39">
        <v>0</v>
      </c>
      <c r="R47" s="39">
        <v>0</v>
      </c>
      <c r="S47" s="39">
        <v>0</v>
      </c>
      <c r="T47" s="39">
        <v>0</v>
      </c>
      <c r="U47" s="39">
        <v>0</v>
      </c>
      <c r="V47" s="39">
        <v>0</v>
      </c>
      <c r="W47" s="39">
        <v>648235</v>
      </c>
      <c r="X47" s="39">
        <v>85552</v>
      </c>
      <c r="Y47" s="39">
        <v>2855603</v>
      </c>
      <c r="Z47" s="39" t="s">
        <v>119</v>
      </c>
      <c r="AA47" s="39" t="s">
        <v>350</v>
      </c>
      <c r="AB47" s="39">
        <v>85154</v>
      </c>
      <c r="AC47" s="39">
        <v>74054</v>
      </c>
      <c r="AD47" s="39" t="s">
        <v>351</v>
      </c>
      <c r="AE47" s="39" t="s">
        <v>352</v>
      </c>
      <c r="AF47" s="136">
        <v>43935</v>
      </c>
      <c r="AG47" s="39" t="s">
        <v>353</v>
      </c>
      <c r="AH47" s="39">
        <v>45513329</v>
      </c>
      <c r="AI47" s="39">
        <v>27455133292</v>
      </c>
      <c r="AJ47" s="46">
        <v>43209</v>
      </c>
      <c r="AK47" s="46">
        <v>43930</v>
      </c>
      <c r="AL47" s="47">
        <v>43935</v>
      </c>
      <c r="AM47" s="39">
        <v>850</v>
      </c>
      <c r="AN47" s="137" t="s">
        <v>114</v>
      </c>
      <c r="AO47" s="141">
        <v>89918</v>
      </c>
      <c r="AP47" s="139" t="s">
        <v>115</v>
      </c>
      <c r="AQ47" s="142" t="s">
        <v>1610</v>
      </c>
    </row>
    <row r="48" spans="1:43" x14ac:dyDescent="0.25">
      <c r="A48" s="42" t="s">
        <v>74</v>
      </c>
      <c r="B48" s="41" t="s">
        <v>94</v>
      </c>
      <c r="C48" s="41" t="s">
        <v>354</v>
      </c>
      <c r="D48" s="41" t="s">
        <v>355</v>
      </c>
      <c r="E48" s="41" t="s">
        <v>40</v>
      </c>
      <c r="F48" s="41" t="s">
        <v>131</v>
      </c>
      <c r="G48" s="41" t="s">
        <v>131</v>
      </c>
      <c r="H48" s="41" t="s">
        <v>131</v>
      </c>
      <c r="I48" s="41" t="s">
        <v>131</v>
      </c>
      <c r="J48" s="41" t="s">
        <v>131</v>
      </c>
      <c r="K48" s="41" t="s">
        <v>40</v>
      </c>
      <c r="L48" s="135"/>
      <c r="M48" s="45"/>
      <c r="N48" s="39" t="s">
        <v>1605</v>
      </c>
      <c r="O48" s="39">
        <v>0</v>
      </c>
      <c r="P48" s="39">
        <v>6</v>
      </c>
      <c r="Q48" s="39">
        <v>6</v>
      </c>
      <c r="R48" s="39">
        <v>6</v>
      </c>
      <c r="S48" s="39">
        <v>6</v>
      </c>
      <c r="T48" s="39">
        <v>6</v>
      </c>
      <c r="U48" s="39">
        <v>0</v>
      </c>
      <c r="V48" s="39">
        <v>30</v>
      </c>
      <c r="W48" s="39">
        <v>648061</v>
      </c>
      <c r="X48" s="39">
        <v>88038</v>
      </c>
      <c r="Y48" s="39">
        <v>3553114</v>
      </c>
      <c r="Z48" s="39" t="s">
        <v>118</v>
      </c>
      <c r="AA48" s="39" t="s">
        <v>119</v>
      </c>
      <c r="AB48" s="39">
        <v>85154</v>
      </c>
      <c r="AC48" s="39">
        <v>74054</v>
      </c>
      <c r="AD48" s="39" t="s">
        <v>356</v>
      </c>
      <c r="AE48" s="39" t="s">
        <v>357</v>
      </c>
      <c r="AF48" s="136">
        <v>43943</v>
      </c>
      <c r="AG48" s="39" t="s">
        <v>358</v>
      </c>
      <c r="AH48" s="39">
        <v>31038158</v>
      </c>
      <c r="AI48" s="39" t="s">
        <v>359</v>
      </c>
      <c r="AJ48" s="46">
        <v>43942</v>
      </c>
      <c r="AK48" s="46">
        <v>43942</v>
      </c>
      <c r="AL48" s="47">
        <v>43943</v>
      </c>
      <c r="AM48" s="39">
        <v>128</v>
      </c>
      <c r="AN48" s="137" t="s">
        <v>114</v>
      </c>
      <c r="AO48" s="141">
        <v>89882</v>
      </c>
      <c r="AP48" s="139" t="s">
        <v>115</v>
      </c>
      <c r="AQ48" s="142" t="s">
        <v>1607</v>
      </c>
    </row>
    <row r="49" spans="1:43" x14ac:dyDescent="0.25">
      <c r="A49" s="44" t="s">
        <v>74</v>
      </c>
      <c r="B49" s="39" t="s">
        <v>85</v>
      </c>
      <c r="C49" s="39" t="s">
        <v>360</v>
      </c>
      <c r="D49" s="39" t="s">
        <v>361</v>
      </c>
      <c r="E49" s="39" t="s">
        <v>40</v>
      </c>
      <c r="F49" s="39" t="s">
        <v>131</v>
      </c>
      <c r="G49" s="39" t="s">
        <v>131</v>
      </c>
      <c r="H49" s="39" t="s">
        <v>131</v>
      </c>
      <c r="I49" s="39" t="s">
        <v>131</v>
      </c>
      <c r="J49" s="39" t="s">
        <v>131</v>
      </c>
      <c r="K49" s="39" t="s">
        <v>40</v>
      </c>
      <c r="L49" s="135"/>
      <c r="M49" s="45"/>
      <c r="N49" s="39" t="s">
        <v>1605</v>
      </c>
      <c r="O49" s="39">
        <v>0</v>
      </c>
      <c r="P49" s="39">
        <v>6</v>
      </c>
      <c r="Q49" s="39">
        <v>6</v>
      </c>
      <c r="R49" s="39">
        <v>6</v>
      </c>
      <c r="S49" s="39">
        <v>6</v>
      </c>
      <c r="T49" s="39">
        <v>6</v>
      </c>
      <c r="U49" s="39">
        <v>0</v>
      </c>
      <c r="V49" s="39">
        <v>30</v>
      </c>
      <c r="W49" s="143">
        <v>89235</v>
      </c>
      <c r="X49" s="39">
        <v>87307</v>
      </c>
      <c r="Y49" s="39">
        <v>3462508</v>
      </c>
      <c r="Z49" s="39" t="s">
        <v>118</v>
      </c>
      <c r="AA49" s="39" t="s">
        <v>119</v>
      </c>
      <c r="AB49" s="39">
        <v>79688</v>
      </c>
      <c r="AC49" s="39">
        <v>74054</v>
      </c>
      <c r="AD49" s="39" t="s">
        <v>362</v>
      </c>
      <c r="AE49" s="39" t="s">
        <v>363</v>
      </c>
      <c r="AF49" s="136">
        <v>43915</v>
      </c>
      <c r="AG49" s="39" t="s">
        <v>364</v>
      </c>
      <c r="AH49" s="39">
        <v>40085899</v>
      </c>
      <c r="AI49" s="39">
        <v>27400858999</v>
      </c>
      <c r="AJ49" s="46">
        <v>43703</v>
      </c>
      <c r="AK49" s="46">
        <v>43703</v>
      </c>
      <c r="AL49" s="47">
        <v>43713</v>
      </c>
      <c r="AM49" s="39">
        <v>363</v>
      </c>
      <c r="AN49" s="137" t="s">
        <v>114</v>
      </c>
      <c r="AO49" s="141">
        <v>89954</v>
      </c>
      <c r="AP49" s="139" t="s">
        <v>115</v>
      </c>
      <c r="AQ49" s="142" t="s">
        <v>1607</v>
      </c>
    </row>
    <row r="50" spans="1:43" x14ac:dyDescent="0.25">
      <c r="A50" s="44" t="s">
        <v>74</v>
      </c>
      <c r="B50" s="39" t="s">
        <v>85</v>
      </c>
      <c r="C50" s="39" t="s">
        <v>365</v>
      </c>
      <c r="D50" s="39" t="s">
        <v>366</v>
      </c>
      <c r="E50" s="39" t="s">
        <v>40</v>
      </c>
      <c r="F50" s="39" t="s">
        <v>52</v>
      </c>
      <c r="G50" s="39" t="s">
        <v>52</v>
      </c>
      <c r="H50" s="39" t="s">
        <v>52</v>
      </c>
      <c r="I50" s="39" t="s">
        <v>52</v>
      </c>
      <c r="J50" s="39" t="s">
        <v>52</v>
      </c>
      <c r="K50" s="39" t="s">
        <v>40</v>
      </c>
      <c r="L50" s="135"/>
      <c r="M50" s="45" t="s">
        <v>367</v>
      </c>
      <c r="N50" s="39" t="s">
        <v>1605</v>
      </c>
      <c r="O50" s="39">
        <v>0</v>
      </c>
      <c r="P50" s="39">
        <v>0</v>
      </c>
      <c r="Q50" s="39">
        <v>0</v>
      </c>
      <c r="R50" s="39">
        <v>0</v>
      </c>
      <c r="S50" s="39">
        <v>0</v>
      </c>
      <c r="T50" s="39">
        <v>0</v>
      </c>
      <c r="U50" s="39">
        <v>0</v>
      </c>
      <c r="V50" s="39">
        <v>0</v>
      </c>
      <c r="W50" s="39">
        <v>648058</v>
      </c>
      <c r="X50" s="39">
        <v>88048</v>
      </c>
      <c r="Y50" s="39">
        <v>3553156</v>
      </c>
      <c r="Z50" s="39" t="s">
        <v>118</v>
      </c>
      <c r="AA50" s="39" t="s">
        <v>119</v>
      </c>
      <c r="AB50" s="39">
        <v>79688</v>
      </c>
      <c r="AC50" s="39">
        <v>74054</v>
      </c>
      <c r="AD50" s="39" t="s">
        <v>368</v>
      </c>
      <c r="AE50" s="39" t="s">
        <v>369</v>
      </c>
      <c r="AF50" s="136">
        <v>43943</v>
      </c>
      <c r="AG50" s="39" t="s">
        <v>370</v>
      </c>
      <c r="AH50" s="39">
        <v>41870420</v>
      </c>
      <c r="AI50" s="39" t="s">
        <v>371</v>
      </c>
      <c r="AJ50" s="46">
        <v>43942</v>
      </c>
      <c r="AK50" s="46">
        <v>43942</v>
      </c>
      <c r="AL50" s="47">
        <v>43943</v>
      </c>
      <c r="AM50" s="39">
        <v>128</v>
      </c>
      <c r="AN50" s="137" t="s">
        <v>114</v>
      </c>
      <c r="AO50" s="141">
        <v>89955</v>
      </c>
      <c r="AP50" s="139" t="s">
        <v>115</v>
      </c>
      <c r="AQ50" s="142" t="s">
        <v>1606</v>
      </c>
    </row>
    <row r="51" spans="1:43" x14ac:dyDescent="0.25">
      <c r="A51" s="44" t="s">
        <v>74</v>
      </c>
      <c r="B51" s="39" t="s">
        <v>85</v>
      </c>
      <c r="C51" s="39" t="s">
        <v>372</v>
      </c>
      <c r="D51" s="39" t="s">
        <v>373</v>
      </c>
      <c r="E51" s="39" t="s">
        <v>40</v>
      </c>
      <c r="F51" s="39" t="s">
        <v>52</v>
      </c>
      <c r="G51" s="39" t="s">
        <v>52</v>
      </c>
      <c r="H51" s="39" t="s">
        <v>52</v>
      </c>
      <c r="I51" s="39" t="s">
        <v>52</v>
      </c>
      <c r="J51" s="39" t="s">
        <v>52</v>
      </c>
      <c r="K51" s="39" t="s">
        <v>40</v>
      </c>
      <c r="L51" s="135"/>
      <c r="M51" s="45" t="s">
        <v>374</v>
      </c>
      <c r="N51" s="39" t="s">
        <v>1605</v>
      </c>
      <c r="O51" s="39">
        <v>0</v>
      </c>
      <c r="P51" s="39">
        <v>0</v>
      </c>
      <c r="Q51" s="39">
        <v>0</v>
      </c>
      <c r="R51" s="39">
        <v>0</v>
      </c>
      <c r="S51" s="39">
        <v>0</v>
      </c>
      <c r="T51" s="39">
        <v>0</v>
      </c>
      <c r="U51" s="39">
        <v>0</v>
      </c>
      <c r="V51" s="39">
        <v>0</v>
      </c>
      <c r="W51" s="39">
        <v>89157</v>
      </c>
      <c r="X51" s="39">
        <v>86290</v>
      </c>
      <c r="Y51" s="39">
        <v>3133275</v>
      </c>
      <c r="Z51" s="39" t="s">
        <v>375</v>
      </c>
      <c r="AA51" s="39" t="s">
        <v>119</v>
      </c>
      <c r="AB51" s="39">
        <v>79688</v>
      </c>
      <c r="AC51" s="39">
        <v>74054</v>
      </c>
      <c r="AD51" s="39" t="s">
        <v>376</v>
      </c>
      <c r="AE51" s="39" t="s">
        <v>377</v>
      </c>
      <c r="AF51" s="136">
        <v>43915</v>
      </c>
      <c r="AG51" s="39" t="s">
        <v>378</v>
      </c>
      <c r="AH51" s="39">
        <v>41763285</v>
      </c>
      <c r="AI51" s="39">
        <v>27417632854</v>
      </c>
      <c r="AJ51" s="46">
        <v>43451</v>
      </c>
      <c r="AK51" s="46">
        <v>43451</v>
      </c>
      <c r="AL51" s="47">
        <v>43467</v>
      </c>
      <c r="AM51" s="39">
        <v>612</v>
      </c>
      <c r="AN51" s="137" t="s">
        <v>114</v>
      </c>
      <c r="AO51" s="141">
        <v>89873</v>
      </c>
      <c r="AP51" s="139" t="s">
        <v>115</v>
      </c>
      <c r="AQ51" s="142" t="s">
        <v>1607</v>
      </c>
    </row>
    <row r="52" spans="1:43" x14ac:dyDescent="0.25">
      <c r="A52" s="44" t="s">
        <v>74</v>
      </c>
      <c r="B52" s="39" t="s">
        <v>85</v>
      </c>
      <c r="C52" s="39" t="s">
        <v>379</v>
      </c>
      <c r="D52" s="39" t="s">
        <v>380</v>
      </c>
      <c r="E52" s="39" t="s">
        <v>40</v>
      </c>
      <c r="F52" s="39" t="s">
        <v>52</v>
      </c>
      <c r="G52" s="39" t="s">
        <v>52</v>
      </c>
      <c r="H52" s="39" t="s">
        <v>52</v>
      </c>
      <c r="I52" s="39" t="s">
        <v>52</v>
      </c>
      <c r="J52" s="39" t="s">
        <v>52</v>
      </c>
      <c r="K52" s="39" t="s">
        <v>40</v>
      </c>
      <c r="L52" s="135"/>
      <c r="M52" s="45" t="s">
        <v>374</v>
      </c>
      <c r="N52" s="39" t="s">
        <v>1605</v>
      </c>
      <c r="O52" s="39">
        <v>0</v>
      </c>
      <c r="P52" s="39">
        <v>0</v>
      </c>
      <c r="Q52" s="39">
        <v>0</v>
      </c>
      <c r="R52" s="39">
        <v>0</v>
      </c>
      <c r="S52" s="39">
        <v>0</v>
      </c>
      <c r="T52" s="39">
        <v>0</v>
      </c>
      <c r="U52" s="39">
        <v>0</v>
      </c>
      <c r="V52" s="39">
        <v>0</v>
      </c>
      <c r="W52" s="39">
        <v>648224</v>
      </c>
      <c r="X52" s="39">
        <v>83409</v>
      </c>
      <c r="Y52" s="39">
        <v>2466183</v>
      </c>
      <c r="Z52" s="39" t="s">
        <v>146</v>
      </c>
      <c r="AA52" s="39" t="s">
        <v>350</v>
      </c>
      <c r="AB52" s="39">
        <v>79688</v>
      </c>
      <c r="AC52" s="39">
        <v>74054</v>
      </c>
      <c r="AD52" s="39" t="s">
        <v>381</v>
      </c>
      <c r="AE52" s="39" t="s">
        <v>382</v>
      </c>
      <c r="AF52" s="136">
        <v>43935</v>
      </c>
      <c r="AG52" s="39" t="s">
        <v>383</v>
      </c>
      <c r="AH52" s="39">
        <v>37996896</v>
      </c>
      <c r="AI52" s="39">
        <v>20379968962</v>
      </c>
      <c r="AJ52" s="46">
        <v>42842</v>
      </c>
      <c r="AK52" s="46">
        <v>43930</v>
      </c>
      <c r="AL52" s="47">
        <v>43935</v>
      </c>
      <c r="AM52" s="39">
        <v>1212</v>
      </c>
      <c r="AN52" s="137" t="s">
        <v>114</v>
      </c>
      <c r="AO52" s="141">
        <v>89913</v>
      </c>
      <c r="AP52" s="139" t="s">
        <v>115</v>
      </c>
      <c r="AQ52" s="142" t="s">
        <v>1607</v>
      </c>
    </row>
    <row r="53" spans="1:43" x14ac:dyDescent="0.25">
      <c r="A53" s="44" t="s">
        <v>74</v>
      </c>
      <c r="B53" s="39" t="s">
        <v>85</v>
      </c>
      <c r="C53" s="39" t="s">
        <v>159</v>
      </c>
      <c r="D53" s="39" t="s">
        <v>384</v>
      </c>
      <c r="E53" s="39" t="s">
        <v>40</v>
      </c>
      <c r="F53" s="39" t="s">
        <v>131</v>
      </c>
      <c r="G53" s="39" t="s">
        <v>131</v>
      </c>
      <c r="H53" s="39" t="s">
        <v>131</v>
      </c>
      <c r="I53" s="39" t="s">
        <v>131</v>
      </c>
      <c r="J53" s="39" t="s">
        <v>131</v>
      </c>
      <c r="K53" s="39" t="s">
        <v>40</v>
      </c>
      <c r="L53" s="135"/>
      <c r="M53" s="45"/>
      <c r="N53" s="39" t="s">
        <v>1605</v>
      </c>
      <c r="O53" s="39">
        <v>0</v>
      </c>
      <c r="P53" s="39">
        <v>6</v>
      </c>
      <c r="Q53" s="39">
        <v>6</v>
      </c>
      <c r="R53" s="39">
        <v>6</v>
      </c>
      <c r="S53" s="39">
        <v>6</v>
      </c>
      <c r="T53" s="39">
        <v>6</v>
      </c>
      <c r="U53" s="39">
        <v>0</v>
      </c>
      <c r="V53" s="39">
        <v>30</v>
      </c>
      <c r="W53" s="39">
        <v>89122</v>
      </c>
      <c r="X53" s="39">
        <v>86153</v>
      </c>
      <c r="Y53" s="39">
        <v>3118303</v>
      </c>
      <c r="Z53" s="39" t="s">
        <v>109</v>
      </c>
      <c r="AA53" s="39" t="s">
        <v>110</v>
      </c>
      <c r="AB53" s="39">
        <v>79688</v>
      </c>
      <c r="AC53" s="39">
        <v>74054</v>
      </c>
      <c r="AD53" s="39" t="s">
        <v>385</v>
      </c>
      <c r="AE53" s="39" t="s">
        <v>386</v>
      </c>
      <c r="AF53" s="136">
        <v>44011</v>
      </c>
      <c r="AG53" s="39" t="s">
        <v>387</v>
      </c>
      <c r="AH53" s="39">
        <v>35921616</v>
      </c>
      <c r="AI53" s="39">
        <v>27359216160</v>
      </c>
      <c r="AJ53" s="46">
        <v>43437</v>
      </c>
      <c r="AK53" s="46">
        <v>43437</v>
      </c>
      <c r="AL53" s="47">
        <v>43448</v>
      </c>
      <c r="AM53" s="39">
        <v>626</v>
      </c>
      <c r="AN53" s="137" t="s">
        <v>114</v>
      </c>
      <c r="AO53" s="141">
        <v>89957</v>
      </c>
      <c r="AP53" s="139" t="s">
        <v>266</v>
      </c>
      <c r="AQ53" s="142" t="s">
        <v>1607</v>
      </c>
    </row>
    <row r="54" spans="1:43" x14ac:dyDescent="0.25">
      <c r="A54" s="44" t="s">
        <v>74</v>
      </c>
      <c r="B54" s="39" t="s">
        <v>85</v>
      </c>
      <c r="C54" s="39" t="s">
        <v>388</v>
      </c>
      <c r="D54" s="39" t="s">
        <v>389</v>
      </c>
      <c r="E54" s="39" t="s">
        <v>40</v>
      </c>
      <c r="F54" s="39" t="s">
        <v>52</v>
      </c>
      <c r="G54" s="39" t="s">
        <v>52</v>
      </c>
      <c r="H54" s="39" t="s">
        <v>52</v>
      </c>
      <c r="I54" s="39" t="s">
        <v>52</v>
      </c>
      <c r="J54" s="39" t="s">
        <v>52</v>
      </c>
      <c r="K54" s="39" t="s">
        <v>40</v>
      </c>
      <c r="L54" s="135"/>
      <c r="M54" s="45" t="s">
        <v>374</v>
      </c>
      <c r="N54" s="39" t="s">
        <v>1605</v>
      </c>
      <c r="O54" s="39">
        <v>0</v>
      </c>
      <c r="P54" s="39">
        <v>0</v>
      </c>
      <c r="Q54" s="39">
        <v>0</v>
      </c>
      <c r="R54" s="39">
        <v>0</v>
      </c>
      <c r="S54" s="39">
        <v>0</v>
      </c>
      <c r="T54" s="39">
        <v>0</v>
      </c>
      <c r="U54" s="39">
        <v>0</v>
      </c>
      <c r="V54" s="39">
        <v>0</v>
      </c>
      <c r="W54" s="39">
        <v>89186</v>
      </c>
      <c r="X54" s="39">
        <v>86334</v>
      </c>
      <c r="Y54" s="39">
        <v>3138482</v>
      </c>
      <c r="Z54" s="39" t="s">
        <v>118</v>
      </c>
      <c r="AA54" s="39" t="s">
        <v>119</v>
      </c>
      <c r="AB54" s="39">
        <v>79688</v>
      </c>
      <c r="AC54" s="39">
        <v>74054</v>
      </c>
      <c r="AD54" s="39" t="s">
        <v>390</v>
      </c>
      <c r="AE54" s="39" t="s">
        <v>391</v>
      </c>
      <c r="AF54" s="136">
        <v>43916</v>
      </c>
      <c r="AG54" s="39" t="s">
        <v>392</v>
      </c>
      <c r="AH54" s="39">
        <v>28883627</v>
      </c>
      <c r="AI54" s="39">
        <v>20288836273</v>
      </c>
      <c r="AJ54" s="46">
        <v>43460</v>
      </c>
      <c r="AK54" s="46">
        <v>43460</v>
      </c>
      <c r="AL54" s="47">
        <v>43476</v>
      </c>
      <c r="AM54" s="39">
        <v>603</v>
      </c>
      <c r="AN54" s="137" t="s">
        <v>114</v>
      </c>
      <c r="AO54" s="141">
        <v>89958</v>
      </c>
      <c r="AP54" s="139" t="s">
        <v>115</v>
      </c>
      <c r="AQ54" s="142" t="s">
        <v>1607</v>
      </c>
    </row>
    <row r="55" spans="1:43" x14ac:dyDescent="0.25">
      <c r="A55" s="44" t="s">
        <v>74</v>
      </c>
      <c r="B55" s="39" t="s">
        <v>85</v>
      </c>
      <c r="C55" s="39" t="s">
        <v>393</v>
      </c>
      <c r="D55" s="39" t="s">
        <v>394</v>
      </c>
      <c r="E55" s="39" t="s">
        <v>40</v>
      </c>
      <c r="F55" s="39" t="s">
        <v>52</v>
      </c>
      <c r="G55" s="39" t="s">
        <v>52</v>
      </c>
      <c r="H55" s="39" t="s">
        <v>52</v>
      </c>
      <c r="I55" s="39" t="s">
        <v>52</v>
      </c>
      <c r="J55" s="39" t="s">
        <v>52</v>
      </c>
      <c r="K55" s="39" t="s">
        <v>40</v>
      </c>
      <c r="L55" s="135"/>
      <c r="M55" s="45" t="s">
        <v>395</v>
      </c>
      <c r="N55" s="39" t="s">
        <v>1605</v>
      </c>
      <c r="O55" s="39">
        <v>0</v>
      </c>
      <c r="P55" s="39">
        <v>0</v>
      </c>
      <c r="Q55" s="39">
        <v>0</v>
      </c>
      <c r="R55" s="39">
        <v>0</v>
      </c>
      <c r="S55" s="39">
        <v>0</v>
      </c>
      <c r="T55" s="39">
        <v>0</v>
      </c>
      <c r="U55" s="39">
        <v>0</v>
      </c>
      <c r="V55" s="39">
        <v>0</v>
      </c>
      <c r="W55" s="39">
        <v>648062</v>
      </c>
      <c r="X55" s="39">
        <v>88050</v>
      </c>
      <c r="Y55" s="39">
        <v>3553149</v>
      </c>
      <c r="Z55" s="39" t="s">
        <v>118</v>
      </c>
      <c r="AA55" s="39" t="s">
        <v>119</v>
      </c>
      <c r="AB55" s="39">
        <v>79688</v>
      </c>
      <c r="AC55" s="39">
        <v>74054</v>
      </c>
      <c r="AD55" s="39" t="s">
        <v>396</v>
      </c>
      <c r="AE55" s="39" t="s">
        <v>397</v>
      </c>
      <c r="AF55" s="136">
        <v>43943</v>
      </c>
      <c r="AG55" s="39" t="s">
        <v>398</v>
      </c>
      <c r="AH55" s="39">
        <v>41425872</v>
      </c>
      <c r="AI55" s="39" t="s">
        <v>399</v>
      </c>
      <c r="AJ55" s="46">
        <v>43942</v>
      </c>
      <c r="AK55" s="46">
        <v>43942</v>
      </c>
      <c r="AL55" s="47">
        <v>43943</v>
      </c>
      <c r="AM55" s="39">
        <v>128</v>
      </c>
      <c r="AN55" s="137" t="s">
        <v>114</v>
      </c>
      <c r="AO55" s="141">
        <v>89959</v>
      </c>
      <c r="AP55" s="139" t="s">
        <v>115</v>
      </c>
      <c r="AQ55" s="142" t="s">
        <v>1608</v>
      </c>
    </row>
    <row r="56" spans="1:43" x14ac:dyDescent="0.25">
      <c r="A56" s="44" t="s">
        <v>74</v>
      </c>
      <c r="B56" s="39" t="s">
        <v>85</v>
      </c>
      <c r="C56" s="39" t="s">
        <v>400</v>
      </c>
      <c r="D56" s="39" t="s">
        <v>401</v>
      </c>
      <c r="E56" s="39" t="s">
        <v>40</v>
      </c>
      <c r="F56" s="39" t="s">
        <v>52</v>
      </c>
      <c r="G56" s="39" t="s">
        <v>52</v>
      </c>
      <c r="H56" s="39" t="s">
        <v>52</v>
      </c>
      <c r="I56" s="39" t="s">
        <v>52</v>
      </c>
      <c r="J56" s="39" t="s">
        <v>52</v>
      </c>
      <c r="K56" s="39" t="s">
        <v>40</v>
      </c>
      <c r="L56" s="135"/>
      <c r="M56" s="45" t="s">
        <v>374</v>
      </c>
      <c r="N56" s="39" t="s">
        <v>1605</v>
      </c>
      <c r="O56" s="39">
        <v>0</v>
      </c>
      <c r="P56" s="39">
        <v>0</v>
      </c>
      <c r="Q56" s="39">
        <v>0</v>
      </c>
      <c r="R56" s="39">
        <v>0</v>
      </c>
      <c r="S56" s="39">
        <v>0</v>
      </c>
      <c r="T56" s="39">
        <v>0</v>
      </c>
      <c r="U56" s="39">
        <v>0</v>
      </c>
      <c r="V56" s="39">
        <v>0</v>
      </c>
      <c r="W56" s="39">
        <v>89312</v>
      </c>
      <c r="X56" s="39">
        <v>88173</v>
      </c>
      <c r="Y56" s="39">
        <v>3624180</v>
      </c>
      <c r="Z56" s="39" t="s">
        <v>118</v>
      </c>
      <c r="AA56" s="39" t="s">
        <v>119</v>
      </c>
      <c r="AB56" s="39">
        <v>79688</v>
      </c>
      <c r="AC56" s="39">
        <v>74054</v>
      </c>
      <c r="AD56" s="39" t="s">
        <v>402</v>
      </c>
      <c r="AE56" s="39" t="s">
        <v>403</v>
      </c>
      <c r="AF56" s="136">
        <v>43915</v>
      </c>
      <c r="AG56" s="39"/>
      <c r="AH56" s="39">
        <v>37460467</v>
      </c>
      <c r="AI56" s="39">
        <v>27374604673</v>
      </c>
      <c r="AJ56" s="46">
        <v>43808</v>
      </c>
      <c r="AK56" s="46">
        <v>43808</v>
      </c>
      <c r="AL56" s="47">
        <v>43831</v>
      </c>
      <c r="AM56" s="39">
        <v>260</v>
      </c>
      <c r="AN56" s="137" t="s">
        <v>114</v>
      </c>
      <c r="AO56" s="141">
        <v>89960</v>
      </c>
      <c r="AP56" s="139" t="s">
        <v>115</v>
      </c>
      <c r="AQ56" s="142" t="s">
        <v>1607</v>
      </c>
    </row>
    <row r="57" spans="1:43" x14ac:dyDescent="0.25">
      <c r="A57" s="44" t="s">
        <v>74</v>
      </c>
      <c r="B57" s="39" t="s">
        <v>85</v>
      </c>
      <c r="C57" s="39" t="s">
        <v>404</v>
      </c>
      <c r="D57" s="39" t="s">
        <v>405</v>
      </c>
      <c r="E57" s="39" t="s">
        <v>40</v>
      </c>
      <c r="F57" s="39" t="s">
        <v>52</v>
      </c>
      <c r="G57" s="39" t="s">
        <v>52</v>
      </c>
      <c r="H57" s="39" t="s">
        <v>52</v>
      </c>
      <c r="I57" s="39" t="s">
        <v>52</v>
      </c>
      <c r="J57" s="39" t="s">
        <v>52</v>
      </c>
      <c r="K57" s="39" t="s">
        <v>40</v>
      </c>
      <c r="L57" s="135"/>
      <c r="M57" s="45" t="s">
        <v>374</v>
      </c>
      <c r="N57" s="39" t="s">
        <v>1605</v>
      </c>
      <c r="O57" s="39">
        <v>0</v>
      </c>
      <c r="P57" s="39">
        <v>0</v>
      </c>
      <c r="Q57" s="39">
        <v>0</v>
      </c>
      <c r="R57" s="39">
        <v>0</v>
      </c>
      <c r="S57" s="39">
        <v>0</v>
      </c>
      <c r="T57" s="39">
        <v>0</v>
      </c>
      <c r="U57" s="39">
        <v>0</v>
      </c>
      <c r="V57" s="39">
        <v>0</v>
      </c>
      <c r="W57" s="39">
        <v>648389</v>
      </c>
      <c r="X57" s="39">
        <v>87712</v>
      </c>
      <c r="Y57" s="39">
        <v>3526355</v>
      </c>
      <c r="Z57" s="39" t="s">
        <v>119</v>
      </c>
      <c r="AA57" s="39" t="s">
        <v>119</v>
      </c>
      <c r="AB57" s="39">
        <v>79688</v>
      </c>
      <c r="AC57" s="39">
        <v>74054</v>
      </c>
      <c r="AD57" s="39" t="s">
        <v>406</v>
      </c>
      <c r="AE57" s="39" t="s">
        <v>407</v>
      </c>
      <c r="AF57" s="136">
        <v>43969</v>
      </c>
      <c r="AG57" s="39" t="s">
        <v>408</v>
      </c>
      <c r="AH57" s="39">
        <v>41060400</v>
      </c>
      <c r="AI57" s="39">
        <v>20410604001</v>
      </c>
      <c r="AJ57" s="46">
        <v>43745</v>
      </c>
      <c r="AK57" s="46">
        <v>43962</v>
      </c>
      <c r="AL57" s="47">
        <v>43969</v>
      </c>
      <c r="AM57" s="39">
        <v>322</v>
      </c>
      <c r="AN57" s="137" t="s">
        <v>114</v>
      </c>
      <c r="AO57" s="141">
        <v>648329</v>
      </c>
      <c r="AP57" s="139" t="s">
        <v>115</v>
      </c>
      <c r="AQ57" s="142" t="s">
        <v>1607</v>
      </c>
    </row>
    <row r="58" spans="1:43" x14ac:dyDescent="0.25">
      <c r="A58" s="44" t="s">
        <v>74</v>
      </c>
      <c r="B58" s="39" t="s">
        <v>85</v>
      </c>
      <c r="C58" s="39" t="s">
        <v>409</v>
      </c>
      <c r="D58" s="39" t="s">
        <v>410</v>
      </c>
      <c r="E58" s="39" t="s">
        <v>40</v>
      </c>
      <c r="F58" s="39" t="s">
        <v>52</v>
      </c>
      <c r="G58" s="39" t="s">
        <v>52</v>
      </c>
      <c r="H58" s="39" t="s">
        <v>52</v>
      </c>
      <c r="I58" s="39" t="s">
        <v>52</v>
      </c>
      <c r="J58" s="39" t="s">
        <v>52</v>
      </c>
      <c r="K58" s="39" t="s">
        <v>40</v>
      </c>
      <c r="L58" s="135"/>
      <c r="M58" s="45" t="s">
        <v>374</v>
      </c>
      <c r="N58" s="39" t="s">
        <v>1605</v>
      </c>
      <c r="O58" s="39">
        <v>0</v>
      </c>
      <c r="P58" s="39">
        <v>0</v>
      </c>
      <c r="Q58" s="39">
        <v>0</v>
      </c>
      <c r="R58" s="39">
        <v>0</v>
      </c>
      <c r="S58" s="39">
        <v>0</v>
      </c>
      <c r="T58" s="39">
        <v>0</v>
      </c>
      <c r="U58" s="39">
        <v>0</v>
      </c>
      <c r="V58" s="39">
        <v>0</v>
      </c>
      <c r="W58" s="39">
        <v>89103</v>
      </c>
      <c r="X58" s="39">
        <v>85279</v>
      </c>
      <c r="Y58" s="39">
        <v>2804825</v>
      </c>
      <c r="Z58" s="39" t="s">
        <v>118</v>
      </c>
      <c r="AA58" s="39" t="s">
        <v>119</v>
      </c>
      <c r="AB58" s="39">
        <v>79688</v>
      </c>
      <c r="AC58" s="39">
        <v>74054</v>
      </c>
      <c r="AD58" s="39" t="s">
        <v>411</v>
      </c>
      <c r="AE58" s="39" t="s">
        <v>412</v>
      </c>
      <c r="AF58" s="136">
        <v>43912</v>
      </c>
      <c r="AG58" s="39" t="s">
        <v>413</v>
      </c>
      <c r="AH58" s="39">
        <v>35374408</v>
      </c>
      <c r="AI58" s="39">
        <v>27353744084</v>
      </c>
      <c r="AJ58" s="46">
        <v>43164</v>
      </c>
      <c r="AK58" s="46">
        <v>43409</v>
      </c>
      <c r="AL58" s="47">
        <v>43423</v>
      </c>
      <c r="AM58" s="39">
        <v>894</v>
      </c>
      <c r="AN58" s="137" t="s">
        <v>114</v>
      </c>
      <c r="AO58" s="141">
        <v>89962</v>
      </c>
      <c r="AP58" s="139" t="s">
        <v>115</v>
      </c>
      <c r="AQ58" s="142" t="s">
        <v>1607</v>
      </c>
    </row>
    <row r="59" spans="1:43" x14ac:dyDescent="0.25">
      <c r="A59" s="44" t="s">
        <v>74</v>
      </c>
      <c r="B59" s="39" t="s">
        <v>85</v>
      </c>
      <c r="C59" s="39" t="s">
        <v>414</v>
      </c>
      <c r="D59" s="39" t="s">
        <v>415</v>
      </c>
      <c r="E59" s="39" t="s">
        <v>40</v>
      </c>
      <c r="F59" s="39" t="s">
        <v>131</v>
      </c>
      <c r="G59" s="39" t="s">
        <v>131</v>
      </c>
      <c r="H59" s="39" t="s">
        <v>131</v>
      </c>
      <c r="I59" s="39" t="s">
        <v>131</v>
      </c>
      <c r="J59" s="39" t="s">
        <v>131</v>
      </c>
      <c r="K59" s="39" t="s">
        <v>40</v>
      </c>
      <c r="L59" s="135"/>
      <c r="M59" s="45"/>
      <c r="N59" s="39" t="s">
        <v>1605</v>
      </c>
      <c r="O59" s="39">
        <v>0</v>
      </c>
      <c r="P59" s="39">
        <v>6</v>
      </c>
      <c r="Q59" s="39">
        <v>6</v>
      </c>
      <c r="R59" s="39">
        <v>6</v>
      </c>
      <c r="S59" s="39">
        <v>6</v>
      </c>
      <c r="T59" s="39">
        <v>6</v>
      </c>
      <c r="U59" s="39">
        <v>0</v>
      </c>
      <c r="V59" s="39">
        <v>30</v>
      </c>
      <c r="W59" s="143">
        <v>89243</v>
      </c>
      <c r="X59" s="39">
        <v>87301</v>
      </c>
      <c r="Y59" s="39">
        <v>3462491</v>
      </c>
      <c r="Z59" s="39" t="s">
        <v>118</v>
      </c>
      <c r="AA59" s="39" t="s">
        <v>119</v>
      </c>
      <c r="AB59" s="39">
        <v>79688</v>
      </c>
      <c r="AC59" s="39">
        <v>74054</v>
      </c>
      <c r="AD59" s="39" t="s">
        <v>416</v>
      </c>
      <c r="AE59" s="39" t="s">
        <v>417</v>
      </c>
      <c r="AF59" s="136">
        <v>43919</v>
      </c>
      <c r="AG59" s="39">
        <v>3816470378</v>
      </c>
      <c r="AH59" s="39">
        <v>37455387</v>
      </c>
      <c r="AI59" s="39">
        <v>23374553879</v>
      </c>
      <c r="AJ59" s="46">
        <v>43703</v>
      </c>
      <c r="AK59" s="46">
        <v>43703</v>
      </c>
      <c r="AL59" s="47">
        <v>43713</v>
      </c>
      <c r="AM59" s="39">
        <v>363</v>
      </c>
      <c r="AN59" s="137" t="s">
        <v>114</v>
      </c>
      <c r="AO59" s="141">
        <v>89963</v>
      </c>
      <c r="AP59" s="139" t="s">
        <v>115</v>
      </c>
      <c r="AQ59" s="142" t="s">
        <v>1607</v>
      </c>
    </row>
    <row r="60" spans="1:43" x14ac:dyDescent="0.25">
      <c r="A60" s="42" t="s">
        <v>71</v>
      </c>
      <c r="B60" s="41" t="s">
        <v>88</v>
      </c>
      <c r="C60" s="41" t="s">
        <v>418</v>
      </c>
      <c r="D60" s="41" t="s">
        <v>419</v>
      </c>
      <c r="E60" s="41" t="s">
        <v>40</v>
      </c>
      <c r="F60" s="41" t="s">
        <v>420</v>
      </c>
      <c r="G60" s="41" t="s">
        <v>420</v>
      </c>
      <c r="H60" s="41" t="s">
        <v>420</v>
      </c>
      <c r="I60" s="41" t="s">
        <v>420</v>
      </c>
      <c r="J60" s="41" t="s">
        <v>420</v>
      </c>
      <c r="K60" s="41" t="s">
        <v>40</v>
      </c>
      <c r="L60" s="135"/>
      <c r="M60" s="45" t="s">
        <v>1619</v>
      </c>
      <c r="N60" s="39" t="s">
        <v>1605</v>
      </c>
      <c r="O60" s="39">
        <v>0</v>
      </c>
      <c r="P60" s="39">
        <v>6</v>
      </c>
      <c r="Q60" s="39">
        <v>6</v>
      </c>
      <c r="R60" s="39">
        <v>6</v>
      </c>
      <c r="S60" s="39">
        <v>6</v>
      </c>
      <c r="T60" s="39">
        <v>6</v>
      </c>
      <c r="U60" s="39">
        <v>0</v>
      </c>
      <c r="V60" s="39">
        <v>30</v>
      </c>
      <c r="W60" s="39">
        <v>648351</v>
      </c>
      <c r="X60" s="39">
        <v>86179</v>
      </c>
      <c r="Y60" s="39">
        <v>3118459</v>
      </c>
      <c r="Z60" s="39" t="s">
        <v>118</v>
      </c>
      <c r="AA60" s="39" t="s">
        <v>119</v>
      </c>
      <c r="AB60" s="39">
        <v>77681</v>
      </c>
      <c r="AC60" s="39">
        <v>64118</v>
      </c>
      <c r="AD60" s="39" t="s">
        <v>421</v>
      </c>
      <c r="AE60" s="39" t="s">
        <v>422</v>
      </c>
      <c r="AF60" s="136">
        <v>43969</v>
      </c>
      <c r="AG60" s="39" t="s">
        <v>423</v>
      </c>
      <c r="AH60" s="39">
        <v>41959700</v>
      </c>
      <c r="AI60" s="39">
        <v>27419597002</v>
      </c>
      <c r="AJ60" s="46">
        <v>43437</v>
      </c>
      <c r="AK60" s="46">
        <v>43962</v>
      </c>
      <c r="AL60" s="47">
        <v>43969</v>
      </c>
      <c r="AM60" s="39">
        <v>626</v>
      </c>
      <c r="AN60" s="137" t="s">
        <v>114</v>
      </c>
      <c r="AO60" s="141">
        <v>648332</v>
      </c>
      <c r="AP60" s="139" t="s">
        <v>115</v>
      </c>
      <c r="AQ60" s="142" t="s">
        <v>1611</v>
      </c>
    </row>
    <row r="61" spans="1:43" x14ac:dyDescent="0.25">
      <c r="A61" s="44" t="s">
        <v>74</v>
      </c>
      <c r="B61" s="39" t="s">
        <v>85</v>
      </c>
      <c r="C61" s="39" t="s">
        <v>424</v>
      </c>
      <c r="D61" s="39" t="s">
        <v>425</v>
      </c>
      <c r="E61" s="39" t="s">
        <v>40</v>
      </c>
      <c r="F61" s="39" t="s">
        <v>52</v>
      </c>
      <c r="G61" s="39" t="s">
        <v>52</v>
      </c>
      <c r="H61" s="39" t="s">
        <v>52</v>
      </c>
      <c r="I61" s="39" t="s">
        <v>52</v>
      </c>
      <c r="J61" s="39" t="s">
        <v>52</v>
      </c>
      <c r="K61" s="39" t="s">
        <v>40</v>
      </c>
      <c r="L61" s="135"/>
      <c r="M61" s="45" t="s">
        <v>395</v>
      </c>
      <c r="N61" s="39" t="s">
        <v>1605</v>
      </c>
      <c r="O61" s="39">
        <v>0</v>
      </c>
      <c r="P61" s="39">
        <v>0</v>
      </c>
      <c r="Q61" s="39">
        <v>0</v>
      </c>
      <c r="R61" s="39">
        <v>0</v>
      </c>
      <c r="S61" s="39">
        <v>0</v>
      </c>
      <c r="T61" s="39">
        <v>0</v>
      </c>
      <c r="U61" s="39">
        <v>0</v>
      </c>
      <c r="V61" s="39">
        <v>0</v>
      </c>
      <c r="W61" s="39">
        <v>648059</v>
      </c>
      <c r="X61" s="39">
        <v>88036</v>
      </c>
      <c r="Y61" s="39">
        <v>3553110</v>
      </c>
      <c r="Z61" s="39" t="s">
        <v>118</v>
      </c>
      <c r="AA61" s="39" t="s">
        <v>119</v>
      </c>
      <c r="AB61" s="39">
        <v>79688</v>
      </c>
      <c r="AC61" s="39">
        <v>74054</v>
      </c>
      <c r="AD61" s="39" t="s">
        <v>426</v>
      </c>
      <c r="AE61" s="39" t="s">
        <v>427</v>
      </c>
      <c r="AF61" s="136">
        <v>43943</v>
      </c>
      <c r="AG61" s="39" t="s">
        <v>428</v>
      </c>
      <c r="AH61" s="39">
        <v>41345711</v>
      </c>
      <c r="AI61" s="39" t="s">
        <v>429</v>
      </c>
      <c r="AJ61" s="46">
        <v>43942</v>
      </c>
      <c r="AK61" s="46">
        <v>43942</v>
      </c>
      <c r="AL61" s="47">
        <v>43943</v>
      </c>
      <c r="AM61" s="39">
        <v>128</v>
      </c>
      <c r="AN61" s="137" t="s">
        <v>114</v>
      </c>
      <c r="AO61" s="141">
        <v>89964</v>
      </c>
      <c r="AP61" s="139" t="s">
        <v>115</v>
      </c>
      <c r="AQ61" s="142" t="s">
        <v>1608</v>
      </c>
    </row>
    <row r="62" spans="1:43" x14ac:dyDescent="0.25">
      <c r="A62" s="44" t="s">
        <v>74</v>
      </c>
      <c r="B62" s="39" t="s">
        <v>85</v>
      </c>
      <c r="C62" s="39" t="s">
        <v>430</v>
      </c>
      <c r="D62" s="39" t="s">
        <v>431</v>
      </c>
      <c r="E62" s="39" t="s">
        <v>40</v>
      </c>
      <c r="F62" s="39" t="s">
        <v>52</v>
      </c>
      <c r="G62" s="39" t="s">
        <v>52</v>
      </c>
      <c r="H62" s="39" t="s">
        <v>52</v>
      </c>
      <c r="I62" s="39" t="s">
        <v>52</v>
      </c>
      <c r="J62" s="39" t="s">
        <v>52</v>
      </c>
      <c r="K62" s="39" t="s">
        <v>40</v>
      </c>
      <c r="L62" s="135"/>
      <c r="M62" s="45" t="s">
        <v>374</v>
      </c>
      <c r="N62" s="39" t="s">
        <v>1605</v>
      </c>
      <c r="O62" s="39">
        <v>0</v>
      </c>
      <c r="P62" s="39">
        <v>0</v>
      </c>
      <c r="Q62" s="39">
        <v>0</v>
      </c>
      <c r="R62" s="39">
        <v>0</v>
      </c>
      <c r="S62" s="39">
        <v>0</v>
      </c>
      <c r="T62" s="39">
        <v>0</v>
      </c>
      <c r="U62" s="39">
        <v>0</v>
      </c>
      <c r="V62" s="39">
        <v>0</v>
      </c>
      <c r="W62" s="39">
        <v>89135</v>
      </c>
      <c r="X62" s="39">
        <v>86152</v>
      </c>
      <c r="Y62" s="39">
        <v>1154505</v>
      </c>
      <c r="Z62" s="39" t="s">
        <v>375</v>
      </c>
      <c r="AA62" s="39" t="s">
        <v>119</v>
      </c>
      <c r="AB62" s="39">
        <v>79688</v>
      </c>
      <c r="AC62" s="39">
        <v>74054</v>
      </c>
      <c r="AD62" s="39" t="s">
        <v>432</v>
      </c>
      <c r="AE62" s="39" t="s">
        <v>433</v>
      </c>
      <c r="AF62" s="136">
        <v>43917</v>
      </c>
      <c r="AG62" s="39" t="s">
        <v>434</v>
      </c>
      <c r="AH62" s="39">
        <v>38045027</v>
      </c>
      <c r="AI62" s="39">
        <v>27380450270</v>
      </c>
      <c r="AJ62" s="46">
        <v>43437</v>
      </c>
      <c r="AK62" s="46">
        <v>43437</v>
      </c>
      <c r="AL62" s="47">
        <v>43448</v>
      </c>
      <c r="AM62" s="39">
        <v>626</v>
      </c>
      <c r="AN62" s="137" t="s">
        <v>114</v>
      </c>
      <c r="AO62" s="141">
        <v>89965</v>
      </c>
      <c r="AP62" s="139" t="s">
        <v>115</v>
      </c>
      <c r="AQ62" s="142" t="s">
        <v>1607</v>
      </c>
    </row>
    <row r="63" spans="1:43" x14ac:dyDescent="0.25">
      <c r="A63" s="44" t="s">
        <v>74</v>
      </c>
      <c r="B63" s="39" t="s">
        <v>85</v>
      </c>
      <c r="C63" s="39" t="s">
        <v>192</v>
      </c>
      <c r="D63" s="39" t="s">
        <v>435</v>
      </c>
      <c r="E63" s="39" t="s">
        <v>40</v>
      </c>
      <c r="F63" s="39" t="s">
        <v>108</v>
      </c>
      <c r="G63" s="39" t="s">
        <v>108</v>
      </c>
      <c r="H63" s="39" t="s">
        <v>108</v>
      </c>
      <c r="I63" s="39" t="s">
        <v>108</v>
      </c>
      <c r="J63" s="39" t="s">
        <v>108</v>
      </c>
      <c r="K63" s="39" t="s">
        <v>40</v>
      </c>
      <c r="L63" s="135"/>
      <c r="M63" s="45"/>
      <c r="N63" s="39" t="s">
        <v>1605</v>
      </c>
      <c r="O63" s="39">
        <v>0</v>
      </c>
      <c r="P63" s="39">
        <v>5.0000000000000009</v>
      </c>
      <c r="Q63" s="39">
        <v>5.0000000000000009</v>
      </c>
      <c r="R63" s="39">
        <v>5.0000000000000009</v>
      </c>
      <c r="S63" s="39">
        <v>5.0000000000000009</v>
      </c>
      <c r="T63" s="39">
        <v>5.0000000000000009</v>
      </c>
      <c r="U63" s="39">
        <v>0</v>
      </c>
      <c r="V63" s="39">
        <v>25.000000000000004</v>
      </c>
      <c r="W63" s="39">
        <v>89222</v>
      </c>
      <c r="X63" s="39">
        <v>87048</v>
      </c>
      <c r="Y63" s="39">
        <v>3409593</v>
      </c>
      <c r="Z63" s="39" t="s">
        <v>118</v>
      </c>
      <c r="AA63" s="39" t="s">
        <v>119</v>
      </c>
      <c r="AB63" s="39">
        <v>79688</v>
      </c>
      <c r="AC63" s="39">
        <v>74054</v>
      </c>
      <c r="AD63" s="39" t="s">
        <v>436</v>
      </c>
      <c r="AE63" s="39" t="s">
        <v>437</v>
      </c>
      <c r="AF63" s="136">
        <v>43916</v>
      </c>
      <c r="AG63" s="39" t="s">
        <v>438</v>
      </c>
      <c r="AH63" s="39">
        <v>36998015</v>
      </c>
      <c r="AI63" s="39">
        <v>20369980158</v>
      </c>
      <c r="AJ63" s="46">
        <v>43668</v>
      </c>
      <c r="AK63" s="46">
        <v>43669</v>
      </c>
      <c r="AL63" s="47">
        <v>43678</v>
      </c>
      <c r="AM63" s="39">
        <v>397</v>
      </c>
      <c r="AN63" s="137" t="s">
        <v>114</v>
      </c>
      <c r="AO63" s="141">
        <v>89966</v>
      </c>
      <c r="AP63" s="139" t="s">
        <v>115</v>
      </c>
      <c r="AQ63" s="142" t="s">
        <v>1606</v>
      </c>
    </row>
    <row r="64" spans="1:43" x14ac:dyDescent="0.25">
      <c r="A64" s="44" t="s">
        <v>74</v>
      </c>
      <c r="B64" s="39" t="s">
        <v>77</v>
      </c>
      <c r="C64" s="39" t="s">
        <v>439</v>
      </c>
      <c r="D64" s="39" t="s">
        <v>440</v>
      </c>
      <c r="E64" s="39" t="s">
        <v>40</v>
      </c>
      <c r="F64" s="39" t="s">
        <v>108</v>
      </c>
      <c r="G64" s="39" t="s">
        <v>108</v>
      </c>
      <c r="H64" s="39" t="s">
        <v>108</v>
      </c>
      <c r="I64" s="39" t="s">
        <v>108</v>
      </c>
      <c r="J64" s="39" t="s">
        <v>108</v>
      </c>
      <c r="K64" s="39" t="s">
        <v>40</v>
      </c>
      <c r="L64" s="135"/>
      <c r="M64" s="45"/>
      <c r="N64" s="39" t="s">
        <v>1605</v>
      </c>
      <c r="O64" s="39">
        <v>0</v>
      </c>
      <c r="P64" s="39">
        <v>5.0000000000000009</v>
      </c>
      <c r="Q64" s="39">
        <v>5.0000000000000009</v>
      </c>
      <c r="R64" s="39">
        <v>5.0000000000000009</v>
      </c>
      <c r="S64" s="39">
        <v>5.0000000000000009</v>
      </c>
      <c r="T64" s="39">
        <v>5.0000000000000009</v>
      </c>
      <c r="U64" s="39">
        <v>0</v>
      </c>
      <c r="V64" s="39">
        <v>25.000000000000004</v>
      </c>
      <c r="W64" s="39">
        <v>89204</v>
      </c>
      <c r="X64" s="39">
        <v>87044</v>
      </c>
      <c r="Y64" s="39">
        <v>3409636</v>
      </c>
      <c r="Z64" s="39" t="s">
        <v>146</v>
      </c>
      <c r="AA64" s="39" t="s">
        <v>119</v>
      </c>
      <c r="AB64" s="39">
        <v>80740</v>
      </c>
      <c r="AC64" s="39">
        <v>74054</v>
      </c>
      <c r="AD64" s="39" t="s">
        <v>441</v>
      </c>
      <c r="AE64" s="39" t="s">
        <v>442</v>
      </c>
      <c r="AF64" s="136">
        <v>43921</v>
      </c>
      <c r="AG64" s="39" t="s">
        <v>443</v>
      </c>
      <c r="AH64" s="39">
        <v>40238197</v>
      </c>
      <c r="AI64" s="39">
        <v>20402381974</v>
      </c>
      <c r="AJ64" s="46">
        <v>43668</v>
      </c>
      <c r="AK64" s="46">
        <v>43669</v>
      </c>
      <c r="AL64" s="47">
        <v>43678</v>
      </c>
      <c r="AM64" s="39">
        <v>397</v>
      </c>
      <c r="AN64" s="137" t="s">
        <v>114</v>
      </c>
      <c r="AO64" s="141">
        <v>89967</v>
      </c>
      <c r="AP64" s="139" t="s">
        <v>115</v>
      </c>
      <c r="AQ64" s="142" t="s">
        <v>1606</v>
      </c>
    </row>
    <row r="65" spans="1:43" x14ac:dyDescent="0.25">
      <c r="A65" s="44" t="s">
        <v>74</v>
      </c>
      <c r="B65" s="39" t="s">
        <v>77</v>
      </c>
      <c r="C65" s="39" t="s">
        <v>444</v>
      </c>
      <c r="D65" s="39" t="s">
        <v>445</v>
      </c>
      <c r="E65" s="39" t="s">
        <v>40</v>
      </c>
      <c r="F65" s="39" t="s">
        <v>52</v>
      </c>
      <c r="G65" s="39" t="s">
        <v>52</v>
      </c>
      <c r="H65" s="39" t="s">
        <v>52</v>
      </c>
      <c r="I65" s="39" t="s">
        <v>52</v>
      </c>
      <c r="J65" s="39" t="s">
        <v>52</v>
      </c>
      <c r="K65" s="39" t="s">
        <v>40</v>
      </c>
      <c r="L65" s="135"/>
      <c r="M65" s="45" t="s">
        <v>367</v>
      </c>
      <c r="N65" s="39" t="s">
        <v>1605</v>
      </c>
      <c r="O65" s="39">
        <v>0</v>
      </c>
      <c r="P65" s="39">
        <v>0</v>
      </c>
      <c r="Q65" s="39">
        <v>0</v>
      </c>
      <c r="R65" s="39">
        <v>0</v>
      </c>
      <c r="S65" s="39">
        <v>0</v>
      </c>
      <c r="T65" s="39">
        <v>0</v>
      </c>
      <c r="U65" s="39">
        <v>0</v>
      </c>
      <c r="V65" s="39">
        <v>0</v>
      </c>
      <c r="W65" s="39">
        <v>89205</v>
      </c>
      <c r="X65" s="39">
        <v>87052</v>
      </c>
      <c r="Y65" s="39">
        <v>2445607</v>
      </c>
      <c r="Z65" s="39" t="s">
        <v>146</v>
      </c>
      <c r="AA65" s="39" t="s">
        <v>119</v>
      </c>
      <c r="AB65" s="39">
        <v>80740</v>
      </c>
      <c r="AC65" s="39">
        <v>74054</v>
      </c>
      <c r="AD65" s="39" t="s">
        <v>446</v>
      </c>
      <c r="AE65" s="39" t="s">
        <v>447</v>
      </c>
      <c r="AF65" s="136">
        <v>43934</v>
      </c>
      <c r="AG65" s="39" t="s">
        <v>448</v>
      </c>
      <c r="AH65" s="39">
        <v>35107662</v>
      </c>
      <c r="AI65" s="39">
        <v>20351076624</v>
      </c>
      <c r="AJ65" s="46">
        <v>43668</v>
      </c>
      <c r="AK65" s="46">
        <v>43669</v>
      </c>
      <c r="AL65" s="47">
        <v>43678</v>
      </c>
      <c r="AM65" s="39">
        <v>397</v>
      </c>
      <c r="AN65" s="137" t="s">
        <v>114</v>
      </c>
      <c r="AO65" s="141">
        <v>89968</v>
      </c>
      <c r="AP65" s="139" t="s">
        <v>115</v>
      </c>
      <c r="AQ65" s="142" t="s">
        <v>1606</v>
      </c>
    </row>
    <row r="66" spans="1:43" x14ac:dyDescent="0.25">
      <c r="A66" s="44" t="s">
        <v>74</v>
      </c>
      <c r="B66" s="39" t="s">
        <v>77</v>
      </c>
      <c r="C66" s="39" t="s">
        <v>449</v>
      </c>
      <c r="D66" s="39" t="s">
        <v>450</v>
      </c>
      <c r="E66" s="39" t="s">
        <v>40</v>
      </c>
      <c r="F66" s="39" t="s">
        <v>52</v>
      </c>
      <c r="G66" s="39" t="s">
        <v>52</v>
      </c>
      <c r="H66" s="39" t="s">
        <v>52</v>
      </c>
      <c r="I66" s="39" t="s">
        <v>52</v>
      </c>
      <c r="J66" s="39" t="s">
        <v>52</v>
      </c>
      <c r="K66" s="39" t="s">
        <v>40</v>
      </c>
      <c r="L66" s="135"/>
      <c r="M66" s="45" t="s">
        <v>374</v>
      </c>
      <c r="N66" s="39" t="s">
        <v>1605</v>
      </c>
      <c r="O66" s="39">
        <v>0</v>
      </c>
      <c r="P66" s="39">
        <v>0</v>
      </c>
      <c r="Q66" s="39">
        <v>0</v>
      </c>
      <c r="R66" s="39">
        <v>0</v>
      </c>
      <c r="S66" s="39">
        <v>0</v>
      </c>
      <c r="T66" s="39">
        <v>0</v>
      </c>
      <c r="U66" s="39">
        <v>0</v>
      </c>
      <c r="V66" s="39">
        <v>0</v>
      </c>
      <c r="W66" s="39">
        <v>89311</v>
      </c>
      <c r="X66" s="39">
        <v>88172</v>
      </c>
      <c r="Y66" s="39">
        <v>3624178</v>
      </c>
      <c r="Z66" s="39" t="s">
        <v>344</v>
      </c>
      <c r="AA66" s="39" t="s">
        <v>119</v>
      </c>
      <c r="AB66" s="39">
        <v>80740</v>
      </c>
      <c r="AC66" s="39">
        <v>74054</v>
      </c>
      <c r="AD66" s="39" t="s">
        <v>451</v>
      </c>
      <c r="AE66" s="39" t="s">
        <v>452</v>
      </c>
      <c r="AF66" s="136">
        <v>43921</v>
      </c>
      <c r="AG66" s="39"/>
      <c r="AH66" s="39">
        <v>40532698</v>
      </c>
      <c r="AI66" s="39">
        <v>20405326982</v>
      </c>
      <c r="AJ66" s="46">
        <v>43808</v>
      </c>
      <c r="AK66" s="46">
        <v>43808</v>
      </c>
      <c r="AL66" s="47">
        <v>43831</v>
      </c>
      <c r="AM66" s="39">
        <v>260</v>
      </c>
      <c r="AN66" s="137" t="s">
        <v>114</v>
      </c>
      <c r="AO66" s="141">
        <v>89969</v>
      </c>
      <c r="AP66" s="139" t="s">
        <v>115</v>
      </c>
      <c r="AQ66" s="142" t="s">
        <v>1607</v>
      </c>
    </row>
    <row r="67" spans="1:43" x14ac:dyDescent="0.25">
      <c r="A67" s="44" t="s">
        <v>74</v>
      </c>
      <c r="B67" s="39" t="s">
        <v>77</v>
      </c>
      <c r="C67" s="39" t="s">
        <v>453</v>
      </c>
      <c r="D67" s="39" t="s">
        <v>454</v>
      </c>
      <c r="E67" s="39" t="s">
        <v>40</v>
      </c>
      <c r="F67" s="39" t="s">
        <v>52</v>
      </c>
      <c r="G67" s="39" t="s">
        <v>52</v>
      </c>
      <c r="H67" s="39" t="s">
        <v>52</v>
      </c>
      <c r="I67" s="39" t="s">
        <v>52</v>
      </c>
      <c r="J67" s="39" t="s">
        <v>52</v>
      </c>
      <c r="K67" s="39" t="s">
        <v>40</v>
      </c>
      <c r="L67" s="135"/>
      <c r="M67" s="45" t="s">
        <v>374</v>
      </c>
      <c r="N67" s="39" t="s">
        <v>1605</v>
      </c>
      <c r="O67" s="39">
        <v>0</v>
      </c>
      <c r="P67" s="39">
        <v>0</v>
      </c>
      <c r="Q67" s="39">
        <v>0</v>
      </c>
      <c r="R67" s="39">
        <v>0</v>
      </c>
      <c r="S67" s="39">
        <v>0</v>
      </c>
      <c r="T67" s="39">
        <v>0</v>
      </c>
      <c r="U67" s="39">
        <v>0</v>
      </c>
      <c r="V67" s="39">
        <v>0</v>
      </c>
      <c r="W67" s="39">
        <v>648073</v>
      </c>
      <c r="X67" s="39">
        <v>88357</v>
      </c>
      <c r="Y67" s="39">
        <v>3667098</v>
      </c>
      <c r="Z67" s="39" t="s">
        <v>455</v>
      </c>
      <c r="AA67" s="39" t="s">
        <v>119</v>
      </c>
      <c r="AB67" s="39">
        <v>80740</v>
      </c>
      <c r="AC67" s="39">
        <v>74054</v>
      </c>
      <c r="AD67" s="39" t="s">
        <v>456</v>
      </c>
      <c r="AE67" s="39" t="s">
        <v>457</v>
      </c>
      <c r="AF67" s="136">
        <v>43943</v>
      </c>
      <c r="AG67" s="39" t="s">
        <v>458</v>
      </c>
      <c r="AH67" s="39">
        <v>40086091</v>
      </c>
      <c r="AI67" s="39" t="s">
        <v>459</v>
      </c>
      <c r="AJ67" s="46">
        <v>43942</v>
      </c>
      <c r="AK67" s="46">
        <v>43942</v>
      </c>
      <c r="AL67" s="47">
        <v>43943</v>
      </c>
      <c r="AM67" s="39">
        <v>128</v>
      </c>
      <c r="AN67" s="137" t="s">
        <v>114</v>
      </c>
      <c r="AO67" s="141">
        <v>89970</v>
      </c>
      <c r="AP67" s="139" t="s">
        <v>115</v>
      </c>
      <c r="AQ67" s="142" t="s">
        <v>1607</v>
      </c>
    </row>
    <row r="68" spans="1:43" x14ac:dyDescent="0.25">
      <c r="A68" s="44" t="s">
        <v>71</v>
      </c>
      <c r="B68" s="39" t="s">
        <v>73</v>
      </c>
      <c r="C68" s="39" t="s">
        <v>460</v>
      </c>
      <c r="D68" s="39" t="s">
        <v>461</v>
      </c>
      <c r="E68" s="39" t="s">
        <v>40</v>
      </c>
      <c r="F68" s="39" t="s">
        <v>420</v>
      </c>
      <c r="G68" s="39" t="s">
        <v>420</v>
      </c>
      <c r="H68" s="39" t="s">
        <v>420</v>
      </c>
      <c r="I68" s="39" t="s">
        <v>420</v>
      </c>
      <c r="J68" s="39" t="s">
        <v>420</v>
      </c>
      <c r="K68" s="39" t="s">
        <v>40</v>
      </c>
      <c r="L68" s="135"/>
      <c r="M68" s="45"/>
      <c r="N68" s="39" t="s">
        <v>1605</v>
      </c>
      <c r="O68" s="39">
        <v>0</v>
      </c>
      <c r="P68" s="39">
        <v>6</v>
      </c>
      <c r="Q68" s="39">
        <v>6</v>
      </c>
      <c r="R68" s="39">
        <v>6</v>
      </c>
      <c r="S68" s="39">
        <v>6</v>
      </c>
      <c r="T68" s="39">
        <v>6</v>
      </c>
      <c r="U68" s="39">
        <v>0</v>
      </c>
      <c r="V68" s="39">
        <v>30</v>
      </c>
      <c r="W68" s="39">
        <v>89307</v>
      </c>
      <c r="X68" s="39">
        <v>88168</v>
      </c>
      <c r="Y68" s="39">
        <v>3624164</v>
      </c>
      <c r="Z68" s="39" t="s">
        <v>109</v>
      </c>
      <c r="AA68" s="39" t="s">
        <v>109</v>
      </c>
      <c r="AB68" s="39">
        <v>74323</v>
      </c>
      <c r="AC68" s="39">
        <v>64118</v>
      </c>
      <c r="AD68" s="39" t="s">
        <v>462</v>
      </c>
      <c r="AE68" s="39" t="s">
        <v>463</v>
      </c>
      <c r="AF68" s="136">
        <v>43919</v>
      </c>
      <c r="AG68" s="39"/>
      <c r="AH68" s="39">
        <v>40274928</v>
      </c>
      <c r="AI68" s="39">
        <v>27402749283</v>
      </c>
      <c r="AJ68" s="46">
        <v>43808</v>
      </c>
      <c r="AK68" s="46">
        <v>43808</v>
      </c>
      <c r="AL68" s="47">
        <v>43831</v>
      </c>
      <c r="AM68" s="39">
        <v>260</v>
      </c>
      <c r="AN68" s="137" t="s">
        <v>114</v>
      </c>
      <c r="AO68" s="141">
        <v>648241</v>
      </c>
      <c r="AP68" s="139" t="s">
        <v>115</v>
      </c>
      <c r="AQ68" s="142" t="s">
        <v>1611</v>
      </c>
    </row>
    <row r="69" spans="1:43" x14ac:dyDescent="0.25">
      <c r="A69" s="44" t="s">
        <v>74</v>
      </c>
      <c r="B69" s="39" t="s">
        <v>77</v>
      </c>
      <c r="C69" s="39" t="s">
        <v>464</v>
      </c>
      <c r="D69" s="39" t="s">
        <v>465</v>
      </c>
      <c r="E69" s="39" t="s">
        <v>40</v>
      </c>
      <c r="F69" s="39" t="s">
        <v>131</v>
      </c>
      <c r="G69" s="39" t="s">
        <v>131</v>
      </c>
      <c r="H69" s="39" t="s">
        <v>131</v>
      </c>
      <c r="I69" s="39" t="s">
        <v>131</v>
      </c>
      <c r="J69" s="39" t="s">
        <v>131</v>
      </c>
      <c r="K69" s="39" t="s">
        <v>40</v>
      </c>
      <c r="L69" s="135"/>
      <c r="M69" s="45"/>
      <c r="N69" s="39" t="s">
        <v>1605</v>
      </c>
      <c r="O69" s="39">
        <v>0</v>
      </c>
      <c r="P69" s="39">
        <v>6</v>
      </c>
      <c r="Q69" s="39">
        <v>6</v>
      </c>
      <c r="R69" s="39">
        <v>6</v>
      </c>
      <c r="S69" s="39">
        <v>6</v>
      </c>
      <c r="T69" s="39">
        <v>6</v>
      </c>
      <c r="U69" s="39">
        <v>0</v>
      </c>
      <c r="V69" s="39">
        <v>30</v>
      </c>
      <c r="W69" s="39">
        <v>89110</v>
      </c>
      <c r="X69" s="39">
        <v>85199</v>
      </c>
      <c r="Y69" s="39">
        <v>2792749</v>
      </c>
      <c r="Z69" s="39" t="s">
        <v>375</v>
      </c>
      <c r="AA69" s="39" t="s">
        <v>119</v>
      </c>
      <c r="AB69" s="39">
        <v>80740</v>
      </c>
      <c r="AC69" s="39">
        <v>74054</v>
      </c>
      <c r="AD69" s="39" t="s">
        <v>466</v>
      </c>
      <c r="AE69" s="39" t="s">
        <v>467</v>
      </c>
      <c r="AF69" s="136">
        <v>44018</v>
      </c>
      <c r="AG69" s="39" t="s">
        <v>468</v>
      </c>
      <c r="AH69" s="39">
        <v>38250399</v>
      </c>
      <c r="AI69" s="39">
        <v>27382503991</v>
      </c>
      <c r="AJ69" s="46">
        <v>43150</v>
      </c>
      <c r="AK69" s="46">
        <v>43409</v>
      </c>
      <c r="AL69" s="47">
        <v>43423</v>
      </c>
      <c r="AM69" s="39">
        <v>910</v>
      </c>
      <c r="AN69" s="137" t="s">
        <v>114</v>
      </c>
      <c r="AO69" s="141">
        <v>89971</v>
      </c>
      <c r="AP69" s="139" t="s">
        <v>115</v>
      </c>
      <c r="AQ69" s="142" t="s">
        <v>1607</v>
      </c>
    </row>
    <row r="70" spans="1:43" x14ac:dyDescent="0.25">
      <c r="A70" s="44" t="s">
        <v>74</v>
      </c>
      <c r="B70" s="39" t="s">
        <v>77</v>
      </c>
      <c r="C70" s="39" t="s">
        <v>469</v>
      </c>
      <c r="D70" s="39" t="s">
        <v>470</v>
      </c>
      <c r="E70" s="39" t="s">
        <v>40</v>
      </c>
      <c r="F70" s="39" t="s">
        <v>108</v>
      </c>
      <c r="G70" s="39" t="s">
        <v>108</v>
      </c>
      <c r="H70" s="39" t="s">
        <v>108</v>
      </c>
      <c r="I70" s="39" t="s">
        <v>108</v>
      </c>
      <c r="J70" s="39" t="s">
        <v>108</v>
      </c>
      <c r="K70" s="39" t="s">
        <v>40</v>
      </c>
      <c r="L70" s="135"/>
      <c r="M70" s="45"/>
      <c r="N70" s="39" t="s">
        <v>1605</v>
      </c>
      <c r="O70" s="39">
        <v>0</v>
      </c>
      <c r="P70" s="39">
        <v>5.0000000000000009</v>
      </c>
      <c r="Q70" s="39">
        <v>5.0000000000000009</v>
      </c>
      <c r="R70" s="39">
        <v>5.0000000000000009</v>
      </c>
      <c r="S70" s="39">
        <v>5.0000000000000009</v>
      </c>
      <c r="T70" s="39">
        <v>5.0000000000000009</v>
      </c>
      <c r="U70" s="39">
        <v>0</v>
      </c>
      <c r="V70" s="39">
        <v>25.000000000000004</v>
      </c>
      <c r="W70" s="39">
        <v>89208</v>
      </c>
      <c r="X70" s="39">
        <v>87049</v>
      </c>
      <c r="Y70" s="39">
        <v>1632745</v>
      </c>
      <c r="Z70" s="39" t="s">
        <v>109</v>
      </c>
      <c r="AA70" s="39" t="s">
        <v>109</v>
      </c>
      <c r="AB70" s="39">
        <v>80740</v>
      </c>
      <c r="AC70" s="39">
        <v>74054</v>
      </c>
      <c r="AD70" s="39" t="s">
        <v>471</v>
      </c>
      <c r="AE70" s="39" t="s">
        <v>472</v>
      </c>
      <c r="AF70" s="136">
        <v>43912</v>
      </c>
      <c r="AG70" s="39" t="s">
        <v>473</v>
      </c>
      <c r="AH70" s="39">
        <v>39478154</v>
      </c>
      <c r="AI70" s="39" t="s">
        <v>474</v>
      </c>
      <c r="AJ70" s="46">
        <v>43668</v>
      </c>
      <c r="AK70" s="46">
        <v>43669</v>
      </c>
      <c r="AL70" s="47">
        <v>43678</v>
      </c>
      <c r="AM70" s="39">
        <v>397</v>
      </c>
      <c r="AN70" s="137" t="s">
        <v>114</v>
      </c>
      <c r="AO70" s="141">
        <v>89886</v>
      </c>
      <c r="AP70" s="139" t="s">
        <v>115</v>
      </c>
      <c r="AQ70" s="142" t="s">
        <v>1606</v>
      </c>
    </row>
    <row r="71" spans="1:43" x14ac:dyDescent="0.25">
      <c r="A71" s="44" t="s">
        <v>74</v>
      </c>
      <c r="B71" s="39" t="s">
        <v>77</v>
      </c>
      <c r="C71" s="39" t="s">
        <v>475</v>
      </c>
      <c r="D71" s="39" t="s">
        <v>476</v>
      </c>
      <c r="E71" s="39" t="s">
        <v>40</v>
      </c>
      <c r="F71" s="39" t="s">
        <v>227</v>
      </c>
      <c r="G71" s="39" t="s">
        <v>227</v>
      </c>
      <c r="H71" s="39" t="s">
        <v>227</v>
      </c>
      <c r="I71" s="39" t="s">
        <v>227</v>
      </c>
      <c r="J71" s="39" t="s">
        <v>227</v>
      </c>
      <c r="K71" s="39" t="s">
        <v>40</v>
      </c>
      <c r="L71" s="135"/>
      <c r="M71" s="45"/>
      <c r="N71" s="39" t="s">
        <v>1605</v>
      </c>
      <c r="O71" s="39">
        <v>0</v>
      </c>
      <c r="P71" s="39">
        <v>5.0000000000000009</v>
      </c>
      <c r="Q71" s="39">
        <v>5.0000000000000009</v>
      </c>
      <c r="R71" s="39">
        <v>5.0000000000000009</v>
      </c>
      <c r="S71" s="39">
        <v>5.0000000000000009</v>
      </c>
      <c r="T71" s="39">
        <v>5.0000000000000009</v>
      </c>
      <c r="U71" s="39">
        <v>0</v>
      </c>
      <c r="V71" s="39">
        <v>25.000000000000004</v>
      </c>
      <c r="W71" s="39">
        <v>89210</v>
      </c>
      <c r="X71" s="39">
        <v>87061</v>
      </c>
      <c r="Y71" s="39">
        <v>3409646</v>
      </c>
      <c r="Z71" s="39" t="s">
        <v>109</v>
      </c>
      <c r="AA71" s="39" t="s">
        <v>109</v>
      </c>
      <c r="AB71" s="39">
        <v>80740</v>
      </c>
      <c r="AC71" s="39">
        <v>74054</v>
      </c>
      <c r="AD71" s="39" t="s">
        <v>477</v>
      </c>
      <c r="AE71" s="39" t="s">
        <v>478</v>
      </c>
      <c r="AF71" s="136">
        <v>43919</v>
      </c>
      <c r="AG71" s="39" t="s">
        <v>479</v>
      </c>
      <c r="AH71" s="39">
        <v>43162247</v>
      </c>
      <c r="AI71" s="39">
        <v>27431622470</v>
      </c>
      <c r="AJ71" s="46">
        <v>43668</v>
      </c>
      <c r="AK71" s="46">
        <v>43669</v>
      </c>
      <c r="AL71" s="47">
        <v>43678</v>
      </c>
      <c r="AM71" s="39">
        <v>397</v>
      </c>
      <c r="AN71" s="137" t="s">
        <v>114</v>
      </c>
      <c r="AO71" s="141">
        <v>89972</v>
      </c>
      <c r="AP71" s="139" t="s">
        <v>115</v>
      </c>
      <c r="AQ71" s="142" t="s">
        <v>1608</v>
      </c>
    </row>
    <row r="72" spans="1:43" x14ac:dyDescent="0.25">
      <c r="A72" s="44" t="s">
        <v>74</v>
      </c>
      <c r="B72" s="39" t="s">
        <v>77</v>
      </c>
      <c r="C72" s="39" t="s">
        <v>480</v>
      </c>
      <c r="D72" s="39" t="s">
        <v>481</v>
      </c>
      <c r="E72" s="39" t="s">
        <v>40</v>
      </c>
      <c r="F72" s="39" t="s">
        <v>131</v>
      </c>
      <c r="G72" s="39" t="s">
        <v>131</v>
      </c>
      <c r="H72" s="39" t="s">
        <v>131</v>
      </c>
      <c r="I72" s="39" t="s">
        <v>131</v>
      </c>
      <c r="J72" s="39" t="s">
        <v>131</v>
      </c>
      <c r="K72" s="39" t="s">
        <v>40</v>
      </c>
      <c r="L72" s="135"/>
      <c r="M72" s="45"/>
      <c r="N72" s="39" t="s">
        <v>1605</v>
      </c>
      <c r="O72" s="39">
        <v>0</v>
      </c>
      <c r="P72" s="39">
        <v>6</v>
      </c>
      <c r="Q72" s="39">
        <v>6</v>
      </c>
      <c r="R72" s="39">
        <v>6</v>
      </c>
      <c r="S72" s="39">
        <v>6</v>
      </c>
      <c r="T72" s="39">
        <v>6</v>
      </c>
      <c r="U72" s="39">
        <v>0</v>
      </c>
      <c r="V72" s="39">
        <v>30</v>
      </c>
      <c r="W72" s="39">
        <v>89305</v>
      </c>
      <c r="X72" s="39">
        <v>88166</v>
      </c>
      <c r="Y72" s="39">
        <v>3624156</v>
      </c>
      <c r="Z72" s="39" t="s">
        <v>109</v>
      </c>
      <c r="AA72" s="39" t="s">
        <v>110</v>
      </c>
      <c r="AB72" s="39">
        <v>80740</v>
      </c>
      <c r="AC72" s="39">
        <v>74054</v>
      </c>
      <c r="AD72" s="39" t="s">
        <v>482</v>
      </c>
      <c r="AE72" s="39" t="s">
        <v>483</v>
      </c>
      <c r="AF72" s="136">
        <v>43910</v>
      </c>
      <c r="AG72" s="39"/>
      <c r="AH72" s="39">
        <v>40088998</v>
      </c>
      <c r="AI72" s="39">
        <v>27400889983</v>
      </c>
      <c r="AJ72" s="46">
        <v>43808</v>
      </c>
      <c r="AK72" s="46">
        <v>43808</v>
      </c>
      <c r="AL72" s="47">
        <v>43831</v>
      </c>
      <c r="AM72" s="39">
        <v>260</v>
      </c>
      <c r="AN72" s="137" t="s">
        <v>114</v>
      </c>
      <c r="AO72" s="141">
        <v>89973</v>
      </c>
      <c r="AP72" s="139" t="s">
        <v>115</v>
      </c>
      <c r="AQ72" s="142" t="s">
        <v>1607</v>
      </c>
    </row>
    <row r="73" spans="1:43" x14ac:dyDescent="0.25">
      <c r="A73" s="44" t="s">
        <v>71</v>
      </c>
      <c r="B73" s="39" t="s">
        <v>73</v>
      </c>
      <c r="C73" s="39" t="s">
        <v>484</v>
      </c>
      <c r="D73" s="39" t="s">
        <v>485</v>
      </c>
      <c r="E73" s="39" t="s">
        <v>40</v>
      </c>
      <c r="F73" s="39" t="s">
        <v>486</v>
      </c>
      <c r="G73" s="39" t="s">
        <v>486</v>
      </c>
      <c r="H73" s="39" t="s">
        <v>486</v>
      </c>
      <c r="I73" s="39" t="s">
        <v>486</v>
      </c>
      <c r="J73" s="39" t="s">
        <v>486</v>
      </c>
      <c r="K73" s="39" t="s">
        <v>40</v>
      </c>
      <c r="L73" s="135"/>
      <c r="M73" s="45" t="s">
        <v>487</v>
      </c>
      <c r="N73" s="39" t="s">
        <v>1605</v>
      </c>
      <c r="O73" s="39">
        <v>0</v>
      </c>
      <c r="P73" s="39">
        <v>5.0000000000000009</v>
      </c>
      <c r="Q73" s="39">
        <v>5.0000000000000009</v>
      </c>
      <c r="R73" s="39">
        <v>5.0000000000000009</v>
      </c>
      <c r="S73" s="39">
        <v>5.0000000000000009</v>
      </c>
      <c r="T73" s="39">
        <v>5.0000000000000009</v>
      </c>
      <c r="U73" s="39">
        <v>0</v>
      </c>
      <c r="V73" s="39">
        <v>25.000000000000004</v>
      </c>
      <c r="W73" s="39">
        <v>89212</v>
      </c>
      <c r="X73" s="39">
        <v>87058</v>
      </c>
      <c r="Y73" s="39">
        <v>2702133</v>
      </c>
      <c r="Z73" s="39" t="s">
        <v>109</v>
      </c>
      <c r="AA73" s="39" t="s">
        <v>109</v>
      </c>
      <c r="AB73" s="39">
        <v>74323</v>
      </c>
      <c r="AC73" s="39">
        <v>64118</v>
      </c>
      <c r="AD73" s="39" t="s">
        <v>488</v>
      </c>
      <c r="AE73" s="39" t="s">
        <v>489</v>
      </c>
      <c r="AF73" s="136">
        <v>43917</v>
      </c>
      <c r="AG73" s="39" t="s">
        <v>490</v>
      </c>
      <c r="AH73" s="39">
        <v>37837958</v>
      </c>
      <c r="AI73" s="39">
        <v>27378379585</v>
      </c>
      <c r="AJ73" s="46">
        <v>43668</v>
      </c>
      <c r="AK73" s="46">
        <v>43669</v>
      </c>
      <c r="AL73" s="47">
        <v>43678</v>
      </c>
      <c r="AM73" s="39">
        <v>397</v>
      </c>
      <c r="AN73" s="137" t="s">
        <v>114</v>
      </c>
      <c r="AO73" s="141">
        <v>89872</v>
      </c>
      <c r="AP73" s="139" t="s">
        <v>115</v>
      </c>
      <c r="AQ73" s="142" t="s">
        <v>1606</v>
      </c>
    </row>
    <row r="74" spans="1:43" x14ac:dyDescent="0.25">
      <c r="A74" s="44" t="s">
        <v>74</v>
      </c>
      <c r="B74" s="39" t="s">
        <v>77</v>
      </c>
      <c r="C74" s="39" t="s">
        <v>491</v>
      </c>
      <c r="D74" s="39" t="s">
        <v>492</v>
      </c>
      <c r="E74" s="39" t="s">
        <v>40</v>
      </c>
      <c r="F74" s="39" t="s">
        <v>52</v>
      </c>
      <c r="G74" s="39" t="s">
        <v>52</v>
      </c>
      <c r="H74" s="39" t="s">
        <v>52</v>
      </c>
      <c r="I74" s="39" t="s">
        <v>52</v>
      </c>
      <c r="J74" s="39" t="s">
        <v>52</v>
      </c>
      <c r="K74" s="39" t="s">
        <v>40</v>
      </c>
      <c r="L74" s="135"/>
      <c r="M74" s="45" t="s">
        <v>395</v>
      </c>
      <c r="N74" s="39" t="s">
        <v>1605</v>
      </c>
      <c r="O74" s="39">
        <v>0</v>
      </c>
      <c r="P74" s="39">
        <v>0</v>
      </c>
      <c r="Q74" s="39">
        <v>0</v>
      </c>
      <c r="R74" s="39">
        <v>0</v>
      </c>
      <c r="S74" s="39">
        <v>0</v>
      </c>
      <c r="T74" s="39">
        <v>0</v>
      </c>
      <c r="U74" s="39">
        <v>0</v>
      </c>
      <c r="V74" s="39">
        <v>0</v>
      </c>
      <c r="W74" s="39">
        <v>648229</v>
      </c>
      <c r="X74" s="39">
        <v>82706</v>
      </c>
      <c r="Y74" s="39">
        <v>1506174</v>
      </c>
      <c r="Z74" s="39" t="s">
        <v>119</v>
      </c>
      <c r="AA74" s="39" t="s">
        <v>350</v>
      </c>
      <c r="AB74" s="39">
        <v>80740</v>
      </c>
      <c r="AC74" s="39">
        <v>74054</v>
      </c>
      <c r="AD74" s="39" t="s">
        <v>493</v>
      </c>
      <c r="AE74" s="39" t="s">
        <v>494</v>
      </c>
      <c r="AF74" s="136">
        <v>43935</v>
      </c>
      <c r="AG74" s="39" t="s">
        <v>495</v>
      </c>
      <c r="AH74" s="39">
        <v>38488834</v>
      </c>
      <c r="AI74" s="39">
        <v>20384888349</v>
      </c>
      <c r="AJ74" s="46">
        <v>42716</v>
      </c>
      <c r="AK74" s="46">
        <v>43930</v>
      </c>
      <c r="AL74" s="47">
        <v>43935</v>
      </c>
      <c r="AM74" s="39">
        <v>1337</v>
      </c>
      <c r="AN74" s="137" t="s">
        <v>114</v>
      </c>
      <c r="AO74" s="141">
        <v>89914</v>
      </c>
      <c r="AP74" s="139" t="s">
        <v>115</v>
      </c>
      <c r="AQ74" s="142" t="s">
        <v>1608</v>
      </c>
    </row>
    <row r="75" spans="1:43" x14ac:dyDescent="0.25">
      <c r="A75" s="44" t="s">
        <v>74</v>
      </c>
      <c r="B75" s="39" t="s">
        <v>77</v>
      </c>
      <c r="C75" s="39" t="s">
        <v>496</v>
      </c>
      <c r="D75" s="39" t="s">
        <v>497</v>
      </c>
      <c r="E75" s="39" t="s">
        <v>40</v>
      </c>
      <c r="F75" s="39" t="s">
        <v>227</v>
      </c>
      <c r="G75" s="39" t="s">
        <v>227</v>
      </c>
      <c r="H75" s="39" t="s">
        <v>227</v>
      </c>
      <c r="I75" s="39" t="s">
        <v>227</v>
      </c>
      <c r="J75" s="39" t="s">
        <v>227</v>
      </c>
      <c r="K75" s="39" t="s">
        <v>40</v>
      </c>
      <c r="L75" s="135"/>
      <c r="M75" s="45"/>
      <c r="N75" s="39" t="s">
        <v>1605</v>
      </c>
      <c r="O75" s="39">
        <v>0</v>
      </c>
      <c r="P75" s="39">
        <v>5.0000000000000009</v>
      </c>
      <c r="Q75" s="39">
        <v>5.0000000000000009</v>
      </c>
      <c r="R75" s="39">
        <v>5.0000000000000009</v>
      </c>
      <c r="S75" s="39">
        <v>5.0000000000000009</v>
      </c>
      <c r="T75" s="39">
        <v>5.0000000000000009</v>
      </c>
      <c r="U75" s="39">
        <v>0</v>
      </c>
      <c r="V75" s="39">
        <v>25.000000000000004</v>
      </c>
      <c r="W75" s="39">
        <v>89272</v>
      </c>
      <c r="X75" s="39">
        <v>88047</v>
      </c>
      <c r="Y75" s="39">
        <v>3553144</v>
      </c>
      <c r="Z75" s="39" t="s">
        <v>109</v>
      </c>
      <c r="AA75" s="39" t="s">
        <v>109</v>
      </c>
      <c r="AB75" s="39">
        <v>80740</v>
      </c>
      <c r="AC75" s="39">
        <v>74054</v>
      </c>
      <c r="AD75" s="39" t="s">
        <v>498</v>
      </c>
      <c r="AE75" s="39" t="s">
        <v>499</v>
      </c>
      <c r="AF75" s="136">
        <v>43912</v>
      </c>
      <c r="AG75" s="39"/>
      <c r="AH75" s="39">
        <v>38060703</v>
      </c>
      <c r="AI75" s="39">
        <v>20380607035</v>
      </c>
      <c r="AJ75" s="46">
        <v>43766</v>
      </c>
      <c r="AK75" s="46">
        <v>43766</v>
      </c>
      <c r="AL75" s="47">
        <v>43776</v>
      </c>
      <c r="AM75" s="39">
        <v>301</v>
      </c>
      <c r="AN75" s="137" t="s">
        <v>114</v>
      </c>
      <c r="AO75" s="141">
        <v>89976</v>
      </c>
      <c r="AP75" s="139" t="s">
        <v>115</v>
      </c>
      <c r="AQ75" s="142" t="s">
        <v>1608</v>
      </c>
    </row>
    <row r="76" spans="1:43" x14ac:dyDescent="0.25">
      <c r="A76" s="44" t="s">
        <v>74</v>
      </c>
      <c r="B76" s="39" t="s">
        <v>77</v>
      </c>
      <c r="C76" s="39" t="s">
        <v>500</v>
      </c>
      <c r="D76" s="39" t="s">
        <v>501</v>
      </c>
      <c r="E76" s="39" t="s">
        <v>40</v>
      </c>
      <c r="F76" s="39" t="s">
        <v>131</v>
      </c>
      <c r="G76" s="39" t="s">
        <v>131</v>
      </c>
      <c r="H76" s="39" t="s">
        <v>131</v>
      </c>
      <c r="I76" s="39" t="s">
        <v>131</v>
      </c>
      <c r="J76" s="39" t="s">
        <v>131</v>
      </c>
      <c r="K76" s="39" t="s">
        <v>40</v>
      </c>
      <c r="L76" s="135"/>
      <c r="M76" s="45"/>
      <c r="N76" s="39" t="s">
        <v>1605</v>
      </c>
      <c r="O76" s="39">
        <v>0</v>
      </c>
      <c r="P76" s="39">
        <v>6</v>
      </c>
      <c r="Q76" s="39">
        <v>6</v>
      </c>
      <c r="R76" s="39">
        <v>6</v>
      </c>
      <c r="S76" s="39">
        <v>6</v>
      </c>
      <c r="T76" s="39">
        <v>6</v>
      </c>
      <c r="U76" s="39">
        <v>0</v>
      </c>
      <c r="V76" s="39">
        <v>30</v>
      </c>
      <c r="W76" s="39">
        <v>89216</v>
      </c>
      <c r="X76" s="39">
        <v>87051</v>
      </c>
      <c r="Y76" s="39">
        <v>3409670</v>
      </c>
      <c r="Z76" s="39" t="s">
        <v>109</v>
      </c>
      <c r="AA76" s="39" t="s">
        <v>110</v>
      </c>
      <c r="AB76" s="39">
        <v>80740</v>
      </c>
      <c r="AC76" s="39">
        <v>74054</v>
      </c>
      <c r="AD76" s="39" t="s">
        <v>502</v>
      </c>
      <c r="AE76" s="39" t="s">
        <v>503</v>
      </c>
      <c r="AF76" s="136">
        <v>43917</v>
      </c>
      <c r="AG76" s="39" t="s">
        <v>504</v>
      </c>
      <c r="AH76" s="39">
        <v>34953151</v>
      </c>
      <c r="AI76" s="39">
        <v>27349531513</v>
      </c>
      <c r="AJ76" s="46">
        <v>43668</v>
      </c>
      <c r="AK76" s="46">
        <v>43669</v>
      </c>
      <c r="AL76" s="47">
        <v>43678</v>
      </c>
      <c r="AM76" s="39">
        <v>397</v>
      </c>
      <c r="AN76" s="137" t="s">
        <v>114</v>
      </c>
      <c r="AO76" s="141">
        <v>89977</v>
      </c>
      <c r="AP76" s="139" t="s">
        <v>115</v>
      </c>
      <c r="AQ76" s="142" t="s">
        <v>1606</v>
      </c>
    </row>
    <row r="77" spans="1:43" x14ac:dyDescent="0.25">
      <c r="A77" s="44" t="s">
        <v>74</v>
      </c>
      <c r="B77" s="39" t="s">
        <v>77</v>
      </c>
      <c r="C77" s="39" t="s">
        <v>505</v>
      </c>
      <c r="D77" s="39" t="s">
        <v>506</v>
      </c>
      <c r="E77" s="39" t="s">
        <v>40</v>
      </c>
      <c r="F77" s="39" t="s">
        <v>52</v>
      </c>
      <c r="G77" s="39" t="s">
        <v>52</v>
      </c>
      <c r="H77" s="39" t="s">
        <v>52</v>
      </c>
      <c r="I77" s="39" t="s">
        <v>52</v>
      </c>
      <c r="J77" s="39" t="s">
        <v>52</v>
      </c>
      <c r="K77" s="39" t="s">
        <v>40</v>
      </c>
      <c r="L77" s="135"/>
      <c r="M77" s="45" t="s">
        <v>374</v>
      </c>
      <c r="N77" s="39" t="s">
        <v>1605</v>
      </c>
      <c r="O77" s="39">
        <v>0</v>
      </c>
      <c r="P77" s="39">
        <v>0</v>
      </c>
      <c r="Q77" s="39">
        <v>0</v>
      </c>
      <c r="R77" s="39">
        <v>0</v>
      </c>
      <c r="S77" s="39">
        <v>0</v>
      </c>
      <c r="T77" s="39">
        <v>0</v>
      </c>
      <c r="U77" s="39">
        <v>0</v>
      </c>
      <c r="V77" s="39">
        <v>0</v>
      </c>
      <c r="W77" s="39">
        <v>648081</v>
      </c>
      <c r="X77" s="39">
        <v>88365</v>
      </c>
      <c r="Y77" s="39">
        <v>3667105</v>
      </c>
      <c r="Z77" s="39" t="s">
        <v>455</v>
      </c>
      <c r="AA77" s="39" t="s">
        <v>119</v>
      </c>
      <c r="AB77" s="39">
        <v>80740</v>
      </c>
      <c r="AC77" s="39">
        <v>74054</v>
      </c>
      <c r="AD77" s="39" t="s">
        <v>507</v>
      </c>
      <c r="AE77" s="39" t="s">
        <v>508</v>
      </c>
      <c r="AF77" s="136">
        <v>43943</v>
      </c>
      <c r="AG77" s="39">
        <v>3815426913</v>
      </c>
      <c r="AH77" s="39">
        <v>32158208</v>
      </c>
      <c r="AI77" s="39" t="s">
        <v>509</v>
      </c>
      <c r="AJ77" s="46">
        <v>43942</v>
      </c>
      <c r="AK77" s="46">
        <v>43942</v>
      </c>
      <c r="AL77" s="47">
        <v>43943</v>
      </c>
      <c r="AM77" s="39">
        <v>128</v>
      </c>
      <c r="AN77" s="137" t="s">
        <v>114</v>
      </c>
      <c r="AO77" s="141">
        <v>89979</v>
      </c>
      <c r="AP77" s="139" t="s">
        <v>115</v>
      </c>
      <c r="AQ77" s="142" t="s">
        <v>1607</v>
      </c>
    </row>
    <row r="78" spans="1:43" x14ac:dyDescent="0.25">
      <c r="A78" s="44" t="s">
        <v>74</v>
      </c>
      <c r="B78" s="39" t="s">
        <v>77</v>
      </c>
      <c r="C78" s="39" t="s">
        <v>510</v>
      </c>
      <c r="D78" s="39" t="s">
        <v>511</v>
      </c>
      <c r="E78" s="39" t="s">
        <v>40</v>
      </c>
      <c r="F78" s="39" t="s">
        <v>52</v>
      </c>
      <c r="G78" s="39" t="s">
        <v>52</v>
      </c>
      <c r="H78" s="39" t="s">
        <v>52</v>
      </c>
      <c r="I78" s="39" t="s">
        <v>52</v>
      </c>
      <c r="J78" s="39" t="s">
        <v>52</v>
      </c>
      <c r="K78" s="39" t="s">
        <v>40</v>
      </c>
      <c r="L78" s="135"/>
      <c r="M78" s="45" t="s">
        <v>374</v>
      </c>
      <c r="N78" s="39" t="s">
        <v>1605</v>
      </c>
      <c r="O78" s="39">
        <v>0</v>
      </c>
      <c r="P78" s="39">
        <v>0</v>
      </c>
      <c r="Q78" s="39">
        <v>0</v>
      </c>
      <c r="R78" s="39">
        <v>0</v>
      </c>
      <c r="S78" s="39">
        <v>0</v>
      </c>
      <c r="T78" s="39">
        <v>0</v>
      </c>
      <c r="U78" s="39">
        <v>0</v>
      </c>
      <c r="V78" s="39">
        <v>0</v>
      </c>
      <c r="W78" s="39">
        <v>648233</v>
      </c>
      <c r="X78" s="39">
        <v>84361</v>
      </c>
      <c r="Y78" s="39">
        <v>2741853</v>
      </c>
      <c r="Z78" s="39" t="s">
        <v>146</v>
      </c>
      <c r="AA78" s="39" t="s">
        <v>350</v>
      </c>
      <c r="AB78" s="39">
        <v>80740</v>
      </c>
      <c r="AC78" s="39">
        <v>74054</v>
      </c>
      <c r="AD78" s="39" t="s">
        <v>512</v>
      </c>
      <c r="AE78" s="39" t="s">
        <v>513</v>
      </c>
      <c r="AF78" s="136">
        <v>43935</v>
      </c>
      <c r="AG78" s="39" t="s">
        <v>514</v>
      </c>
      <c r="AH78" s="39">
        <v>36948295</v>
      </c>
      <c r="AI78" s="39">
        <v>20369482956</v>
      </c>
      <c r="AJ78" s="46">
        <v>43102</v>
      </c>
      <c r="AK78" s="46">
        <v>43930</v>
      </c>
      <c r="AL78" s="47">
        <v>43935</v>
      </c>
      <c r="AM78" s="39">
        <v>957</v>
      </c>
      <c r="AN78" s="137" t="s">
        <v>114</v>
      </c>
      <c r="AO78" s="141">
        <v>89915</v>
      </c>
      <c r="AP78" s="139" t="s">
        <v>115</v>
      </c>
      <c r="AQ78" s="142" t="s">
        <v>1607</v>
      </c>
    </row>
    <row r="79" spans="1:43" x14ac:dyDescent="0.25">
      <c r="A79" s="44" t="s">
        <v>74</v>
      </c>
      <c r="B79" s="39" t="s">
        <v>77</v>
      </c>
      <c r="C79" s="39" t="s">
        <v>515</v>
      </c>
      <c r="D79" s="39" t="s">
        <v>516</v>
      </c>
      <c r="E79" s="39" t="s">
        <v>40</v>
      </c>
      <c r="F79" s="39" t="s">
        <v>131</v>
      </c>
      <c r="G79" s="39" t="s">
        <v>131</v>
      </c>
      <c r="H79" s="39" t="s">
        <v>131</v>
      </c>
      <c r="I79" s="39" t="s">
        <v>131</v>
      </c>
      <c r="J79" s="39" t="s">
        <v>131</v>
      </c>
      <c r="K79" s="39" t="s">
        <v>40</v>
      </c>
      <c r="L79" s="135"/>
      <c r="M79" s="45"/>
      <c r="N79" s="39" t="s">
        <v>1605</v>
      </c>
      <c r="O79" s="39">
        <v>0</v>
      </c>
      <c r="P79" s="39">
        <v>6</v>
      </c>
      <c r="Q79" s="39">
        <v>6</v>
      </c>
      <c r="R79" s="39">
        <v>6</v>
      </c>
      <c r="S79" s="39">
        <v>6</v>
      </c>
      <c r="T79" s="39">
        <v>6</v>
      </c>
      <c r="U79" s="39">
        <v>0</v>
      </c>
      <c r="V79" s="39">
        <v>30</v>
      </c>
      <c r="W79" s="143">
        <v>89244</v>
      </c>
      <c r="X79" s="39">
        <v>87296</v>
      </c>
      <c r="Y79" s="39">
        <v>3462473</v>
      </c>
      <c r="Z79" s="39" t="s">
        <v>118</v>
      </c>
      <c r="AA79" s="39" t="s">
        <v>119</v>
      </c>
      <c r="AB79" s="39">
        <v>80740</v>
      </c>
      <c r="AC79" s="39">
        <v>74054</v>
      </c>
      <c r="AD79" s="39" t="s">
        <v>517</v>
      </c>
      <c r="AE79" s="39" t="s">
        <v>518</v>
      </c>
      <c r="AF79" s="136">
        <v>43921</v>
      </c>
      <c r="AG79" s="39">
        <v>3813039101</v>
      </c>
      <c r="AH79" s="39">
        <v>32460235</v>
      </c>
      <c r="AI79" s="39" t="s">
        <v>519</v>
      </c>
      <c r="AJ79" s="46">
        <v>43703</v>
      </c>
      <c r="AK79" s="46">
        <v>43703</v>
      </c>
      <c r="AL79" s="47">
        <v>43713</v>
      </c>
      <c r="AM79" s="39">
        <v>363</v>
      </c>
      <c r="AN79" s="137" t="s">
        <v>114</v>
      </c>
      <c r="AO79" s="141">
        <v>648242</v>
      </c>
      <c r="AP79" s="139" t="s">
        <v>115</v>
      </c>
      <c r="AQ79" s="142" t="s">
        <v>1607</v>
      </c>
    </row>
    <row r="80" spans="1:43" x14ac:dyDescent="0.25">
      <c r="A80" s="44" t="s">
        <v>74</v>
      </c>
      <c r="B80" s="39" t="s">
        <v>77</v>
      </c>
      <c r="C80" s="39" t="s">
        <v>520</v>
      </c>
      <c r="D80" s="39" t="s">
        <v>521</v>
      </c>
      <c r="E80" s="39" t="s">
        <v>40</v>
      </c>
      <c r="F80" s="39" t="s">
        <v>52</v>
      </c>
      <c r="G80" s="39" t="s">
        <v>52</v>
      </c>
      <c r="H80" s="39" t="s">
        <v>52</v>
      </c>
      <c r="I80" s="39" t="s">
        <v>52</v>
      </c>
      <c r="J80" s="39" t="s">
        <v>52</v>
      </c>
      <c r="K80" s="39" t="s">
        <v>40</v>
      </c>
      <c r="L80" s="135"/>
      <c r="M80" s="45" t="s">
        <v>374</v>
      </c>
      <c r="N80" s="39" t="s">
        <v>1605</v>
      </c>
      <c r="O80" s="39">
        <v>0</v>
      </c>
      <c r="P80" s="39">
        <v>0</v>
      </c>
      <c r="Q80" s="39">
        <v>0</v>
      </c>
      <c r="R80" s="39">
        <v>0</v>
      </c>
      <c r="S80" s="39">
        <v>0</v>
      </c>
      <c r="T80" s="39">
        <v>0</v>
      </c>
      <c r="U80" s="39">
        <v>0</v>
      </c>
      <c r="V80" s="39">
        <v>0</v>
      </c>
      <c r="W80" s="39">
        <v>89315</v>
      </c>
      <c r="X80" s="39">
        <v>88176</v>
      </c>
      <c r="Y80" s="39">
        <v>3624188</v>
      </c>
      <c r="Z80" s="39" t="s">
        <v>119</v>
      </c>
      <c r="AA80" s="39" t="s">
        <v>119</v>
      </c>
      <c r="AB80" s="39">
        <v>80740</v>
      </c>
      <c r="AC80" s="39">
        <v>74054</v>
      </c>
      <c r="AD80" s="39" t="s">
        <v>522</v>
      </c>
      <c r="AE80" s="39" t="s">
        <v>523</v>
      </c>
      <c r="AF80" s="136">
        <v>43989</v>
      </c>
      <c r="AG80" s="39"/>
      <c r="AH80" s="39">
        <v>41522108</v>
      </c>
      <c r="AI80" s="39">
        <v>27415221083</v>
      </c>
      <c r="AJ80" s="46">
        <v>43808</v>
      </c>
      <c r="AK80" s="46">
        <v>43808</v>
      </c>
      <c r="AL80" s="47">
        <v>43831</v>
      </c>
      <c r="AM80" s="39">
        <v>260</v>
      </c>
      <c r="AN80" s="137" t="s">
        <v>114</v>
      </c>
      <c r="AO80" s="141">
        <v>89980</v>
      </c>
      <c r="AP80" s="139" t="s">
        <v>115</v>
      </c>
      <c r="AQ80" s="142" t="s">
        <v>1607</v>
      </c>
    </row>
    <row r="81" spans="1:43" x14ac:dyDescent="0.25">
      <c r="A81" s="44" t="s">
        <v>74</v>
      </c>
      <c r="B81" s="39" t="s">
        <v>77</v>
      </c>
      <c r="C81" s="39" t="s">
        <v>524</v>
      </c>
      <c r="D81" s="39" t="s">
        <v>525</v>
      </c>
      <c r="E81" s="39" t="s">
        <v>40</v>
      </c>
      <c r="F81" s="39" t="s">
        <v>52</v>
      </c>
      <c r="G81" s="39" t="s">
        <v>52</v>
      </c>
      <c r="H81" s="39" t="s">
        <v>52</v>
      </c>
      <c r="I81" s="39" t="s">
        <v>52</v>
      </c>
      <c r="J81" s="39" t="s">
        <v>52</v>
      </c>
      <c r="K81" s="39" t="s">
        <v>40</v>
      </c>
      <c r="L81" s="135"/>
      <c r="M81" s="45" t="s">
        <v>395</v>
      </c>
      <c r="N81" s="39" t="s">
        <v>1605</v>
      </c>
      <c r="O81" s="39">
        <v>0</v>
      </c>
      <c r="P81" s="39">
        <v>0</v>
      </c>
      <c r="Q81" s="39">
        <v>0</v>
      </c>
      <c r="R81" s="39">
        <v>0</v>
      </c>
      <c r="S81" s="39">
        <v>0</v>
      </c>
      <c r="T81" s="39">
        <v>0</v>
      </c>
      <c r="U81" s="39">
        <v>0</v>
      </c>
      <c r="V81" s="39">
        <v>0</v>
      </c>
      <c r="W81" s="39">
        <v>89219</v>
      </c>
      <c r="X81" s="39">
        <v>87059</v>
      </c>
      <c r="Y81" s="39">
        <v>3267967</v>
      </c>
      <c r="Z81" s="39" t="s">
        <v>118</v>
      </c>
      <c r="AA81" s="39" t="s">
        <v>119</v>
      </c>
      <c r="AB81" s="39">
        <v>80740</v>
      </c>
      <c r="AC81" s="39">
        <v>74054</v>
      </c>
      <c r="AD81" s="39" t="s">
        <v>526</v>
      </c>
      <c r="AE81" s="39" t="s">
        <v>527</v>
      </c>
      <c r="AF81" s="136">
        <v>43915</v>
      </c>
      <c r="AG81" s="39" t="s">
        <v>528</v>
      </c>
      <c r="AH81" s="39">
        <v>38063040</v>
      </c>
      <c r="AI81" s="39">
        <v>27380630406</v>
      </c>
      <c r="AJ81" s="46">
        <v>43668</v>
      </c>
      <c r="AK81" s="46">
        <v>43669</v>
      </c>
      <c r="AL81" s="47">
        <v>43678</v>
      </c>
      <c r="AM81" s="39">
        <v>397</v>
      </c>
      <c r="AN81" s="137" t="s">
        <v>114</v>
      </c>
      <c r="AO81" s="141">
        <v>89982</v>
      </c>
      <c r="AP81" s="139" t="s">
        <v>115</v>
      </c>
      <c r="AQ81" s="142" t="s">
        <v>1608</v>
      </c>
    </row>
    <row r="82" spans="1:43" x14ac:dyDescent="0.25">
      <c r="A82" s="44" t="s">
        <v>71</v>
      </c>
      <c r="B82" s="39" t="s">
        <v>73</v>
      </c>
      <c r="C82" s="39" t="s">
        <v>529</v>
      </c>
      <c r="D82" s="39" t="s">
        <v>530</v>
      </c>
      <c r="E82" s="39" t="s">
        <v>40</v>
      </c>
      <c r="F82" s="39" t="s">
        <v>420</v>
      </c>
      <c r="G82" s="39" t="s">
        <v>420</v>
      </c>
      <c r="H82" s="39" t="s">
        <v>420</v>
      </c>
      <c r="I82" s="39" t="s">
        <v>420</v>
      </c>
      <c r="J82" s="39" t="s">
        <v>420</v>
      </c>
      <c r="K82" s="39" t="s">
        <v>40</v>
      </c>
      <c r="L82" s="135"/>
      <c r="M82" s="45"/>
      <c r="N82" s="39" t="s">
        <v>1605</v>
      </c>
      <c r="O82" s="39">
        <v>0</v>
      </c>
      <c r="P82" s="39">
        <v>6</v>
      </c>
      <c r="Q82" s="39">
        <v>6</v>
      </c>
      <c r="R82" s="39">
        <v>6</v>
      </c>
      <c r="S82" s="39">
        <v>6</v>
      </c>
      <c r="T82" s="39">
        <v>6</v>
      </c>
      <c r="U82" s="39">
        <v>0</v>
      </c>
      <c r="V82" s="39">
        <v>30</v>
      </c>
      <c r="W82" s="39">
        <v>89017</v>
      </c>
      <c r="X82" s="39">
        <v>85609</v>
      </c>
      <c r="Y82" s="39">
        <v>1584478</v>
      </c>
      <c r="Z82" s="39" t="s">
        <v>132</v>
      </c>
      <c r="AA82" s="39" t="s">
        <v>182</v>
      </c>
      <c r="AB82" s="39">
        <v>74323</v>
      </c>
      <c r="AC82" s="39">
        <v>64118</v>
      </c>
      <c r="AD82" s="39" t="s">
        <v>531</v>
      </c>
      <c r="AE82" s="39" t="s">
        <v>532</v>
      </c>
      <c r="AF82" s="136">
        <v>43945</v>
      </c>
      <c r="AG82" s="39" t="s">
        <v>533</v>
      </c>
      <c r="AH82" s="39">
        <v>36350437</v>
      </c>
      <c r="AI82" s="39">
        <v>20363504370</v>
      </c>
      <c r="AJ82" s="46">
        <v>43227</v>
      </c>
      <c r="AK82" s="46">
        <v>43259</v>
      </c>
      <c r="AL82" s="47">
        <v>43262</v>
      </c>
      <c r="AM82" s="39">
        <v>832</v>
      </c>
      <c r="AN82" s="137" t="s">
        <v>114</v>
      </c>
      <c r="AO82" s="141">
        <v>89924</v>
      </c>
      <c r="AP82" s="139" t="s">
        <v>115</v>
      </c>
      <c r="AQ82" s="142" t="s">
        <v>1611</v>
      </c>
    </row>
    <row r="83" spans="1:43" x14ac:dyDescent="0.25">
      <c r="A83" s="44" t="s">
        <v>71</v>
      </c>
      <c r="B83" s="39" t="s">
        <v>73</v>
      </c>
      <c r="C83" s="39" t="s">
        <v>282</v>
      </c>
      <c r="D83" s="39" t="s">
        <v>534</v>
      </c>
      <c r="E83" s="39" t="s">
        <v>40</v>
      </c>
      <c r="F83" s="39" t="s">
        <v>420</v>
      </c>
      <c r="G83" s="39" t="s">
        <v>420</v>
      </c>
      <c r="H83" s="39" t="s">
        <v>420</v>
      </c>
      <c r="I83" s="39" t="s">
        <v>420</v>
      </c>
      <c r="J83" s="39" t="s">
        <v>420</v>
      </c>
      <c r="K83" s="39" t="s">
        <v>40</v>
      </c>
      <c r="L83" s="135"/>
      <c r="M83" s="45"/>
      <c r="N83" s="39" t="s">
        <v>1605</v>
      </c>
      <c r="O83" s="39">
        <v>0</v>
      </c>
      <c r="P83" s="39">
        <v>6</v>
      </c>
      <c r="Q83" s="39">
        <v>6</v>
      </c>
      <c r="R83" s="39">
        <v>6</v>
      </c>
      <c r="S83" s="39">
        <v>6</v>
      </c>
      <c r="T83" s="39">
        <v>6</v>
      </c>
      <c r="U83" s="39">
        <v>0</v>
      </c>
      <c r="V83" s="39">
        <v>30</v>
      </c>
      <c r="W83" s="39">
        <v>89025</v>
      </c>
      <c r="X83" s="39">
        <v>85619</v>
      </c>
      <c r="Y83" s="39">
        <v>2873635</v>
      </c>
      <c r="Z83" s="39" t="s">
        <v>139</v>
      </c>
      <c r="AA83" s="39" t="s">
        <v>535</v>
      </c>
      <c r="AB83" s="39">
        <v>74323</v>
      </c>
      <c r="AC83" s="39">
        <v>64118</v>
      </c>
      <c r="AD83" s="39" t="s">
        <v>536</v>
      </c>
      <c r="AE83" s="39" t="s">
        <v>537</v>
      </c>
      <c r="AF83" s="136">
        <v>43910</v>
      </c>
      <c r="AG83" s="39" t="s">
        <v>538</v>
      </c>
      <c r="AH83" s="39">
        <v>33978353</v>
      </c>
      <c r="AI83" s="39">
        <v>27339783530</v>
      </c>
      <c r="AJ83" s="46">
        <v>43227</v>
      </c>
      <c r="AK83" s="46">
        <v>43259</v>
      </c>
      <c r="AL83" s="47">
        <v>43262</v>
      </c>
      <c r="AM83" s="39">
        <v>832</v>
      </c>
      <c r="AN83" s="137" t="s">
        <v>114</v>
      </c>
      <c r="AO83" s="141">
        <v>89925</v>
      </c>
      <c r="AP83" s="139" t="s">
        <v>115</v>
      </c>
      <c r="AQ83" s="142" t="s">
        <v>1611</v>
      </c>
    </row>
    <row r="84" spans="1:43" x14ac:dyDescent="0.25">
      <c r="A84" s="69" t="s">
        <v>71</v>
      </c>
      <c r="B84" s="70" t="s">
        <v>73</v>
      </c>
      <c r="C84" s="70" t="s">
        <v>539</v>
      </c>
      <c r="D84" s="70" t="s">
        <v>540</v>
      </c>
      <c r="E84" s="70" t="s">
        <v>40</v>
      </c>
      <c r="F84" s="70" t="s">
        <v>52</v>
      </c>
      <c r="G84" s="70" t="s">
        <v>52</v>
      </c>
      <c r="H84" s="70" t="s">
        <v>52</v>
      </c>
      <c r="I84" s="70" t="s">
        <v>52</v>
      </c>
      <c r="J84" s="70" t="s">
        <v>52</v>
      </c>
      <c r="K84" s="70" t="s">
        <v>40</v>
      </c>
      <c r="L84" s="135"/>
      <c r="M84" s="45" t="s">
        <v>1620</v>
      </c>
      <c r="N84" s="39" t="s">
        <v>1605</v>
      </c>
      <c r="O84" s="39">
        <v>0</v>
      </c>
      <c r="P84" s="39">
        <v>0</v>
      </c>
      <c r="Q84" s="39">
        <v>0</v>
      </c>
      <c r="R84" s="39">
        <v>0</v>
      </c>
      <c r="S84" s="39">
        <v>0</v>
      </c>
      <c r="T84" s="39">
        <v>0</v>
      </c>
      <c r="U84" s="39">
        <v>0</v>
      </c>
      <c r="V84" s="39">
        <v>0</v>
      </c>
      <c r="W84" s="39">
        <v>89009</v>
      </c>
      <c r="X84" s="39">
        <v>78561</v>
      </c>
      <c r="Y84" s="39">
        <v>1159887</v>
      </c>
      <c r="Z84" s="39" t="s">
        <v>132</v>
      </c>
      <c r="AA84" s="39" t="s">
        <v>248</v>
      </c>
      <c r="AB84" s="39">
        <v>74323</v>
      </c>
      <c r="AC84" s="39">
        <v>64118</v>
      </c>
      <c r="AD84" s="39" t="s">
        <v>541</v>
      </c>
      <c r="AE84" s="39" t="s">
        <v>542</v>
      </c>
      <c r="AF84" s="136">
        <v>43919</v>
      </c>
      <c r="AG84" s="39" t="s">
        <v>543</v>
      </c>
      <c r="AH84" s="39">
        <v>37501588</v>
      </c>
      <c r="AI84" s="39">
        <v>23375015889</v>
      </c>
      <c r="AJ84" s="46">
        <v>41643</v>
      </c>
      <c r="AK84" s="46">
        <v>43259</v>
      </c>
      <c r="AL84" s="47">
        <v>43262</v>
      </c>
      <c r="AM84" s="39">
        <v>2395</v>
      </c>
      <c r="AN84" s="137" t="s">
        <v>114</v>
      </c>
      <c r="AO84" s="141">
        <v>89926</v>
      </c>
      <c r="AP84" s="139" t="s">
        <v>115</v>
      </c>
      <c r="AQ84" s="142" t="s">
        <v>1611</v>
      </c>
    </row>
    <row r="85" spans="1:43" x14ac:dyDescent="0.25">
      <c r="A85" s="42" t="s">
        <v>71</v>
      </c>
      <c r="B85" s="41" t="s">
        <v>73</v>
      </c>
      <c r="C85" s="41" t="s">
        <v>544</v>
      </c>
      <c r="D85" s="41" t="s">
        <v>545</v>
      </c>
      <c r="E85" s="41" t="s">
        <v>40</v>
      </c>
      <c r="F85" s="41" t="s">
        <v>52</v>
      </c>
      <c r="G85" s="41" t="s">
        <v>52</v>
      </c>
      <c r="H85" s="41" t="s">
        <v>52</v>
      </c>
      <c r="I85" s="41" t="s">
        <v>420</v>
      </c>
      <c r="J85" s="41" t="s">
        <v>420</v>
      </c>
      <c r="K85" s="41" t="s">
        <v>40</v>
      </c>
      <c r="L85" s="135"/>
      <c r="M85" s="45" t="s">
        <v>1621</v>
      </c>
      <c r="N85" s="39" t="s">
        <v>1605</v>
      </c>
      <c r="O85" s="39">
        <v>0</v>
      </c>
      <c r="P85" s="39">
        <v>0</v>
      </c>
      <c r="Q85" s="39">
        <v>0</v>
      </c>
      <c r="R85" s="39">
        <v>0</v>
      </c>
      <c r="S85" s="39">
        <v>6</v>
      </c>
      <c r="T85" s="39">
        <v>6</v>
      </c>
      <c r="U85" s="39">
        <v>0</v>
      </c>
      <c r="V85" s="39">
        <v>12</v>
      </c>
      <c r="W85" s="39">
        <v>89181</v>
      </c>
      <c r="X85" s="39">
        <v>86326</v>
      </c>
      <c r="Y85" s="39">
        <v>3138477</v>
      </c>
      <c r="Z85" s="39" t="s">
        <v>109</v>
      </c>
      <c r="AA85" s="39" t="s">
        <v>110</v>
      </c>
      <c r="AB85" s="39">
        <v>74323</v>
      </c>
      <c r="AC85" s="39">
        <v>64118</v>
      </c>
      <c r="AD85" s="39" t="s">
        <v>546</v>
      </c>
      <c r="AE85" s="39" t="s">
        <v>547</v>
      </c>
      <c r="AF85" s="136">
        <v>43916</v>
      </c>
      <c r="AG85" s="39" t="s">
        <v>548</v>
      </c>
      <c r="AH85" s="39">
        <v>35029789</v>
      </c>
      <c r="AI85" s="39">
        <v>27350297893</v>
      </c>
      <c r="AJ85" s="46">
        <v>43460</v>
      </c>
      <c r="AK85" s="46">
        <v>43460</v>
      </c>
      <c r="AL85" s="47">
        <v>43476</v>
      </c>
      <c r="AM85" s="39">
        <v>603</v>
      </c>
      <c r="AN85" s="137" t="s">
        <v>114</v>
      </c>
      <c r="AO85" s="141">
        <v>89927</v>
      </c>
      <c r="AP85" s="139" t="s">
        <v>115</v>
      </c>
      <c r="AQ85" s="142" t="s">
        <v>1611</v>
      </c>
    </row>
    <row r="86" spans="1:43" x14ac:dyDescent="0.25">
      <c r="A86" s="44" t="s">
        <v>71</v>
      </c>
      <c r="B86" s="39" t="s">
        <v>73</v>
      </c>
      <c r="C86" s="39" t="s">
        <v>549</v>
      </c>
      <c r="D86" s="39" t="s">
        <v>550</v>
      </c>
      <c r="E86" s="39" t="s">
        <v>40</v>
      </c>
      <c r="F86" s="39" t="s">
        <v>420</v>
      </c>
      <c r="G86" s="39" t="s">
        <v>420</v>
      </c>
      <c r="H86" s="39" t="s">
        <v>420</v>
      </c>
      <c r="I86" s="39" t="s">
        <v>420</v>
      </c>
      <c r="J86" s="39" t="s">
        <v>420</v>
      </c>
      <c r="K86" s="39" t="s">
        <v>40</v>
      </c>
      <c r="L86" s="135"/>
      <c r="M86" s="45"/>
      <c r="N86" s="39" t="s">
        <v>1605</v>
      </c>
      <c r="O86" s="39">
        <v>0</v>
      </c>
      <c r="P86" s="39">
        <v>6</v>
      </c>
      <c r="Q86" s="39">
        <v>6</v>
      </c>
      <c r="R86" s="39">
        <v>6</v>
      </c>
      <c r="S86" s="39">
        <v>6</v>
      </c>
      <c r="T86" s="39">
        <v>6</v>
      </c>
      <c r="U86" s="39">
        <v>0</v>
      </c>
      <c r="V86" s="39">
        <v>30</v>
      </c>
      <c r="W86" s="39">
        <v>89184</v>
      </c>
      <c r="X86" s="39">
        <v>86327</v>
      </c>
      <c r="Y86" s="39">
        <v>3138516</v>
      </c>
      <c r="Z86" s="39" t="s">
        <v>109</v>
      </c>
      <c r="AA86" s="39" t="s">
        <v>110</v>
      </c>
      <c r="AB86" s="39">
        <v>74323</v>
      </c>
      <c r="AC86" s="39">
        <v>64118</v>
      </c>
      <c r="AD86" s="39" t="s">
        <v>551</v>
      </c>
      <c r="AE86" s="39" t="s">
        <v>552</v>
      </c>
      <c r="AF86" s="136">
        <v>43916</v>
      </c>
      <c r="AG86" s="39" t="s">
        <v>553</v>
      </c>
      <c r="AH86" s="39">
        <v>25502915</v>
      </c>
      <c r="AI86" s="39">
        <v>27255029156</v>
      </c>
      <c r="AJ86" s="46">
        <v>43460</v>
      </c>
      <c r="AK86" s="46">
        <v>43460</v>
      </c>
      <c r="AL86" s="47">
        <v>43476</v>
      </c>
      <c r="AM86" s="39">
        <v>603</v>
      </c>
      <c r="AN86" s="137" t="s">
        <v>114</v>
      </c>
      <c r="AO86" s="141">
        <v>89944</v>
      </c>
      <c r="AP86" s="139" t="s">
        <v>115</v>
      </c>
      <c r="AQ86" s="142" t="s">
        <v>1611</v>
      </c>
    </row>
    <row r="87" spans="1:43" x14ac:dyDescent="0.25">
      <c r="A87" s="44" t="s">
        <v>71</v>
      </c>
      <c r="B87" s="39" t="s">
        <v>73</v>
      </c>
      <c r="C87" s="39" t="s">
        <v>554</v>
      </c>
      <c r="D87" s="39" t="s">
        <v>555</v>
      </c>
      <c r="E87" s="39" t="s">
        <v>40</v>
      </c>
      <c r="F87" s="39" t="s">
        <v>420</v>
      </c>
      <c r="G87" s="39" t="s">
        <v>420</v>
      </c>
      <c r="H87" s="39" t="s">
        <v>420</v>
      </c>
      <c r="I87" s="39" t="s">
        <v>420</v>
      </c>
      <c r="J87" s="39" t="s">
        <v>420</v>
      </c>
      <c r="K87" s="39" t="s">
        <v>40</v>
      </c>
      <c r="L87" s="135"/>
      <c r="M87" s="45"/>
      <c r="N87" s="39" t="s">
        <v>1605</v>
      </c>
      <c r="O87" s="39">
        <v>0</v>
      </c>
      <c r="P87" s="39">
        <v>6</v>
      </c>
      <c r="Q87" s="39">
        <v>6</v>
      </c>
      <c r="R87" s="39">
        <v>6</v>
      </c>
      <c r="S87" s="39">
        <v>6</v>
      </c>
      <c r="T87" s="39">
        <v>6</v>
      </c>
      <c r="U87" s="39">
        <v>0</v>
      </c>
      <c r="V87" s="39">
        <v>30</v>
      </c>
      <c r="W87" s="39">
        <v>89037</v>
      </c>
      <c r="X87" s="39">
        <v>76594</v>
      </c>
      <c r="Y87" s="39">
        <v>796797</v>
      </c>
      <c r="Z87" s="39" t="s">
        <v>109</v>
      </c>
      <c r="AA87" s="39" t="s">
        <v>109</v>
      </c>
      <c r="AB87" s="39">
        <v>74323</v>
      </c>
      <c r="AC87" s="39">
        <v>64118</v>
      </c>
      <c r="AD87" s="39" t="s">
        <v>556</v>
      </c>
      <c r="AE87" s="39" t="s">
        <v>557</v>
      </c>
      <c r="AF87" s="136">
        <v>43921</v>
      </c>
      <c r="AG87" s="39" t="s">
        <v>558</v>
      </c>
      <c r="AH87" s="39">
        <v>33609113</v>
      </c>
      <c r="AI87" s="39">
        <v>20336091137</v>
      </c>
      <c r="AJ87" s="46">
        <v>41008</v>
      </c>
      <c r="AK87" s="46">
        <v>43327</v>
      </c>
      <c r="AL87" s="47">
        <v>43328</v>
      </c>
      <c r="AM87" s="39">
        <v>3020</v>
      </c>
      <c r="AN87" s="137" t="s">
        <v>114</v>
      </c>
      <c r="AO87" s="141">
        <v>89928</v>
      </c>
      <c r="AP87" s="139" t="s">
        <v>115</v>
      </c>
      <c r="AQ87" s="142" t="s">
        <v>1611</v>
      </c>
    </row>
    <row r="88" spans="1:43" x14ac:dyDescent="0.25">
      <c r="A88" s="44" t="s">
        <v>74</v>
      </c>
      <c r="B88" s="39" t="s">
        <v>75</v>
      </c>
      <c r="C88" s="39" t="s">
        <v>559</v>
      </c>
      <c r="D88" s="39" t="s">
        <v>560</v>
      </c>
      <c r="E88" s="39" t="s">
        <v>40</v>
      </c>
      <c r="F88" s="39" t="s">
        <v>131</v>
      </c>
      <c r="G88" s="39" t="s">
        <v>131</v>
      </c>
      <c r="H88" s="39" t="s">
        <v>131</v>
      </c>
      <c r="I88" s="39" t="s">
        <v>131</v>
      </c>
      <c r="J88" s="39" t="s">
        <v>131</v>
      </c>
      <c r="K88" s="39" t="s">
        <v>40</v>
      </c>
      <c r="L88" s="135"/>
      <c r="M88" s="45" t="s">
        <v>561</v>
      </c>
      <c r="N88" s="39" t="s">
        <v>1605</v>
      </c>
      <c r="O88" s="39">
        <v>0</v>
      </c>
      <c r="P88" s="39">
        <v>6</v>
      </c>
      <c r="Q88" s="39">
        <v>6</v>
      </c>
      <c r="R88" s="39">
        <v>6</v>
      </c>
      <c r="S88" s="39">
        <v>6</v>
      </c>
      <c r="T88" s="39">
        <v>6</v>
      </c>
      <c r="U88" s="39">
        <v>0</v>
      </c>
      <c r="V88" s="39">
        <v>30</v>
      </c>
      <c r="W88" s="39">
        <v>89188</v>
      </c>
      <c r="X88" s="39">
        <v>86341</v>
      </c>
      <c r="Y88" s="39">
        <v>3138508</v>
      </c>
      <c r="Z88" s="39" t="s">
        <v>109</v>
      </c>
      <c r="AA88" s="39" t="s">
        <v>110</v>
      </c>
      <c r="AB88" s="39" t="e">
        <v>#N/A</v>
      </c>
      <c r="AC88" s="39">
        <v>74054</v>
      </c>
      <c r="AD88" s="39" t="s">
        <v>562</v>
      </c>
      <c r="AE88" s="39" t="s">
        <v>563</v>
      </c>
      <c r="AF88" s="136">
        <v>43917</v>
      </c>
      <c r="AG88" s="39" t="s">
        <v>564</v>
      </c>
      <c r="AH88" s="39">
        <v>40273349</v>
      </c>
      <c r="AI88" s="39">
        <v>20402733498</v>
      </c>
      <c r="AJ88" s="46">
        <v>43460</v>
      </c>
      <c r="AK88" s="46">
        <v>43460</v>
      </c>
      <c r="AL88" s="47">
        <v>43476</v>
      </c>
      <c r="AM88" s="39">
        <v>603</v>
      </c>
      <c r="AN88" s="137" t="s">
        <v>114</v>
      </c>
      <c r="AO88" s="141">
        <v>89975</v>
      </c>
      <c r="AP88" s="139" t="s">
        <v>115</v>
      </c>
      <c r="AQ88" s="142" t="s">
        <v>1611</v>
      </c>
    </row>
    <row r="89" spans="1:43" x14ac:dyDescent="0.25">
      <c r="A89" s="44" t="s">
        <v>71</v>
      </c>
      <c r="B89" s="39" t="s">
        <v>73</v>
      </c>
      <c r="C89" s="39" t="s">
        <v>565</v>
      </c>
      <c r="D89" s="39" t="s">
        <v>566</v>
      </c>
      <c r="E89" s="39" t="s">
        <v>40</v>
      </c>
      <c r="F89" s="39" t="s">
        <v>420</v>
      </c>
      <c r="G89" s="39" t="s">
        <v>420</v>
      </c>
      <c r="H89" s="39" t="s">
        <v>420</v>
      </c>
      <c r="I89" s="39" t="s">
        <v>420</v>
      </c>
      <c r="J89" s="39" t="s">
        <v>420</v>
      </c>
      <c r="K89" s="39" t="s">
        <v>40</v>
      </c>
      <c r="L89" s="135"/>
      <c r="M89" s="45"/>
      <c r="N89" s="39" t="s">
        <v>1605</v>
      </c>
      <c r="O89" s="39">
        <v>0</v>
      </c>
      <c r="P89" s="39">
        <v>6</v>
      </c>
      <c r="Q89" s="39">
        <v>6</v>
      </c>
      <c r="R89" s="39">
        <v>6</v>
      </c>
      <c r="S89" s="39">
        <v>6</v>
      </c>
      <c r="T89" s="39">
        <v>6</v>
      </c>
      <c r="U89" s="39">
        <v>0</v>
      </c>
      <c r="V89" s="39">
        <v>30</v>
      </c>
      <c r="W89" s="39">
        <v>89126</v>
      </c>
      <c r="X89" s="39">
        <v>86147</v>
      </c>
      <c r="Y89" s="39">
        <v>3118280</v>
      </c>
      <c r="Z89" s="39" t="s">
        <v>109</v>
      </c>
      <c r="AA89" s="39" t="s">
        <v>110</v>
      </c>
      <c r="AB89" s="39">
        <v>74323</v>
      </c>
      <c r="AC89" s="39">
        <v>64118</v>
      </c>
      <c r="AD89" s="39" t="s">
        <v>567</v>
      </c>
      <c r="AE89" s="39" t="s">
        <v>568</v>
      </c>
      <c r="AF89" s="136">
        <v>43919</v>
      </c>
      <c r="AG89" s="39" t="s">
        <v>569</v>
      </c>
      <c r="AH89" s="39">
        <v>37740165</v>
      </c>
      <c r="AI89" s="39">
        <v>23377401654</v>
      </c>
      <c r="AJ89" s="46">
        <v>43437</v>
      </c>
      <c r="AK89" s="46">
        <v>43437</v>
      </c>
      <c r="AL89" s="47">
        <v>43448</v>
      </c>
      <c r="AM89" s="39">
        <v>626</v>
      </c>
      <c r="AN89" s="137" t="s">
        <v>114</v>
      </c>
      <c r="AO89" s="141">
        <v>89929</v>
      </c>
      <c r="AP89" s="139" t="s">
        <v>115</v>
      </c>
      <c r="AQ89" s="142" t="s">
        <v>1611</v>
      </c>
    </row>
    <row r="90" spans="1:43" x14ac:dyDescent="0.25">
      <c r="A90" s="44" t="s">
        <v>71</v>
      </c>
      <c r="B90" s="39" t="s">
        <v>73</v>
      </c>
      <c r="C90" s="39" t="s">
        <v>570</v>
      </c>
      <c r="D90" s="39" t="s">
        <v>571</v>
      </c>
      <c r="E90" s="39" t="s">
        <v>40</v>
      </c>
      <c r="F90" s="39" t="s">
        <v>47</v>
      </c>
      <c r="G90" s="39" t="s">
        <v>47</v>
      </c>
      <c r="H90" s="39" t="s">
        <v>47</v>
      </c>
      <c r="I90" s="39" t="s">
        <v>47</v>
      </c>
      <c r="J90" s="39" t="s">
        <v>47</v>
      </c>
      <c r="K90" s="39" t="s">
        <v>40</v>
      </c>
      <c r="L90" s="135"/>
      <c r="M90" s="45" t="s">
        <v>572</v>
      </c>
      <c r="N90" s="39" t="s">
        <v>1605</v>
      </c>
      <c r="O90" s="39">
        <v>0</v>
      </c>
      <c r="P90" s="39">
        <v>0</v>
      </c>
      <c r="Q90" s="39">
        <v>0</v>
      </c>
      <c r="R90" s="39">
        <v>0</v>
      </c>
      <c r="S90" s="39">
        <v>0</v>
      </c>
      <c r="T90" s="39">
        <v>0</v>
      </c>
      <c r="U90" s="39">
        <v>0</v>
      </c>
      <c r="V90" s="39">
        <v>0</v>
      </c>
      <c r="W90" s="39">
        <v>89003</v>
      </c>
      <c r="X90" s="39">
        <v>81254</v>
      </c>
      <c r="Y90" s="39">
        <v>1313201</v>
      </c>
      <c r="Z90" s="39" t="s">
        <v>109</v>
      </c>
      <c r="AA90" s="39" t="s">
        <v>109</v>
      </c>
      <c r="AB90" s="39">
        <v>74323</v>
      </c>
      <c r="AC90" s="39">
        <v>64118</v>
      </c>
      <c r="AD90" s="39" t="s">
        <v>573</v>
      </c>
      <c r="AE90" s="39" t="s">
        <v>574</v>
      </c>
      <c r="AF90" s="136"/>
      <c r="AG90" s="39" t="s">
        <v>575</v>
      </c>
      <c r="AH90" s="39">
        <v>32775545</v>
      </c>
      <c r="AI90" s="39">
        <v>27327755450</v>
      </c>
      <c r="AJ90" s="46">
        <v>42347</v>
      </c>
      <c r="AK90" s="46">
        <v>43259</v>
      </c>
      <c r="AL90" s="47">
        <v>43262</v>
      </c>
      <c r="AM90" s="39">
        <v>1700</v>
      </c>
      <c r="AN90" s="137" t="s">
        <v>114</v>
      </c>
      <c r="AO90" s="141"/>
      <c r="AP90" s="139" t="s">
        <v>266</v>
      </c>
      <c r="AQ90" s="142" t="s">
        <v>1611</v>
      </c>
    </row>
    <row r="91" spans="1:43" x14ac:dyDescent="0.25">
      <c r="A91" s="44" t="s">
        <v>71</v>
      </c>
      <c r="B91" s="39" t="s">
        <v>73</v>
      </c>
      <c r="C91" s="39" t="s">
        <v>576</v>
      </c>
      <c r="D91" s="39" t="s">
        <v>577</v>
      </c>
      <c r="E91" s="39" t="s">
        <v>40</v>
      </c>
      <c r="F91" s="39" t="s">
        <v>420</v>
      </c>
      <c r="G91" s="39" t="s">
        <v>420</v>
      </c>
      <c r="H91" s="39" t="s">
        <v>420</v>
      </c>
      <c r="I91" s="39" t="s">
        <v>420</v>
      </c>
      <c r="J91" s="39" t="s">
        <v>420</v>
      </c>
      <c r="K91" s="39" t="s">
        <v>40</v>
      </c>
      <c r="L91" s="135"/>
      <c r="M91" s="45"/>
      <c r="N91" s="39" t="s">
        <v>1605</v>
      </c>
      <c r="O91" s="39">
        <v>0</v>
      </c>
      <c r="P91" s="39">
        <v>6</v>
      </c>
      <c r="Q91" s="39">
        <v>6</v>
      </c>
      <c r="R91" s="39">
        <v>6</v>
      </c>
      <c r="S91" s="39">
        <v>6</v>
      </c>
      <c r="T91" s="39">
        <v>6</v>
      </c>
      <c r="U91" s="39">
        <v>0</v>
      </c>
      <c r="V91" s="39">
        <v>30</v>
      </c>
      <c r="W91" s="39">
        <v>89085</v>
      </c>
      <c r="X91" s="39">
        <v>82428</v>
      </c>
      <c r="Y91" s="39">
        <v>1581549</v>
      </c>
      <c r="Z91" s="39" t="s">
        <v>109</v>
      </c>
      <c r="AA91" s="39" t="s">
        <v>110</v>
      </c>
      <c r="AB91" s="39">
        <v>74323</v>
      </c>
      <c r="AC91" s="39">
        <v>64118</v>
      </c>
      <c r="AD91" s="39" t="s">
        <v>578</v>
      </c>
      <c r="AE91" s="39" t="s">
        <v>579</v>
      </c>
      <c r="AF91" s="136">
        <v>43912</v>
      </c>
      <c r="AG91" s="39" t="s">
        <v>580</v>
      </c>
      <c r="AH91" s="39">
        <v>31127334</v>
      </c>
      <c r="AI91" s="39">
        <v>27311273340</v>
      </c>
      <c r="AJ91" s="46">
        <v>42636</v>
      </c>
      <c r="AK91" s="46">
        <v>43409</v>
      </c>
      <c r="AL91" s="47">
        <v>43423</v>
      </c>
      <c r="AM91" s="39">
        <v>1416</v>
      </c>
      <c r="AN91" s="137" t="s">
        <v>114</v>
      </c>
      <c r="AO91" s="141">
        <v>89976</v>
      </c>
      <c r="AP91" s="139" t="s">
        <v>115</v>
      </c>
      <c r="AQ91" s="142" t="s">
        <v>1611</v>
      </c>
    </row>
    <row r="92" spans="1:43" x14ac:dyDescent="0.25">
      <c r="A92" s="44" t="s">
        <v>71</v>
      </c>
      <c r="B92" s="39" t="s">
        <v>73</v>
      </c>
      <c r="C92" s="39" t="s">
        <v>326</v>
      </c>
      <c r="D92" s="39" t="s">
        <v>581</v>
      </c>
      <c r="E92" s="39" t="s">
        <v>40</v>
      </c>
      <c r="F92" s="39" t="s">
        <v>420</v>
      </c>
      <c r="G92" s="39" t="s">
        <v>420</v>
      </c>
      <c r="H92" s="39" t="s">
        <v>420</v>
      </c>
      <c r="I92" s="39" t="s">
        <v>420</v>
      </c>
      <c r="J92" s="39" t="s">
        <v>420</v>
      </c>
      <c r="K92" s="39" t="s">
        <v>40</v>
      </c>
      <c r="L92" s="135"/>
      <c r="M92" s="45"/>
      <c r="N92" s="39" t="s">
        <v>1605</v>
      </c>
      <c r="O92" s="39">
        <v>0</v>
      </c>
      <c r="P92" s="39">
        <v>6</v>
      </c>
      <c r="Q92" s="39">
        <v>6</v>
      </c>
      <c r="R92" s="39">
        <v>6</v>
      </c>
      <c r="S92" s="39">
        <v>6</v>
      </c>
      <c r="T92" s="39">
        <v>6</v>
      </c>
      <c r="U92" s="39">
        <v>0</v>
      </c>
      <c r="V92" s="39">
        <v>30</v>
      </c>
      <c r="W92" s="39">
        <v>89045</v>
      </c>
      <c r="X92" s="39">
        <v>83798</v>
      </c>
      <c r="Y92" s="39">
        <v>2593757</v>
      </c>
      <c r="Z92" s="39" t="s">
        <v>132</v>
      </c>
      <c r="AA92" s="39" t="s">
        <v>582</v>
      </c>
      <c r="AB92" s="39">
        <v>74323</v>
      </c>
      <c r="AC92" s="39">
        <v>64118</v>
      </c>
      <c r="AD92" s="39" t="s">
        <v>583</v>
      </c>
      <c r="AE92" s="39" t="s">
        <v>584</v>
      </c>
      <c r="AF92" s="136">
        <v>43917</v>
      </c>
      <c r="AG92" s="39" t="s">
        <v>585</v>
      </c>
      <c r="AH92" s="39">
        <v>39140995</v>
      </c>
      <c r="AI92" s="39">
        <v>27391409957</v>
      </c>
      <c r="AJ92" s="46">
        <v>42954</v>
      </c>
      <c r="AK92" s="46">
        <v>43327</v>
      </c>
      <c r="AL92" s="47">
        <v>43328</v>
      </c>
      <c r="AM92" s="39">
        <v>1102</v>
      </c>
      <c r="AN92" s="137" t="s">
        <v>114</v>
      </c>
      <c r="AO92" s="141">
        <v>89930</v>
      </c>
      <c r="AP92" s="139" t="s">
        <v>115</v>
      </c>
      <c r="AQ92" s="142" t="s">
        <v>1611</v>
      </c>
    </row>
    <row r="93" spans="1:43" x14ac:dyDescent="0.25">
      <c r="A93" s="44" t="s">
        <v>71</v>
      </c>
      <c r="B93" s="39" t="s">
        <v>73</v>
      </c>
      <c r="C93" s="39" t="s">
        <v>586</v>
      </c>
      <c r="D93" s="39" t="s">
        <v>587</v>
      </c>
      <c r="E93" s="39" t="s">
        <v>40</v>
      </c>
      <c r="F93" s="39" t="s">
        <v>420</v>
      </c>
      <c r="G93" s="39" t="s">
        <v>420</v>
      </c>
      <c r="H93" s="39" t="s">
        <v>420</v>
      </c>
      <c r="I93" s="39" t="s">
        <v>420</v>
      </c>
      <c r="J93" s="39" t="s">
        <v>420</v>
      </c>
      <c r="K93" s="39" t="s">
        <v>40</v>
      </c>
      <c r="L93" s="135"/>
      <c r="M93" s="45"/>
      <c r="N93" s="39" t="s">
        <v>1605</v>
      </c>
      <c r="O93" s="39">
        <v>0</v>
      </c>
      <c r="P93" s="39">
        <v>6</v>
      </c>
      <c r="Q93" s="39">
        <v>6</v>
      </c>
      <c r="R93" s="39">
        <v>6</v>
      </c>
      <c r="S93" s="39">
        <v>6</v>
      </c>
      <c r="T93" s="39">
        <v>6</v>
      </c>
      <c r="U93" s="39">
        <v>0</v>
      </c>
      <c r="V93" s="39">
        <v>30</v>
      </c>
      <c r="W93" s="39">
        <v>89020</v>
      </c>
      <c r="X93" s="39">
        <v>85612</v>
      </c>
      <c r="Y93" s="39">
        <v>2445213</v>
      </c>
      <c r="Z93" s="39" t="s">
        <v>139</v>
      </c>
      <c r="AA93" s="39" t="s">
        <v>588</v>
      </c>
      <c r="AB93" s="39">
        <v>74323</v>
      </c>
      <c r="AC93" s="39">
        <v>64118</v>
      </c>
      <c r="AD93" s="39" t="s">
        <v>589</v>
      </c>
      <c r="AE93" s="39" t="s">
        <v>590</v>
      </c>
      <c r="AF93" s="136">
        <v>43945</v>
      </c>
      <c r="AG93" s="39" t="s">
        <v>591</v>
      </c>
      <c r="AH93" s="39">
        <v>41060279</v>
      </c>
      <c r="AI93" s="39">
        <v>27410602798</v>
      </c>
      <c r="AJ93" s="46">
        <v>43227</v>
      </c>
      <c r="AK93" s="46">
        <v>43259</v>
      </c>
      <c r="AL93" s="47">
        <v>43262</v>
      </c>
      <c r="AM93" s="39">
        <v>832</v>
      </c>
      <c r="AN93" s="137" t="s">
        <v>114</v>
      </c>
      <c r="AO93" s="141">
        <v>89796</v>
      </c>
      <c r="AP93" s="139" t="s">
        <v>115</v>
      </c>
      <c r="AQ93" s="142" t="s">
        <v>1611</v>
      </c>
    </row>
    <row r="94" spans="1:43" x14ac:dyDescent="0.25">
      <c r="A94" s="44" t="s">
        <v>71</v>
      </c>
      <c r="B94" s="39" t="s">
        <v>73</v>
      </c>
      <c r="C94" s="39" t="s">
        <v>592</v>
      </c>
      <c r="D94" s="39" t="s">
        <v>593</v>
      </c>
      <c r="E94" s="39" t="s">
        <v>40</v>
      </c>
      <c r="F94" s="39" t="s">
        <v>420</v>
      </c>
      <c r="G94" s="39" t="s">
        <v>420</v>
      </c>
      <c r="H94" s="39" t="s">
        <v>420</v>
      </c>
      <c r="I94" s="39" t="s">
        <v>420</v>
      </c>
      <c r="J94" s="39" t="s">
        <v>420</v>
      </c>
      <c r="K94" s="39" t="s">
        <v>40</v>
      </c>
      <c r="L94" s="135"/>
      <c r="M94" s="45"/>
      <c r="N94" s="39" t="s">
        <v>1605</v>
      </c>
      <c r="O94" s="39">
        <v>0</v>
      </c>
      <c r="P94" s="39">
        <v>6</v>
      </c>
      <c r="Q94" s="39">
        <v>6</v>
      </c>
      <c r="R94" s="39">
        <v>6</v>
      </c>
      <c r="S94" s="39">
        <v>6</v>
      </c>
      <c r="T94" s="39">
        <v>6</v>
      </c>
      <c r="U94" s="39">
        <v>0</v>
      </c>
      <c r="V94" s="39">
        <v>30</v>
      </c>
      <c r="W94" s="39">
        <v>89000</v>
      </c>
      <c r="X94" s="39">
        <v>82330</v>
      </c>
      <c r="Y94" s="39">
        <v>1704898</v>
      </c>
      <c r="Z94" s="39" t="s">
        <v>247</v>
      </c>
      <c r="AA94" s="39" t="s">
        <v>582</v>
      </c>
      <c r="AB94" s="39">
        <v>74323</v>
      </c>
      <c r="AC94" s="39">
        <v>64118</v>
      </c>
      <c r="AD94" s="39" t="s">
        <v>594</v>
      </c>
      <c r="AE94" s="39" t="s">
        <v>595</v>
      </c>
      <c r="AF94" s="136">
        <v>43915</v>
      </c>
      <c r="AG94" s="39" t="s">
        <v>596</v>
      </c>
      <c r="AH94" s="39">
        <v>39138577</v>
      </c>
      <c r="AI94" s="39">
        <v>20391385778</v>
      </c>
      <c r="AJ94" s="46">
        <v>42613</v>
      </c>
      <c r="AK94" s="46">
        <v>43259</v>
      </c>
      <c r="AL94" s="47">
        <v>43262</v>
      </c>
      <c r="AM94" s="39">
        <v>1439</v>
      </c>
      <c r="AN94" s="137" t="s">
        <v>114</v>
      </c>
      <c r="AO94" s="141">
        <v>89931</v>
      </c>
      <c r="AP94" s="139" t="s">
        <v>115</v>
      </c>
      <c r="AQ94" s="142" t="s">
        <v>1611</v>
      </c>
    </row>
    <row r="95" spans="1:43" x14ac:dyDescent="0.25">
      <c r="A95" s="44" t="s">
        <v>71</v>
      </c>
      <c r="B95" s="39" t="s">
        <v>73</v>
      </c>
      <c r="C95" s="39" t="s">
        <v>597</v>
      </c>
      <c r="D95" s="39" t="s">
        <v>598</v>
      </c>
      <c r="E95" s="39" t="s">
        <v>40</v>
      </c>
      <c r="F95" s="39" t="s">
        <v>52</v>
      </c>
      <c r="G95" s="39" t="s">
        <v>52</v>
      </c>
      <c r="H95" s="39" t="s">
        <v>52</v>
      </c>
      <c r="I95" s="39" t="s">
        <v>52</v>
      </c>
      <c r="J95" s="39" t="s">
        <v>52</v>
      </c>
      <c r="K95" s="39" t="s">
        <v>40</v>
      </c>
      <c r="L95" s="135"/>
      <c r="M95" s="45" t="s">
        <v>599</v>
      </c>
      <c r="N95" s="39" t="s">
        <v>1605</v>
      </c>
      <c r="O95" s="39">
        <v>0</v>
      </c>
      <c r="P95" s="39">
        <v>0</v>
      </c>
      <c r="Q95" s="39">
        <v>0</v>
      </c>
      <c r="R95" s="39">
        <v>0</v>
      </c>
      <c r="S95" s="39">
        <v>0</v>
      </c>
      <c r="T95" s="39">
        <v>0</v>
      </c>
      <c r="U95" s="39">
        <v>0</v>
      </c>
      <c r="V95" s="39">
        <v>0</v>
      </c>
      <c r="W95" s="39">
        <v>89011</v>
      </c>
      <c r="X95" s="39">
        <v>71634</v>
      </c>
      <c r="Y95" s="39">
        <v>513017</v>
      </c>
      <c r="Z95" s="39" t="s">
        <v>118</v>
      </c>
      <c r="AA95" s="39" t="s">
        <v>119</v>
      </c>
      <c r="AB95" s="39">
        <v>74323</v>
      </c>
      <c r="AC95" s="39">
        <v>64118</v>
      </c>
      <c r="AD95" s="39" t="s">
        <v>600</v>
      </c>
      <c r="AE95" s="39" t="s">
        <v>601</v>
      </c>
      <c r="AF95" s="136">
        <v>43945</v>
      </c>
      <c r="AG95" s="39" t="s">
        <v>602</v>
      </c>
      <c r="AH95" s="39">
        <v>23931674</v>
      </c>
      <c r="AI95" s="39">
        <v>27239316749</v>
      </c>
      <c r="AJ95" s="46">
        <v>40473</v>
      </c>
      <c r="AK95" s="46">
        <v>43259</v>
      </c>
      <c r="AL95" s="47">
        <v>43262</v>
      </c>
      <c r="AM95" s="39">
        <v>3547</v>
      </c>
      <c r="AN95" s="137" t="s">
        <v>114</v>
      </c>
      <c r="AO95" s="141">
        <v>89932</v>
      </c>
      <c r="AP95" s="139" t="s">
        <v>115</v>
      </c>
      <c r="AQ95" s="142" t="s">
        <v>1611</v>
      </c>
    </row>
    <row r="96" spans="1:43" x14ac:dyDescent="0.25">
      <c r="A96" s="44" t="s">
        <v>71</v>
      </c>
      <c r="B96" s="39" t="s">
        <v>73</v>
      </c>
      <c r="C96" s="39" t="s">
        <v>603</v>
      </c>
      <c r="D96" s="39" t="s">
        <v>604</v>
      </c>
      <c r="E96" s="39" t="s">
        <v>40</v>
      </c>
      <c r="F96" s="39" t="s">
        <v>420</v>
      </c>
      <c r="G96" s="39" t="s">
        <v>420</v>
      </c>
      <c r="H96" s="39" t="s">
        <v>420</v>
      </c>
      <c r="I96" s="39" t="s">
        <v>420</v>
      </c>
      <c r="J96" s="39" t="s">
        <v>420</v>
      </c>
      <c r="K96" s="39" t="s">
        <v>40</v>
      </c>
      <c r="L96" s="135"/>
      <c r="M96" s="45"/>
      <c r="N96" s="39" t="s">
        <v>1605</v>
      </c>
      <c r="O96" s="39">
        <v>0</v>
      </c>
      <c r="P96" s="39">
        <v>6</v>
      </c>
      <c r="Q96" s="39">
        <v>6</v>
      </c>
      <c r="R96" s="39">
        <v>6</v>
      </c>
      <c r="S96" s="39">
        <v>6</v>
      </c>
      <c r="T96" s="39">
        <v>6</v>
      </c>
      <c r="U96" s="39">
        <v>0</v>
      </c>
      <c r="V96" s="39">
        <v>30</v>
      </c>
      <c r="W96" s="39">
        <v>89038</v>
      </c>
      <c r="X96" s="39">
        <v>77400</v>
      </c>
      <c r="Y96" s="39">
        <v>961948</v>
      </c>
      <c r="Z96" s="39" t="s">
        <v>139</v>
      </c>
      <c r="AA96" s="39" t="s">
        <v>535</v>
      </c>
      <c r="AB96" s="39">
        <v>74323</v>
      </c>
      <c r="AC96" s="39">
        <v>64118</v>
      </c>
      <c r="AD96" s="39" t="s">
        <v>605</v>
      </c>
      <c r="AE96" s="39" t="s">
        <v>606</v>
      </c>
      <c r="AF96" s="136">
        <v>43919</v>
      </c>
      <c r="AG96" s="39" t="s">
        <v>607</v>
      </c>
      <c r="AH96" s="39">
        <v>33161905</v>
      </c>
      <c r="AI96" s="39">
        <v>27331619057</v>
      </c>
      <c r="AJ96" s="46">
        <v>41288</v>
      </c>
      <c r="AK96" s="46">
        <v>43327</v>
      </c>
      <c r="AL96" s="47">
        <v>43328</v>
      </c>
      <c r="AM96" s="39">
        <v>2745</v>
      </c>
      <c r="AN96" s="137" t="s">
        <v>114</v>
      </c>
      <c r="AO96" s="141">
        <v>89933</v>
      </c>
      <c r="AP96" s="139" t="s">
        <v>115</v>
      </c>
      <c r="AQ96" s="142" t="s">
        <v>1611</v>
      </c>
    </row>
    <row r="97" spans="1:43" x14ac:dyDescent="0.25">
      <c r="A97" s="44" t="s">
        <v>71</v>
      </c>
      <c r="B97" s="39" t="s">
        <v>73</v>
      </c>
      <c r="C97" s="39" t="s">
        <v>608</v>
      </c>
      <c r="D97" s="39" t="s">
        <v>609</v>
      </c>
      <c r="E97" s="39" t="s">
        <v>40</v>
      </c>
      <c r="F97" s="39" t="s">
        <v>47</v>
      </c>
      <c r="G97" s="39" t="s">
        <v>47</v>
      </c>
      <c r="H97" s="39" t="s">
        <v>47</v>
      </c>
      <c r="I97" s="39" t="s">
        <v>47</v>
      </c>
      <c r="J97" s="39" t="s">
        <v>47</v>
      </c>
      <c r="K97" s="39" t="s">
        <v>40</v>
      </c>
      <c r="L97" s="135"/>
      <c r="M97" s="45" t="s">
        <v>610</v>
      </c>
      <c r="N97" s="39" t="s">
        <v>1605</v>
      </c>
      <c r="O97" s="39">
        <v>0</v>
      </c>
      <c r="P97" s="39">
        <v>0</v>
      </c>
      <c r="Q97" s="39">
        <v>0</v>
      </c>
      <c r="R97" s="39">
        <v>0</v>
      </c>
      <c r="S97" s="39">
        <v>0</v>
      </c>
      <c r="T97" s="39">
        <v>0</v>
      </c>
      <c r="U97" s="39">
        <v>0</v>
      </c>
      <c r="V97" s="39">
        <v>0</v>
      </c>
      <c r="W97" s="39">
        <v>89006</v>
      </c>
      <c r="X97" s="39">
        <v>83577</v>
      </c>
      <c r="Y97" s="39">
        <v>2523177</v>
      </c>
      <c r="Z97" s="39" t="s">
        <v>109</v>
      </c>
      <c r="AA97" s="39" t="s">
        <v>109</v>
      </c>
      <c r="AB97" s="39">
        <v>74323</v>
      </c>
      <c r="AC97" s="39">
        <v>64118</v>
      </c>
      <c r="AD97" s="39" t="s">
        <v>611</v>
      </c>
      <c r="AE97" s="39" t="s">
        <v>612</v>
      </c>
      <c r="AF97" s="136"/>
      <c r="AG97" s="39" t="s">
        <v>613</v>
      </c>
      <c r="AH97" s="39">
        <v>39729566</v>
      </c>
      <c r="AI97" s="39">
        <v>23397295664</v>
      </c>
      <c r="AJ97" s="46">
        <v>42522</v>
      </c>
      <c r="AK97" s="46">
        <v>43259</v>
      </c>
      <c r="AL97" s="47">
        <v>43262</v>
      </c>
      <c r="AM97" s="39">
        <v>1528</v>
      </c>
      <c r="AN97" s="137" t="s">
        <v>114</v>
      </c>
      <c r="AO97" s="141"/>
      <c r="AP97" s="139" t="s">
        <v>266</v>
      </c>
      <c r="AQ97" s="142" t="s">
        <v>1611</v>
      </c>
    </row>
    <row r="98" spans="1:43" x14ac:dyDescent="0.25">
      <c r="A98" s="44" t="s">
        <v>71</v>
      </c>
      <c r="B98" s="39" t="s">
        <v>73</v>
      </c>
      <c r="C98" s="39" t="s">
        <v>614</v>
      </c>
      <c r="D98" s="39" t="s">
        <v>615</v>
      </c>
      <c r="E98" s="39" t="s">
        <v>40</v>
      </c>
      <c r="F98" s="39" t="s">
        <v>420</v>
      </c>
      <c r="G98" s="39" t="s">
        <v>420</v>
      </c>
      <c r="H98" s="39" t="s">
        <v>420</v>
      </c>
      <c r="I98" s="39" t="s">
        <v>420</v>
      </c>
      <c r="J98" s="39" t="s">
        <v>420</v>
      </c>
      <c r="K98" s="39" t="s">
        <v>40</v>
      </c>
      <c r="L98" s="135"/>
      <c r="M98" s="45"/>
      <c r="N98" s="39" t="s">
        <v>1605</v>
      </c>
      <c r="O98" s="39">
        <v>0</v>
      </c>
      <c r="P98" s="39">
        <v>6</v>
      </c>
      <c r="Q98" s="39">
        <v>6</v>
      </c>
      <c r="R98" s="39">
        <v>6</v>
      </c>
      <c r="S98" s="39">
        <v>6</v>
      </c>
      <c r="T98" s="39">
        <v>6</v>
      </c>
      <c r="U98" s="39">
        <v>0</v>
      </c>
      <c r="V98" s="39">
        <v>30</v>
      </c>
      <c r="W98" s="39">
        <v>89193</v>
      </c>
      <c r="X98" s="39">
        <v>86339</v>
      </c>
      <c r="Y98" s="39">
        <v>3138527</v>
      </c>
      <c r="Z98" s="39" t="s">
        <v>139</v>
      </c>
      <c r="AA98" s="39" t="s">
        <v>535</v>
      </c>
      <c r="AB98" s="39">
        <v>74323</v>
      </c>
      <c r="AC98" s="39">
        <v>64118</v>
      </c>
      <c r="AD98" s="39" t="s">
        <v>616</v>
      </c>
      <c r="AE98" s="39" t="s">
        <v>617</v>
      </c>
      <c r="AF98" s="136">
        <v>43919</v>
      </c>
      <c r="AG98" s="39" t="s">
        <v>618</v>
      </c>
      <c r="AH98" s="39">
        <v>40531146</v>
      </c>
      <c r="AI98" s="39">
        <v>20405311462</v>
      </c>
      <c r="AJ98" s="46">
        <v>43460</v>
      </c>
      <c r="AK98" s="46">
        <v>43460</v>
      </c>
      <c r="AL98" s="47">
        <v>43476</v>
      </c>
      <c r="AM98" s="39">
        <v>603</v>
      </c>
      <c r="AN98" s="137" t="s">
        <v>114</v>
      </c>
      <c r="AO98" s="141">
        <v>89934</v>
      </c>
      <c r="AP98" s="139" t="s">
        <v>115</v>
      </c>
      <c r="AQ98" s="142" t="s">
        <v>1611</v>
      </c>
    </row>
    <row r="99" spans="1:43" x14ac:dyDescent="0.25">
      <c r="A99" s="44" t="s">
        <v>71</v>
      </c>
      <c r="B99" s="39" t="s">
        <v>73</v>
      </c>
      <c r="C99" s="39" t="s">
        <v>619</v>
      </c>
      <c r="D99" s="39" t="s">
        <v>620</v>
      </c>
      <c r="E99" s="39" t="s">
        <v>40</v>
      </c>
      <c r="F99" s="39" t="s">
        <v>420</v>
      </c>
      <c r="G99" s="39" t="s">
        <v>420</v>
      </c>
      <c r="H99" s="39" t="s">
        <v>420</v>
      </c>
      <c r="I99" s="39" t="s">
        <v>420</v>
      </c>
      <c r="J99" s="39" t="s">
        <v>420</v>
      </c>
      <c r="K99" s="39" t="s">
        <v>40</v>
      </c>
      <c r="L99" s="135"/>
      <c r="M99" s="45"/>
      <c r="N99" s="39" t="s">
        <v>1605</v>
      </c>
      <c r="O99" s="39">
        <v>0</v>
      </c>
      <c r="P99" s="39">
        <v>6</v>
      </c>
      <c r="Q99" s="39">
        <v>6</v>
      </c>
      <c r="R99" s="39">
        <v>6</v>
      </c>
      <c r="S99" s="39">
        <v>6</v>
      </c>
      <c r="T99" s="39">
        <v>6</v>
      </c>
      <c r="U99" s="39">
        <v>0</v>
      </c>
      <c r="V99" s="39">
        <v>30</v>
      </c>
      <c r="W99" s="39">
        <v>89132</v>
      </c>
      <c r="X99" s="39">
        <v>86156</v>
      </c>
      <c r="Y99" s="39">
        <v>3118290</v>
      </c>
      <c r="Z99" s="39" t="s">
        <v>109</v>
      </c>
      <c r="AA99" s="39" t="s">
        <v>110</v>
      </c>
      <c r="AB99" s="39">
        <v>74323</v>
      </c>
      <c r="AC99" s="39">
        <v>64118</v>
      </c>
      <c r="AD99" s="39" t="s">
        <v>621</v>
      </c>
      <c r="AE99" s="39" t="s">
        <v>622</v>
      </c>
      <c r="AF99" s="136">
        <v>43919</v>
      </c>
      <c r="AG99" s="39" t="s">
        <v>623</v>
      </c>
      <c r="AH99" s="39">
        <v>39574228</v>
      </c>
      <c r="AI99" s="39">
        <v>27395742286</v>
      </c>
      <c r="AJ99" s="46">
        <v>43437</v>
      </c>
      <c r="AK99" s="46">
        <v>43437</v>
      </c>
      <c r="AL99" s="47">
        <v>43448</v>
      </c>
      <c r="AM99" s="39">
        <v>626</v>
      </c>
      <c r="AN99" s="137" t="s">
        <v>114</v>
      </c>
      <c r="AO99" s="141">
        <v>89979</v>
      </c>
      <c r="AP99" s="139" t="s">
        <v>115</v>
      </c>
      <c r="AQ99" s="142" t="s">
        <v>1611</v>
      </c>
    </row>
    <row r="100" spans="1:43" x14ac:dyDescent="0.25">
      <c r="A100" s="44" t="s">
        <v>71</v>
      </c>
      <c r="B100" s="39" t="s">
        <v>73</v>
      </c>
      <c r="C100" s="39" t="s">
        <v>347</v>
      </c>
      <c r="D100" s="39" t="s">
        <v>624</v>
      </c>
      <c r="E100" s="39" t="s">
        <v>40</v>
      </c>
      <c r="F100" s="39" t="s">
        <v>420</v>
      </c>
      <c r="G100" s="39" t="s">
        <v>420</v>
      </c>
      <c r="H100" s="39" t="s">
        <v>420</v>
      </c>
      <c r="I100" s="39" t="s">
        <v>420</v>
      </c>
      <c r="J100" s="39" t="s">
        <v>420</v>
      </c>
      <c r="K100" s="39" t="s">
        <v>40</v>
      </c>
      <c r="L100" s="135"/>
      <c r="M100" s="45"/>
      <c r="N100" s="39" t="s">
        <v>1605</v>
      </c>
      <c r="O100" s="39">
        <v>0</v>
      </c>
      <c r="P100" s="39">
        <v>6</v>
      </c>
      <c r="Q100" s="39">
        <v>6</v>
      </c>
      <c r="R100" s="39">
        <v>6</v>
      </c>
      <c r="S100" s="39">
        <v>6</v>
      </c>
      <c r="T100" s="39">
        <v>6</v>
      </c>
      <c r="U100" s="39">
        <v>0</v>
      </c>
      <c r="V100" s="39">
        <v>30</v>
      </c>
      <c r="W100" s="39">
        <v>89035</v>
      </c>
      <c r="X100" s="39">
        <v>83852</v>
      </c>
      <c r="Y100" s="39">
        <v>2592591</v>
      </c>
      <c r="Z100" s="39" t="s">
        <v>139</v>
      </c>
      <c r="AA100" s="39" t="s">
        <v>535</v>
      </c>
      <c r="AB100" s="39">
        <v>74323</v>
      </c>
      <c r="AC100" s="39">
        <v>64118</v>
      </c>
      <c r="AD100" s="39" t="s">
        <v>625</v>
      </c>
      <c r="AE100" s="39" t="s">
        <v>626</v>
      </c>
      <c r="AF100" s="136">
        <v>43915</v>
      </c>
      <c r="AG100" s="39" t="s">
        <v>627</v>
      </c>
      <c r="AH100" s="39">
        <v>38243803</v>
      </c>
      <c r="AI100" s="39">
        <v>20382438036</v>
      </c>
      <c r="AJ100" s="46">
        <v>42954</v>
      </c>
      <c r="AK100" s="46">
        <v>43327</v>
      </c>
      <c r="AL100" s="47">
        <v>43328</v>
      </c>
      <c r="AM100" s="39">
        <v>1102</v>
      </c>
      <c r="AN100" s="137" t="s">
        <v>114</v>
      </c>
      <c r="AO100" s="141">
        <v>89935</v>
      </c>
      <c r="AP100" s="139" t="s">
        <v>115</v>
      </c>
      <c r="AQ100" s="142" t="s">
        <v>1611</v>
      </c>
    </row>
    <row r="101" spans="1:43" x14ac:dyDescent="0.25">
      <c r="A101" s="44" t="s">
        <v>71</v>
      </c>
      <c r="B101" s="39" t="s">
        <v>73</v>
      </c>
      <c r="C101" s="39" t="s">
        <v>628</v>
      </c>
      <c r="D101" s="39" t="s">
        <v>629</v>
      </c>
      <c r="E101" s="39" t="s">
        <v>40</v>
      </c>
      <c r="F101" s="39" t="s">
        <v>52</v>
      </c>
      <c r="G101" s="39" t="s">
        <v>52</v>
      </c>
      <c r="H101" s="39" t="s">
        <v>52</v>
      </c>
      <c r="I101" s="39" t="s">
        <v>52</v>
      </c>
      <c r="J101" s="39" t="s">
        <v>52</v>
      </c>
      <c r="K101" s="39" t="s">
        <v>40</v>
      </c>
      <c r="L101" s="135"/>
      <c r="M101" s="45" t="s">
        <v>599</v>
      </c>
      <c r="N101" s="39" t="s">
        <v>1605</v>
      </c>
      <c r="O101" s="39">
        <v>0</v>
      </c>
      <c r="P101" s="39">
        <v>0</v>
      </c>
      <c r="Q101" s="39">
        <v>0</v>
      </c>
      <c r="R101" s="39">
        <v>0</v>
      </c>
      <c r="S101" s="39">
        <v>0</v>
      </c>
      <c r="T101" s="39">
        <v>0</v>
      </c>
      <c r="U101" s="39">
        <v>0</v>
      </c>
      <c r="V101" s="39">
        <v>0</v>
      </c>
      <c r="W101" s="39">
        <v>89175</v>
      </c>
      <c r="X101" s="39">
        <v>86285</v>
      </c>
      <c r="Y101" s="39">
        <v>2831528</v>
      </c>
      <c r="Z101" s="39" t="s">
        <v>118</v>
      </c>
      <c r="AA101" s="39" t="s">
        <v>119</v>
      </c>
      <c r="AB101" s="39">
        <v>74323</v>
      </c>
      <c r="AC101" s="39">
        <v>64118</v>
      </c>
      <c r="AD101" s="39" t="s">
        <v>630</v>
      </c>
      <c r="AE101" s="39" t="s">
        <v>631</v>
      </c>
      <c r="AF101" s="136">
        <v>43916</v>
      </c>
      <c r="AG101" s="39" t="s">
        <v>632</v>
      </c>
      <c r="AH101" s="39">
        <v>39313697</v>
      </c>
      <c r="AI101" s="39">
        <v>23393136979</v>
      </c>
      <c r="AJ101" s="46">
        <v>43451</v>
      </c>
      <c r="AK101" s="46">
        <v>43451</v>
      </c>
      <c r="AL101" s="47">
        <v>43467</v>
      </c>
      <c r="AM101" s="39">
        <v>612</v>
      </c>
      <c r="AN101" s="137" t="s">
        <v>114</v>
      </c>
      <c r="AO101" s="141">
        <v>89937</v>
      </c>
      <c r="AP101" s="139" t="s">
        <v>115</v>
      </c>
      <c r="AQ101" s="142" t="s">
        <v>1611</v>
      </c>
    </row>
    <row r="102" spans="1:43" x14ac:dyDescent="0.25">
      <c r="A102" s="44" t="s">
        <v>71</v>
      </c>
      <c r="B102" s="39" t="s">
        <v>88</v>
      </c>
      <c r="C102" s="39" t="s">
        <v>633</v>
      </c>
      <c r="D102" s="39" t="s">
        <v>634</v>
      </c>
      <c r="E102" s="39" t="s">
        <v>40</v>
      </c>
      <c r="F102" s="39" t="s">
        <v>52</v>
      </c>
      <c r="G102" s="39" t="s">
        <v>52</v>
      </c>
      <c r="H102" s="39" t="s">
        <v>52</v>
      </c>
      <c r="I102" s="39" t="s">
        <v>52</v>
      </c>
      <c r="J102" s="39" t="s">
        <v>52</v>
      </c>
      <c r="K102" s="39" t="s">
        <v>40</v>
      </c>
      <c r="L102" s="135"/>
      <c r="M102" s="45" t="s">
        <v>599</v>
      </c>
      <c r="N102" s="39" t="s">
        <v>1605</v>
      </c>
      <c r="O102" s="39">
        <v>0</v>
      </c>
      <c r="P102" s="39">
        <v>0</v>
      </c>
      <c r="Q102" s="39">
        <v>0</v>
      </c>
      <c r="R102" s="39">
        <v>0</v>
      </c>
      <c r="S102" s="39">
        <v>0</v>
      </c>
      <c r="T102" s="39">
        <v>0</v>
      </c>
      <c r="U102" s="39">
        <v>0</v>
      </c>
      <c r="V102" s="39">
        <v>0</v>
      </c>
      <c r="W102" s="39">
        <v>89295</v>
      </c>
      <c r="X102" s="39">
        <v>88157</v>
      </c>
      <c r="Y102" s="39">
        <v>3624105</v>
      </c>
      <c r="Z102" s="39" t="s">
        <v>344</v>
      </c>
      <c r="AA102" s="39" t="s">
        <v>119</v>
      </c>
      <c r="AB102" s="39">
        <v>77681</v>
      </c>
      <c r="AC102" s="39">
        <v>64118</v>
      </c>
      <c r="AD102" s="39" t="s">
        <v>635</v>
      </c>
      <c r="AE102" s="39" t="s">
        <v>636</v>
      </c>
      <c r="AF102" s="136">
        <v>43921</v>
      </c>
      <c r="AG102" s="39"/>
      <c r="AH102" s="39">
        <v>35816404</v>
      </c>
      <c r="AI102" s="39">
        <v>27358164043</v>
      </c>
      <c r="AJ102" s="46">
        <v>43808</v>
      </c>
      <c r="AK102" s="46">
        <v>43808</v>
      </c>
      <c r="AL102" s="47">
        <v>43831</v>
      </c>
      <c r="AM102" s="39">
        <v>260</v>
      </c>
      <c r="AN102" s="137" t="s">
        <v>114</v>
      </c>
      <c r="AO102" s="141">
        <v>89939</v>
      </c>
      <c r="AP102" s="139" t="s">
        <v>115</v>
      </c>
      <c r="AQ102" s="142" t="s">
        <v>1611</v>
      </c>
    </row>
    <row r="103" spans="1:43" x14ac:dyDescent="0.25">
      <c r="A103" s="44" t="s">
        <v>71</v>
      </c>
      <c r="B103" s="39" t="s">
        <v>88</v>
      </c>
      <c r="C103" s="39" t="s">
        <v>637</v>
      </c>
      <c r="D103" s="39" t="s">
        <v>638</v>
      </c>
      <c r="E103" s="39" t="s">
        <v>40</v>
      </c>
      <c r="F103" s="39" t="s">
        <v>639</v>
      </c>
      <c r="G103" s="39" t="s">
        <v>639</v>
      </c>
      <c r="H103" s="39" t="s">
        <v>639</v>
      </c>
      <c r="I103" s="39" t="s">
        <v>639</v>
      </c>
      <c r="J103" s="39" t="s">
        <v>639</v>
      </c>
      <c r="K103" s="39" t="s">
        <v>40</v>
      </c>
      <c r="L103" s="135"/>
      <c r="M103" s="45"/>
      <c r="N103" s="39" t="s">
        <v>1605</v>
      </c>
      <c r="O103" s="39">
        <v>0</v>
      </c>
      <c r="P103" s="39">
        <v>5</v>
      </c>
      <c r="Q103" s="39">
        <v>5</v>
      </c>
      <c r="R103" s="39">
        <v>5</v>
      </c>
      <c r="S103" s="39">
        <v>5</v>
      </c>
      <c r="T103" s="39">
        <v>5</v>
      </c>
      <c r="U103" s="39">
        <v>0</v>
      </c>
      <c r="V103" s="39">
        <v>25</v>
      </c>
      <c r="W103" s="39">
        <v>648038</v>
      </c>
      <c r="X103" s="39">
        <v>88032</v>
      </c>
      <c r="Y103" s="39">
        <v>3553100</v>
      </c>
      <c r="Z103" s="39" t="s">
        <v>118</v>
      </c>
      <c r="AA103" s="39" t="s">
        <v>119</v>
      </c>
      <c r="AB103" s="39">
        <v>77681</v>
      </c>
      <c r="AC103" s="39">
        <v>64118</v>
      </c>
      <c r="AD103" s="39" t="s">
        <v>640</v>
      </c>
      <c r="AE103" s="39" t="s">
        <v>641</v>
      </c>
      <c r="AF103" s="136">
        <v>43943</v>
      </c>
      <c r="AG103" s="39" t="s">
        <v>642</v>
      </c>
      <c r="AH103" s="39">
        <v>32459324</v>
      </c>
      <c r="AI103" s="39" t="s">
        <v>643</v>
      </c>
      <c r="AJ103" s="46">
        <v>43942</v>
      </c>
      <c r="AK103" s="46">
        <v>43942</v>
      </c>
      <c r="AL103" s="47">
        <v>43943</v>
      </c>
      <c r="AM103" s="39">
        <v>128</v>
      </c>
      <c r="AN103" s="137" t="s">
        <v>114</v>
      </c>
      <c r="AO103" s="141">
        <v>89940</v>
      </c>
      <c r="AP103" s="139" t="s">
        <v>115</v>
      </c>
      <c r="AQ103" s="142" t="s">
        <v>1612</v>
      </c>
    </row>
    <row r="104" spans="1:43" x14ac:dyDescent="0.25">
      <c r="A104" s="44" t="s">
        <v>71</v>
      </c>
      <c r="B104" s="39" t="s">
        <v>78</v>
      </c>
      <c r="C104" s="39" t="s">
        <v>644</v>
      </c>
      <c r="D104" s="39" t="s">
        <v>645</v>
      </c>
      <c r="E104" s="39" t="s">
        <v>40</v>
      </c>
      <c r="F104" s="39" t="s">
        <v>52</v>
      </c>
      <c r="G104" s="39" t="s">
        <v>52</v>
      </c>
      <c r="H104" s="39" t="s">
        <v>52</v>
      </c>
      <c r="I104" s="39" t="s">
        <v>52</v>
      </c>
      <c r="J104" s="39" t="s">
        <v>52</v>
      </c>
      <c r="K104" s="39" t="s">
        <v>40</v>
      </c>
      <c r="L104" s="135"/>
      <c r="M104" s="45" t="s">
        <v>599</v>
      </c>
      <c r="N104" s="39" t="s">
        <v>1605</v>
      </c>
      <c r="O104" s="39">
        <v>0</v>
      </c>
      <c r="P104" s="39">
        <v>0</v>
      </c>
      <c r="Q104" s="39">
        <v>0</v>
      </c>
      <c r="R104" s="39">
        <v>0</v>
      </c>
      <c r="S104" s="39">
        <v>0</v>
      </c>
      <c r="T104" s="39">
        <v>0</v>
      </c>
      <c r="U104" s="39">
        <v>0</v>
      </c>
      <c r="V104" s="39">
        <v>0</v>
      </c>
      <c r="W104" s="39">
        <v>89177</v>
      </c>
      <c r="X104" s="39">
        <v>86333</v>
      </c>
      <c r="Y104" s="39">
        <v>3138500</v>
      </c>
      <c r="Z104" s="39" t="s">
        <v>375</v>
      </c>
      <c r="AA104" s="39" t="s">
        <v>119</v>
      </c>
      <c r="AB104" s="39">
        <v>78667</v>
      </c>
      <c r="AC104" s="39">
        <v>64118</v>
      </c>
      <c r="AD104" s="39" t="s">
        <v>646</v>
      </c>
      <c r="AE104" s="39" t="s">
        <v>647</v>
      </c>
      <c r="AF104" s="136">
        <v>44029</v>
      </c>
      <c r="AG104" s="39" t="s">
        <v>648</v>
      </c>
      <c r="AH104" s="39">
        <v>37502888</v>
      </c>
      <c r="AI104" s="39" t="s">
        <v>649</v>
      </c>
      <c r="AJ104" s="46">
        <v>43460</v>
      </c>
      <c r="AK104" s="46">
        <v>43460</v>
      </c>
      <c r="AL104" s="47">
        <v>43476</v>
      </c>
      <c r="AM104" s="39">
        <v>603</v>
      </c>
      <c r="AN104" s="137" t="s">
        <v>114</v>
      </c>
      <c r="AO104" s="141"/>
      <c r="AP104" s="139" t="s">
        <v>158</v>
      </c>
      <c r="AQ104" s="142" t="s">
        <v>1611</v>
      </c>
    </row>
    <row r="105" spans="1:43" x14ac:dyDescent="0.25">
      <c r="A105" s="44" t="s">
        <v>71</v>
      </c>
      <c r="B105" s="39" t="s">
        <v>88</v>
      </c>
      <c r="C105" s="39" t="s">
        <v>282</v>
      </c>
      <c r="D105" s="39" t="s">
        <v>650</v>
      </c>
      <c r="E105" s="39" t="s">
        <v>40</v>
      </c>
      <c r="F105" s="39" t="s">
        <v>420</v>
      </c>
      <c r="G105" s="39" t="s">
        <v>420</v>
      </c>
      <c r="H105" s="39" t="s">
        <v>420</v>
      </c>
      <c r="I105" s="39" t="s">
        <v>420</v>
      </c>
      <c r="J105" s="39" t="s">
        <v>420</v>
      </c>
      <c r="K105" s="39" t="s">
        <v>40</v>
      </c>
      <c r="L105" s="135"/>
      <c r="M105" s="45"/>
      <c r="N105" s="39" t="s">
        <v>1605</v>
      </c>
      <c r="O105" s="39">
        <v>0</v>
      </c>
      <c r="P105" s="39">
        <v>6</v>
      </c>
      <c r="Q105" s="39">
        <v>6</v>
      </c>
      <c r="R105" s="39">
        <v>6</v>
      </c>
      <c r="S105" s="39">
        <v>6</v>
      </c>
      <c r="T105" s="39">
        <v>6</v>
      </c>
      <c r="U105" s="39">
        <v>0</v>
      </c>
      <c r="V105" s="39">
        <v>30</v>
      </c>
      <c r="W105" s="39">
        <v>89297</v>
      </c>
      <c r="X105" s="39">
        <v>88158</v>
      </c>
      <c r="Y105" s="39">
        <v>3542988</v>
      </c>
      <c r="Z105" s="39" t="s">
        <v>146</v>
      </c>
      <c r="AA105" s="39" t="s">
        <v>119</v>
      </c>
      <c r="AB105" s="39">
        <v>77681</v>
      </c>
      <c r="AC105" s="39">
        <v>64118</v>
      </c>
      <c r="AD105" s="39" t="s">
        <v>651</v>
      </c>
      <c r="AE105" s="39" t="s">
        <v>652</v>
      </c>
      <c r="AF105" s="136">
        <v>43916</v>
      </c>
      <c r="AG105" s="39"/>
      <c r="AH105" s="39">
        <v>38490162</v>
      </c>
      <c r="AI105" s="39">
        <v>20384901620</v>
      </c>
      <c r="AJ105" s="46">
        <v>43808</v>
      </c>
      <c r="AK105" s="46">
        <v>43808</v>
      </c>
      <c r="AL105" s="47">
        <v>43831</v>
      </c>
      <c r="AM105" s="39">
        <v>260</v>
      </c>
      <c r="AN105" s="137" t="s">
        <v>114</v>
      </c>
      <c r="AO105" s="141">
        <v>89941</v>
      </c>
      <c r="AP105" s="139" t="s">
        <v>115</v>
      </c>
      <c r="AQ105" s="142" t="s">
        <v>1611</v>
      </c>
    </row>
    <row r="106" spans="1:43" x14ac:dyDescent="0.25">
      <c r="A106" s="44" t="s">
        <v>71</v>
      </c>
      <c r="B106" s="39" t="s">
        <v>88</v>
      </c>
      <c r="C106" s="39" t="s">
        <v>653</v>
      </c>
      <c r="D106" s="39" t="s">
        <v>654</v>
      </c>
      <c r="E106" s="39" t="s">
        <v>40</v>
      </c>
      <c r="F106" s="39" t="s">
        <v>420</v>
      </c>
      <c r="G106" s="39" t="s">
        <v>420</v>
      </c>
      <c r="H106" s="39" t="s">
        <v>420</v>
      </c>
      <c r="I106" s="39" t="s">
        <v>420</v>
      </c>
      <c r="J106" s="39" t="s">
        <v>420</v>
      </c>
      <c r="K106" s="39" t="s">
        <v>40</v>
      </c>
      <c r="L106" s="135"/>
      <c r="M106" s="45"/>
      <c r="N106" s="39" t="s">
        <v>1605</v>
      </c>
      <c r="O106" s="39">
        <v>0</v>
      </c>
      <c r="P106" s="39">
        <v>6</v>
      </c>
      <c r="Q106" s="39">
        <v>6</v>
      </c>
      <c r="R106" s="39">
        <v>6</v>
      </c>
      <c r="S106" s="39">
        <v>6</v>
      </c>
      <c r="T106" s="39">
        <v>6</v>
      </c>
      <c r="U106" s="39">
        <v>0</v>
      </c>
      <c r="V106" s="39">
        <v>30</v>
      </c>
      <c r="W106" s="39">
        <v>89039</v>
      </c>
      <c r="X106" s="39">
        <v>85338</v>
      </c>
      <c r="Y106" s="39">
        <v>2811355</v>
      </c>
      <c r="Z106" s="39" t="s">
        <v>146</v>
      </c>
      <c r="AA106" s="39" t="s">
        <v>119</v>
      </c>
      <c r="AB106" s="39">
        <v>77681</v>
      </c>
      <c r="AC106" s="39">
        <v>64118</v>
      </c>
      <c r="AD106" s="39" t="s">
        <v>655</v>
      </c>
      <c r="AE106" s="39" t="s">
        <v>656</v>
      </c>
      <c r="AF106" s="136">
        <v>43916</v>
      </c>
      <c r="AG106" s="39" t="s">
        <v>657</v>
      </c>
      <c r="AH106" s="39">
        <v>39358274</v>
      </c>
      <c r="AI106" s="39">
        <v>27393582745</v>
      </c>
      <c r="AJ106" s="46">
        <v>43171</v>
      </c>
      <c r="AK106" s="46">
        <v>43327</v>
      </c>
      <c r="AL106" s="47">
        <v>43328</v>
      </c>
      <c r="AM106" s="39">
        <v>887</v>
      </c>
      <c r="AN106" s="137" t="s">
        <v>114</v>
      </c>
      <c r="AO106" s="141">
        <v>89972</v>
      </c>
      <c r="AP106" s="139" t="s">
        <v>115</v>
      </c>
      <c r="AQ106" s="142" t="s">
        <v>1611</v>
      </c>
    </row>
    <row r="107" spans="1:43" x14ac:dyDescent="0.25">
      <c r="A107" s="44" t="s">
        <v>71</v>
      </c>
      <c r="B107" s="39" t="s">
        <v>88</v>
      </c>
      <c r="C107" s="39" t="s">
        <v>658</v>
      </c>
      <c r="D107" s="39" t="s">
        <v>659</v>
      </c>
      <c r="E107" s="39" t="s">
        <v>40</v>
      </c>
      <c r="F107" s="39" t="s">
        <v>420</v>
      </c>
      <c r="G107" s="39" t="s">
        <v>420</v>
      </c>
      <c r="H107" s="39" t="s">
        <v>420</v>
      </c>
      <c r="I107" s="39" t="s">
        <v>420</v>
      </c>
      <c r="J107" s="39" t="s">
        <v>420</v>
      </c>
      <c r="K107" s="39" t="s">
        <v>40</v>
      </c>
      <c r="L107" s="135"/>
      <c r="M107" s="45"/>
      <c r="N107" s="39" t="s">
        <v>1605</v>
      </c>
      <c r="O107" s="39">
        <v>0</v>
      </c>
      <c r="P107" s="39">
        <v>6</v>
      </c>
      <c r="Q107" s="39">
        <v>6</v>
      </c>
      <c r="R107" s="39">
        <v>6</v>
      </c>
      <c r="S107" s="39">
        <v>6</v>
      </c>
      <c r="T107" s="39">
        <v>6</v>
      </c>
      <c r="U107" s="39">
        <v>0</v>
      </c>
      <c r="V107" s="39">
        <v>30</v>
      </c>
      <c r="W107" s="39">
        <v>648225</v>
      </c>
      <c r="X107" s="39">
        <v>77345</v>
      </c>
      <c r="Y107" s="39">
        <v>946453</v>
      </c>
      <c r="Z107" s="39" t="s">
        <v>119</v>
      </c>
      <c r="AA107" s="39" t="s">
        <v>350</v>
      </c>
      <c r="AB107" s="39">
        <v>77681</v>
      </c>
      <c r="AC107" s="39">
        <v>64118</v>
      </c>
      <c r="AD107" s="39" t="s">
        <v>660</v>
      </c>
      <c r="AE107" s="39" t="e">
        <v>#N/A</v>
      </c>
      <c r="AF107" s="136">
        <v>43935</v>
      </c>
      <c r="AG107" s="39">
        <v>3814299551</v>
      </c>
      <c r="AH107" s="39">
        <v>29412707</v>
      </c>
      <c r="AI107" s="39">
        <v>27294127076</v>
      </c>
      <c r="AJ107" s="46">
        <v>41262</v>
      </c>
      <c r="AK107" s="46">
        <v>43930</v>
      </c>
      <c r="AL107" s="47">
        <v>43935</v>
      </c>
      <c r="AM107" s="39">
        <v>2770</v>
      </c>
      <c r="AN107" s="137" t="s">
        <v>114</v>
      </c>
      <c r="AO107" s="141">
        <v>89905</v>
      </c>
      <c r="AP107" s="139" t="s">
        <v>115</v>
      </c>
      <c r="AQ107" s="142" t="s">
        <v>1611</v>
      </c>
    </row>
    <row r="108" spans="1:43" x14ac:dyDescent="0.25">
      <c r="A108" s="44" t="s">
        <v>71</v>
      </c>
      <c r="B108" s="39" t="s">
        <v>88</v>
      </c>
      <c r="C108" s="39" t="s">
        <v>661</v>
      </c>
      <c r="D108" s="39" t="s">
        <v>662</v>
      </c>
      <c r="E108" s="39" t="s">
        <v>40</v>
      </c>
      <c r="F108" s="39" t="s">
        <v>420</v>
      </c>
      <c r="G108" s="39" t="s">
        <v>420</v>
      </c>
      <c r="H108" s="39" t="s">
        <v>420</v>
      </c>
      <c r="I108" s="39" t="s">
        <v>420</v>
      </c>
      <c r="J108" s="39" t="s">
        <v>420</v>
      </c>
      <c r="K108" s="39" t="s">
        <v>40</v>
      </c>
      <c r="L108" s="135"/>
      <c r="M108" s="45"/>
      <c r="N108" s="39" t="s">
        <v>1605</v>
      </c>
      <c r="O108" s="39">
        <v>0</v>
      </c>
      <c r="P108" s="39">
        <v>6</v>
      </c>
      <c r="Q108" s="39">
        <v>6</v>
      </c>
      <c r="R108" s="39">
        <v>6</v>
      </c>
      <c r="S108" s="39">
        <v>6</v>
      </c>
      <c r="T108" s="39">
        <v>6</v>
      </c>
      <c r="U108" s="39">
        <v>0</v>
      </c>
      <c r="V108" s="39">
        <v>30</v>
      </c>
      <c r="W108" s="39">
        <v>89280</v>
      </c>
      <c r="X108" s="39">
        <v>88142</v>
      </c>
      <c r="Y108" s="39">
        <v>3624021</v>
      </c>
      <c r="Z108" s="39" t="s">
        <v>146</v>
      </c>
      <c r="AA108" s="39" t="s">
        <v>119</v>
      </c>
      <c r="AB108" s="39">
        <v>77681</v>
      </c>
      <c r="AC108" s="39">
        <v>64118</v>
      </c>
      <c r="AD108" s="39" t="s">
        <v>663</v>
      </c>
      <c r="AE108" s="39" t="s">
        <v>664</v>
      </c>
      <c r="AF108" s="136">
        <v>43917</v>
      </c>
      <c r="AG108" s="39"/>
      <c r="AH108" s="39">
        <v>39573252</v>
      </c>
      <c r="AI108" s="39">
        <v>27395732523</v>
      </c>
      <c r="AJ108" s="46">
        <v>43808</v>
      </c>
      <c r="AK108" s="46">
        <v>43808</v>
      </c>
      <c r="AL108" s="47">
        <v>43831</v>
      </c>
      <c r="AM108" s="39">
        <v>260</v>
      </c>
      <c r="AN108" s="137" t="s">
        <v>114</v>
      </c>
      <c r="AO108" s="141">
        <v>89973</v>
      </c>
      <c r="AP108" s="139" t="s">
        <v>115</v>
      </c>
      <c r="AQ108" s="142" t="s">
        <v>1611</v>
      </c>
    </row>
    <row r="109" spans="1:43" x14ac:dyDescent="0.25">
      <c r="A109" s="44" t="s">
        <v>71</v>
      </c>
      <c r="B109" s="39" t="s">
        <v>88</v>
      </c>
      <c r="C109" s="39" t="s">
        <v>544</v>
      </c>
      <c r="D109" s="39" t="s">
        <v>665</v>
      </c>
      <c r="E109" s="39" t="s">
        <v>40</v>
      </c>
      <c r="F109" s="39" t="s">
        <v>420</v>
      </c>
      <c r="G109" s="39" t="s">
        <v>420</v>
      </c>
      <c r="H109" s="39" t="s">
        <v>420</v>
      </c>
      <c r="I109" s="39" t="s">
        <v>420</v>
      </c>
      <c r="J109" s="39" t="s">
        <v>420</v>
      </c>
      <c r="K109" s="39" t="s">
        <v>40</v>
      </c>
      <c r="L109" s="135"/>
      <c r="M109" s="45"/>
      <c r="N109" s="39" t="s">
        <v>1605</v>
      </c>
      <c r="O109" s="39">
        <v>0</v>
      </c>
      <c r="P109" s="39">
        <v>6</v>
      </c>
      <c r="Q109" s="39">
        <v>6</v>
      </c>
      <c r="R109" s="39">
        <v>6</v>
      </c>
      <c r="S109" s="39">
        <v>6</v>
      </c>
      <c r="T109" s="39">
        <v>6</v>
      </c>
      <c r="U109" s="39">
        <v>0</v>
      </c>
      <c r="V109" s="39">
        <v>30</v>
      </c>
      <c r="W109" s="39">
        <v>89278</v>
      </c>
      <c r="X109" s="39">
        <v>88140</v>
      </c>
      <c r="Y109" s="39">
        <v>3623922</v>
      </c>
      <c r="Z109" s="39" t="s">
        <v>118</v>
      </c>
      <c r="AA109" s="39" t="s">
        <v>119</v>
      </c>
      <c r="AB109" s="39">
        <v>77681</v>
      </c>
      <c r="AC109" s="39">
        <v>64118</v>
      </c>
      <c r="AD109" s="39" t="s">
        <v>666</v>
      </c>
      <c r="AE109" s="39" t="s">
        <v>667</v>
      </c>
      <c r="AF109" s="136">
        <v>43910</v>
      </c>
      <c r="AG109" s="39"/>
      <c r="AH109" s="39">
        <v>41276143</v>
      </c>
      <c r="AI109" s="39">
        <v>27412761435</v>
      </c>
      <c r="AJ109" s="46">
        <v>43808</v>
      </c>
      <c r="AK109" s="46">
        <v>43808</v>
      </c>
      <c r="AL109" s="47">
        <v>43831</v>
      </c>
      <c r="AM109" s="39">
        <v>260</v>
      </c>
      <c r="AN109" s="137" t="s">
        <v>114</v>
      </c>
      <c r="AO109" s="141">
        <v>89942</v>
      </c>
      <c r="AP109" s="139" t="s">
        <v>115</v>
      </c>
      <c r="AQ109" s="142" t="s">
        <v>1611</v>
      </c>
    </row>
    <row r="110" spans="1:43" x14ac:dyDescent="0.25">
      <c r="A110" s="44" t="s">
        <v>71</v>
      </c>
      <c r="B110" s="39" t="s">
        <v>88</v>
      </c>
      <c r="C110" s="39" t="s">
        <v>668</v>
      </c>
      <c r="D110" s="39" t="s">
        <v>669</v>
      </c>
      <c r="E110" s="39" t="s">
        <v>40</v>
      </c>
      <c r="F110" s="39" t="s">
        <v>420</v>
      </c>
      <c r="G110" s="39" t="s">
        <v>420</v>
      </c>
      <c r="H110" s="39" t="s">
        <v>420</v>
      </c>
      <c r="I110" s="39" t="s">
        <v>420</v>
      </c>
      <c r="J110" s="39" t="s">
        <v>420</v>
      </c>
      <c r="K110" s="39" t="s">
        <v>40</v>
      </c>
      <c r="L110" s="135"/>
      <c r="M110" s="45"/>
      <c r="N110" s="39" t="s">
        <v>1605</v>
      </c>
      <c r="O110" s="39">
        <v>0</v>
      </c>
      <c r="P110" s="39">
        <v>6</v>
      </c>
      <c r="Q110" s="39">
        <v>6</v>
      </c>
      <c r="R110" s="39">
        <v>6</v>
      </c>
      <c r="S110" s="39">
        <v>6</v>
      </c>
      <c r="T110" s="39">
        <v>6</v>
      </c>
      <c r="U110" s="39">
        <v>0</v>
      </c>
      <c r="V110" s="39">
        <v>30</v>
      </c>
      <c r="W110" s="39">
        <v>648226</v>
      </c>
      <c r="X110" s="39">
        <v>83998</v>
      </c>
      <c r="Y110" s="39">
        <v>2714192</v>
      </c>
      <c r="Z110" s="39" t="s">
        <v>119</v>
      </c>
      <c r="AA110" s="39" t="s">
        <v>350</v>
      </c>
      <c r="AB110" s="39">
        <v>77681</v>
      </c>
      <c r="AC110" s="39">
        <v>64118</v>
      </c>
      <c r="AD110" s="39" t="s">
        <v>670</v>
      </c>
      <c r="AE110" s="39" t="e">
        <v>#N/A</v>
      </c>
      <c r="AF110" s="136">
        <v>43935</v>
      </c>
      <c r="AG110" s="39" t="s">
        <v>671</v>
      </c>
      <c r="AH110" s="39">
        <v>35921164</v>
      </c>
      <c r="AI110" s="39">
        <v>27359211649</v>
      </c>
      <c r="AJ110" s="46">
        <v>43066</v>
      </c>
      <c r="AK110" s="46">
        <v>43930</v>
      </c>
      <c r="AL110" s="47">
        <v>43935</v>
      </c>
      <c r="AM110" s="39">
        <v>992</v>
      </c>
      <c r="AN110" s="137" t="s">
        <v>114</v>
      </c>
      <c r="AO110" s="141">
        <v>89906</v>
      </c>
      <c r="AP110" s="139" t="s">
        <v>115</v>
      </c>
      <c r="AQ110" s="142" t="s">
        <v>1611</v>
      </c>
    </row>
    <row r="111" spans="1:43" x14ac:dyDescent="0.25">
      <c r="A111" s="44" t="s">
        <v>71</v>
      </c>
      <c r="B111" s="39" t="s">
        <v>88</v>
      </c>
      <c r="C111" s="39" t="s">
        <v>672</v>
      </c>
      <c r="D111" s="39" t="s">
        <v>673</v>
      </c>
      <c r="E111" s="39" t="s">
        <v>40</v>
      </c>
      <c r="F111" s="39" t="s">
        <v>420</v>
      </c>
      <c r="G111" s="39" t="s">
        <v>420</v>
      </c>
      <c r="H111" s="39" t="s">
        <v>420</v>
      </c>
      <c r="I111" s="39" t="s">
        <v>420</v>
      </c>
      <c r="J111" s="39" t="s">
        <v>420</v>
      </c>
      <c r="K111" s="39" t="s">
        <v>40</v>
      </c>
      <c r="L111" s="135"/>
      <c r="M111" s="45"/>
      <c r="N111" s="39" t="s">
        <v>1605</v>
      </c>
      <c r="O111" s="39">
        <v>0</v>
      </c>
      <c r="P111" s="39">
        <v>6</v>
      </c>
      <c r="Q111" s="39">
        <v>6</v>
      </c>
      <c r="R111" s="39">
        <v>6</v>
      </c>
      <c r="S111" s="39">
        <v>6</v>
      </c>
      <c r="T111" s="39">
        <v>6</v>
      </c>
      <c r="U111" s="39">
        <v>0</v>
      </c>
      <c r="V111" s="39">
        <v>30</v>
      </c>
      <c r="W111" s="39">
        <v>89161</v>
      </c>
      <c r="X111" s="39">
        <v>86282</v>
      </c>
      <c r="Y111" s="39">
        <v>3133234</v>
      </c>
      <c r="Z111" s="39" t="s">
        <v>375</v>
      </c>
      <c r="AA111" s="39" t="s">
        <v>674</v>
      </c>
      <c r="AB111" s="39">
        <v>77681</v>
      </c>
      <c r="AC111" s="39">
        <v>64118</v>
      </c>
      <c r="AD111" s="39" t="s">
        <v>675</v>
      </c>
      <c r="AE111" s="39" t="s">
        <v>676</v>
      </c>
      <c r="AF111" s="136">
        <v>43912</v>
      </c>
      <c r="AG111" s="39" t="s">
        <v>677</v>
      </c>
      <c r="AH111" s="39">
        <v>40437969</v>
      </c>
      <c r="AI111" s="39">
        <v>23404379690</v>
      </c>
      <c r="AJ111" s="46">
        <v>43451</v>
      </c>
      <c r="AK111" s="46">
        <v>43451</v>
      </c>
      <c r="AL111" s="47">
        <v>43467</v>
      </c>
      <c r="AM111" s="39">
        <v>612</v>
      </c>
      <c r="AN111" s="137" t="s">
        <v>114</v>
      </c>
      <c r="AO111" s="141">
        <v>89946</v>
      </c>
      <c r="AP111" s="139" t="s">
        <v>115</v>
      </c>
      <c r="AQ111" s="142" t="s">
        <v>1611</v>
      </c>
    </row>
    <row r="112" spans="1:43" x14ac:dyDescent="0.25">
      <c r="A112" s="44" t="s">
        <v>74</v>
      </c>
      <c r="B112" s="39" t="s">
        <v>77</v>
      </c>
      <c r="C112" s="39" t="s">
        <v>678</v>
      </c>
      <c r="D112" s="39" t="s">
        <v>679</v>
      </c>
      <c r="E112" s="39" t="s">
        <v>40</v>
      </c>
      <c r="F112" s="39" t="s">
        <v>131</v>
      </c>
      <c r="G112" s="39" t="s">
        <v>131</v>
      </c>
      <c r="H112" s="39" t="s">
        <v>131</v>
      </c>
      <c r="I112" s="39" t="s">
        <v>131</v>
      </c>
      <c r="J112" s="39" t="s">
        <v>131</v>
      </c>
      <c r="K112" s="39" t="s">
        <v>40</v>
      </c>
      <c r="L112" s="135"/>
      <c r="M112" s="45"/>
      <c r="N112" s="39" t="s">
        <v>1605</v>
      </c>
      <c r="O112" s="39">
        <v>0</v>
      </c>
      <c r="P112" s="39">
        <v>6</v>
      </c>
      <c r="Q112" s="39">
        <v>6</v>
      </c>
      <c r="R112" s="39">
        <v>6</v>
      </c>
      <c r="S112" s="39">
        <v>6</v>
      </c>
      <c r="T112" s="39">
        <v>6</v>
      </c>
      <c r="U112" s="39">
        <v>0</v>
      </c>
      <c r="V112" s="39">
        <v>30</v>
      </c>
      <c r="W112" s="39">
        <v>89124</v>
      </c>
      <c r="X112" s="39">
        <v>86148</v>
      </c>
      <c r="Y112" s="39">
        <v>3118297</v>
      </c>
      <c r="Z112" s="39" t="s">
        <v>146</v>
      </c>
      <c r="AA112" s="39" t="s">
        <v>119</v>
      </c>
      <c r="AB112" s="39">
        <v>80740</v>
      </c>
      <c r="AC112" s="39">
        <v>74054</v>
      </c>
      <c r="AD112" s="39" t="s">
        <v>680</v>
      </c>
      <c r="AE112" s="39" t="s">
        <v>681</v>
      </c>
      <c r="AF112" s="136">
        <v>43910</v>
      </c>
      <c r="AG112" s="39" t="s">
        <v>682</v>
      </c>
      <c r="AH112" s="39">
        <v>39078538</v>
      </c>
      <c r="AI112" s="39">
        <v>20390785381</v>
      </c>
      <c r="AJ112" s="46">
        <v>43437</v>
      </c>
      <c r="AK112" s="46">
        <v>43437</v>
      </c>
      <c r="AL112" s="47">
        <v>43448</v>
      </c>
      <c r="AM112" s="39">
        <v>626</v>
      </c>
      <c r="AN112" s="137" t="s">
        <v>114</v>
      </c>
      <c r="AO112" s="141">
        <v>89797</v>
      </c>
      <c r="AP112" s="139" t="s">
        <v>115</v>
      </c>
      <c r="AQ112" s="142" t="s">
        <v>1607</v>
      </c>
    </row>
    <row r="113" spans="1:43" x14ac:dyDescent="0.25">
      <c r="A113" s="44" t="s">
        <v>71</v>
      </c>
      <c r="B113" s="39" t="s">
        <v>88</v>
      </c>
      <c r="C113" s="39" t="s">
        <v>164</v>
      </c>
      <c r="D113" s="39" t="s">
        <v>683</v>
      </c>
      <c r="E113" s="39" t="s">
        <v>40</v>
      </c>
      <c r="F113" s="39" t="s">
        <v>420</v>
      </c>
      <c r="G113" s="39" t="s">
        <v>420</v>
      </c>
      <c r="H113" s="39" t="s">
        <v>420</v>
      </c>
      <c r="I113" s="39" t="s">
        <v>420</v>
      </c>
      <c r="J113" s="39" t="s">
        <v>420</v>
      </c>
      <c r="K113" s="39" t="s">
        <v>40</v>
      </c>
      <c r="L113" s="135"/>
      <c r="M113" s="45"/>
      <c r="N113" s="39" t="s">
        <v>1605</v>
      </c>
      <c r="O113" s="39">
        <v>0</v>
      </c>
      <c r="P113" s="39">
        <v>6</v>
      </c>
      <c r="Q113" s="39">
        <v>6</v>
      </c>
      <c r="R113" s="39">
        <v>6</v>
      </c>
      <c r="S113" s="39">
        <v>6</v>
      </c>
      <c r="T113" s="39">
        <v>6</v>
      </c>
      <c r="U113" s="39">
        <v>0</v>
      </c>
      <c r="V113" s="39">
        <v>30</v>
      </c>
      <c r="W113" s="39">
        <v>648228</v>
      </c>
      <c r="X113" s="39">
        <v>81801</v>
      </c>
      <c r="Y113" s="39">
        <v>2068786</v>
      </c>
      <c r="Z113" s="39" t="s">
        <v>119</v>
      </c>
      <c r="AA113" s="39" t="s">
        <v>350</v>
      </c>
      <c r="AB113" s="39">
        <v>77681</v>
      </c>
      <c r="AC113" s="39">
        <v>64118</v>
      </c>
      <c r="AD113" s="39" t="s">
        <v>684</v>
      </c>
      <c r="AE113" s="39" t="s">
        <v>685</v>
      </c>
      <c r="AF113" s="136">
        <v>43935</v>
      </c>
      <c r="AG113" s="39">
        <v>156578456</v>
      </c>
      <c r="AH113" s="39">
        <v>32630352</v>
      </c>
      <c r="AI113" s="39">
        <v>27326303521</v>
      </c>
      <c r="AJ113" s="46">
        <v>42494</v>
      </c>
      <c r="AK113" s="46">
        <v>43930</v>
      </c>
      <c r="AL113" s="47">
        <v>43935</v>
      </c>
      <c r="AM113" s="39">
        <v>1555</v>
      </c>
      <c r="AN113" s="137" t="s">
        <v>114</v>
      </c>
      <c r="AO113" s="141">
        <v>89907</v>
      </c>
      <c r="AP113" s="139" t="s">
        <v>115</v>
      </c>
      <c r="AQ113" s="142" t="s">
        <v>1611</v>
      </c>
    </row>
    <row r="114" spans="1:43" x14ac:dyDescent="0.25">
      <c r="A114" s="44" t="s">
        <v>71</v>
      </c>
      <c r="B114" s="39" t="s">
        <v>88</v>
      </c>
      <c r="C114" s="39" t="s">
        <v>686</v>
      </c>
      <c r="D114" s="39" t="s">
        <v>687</v>
      </c>
      <c r="E114" s="39" t="s">
        <v>40</v>
      </c>
      <c r="F114" s="39" t="s">
        <v>639</v>
      </c>
      <c r="G114" s="39" t="s">
        <v>639</v>
      </c>
      <c r="H114" s="39" t="s">
        <v>639</v>
      </c>
      <c r="I114" s="39" t="s">
        <v>639</v>
      </c>
      <c r="J114" s="39" t="s">
        <v>639</v>
      </c>
      <c r="K114" s="39" t="s">
        <v>40</v>
      </c>
      <c r="L114" s="135"/>
      <c r="M114" s="45"/>
      <c r="N114" s="39" t="s">
        <v>1605</v>
      </c>
      <c r="O114" s="39">
        <v>0</v>
      </c>
      <c r="P114" s="39">
        <v>5</v>
      </c>
      <c r="Q114" s="39">
        <v>5</v>
      </c>
      <c r="R114" s="39">
        <v>5</v>
      </c>
      <c r="S114" s="39">
        <v>5</v>
      </c>
      <c r="T114" s="39">
        <v>5</v>
      </c>
      <c r="U114" s="39">
        <v>0</v>
      </c>
      <c r="V114" s="39">
        <v>25</v>
      </c>
      <c r="W114" s="39">
        <v>648053</v>
      </c>
      <c r="X114" s="39">
        <v>88029</v>
      </c>
      <c r="Y114" s="39">
        <v>3553091</v>
      </c>
      <c r="Z114" s="39" t="s">
        <v>118</v>
      </c>
      <c r="AA114" s="39" t="s">
        <v>119</v>
      </c>
      <c r="AB114" s="39">
        <v>77681</v>
      </c>
      <c r="AC114" s="39">
        <v>64118</v>
      </c>
      <c r="AD114" s="39" t="s">
        <v>688</v>
      </c>
      <c r="AE114" s="39" t="s">
        <v>689</v>
      </c>
      <c r="AF114" s="136">
        <v>43943</v>
      </c>
      <c r="AG114" s="39" t="s">
        <v>690</v>
      </c>
      <c r="AH114" s="39">
        <v>41950682</v>
      </c>
      <c r="AI114" s="39" t="s">
        <v>691</v>
      </c>
      <c r="AJ114" s="46">
        <v>43942</v>
      </c>
      <c r="AK114" s="46">
        <v>43942</v>
      </c>
      <c r="AL114" s="47">
        <v>43943</v>
      </c>
      <c r="AM114" s="39">
        <v>128</v>
      </c>
      <c r="AN114" s="137" t="s">
        <v>114</v>
      </c>
      <c r="AO114" s="141">
        <v>89947</v>
      </c>
      <c r="AP114" s="139" t="s">
        <v>115</v>
      </c>
      <c r="AQ114" s="142" t="s">
        <v>1612</v>
      </c>
    </row>
    <row r="115" spans="1:43" x14ac:dyDescent="0.25">
      <c r="A115" s="44" t="s">
        <v>71</v>
      </c>
      <c r="B115" s="39" t="s">
        <v>88</v>
      </c>
      <c r="C115" s="39" t="s">
        <v>692</v>
      </c>
      <c r="D115" s="39" t="s">
        <v>693</v>
      </c>
      <c r="E115" s="39" t="s">
        <v>40</v>
      </c>
      <c r="F115" s="39" t="s">
        <v>420</v>
      </c>
      <c r="G115" s="39" t="s">
        <v>420</v>
      </c>
      <c r="H115" s="39" t="s">
        <v>420</v>
      </c>
      <c r="I115" s="39" t="s">
        <v>420</v>
      </c>
      <c r="J115" s="39" t="s">
        <v>420</v>
      </c>
      <c r="K115" s="39" t="s">
        <v>40</v>
      </c>
      <c r="L115" s="135"/>
      <c r="M115" s="45"/>
      <c r="N115" s="39" t="s">
        <v>1605</v>
      </c>
      <c r="O115" s="39">
        <v>0</v>
      </c>
      <c r="P115" s="39">
        <v>6</v>
      </c>
      <c r="Q115" s="39">
        <v>6</v>
      </c>
      <c r="R115" s="39">
        <v>6</v>
      </c>
      <c r="S115" s="39">
        <v>6</v>
      </c>
      <c r="T115" s="39">
        <v>6</v>
      </c>
      <c r="U115" s="39">
        <v>0</v>
      </c>
      <c r="V115" s="39">
        <v>30</v>
      </c>
      <c r="W115" s="39">
        <v>89288</v>
      </c>
      <c r="X115" s="39">
        <v>88150</v>
      </c>
      <c r="Y115" s="39">
        <v>2837489</v>
      </c>
      <c r="Z115" s="39" t="s">
        <v>118</v>
      </c>
      <c r="AA115" s="39" t="s">
        <v>119</v>
      </c>
      <c r="AB115" s="39">
        <v>77681</v>
      </c>
      <c r="AC115" s="39">
        <v>64118</v>
      </c>
      <c r="AD115" s="39" t="s">
        <v>694</v>
      </c>
      <c r="AE115" s="39" t="s">
        <v>695</v>
      </c>
      <c r="AF115" s="136">
        <v>43912</v>
      </c>
      <c r="AG115" s="39"/>
      <c r="AH115" s="39">
        <v>41950442</v>
      </c>
      <c r="AI115" s="39">
        <v>20419504425</v>
      </c>
      <c r="AJ115" s="46">
        <v>43808</v>
      </c>
      <c r="AK115" s="46">
        <v>43808</v>
      </c>
      <c r="AL115" s="47">
        <v>43831</v>
      </c>
      <c r="AM115" s="39">
        <v>260</v>
      </c>
      <c r="AN115" s="137" t="s">
        <v>114</v>
      </c>
      <c r="AO115" s="141">
        <v>89948</v>
      </c>
      <c r="AP115" s="139" t="s">
        <v>115</v>
      </c>
      <c r="AQ115" s="142" t="s">
        <v>1611</v>
      </c>
    </row>
    <row r="116" spans="1:43" x14ac:dyDescent="0.25">
      <c r="A116" s="44" t="s">
        <v>71</v>
      </c>
      <c r="B116" s="39" t="s">
        <v>88</v>
      </c>
      <c r="C116" s="39" t="s">
        <v>696</v>
      </c>
      <c r="D116" s="39" t="s">
        <v>697</v>
      </c>
      <c r="E116" s="39" t="s">
        <v>40</v>
      </c>
      <c r="F116" s="39" t="s">
        <v>420</v>
      </c>
      <c r="G116" s="39" t="s">
        <v>420</v>
      </c>
      <c r="H116" s="39" t="s">
        <v>420</v>
      </c>
      <c r="I116" s="39" t="s">
        <v>420</v>
      </c>
      <c r="J116" s="39" t="s">
        <v>420</v>
      </c>
      <c r="K116" s="39" t="s">
        <v>40</v>
      </c>
      <c r="L116" s="135"/>
      <c r="M116" s="45"/>
      <c r="N116" s="39" t="s">
        <v>1605</v>
      </c>
      <c r="O116" s="39">
        <v>0</v>
      </c>
      <c r="P116" s="39">
        <v>6</v>
      </c>
      <c r="Q116" s="39">
        <v>6</v>
      </c>
      <c r="R116" s="39">
        <v>6</v>
      </c>
      <c r="S116" s="39">
        <v>6</v>
      </c>
      <c r="T116" s="39">
        <v>6</v>
      </c>
      <c r="U116" s="39">
        <v>0</v>
      </c>
      <c r="V116" s="39">
        <v>30</v>
      </c>
      <c r="W116" s="39">
        <v>89169</v>
      </c>
      <c r="X116" s="39">
        <v>86281</v>
      </c>
      <c r="Y116" s="39">
        <v>2464942</v>
      </c>
      <c r="Z116" s="39" t="s">
        <v>118</v>
      </c>
      <c r="AA116" s="39" t="s">
        <v>119</v>
      </c>
      <c r="AB116" s="39">
        <v>77681</v>
      </c>
      <c r="AC116" s="39">
        <v>64118</v>
      </c>
      <c r="AD116" s="39" t="s">
        <v>698</v>
      </c>
      <c r="AE116" s="39" t="s">
        <v>699</v>
      </c>
      <c r="AF116" s="136">
        <v>43916</v>
      </c>
      <c r="AG116" s="39" t="s">
        <v>700</v>
      </c>
      <c r="AH116" s="39">
        <v>39358829</v>
      </c>
      <c r="AI116" s="39">
        <v>27393588298</v>
      </c>
      <c r="AJ116" s="46">
        <v>43451</v>
      </c>
      <c r="AK116" s="46">
        <v>43451</v>
      </c>
      <c r="AL116" s="47">
        <v>43467</v>
      </c>
      <c r="AM116" s="39">
        <v>612</v>
      </c>
      <c r="AN116" s="137" t="s">
        <v>114</v>
      </c>
      <c r="AO116" s="141">
        <v>89949</v>
      </c>
      <c r="AP116" s="139" t="s">
        <v>115</v>
      </c>
      <c r="AQ116" s="142" t="s">
        <v>1611</v>
      </c>
    </row>
    <row r="117" spans="1:43" x14ac:dyDescent="0.25">
      <c r="A117" s="44" t="s">
        <v>71</v>
      </c>
      <c r="B117" s="39" t="s">
        <v>88</v>
      </c>
      <c r="C117" s="39" t="s">
        <v>701</v>
      </c>
      <c r="D117" s="39" t="s">
        <v>702</v>
      </c>
      <c r="E117" s="39" t="s">
        <v>40</v>
      </c>
      <c r="F117" s="39" t="s">
        <v>52</v>
      </c>
      <c r="G117" s="39" t="s">
        <v>52</v>
      </c>
      <c r="H117" s="39" t="s">
        <v>52</v>
      </c>
      <c r="I117" s="39" t="s">
        <v>52</v>
      </c>
      <c r="J117" s="39" t="s">
        <v>52</v>
      </c>
      <c r="K117" s="39" t="s">
        <v>40</v>
      </c>
      <c r="L117" s="135"/>
      <c r="M117" s="45" t="s">
        <v>599</v>
      </c>
      <c r="N117" s="39" t="s">
        <v>1605</v>
      </c>
      <c r="O117" s="39">
        <v>0</v>
      </c>
      <c r="P117" s="39">
        <v>0</v>
      </c>
      <c r="Q117" s="39">
        <v>0</v>
      </c>
      <c r="R117" s="39">
        <v>0</v>
      </c>
      <c r="S117" s="39">
        <v>0</v>
      </c>
      <c r="T117" s="39">
        <v>0</v>
      </c>
      <c r="U117" s="39">
        <v>0</v>
      </c>
      <c r="V117" s="39">
        <v>0</v>
      </c>
      <c r="W117" s="39">
        <v>89282</v>
      </c>
      <c r="X117" s="39">
        <v>88144</v>
      </c>
      <c r="Y117" s="39">
        <v>3624024</v>
      </c>
      <c r="Z117" s="39" t="s">
        <v>455</v>
      </c>
      <c r="AA117" s="39" t="s">
        <v>119</v>
      </c>
      <c r="AB117" s="39">
        <v>77681</v>
      </c>
      <c r="AC117" s="39">
        <v>64118</v>
      </c>
      <c r="AD117" s="39" t="s">
        <v>703</v>
      </c>
      <c r="AE117" s="39" t="s">
        <v>704</v>
      </c>
      <c r="AF117" s="136">
        <v>43916</v>
      </c>
      <c r="AG117" s="39"/>
      <c r="AH117" s="39">
        <v>40314189</v>
      </c>
      <c r="AI117" s="39">
        <v>27403141890</v>
      </c>
      <c r="AJ117" s="46">
        <v>43808</v>
      </c>
      <c r="AK117" s="46">
        <v>43808</v>
      </c>
      <c r="AL117" s="47">
        <v>43831</v>
      </c>
      <c r="AM117" s="39">
        <v>260</v>
      </c>
      <c r="AN117" s="137" t="s">
        <v>114</v>
      </c>
      <c r="AO117" s="141">
        <v>89951</v>
      </c>
      <c r="AP117" s="139" t="s">
        <v>115</v>
      </c>
      <c r="AQ117" s="142" t="s">
        <v>1611</v>
      </c>
    </row>
    <row r="118" spans="1:43" x14ac:dyDescent="0.25">
      <c r="A118" s="44" t="s">
        <v>71</v>
      </c>
      <c r="B118" s="39" t="s">
        <v>88</v>
      </c>
      <c r="C118" s="39" t="s">
        <v>705</v>
      </c>
      <c r="D118" s="39" t="s">
        <v>706</v>
      </c>
      <c r="E118" s="39" t="s">
        <v>40</v>
      </c>
      <c r="F118" s="39" t="s">
        <v>420</v>
      </c>
      <c r="G118" s="39" t="s">
        <v>420</v>
      </c>
      <c r="H118" s="39" t="s">
        <v>420</v>
      </c>
      <c r="I118" s="39" t="s">
        <v>420</v>
      </c>
      <c r="J118" s="39" t="s">
        <v>420</v>
      </c>
      <c r="K118" s="39" t="s">
        <v>40</v>
      </c>
      <c r="L118" s="135"/>
      <c r="M118" s="45"/>
      <c r="N118" s="39" t="s">
        <v>1605</v>
      </c>
      <c r="O118" s="39">
        <v>0</v>
      </c>
      <c r="P118" s="39">
        <v>6</v>
      </c>
      <c r="Q118" s="39">
        <v>6</v>
      </c>
      <c r="R118" s="39">
        <v>6</v>
      </c>
      <c r="S118" s="39">
        <v>6</v>
      </c>
      <c r="T118" s="39">
        <v>6</v>
      </c>
      <c r="U118" s="39">
        <v>0</v>
      </c>
      <c r="V118" s="39">
        <v>30</v>
      </c>
      <c r="W118" s="39">
        <v>648076</v>
      </c>
      <c r="X118" s="39">
        <v>88360</v>
      </c>
      <c r="Y118" s="39">
        <v>3667100</v>
      </c>
      <c r="Z118" s="39" t="s">
        <v>455</v>
      </c>
      <c r="AA118" s="39" t="s">
        <v>119</v>
      </c>
      <c r="AB118" s="39">
        <v>77681</v>
      </c>
      <c r="AC118" s="39">
        <v>64118</v>
      </c>
      <c r="AD118" s="39" t="s">
        <v>707</v>
      </c>
      <c r="AE118" s="39" t="s">
        <v>708</v>
      </c>
      <c r="AF118" s="136">
        <v>43943</v>
      </c>
      <c r="AG118" s="39" t="s">
        <v>709</v>
      </c>
      <c r="AH118" s="39">
        <v>40089513</v>
      </c>
      <c r="AI118" s="39" t="s">
        <v>710</v>
      </c>
      <c r="AJ118" s="46">
        <v>43942</v>
      </c>
      <c r="AK118" s="46">
        <v>43942</v>
      </c>
      <c r="AL118" s="47">
        <v>43943</v>
      </c>
      <c r="AM118" s="39">
        <v>128</v>
      </c>
      <c r="AN118" s="137" t="s">
        <v>114</v>
      </c>
      <c r="AO118" s="141">
        <v>89969</v>
      </c>
      <c r="AP118" s="139" t="s">
        <v>115</v>
      </c>
      <c r="AQ118" s="142" t="s">
        <v>1611</v>
      </c>
    </row>
    <row r="119" spans="1:43" x14ac:dyDescent="0.25">
      <c r="A119" s="69" t="s">
        <v>71</v>
      </c>
      <c r="B119" s="70" t="s">
        <v>76</v>
      </c>
      <c r="C119" s="70" t="s">
        <v>711</v>
      </c>
      <c r="D119" s="70" t="s">
        <v>415</v>
      </c>
      <c r="E119" s="70" t="s">
        <v>40</v>
      </c>
      <c r="F119" s="70" t="s">
        <v>52</v>
      </c>
      <c r="G119" s="70" t="s">
        <v>52</v>
      </c>
      <c r="H119" s="70" t="s">
        <v>52</v>
      </c>
      <c r="I119" s="70" t="s">
        <v>52</v>
      </c>
      <c r="J119" s="70" t="s">
        <v>52</v>
      </c>
      <c r="K119" s="70" t="s">
        <v>40</v>
      </c>
      <c r="L119" s="135"/>
      <c r="M119" s="45" t="s">
        <v>1620</v>
      </c>
      <c r="N119" s="39" t="s">
        <v>1605</v>
      </c>
      <c r="O119" s="39">
        <v>0</v>
      </c>
      <c r="P119" s="39">
        <v>0</v>
      </c>
      <c r="Q119" s="39">
        <v>0</v>
      </c>
      <c r="R119" s="39">
        <v>0</v>
      </c>
      <c r="S119" s="39">
        <v>0</v>
      </c>
      <c r="T119" s="39">
        <v>0</v>
      </c>
      <c r="U119" s="39">
        <v>0</v>
      </c>
      <c r="V119" s="39">
        <v>0</v>
      </c>
      <c r="W119" s="39">
        <v>89106</v>
      </c>
      <c r="X119" s="39">
        <v>85274</v>
      </c>
      <c r="Y119" s="39">
        <v>2804853</v>
      </c>
      <c r="Z119" s="39" t="s">
        <v>132</v>
      </c>
      <c r="AA119" s="39" t="s">
        <v>712</v>
      </c>
      <c r="AB119" s="39">
        <v>66977</v>
      </c>
      <c r="AC119" s="39">
        <v>64118</v>
      </c>
      <c r="AD119" s="39" t="s">
        <v>713</v>
      </c>
      <c r="AE119" s="39" t="s">
        <v>714</v>
      </c>
      <c r="AF119" s="136">
        <v>43919</v>
      </c>
      <c r="AG119" s="39" t="s">
        <v>715</v>
      </c>
      <c r="AH119" s="39">
        <v>37188262</v>
      </c>
      <c r="AI119" s="39">
        <v>20371882627</v>
      </c>
      <c r="AJ119" s="46">
        <v>43164</v>
      </c>
      <c r="AK119" s="46">
        <v>43409</v>
      </c>
      <c r="AL119" s="47">
        <v>43423</v>
      </c>
      <c r="AM119" s="39">
        <v>894</v>
      </c>
      <c r="AN119" s="137" t="s">
        <v>114</v>
      </c>
      <c r="AO119" s="141">
        <v>89952</v>
      </c>
      <c r="AP119" s="139" t="s">
        <v>115</v>
      </c>
      <c r="AQ119" s="142" t="s">
        <v>1611</v>
      </c>
    </row>
    <row r="120" spans="1:43" x14ac:dyDescent="0.25">
      <c r="A120" s="42" t="s">
        <v>71</v>
      </c>
      <c r="B120" s="41" t="s">
        <v>76</v>
      </c>
      <c r="C120" s="41" t="s">
        <v>716</v>
      </c>
      <c r="D120" s="41" t="s">
        <v>717</v>
      </c>
      <c r="E120" s="41" t="s">
        <v>40</v>
      </c>
      <c r="F120" s="41" t="s">
        <v>52</v>
      </c>
      <c r="G120" s="41" t="s">
        <v>52</v>
      </c>
      <c r="H120" s="41" t="s">
        <v>52</v>
      </c>
      <c r="I120" s="41" t="s">
        <v>420</v>
      </c>
      <c r="J120" s="41" t="s">
        <v>420</v>
      </c>
      <c r="K120" s="41" t="s">
        <v>40</v>
      </c>
      <c r="L120" s="135"/>
      <c r="M120" s="45" t="s">
        <v>1621</v>
      </c>
      <c r="N120" s="39" t="s">
        <v>1605</v>
      </c>
      <c r="O120" s="39">
        <v>0</v>
      </c>
      <c r="P120" s="39">
        <v>0</v>
      </c>
      <c r="Q120" s="39">
        <v>0</v>
      </c>
      <c r="R120" s="39">
        <v>0</v>
      </c>
      <c r="S120" s="39">
        <v>6</v>
      </c>
      <c r="T120" s="39">
        <v>6</v>
      </c>
      <c r="U120" s="39">
        <v>0</v>
      </c>
      <c r="V120" s="39">
        <v>12</v>
      </c>
      <c r="W120" s="39">
        <v>89117</v>
      </c>
      <c r="X120" s="39">
        <v>86142</v>
      </c>
      <c r="Y120" s="39">
        <v>3118266</v>
      </c>
      <c r="Z120" s="39" t="s">
        <v>109</v>
      </c>
      <c r="AA120" s="39" t="s">
        <v>109</v>
      </c>
      <c r="AB120" s="39">
        <v>66977</v>
      </c>
      <c r="AC120" s="39">
        <v>64118</v>
      </c>
      <c r="AD120" s="39" t="s">
        <v>718</v>
      </c>
      <c r="AE120" s="39" t="s">
        <v>719</v>
      </c>
      <c r="AF120" s="136">
        <v>43945</v>
      </c>
      <c r="AG120" s="39" t="s">
        <v>720</v>
      </c>
      <c r="AH120" s="39">
        <v>39037592</v>
      </c>
      <c r="AI120" s="39">
        <v>20390375922</v>
      </c>
      <c r="AJ120" s="46">
        <v>43437</v>
      </c>
      <c r="AK120" s="46">
        <v>43437</v>
      </c>
      <c r="AL120" s="47">
        <v>43448</v>
      </c>
      <c r="AM120" s="39">
        <v>626</v>
      </c>
      <c r="AN120" s="137" t="s">
        <v>114</v>
      </c>
      <c r="AO120" s="141">
        <v>89953</v>
      </c>
      <c r="AP120" s="139" t="s">
        <v>115</v>
      </c>
      <c r="AQ120" s="142" t="s">
        <v>1611</v>
      </c>
    </row>
    <row r="121" spans="1:43" x14ac:dyDescent="0.25">
      <c r="A121" s="44" t="s">
        <v>71</v>
      </c>
      <c r="B121" s="39" t="s">
        <v>76</v>
      </c>
      <c r="C121" s="39" t="s">
        <v>539</v>
      </c>
      <c r="D121" s="39" t="s">
        <v>721</v>
      </c>
      <c r="E121" s="39" t="s">
        <v>40</v>
      </c>
      <c r="F121" s="39" t="s">
        <v>420</v>
      </c>
      <c r="G121" s="39" t="s">
        <v>420</v>
      </c>
      <c r="H121" s="39" t="s">
        <v>420</v>
      </c>
      <c r="I121" s="39" t="s">
        <v>420</v>
      </c>
      <c r="J121" s="39" t="s">
        <v>420</v>
      </c>
      <c r="K121" s="39" t="s">
        <v>40</v>
      </c>
      <c r="L121" s="135"/>
      <c r="M121" s="45"/>
      <c r="N121" s="39" t="s">
        <v>1605</v>
      </c>
      <c r="O121" s="39">
        <v>0</v>
      </c>
      <c r="P121" s="39">
        <v>6</v>
      </c>
      <c r="Q121" s="39">
        <v>6</v>
      </c>
      <c r="R121" s="39">
        <v>6</v>
      </c>
      <c r="S121" s="39">
        <v>6</v>
      </c>
      <c r="T121" s="39">
        <v>6</v>
      </c>
      <c r="U121" s="39">
        <v>0</v>
      </c>
      <c r="V121" s="39">
        <v>30</v>
      </c>
      <c r="W121" s="39">
        <v>89097</v>
      </c>
      <c r="X121" s="39">
        <v>83159</v>
      </c>
      <c r="Y121" s="39">
        <v>2426406</v>
      </c>
      <c r="Z121" s="39" t="s">
        <v>109</v>
      </c>
      <c r="AA121" s="39" t="s">
        <v>109</v>
      </c>
      <c r="AB121" s="39">
        <v>66977</v>
      </c>
      <c r="AC121" s="39">
        <v>64118</v>
      </c>
      <c r="AD121" s="39" t="s">
        <v>722</v>
      </c>
      <c r="AE121" s="39" t="s">
        <v>723</v>
      </c>
      <c r="AF121" s="136">
        <v>43915</v>
      </c>
      <c r="AG121" s="39" t="s">
        <v>724</v>
      </c>
      <c r="AH121" s="39">
        <v>34064086</v>
      </c>
      <c r="AI121" s="39">
        <v>27340640867</v>
      </c>
      <c r="AJ121" s="46">
        <v>42800</v>
      </c>
      <c r="AK121" s="46">
        <v>43409</v>
      </c>
      <c r="AL121" s="47">
        <v>43423</v>
      </c>
      <c r="AM121" s="39">
        <v>1253</v>
      </c>
      <c r="AN121" s="137" t="s">
        <v>114</v>
      </c>
      <c r="AO121" s="141">
        <v>89954</v>
      </c>
      <c r="AP121" s="139" t="s">
        <v>115</v>
      </c>
      <c r="AQ121" s="142" t="s">
        <v>1611</v>
      </c>
    </row>
    <row r="122" spans="1:43" x14ac:dyDescent="0.25">
      <c r="A122" s="44" t="s">
        <v>71</v>
      </c>
      <c r="B122" s="39" t="s">
        <v>76</v>
      </c>
      <c r="C122" s="39" t="s">
        <v>544</v>
      </c>
      <c r="D122" s="39" t="s">
        <v>725</v>
      </c>
      <c r="E122" s="39" t="s">
        <v>40</v>
      </c>
      <c r="F122" s="39" t="s">
        <v>420</v>
      </c>
      <c r="G122" s="39" t="s">
        <v>420</v>
      </c>
      <c r="H122" s="39" t="s">
        <v>420</v>
      </c>
      <c r="I122" s="39" t="s">
        <v>420</v>
      </c>
      <c r="J122" s="39" t="s">
        <v>420</v>
      </c>
      <c r="K122" s="39" t="s">
        <v>40</v>
      </c>
      <c r="L122" s="135"/>
      <c r="M122" s="45"/>
      <c r="N122" s="39" t="s">
        <v>1605</v>
      </c>
      <c r="O122" s="39">
        <v>0</v>
      </c>
      <c r="P122" s="39">
        <v>6</v>
      </c>
      <c r="Q122" s="39">
        <v>6</v>
      </c>
      <c r="R122" s="39">
        <v>6</v>
      </c>
      <c r="S122" s="39">
        <v>6</v>
      </c>
      <c r="T122" s="39">
        <v>6</v>
      </c>
      <c r="U122" s="39">
        <v>0</v>
      </c>
      <c r="V122" s="39">
        <v>30</v>
      </c>
      <c r="W122" s="39">
        <v>89182</v>
      </c>
      <c r="X122" s="39">
        <v>86332</v>
      </c>
      <c r="Y122" s="39">
        <v>3138445</v>
      </c>
      <c r="Z122" s="39" t="s">
        <v>375</v>
      </c>
      <c r="AA122" s="39" t="s">
        <v>726</v>
      </c>
      <c r="AB122" s="39">
        <v>66977</v>
      </c>
      <c r="AC122" s="39">
        <v>64118</v>
      </c>
      <c r="AD122" s="39" t="s">
        <v>727</v>
      </c>
      <c r="AE122" s="39" t="s">
        <v>728</v>
      </c>
      <c r="AF122" s="136">
        <v>43915</v>
      </c>
      <c r="AG122" s="39" t="s">
        <v>729</v>
      </c>
      <c r="AH122" s="39">
        <v>39575029</v>
      </c>
      <c r="AI122" s="39">
        <v>27395750297</v>
      </c>
      <c r="AJ122" s="46">
        <v>43460</v>
      </c>
      <c r="AK122" s="46">
        <v>43460</v>
      </c>
      <c r="AL122" s="47">
        <v>43476</v>
      </c>
      <c r="AM122" s="39">
        <v>603</v>
      </c>
      <c r="AN122" s="137" t="s">
        <v>114</v>
      </c>
      <c r="AO122" s="141">
        <v>89955</v>
      </c>
      <c r="AP122" s="139" t="s">
        <v>115</v>
      </c>
      <c r="AQ122" s="142" t="s">
        <v>1611</v>
      </c>
    </row>
    <row r="123" spans="1:43" x14ac:dyDescent="0.25">
      <c r="A123" s="44" t="s">
        <v>71</v>
      </c>
      <c r="B123" s="39" t="s">
        <v>76</v>
      </c>
      <c r="C123" s="39" t="s">
        <v>730</v>
      </c>
      <c r="D123" s="39" t="s">
        <v>731</v>
      </c>
      <c r="E123" s="39" t="s">
        <v>40</v>
      </c>
      <c r="F123" s="39" t="s">
        <v>420</v>
      </c>
      <c r="G123" s="39" t="s">
        <v>420</v>
      </c>
      <c r="H123" s="39" t="s">
        <v>420</v>
      </c>
      <c r="I123" s="39" t="s">
        <v>420</v>
      </c>
      <c r="J123" s="39" t="s">
        <v>420</v>
      </c>
      <c r="K123" s="39" t="s">
        <v>40</v>
      </c>
      <c r="L123" s="135"/>
      <c r="M123" s="45"/>
      <c r="N123" s="39" t="s">
        <v>1605</v>
      </c>
      <c r="O123" s="39">
        <v>0</v>
      </c>
      <c r="P123" s="39">
        <v>6</v>
      </c>
      <c r="Q123" s="39">
        <v>6</v>
      </c>
      <c r="R123" s="39">
        <v>6</v>
      </c>
      <c r="S123" s="39">
        <v>6</v>
      </c>
      <c r="T123" s="39">
        <v>6</v>
      </c>
      <c r="U123" s="39">
        <v>0</v>
      </c>
      <c r="V123" s="39">
        <v>30</v>
      </c>
      <c r="W123" s="39">
        <v>89008</v>
      </c>
      <c r="X123" s="39">
        <v>83111</v>
      </c>
      <c r="Y123" s="39">
        <v>2426435</v>
      </c>
      <c r="Z123" s="39" t="s">
        <v>109</v>
      </c>
      <c r="AA123" s="39" t="s">
        <v>109</v>
      </c>
      <c r="AB123" s="39">
        <v>66977</v>
      </c>
      <c r="AC123" s="39">
        <v>64118</v>
      </c>
      <c r="AD123" s="39" t="s">
        <v>732</v>
      </c>
      <c r="AE123" s="39" t="s">
        <v>733</v>
      </c>
      <c r="AF123" s="136">
        <v>43919</v>
      </c>
      <c r="AG123" s="39" t="s">
        <v>734</v>
      </c>
      <c r="AH123" s="39">
        <v>39143903</v>
      </c>
      <c r="AI123" s="39">
        <v>27391439031</v>
      </c>
      <c r="AJ123" s="46">
        <v>42800</v>
      </c>
      <c r="AK123" s="46">
        <v>43259</v>
      </c>
      <c r="AL123" s="47">
        <v>43262</v>
      </c>
      <c r="AM123" s="39">
        <v>1253</v>
      </c>
      <c r="AN123" s="137" t="s">
        <v>114</v>
      </c>
      <c r="AO123" s="141">
        <v>89956</v>
      </c>
      <c r="AP123" s="139" t="s">
        <v>115</v>
      </c>
      <c r="AQ123" s="142" t="s">
        <v>1611</v>
      </c>
    </row>
    <row r="124" spans="1:43" x14ac:dyDescent="0.25">
      <c r="A124" s="44" t="s">
        <v>71</v>
      </c>
      <c r="B124" s="39" t="s">
        <v>76</v>
      </c>
      <c r="C124" s="39" t="s">
        <v>735</v>
      </c>
      <c r="D124" s="39" t="s">
        <v>736</v>
      </c>
      <c r="E124" s="39" t="s">
        <v>40</v>
      </c>
      <c r="F124" s="39" t="s">
        <v>420</v>
      </c>
      <c r="G124" s="39" t="s">
        <v>420</v>
      </c>
      <c r="H124" s="39" t="s">
        <v>420</v>
      </c>
      <c r="I124" s="39" t="s">
        <v>420</v>
      </c>
      <c r="J124" s="39" t="s">
        <v>420</v>
      </c>
      <c r="K124" s="39" t="s">
        <v>40</v>
      </c>
      <c r="L124" s="135"/>
      <c r="M124" s="45"/>
      <c r="N124" s="39" t="s">
        <v>1605</v>
      </c>
      <c r="O124" s="39">
        <v>0</v>
      </c>
      <c r="P124" s="39">
        <v>6</v>
      </c>
      <c r="Q124" s="39">
        <v>6</v>
      </c>
      <c r="R124" s="39">
        <v>6</v>
      </c>
      <c r="S124" s="39">
        <v>6</v>
      </c>
      <c r="T124" s="39">
        <v>6</v>
      </c>
      <c r="U124" s="39">
        <v>0</v>
      </c>
      <c r="V124" s="39">
        <v>30</v>
      </c>
      <c r="W124" s="39">
        <v>89010</v>
      </c>
      <c r="X124" s="39">
        <v>78218</v>
      </c>
      <c r="Y124" s="39">
        <v>1167531</v>
      </c>
      <c r="Z124" s="39" t="s">
        <v>375</v>
      </c>
      <c r="AA124" s="39" t="s">
        <v>119</v>
      </c>
      <c r="AB124" s="39">
        <v>66977</v>
      </c>
      <c r="AC124" s="39">
        <v>64118</v>
      </c>
      <c r="AD124" s="39" t="s">
        <v>737</v>
      </c>
      <c r="AE124" s="39" t="s">
        <v>738</v>
      </c>
      <c r="AF124" s="136">
        <v>43919</v>
      </c>
      <c r="AG124" s="39" t="s">
        <v>739</v>
      </c>
      <c r="AH124" s="39">
        <v>29290007</v>
      </c>
      <c r="AI124" s="39">
        <v>23292900074</v>
      </c>
      <c r="AJ124" s="46">
        <v>41582</v>
      </c>
      <c r="AK124" s="46">
        <v>43259</v>
      </c>
      <c r="AL124" s="47">
        <v>43262</v>
      </c>
      <c r="AM124" s="39">
        <v>2455</v>
      </c>
      <c r="AN124" s="137" t="s">
        <v>114</v>
      </c>
      <c r="AO124" s="141">
        <v>89957</v>
      </c>
      <c r="AP124" s="139" t="s">
        <v>115</v>
      </c>
      <c r="AQ124" s="142" t="s">
        <v>1611</v>
      </c>
    </row>
    <row r="125" spans="1:43" x14ac:dyDescent="0.25">
      <c r="A125" s="44" t="s">
        <v>71</v>
      </c>
      <c r="B125" s="39" t="s">
        <v>76</v>
      </c>
      <c r="C125" s="39" t="s">
        <v>740</v>
      </c>
      <c r="D125" s="39" t="s">
        <v>741</v>
      </c>
      <c r="E125" s="39" t="s">
        <v>40</v>
      </c>
      <c r="F125" s="39" t="s">
        <v>420</v>
      </c>
      <c r="G125" s="39" t="s">
        <v>420</v>
      </c>
      <c r="H125" s="39" t="s">
        <v>420</v>
      </c>
      <c r="I125" s="39" t="s">
        <v>420</v>
      </c>
      <c r="J125" s="39" t="s">
        <v>420</v>
      </c>
      <c r="K125" s="39" t="s">
        <v>40</v>
      </c>
      <c r="L125" s="135"/>
      <c r="M125" s="45"/>
      <c r="N125" s="39" t="s">
        <v>1605</v>
      </c>
      <c r="O125" s="39">
        <v>0</v>
      </c>
      <c r="P125" s="39">
        <v>6</v>
      </c>
      <c r="Q125" s="39">
        <v>6</v>
      </c>
      <c r="R125" s="39">
        <v>6</v>
      </c>
      <c r="S125" s="39">
        <v>6</v>
      </c>
      <c r="T125" s="39">
        <v>6</v>
      </c>
      <c r="U125" s="39">
        <v>0</v>
      </c>
      <c r="V125" s="39">
        <v>30</v>
      </c>
      <c r="W125" s="39">
        <v>89004</v>
      </c>
      <c r="X125" s="39">
        <v>65030</v>
      </c>
      <c r="Y125" s="39">
        <v>433692</v>
      </c>
      <c r="Z125" s="39" t="s">
        <v>247</v>
      </c>
      <c r="AA125" s="39" t="s">
        <v>259</v>
      </c>
      <c r="AB125" s="39">
        <v>66977</v>
      </c>
      <c r="AC125" s="39">
        <v>64118</v>
      </c>
      <c r="AD125" s="39" t="s">
        <v>742</v>
      </c>
      <c r="AE125" s="39" t="s">
        <v>743</v>
      </c>
      <c r="AF125" s="136">
        <v>43919</v>
      </c>
      <c r="AG125" s="39" t="s">
        <v>744</v>
      </c>
      <c r="AH125" s="39">
        <v>27016062</v>
      </c>
      <c r="AI125" s="39">
        <v>27270160625</v>
      </c>
      <c r="AJ125" s="46">
        <v>40000</v>
      </c>
      <c r="AK125" s="46">
        <v>43259</v>
      </c>
      <c r="AL125" s="47">
        <v>43262</v>
      </c>
      <c r="AM125" s="39">
        <v>4013</v>
      </c>
      <c r="AN125" s="137" t="s">
        <v>114</v>
      </c>
      <c r="AO125" s="141">
        <v>89958</v>
      </c>
      <c r="AP125" s="139" t="s">
        <v>115</v>
      </c>
      <c r="AQ125" s="142" t="s">
        <v>1611</v>
      </c>
    </row>
    <row r="126" spans="1:43" x14ac:dyDescent="0.25">
      <c r="A126" s="44" t="s">
        <v>71</v>
      </c>
      <c r="B126" s="39" t="s">
        <v>76</v>
      </c>
      <c r="C126" s="39" t="s">
        <v>565</v>
      </c>
      <c r="D126" s="39" t="s">
        <v>745</v>
      </c>
      <c r="E126" s="39" t="s">
        <v>40</v>
      </c>
      <c r="F126" s="39" t="s">
        <v>420</v>
      </c>
      <c r="G126" s="39" t="s">
        <v>420</v>
      </c>
      <c r="H126" s="39" t="s">
        <v>420</v>
      </c>
      <c r="I126" s="39" t="s">
        <v>420</v>
      </c>
      <c r="J126" s="39" t="s">
        <v>420</v>
      </c>
      <c r="K126" s="39" t="s">
        <v>40</v>
      </c>
      <c r="L126" s="135"/>
      <c r="M126" s="45"/>
      <c r="N126" s="39" t="s">
        <v>1605</v>
      </c>
      <c r="O126" s="39">
        <v>0</v>
      </c>
      <c r="P126" s="39">
        <v>6</v>
      </c>
      <c r="Q126" s="39">
        <v>6</v>
      </c>
      <c r="R126" s="39">
        <v>6</v>
      </c>
      <c r="S126" s="39">
        <v>6</v>
      </c>
      <c r="T126" s="39">
        <v>6</v>
      </c>
      <c r="U126" s="39">
        <v>0</v>
      </c>
      <c r="V126" s="39">
        <v>30</v>
      </c>
      <c r="W126" s="39">
        <v>89162</v>
      </c>
      <c r="X126" s="39">
        <v>86292</v>
      </c>
      <c r="Y126" s="39">
        <v>3133281</v>
      </c>
      <c r="Z126" s="39" t="s">
        <v>132</v>
      </c>
      <c r="AA126" s="39" t="s">
        <v>133</v>
      </c>
      <c r="AB126" s="39">
        <v>66977</v>
      </c>
      <c r="AC126" s="39">
        <v>64118</v>
      </c>
      <c r="AD126" s="39" t="s">
        <v>746</v>
      </c>
      <c r="AE126" s="39" t="s">
        <v>747</v>
      </c>
      <c r="AF126" s="136">
        <v>43917</v>
      </c>
      <c r="AG126" s="39" t="s">
        <v>748</v>
      </c>
      <c r="AH126" s="39">
        <v>39357619</v>
      </c>
      <c r="AI126" s="39">
        <v>27393576192</v>
      </c>
      <c r="AJ126" s="46">
        <v>43451</v>
      </c>
      <c r="AK126" s="46">
        <v>43451</v>
      </c>
      <c r="AL126" s="47">
        <v>43467</v>
      </c>
      <c r="AM126" s="39">
        <v>612</v>
      </c>
      <c r="AN126" s="137" t="s">
        <v>114</v>
      </c>
      <c r="AO126" s="141">
        <v>89798</v>
      </c>
      <c r="AP126" s="139" t="s">
        <v>115</v>
      </c>
      <c r="AQ126" s="142" t="s">
        <v>1611</v>
      </c>
    </row>
    <row r="127" spans="1:43" x14ac:dyDescent="0.25">
      <c r="A127" s="44" t="s">
        <v>71</v>
      </c>
      <c r="B127" s="39" t="s">
        <v>76</v>
      </c>
      <c r="C127" s="39" t="s">
        <v>576</v>
      </c>
      <c r="D127" s="39" t="s">
        <v>749</v>
      </c>
      <c r="E127" s="39" t="s">
        <v>40</v>
      </c>
      <c r="F127" s="39" t="s">
        <v>420</v>
      </c>
      <c r="G127" s="39" t="s">
        <v>420</v>
      </c>
      <c r="H127" s="39" t="s">
        <v>420</v>
      </c>
      <c r="I127" s="39" t="s">
        <v>420</v>
      </c>
      <c r="J127" s="39" t="s">
        <v>420</v>
      </c>
      <c r="K127" s="39" t="s">
        <v>40</v>
      </c>
      <c r="L127" s="135"/>
      <c r="M127" s="45"/>
      <c r="N127" s="39" t="s">
        <v>1605</v>
      </c>
      <c r="O127" s="39">
        <v>0</v>
      </c>
      <c r="P127" s="39">
        <v>6</v>
      </c>
      <c r="Q127" s="39">
        <v>6</v>
      </c>
      <c r="R127" s="39">
        <v>6</v>
      </c>
      <c r="S127" s="39">
        <v>6</v>
      </c>
      <c r="T127" s="39">
        <v>6</v>
      </c>
      <c r="U127" s="39">
        <v>0</v>
      </c>
      <c r="V127" s="39">
        <v>30</v>
      </c>
      <c r="W127" s="39">
        <v>89127</v>
      </c>
      <c r="X127" s="39">
        <v>86143</v>
      </c>
      <c r="Y127" s="39">
        <v>3118251</v>
      </c>
      <c r="Z127" s="39" t="s">
        <v>109</v>
      </c>
      <c r="AA127" s="39" t="s">
        <v>110</v>
      </c>
      <c r="AB127" s="39">
        <v>66977</v>
      </c>
      <c r="AC127" s="39">
        <v>64118</v>
      </c>
      <c r="AD127" s="39" t="s">
        <v>750</v>
      </c>
      <c r="AE127" s="39" t="s">
        <v>751</v>
      </c>
      <c r="AF127" s="136">
        <v>43910</v>
      </c>
      <c r="AG127" s="39" t="s">
        <v>752</v>
      </c>
      <c r="AH127" s="39">
        <v>33755672</v>
      </c>
      <c r="AI127" s="39">
        <v>27337556723</v>
      </c>
      <c r="AJ127" s="46">
        <v>43437</v>
      </c>
      <c r="AK127" s="46">
        <v>43437</v>
      </c>
      <c r="AL127" s="47">
        <v>43448</v>
      </c>
      <c r="AM127" s="39">
        <v>626</v>
      </c>
      <c r="AN127" s="137" t="s">
        <v>114</v>
      </c>
      <c r="AO127" s="141">
        <v>89959</v>
      </c>
      <c r="AP127" s="139" t="s">
        <v>115</v>
      </c>
      <c r="AQ127" s="142" t="s">
        <v>1611</v>
      </c>
    </row>
    <row r="128" spans="1:43" x14ac:dyDescent="0.25">
      <c r="A128" s="44" t="s">
        <v>71</v>
      </c>
      <c r="B128" s="39" t="s">
        <v>76</v>
      </c>
      <c r="C128" s="39" t="s">
        <v>753</v>
      </c>
      <c r="D128" s="39" t="s">
        <v>754</v>
      </c>
      <c r="E128" s="39" t="s">
        <v>40</v>
      </c>
      <c r="F128" s="39" t="s">
        <v>420</v>
      </c>
      <c r="G128" s="39" t="s">
        <v>420</v>
      </c>
      <c r="H128" s="39" t="s">
        <v>420</v>
      </c>
      <c r="I128" s="39" t="s">
        <v>420</v>
      </c>
      <c r="J128" s="39" t="s">
        <v>420</v>
      </c>
      <c r="K128" s="39" t="s">
        <v>40</v>
      </c>
      <c r="L128" s="135"/>
      <c r="M128" s="45"/>
      <c r="N128" s="39" t="s">
        <v>1605</v>
      </c>
      <c r="O128" s="39">
        <v>0</v>
      </c>
      <c r="P128" s="39">
        <v>6</v>
      </c>
      <c r="Q128" s="39">
        <v>6</v>
      </c>
      <c r="R128" s="39">
        <v>6</v>
      </c>
      <c r="S128" s="39">
        <v>6</v>
      </c>
      <c r="T128" s="39">
        <v>6</v>
      </c>
      <c r="U128" s="39">
        <v>0</v>
      </c>
      <c r="V128" s="39">
        <v>30</v>
      </c>
      <c r="W128" s="39">
        <v>89086</v>
      </c>
      <c r="X128" s="39">
        <v>82628</v>
      </c>
      <c r="Y128" s="39">
        <v>2313063</v>
      </c>
      <c r="Z128" s="39" t="s">
        <v>109</v>
      </c>
      <c r="AA128" s="39" t="s">
        <v>109</v>
      </c>
      <c r="AB128" s="39">
        <v>66977</v>
      </c>
      <c r="AC128" s="39">
        <v>64118</v>
      </c>
      <c r="AD128" s="39" t="s">
        <v>755</v>
      </c>
      <c r="AE128" s="39" t="s">
        <v>756</v>
      </c>
      <c r="AF128" s="136">
        <v>43919</v>
      </c>
      <c r="AG128" s="39" t="s">
        <v>757</v>
      </c>
      <c r="AH128" s="39">
        <v>25255663</v>
      </c>
      <c r="AI128" s="39">
        <v>27252556635</v>
      </c>
      <c r="AJ128" s="46">
        <v>42688</v>
      </c>
      <c r="AK128" s="46">
        <v>43409</v>
      </c>
      <c r="AL128" s="47">
        <v>43423</v>
      </c>
      <c r="AM128" s="39">
        <v>1365</v>
      </c>
      <c r="AN128" s="137" t="s">
        <v>114</v>
      </c>
      <c r="AO128" s="141">
        <v>89960</v>
      </c>
      <c r="AP128" s="139" t="s">
        <v>115</v>
      </c>
      <c r="AQ128" s="142" t="s">
        <v>1611</v>
      </c>
    </row>
    <row r="129" spans="1:43" x14ac:dyDescent="0.25">
      <c r="A129" s="44" t="s">
        <v>71</v>
      </c>
      <c r="B129" s="39" t="s">
        <v>76</v>
      </c>
      <c r="C129" s="39" t="s">
        <v>758</v>
      </c>
      <c r="D129" s="39" t="s">
        <v>759</v>
      </c>
      <c r="E129" s="39" t="s">
        <v>40</v>
      </c>
      <c r="F129" s="39" t="s">
        <v>420</v>
      </c>
      <c r="G129" s="39" t="s">
        <v>420</v>
      </c>
      <c r="H129" s="39" t="s">
        <v>420</v>
      </c>
      <c r="I129" s="39" t="s">
        <v>420</v>
      </c>
      <c r="J129" s="39" t="s">
        <v>420</v>
      </c>
      <c r="K129" s="39" t="s">
        <v>40</v>
      </c>
      <c r="L129" s="135"/>
      <c r="M129" s="45"/>
      <c r="N129" s="39" t="s">
        <v>1605</v>
      </c>
      <c r="O129" s="39">
        <v>0</v>
      </c>
      <c r="P129" s="39">
        <v>6</v>
      </c>
      <c r="Q129" s="39">
        <v>6</v>
      </c>
      <c r="R129" s="39">
        <v>6</v>
      </c>
      <c r="S129" s="39">
        <v>6</v>
      </c>
      <c r="T129" s="39">
        <v>6</v>
      </c>
      <c r="U129" s="39">
        <v>0</v>
      </c>
      <c r="V129" s="39">
        <v>30</v>
      </c>
      <c r="W129" s="39">
        <v>89005</v>
      </c>
      <c r="X129" s="39">
        <v>80059</v>
      </c>
      <c r="Y129" s="39">
        <v>1535349</v>
      </c>
      <c r="Z129" s="39" t="s">
        <v>375</v>
      </c>
      <c r="AA129" s="39" t="s">
        <v>119</v>
      </c>
      <c r="AB129" s="39">
        <v>66977</v>
      </c>
      <c r="AC129" s="39">
        <v>64118</v>
      </c>
      <c r="AD129" s="39" t="s">
        <v>760</v>
      </c>
      <c r="AE129" s="39" t="s">
        <v>761</v>
      </c>
      <c r="AF129" s="136">
        <v>43945</v>
      </c>
      <c r="AG129" s="39" t="s">
        <v>762</v>
      </c>
      <c r="AH129" s="39">
        <v>36583773</v>
      </c>
      <c r="AI129" s="39">
        <v>27365837738</v>
      </c>
      <c r="AJ129" s="46">
        <v>42009</v>
      </c>
      <c r="AK129" s="46">
        <v>43259</v>
      </c>
      <c r="AL129" s="47">
        <v>43262</v>
      </c>
      <c r="AM129" s="39">
        <v>2034</v>
      </c>
      <c r="AN129" s="137" t="s">
        <v>114</v>
      </c>
      <c r="AO129" s="141">
        <v>89961</v>
      </c>
      <c r="AP129" s="139" t="s">
        <v>115</v>
      </c>
      <c r="AQ129" s="142" t="s">
        <v>1611</v>
      </c>
    </row>
    <row r="130" spans="1:43" x14ac:dyDescent="0.25">
      <c r="A130" s="44" t="s">
        <v>71</v>
      </c>
      <c r="B130" s="39" t="s">
        <v>76</v>
      </c>
      <c r="C130" s="39" t="s">
        <v>763</v>
      </c>
      <c r="D130" s="39" t="s">
        <v>764</v>
      </c>
      <c r="E130" s="39" t="s">
        <v>40</v>
      </c>
      <c r="F130" s="39" t="s">
        <v>420</v>
      </c>
      <c r="G130" s="39" t="s">
        <v>420</v>
      </c>
      <c r="H130" s="39" t="s">
        <v>420</v>
      </c>
      <c r="I130" s="39" t="s">
        <v>420</v>
      </c>
      <c r="J130" s="39" t="s">
        <v>420</v>
      </c>
      <c r="K130" s="39" t="s">
        <v>40</v>
      </c>
      <c r="L130" s="135"/>
      <c r="M130" s="45"/>
      <c r="N130" s="39" t="s">
        <v>1605</v>
      </c>
      <c r="O130" s="39">
        <v>0</v>
      </c>
      <c r="P130" s="39">
        <v>6</v>
      </c>
      <c r="Q130" s="39">
        <v>6</v>
      </c>
      <c r="R130" s="39">
        <v>6</v>
      </c>
      <c r="S130" s="39">
        <v>6</v>
      </c>
      <c r="T130" s="39">
        <v>6</v>
      </c>
      <c r="U130" s="39">
        <v>0</v>
      </c>
      <c r="V130" s="39">
        <v>30</v>
      </c>
      <c r="W130" s="39">
        <v>89190</v>
      </c>
      <c r="X130" s="39">
        <v>86338</v>
      </c>
      <c r="Y130" s="39">
        <v>3138452</v>
      </c>
      <c r="Z130" s="39" t="s">
        <v>109</v>
      </c>
      <c r="AA130" s="39" t="s">
        <v>109</v>
      </c>
      <c r="AB130" s="39">
        <v>66977</v>
      </c>
      <c r="AC130" s="39">
        <v>64118</v>
      </c>
      <c r="AD130" s="39" t="s">
        <v>765</v>
      </c>
      <c r="AE130" s="39" t="s">
        <v>766</v>
      </c>
      <c r="AF130" s="136">
        <v>43915</v>
      </c>
      <c r="AG130" s="39" t="s">
        <v>767</v>
      </c>
      <c r="AH130" s="39">
        <v>39575371</v>
      </c>
      <c r="AI130" s="39">
        <v>27395753717</v>
      </c>
      <c r="AJ130" s="46">
        <v>43460</v>
      </c>
      <c r="AK130" s="46">
        <v>43460</v>
      </c>
      <c r="AL130" s="47">
        <v>43476</v>
      </c>
      <c r="AM130" s="39">
        <v>603</v>
      </c>
      <c r="AN130" s="137" t="s">
        <v>114</v>
      </c>
      <c r="AO130" s="141">
        <v>89962</v>
      </c>
      <c r="AP130" s="139" t="s">
        <v>115</v>
      </c>
      <c r="AQ130" s="142" t="s">
        <v>1611</v>
      </c>
    </row>
    <row r="131" spans="1:43" x14ac:dyDescent="0.25">
      <c r="A131" s="42" t="s">
        <v>71</v>
      </c>
      <c r="B131" s="41" t="s">
        <v>76</v>
      </c>
      <c r="C131" s="41" t="s">
        <v>768</v>
      </c>
      <c r="D131" s="41" t="s">
        <v>769</v>
      </c>
      <c r="E131" s="41" t="s">
        <v>40</v>
      </c>
      <c r="F131" s="41" t="s">
        <v>52</v>
      </c>
      <c r="G131" s="41" t="s">
        <v>52</v>
      </c>
      <c r="H131" s="41" t="s">
        <v>52</v>
      </c>
      <c r="I131" s="41" t="s">
        <v>420</v>
      </c>
      <c r="J131" s="41" t="s">
        <v>420</v>
      </c>
      <c r="K131" s="41" t="s">
        <v>40</v>
      </c>
      <c r="L131" s="135"/>
      <c r="M131" s="45" t="s">
        <v>1621</v>
      </c>
      <c r="N131" s="39" t="s">
        <v>1605</v>
      </c>
      <c r="O131" s="39">
        <v>0</v>
      </c>
      <c r="P131" s="39">
        <v>0</v>
      </c>
      <c r="Q131" s="39">
        <v>0</v>
      </c>
      <c r="R131" s="39">
        <v>0</v>
      </c>
      <c r="S131" s="39">
        <v>6</v>
      </c>
      <c r="T131" s="39">
        <v>6</v>
      </c>
      <c r="U131" s="39">
        <v>0</v>
      </c>
      <c r="V131" s="39">
        <v>12</v>
      </c>
      <c r="W131" s="39">
        <v>89093</v>
      </c>
      <c r="X131" s="39">
        <v>83709</v>
      </c>
      <c r="Y131" s="39">
        <v>2557023</v>
      </c>
      <c r="Z131" s="39" t="s">
        <v>109</v>
      </c>
      <c r="AA131" s="39" t="s">
        <v>109</v>
      </c>
      <c r="AB131" s="39">
        <v>66977</v>
      </c>
      <c r="AC131" s="39">
        <v>64118</v>
      </c>
      <c r="AD131" s="39" t="s">
        <v>770</v>
      </c>
      <c r="AE131" s="39" t="s">
        <v>771</v>
      </c>
      <c r="AF131" s="136">
        <v>43945</v>
      </c>
      <c r="AG131" s="39" t="s">
        <v>772</v>
      </c>
      <c r="AH131" s="39">
        <v>40237972</v>
      </c>
      <c r="AI131" s="39">
        <v>27402379729</v>
      </c>
      <c r="AJ131" s="46">
        <v>42919</v>
      </c>
      <c r="AK131" s="46">
        <v>43409</v>
      </c>
      <c r="AL131" s="47">
        <v>43423</v>
      </c>
      <c r="AM131" s="39">
        <v>1136</v>
      </c>
      <c r="AN131" s="137" t="s">
        <v>114</v>
      </c>
      <c r="AO131" s="141">
        <v>89963</v>
      </c>
      <c r="AP131" s="139" t="s">
        <v>115</v>
      </c>
      <c r="AQ131" s="142" t="s">
        <v>1611</v>
      </c>
    </row>
    <row r="132" spans="1:43" x14ac:dyDescent="0.25">
      <c r="A132" s="44" t="s">
        <v>71</v>
      </c>
      <c r="B132" s="39" t="s">
        <v>76</v>
      </c>
      <c r="C132" s="39" t="s">
        <v>773</v>
      </c>
      <c r="D132" s="39" t="s">
        <v>774</v>
      </c>
      <c r="E132" s="39" t="s">
        <v>40</v>
      </c>
      <c r="F132" s="39" t="s">
        <v>420</v>
      </c>
      <c r="G132" s="39" t="s">
        <v>420</v>
      </c>
      <c r="H132" s="39" t="s">
        <v>420</v>
      </c>
      <c r="I132" s="39" t="s">
        <v>420</v>
      </c>
      <c r="J132" s="39" t="s">
        <v>420</v>
      </c>
      <c r="K132" s="39" t="s">
        <v>40</v>
      </c>
      <c r="L132" s="135"/>
      <c r="M132" s="45"/>
      <c r="N132" s="39" t="s">
        <v>1605</v>
      </c>
      <c r="O132" s="39">
        <v>0</v>
      </c>
      <c r="P132" s="39">
        <v>6</v>
      </c>
      <c r="Q132" s="39">
        <v>6</v>
      </c>
      <c r="R132" s="39">
        <v>6</v>
      </c>
      <c r="S132" s="39">
        <v>6</v>
      </c>
      <c r="T132" s="39">
        <v>6</v>
      </c>
      <c r="U132" s="39">
        <v>0</v>
      </c>
      <c r="V132" s="39">
        <v>30</v>
      </c>
      <c r="W132" s="39">
        <v>89033</v>
      </c>
      <c r="X132" s="39">
        <v>80925</v>
      </c>
      <c r="Y132" s="39">
        <v>1846621</v>
      </c>
      <c r="Z132" s="39" t="s">
        <v>132</v>
      </c>
      <c r="AA132" s="39" t="s">
        <v>133</v>
      </c>
      <c r="AB132" s="39">
        <v>66977</v>
      </c>
      <c r="AC132" s="39">
        <v>64118</v>
      </c>
      <c r="AD132" s="39" t="s">
        <v>775</v>
      </c>
      <c r="AE132" s="39" t="s">
        <v>776</v>
      </c>
      <c r="AF132" s="136">
        <v>43916</v>
      </c>
      <c r="AG132" s="39" t="s">
        <v>777</v>
      </c>
      <c r="AH132" s="39">
        <v>38745124</v>
      </c>
      <c r="AI132" s="39">
        <v>20387451243</v>
      </c>
      <c r="AJ132" s="46">
        <v>42282</v>
      </c>
      <c r="AK132" s="46">
        <v>43327</v>
      </c>
      <c r="AL132" s="47">
        <v>43328</v>
      </c>
      <c r="AM132" s="39">
        <v>1764</v>
      </c>
      <c r="AN132" s="137" t="s">
        <v>114</v>
      </c>
      <c r="AO132" s="141">
        <v>89964</v>
      </c>
      <c r="AP132" s="139" t="s">
        <v>115</v>
      </c>
      <c r="AQ132" s="142" t="s">
        <v>1611</v>
      </c>
    </row>
    <row r="133" spans="1:43" x14ac:dyDescent="0.25">
      <c r="A133" s="44" t="s">
        <v>71</v>
      </c>
      <c r="B133" s="39" t="s">
        <v>76</v>
      </c>
      <c r="C133" s="39" t="s">
        <v>778</v>
      </c>
      <c r="D133" s="39" t="s">
        <v>779</v>
      </c>
      <c r="E133" s="39" t="s">
        <v>40</v>
      </c>
      <c r="F133" s="39" t="s">
        <v>420</v>
      </c>
      <c r="G133" s="39" t="s">
        <v>420</v>
      </c>
      <c r="H133" s="39" t="s">
        <v>420</v>
      </c>
      <c r="I133" s="39" t="s">
        <v>420</v>
      </c>
      <c r="J133" s="39" t="s">
        <v>420</v>
      </c>
      <c r="K133" s="39" t="s">
        <v>40</v>
      </c>
      <c r="L133" s="135"/>
      <c r="M133" s="45"/>
      <c r="N133" s="39" t="s">
        <v>1605</v>
      </c>
      <c r="O133" s="39">
        <v>0</v>
      </c>
      <c r="P133" s="39">
        <v>6</v>
      </c>
      <c r="Q133" s="39">
        <v>6</v>
      </c>
      <c r="R133" s="39">
        <v>6</v>
      </c>
      <c r="S133" s="39">
        <v>6</v>
      </c>
      <c r="T133" s="39">
        <v>6</v>
      </c>
      <c r="U133" s="39">
        <v>0</v>
      </c>
      <c r="V133" s="39">
        <v>30</v>
      </c>
      <c r="W133" s="39">
        <v>89130</v>
      </c>
      <c r="X133" s="39">
        <v>86149</v>
      </c>
      <c r="Y133" s="39">
        <v>1947342</v>
      </c>
      <c r="Z133" s="39" t="s">
        <v>132</v>
      </c>
      <c r="AA133" s="39" t="s">
        <v>182</v>
      </c>
      <c r="AB133" s="39">
        <v>66977</v>
      </c>
      <c r="AC133" s="39">
        <v>64118</v>
      </c>
      <c r="AD133" s="39" t="s">
        <v>780</v>
      </c>
      <c r="AE133" s="39" t="s">
        <v>781</v>
      </c>
      <c r="AF133" s="136">
        <v>43934</v>
      </c>
      <c r="AG133" s="39" t="s">
        <v>782</v>
      </c>
      <c r="AH133" s="39">
        <v>37927030</v>
      </c>
      <c r="AI133" s="39">
        <v>27379270307</v>
      </c>
      <c r="AJ133" s="46">
        <v>43437</v>
      </c>
      <c r="AK133" s="46">
        <v>43437</v>
      </c>
      <c r="AL133" s="47">
        <v>43448</v>
      </c>
      <c r="AM133" s="39">
        <v>626</v>
      </c>
      <c r="AN133" s="137" t="s">
        <v>114</v>
      </c>
      <c r="AO133" s="141">
        <v>89965</v>
      </c>
      <c r="AP133" s="139" t="s">
        <v>115</v>
      </c>
      <c r="AQ133" s="142" t="s">
        <v>1611</v>
      </c>
    </row>
    <row r="134" spans="1:43" x14ac:dyDescent="0.25">
      <c r="A134" s="44" t="s">
        <v>71</v>
      </c>
      <c r="B134" s="39" t="s">
        <v>76</v>
      </c>
      <c r="C134" s="39" t="s">
        <v>783</v>
      </c>
      <c r="D134" s="39" t="s">
        <v>784</v>
      </c>
      <c r="E134" s="39" t="s">
        <v>40</v>
      </c>
      <c r="F134" s="39" t="s">
        <v>52</v>
      </c>
      <c r="G134" s="39" t="s">
        <v>52</v>
      </c>
      <c r="H134" s="39" t="s">
        <v>52</v>
      </c>
      <c r="I134" s="39" t="s">
        <v>52</v>
      </c>
      <c r="J134" s="39" t="s">
        <v>52</v>
      </c>
      <c r="K134" s="39" t="s">
        <v>40</v>
      </c>
      <c r="L134" s="135"/>
      <c r="M134" s="45" t="s">
        <v>599</v>
      </c>
      <c r="N134" s="39" t="s">
        <v>1605</v>
      </c>
      <c r="O134" s="39">
        <v>0</v>
      </c>
      <c r="P134" s="39">
        <v>0</v>
      </c>
      <c r="Q134" s="39">
        <v>0</v>
      </c>
      <c r="R134" s="39">
        <v>0</v>
      </c>
      <c r="S134" s="39">
        <v>0</v>
      </c>
      <c r="T134" s="39">
        <v>0</v>
      </c>
      <c r="U134" s="39">
        <v>0</v>
      </c>
      <c r="V134" s="39">
        <v>0</v>
      </c>
      <c r="W134" s="39">
        <v>89015</v>
      </c>
      <c r="X134" s="39">
        <v>85607</v>
      </c>
      <c r="Y134" s="39">
        <v>2873901</v>
      </c>
      <c r="Z134" s="39" t="s">
        <v>118</v>
      </c>
      <c r="AA134" s="39" t="s">
        <v>119</v>
      </c>
      <c r="AB134" s="39">
        <v>66977</v>
      </c>
      <c r="AC134" s="39">
        <v>64118</v>
      </c>
      <c r="AD134" s="39" t="s">
        <v>785</v>
      </c>
      <c r="AE134" s="39" t="s">
        <v>786</v>
      </c>
      <c r="AF134" s="136">
        <v>43945</v>
      </c>
      <c r="AG134" s="39" t="s">
        <v>787</v>
      </c>
      <c r="AH134" s="39">
        <v>37728242</v>
      </c>
      <c r="AI134" s="39">
        <v>27377282421</v>
      </c>
      <c r="AJ134" s="46">
        <v>43227</v>
      </c>
      <c r="AK134" s="46">
        <v>43259</v>
      </c>
      <c r="AL134" s="47">
        <v>43262</v>
      </c>
      <c r="AM134" s="39">
        <v>832</v>
      </c>
      <c r="AN134" s="137" t="s">
        <v>114</v>
      </c>
      <c r="AO134" s="141">
        <v>89978</v>
      </c>
      <c r="AP134" s="139" t="s">
        <v>115</v>
      </c>
      <c r="AQ134" s="142" t="s">
        <v>1611</v>
      </c>
    </row>
    <row r="135" spans="1:43" x14ac:dyDescent="0.25">
      <c r="A135" s="44" t="s">
        <v>71</v>
      </c>
      <c r="B135" s="39" t="s">
        <v>76</v>
      </c>
      <c r="C135" s="39" t="s">
        <v>788</v>
      </c>
      <c r="D135" s="39" t="s">
        <v>789</v>
      </c>
      <c r="E135" s="39" t="s">
        <v>40</v>
      </c>
      <c r="F135" s="39" t="s">
        <v>420</v>
      </c>
      <c r="G135" s="39" t="s">
        <v>420</v>
      </c>
      <c r="H135" s="39" t="s">
        <v>420</v>
      </c>
      <c r="I135" s="39" t="s">
        <v>420</v>
      </c>
      <c r="J135" s="39" t="s">
        <v>420</v>
      </c>
      <c r="K135" s="39" t="s">
        <v>40</v>
      </c>
      <c r="L135" s="135"/>
      <c r="M135" s="45"/>
      <c r="N135" s="39" t="s">
        <v>1605</v>
      </c>
      <c r="O135" s="39">
        <v>0</v>
      </c>
      <c r="P135" s="39">
        <v>6</v>
      </c>
      <c r="Q135" s="39">
        <v>6</v>
      </c>
      <c r="R135" s="39">
        <v>6</v>
      </c>
      <c r="S135" s="39">
        <v>6</v>
      </c>
      <c r="T135" s="39">
        <v>6</v>
      </c>
      <c r="U135" s="39">
        <v>0</v>
      </c>
      <c r="V135" s="39">
        <v>30</v>
      </c>
      <c r="W135" s="39">
        <v>89171</v>
      </c>
      <c r="X135" s="39">
        <v>86280</v>
      </c>
      <c r="Y135" s="39">
        <v>3133230</v>
      </c>
      <c r="Z135" s="39" t="s">
        <v>109</v>
      </c>
      <c r="AA135" s="39" t="s">
        <v>110</v>
      </c>
      <c r="AB135" s="39">
        <v>66977</v>
      </c>
      <c r="AC135" s="39">
        <v>64118</v>
      </c>
      <c r="AD135" s="39" t="s">
        <v>790</v>
      </c>
      <c r="AE135" s="39" t="s">
        <v>791</v>
      </c>
      <c r="AF135" s="136">
        <v>43921</v>
      </c>
      <c r="AG135" s="39" t="s">
        <v>792</v>
      </c>
      <c r="AH135" s="39">
        <v>39573437</v>
      </c>
      <c r="AI135" s="39">
        <v>27395734372</v>
      </c>
      <c r="AJ135" s="46">
        <v>43451</v>
      </c>
      <c r="AK135" s="46">
        <v>43451</v>
      </c>
      <c r="AL135" s="47">
        <v>43467</v>
      </c>
      <c r="AM135" s="39">
        <v>612</v>
      </c>
      <c r="AN135" s="137" t="s">
        <v>114</v>
      </c>
      <c r="AO135" s="141">
        <v>89980</v>
      </c>
      <c r="AP135" s="139" t="s">
        <v>115</v>
      </c>
      <c r="AQ135" s="142" t="s">
        <v>1611</v>
      </c>
    </row>
    <row r="136" spans="1:43" x14ac:dyDescent="0.25">
      <c r="A136" s="44" t="s">
        <v>71</v>
      </c>
      <c r="B136" s="39" t="s">
        <v>76</v>
      </c>
      <c r="C136" s="39" t="s">
        <v>793</v>
      </c>
      <c r="D136" s="39" t="s">
        <v>794</v>
      </c>
      <c r="E136" s="39" t="s">
        <v>40</v>
      </c>
      <c r="F136" s="39" t="s">
        <v>420</v>
      </c>
      <c r="G136" s="39" t="s">
        <v>420</v>
      </c>
      <c r="H136" s="39" t="s">
        <v>420</v>
      </c>
      <c r="I136" s="39" t="s">
        <v>420</v>
      </c>
      <c r="J136" s="39" t="s">
        <v>420</v>
      </c>
      <c r="K136" s="39" t="s">
        <v>40</v>
      </c>
      <c r="L136" s="135"/>
      <c r="M136" s="45"/>
      <c r="N136" s="39" t="s">
        <v>1605</v>
      </c>
      <c r="O136" s="39">
        <v>0</v>
      </c>
      <c r="P136" s="39">
        <v>6</v>
      </c>
      <c r="Q136" s="39">
        <v>6</v>
      </c>
      <c r="R136" s="39">
        <v>6</v>
      </c>
      <c r="S136" s="39">
        <v>6</v>
      </c>
      <c r="T136" s="39">
        <v>6</v>
      </c>
      <c r="U136" s="39">
        <v>0</v>
      </c>
      <c r="V136" s="39">
        <v>30</v>
      </c>
      <c r="W136" s="39">
        <v>89172</v>
      </c>
      <c r="X136" s="39">
        <v>86295</v>
      </c>
      <c r="Y136" s="39">
        <v>3133292</v>
      </c>
      <c r="Z136" s="39" t="s">
        <v>109</v>
      </c>
      <c r="AA136" s="39" t="s">
        <v>110</v>
      </c>
      <c r="AB136" s="39">
        <v>66977</v>
      </c>
      <c r="AC136" s="39">
        <v>64118</v>
      </c>
      <c r="AD136" s="39" t="s">
        <v>795</v>
      </c>
      <c r="AE136" s="39" t="s">
        <v>796</v>
      </c>
      <c r="AF136" s="136">
        <v>43910</v>
      </c>
      <c r="AG136" s="39" t="s">
        <v>797</v>
      </c>
      <c r="AH136" s="39">
        <v>43037646</v>
      </c>
      <c r="AI136" s="39">
        <v>20430376463</v>
      </c>
      <c r="AJ136" s="46">
        <v>43451</v>
      </c>
      <c r="AK136" s="46">
        <v>43451</v>
      </c>
      <c r="AL136" s="47">
        <v>43467</v>
      </c>
      <c r="AM136" s="39">
        <v>612</v>
      </c>
      <c r="AN136" s="137" t="s">
        <v>114</v>
      </c>
      <c r="AO136" s="141">
        <v>89966</v>
      </c>
      <c r="AP136" s="139" t="s">
        <v>115</v>
      </c>
      <c r="AQ136" s="142" t="s">
        <v>1611</v>
      </c>
    </row>
    <row r="137" spans="1:43" x14ac:dyDescent="0.25">
      <c r="A137" s="42" t="s">
        <v>71</v>
      </c>
      <c r="B137" s="41" t="s">
        <v>76</v>
      </c>
      <c r="C137" s="41" t="s">
        <v>798</v>
      </c>
      <c r="D137" s="41" t="s">
        <v>669</v>
      </c>
      <c r="E137" s="41" t="s">
        <v>40</v>
      </c>
      <c r="F137" s="41" t="s">
        <v>52</v>
      </c>
      <c r="G137" s="41" t="s">
        <v>52</v>
      </c>
      <c r="H137" s="41" t="s">
        <v>52</v>
      </c>
      <c r="I137" s="41" t="s">
        <v>420</v>
      </c>
      <c r="J137" s="41" t="s">
        <v>420</v>
      </c>
      <c r="K137" s="41" t="s">
        <v>40</v>
      </c>
      <c r="L137" s="135"/>
      <c r="M137" s="45" t="s">
        <v>1621</v>
      </c>
      <c r="N137" s="39" t="s">
        <v>1605</v>
      </c>
      <c r="O137" s="39">
        <v>0</v>
      </c>
      <c r="P137" s="39">
        <v>0</v>
      </c>
      <c r="Q137" s="39">
        <v>0</v>
      </c>
      <c r="R137" s="39">
        <v>0</v>
      </c>
      <c r="S137" s="39">
        <v>6</v>
      </c>
      <c r="T137" s="39">
        <v>6</v>
      </c>
      <c r="U137" s="39">
        <v>0</v>
      </c>
      <c r="V137" s="39">
        <v>12</v>
      </c>
      <c r="W137" s="39">
        <v>89034</v>
      </c>
      <c r="X137" s="39">
        <v>80985</v>
      </c>
      <c r="Y137" s="39">
        <v>1880542</v>
      </c>
      <c r="Z137" s="39" t="s">
        <v>109</v>
      </c>
      <c r="AA137" s="39" t="s">
        <v>109</v>
      </c>
      <c r="AB137" s="39">
        <v>66977</v>
      </c>
      <c r="AC137" s="39">
        <v>64118</v>
      </c>
      <c r="AD137" s="39" t="s">
        <v>799</v>
      </c>
      <c r="AE137" s="39" t="s">
        <v>800</v>
      </c>
      <c r="AF137" s="136">
        <v>43945</v>
      </c>
      <c r="AG137" s="39" t="s">
        <v>801</v>
      </c>
      <c r="AH137" s="39">
        <v>34133058</v>
      </c>
      <c r="AI137" s="39">
        <v>27341330586</v>
      </c>
      <c r="AJ137" s="46">
        <v>42310</v>
      </c>
      <c r="AK137" s="46">
        <v>43327</v>
      </c>
      <c r="AL137" s="47">
        <v>43328</v>
      </c>
      <c r="AM137" s="39">
        <v>1737</v>
      </c>
      <c r="AN137" s="137" t="s">
        <v>114</v>
      </c>
      <c r="AO137" s="141">
        <v>89967</v>
      </c>
      <c r="AP137" s="139" t="s">
        <v>115</v>
      </c>
      <c r="AQ137" s="142" t="s">
        <v>1611</v>
      </c>
    </row>
    <row r="138" spans="1:43" x14ac:dyDescent="0.25">
      <c r="A138" s="42" t="s">
        <v>71</v>
      </c>
      <c r="B138" s="41" t="s">
        <v>76</v>
      </c>
      <c r="C138" s="41" t="s">
        <v>802</v>
      </c>
      <c r="D138" s="41" t="s">
        <v>803</v>
      </c>
      <c r="E138" s="41" t="s">
        <v>40</v>
      </c>
      <c r="F138" s="41" t="s">
        <v>52</v>
      </c>
      <c r="G138" s="41" t="s">
        <v>52</v>
      </c>
      <c r="H138" s="41" t="s">
        <v>52</v>
      </c>
      <c r="I138" s="41" t="s">
        <v>420</v>
      </c>
      <c r="J138" s="41" t="s">
        <v>420</v>
      </c>
      <c r="K138" s="41" t="s">
        <v>40</v>
      </c>
      <c r="L138" s="135"/>
      <c r="M138" s="45" t="s">
        <v>1621</v>
      </c>
      <c r="N138" s="39" t="s">
        <v>1605</v>
      </c>
      <c r="O138" s="39">
        <v>0</v>
      </c>
      <c r="P138" s="39">
        <v>0</v>
      </c>
      <c r="Q138" s="39">
        <v>0</v>
      </c>
      <c r="R138" s="39">
        <v>0</v>
      </c>
      <c r="S138" s="39">
        <v>6</v>
      </c>
      <c r="T138" s="39">
        <v>6</v>
      </c>
      <c r="U138" s="39">
        <v>0</v>
      </c>
      <c r="V138" s="39">
        <v>12</v>
      </c>
      <c r="W138" s="39">
        <v>89134</v>
      </c>
      <c r="X138" s="39">
        <v>86146</v>
      </c>
      <c r="Y138" s="39">
        <v>3118276</v>
      </c>
      <c r="Z138" s="39" t="s">
        <v>109</v>
      </c>
      <c r="AA138" s="39" t="s">
        <v>109</v>
      </c>
      <c r="AB138" s="39">
        <v>66977</v>
      </c>
      <c r="AC138" s="39">
        <v>64118</v>
      </c>
      <c r="AD138" s="39" t="s">
        <v>804</v>
      </c>
      <c r="AE138" s="39" t="s">
        <v>805</v>
      </c>
      <c r="AF138" s="136">
        <v>43919</v>
      </c>
      <c r="AG138" s="39" t="s">
        <v>806</v>
      </c>
      <c r="AH138" s="39">
        <v>41299933</v>
      </c>
      <c r="AI138" s="39">
        <v>27412999334</v>
      </c>
      <c r="AJ138" s="46">
        <v>43437</v>
      </c>
      <c r="AK138" s="46">
        <v>43437</v>
      </c>
      <c r="AL138" s="47">
        <v>43448</v>
      </c>
      <c r="AM138" s="39">
        <v>626</v>
      </c>
      <c r="AN138" s="137" t="s">
        <v>114</v>
      </c>
      <c r="AO138" s="141">
        <v>89968</v>
      </c>
      <c r="AP138" s="139" t="s">
        <v>115</v>
      </c>
      <c r="AQ138" s="142" t="s">
        <v>1611</v>
      </c>
    </row>
    <row r="139" spans="1:43" x14ac:dyDescent="0.25">
      <c r="A139" s="44" t="s">
        <v>71</v>
      </c>
      <c r="B139" s="39" t="s">
        <v>78</v>
      </c>
      <c r="C139" s="39" t="s">
        <v>439</v>
      </c>
      <c r="D139" s="39" t="s">
        <v>807</v>
      </c>
      <c r="E139" s="39" t="s">
        <v>40</v>
      </c>
      <c r="F139" s="39" t="s">
        <v>420</v>
      </c>
      <c r="G139" s="39" t="s">
        <v>420</v>
      </c>
      <c r="H139" s="39" t="s">
        <v>420</v>
      </c>
      <c r="I139" s="39" t="s">
        <v>420</v>
      </c>
      <c r="J139" s="39" t="s">
        <v>420</v>
      </c>
      <c r="K139" s="39" t="s">
        <v>40</v>
      </c>
      <c r="L139" s="135"/>
      <c r="M139" s="45"/>
      <c r="N139" s="39" t="s">
        <v>1605</v>
      </c>
      <c r="O139" s="39">
        <v>0</v>
      </c>
      <c r="P139" s="39">
        <v>6</v>
      </c>
      <c r="Q139" s="39">
        <v>6</v>
      </c>
      <c r="R139" s="39">
        <v>6</v>
      </c>
      <c r="S139" s="39">
        <v>6</v>
      </c>
      <c r="T139" s="39">
        <v>6</v>
      </c>
      <c r="U139" s="39">
        <v>0</v>
      </c>
      <c r="V139" s="39">
        <v>30</v>
      </c>
      <c r="W139" s="39">
        <v>89277</v>
      </c>
      <c r="X139" s="39">
        <v>88139</v>
      </c>
      <c r="Y139" s="39">
        <v>3623919</v>
      </c>
      <c r="Z139" s="39" t="s">
        <v>344</v>
      </c>
      <c r="AA139" s="39" t="s">
        <v>119</v>
      </c>
      <c r="AB139" s="39">
        <v>78667</v>
      </c>
      <c r="AC139" s="39">
        <v>64118</v>
      </c>
      <c r="AD139" s="39" t="s">
        <v>808</v>
      </c>
      <c r="AE139" s="39" t="s">
        <v>809</v>
      </c>
      <c r="AF139" s="136">
        <v>43916</v>
      </c>
      <c r="AG139" s="39"/>
      <c r="AH139" s="39">
        <v>39138709</v>
      </c>
      <c r="AI139" s="39">
        <v>20391387096</v>
      </c>
      <c r="AJ139" s="46">
        <v>43808</v>
      </c>
      <c r="AK139" s="46">
        <v>43808</v>
      </c>
      <c r="AL139" s="47">
        <v>43831</v>
      </c>
      <c r="AM139" s="39">
        <v>260</v>
      </c>
      <c r="AN139" s="137" t="s">
        <v>114</v>
      </c>
      <c r="AO139" s="141">
        <v>89983</v>
      </c>
      <c r="AP139" s="139" t="s">
        <v>158</v>
      </c>
      <c r="AQ139" s="142" t="s">
        <v>1611</v>
      </c>
    </row>
    <row r="140" spans="1:43" x14ac:dyDescent="0.25">
      <c r="A140" s="44" t="s">
        <v>71</v>
      </c>
      <c r="B140" s="39" t="s">
        <v>78</v>
      </c>
      <c r="C140" s="39" t="s">
        <v>810</v>
      </c>
      <c r="D140" s="39" t="s">
        <v>811</v>
      </c>
      <c r="E140" s="39" t="s">
        <v>40</v>
      </c>
      <c r="F140" s="39" t="s">
        <v>639</v>
      </c>
      <c r="G140" s="39" t="s">
        <v>639</v>
      </c>
      <c r="H140" s="39" t="s">
        <v>639</v>
      </c>
      <c r="I140" s="39" t="s">
        <v>639</v>
      </c>
      <c r="J140" s="39" t="s">
        <v>639</v>
      </c>
      <c r="K140" s="39" t="s">
        <v>40</v>
      </c>
      <c r="L140" s="135"/>
      <c r="M140" s="45"/>
      <c r="N140" s="39" t="s">
        <v>1605</v>
      </c>
      <c r="O140" s="39">
        <v>0</v>
      </c>
      <c r="P140" s="39">
        <v>5</v>
      </c>
      <c r="Q140" s="39">
        <v>5</v>
      </c>
      <c r="R140" s="39">
        <v>5</v>
      </c>
      <c r="S140" s="39">
        <v>5</v>
      </c>
      <c r="T140" s="39">
        <v>5</v>
      </c>
      <c r="U140" s="39">
        <v>0</v>
      </c>
      <c r="V140" s="39">
        <v>25</v>
      </c>
      <c r="W140" s="39">
        <v>89332</v>
      </c>
      <c r="X140" s="39">
        <v>88362</v>
      </c>
      <c r="Y140" s="39">
        <v>3667102</v>
      </c>
      <c r="Z140" s="39" t="s">
        <v>119</v>
      </c>
      <c r="AA140" s="39" t="s">
        <v>119</v>
      </c>
      <c r="AB140" s="39">
        <v>78667</v>
      </c>
      <c r="AC140" s="39">
        <v>64118</v>
      </c>
      <c r="AD140" s="39"/>
      <c r="AE140" s="39" t="s">
        <v>812</v>
      </c>
      <c r="AF140" s="136"/>
      <c r="AG140" s="39"/>
      <c r="AH140" s="39">
        <v>33374870</v>
      </c>
      <c r="AI140" s="39" t="s">
        <v>813</v>
      </c>
      <c r="AJ140" s="46">
        <v>44026</v>
      </c>
      <c r="AK140" s="46">
        <v>44026</v>
      </c>
      <c r="AL140" s="47">
        <v>44029</v>
      </c>
      <c r="AM140" s="39">
        <v>45</v>
      </c>
      <c r="AN140" s="137" t="s">
        <v>114</v>
      </c>
      <c r="AO140" s="141"/>
      <c r="AP140" s="139" t="s">
        <v>158</v>
      </c>
      <c r="AQ140" s="142" t="s">
        <v>1612</v>
      </c>
    </row>
    <row r="141" spans="1:43" x14ac:dyDescent="0.25">
      <c r="A141" s="44" t="s">
        <v>71</v>
      </c>
      <c r="B141" s="39" t="s">
        <v>78</v>
      </c>
      <c r="C141" s="39" t="s">
        <v>814</v>
      </c>
      <c r="D141" s="39" t="s">
        <v>815</v>
      </c>
      <c r="E141" s="39" t="s">
        <v>40</v>
      </c>
      <c r="F141" s="39" t="s">
        <v>420</v>
      </c>
      <c r="G141" s="39" t="s">
        <v>420</v>
      </c>
      <c r="H141" s="39" t="s">
        <v>420</v>
      </c>
      <c r="I141" s="39" t="s">
        <v>420</v>
      </c>
      <c r="J141" s="39" t="s">
        <v>420</v>
      </c>
      <c r="K141" s="39" t="s">
        <v>40</v>
      </c>
      <c r="L141" s="135"/>
      <c r="M141" s="45"/>
      <c r="N141" s="39" t="s">
        <v>1605</v>
      </c>
      <c r="O141" s="39">
        <v>0</v>
      </c>
      <c r="P141" s="39">
        <v>6</v>
      </c>
      <c r="Q141" s="39">
        <v>6</v>
      </c>
      <c r="R141" s="39">
        <v>6</v>
      </c>
      <c r="S141" s="39">
        <v>6</v>
      </c>
      <c r="T141" s="39">
        <v>6</v>
      </c>
      <c r="U141" s="39">
        <v>0</v>
      </c>
      <c r="V141" s="39">
        <v>30</v>
      </c>
      <c r="W141" s="39">
        <v>89116</v>
      </c>
      <c r="X141" s="39">
        <v>86139</v>
      </c>
      <c r="Y141" s="39">
        <v>3118248</v>
      </c>
      <c r="Z141" s="39" t="s">
        <v>146</v>
      </c>
      <c r="AA141" s="39" t="s">
        <v>119</v>
      </c>
      <c r="AB141" s="39">
        <v>78667</v>
      </c>
      <c r="AC141" s="39">
        <v>64118</v>
      </c>
      <c r="AD141" s="39" t="s">
        <v>816</v>
      </c>
      <c r="AE141" s="39" t="s">
        <v>817</v>
      </c>
      <c r="AF141" s="136">
        <v>43915</v>
      </c>
      <c r="AG141" s="39" t="s">
        <v>818</v>
      </c>
      <c r="AH141" s="39">
        <v>27017947</v>
      </c>
      <c r="AI141" s="39">
        <v>27270179474</v>
      </c>
      <c r="AJ141" s="46">
        <v>43437</v>
      </c>
      <c r="AK141" s="46">
        <v>43437</v>
      </c>
      <c r="AL141" s="47">
        <v>43448</v>
      </c>
      <c r="AM141" s="39">
        <v>626</v>
      </c>
      <c r="AN141" s="137" t="s">
        <v>114</v>
      </c>
      <c r="AO141" s="141">
        <v>89971</v>
      </c>
      <c r="AP141" s="139" t="s">
        <v>158</v>
      </c>
      <c r="AQ141" s="142" t="s">
        <v>1611</v>
      </c>
    </row>
    <row r="142" spans="1:43" x14ac:dyDescent="0.25">
      <c r="A142" s="44" t="s">
        <v>71</v>
      </c>
      <c r="B142" s="39" t="s">
        <v>78</v>
      </c>
      <c r="C142" s="39" t="s">
        <v>819</v>
      </c>
      <c r="D142" s="39" t="s">
        <v>820</v>
      </c>
      <c r="E142" s="39" t="s">
        <v>40</v>
      </c>
      <c r="F142" s="39" t="s">
        <v>52</v>
      </c>
      <c r="G142" s="39" t="s">
        <v>52</v>
      </c>
      <c r="H142" s="39" t="s">
        <v>52</v>
      </c>
      <c r="I142" s="39" t="s">
        <v>52</v>
      </c>
      <c r="J142" s="39" t="s">
        <v>52</v>
      </c>
      <c r="K142" s="39" t="s">
        <v>40</v>
      </c>
      <c r="L142" s="135"/>
      <c r="M142" s="45" t="s">
        <v>599</v>
      </c>
      <c r="N142" s="39" t="s">
        <v>1605</v>
      </c>
      <c r="O142" s="39">
        <v>0</v>
      </c>
      <c r="P142" s="39">
        <v>0</v>
      </c>
      <c r="Q142" s="39">
        <v>0</v>
      </c>
      <c r="R142" s="39">
        <v>0</v>
      </c>
      <c r="S142" s="39">
        <v>0</v>
      </c>
      <c r="T142" s="39">
        <v>0</v>
      </c>
      <c r="U142" s="39">
        <v>0</v>
      </c>
      <c r="V142" s="39">
        <v>0</v>
      </c>
      <c r="W142" s="39">
        <v>89284</v>
      </c>
      <c r="X142" s="39">
        <v>88146</v>
      </c>
      <c r="Y142" s="39">
        <v>3624026</v>
      </c>
      <c r="Z142" s="39" t="s">
        <v>146</v>
      </c>
      <c r="AA142" s="39" t="s">
        <v>119</v>
      </c>
      <c r="AB142" s="39">
        <v>78667</v>
      </c>
      <c r="AC142" s="39">
        <v>64118</v>
      </c>
      <c r="AD142" s="39" t="s">
        <v>821</v>
      </c>
      <c r="AE142" s="39" t="s">
        <v>822</v>
      </c>
      <c r="AF142" s="136">
        <v>43919</v>
      </c>
      <c r="AG142" s="39"/>
      <c r="AH142" s="39">
        <v>39972866</v>
      </c>
      <c r="AI142" s="39">
        <v>27399728660</v>
      </c>
      <c r="AJ142" s="46">
        <v>43808</v>
      </c>
      <c r="AK142" s="46">
        <v>43808</v>
      </c>
      <c r="AL142" s="47">
        <v>43831</v>
      </c>
      <c r="AM142" s="39">
        <v>260</v>
      </c>
      <c r="AN142" s="137" t="s">
        <v>114</v>
      </c>
      <c r="AO142" s="141">
        <v>89888</v>
      </c>
      <c r="AP142" s="139" t="s">
        <v>158</v>
      </c>
      <c r="AQ142" s="142" t="s">
        <v>1611</v>
      </c>
    </row>
    <row r="143" spans="1:43" x14ac:dyDescent="0.25">
      <c r="A143" s="44" t="s">
        <v>71</v>
      </c>
      <c r="B143" s="39" t="s">
        <v>78</v>
      </c>
      <c r="C143" s="39" t="s">
        <v>823</v>
      </c>
      <c r="D143" s="39" t="s">
        <v>824</v>
      </c>
      <c r="E143" s="39" t="s">
        <v>40</v>
      </c>
      <c r="F143" s="39" t="s">
        <v>52</v>
      </c>
      <c r="G143" s="39" t="s">
        <v>52</v>
      </c>
      <c r="H143" s="39" t="s">
        <v>52</v>
      </c>
      <c r="I143" s="39" t="s">
        <v>52</v>
      </c>
      <c r="J143" s="39" t="s">
        <v>52</v>
      </c>
      <c r="K143" s="39" t="s">
        <v>40</v>
      </c>
      <c r="L143" s="135"/>
      <c r="M143" s="45" t="s">
        <v>599</v>
      </c>
      <c r="N143" s="39" t="s">
        <v>1605</v>
      </c>
      <c r="O143" s="39">
        <v>0</v>
      </c>
      <c r="P143" s="39">
        <v>0</v>
      </c>
      <c r="Q143" s="39">
        <v>0</v>
      </c>
      <c r="R143" s="39">
        <v>0</v>
      </c>
      <c r="S143" s="39">
        <v>0</v>
      </c>
      <c r="T143" s="39">
        <v>0</v>
      </c>
      <c r="U143" s="39">
        <v>0</v>
      </c>
      <c r="V143" s="39">
        <v>0</v>
      </c>
      <c r="W143" s="39">
        <v>89036</v>
      </c>
      <c r="X143" s="39">
        <v>73450</v>
      </c>
      <c r="Y143" s="39">
        <v>567214</v>
      </c>
      <c r="Z143" s="39" t="s">
        <v>146</v>
      </c>
      <c r="AA143" s="39" t="s">
        <v>119</v>
      </c>
      <c r="AB143" s="39">
        <v>78667</v>
      </c>
      <c r="AC143" s="39">
        <v>64118</v>
      </c>
      <c r="AD143" s="39" t="s">
        <v>825</v>
      </c>
      <c r="AE143" s="39" t="s">
        <v>826</v>
      </c>
      <c r="AF143" s="136">
        <v>44029</v>
      </c>
      <c r="AG143" s="39" t="s">
        <v>827</v>
      </c>
      <c r="AH143" s="39">
        <v>29088429</v>
      </c>
      <c r="AI143" s="39" t="s">
        <v>828</v>
      </c>
      <c r="AJ143" s="46">
        <v>40490</v>
      </c>
      <c r="AK143" s="46">
        <v>43327</v>
      </c>
      <c r="AL143" s="47">
        <v>43328</v>
      </c>
      <c r="AM143" s="39">
        <v>3531</v>
      </c>
      <c r="AN143" s="137" t="s">
        <v>114</v>
      </c>
      <c r="AO143" s="141"/>
      <c r="AP143" s="139" t="s">
        <v>158</v>
      </c>
      <c r="AQ143" s="142" t="s">
        <v>1611</v>
      </c>
    </row>
    <row r="144" spans="1:43" x14ac:dyDescent="0.25">
      <c r="A144" s="44" t="s">
        <v>71</v>
      </c>
      <c r="B144" s="39" t="s">
        <v>78</v>
      </c>
      <c r="C144" s="39" t="s">
        <v>829</v>
      </c>
      <c r="D144" s="39" t="s">
        <v>830</v>
      </c>
      <c r="E144" s="39" t="s">
        <v>40</v>
      </c>
      <c r="F144" s="39" t="s">
        <v>47</v>
      </c>
      <c r="G144" s="39" t="s">
        <v>47</v>
      </c>
      <c r="H144" s="39" t="s">
        <v>47</v>
      </c>
      <c r="I144" s="39" t="s">
        <v>47</v>
      </c>
      <c r="J144" s="39" t="s">
        <v>47</v>
      </c>
      <c r="K144" s="39" t="s">
        <v>40</v>
      </c>
      <c r="L144" s="135"/>
      <c r="M144" s="45" t="s">
        <v>572</v>
      </c>
      <c r="N144" s="39" t="s">
        <v>1605</v>
      </c>
      <c r="O144" s="39">
        <v>0</v>
      </c>
      <c r="P144" s="39">
        <v>0</v>
      </c>
      <c r="Q144" s="39">
        <v>0</v>
      </c>
      <c r="R144" s="39">
        <v>0</v>
      </c>
      <c r="S144" s="39">
        <v>0</v>
      </c>
      <c r="T144" s="39">
        <v>0</v>
      </c>
      <c r="U144" s="39">
        <v>0</v>
      </c>
      <c r="V144" s="39">
        <v>0</v>
      </c>
      <c r="W144" s="39">
        <v>89159</v>
      </c>
      <c r="X144" s="39">
        <v>86277</v>
      </c>
      <c r="Y144" s="39">
        <v>3133223</v>
      </c>
      <c r="Z144" s="39" t="s">
        <v>118</v>
      </c>
      <c r="AA144" s="39" t="s">
        <v>119</v>
      </c>
      <c r="AB144" s="39">
        <v>78667</v>
      </c>
      <c r="AC144" s="39">
        <v>64118</v>
      </c>
      <c r="AD144" s="39" t="s">
        <v>831</v>
      </c>
      <c r="AE144" s="39" t="s">
        <v>832</v>
      </c>
      <c r="AF144" s="136">
        <v>44040</v>
      </c>
      <c r="AG144" s="39" t="s">
        <v>833</v>
      </c>
      <c r="AH144" s="39">
        <v>34285435</v>
      </c>
      <c r="AI144" s="39">
        <v>20342854355</v>
      </c>
      <c r="AJ144" s="46">
        <v>43451</v>
      </c>
      <c r="AK144" s="46">
        <v>43451</v>
      </c>
      <c r="AL144" s="47">
        <v>43467</v>
      </c>
      <c r="AM144" s="39">
        <v>612</v>
      </c>
      <c r="AN144" s="137" t="s">
        <v>114</v>
      </c>
      <c r="AO144" s="141"/>
      <c r="AP144" s="139" t="s">
        <v>158</v>
      </c>
      <c r="AQ144" s="142" t="s">
        <v>1611</v>
      </c>
    </row>
    <row r="145" spans="1:43" x14ac:dyDescent="0.25">
      <c r="A145" s="44" t="s">
        <v>71</v>
      </c>
      <c r="B145" s="39" t="s">
        <v>78</v>
      </c>
      <c r="C145" s="39" t="s">
        <v>834</v>
      </c>
      <c r="D145" s="39" t="s">
        <v>835</v>
      </c>
      <c r="E145" s="39" t="s">
        <v>40</v>
      </c>
      <c r="F145" s="39" t="s">
        <v>420</v>
      </c>
      <c r="G145" s="39" t="s">
        <v>420</v>
      </c>
      <c r="H145" s="39" t="s">
        <v>420</v>
      </c>
      <c r="I145" s="39" t="s">
        <v>420</v>
      </c>
      <c r="J145" s="39" t="s">
        <v>420</v>
      </c>
      <c r="K145" s="39" t="s">
        <v>40</v>
      </c>
      <c r="L145" s="135"/>
      <c r="M145" s="45"/>
      <c r="N145" s="39" t="s">
        <v>1605</v>
      </c>
      <c r="O145" s="39">
        <v>0</v>
      </c>
      <c r="P145" s="39">
        <v>6</v>
      </c>
      <c r="Q145" s="39">
        <v>6</v>
      </c>
      <c r="R145" s="39">
        <v>6</v>
      </c>
      <c r="S145" s="39">
        <v>6</v>
      </c>
      <c r="T145" s="39">
        <v>6</v>
      </c>
      <c r="U145" s="39">
        <v>0</v>
      </c>
      <c r="V145" s="39">
        <v>30</v>
      </c>
      <c r="W145" s="39">
        <v>89160</v>
      </c>
      <c r="X145" s="39">
        <v>86286</v>
      </c>
      <c r="Y145" s="39">
        <v>3133265</v>
      </c>
      <c r="Z145" s="39" t="s">
        <v>109</v>
      </c>
      <c r="AA145" s="39" t="s">
        <v>109</v>
      </c>
      <c r="AB145" s="39">
        <v>78667</v>
      </c>
      <c r="AC145" s="39">
        <v>64118</v>
      </c>
      <c r="AD145" s="39" t="s">
        <v>836</v>
      </c>
      <c r="AE145" s="39" t="s">
        <v>837</v>
      </c>
      <c r="AF145" s="136">
        <v>44033</v>
      </c>
      <c r="AG145" s="39" t="s">
        <v>838</v>
      </c>
      <c r="AH145" s="39">
        <v>36042494</v>
      </c>
      <c r="AI145" s="39">
        <v>20360424945</v>
      </c>
      <c r="AJ145" s="46">
        <v>43451</v>
      </c>
      <c r="AK145" s="46">
        <v>43451</v>
      </c>
      <c r="AL145" s="47">
        <v>43467</v>
      </c>
      <c r="AM145" s="39">
        <v>612</v>
      </c>
      <c r="AN145" s="137" t="s">
        <v>114</v>
      </c>
      <c r="AO145" s="141"/>
      <c r="AP145" s="139" t="s">
        <v>158</v>
      </c>
      <c r="AQ145" s="142" t="s">
        <v>1611</v>
      </c>
    </row>
    <row r="146" spans="1:43" x14ac:dyDescent="0.25">
      <c r="A146" s="44" t="s">
        <v>71</v>
      </c>
      <c r="B146" s="39" t="s">
        <v>78</v>
      </c>
      <c r="C146" s="39" t="s">
        <v>311</v>
      </c>
      <c r="D146" s="39" t="s">
        <v>839</v>
      </c>
      <c r="E146" s="39" t="s">
        <v>40</v>
      </c>
      <c r="F146" s="39" t="s">
        <v>639</v>
      </c>
      <c r="G146" s="39" t="s">
        <v>639</v>
      </c>
      <c r="H146" s="39" t="s">
        <v>639</v>
      </c>
      <c r="I146" s="39" t="s">
        <v>639</v>
      </c>
      <c r="J146" s="39" t="s">
        <v>639</v>
      </c>
      <c r="K146" s="39" t="s">
        <v>40</v>
      </c>
      <c r="L146" s="135"/>
      <c r="M146" s="45"/>
      <c r="N146" s="39" t="s">
        <v>1605</v>
      </c>
      <c r="O146" s="39">
        <v>0</v>
      </c>
      <c r="P146" s="39">
        <v>5</v>
      </c>
      <c r="Q146" s="39">
        <v>5</v>
      </c>
      <c r="R146" s="39">
        <v>5</v>
      </c>
      <c r="S146" s="39">
        <v>5</v>
      </c>
      <c r="T146" s="39">
        <v>5</v>
      </c>
      <c r="U146" s="39">
        <v>0</v>
      </c>
      <c r="V146" s="39">
        <v>25</v>
      </c>
      <c r="W146" s="39">
        <v>89333</v>
      </c>
      <c r="X146" s="39">
        <v>88363</v>
      </c>
      <c r="Y146" s="39">
        <v>3667103</v>
      </c>
      <c r="Z146" s="39" t="s">
        <v>119</v>
      </c>
      <c r="AA146" s="39" t="s">
        <v>119</v>
      </c>
      <c r="AB146" s="39">
        <v>78667</v>
      </c>
      <c r="AC146" s="39">
        <v>64118</v>
      </c>
      <c r="AD146" s="39"/>
      <c r="AE146" s="39" t="s">
        <v>840</v>
      </c>
      <c r="AF146" s="136"/>
      <c r="AG146" s="39"/>
      <c r="AH146" s="39">
        <v>39356693</v>
      </c>
      <c r="AI146" s="39" t="s">
        <v>841</v>
      </c>
      <c r="AJ146" s="46">
        <v>44026</v>
      </c>
      <c r="AK146" s="46">
        <v>44026</v>
      </c>
      <c r="AL146" s="47">
        <v>44029</v>
      </c>
      <c r="AM146" s="39">
        <v>45</v>
      </c>
      <c r="AN146" s="137" t="s">
        <v>114</v>
      </c>
      <c r="AO146" s="141"/>
      <c r="AP146" s="139" t="s">
        <v>158</v>
      </c>
      <c r="AQ146" s="142" t="s">
        <v>1612</v>
      </c>
    </row>
    <row r="147" spans="1:43" x14ac:dyDescent="0.25">
      <c r="A147" s="44" t="s">
        <v>71</v>
      </c>
      <c r="B147" s="39" t="s">
        <v>78</v>
      </c>
      <c r="C147" s="39" t="s">
        <v>842</v>
      </c>
      <c r="D147" s="39" t="s">
        <v>843</v>
      </c>
      <c r="E147" s="39" t="s">
        <v>40</v>
      </c>
      <c r="F147" s="39" t="s">
        <v>420</v>
      </c>
      <c r="G147" s="39" t="s">
        <v>420</v>
      </c>
      <c r="H147" s="39" t="s">
        <v>420</v>
      </c>
      <c r="I147" s="39" t="s">
        <v>420</v>
      </c>
      <c r="J147" s="39" t="s">
        <v>420</v>
      </c>
      <c r="K147" s="39" t="s">
        <v>40</v>
      </c>
      <c r="L147" s="135"/>
      <c r="M147" s="45"/>
      <c r="N147" s="39" t="s">
        <v>1605</v>
      </c>
      <c r="O147" s="39">
        <v>0</v>
      </c>
      <c r="P147" s="39">
        <v>6</v>
      </c>
      <c r="Q147" s="39">
        <v>6</v>
      </c>
      <c r="R147" s="39">
        <v>6</v>
      </c>
      <c r="S147" s="39">
        <v>6</v>
      </c>
      <c r="T147" s="39">
        <v>6</v>
      </c>
      <c r="U147" s="39">
        <v>0</v>
      </c>
      <c r="V147" s="39">
        <v>30</v>
      </c>
      <c r="W147" s="39">
        <v>89087</v>
      </c>
      <c r="X147" s="39">
        <v>83366</v>
      </c>
      <c r="Y147" s="39">
        <v>2455222</v>
      </c>
      <c r="Z147" s="39" t="s">
        <v>118</v>
      </c>
      <c r="AA147" s="39" t="s">
        <v>119</v>
      </c>
      <c r="AB147" s="39">
        <v>78667</v>
      </c>
      <c r="AC147" s="39">
        <v>64118</v>
      </c>
      <c r="AD147" s="39" t="s">
        <v>844</v>
      </c>
      <c r="AE147" s="39" t="s">
        <v>845</v>
      </c>
      <c r="AF147" s="136">
        <v>44040</v>
      </c>
      <c r="AG147" s="39" t="s">
        <v>846</v>
      </c>
      <c r="AH147" s="39">
        <v>40695733</v>
      </c>
      <c r="AI147" s="39">
        <v>20406957331</v>
      </c>
      <c r="AJ147" s="46">
        <v>42828</v>
      </c>
      <c r="AK147" s="46">
        <v>43409</v>
      </c>
      <c r="AL147" s="47">
        <v>43423</v>
      </c>
      <c r="AM147" s="39">
        <v>1226</v>
      </c>
      <c r="AN147" s="137" t="s">
        <v>114</v>
      </c>
      <c r="AO147" s="141"/>
      <c r="AP147" s="139" t="s">
        <v>158</v>
      </c>
      <c r="AQ147" s="142" t="s">
        <v>1611</v>
      </c>
    </row>
    <row r="148" spans="1:43" x14ac:dyDescent="0.25">
      <c r="A148" s="44" t="s">
        <v>71</v>
      </c>
      <c r="B148" s="39" t="s">
        <v>78</v>
      </c>
      <c r="C148" s="39" t="s">
        <v>565</v>
      </c>
      <c r="D148" s="39" t="s">
        <v>847</v>
      </c>
      <c r="E148" s="39" t="s">
        <v>40</v>
      </c>
      <c r="F148" s="39" t="s">
        <v>420</v>
      </c>
      <c r="G148" s="39" t="s">
        <v>420</v>
      </c>
      <c r="H148" s="39" t="s">
        <v>420</v>
      </c>
      <c r="I148" s="39" t="s">
        <v>420</v>
      </c>
      <c r="J148" s="39" t="s">
        <v>420</v>
      </c>
      <c r="K148" s="39" t="s">
        <v>40</v>
      </c>
      <c r="L148" s="135"/>
      <c r="M148" s="45"/>
      <c r="N148" s="39" t="s">
        <v>1605</v>
      </c>
      <c r="O148" s="39">
        <v>0</v>
      </c>
      <c r="P148" s="39">
        <v>6</v>
      </c>
      <c r="Q148" s="39">
        <v>6</v>
      </c>
      <c r="R148" s="39">
        <v>6</v>
      </c>
      <c r="S148" s="39">
        <v>6</v>
      </c>
      <c r="T148" s="39">
        <v>6</v>
      </c>
      <c r="U148" s="39">
        <v>0</v>
      </c>
      <c r="V148" s="39">
        <v>30</v>
      </c>
      <c r="W148" s="39">
        <v>648294</v>
      </c>
      <c r="X148" s="39">
        <v>87513</v>
      </c>
      <c r="Y148" s="39">
        <v>3503290</v>
      </c>
      <c r="Z148" s="39" t="s">
        <v>146</v>
      </c>
      <c r="AA148" s="39" t="s">
        <v>848</v>
      </c>
      <c r="AB148" s="39">
        <v>78667</v>
      </c>
      <c r="AC148" s="39">
        <v>64118</v>
      </c>
      <c r="AD148" s="39" t="s">
        <v>849</v>
      </c>
      <c r="AE148" s="39" t="s">
        <v>850</v>
      </c>
      <c r="AF148" s="136">
        <v>43955</v>
      </c>
      <c r="AG148" s="39"/>
      <c r="AH148" s="39">
        <v>42008494</v>
      </c>
      <c r="AI148" s="39">
        <v>20420084944</v>
      </c>
      <c r="AJ148" s="46">
        <v>43731</v>
      </c>
      <c r="AK148" s="46">
        <v>43945</v>
      </c>
      <c r="AL148" s="47">
        <v>43956</v>
      </c>
      <c r="AM148" s="39">
        <v>336</v>
      </c>
      <c r="AN148" s="137" t="s">
        <v>114</v>
      </c>
      <c r="AO148" s="141">
        <v>89873</v>
      </c>
      <c r="AP148" s="139" t="s">
        <v>158</v>
      </c>
      <c r="AQ148" s="142" t="s">
        <v>1611</v>
      </c>
    </row>
    <row r="149" spans="1:43" x14ac:dyDescent="0.25">
      <c r="A149" s="44" t="s">
        <v>71</v>
      </c>
      <c r="B149" s="39" t="s">
        <v>78</v>
      </c>
      <c r="C149" s="39" t="s">
        <v>851</v>
      </c>
      <c r="D149" s="39" t="s">
        <v>852</v>
      </c>
      <c r="E149" s="39" t="s">
        <v>40</v>
      </c>
      <c r="F149" s="39" t="s">
        <v>639</v>
      </c>
      <c r="G149" s="39" t="s">
        <v>639</v>
      </c>
      <c r="H149" s="39" t="s">
        <v>639</v>
      </c>
      <c r="I149" s="39" t="s">
        <v>639</v>
      </c>
      <c r="J149" s="39" t="s">
        <v>639</v>
      </c>
      <c r="K149" s="39" t="s">
        <v>40</v>
      </c>
      <c r="L149" s="135"/>
      <c r="M149" s="45"/>
      <c r="N149" s="39" t="s">
        <v>1605</v>
      </c>
      <c r="O149" s="39">
        <v>0</v>
      </c>
      <c r="P149" s="39">
        <v>5</v>
      </c>
      <c r="Q149" s="39">
        <v>5</v>
      </c>
      <c r="R149" s="39">
        <v>5</v>
      </c>
      <c r="S149" s="39">
        <v>5</v>
      </c>
      <c r="T149" s="39">
        <v>5</v>
      </c>
      <c r="U149" s="39">
        <v>0</v>
      </c>
      <c r="V149" s="39">
        <v>25</v>
      </c>
      <c r="W149" s="39">
        <v>89319</v>
      </c>
      <c r="X149" s="39">
        <v>88349</v>
      </c>
      <c r="Y149" s="39">
        <v>3667091</v>
      </c>
      <c r="Z149" s="39" t="s">
        <v>119</v>
      </c>
      <c r="AA149" s="39" t="s">
        <v>119</v>
      </c>
      <c r="AB149" s="39">
        <v>78667</v>
      </c>
      <c r="AC149" s="39">
        <v>64118</v>
      </c>
      <c r="AD149" s="39"/>
      <c r="AE149" s="39" t="s">
        <v>853</v>
      </c>
      <c r="AF149" s="136"/>
      <c r="AG149" s="39"/>
      <c r="AH149" s="39">
        <v>36668244</v>
      </c>
      <c r="AI149" s="39" t="s">
        <v>854</v>
      </c>
      <c r="AJ149" s="46">
        <v>44026</v>
      </c>
      <c r="AK149" s="46">
        <v>44026</v>
      </c>
      <c r="AL149" s="47">
        <v>44029</v>
      </c>
      <c r="AM149" s="39">
        <v>45</v>
      </c>
      <c r="AN149" s="137" t="s">
        <v>114</v>
      </c>
      <c r="AO149" s="141"/>
      <c r="AP149" s="139" t="s">
        <v>158</v>
      </c>
      <c r="AQ149" s="142" t="s">
        <v>1612</v>
      </c>
    </row>
    <row r="150" spans="1:43" x14ac:dyDescent="0.25">
      <c r="A150" s="44" t="s">
        <v>71</v>
      </c>
      <c r="B150" s="39" t="s">
        <v>78</v>
      </c>
      <c r="C150" s="39" t="s">
        <v>855</v>
      </c>
      <c r="D150" s="39" t="s">
        <v>856</v>
      </c>
      <c r="E150" s="39" t="s">
        <v>40</v>
      </c>
      <c r="F150" s="39" t="s">
        <v>639</v>
      </c>
      <c r="G150" s="39" t="s">
        <v>639</v>
      </c>
      <c r="H150" s="39" t="s">
        <v>639</v>
      </c>
      <c r="I150" s="39" t="s">
        <v>639</v>
      </c>
      <c r="J150" s="39" t="s">
        <v>639</v>
      </c>
      <c r="K150" s="39" t="s">
        <v>40</v>
      </c>
      <c r="L150" s="135"/>
      <c r="M150" s="45"/>
      <c r="N150" s="39" t="s">
        <v>1605</v>
      </c>
      <c r="O150" s="39">
        <v>0</v>
      </c>
      <c r="P150" s="39">
        <v>5</v>
      </c>
      <c r="Q150" s="39">
        <v>5</v>
      </c>
      <c r="R150" s="39">
        <v>5</v>
      </c>
      <c r="S150" s="39">
        <v>5</v>
      </c>
      <c r="T150" s="39">
        <v>5</v>
      </c>
      <c r="U150" s="39">
        <v>0</v>
      </c>
      <c r="V150" s="39">
        <v>25</v>
      </c>
      <c r="W150" s="39">
        <v>89318</v>
      </c>
      <c r="X150" s="39">
        <v>88348</v>
      </c>
      <c r="Y150" s="39">
        <v>3667090</v>
      </c>
      <c r="Z150" s="39" t="s">
        <v>119</v>
      </c>
      <c r="AA150" s="39" t="s">
        <v>119</v>
      </c>
      <c r="AB150" s="39">
        <v>78667</v>
      </c>
      <c r="AC150" s="39">
        <v>64118</v>
      </c>
      <c r="AD150" s="39"/>
      <c r="AE150" s="39" t="s">
        <v>857</v>
      </c>
      <c r="AF150" s="136"/>
      <c r="AG150" s="39"/>
      <c r="AH150" s="39">
        <v>41300232</v>
      </c>
      <c r="AI150" s="39" t="s">
        <v>858</v>
      </c>
      <c r="AJ150" s="46">
        <v>44026</v>
      </c>
      <c r="AK150" s="46">
        <v>44026</v>
      </c>
      <c r="AL150" s="47">
        <v>44029</v>
      </c>
      <c r="AM150" s="39">
        <v>45</v>
      </c>
      <c r="AN150" s="137" t="s">
        <v>114</v>
      </c>
      <c r="AO150" s="141"/>
      <c r="AP150" s="139" t="s">
        <v>158</v>
      </c>
      <c r="AQ150" s="142" t="s">
        <v>1612</v>
      </c>
    </row>
    <row r="151" spans="1:43" x14ac:dyDescent="0.25">
      <c r="A151" s="44" t="s">
        <v>71</v>
      </c>
      <c r="B151" s="39" t="s">
        <v>78</v>
      </c>
      <c r="C151" s="39" t="s">
        <v>859</v>
      </c>
      <c r="D151" s="39" t="s">
        <v>860</v>
      </c>
      <c r="E151" s="39" t="s">
        <v>40</v>
      </c>
      <c r="F151" s="39" t="s">
        <v>420</v>
      </c>
      <c r="G151" s="39" t="s">
        <v>420</v>
      </c>
      <c r="H151" s="39" t="s">
        <v>420</v>
      </c>
      <c r="I151" s="39" t="s">
        <v>420</v>
      </c>
      <c r="J151" s="39" t="s">
        <v>420</v>
      </c>
      <c r="K151" s="39" t="s">
        <v>40</v>
      </c>
      <c r="L151" s="135"/>
      <c r="M151" s="45"/>
      <c r="N151" s="39" t="s">
        <v>1605</v>
      </c>
      <c r="O151" s="39">
        <v>0</v>
      </c>
      <c r="P151" s="39">
        <v>6</v>
      </c>
      <c r="Q151" s="39">
        <v>6</v>
      </c>
      <c r="R151" s="39">
        <v>6</v>
      </c>
      <c r="S151" s="39">
        <v>6</v>
      </c>
      <c r="T151" s="39">
        <v>6</v>
      </c>
      <c r="U151" s="39">
        <v>0</v>
      </c>
      <c r="V151" s="39">
        <v>30</v>
      </c>
      <c r="W151" s="39">
        <v>89163</v>
      </c>
      <c r="X151" s="39">
        <v>86291</v>
      </c>
      <c r="Y151" s="39">
        <v>1823340</v>
      </c>
      <c r="Z151" s="39" t="s">
        <v>109</v>
      </c>
      <c r="AA151" s="39" t="s">
        <v>109</v>
      </c>
      <c r="AB151" s="39">
        <v>78667</v>
      </c>
      <c r="AC151" s="39">
        <v>64118</v>
      </c>
      <c r="AD151" s="39" t="s">
        <v>861</v>
      </c>
      <c r="AE151" s="39" t="s">
        <v>862</v>
      </c>
      <c r="AF151" s="136">
        <v>44033</v>
      </c>
      <c r="AG151" s="39" t="s">
        <v>863</v>
      </c>
      <c r="AH151" s="39">
        <v>39481760</v>
      </c>
      <c r="AI151" s="39" t="s">
        <v>864</v>
      </c>
      <c r="AJ151" s="46">
        <v>43451</v>
      </c>
      <c r="AK151" s="46">
        <v>43451</v>
      </c>
      <c r="AL151" s="47">
        <v>43467</v>
      </c>
      <c r="AM151" s="39">
        <v>612</v>
      </c>
      <c r="AN151" s="137" t="s">
        <v>114</v>
      </c>
      <c r="AO151" s="141"/>
      <c r="AP151" s="139" t="s">
        <v>158</v>
      </c>
      <c r="AQ151" s="142" t="s">
        <v>1611</v>
      </c>
    </row>
    <row r="152" spans="1:43" x14ac:dyDescent="0.25">
      <c r="A152" s="44" t="s">
        <v>71</v>
      </c>
      <c r="B152" s="39" t="s">
        <v>78</v>
      </c>
      <c r="C152" s="39" t="s">
        <v>865</v>
      </c>
      <c r="D152" s="39" t="s">
        <v>866</v>
      </c>
      <c r="E152" s="39" t="s">
        <v>40</v>
      </c>
      <c r="F152" s="39" t="s">
        <v>639</v>
      </c>
      <c r="G152" s="39" t="s">
        <v>639</v>
      </c>
      <c r="H152" s="39" t="s">
        <v>639</v>
      </c>
      <c r="I152" s="39" t="s">
        <v>639</v>
      </c>
      <c r="J152" s="39" t="s">
        <v>639</v>
      </c>
      <c r="K152" s="39" t="s">
        <v>40</v>
      </c>
      <c r="L152" s="135"/>
      <c r="M152" s="45"/>
      <c r="N152" s="39" t="s">
        <v>1605</v>
      </c>
      <c r="O152" s="39">
        <v>0</v>
      </c>
      <c r="P152" s="39">
        <v>5</v>
      </c>
      <c r="Q152" s="39">
        <v>5</v>
      </c>
      <c r="R152" s="39">
        <v>5</v>
      </c>
      <c r="S152" s="39">
        <v>5</v>
      </c>
      <c r="T152" s="39">
        <v>5</v>
      </c>
      <c r="U152" s="39">
        <v>0</v>
      </c>
      <c r="V152" s="39">
        <v>25</v>
      </c>
      <c r="W152" s="39">
        <v>89325</v>
      </c>
      <c r="X152" s="39">
        <v>88355</v>
      </c>
      <c r="Y152" s="39">
        <v>3667096</v>
      </c>
      <c r="Z152" s="39" t="s">
        <v>119</v>
      </c>
      <c r="AA152" s="39" t="s">
        <v>119</v>
      </c>
      <c r="AB152" s="39">
        <v>78667</v>
      </c>
      <c r="AC152" s="39">
        <v>64118</v>
      </c>
      <c r="AD152" s="39"/>
      <c r="AE152" s="39" t="s">
        <v>867</v>
      </c>
      <c r="AF152" s="136"/>
      <c r="AG152" s="39"/>
      <c r="AH152" s="39">
        <v>41983179</v>
      </c>
      <c r="AI152" s="39" t="s">
        <v>868</v>
      </c>
      <c r="AJ152" s="46">
        <v>44026</v>
      </c>
      <c r="AK152" s="46">
        <v>44026</v>
      </c>
      <c r="AL152" s="47">
        <v>44029</v>
      </c>
      <c r="AM152" s="39">
        <v>45</v>
      </c>
      <c r="AN152" s="137" t="s">
        <v>114</v>
      </c>
      <c r="AO152" s="141"/>
      <c r="AP152" s="139" t="s">
        <v>158</v>
      </c>
      <c r="AQ152" s="142" t="s">
        <v>1612</v>
      </c>
    </row>
    <row r="153" spans="1:43" x14ac:dyDescent="0.25">
      <c r="A153" s="44" t="s">
        <v>71</v>
      </c>
      <c r="B153" s="39" t="s">
        <v>78</v>
      </c>
      <c r="C153" s="39" t="s">
        <v>869</v>
      </c>
      <c r="D153" s="39" t="s">
        <v>870</v>
      </c>
      <c r="E153" s="39" t="s">
        <v>40</v>
      </c>
      <c r="F153" s="39" t="s">
        <v>420</v>
      </c>
      <c r="G153" s="39" t="s">
        <v>420</v>
      </c>
      <c r="H153" s="39" t="s">
        <v>420</v>
      </c>
      <c r="I153" s="39" t="s">
        <v>420</v>
      </c>
      <c r="J153" s="39" t="s">
        <v>420</v>
      </c>
      <c r="K153" s="39" t="s">
        <v>40</v>
      </c>
      <c r="L153" s="135"/>
      <c r="M153" s="45"/>
      <c r="N153" s="39" t="s">
        <v>1605</v>
      </c>
      <c r="O153" s="39">
        <v>0</v>
      </c>
      <c r="P153" s="39">
        <v>6</v>
      </c>
      <c r="Q153" s="39">
        <v>6</v>
      </c>
      <c r="R153" s="39">
        <v>6</v>
      </c>
      <c r="S153" s="39">
        <v>6</v>
      </c>
      <c r="T153" s="39">
        <v>6</v>
      </c>
      <c r="U153" s="39">
        <v>0</v>
      </c>
      <c r="V153" s="39">
        <v>30</v>
      </c>
      <c r="W153" s="39">
        <v>89192</v>
      </c>
      <c r="X153" s="39">
        <v>86345</v>
      </c>
      <c r="Y153" s="39">
        <v>3138511</v>
      </c>
      <c r="Z153" s="39" t="s">
        <v>146</v>
      </c>
      <c r="AA153" s="39" t="s">
        <v>119</v>
      </c>
      <c r="AB153" s="39">
        <v>78667</v>
      </c>
      <c r="AC153" s="39">
        <v>64118</v>
      </c>
      <c r="AD153" s="39" t="s">
        <v>871</v>
      </c>
      <c r="AE153" s="39" t="s">
        <v>872</v>
      </c>
      <c r="AF153" s="136">
        <v>43945</v>
      </c>
      <c r="AG153" s="39" t="s">
        <v>873</v>
      </c>
      <c r="AH153" s="39">
        <v>41038574</v>
      </c>
      <c r="AI153" s="39">
        <v>20410385741</v>
      </c>
      <c r="AJ153" s="46">
        <v>43460</v>
      </c>
      <c r="AK153" s="46">
        <v>43460</v>
      </c>
      <c r="AL153" s="47">
        <v>43476</v>
      </c>
      <c r="AM153" s="39">
        <v>603</v>
      </c>
      <c r="AN153" s="137" t="s">
        <v>114</v>
      </c>
      <c r="AO153" s="141">
        <v>89977</v>
      </c>
      <c r="AP153" s="139" t="s">
        <v>158</v>
      </c>
      <c r="AQ153" s="142" t="s">
        <v>1611</v>
      </c>
    </row>
    <row r="154" spans="1:43" x14ac:dyDescent="0.25">
      <c r="A154" s="44" t="s">
        <v>71</v>
      </c>
      <c r="B154" s="39" t="s">
        <v>78</v>
      </c>
      <c r="C154" s="39" t="s">
        <v>696</v>
      </c>
      <c r="D154" s="39" t="s">
        <v>874</v>
      </c>
      <c r="E154" s="39" t="s">
        <v>40</v>
      </c>
      <c r="F154" s="39" t="s">
        <v>420</v>
      </c>
      <c r="G154" s="39" t="s">
        <v>420</v>
      </c>
      <c r="H154" s="39" t="s">
        <v>420</v>
      </c>
      <c r="I154" s="39" t="s">
        <v>420</v>
      </c>
      <c r="J154" s="39" t="s">
        <v>420</v>
      </c>
      <c r="K154" s="39" t="s">
        <v>40</v>
      </c>
      <c r="L154" s="135"/>
      <c r="M154" s="45"/>
      <c r="N154" s="39" t="s">
        <v>1605</v>
      </c>
      <c r="O154" s="39">
        <v>0</v>
      </c>
      <c r="P154" s="39">
        <v>6</v>
      </c>
      <c r="Q154" s="39">
        <v>6</v>
      </c>
      <c r="R154" s="39">
        <v>6</v>
      </c>
      <c r="S154" s="39">
        <v>6</v>
      </c>
      <c r="T154" s="39">
        <v>6</v>
      </c>
      <c r="U154" s="39">
        <v>0</v>
      </c>
      <c r="V154" s="39">
        <v>30</v>
      </c>
      <c r="W154" s="39">
        <v>648298</v>
      </c>
      <c r="X154" s="39">
        <v>87599</v>
      </c>
      <c r="Y154" s="39">
        <v>3525648</v>
      </c>
      <c r="Z154" s="39" t="s">
        <v>375</v>
      </c>
      <c r="AA154" s="39" t="s">
        <v>848</v>
      </c>
      <c r="AB154" s="39">
        <v>78667</v>
      </c>
      <c r="AC154" s="39">
        <v>64118</v>
      </c>
      <c r="AD154" s="39" t="s">
        <v>875</v>
      </c>
      <c r="AE154" s="39" t="s">
        <v>876</v>
      </c>
      <c r="AF154" s="136">
        <v>43955</v>
      </c>
      <c r="AG154" s="39" t="s">
        <v>877</v>
      </c>
      <c r="AH154" s="39">
        <v>33328577</v>
      </c>
      <c r="AI154" s="39">
        <v>27333285776</v>
      </c>
      <c r="AJ154" s="46">
        <v>43745</v>
      </c>
      <c r="AK154" s="46">
        <v>43945</v>
      </c>
      <c r="AL154" s="47">
        <v>43956</v>
      </c>
      <c r="AM154" s="39">
        <v>322</v>
      </c>
      <c r="AN154" s="137" t="s">
        <v>114</v>
      </c>
      <c r="AO154" s="141">
        <v>89884</v>
      </c>
      <c r="AP154" s="139" t="s">
        <v>158</v>
      </c>
      <c r="AQ154" s="142" t="s">
        <v>1611</v>
      </c>
    </row>
    <row r="155" spans="1:43" x14ac:dyDescent="0.25">
      <c r="A155" s="44" t="s">
        <v>71</v>
      </c>
      <c r="B155" s="39" t="s">
        <v>78</v>
      </c>
      <c r="C155" s="39" t="s">
        <v>878</v>
      </c>
      <c r="D155" s="39" t="s">
        <v>879</v>
      </c>
      <c r="E155" s="39" t="s">
        <v>40</v>
      </c>
      <c r="F155" s="39" t="s">
        <v>52</v>
      </c>
      <c r="G155" s="39" t="s">
        <v>52</v>
      </c>
      <c r="H155" s="39" t="s">
        <v>52</v>
      </c>
      <c r="I155" s="39" t="s">
        <v>52</v>
      </c>
      <c r="J155" s="39" t="s">
        <v>52</v>
      </c>
      <c r="K155" s="39" t="s">
        <v>40</v>
      </c>
      <c r="L155" s="135"/>
      <c r="M155" s="45" t="s">
        <v>599</v>
      </c>
      <c r="N155" s="39" t="s">
        <v>1605</v>
      </c>
      <c r="O155" s="39">
        <v>0</v>
      </c>
      <c r="P155" s="39">
        <v>0</v>
      </c>
      <c r="Q155" s="39">
        <v>0</v>
      </c>
      <c r="R155" s="39">
        <v>0</v>
      </c>
      <c r="S155" s="39">
        <v>0</v>
      </c>
      <c r="T155" s="39">
        <v>0</v>
      </c>
      <c r="U155" s="39">
        <v>0</v>
      </c>
      <c r="V155" s="39">
        <v>0</v>
      </c>
      <c r="W155" s="39">
        <v>89105</v>
      </c>
      <c r="X155" s="39">
        <v>83066</v>
      </c>
      <c r="Y155" s="39">
        <v>2426256</v>
      </c>
      <c r="Z155" s="39" t="s">
        <v>118</v>
      </c>
      <c r="AA155" s="39" t="s">
        <v>119</v>
      </c>
      <c r="AB155" s="39">
        <v>78667</v>
      </c>
      <c r="AC155" s="39">
        <v>64118</v>
      </c>
      <c r="AD155" s="39" t="s">
        <v>880</v>
      </c>
      <c r="AE155" s="39" t="s">
        <v>881</v>
      </c>
      <c r="AF155" s="136">
        <v>44029</v>
      </c>
      <c r="AG155" s="39" t="s">
        <v>882</v>
      </c>
      <c r="AH155" s="39">
        <v>34105812</v>
      </c>
      <c r="AI155" s="39">
        <v>27341058126</v>
      </c>
      <c r="AJ155" s="46">
        <v>42800</v>
      </c>
      <c r="AK155" s="46">
        <v>43409</v>
      </c>
      <c r="AL155" s="47">
        <v>43423</v>
      </c>
      <c r="AM155" s="39">
        <v>1253</v>
      </c>
      <c r="AN155" s="137" t="s">
        <v>114</v>
      </c>
      <c r="AO155" s="141"/>
      <c r="AP155" s="139" t="s">
        <v>158</v>
      </c>
      <c r="AQ155" s="142" t="s">
        <v>1611</v>
      </c>
    </row>
    <row r="156" spans="1:43" x14ac:dyDescent="0.25">
      <c r="A156" s="44" t="s">
        <v>71</v>
      </c>
      <c r="B156" s="39" t="s">
        <v>78</v>
      </c>
      <c r="C156" s="39" t="s">
        <v>883</v>
      </c>
      <c r="D156" s="39" t="s">
        <v>884</v>
      </c>
      <c r="E156" s="39" t="s">
        <v>40</v>
      </c>
      <c r="F156" s="39" t="s">
        <v>420</v>
      </c>
      <c r="G156" s="39" t="s">
        <v>420</v>
      </c>
      <c r="H156" s="39" t="s">
        <v>420</v>
      </c>
      <c r="I156" s="39" t="s">
        <v>420</v>
      </c>
      <c r="J156" s="39" t="s">
        <v>420</v>
      </c>
      <c r="K156" s="39" t="s">
        <v>40</v>
      </c>
      <c r="L156" s="135"/>
      <c r="M156" s="45"/>
      <c r="N156" s="39" t="s">
        <v>1605</v>
      </c>
      <c r="O156" s="39">
        <v>0</v>
      </c>
      <c r="P156" s="39">
        <v>6</v>
      </c>
      <c r="Q156" s="39">
        <v>6</v>
      </c>
      <c r="R156" s="39">
        <v>6</v>
      </c>
      <c r="S156" s="39">
        <v>6</v>
      </c>
      <c r="T156" s="39">
        <v>6</v>
      </c>
      <c r="U156" s="39">
        <v>0</v>
      </c>
      <c r="V156" s="39">
        <v>30</v>
      </c>
      <c r="W156" s="39">
        <v>89046</v>
      </c>
      <c r="X156" s="39">
        <v>85339</v>
      </c>
      <c r="Y156" s="39">
        <v>2811272</v>
      </c>
      <c r="Z156" s="39" t="s">
        <v>119</v>
      </c>
      <c r="AA156" s="39" t="s">
        <v>119</v>
      </c>
      <c r="AB156" s="39">
        <v>78667</v>
      </c>
      <c r="AC156" s="39">
        <v>64118</v>
      </c>
      <c r="AD156" s="39" t="s">
        <v>885</v>
      </c>
      <c r="AE156" s="39" t="s">
        <v>886</v>
      </c>
      <c r="AF156" s="136">
        <v>44029</v>
      </c>
      <c r="AG156" s="39" t="s">
        <v>887</v>
      </c>
      <c r="AH156" s="39">
        <v>34287811</v>
      </c>
      <c r="AI156" s="39">
        <v>27342878119</v>
      </c>
      <c r="AJ156" s="46">
        <v>43171</v>
      </c>
      <c r="AK156" s="46">
        <v>43327</v>
      </c>
      <c r="AL156" s="47">
        <v>43328</v>
      </c>
      <c r="AM156" s="39">
        <v>887</v>
      </c>
      <c r="AN156" s="137" t="s">
        <v>114</v>
      </c>
      <c r="AO156" s="141"/>
      <c r="AP156" s="139" t="s">
        <v>158</v>
      </c>
      <c r="AQ156" s="142" t="s">
        <v>1611</v>
      </c>
    </row>
    <row r="157" spans="1:43" x14ac:dyDescent="0.25">
      <c r="A157" s="44" t="s">
        <v>71</v>
      </c>
      <c r="B157" s="39" t="s">
        <v>78</v>
      </c>
      <c r="C157" s="39" t="s">
        <v>888</v>
      </c>
      <c r="D157" s="39" t="s">
        <v>889</v>
      </c>
      <c r="E157" s="39" t="s">
        <v>40</v>
      </c>
      <c r="F157" s="39" t="s">
        <v>420</v>
      </c>
      <c r="G157" s="39" t="s">
        <v>420</v>
      </c>
      <c r="H157" s="39" t="s">
        <v>420</v>
      </c>
      <c r="I157" s="39" t="s">
        <v>420</v>
      </c>
      <c r="J157" s="39" t="s">
        <v>420</v>
      </c>
      <c r="K157" s="39" t="s">
        <v>40</v>
      </c>
      <c r="L157" s="143"/>
      <c r="M157" s="45"/>
      <c r="N157" s="39" t="s">
        <v>1605</v>
      </c>
      <c r="O157" s="39">
        <v>0</v>
      </c>
      <c r="P157" s="39">
        <v>6</v>
      </c>
      <c r="Q157" s="39">
        <v>6</v>
      </c>
      <c r="R157" s="39">
        <v>6</v>
      </c>
      <c r="S157" s="39">
        <v>6</v>
      </c>
      <c r="T157" s="39">
        <v>6</v>
      </c>
      <c r="U157" s="39">
        <v>0</v>
      </c>
      <c r="V157" s="39">
        <v>30</v>
      </c>
      <c r="W157" s="39">
        <v>89194</v>
      </c>
      <c r="X157" s="39">
        <v>86340</v>
      </c>
      <c r="Y157" s="39">
        <v>3138455</v>
      </c>
      <c r="Z157" s="39" t="s">
        <v>118</v>
      </c>
      <c r="AA157" s="39" t="s">
        <v>119</v>
      </c>
      <c r="AB157" s="39">
        <v>78667</v>
      </c>
      <c r="AC157" s="39">
        <v>64118</v>
      </c>
      <c r="AD157" s="39" t="s">
        <v>890</v>
      </c>
      <c r="AE157" s="39" t="s">
        <v>891</v>
      </c>
      <c r="AF157" s="136">
        <v>44011</v>
      </c>
      <c r="AG157" s="39" t="s">
        <v>892</v>
      </c>
      <c r="AH157" s="39">
        <v>41184272</v>
      </c>
      <c r="AI157" s="39" t="s">
        <v>893</v>
      </c>
      <c r="AJ157" s="46">
        <v>43460</v>
      </c>
      <c r="AK157" s="46">
        <v>43460</v>
      </c>
      <c r="AL157" s="47">
        <v>43476</v>
      </c>
      <c r="AM157" s="39">
        <v>603</v>
      </c>
      <c r="AN157" s="137" t="s">
        <v>114</v>
      </c>
      <c r="AO157" s="141"/>
      <c r="AP157" s="139" t="s">
        <v>158</v>
      </c>
      <c r="AQ157" s="142" t="s">
        <v>1611</v>
      </c>
    </row>
    <row r="158" spans="1:43" x14ac:dyDescent="0.25">
      <c r="A158" s="44" t="s">
        <v>71</v>
      </c>
      <c r="B158" s="39" t="s">
        <v>78</v>
      </c>
      <c r="C158" s="39" t="s">
        <v>894</v>
      </c>
      <c r="D158" s="39" t="s">
        <v>895</v>
      </c>
      <c r="E158" s="39" t="s">
        <v>40</v>
      </c>
      <c r="F158" s="39" t="s">
        <v>420</v>
      </c>
      <c r="G158" s="39" t="s">
        <v>420</v>
      </c>
      <c r="H158" s="39" t="s">
        <v>420</v>
      </c>
      <c r="I158" s="39" t="s">
        <v>420</v>
      </c>
      <c r="J158" s="39" t="s">
        <v>420</v>
      </c>
      <c r="K158" s="39" t="s">
        <v>40</v>
      </c>
      <c r="L158" s="135"/>
      <c r="M158" s="45"/>
      <c r="N158" s="39" t="s">
        <v>1605</v>
      </c>
      <c r="O158" s="39">
        <v>0</v>
      </c>
      <c r="P158" s="39">
        <v>6</v>
      </c>
      <c r="Q158" s="39">
        <v>6</v>
      </c>
      <c r="R158" s="39">
        <v>6</v>
      </c>
      <c r="S158" s="39">
        <v>6</v>
      </c>
      <c r="T158" s="39">
        <v>6</v>
      </c>
      <c r="U158" s="39">
        <v>0</v>
      </c>
      <c r="V158" s="39">
        <v>30</v>
      </c>
      <c r="W158" s="39">
        <v>89088</v>
      </c>
      <c r="X158" s="39">
        <v>84619</v>
      </c>
      <c r="Y158" s="39">
        <v>2745917</v>
      </c>
      <c r="Z158" s="39" t="s">
        <v>109</v>
      </c>
      <c r="AA158" s="39" t="s">
        <v>109</v>
      </c>
      <c r="AB158" s="39">
        <v>78667</v>
      </c>
      <c r="AC158" s="39">
        <v>64118</v>
      </c>
      <c r="AD158" s="39" t="s">
        <v>896</v>
      </c>
      <c r="AE158" s="39" t="s">
        <v>897</v>
      </c>
      <c r="AF158" s="136">
        <v>44033</v>
      </c>
      <c r="AG158" s="39">
        <v>155941758</v>
      </c>
      <c r="AH158" s="39">
        <v>39728877</v>
      </c>
      <c r="AI158" s="39">
        <v>27397288779</v>
      </c>
      <c r="AJ158" s="46">
        <v>43108</v>
      </c>
      <c r="AK158" s="46">
        <v>43409</v>
      </c>
      <c r="AL158" s="47">
        <v>43423</v>
      </c>
      <c r="AM158" s="39">
        <v>951</v>
      </c>
      <c r="AN158" s="137" t="s">
        <v>114</v>
      </c>
      <c r="AO158" s="141"/>
      <c r="AP158" s="139" t="s">
        <v>158</v>
      </c>
      <c r="AQ158" s="142" t="s">
        <v>1611</v>
      </c>
    </row>
    <row r="159" spans="1:43" x14ac:dyDescent="0.25">
      <c r="A159" s="44" t="s">
        <v>71</v>
      </c>
      <c r="B159" s="39" t="s">
        <v>83</v>
      </c>
      <c r="C159" s="39" t="s">
        <v>129</v>
      </c>
      <c r="D159" s="39" t="s">
        <v>898</v>
      </c>
      <c r="E159" s="39" t="s">
        <v>40</v>
      </c>
      <c r="F159" s="39" t="s">
        <v>420</v>
      </c>
      <c r="G159" s="39" t="s">
        <v>420</v>
      </c>
      <c r="H159" s="39" t="s">
        <v>420</v>
      </c>
      <c r="I159" s="39" t="s">
        <v>420</v>
      </c>
      <c r="J159" s="39" t="s">
        <v>420</v>
      </c>
      <c r="K159" s="39" t="s">
        <v>40</v>
      </c>
      <c r="L159" s="135"/>
      <c r="M159" s="45"/>
      <c r="N159" s="39" t="s">
        <v>1605</v>
      </c>
      <c r="O159" s="39">
        <v>0</v>
      </c>
      <c r="P159" s="39">
        <v>6</v>
      </c>
      <c r="Q159" s="39">
        <v>6</v>
      </c>
      <c r="R159" s="39">
        <v>6</v>
      </c>
      <c r="S159" s="39">
        <v>6</v>
      </c>
      <c r="T159" s="39">
        <v>6</v>
      </c>
      <c r="U159" s="39">
        <v>0</v>
      </c>
      <c r="V159" s="39">
        <v>30</v>
      </c>
      <c r="W159" s="39">
        <v>648069</v>
      </c>
      <c r="X159" s="39">
        <v>88353</v>
      </c>
      <c r="Y159" s="39">
        <v>3667094</v>
      </c>
      <c r="Z159" s="39" t="s">
        <v>455</v>
      </c>
      <c r="AA159" s="39" t="s">
        <v>119</v>
      </c>
      <c r="AB159" s="39">
        <v>64659</v>
      </c>
      <c r="AC159" s="39">
        <v>64118</v>
      </c>
      <c r="AD159" s="39" t="s">
        <v>899</v>
      </c>
      <c r="AE159" s="39" t="s">
        <v>900</v>
      </c>
      <c r="AF159" s="136">
        <v>43943</v>
      </c>
      <c r="AG159" s="39" t="s">
        <v>901</v>
      </c>
      <c r="AH159" s="39">
        <v>41238849</v>
      </c>
      <c r="AI159" s="39" t="s">
        <v>902</v>
      </c>
      <c r="AJ159" s="46">
        <v>43942</v>
      </c>
      <c r="AK159" s="46">
        <v>43942</v>
      </c>
      <c r="AL159" s="47">
        <v>43943</v>
      </c>
      <c r="AM159" s="39">
        <v>128</v>
      </c>
      <c r="AN159" s="137" t="s">
        <v>114</v>
      </c>
      <c r="AO159" s="141">
        <v>89970</v>
      </c>
      <c r="AP159" s="139" t="s">
        <v>115</v>
      </c>
      <c r="AQ159" s="142" t="s">
        <v>1611</v>
      </c>
    </row>
    <row r="160" spans="1:43" x14ac:dyDescent="0.25">
      <c r="A160" s="44" t="s">
        <v>71</v>
      </c>
      <c r="B160" s="39" t="s">
        <v>83</v>
      </c>
      <c r="C160" s="39" t="s">
        <v>903</v>
      </c>
      <c r="D160" s="39" t="s">
        <v>904</v>
      </c>
      <c r="E160" s="39" t="s">
        <v>40</v>
      </c>
      <c r="F160" s="39" t="s">
        <v>639</v>
      </c>
      <c r="G160" s="39" t="s">
        <v>639</v>
      </c>
      <c r="H160" s="39" t="s">
        <v>639</v>
      </c>
      <c r="I160" s="39" t="s">
        <v>639</v>
      </c>
      <c r="J160" s="39" t="s">
        <v>639</v>
      </c>
      <c r="K160" s="39" t="s">
        <v>40</v>
      </c>
      <c r="L160" s="135"/>
      <c r="M160" s="45"/>
      <c r="N160" s="39" t="s">
        <v>1605</v>
      </c>
      <c r="O160" s="39">
        <v>0</v>
      </c>
      <c r="P160" s="39">
        <v>5</v>
      </c>
      <c r="Q160" s="39">
        <v>5</v>
      </c>
      <c r="R160" s="39">
        <v>5</v>
      </c>
      <c r="S160" s="39">
        <v>5</v>
      </c>
      <c r="T160" s="39">
        <v>5</v>
      </c>
      <c r="U160" s="39">
        <v>0</v>
      </c>
      <c r="V160" s="39">
        <v>25</v>
      </c>
      <c r="W160" s="39">
        <v>648051</v>
      </c>
      <c r="X160" s="39">
        <v>88027</v>
      </c>
      <c r="Y160" s="39">
        <v>1213197</v>
      </c>
      <c r="Z160" s="39" t="s">
        <v>118</v>
      </c>
      <c r="AA160" s="39" t="s">
        <v>119</v>
      </c>
      <c r="AB160" s="39">
        <v>64659</v>
      </c>
      <c r="AC160" s="39">
        <v>64118</v>
      </c>
      <c r="AD160" s="39" t="s">
        <v>905</v>
      </c>
      <c r="AE160" s="39" t="s">
        <v>906</v>
      </c>
      <c r="AF160" s="136">
        <v>43943</v>
      </c>
      <c r="AG160" s="39" t="s">
        <v>907</v>
      </c>
      <c r="AH160" s="39">
        <v>37499087</v>
      </c>
      <c r="AI160" s="39" t="s">
        <v>908</v>
      </c>
      <c r="AJ160" s="46">
        <v>43942</v>
      </c>
      <c r="AK160" s="46">
        <v>43942</v>
      </c>
      <c r="AL160" s="47">
        <v>43943</v>
      </c>
      <c r="AM160" s="39">
        <v>128</v>
      </c>
      <c r="AN160" s="137" t="s">
        <v>114</v>
      </c>
      <c r="AO160" s="141">
        <v>89985</v>
      </c>
      <c r="AP160" s="139" t="s">
        <v>115</v>
      </c>
      <c r="AQ160" s="142" t="s">
        <v>1612</v>
      </c>
    </row>
    <row r="161" spans="1:43" x14ac:dyDescent="0.25">
      <c r="A161" s="44" t="s">
        <v>71</v>
      </c>
      <c r="B161" s="39" t="s">
        <v>83</v>
      </c>
      <c r="C161" s="39" t="s">
        <v>149</v>
      </c>
      <c r="D161" s="39" t="s">
        <v>909</v>
      </c>
      <c r="E161" s="39" t="s">
        <v>40</v>
      </c>
      <c r="F161" s="39" t="s">
        <v>420</v>
      </c>
      <c r="G161" s="39" t="s">
        <v>420</v>
      </c>
      <c r="H161" s="39" t="s">
        <v>420</v>
      </c>
      <c r="I161" s="39" t="s">
        <v>420</v>
      </c>
      <c r="J161" s="39" t="s">
        <v>420</v>
      </c>
      <c r="K161" s="39" t="s">
        <v>40</v>
      </c>
      <c r="L161" s="135"/>
      <c r="M161" s="45"/>
      <c r="N161" s="39" t="s">
        <v>1605</v>
      </c>
      <c r="O161" s="39">
        <v>0</v>
      </c>
      <c r="P161" s="39">
        <v>6</v>
      </c>
      <c r="Q161" s="39">
        <v>6</v>
      </c>
      <c r="R161" s="39">
        <v>6</v>
      </c>
      <c r="S161" s="39">
        <v>6</v>
      </c>
      <c r="T161" s="39">
        <v>6</v>
      </c>
      <c r="U161" s="39">
        <v>0</v>
      </c>
      <c r="V161" s="39">
        <v>30</v>
      </c>
      <c r="W161" s="39">
        <v>89091</v>
      </c>
      <c r="X161" s="39">
        <v>83571</v>
      </c>
      <c r="Y161" s="39">
        <v>2523179</v>
      </c>
      <c r="Z161" s="39" t="s">
        <v>146</v>
      </c>
      <c r="AA161" s="39" t="s">
        <v>119</v>
      </c>
      <c r="AB161" s="39">
        <v>64659</v>
      </c>
      <c r="AC161" s="39">
        <v>64118</v>
      </c>
      <c r="AD161" s="39" t="s">
        <v>910</v>
      </c>
      <c r="AE161" s="39" t="s">
        <v>911</v>
      </c>
      <c r="AF161" s="136">
        <v>43915</v>
      </c>
      <c r="AG161" s="39" t="s">
        <v>912</v>
      </c>
      <c r="AH161" s="39">
        <v>38488161</v>
      </c>
      <c r="AI161" s="39">
        <v>27384881616</v>
      </c>
      <c r="AJ161" s="46">
        <v>42891</v>
      </c>
      <c r="AK161" s="46">
        <v>43409</v>
      </c>
      <c r="AL161" s="47">
        <v>43423</v>
      </c>
      <c r="AM161" s="39">
        <v>1164</v>
      </c>
      <c r="AN161" s="137" t="s">
        <v>114</v>
      </c>
      <c r="AO161" s="141">
        <v>89986</v>
      </c>
      <c r="AP161" s="139" t="s">
        <v>115</v>
      </c>
      <c r="AQ161" s="142" t="s">
        <v>1611</v>
      </c>
    </row>
    <row r="162" spans="1:43" x14ac:dyDescent="0.25">
      <c r="A162" s="44" t="s">
        <v>71</v>
      </c>
      <c r="B162" s="39" t="s">
        <v>83</v>
      </c>
      <c r="C162" s="39" t="s">
        <v>913</v>
      </c>
      <c r="D162" s="39" t="s">
        <v>914</v>
      </c>
      <c r="E162" s="39" t="s">
        <v>40</v>
      </c>
      <c r="F162" s="39" t="s">
        <v>420</v>
      </c>
      <c r="G162" s="39" t="s">
        <v>420</v>
      </c>
      <c r="H162" s="39" t="s">
        <v>420</v>
      </c>
      <c r="I162" s="39" t="s">
        <v>420</v>
      </c>
      <c r="J162" s="39" t="s">
        <v>420</v>
      </c>
      <c r="K162" s="39" t="s">
        <v>40</v>
      </c>
      <c r="L162" s="135"/>
      <c r="M162" s="45"/>
      <c r="N162" s="39" t="s">
        <v>1605</v>
      </c>
      <c r="O162" s="39">
        <v>0</v>
      </c>
      <c r="P162" s="39">
        <v>6</v>
      </c>
      <c r="Q162" s="39">
        <v>6</v>
      </c>
      <c r="R162" s="39">
        <v>6</v>
      </c>
      <c r="S162" s="39">
        <v>6</v>
      </c>
      <c r="T162" s="39">
        <v>6</v>
      </c>
      <c r="U162" s="39">
        <v>0</v>
      </c>
      <c r="V162" s="39">
        <v>30</v>
      </c>
      <c r="W162" s="39">
        <v>89317</v>
      </c>
      <c r="X162" s="39">
        <v>88347</v>
      </c>
      <c r="Y162" s="39">
        <v>3123167</v>
      </c>
      <c r="Z162" s="39" t="s">
        <v>118</v>
      </c>
      <c r="AA162" s="39" t="s">
        <v>119</v>
      </c>
      <c r="AB162" s="39">
        <v>64659</v>
      </c>
      <c r="AC162" s="39">
        <v>64118</v>
      </c>
      <c r="AD162" s="39" t="s">
        <v>915</v>
      </c>
      <c r="AE162" s="39" t="s">
        <v>916</v>
      </c>
      <c r="AF162" s="136">
        <v>43910</v>
      </c>
      <c r="AG162" s="39"/>
      <c r="AH162" s="39">
        <v>42277306</v>
      </c>
      <c r="AI162" s="39">
        <v>20422773062</v>
      </c>
      <c r="AJ162" s="46">
        <v>43852</v>
      </c>
      <c r="AK162" s="46">
        <v>43852</v>
      </c>
      <c r="AL162" s="47">
        <v>43873</v>
      </c>
      <c r="AM162" s="39">
        <v>217</v>
      </c>
      <c r="AN162" s="137" t="s">
        <v>114</v>
      </c>
      <c r="AO162" s="141">
        <v>89974</v>
      </c>
      <c r="AP162" s="139" t="s">
        <v>115</v>
      </c>
      <c r="AQ162" s="142" t="s">
        <v>1611</v>
      </c>
    </row>
    <row r="163" spans="1:43" x14ac:dyDescent="0.25">
      <c r="A163" s="44" t="s">
        <v>71</v>
      </c>
      <c r="B163" s="39" t="s">
        <v>83</v>
      </c>
      <c r="C163" s="39" t="s">
        <v>917</v>
      </c>
      <c r="D163" s="39" t="s">
        <v>918</v>
      </c>
      <c r="E163" s="39" t="s">
        <v>40</v>
      </c>
      <c r="F163" s="39" t="s">
        <v>52</v>
      </c>
      <c r="G163" s="39" t="s">
        <v>52</v>
      </c>
      <c r="H163" s="39" t="s">
        <v>52</v>
      </c>
      <c r="I163" s="39" t="s">
        <v>52</v>
      </c>
      <c r="J163" s="39" t="s">
        <v>52</v>
      </c>
      <c r="K163" s="39" t="s">
        <v>40</v>
      </c>
      <c r="L163" s="135"/>
      <c r="M163" s="45" t="s">
        <v>599</v>
      </c>
      <c r="N163" s="39" t="s">
        <v>1605</v>
      </c>
      <c r="O163" s="39">
        <v>0</v>
      </c>
      <c r="P163" s="39">
        <v>0</v>
      </c>
      <c r="Q163" s="39">
        <v>0</v>
      </c>
      <c r="R163" s="39">
        <v>0</v>
      </c>
      <c r="S163" s="39">
        <v>0</v>
      </c>
      <c r="T163" s="39">
        <v>0</v>
      </c>
      <c r="U163" s="39">
        <v>0</v>
      </c>
      <c r="V163" s="39">
        <v>0</v>
      </c>
      <c r="W163" s="39">
        <v>89287</v>
      </c>
      <c r="X163" s="39">
        <v>88149</v>
      </c>
      <c r="Y163" s="39">
        <v>3624031</v>
      </c>
      <c r="Z163" s="39" t="s">
        <v>146</v>
      </c>
      <c r="AA163" s="39" t="s">
        <v>119</v>
      </c>
      <c r="AB163" s="39">
        <v>64659</v>
      </c>
      <c r="AC163" s="39">
        <v>64118</v>
      </c>
      <c r="AD163" s="39" t="s">
        <v>919</v>
      </c>
      <c r="AE163" s="39" t="s">
        <v>920</v>
      </c>
      <c r="AF163" s="136">
        <v>43917</v>
      </c>
      <c r="AG163" s="39"/>
      <c r="AH163" s="39">
        <v>39146028</v>
      </c>
      <c r="AI163" s="39">
        <v>27391460286</v>
      </c>
      <c r="AJ163" s="46">
        <v>43808</v>
      </c>
      <c r="AK163" s="46">
        <v>43808</v>
      </c>
      <c r="AL163" s="47">
        <v>43831</v>
      </c>
      <c r="AM163" s="39">
        <v>260</v>
      </c>
      <c r="AN163" s="137" t="s">
        <v>114</v>
      </c>
      <c r="AO163" s="141">
        <v>89987</v>
      </c>
      <c r="AP163" s="139" t="s">
        <v>115</v>
      </c>
      <c r="AQ163" s="142" t="s">
        <v>1611</v>
      </c>
    </row>
    <row r="164" spans="1:43" x14ac:dyDescent="0.25">
      <c r="A164" s="44" t="s">
        <v>71</v>
      </c>
      <c r="B164" s="39" t="s">
        <v>83</v>
      </c>
      <c r="C164" s="39" t="s">
        <v>921</v>
      </c>
      <c r="D164" s="39" t="s">
        <v>922</v>
      </c>
      <c r="E164" s="39" t="s">
        <v>40</v>
      </c>
      <c r="F164" s="39" t="s">
        <v>420</v>
      </c>
      <c r="G164" s="39" t="s">
        <v>420</v>
      </c>
      <c r="H164" s="39" t="s">
        <v>420</v>
      </c>
      <c r="I164" s="39" t="s">
        <v>420</v>
      </c>
      <c r="J164" s="39" t="s">
        <v>420</v>
      </c>
      <c r="K164" s="39" t="s">
        <v>40</v>
      </c>
      <c r="L164" s="135"/>
      <c r="M164" s="45"/>
      <c r="N164" s="39" t="s">
        <v>1605</v>
      </c>
      <c r="O164" s="39">
        <v>0</v>
      </c>
      <c r="P164" s="39">
        <v>6</v>
      </c>
      <c r="Q164" s="39">
        <v>6</v>
      </c>
      <c r="R164" s="39">
        <v>6</v>
      </c>
      <c r="S164" s="39">
        <v>6</v>
      </c>
      <c r="T164" s="39">
        <v>6</v>
      </c>
      <c r="U164" s="39">
        <v>0</v>
      </c>
      <c r="V164" s="39">
        <v>30</v>
      </c>
      <c r="W164" s="39">
        <v>89286</v>
      </c>
      <c r="X164" s="39">
        <v>88148</v>
      </c>
      <c r="Y164" s="39">
        <v>3624029</v>
      </c>
      <c r="Z164" s="39" t="s">
        <v>109</v>
      </c>
      <c r="AA164" s="39" t="s">
        <v>109</v>
      </c>
      <c r="AB164" s="39">
        <v>64659</v>
      </c>
      <c r="AC164" s="39">
        <v>64118</v>
      </c>
      <c r="AD164" s="39" t="s">
        <v>923</v>
      </c>
      <c r="AE164" s="39" t="s">
        <v>924</v>
      </c>
      <c r="AF164" s="136">
        <v>43917</v>
      </c>
      <c r="AG164" s="39"/>
      <c r="AH164" s="39">
        <v>41736994</v>
      </c>
      <c r="AI164" s="39">
        <v>27417369940</v>
      </c>
      <c r="AJ164" s="46">
        <v>43808</v>
      </c>
      <c r="AK164" s="46">
        <v>43808</v>
      </c>
      <c r="AL164" s="47">
        <v>43831</v>
      </c>
      <c r="AM164" s="39">
        <v>260</v>
      </c>
      <c r="AN164" s="137" t="s">
        <v>114</v>
      </c>
      <c r="AO164" s="141">
        <v>89988</v>
      </c>
      <c r="AP164" s="139" t="s">
        <v>115</v>
      </c>
      <c r="AQ164" s="142" t="s">
        <v>1611</v>
      </c>
    </row>
    <row r="165" spans="1:43" x14ac:dyDescent="0.25">
      <c r="A165" s="44" t="s">
        <v>71</v>
      </c>
      <c r="B165" s="39" t="s">
        <v>83</v>
      </c>
      <c r="C165" s="39" t="s">
        <v>925</v>
      </c>
      <c r="D165" s="39" t="s">
        <v>926</v>
      </c>
      <c r="E165" s="39" t="s">
        <v>40</v>
      </c>
      <c r="F165" s="39" t="s">
        <v>420</v>
      </c>
      <c r="G165" s="39" t="s">
        <v>420</v>
      </c>
      <c r="H165" s="39" t="s">
        <v>420</v>
      </c>
      <c r="I165" s="39" t="s">
        <v>420</v>
      </c>
      <c r="J165" s="39" t="s">
        <v>420</v>
      </c>
      <c r="K165" s="39" t="s">
        <v>40</v>
      </c>
      <c r="L165" s="135"/>
      <c r="M165" s="45"/>
      <c r="N165" s="39" t="s">
        <v>1605</v>
      </c>
      <c r="O165" s="39">
        <v>0</v>
      </c>
      <c r="P165" s="39">
        <v>6</v>
      </c>
      <c r="Q165" s="39">
        <v>6</v>
      </c>
      <c r="R165" s="39">
        <v>6</v>
      </c>
      <c r="S165" s="39">
        <v>6</v>
      </c>
      <c r="T165" s="39">
        <v>6</v>
      </c>
      <c r="U165" s="39">
        <v>0</v>
      </c>
      <c r="V165" s="39">
        <v>30</v>
      </c>
      <c r="W165" s="39">
        <v>89090</v>
      </c>
      <c r="X165" s="39">
        <v>83904</v>
      </c>
      <c r="Y165" s="39">
        <v>2657802</v>
      </c>
      <c r="Z165" s="39" t="s">
        <v>118</v>
      </c>
      <c r="AA165" s="39" t="s">
        <v>119</v>
      </c>
      <c r="AB165" s="39">
        <v>64659</v>
      </c>
      <c r="AC165" s="39">
        <v>64118</v>
      </c>
      <c r="AD165" s="39" t="s">
        <v>927</v>
      </c>
      <c r="AE165" s="39" t="s">
        <v>928</v>
      </c>
      <c r="AF165" s="136">
        <v>43915</v>
      </c>
      <c r="AG165" s="39" t="s">
        <v>929</v>
      </c>
      <c r="AH165" s="39">
        <v>37657901</v>
      </c>
      <c r="AI165" s="39">
        <v>27376579013</v>
      </c>
      <c r="AJ165" s="46">
        <v>43010</v>
      </c>
      <c r="AK165" s="46">
        <v>43409</v>
      </c>
      <c r="AL165" s="47">
        <v>43423</v>
      </c>
      <c r="AM165" s="39">
        <v>1047</v>
      </c>
      <c r="AN165" s="137" t="s">
        <v>114</v>
      </c>
      <c r="AO165" s="141">
        <v>89989</v>
      </c>
      <c r="AP165" s="139" t="s">
        <v>115</v>
      </c>
      <c r="AQ165" s="142" t="s">
        <v>1611</v>
      </c>
    </row>
    <row r="166" spans="1:43" x14ac:dyDescent="0.25">
      <c r="A166" s="44" t="s">
        <v>71</v>
      </c>
      <c r="B166" s="39" t="s">
        <v>83</v>
      </c>
      <c r="C166" s="39" t="s">
        <v>930</v>
      </c>
      <c r="D166" s="39" t="s">
        <v>931</v>
      </c>
      <c r="E166" s="39" t="s">
        <v>40</v>
      </c>
      <c r="F166" s="39" t="s">
        <v>639</v>
      </c>
      <c r="G166" s="39" t="s">
        <v>639</v>
      </c>
      <c r="H166" s="39" t="s">
        <v>639</v>
      </c>
      <c r="I166" s="39" t="s">
        <v>639</v>
      </c>
      <c r="J166" s="39" t="s">
        <v>639</v>
      </c>
      <c r="K166" s="39" t="s">
        <v>40</v>
      </c>
      <c r="L166" s="135"/>
      <c r="M166" s="45"/>
      <c r="N166" s="39" t="s">
        <v>1605</v>
      </c>
      <c r="O166" s="39">
        <v>0</v>
      </c>
      <c r="P166" s="39">
        <v>5</v>
      </c>
      <c r="Q166" s="39">
        <v>5</v>
      </c>
      <c r="R166" s="39">
        <v>5</v>
      </c>
      <c r="S166" s="39">
        <v>5</v>
      </c>
      <c r="T166" s="39">
        <v>5</v>
      </c>
      <c r="U166" s="39">
        <v>0</v>
      </c>
      <c r="V166" s="39">
        <v>25</v>
      </c>
      <c r="W166" s="39">
        <v>648052</v>
      </c>
      <c r="X166" s="39">
        <v>88028</v>
      </c>
      <c r="Y166" s="39">
        <v>3553088</v>
      </c>
      <c r="Z166" s="39" t="s">
        <v>118</v>
      </c>
      <c r="AA166" s="39" t="s">
        <v>119</v>
      </c>
      <c r="AB166" s="39">
        <v>64659</v>
      </c>
      <c r="AC166" s="39">
        <v>64118</v>
      </c>
      <c r="AD166" s="39" t="s">
        <v>932</v>
      </c>
      <c r="AE166" s="39" t="s">
        <v>933</v>
      </c>
      <c r="AF166" s="136">
        <v>43943</v>
      </c>
      <c r="AG166" s="39" t="s">
        <v>934</v>
      </c>
      <c r="AH166" s="39">
        <v>34603002</v>
      </c>
      <c r="AI166" s="39" t="s">
        <v>935</v>
      </c>
      <c r="AJ166" s="46">
        <v>43942</v>
      </c>
      <c r="AK166" s="46">
        <v>43942</v>
      </c>
      <c r="AL166" s="47">
        <v>43943</v>
      </c>
      <c r="AM166" s="39">
        <v>128</v>
      </c>
      <c r="AN166" s="137" t="s">
        <v>114</v>
      </c>
      <c r="AO166" s="141">
        <v>89990</v>
      </c>
      <c r="AP166" s="139" t="s">
        <v>115</v>
      </c>
      <c r="AQ166" s="142" t="s">
        <v>1612</v>
      </c>
    </row>
    <row r="167" spans="1:43" x14ac:dyDescent="0.25">
      <c r="A167" s="44" t="s">
        <v>71</v>
      </c>
      <c r="B167" s="39" t="s">
        <v>83</v>
      </c>
      <c r="C167" s="39" t="s">
        <v>936</v>
      </c>
      <c r="D167" s="39" t="s">
        <v>937</v>
      </c>
      <c r="E167" s="39" t="s">
        <v>40</v>
      </c>
      <c r="F167" s="39" t="s">
        <v>420</v>
      </c>
      <c r="G167" s="39" t="s">
        <v>420</v>
      </c>
      <c r="H167" s="39" t="s">
        <v>420</v>
      </c>
      <c r="I167" s="39" t="s">
        <v>420</v>
      </c>
      <c r="J167" s="39" t="s">
        <v>420</v>
      </c>
      <c r="K167" s="39" t="s">
        <v>40</v>
      </c>
      <c r="L167" s="135"/>
      <c r="M167" s="45"/>
      <c r="N167" s="39" t="s">
        <v>1605</v>
      </c>
      <c r="O167" s="39">
        <v>0</v>
      </c>
      <c r="P167" s="39">
        <v>6</v>
      </c>
      <c r="Q167" s="39">
        <v>6</v>
      </c>
      <c r="R167" s="39">
        <v>6</v>
      </c>
      <c r="S167" s="39">
        <v>6</v>
      </c>
      <c r="T167" s="39">
        <v>6</v>
      </c>
      <c r="U167" s="39">
        <v>0</v>
      </c>
      <c r="V167" s="39">
        <v>30</v>
      </c>
      <c r="W167" s="39">
        <v>89276</v>
      </c>
      <c r="X167" s="39">
        <v>88138</v>
      </c>
      <c r="Y167" s="39">
        <v>3623917</v>
      </c>
      <c r="Z167" s="39" t="s">
        <v>109</v>
      </c>
      <c r="AA167" s="39" t="s">
        <v>109</v>
      </c>
      <c r="AB167" s="39">
        <v>64659</v>
      </c>
      <c r="AC167" s="39">
        <v>64118</v>
      </c>
      <c r="AD167" s="39" t="s">
        <v>938</v>
      </c>
      <c r="AE167" s="39" t="s">
        <v>939</v>
      </c>
      <c r="AF167" s="136">
        <v>43919</v>
      </c>
      <c r="AG167" s="39"/>
      <c r="AH167" s="39">
        <v>36998325</v>
      </c>
      <c r="AI167" s="39">
        <v>27369983259</v>
      </c>
      <c r="AJ167" s="46">
        <v>43808</v>
      </c>
      <c r="AK167" s="46">
        <v>43808</v>
      </c>
      <c r="AL167" s="47">
        <v>43831</v>
      </c>
      <c r="AM167" s="39">
        <v>260</v>
      </c>
      <c r="AN167" s="137" t="s">
        <v>114</v>
      </c>
      <c r="AO167" s="141">
        <v>89991</v>
      </c>
      <c r="AP167" s="139" t="s">
        <v>115</v>
      </c>
      <c r="AQ167" s="142" t="s">
        <v>1611</v>
      </c>
    </row>
    <row r="168" spans="1:43" x14ac:dyDescent="0.25">
      <c r="A168" s="44" t="s">
        <v>71</v>
      </c>
      <c r="B168" s="39" t="s">
        <v>83</v>
      </c>
      <c r="C168" s="39" t="s">
        <v>855</v>
      </c>
      <c r="D168" s="39" t="s">
        <v>940</v>
      </c>
      <c r="E168" s="39" t="s">
        <v>40</v>
      </c>
      <c r="F168" s="39" t="s">
        <v>420</v>
      </c>
      <c r="G168" s="39" t="s">
        <v>420</v>
      </c>
      <c r="H168" s="39" t="s">
        <v>420</v>
      </c>
      <c r="I168" s="39" t="s">
        <v>420</v>
      </c>
      <c r="J168" s="39" t="s">
        <v>420</v>
      </c>
      <c r="K168" s="39" t="s">
        <v>40</v>
      </c>
      <c r="L168" s="135"/>
      <c r="M168" s="45"/>
      <c r="N168" s="39" t="s">
        <v>1605</v>
      </c>
      <c r="O168" s="39">
        <v>0</v>
      </c>
      <c r="P168" s="39">
        <v>6</v>
      </c>
      <c r="Q168" s="39">
        <v>6</v>
      </c>
      <c r="R168" s="39">
        <v>6</v>
      </c>
      <c r="S168" s="39">
        <v>6</v>
      </c>
      <c r="T168" s="39">
        <v>6</v>
      </c>
      <c r="U168" s="39">
        <v>0</v>
      </c>
      <c r="V168" s="39">
        <v>30</v>
      </c>
      <c r="W168" s="39">
        <v>89191</v>
      </c>
      <c r="X168" s="39">
        <v>86331</v>
      </c>
      <c r="Y168" s="39">
        <v>3138494</v>
      </c>
      <c r="Z168" s="39" t="s">
        <v>109</v>
      </c>
      <c r="AA168" s="39" t="s">
        <v>110</v>
      </c>
      <c r="AB168" s="39">
        <v>64659</v>
      </c>
      <c r="AC168" s="39">
        <v>64118</v>
      </c>
      <c r="AD168" s="39" t="s">
        <v>941</v>
      </c>
      <c r="AE168" s="39" t="s">
        <v>942</v>
      </c>
      <c r="AF168" s="136">
        <v>43916</v>
      </c>
      <c r="AG168" s="39" t="s">
        <v>943</v>
      </c>
      <c r="AH168" s="39">
        <v>41983155</v>
      </c>
      <c r="AI168" s="39">
        <v>27419831552</v>
      </c>
      <c r="AJ168" s="46">
        <v>43460</v>
      </c>
      <c r="AK168" s="46">
        <v>43460</v>
      </c>
      <c r="AL168" s="47">
        <v>43476</v>
      </c>
      <c r="AM168" s="39">
        <v>603</v>
      </c>
      <c r="AN168" s="137" t="s">
        <v>114</v>
      </c>
      <c r="AO168" s="141">
        <v>89992</v>
      </c>
      <c r="AP168" s="139" t="s">
        <v>115</v>
      </c>
      <c r="AQ168" s="142" t="s">
        <v>1611</v>
      </c>
    </row>
    <row r="169" spans="1:43" x14ac:dyDescent="0.25">
      <c r="A169" s="44" t="s">
        <v>71</v>
      </c>
      <c r="B169" s="39" t="s">
        <v>83</v>
      </c>
      <c r="C169" s="39" t="s">
        <v>944</v>
      </c>
      <c r="D169" s="39" t="s">
        <v>945</v>
      </c>
      <c r="E169" s="39" t="s">
        <v>40</v>
      </c>
      <c r="F169" s="39" t="s">
        <v>52</v>
      </c>
      <c r="G169" s="39" t="s">
        <v>52</v>
      </c>
      <c r="H169" s="39" t="s">
        <v>52</v>
      </c>
      <c r="I169" s="39" t="s">
        <v>52</v>
      </c>
      <c r="J169" s="39" t="s">
        <v>52</v>
      </c>
      <c r="K169" s="39" t="s">
        <v>40</v>
      </c>
      <c r="L169" s="135"/>
      <c r="M169" s="45" t="s">
        <v>946</v>
      </c>
      <c r="N169" s="39" t="s">
        <v>1605</v>
      </c>
      <c r="O169" s="39">
        <v>0</v>
      </c>
      <c r="P169" s="39">
        <v>0</v>
      </c>
      <c r="Q169" s="39">
        <v>0</v>
      </c>
      <c r="R169" s="39">
        <v>0</v>
      </c>
      <c r="S169" s="39">
        <v>0</v>
      </c>
      <c r="T169" s="39">
        <v>0</v>
      </c>
      <c r="U169" s="39">
        <v>0</v>
      </c>
      <c r="V169" s="39">
        <v>0</v>
      </c>
      <c r="W169" s="39">
        <v>89255</v>
      </c>
      <c r="X169" s="39">
        <v>88030</v>
      </c>
      <c r="Y169" s="39">
        <v>2852874</v>
      </c>
      <c r="Z169" s="39" t="s">
        <v>118</v>
      </c>
      <c r="AA169" s="39" t="s">
        <v>119</v>
      </c>
      <c r="AB169" s="39">
        <v>64659</v>
      </c>
      <c r="AC169" s="39">
        <v>64118</v>
      </c>
      <c r="AD169" s="39" t="s">
        <v>947</v>
      </c>
      <c r="AE169" s="39" t="s">
        <v>948</v>
      </c>
      <c r="AF169" s="136">
        <v>43910</v>
      </c>
      <c r="AG169" s="39" t="s">
        <v>949</v>
      </c>
      <c r="AH169" s="39">
        <v>36998204</v>
      </c>
      <c r="AI169" s="39">
        <v>20369982045</v>
      </c>
      <c r="AJ169" s="46">
        <v>43766</v>
      </c>
      <c r="AK169" s="46">
        <v>43766</v>
      </c>
      <c r="AL169" s="47">
        <v>43776</v>
      </c>
      <c r="AM169" s="39">
        <v>301</v>
      </c>
      <c r="AN169" s="137" t="s">
        <v>114</v>
      </c>
      <c r="AO169" s="141">
        <v>89993</v>
      </c>
      <c r="AP169" s="139" t="s">
        <v>115</v>
      </c>
      <c r="AQ169" s="142" t="s">
        <v>1612</v>
      </c>
    </row>
    <row r="170" spans="1:43" x14ac:dyDescent="0.25">
      <c r="A170" s="44" t="s">
        <v>71</v>
      </c>
      <c r="B170" s="39" t="s">
        <v>83</v>
      </c>
      <c r="C170" s="39" t="s">
        <v>424</v>
      </c>
      <c r="D170" s="39" t="s">
        <v>669</v>
      </c>
      <c r="E170" s="39" t="s">
        <v>40</v>
      </c>
      <c r="F170" s="39" t="s">
        <v>639</v>
      </c>
      <c r="G170" s="39" t="s">
        <v>639</v>
      </c>
      <c r="H170" s="39" t="s">
        <v>639</v>
      </c>
      <c r="I170" s="39" t="s">
        <v>639</v>
      </c>
      <c r="J170" s="39" t="s">
        <v>639</v>
      </c>
      <c r="K170" s="39" t="s">
        <v>40</v>
      </c>
      <c r="L170" s="135"/>
      <c r="M170" s="45"/>
      <c r="N170" s="39" t="s">
        <v>1605</v>
      </c>
      <c r="O170" s="39">
        <v>0</v>
      </c>
      <c r="P170" s="39">
        <v>5</v>
      </c>
      <c r="Q170" s="39">
        <v>5</v>
      </c>
      <c r="R170" s="39">
        <v>5</v>
      </c>
      <c r="S170" s="39">
        <v>5</v>
      </c>
      <c r="T170" s="39">
        <v>5</v>
      </c>
      <c r="U170" s="39">
        <v>0</v>
      </c>
      <c r="V170" s="39">
        <v>25</v>
      </c>
      <c r="W170" s="39">
        <v>648050</v>
      </c>
      <c r="X170" s="39">
        <v>88026</v>
      </c>
      <c r="Y170" s="39">
        <v>3553083</v>
      </c>
      <c r="Z170" s="39" t="s">
        <v>118</v>
      </c>
      <c r="AA170" s="39" t="s">
        <v>119</v>
      </c>
      <c r="AB170" s="39">
        <v>64659</v>
      </c>
      <c r="AC170" s="39">
        <v>64118</v>
      </c>
      <c r="AD170" s="39" t="s">
        <v>950</v>
      </c>
      <c r="AE170" s="39" t="s">
        <v>352</v>
      </c>
      <c r="AF170" s="136">
        <v>43943</v>
      </c>
      <c r="AG170" s="39" t="s">
        <v>951</v>
      </c>
      <c r="AH170" s="39">
        <v>43202751</v>
      </c>
      <c r="AI170" s="39" t="s">
        <v>952</v>
      </c>
      <c r="AJ170" s="46">
        <v>43942</v>
      </c>
      <c r="AK170" s="46">
        <v>43942</v>
      </c>
      <c r="AL170" s="47">
        <v>43943</v>
      </c>
      <c r="AM170" s="39">
        <v>128</v>
      </c>
      <c r="AN170" s="137" t="s">
        <v>114</v>
      </c>
      <c r="AO170" s="141">
        <v>89995</v>
      </c>
      <c r="AP170" s="139" t="s">
        <v>115</v>
      </c>
      <c r="AQ170" s="142" t="s">
        <v>1612</v>
      </c>
    </row>
    <row r="171" spans="1:43" x14ac:dyDescent="0.25">
      <c r="A171" s="44" t="s">
        <v>71</v>
      </c>
      <c r="B171" s="39" t="s">
        <v>83</v>
      </c>
      <c r="C171" s="39" t="s">
        <v>798</v>
      </c>
      <c r="D171" s="39" t="s">
        <v>953</v>
      </c>
      <c r="E171" s="39" t="s">
        <v>40</v>
      </c>
      <c r="F171" s="39" t="s">
        <v>420</v>
      </c>
      <c r="G171" s="39" t="s">
        <v>420</v>
      </c>
      <c r="H171" s="39" t="s">
        <v>420</v>
      </c>
      <c r="I171" s="39" t="s">
        <v>420</v>
      </c>
      <c r="J171" s="39" t="s">
        <v>420</v>
      </c>
      <c r="K171" s="39" t="s">
        <v>40</v>
      </c>
      <c r="L171" s="135"/>
      <c r="M171" s="45"/>
      <c r="N171" s="39" t="s">
        <v>1605</v>
      </c>
      <c r="O171" s="39">
        <v>0</v>
      </c>
      <c r="P171" s="39">
        <v>6</v>
      </c>
      <c r="Q171" s="39">
        <v>6</v>
      </c>
      <c r="R171" s="39">
        <v>6</v>
      </c>
      <c r="S171" s="39">
        <v>6</v>
      </c>
      <c r="T171" s="39">
        <v>6</v>
      </c>
      <c r="U171" s="39">
        <v>0</v>
      </c>
      <c r="V171" s="39">
        <v>30</v>
      </c>
      <c r="W171" s="39">
        <v>648365</v>
      </c>
      <c r="X171" s="39">
        <v>76572</v>
      </c>
      <c r="Y171" s="39">
        <v>796746</v>
      </c>
      <c r="Z171" s="39" t="s">
        <v>119</v>
      </c>
      <c r="AA171" s="39" t="s">
        <v>119</v>
      </c>
      <c r="AB171" s="39">
        <v>64659</v>
      </c>
      <c r="AC171" s="39">
        <v>64118</v>
      </c>
      <c r="AD171" s="39" t="s">
        <v>954</v>
      </c>
      <c r="AE171" s="39" t="s">
        <v>955</v>
      </c>
      <c r="AF171" s="136">
        <v>43969</v>
      </c>
      <c r="AG171" s="39" t="s">
        <v>956</v>
      </c>
      <c r="AH171" s="39">
        <v>30835040</v>
      </c>
      <c r="AI171" s="39">
        <v>27308350407</v>
      </c>
      <c r="AJ171" s="46">
        <v>41008</v>
      </c>
      <c r="AK171" s="46">
        <v>43962</v>
      </c>
      <c r="AL171" s="47">
        <v>43969</v>
      </c>
      <c r="AM171" s="39">
        <v>3020</v>
      </c>
      <c r="AN171" s="137" t="s">
        <v>114</v>
      </c>
      <c r="AO171" s="141">
        <v>648333</v>
      </c>
      <c r="AP171" s="139" t="s">
        <v>115</v>
      </c>
      <c r="AQ171" s="142" t="s">
        <v>1611</v>
      </c>
    </row>
    <row r="172" spans="1:43" x14ac:dyDescent="0.25">
      <c r="A172" s="44" t="s">
        <v>71</v>
      </c>
      <c r="B172" s="39" t="s">
        <v>83</v>
      </c>
      <c r="C172" s="39" t="s">
        <v>957</v>
      </c>
      <c r="D172" s="39" t="s">
        <v>958</v>
      </c>
      <c r="E172" s="39" t="s">
        <v>40</v>
      </c>
      <c r="F172" s="39" t="s">
        <v>420</v>
      </c>
      <c r="G172" s="39" t="s">
        <v>420</v>
      </c>
      <c r="H172" s="39" t="s">
        <v>420</v>
      </c>
      <c r="I172" s="39" t="s">
        <v>420</v>
      </c>
      <c r="J172" s="39" t="s">
        <v>420</v>
      </c>
      <c r="K172" s="39" t="s">
        <v>40</v>
      </c>
      <c r="L172" s="135"/>
      <c r="M172" s="45"/>
      <c r="N172" s="39" t="s">
        <v>1605</v>
      </c>
      <c r="O172" s="39">
        <v>0</v>
      </c>
      <c r="P172" s="39">
        <v>6</v>
      </c>
      <c r="Q172" s="39">
        <v>6</v>
      </c>
      <c r="R172" s="39">
        <v>6</v>
      </c>
      <c r="S172" s="39">
        <v>6</v>
      </c>
      <c r="T172" s="39">
        <v>6</v>
      </c>
      <c r="U172" s="39">
        <v>0</v>
      </c>
      <c r="V172" s="39">
        <v>30</v>
      </c>
      <c r="W172" s="39">
        <v>89285</v>
      </c>
      <c r="X172" s="39">
        <v>88147</v>
      </c>
      <c r="Y172" s="39">
        <v>3624028</v>
      </c>
      <c r="Z172" s="39" t="s">
        <v>118</v>
      </c>
      <c r="AA172" s="39" t="s">
        <v>119</v>
      </c>
      <c r="AB172" s="39">
        <v>64659</v>
      </c>
      <c r="AC172" s="39">
        <v>64118</v>
      </c>
      <c r="AD172" s="39" t="s">
        <v>959</v>
      </c>
      <c r="AE172" s="39" t="s">
        <v>960</v>
      </c>
      <c r="AF172" s="136">
        <v>43917</v>
      </c>
      <c r="AG172" s="39"/>
      <c r="AH172" s="39">
        <v>39078566</v>
      </c>
      <c r="AI172" s="39">
        <v>27390785661</v>
      </c>
      <c r="AJ172" s="46">
        <v>43808</v>
      </c>
      <c r="AK172" s="46">
        <v>43808</v>
      </c>
      <c r="AL172" s="47">
        <v>43831</v>
      </c>
      <c r="AM172" s="39">
        <v>260</v>
      </c>
      <c r="AN172" s="137" t="s">
        <v>114</v>
      </c>
      <c r="AO172" s="141">
        <v>89996</v>
      </c>
      <c r="AP172" s="139" t="s">
        <v>115</v>
      </c>
      <c r="AQ172" s="142" t="s">
        <v>1611</v>
      </c>
    </row>
    <row r="173" spans="1:43" x14ac:dyDescent="0.25">
      <c r="A173" s="44" t="s">
        <v>71</v>
      </c>
      <c r="B173" s="39" t="s">
        <v>83</v>
      </c>
      <c r="C173" s="39" t="s">
        <v>961</v>
      </c>
      <c r="D173" s="39" t="s">
        <v>962</v>
      </c>
      <c r="E173" s="39" t="s">
        <v>40</v>
      </c>
      <c r="F173" s="39" t="s">
        <v>52</v>
      </c>
      <c r="G173" s="39" t="s">
        <v>52</v>
      </c>
      <c r="H173" s="39" t="s">
        <v>52</v>
      </c>
      <c r="I173" s="39" t="s">
        <v>52</v>
      </c>
      <c r="J173" s="39" t="s">
        <v>52</v>
      </c>
      <c r="K173" s="39" t="s">
        <v>40</v>
      </c>
      <c r="L173" s="135"/>
      <c r="M173" s="45" t="s">
        <v>599</v>
      </c>
      <c r="N173" s="39" t="s">
        <v>1605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9">
        <v>89279</v>
      </c>
      <c r="X173" s="39">
        <v>88141</v>
      </c>
      <c r="Y173" s="39">
        <v>3623928</v>
      </c>
      <c r="Z173" s="39" t="s">
        <v>118</v>
      </c>
      <c r="AA173" s="39" t="s">
        <v>119</v>
      </c>
      <c r="AB173" s="39">
        <v>64659</v>
      </c>
      <c r="AC173" s="39">
        <v>64118</v>
      </c>
      <c r="AD173" s="39" t="s">
        <v>963</v>
      </c>
      <c r="AE173" s="39" t="s">
        <v>964</v>
      </c>
      <c r="AF173" s="136">
        <v>43916</v>
      </c>
      <c r="AG173" s="39"/>
      <c r="AH173" s="39">
        <v>40356540</v>
      </c>
      <c r="AI173" s="39">
        <v>27403565402</v>
      </c>
      <c r="AJ173" s="46">
        <v>43808</v>
      </c>
      <c r="AK173" s="46">
        <v>43808</v>
      </c>
      <c r="AL173" s="47">
        <v>43831</v>
      </c>
      <c r="AM173" s="39">
        <v>260</v>
      </c>
      <c r="AN173" s="137" t="s">
        <v>114</v>
      </c>
      <c r="AO173" s="141">
        <v>89997</v>
      </c>
      <c r="AP173" s="139" t="s">
        <v>115</v>
      </c>
      <c r="AQ173" s="142" t="s">
        <v>1611</v>
      </c>
    </row>
    <row r="174" spans="1:43" x14ac:dyDescent="0.25">
      <c r="A174" s="44" t="s">
        <v>71</v>
      </c>
      <c r="B174" s="39" t="s">
        <v>83</v>
      </c>
      <c r="C174" s="39" t="s">
        <v>965</v>
      </c>
      <c r="D174" s="39" t="s">
        <v>966</v>
      </c>
      <c r="E174" s="39" t="s">
        <v>40</v>
      </c>
      <c r="F174" s="39" t="s">
        <v>420</v>
      </c>
      <c r="G174" s="39" t="s">
        <v>420</v>
      </c>
      <c r="H174" s="39" t="s">
        <v>420</v>
      </c>
      <c r="I174" s="39" t="s">
        <v>420</v>
      </c>
      <c r="J174" s="39" t="s">
        <v>420</v>
      </c>
      <c r="K174" s="39" t="s">
        <v>40</v>
      </c>
      <c r="L174" s="135"/>
      <c r="M174" s="45"/>
      <c r="N174" s="39" t="s">
        <v>1605</v>
      </c>
      <c r="O174" s="39">
        <v>0</v>
      </c>
      <c r="P174" s="39">
        <v>6</v>
      </c>
      <c r="Q174" s="39">
        <v>6</v>
      </c>
      <c r="R174" s="39">
        <v>6</v>
      </c>
      <c r="S174" s="39">
        <v>6</v>
      </c>
      <c r="T174" s="39">
        <v>6</v>
      </c>
      <c r="U174" s="39">
        <v>0</v>
      </c>
      <c r="V174" s="39">
        <v>30</v>
      </c>
      <c r="W174" s="39">
        <v>648237</v>
      </c>
      <c r="X174" s="39">
        <v>78142</v>
      </c>
      <c r="Y174" s="39">
        <v>1154719</v>
      </c>
      <c r="Z174" s="39" t="s">
        <v>119</v>
      </c>
      <c r="AA174" s="39" t="s">
        <v>350</v>
      </c>
      <c r="AB174" s="39">
        <v>64659</v>
      </c>
      <c r="AC174" s="39">
        <v>64118</v>
      </c>
      <c r="AD174" s="39" t="s">
        <v>967</v>
      </c>
      <c r="AE174" s="39" t="s">
        <v>968</v>
      </c>
      <c r="AF174" s="136">
        <v>43935</v>
      </c>
      <c r="AG174" s="39" t="s">
        <v>969</v>
      </c>
      <c r="AH174" s="39">
        <v>37191171</v>
      </c>
      <c r="AI174" s="39">
        <v>20371911716</v>
      </c>
      <c r="AJ174" s="46">
        <v>41568</v>
      </c>
      <c r="AK174" s="46">
        <v>43930</v>
      </c>
      <c r="AL174" s="47">
        <v>43935</v>
      </c>
      <c r="AM174" s="39">
        <v>2468</v>
      </c>
      <c r="AN174" s="137" t="s">
        <v>114</v>
      </c>
      <c r="AO174" s="141">
        <v>89911</v>
      </c>
      <c r="AP174" s="139" t="s">
        <v>115</v>
      </c>
      <c r="AQ174" s="142" t="s">
        <v>1611</v>
      </c>
    </row>
    <row r="175" spans="1:43" x14ac:dyDescent="0.25">
      <c r="A175" s="44" t="s">
        <v>71</v>
      </c>
      <c r="B175" s="39" t="s">
        <v>83</v>
      </c>
      <c r="C175" s="39" t="s">
        <v>970</v>
      </c>
      <c r="D175" s="39" t="s">
        <v>971</v>
      </c>
      <c r="E175" s="39" t="s">
        <v>40</v>
      </c>
      <c r="F175" s="39" t="s">
        <v>420</v>
      </c>
      <c r="G175" s="39" t="s">
        <v>420</v>
      </c>
      <c r="H175" s="39" t="s">
        <v>420</v>
      </c>
      <c r="I175" s="39" t="s">
        <v>420</v>
      </c>
      <c r="J175" s="39" t="s">
        <v>420</v>
      </c>
      <c r="K175" s="39" t="s">
        <v>40</v>
      </c>
      <c r="L175" s="135"/>
      <c r="M175" s="45"/>
      <c r="N175" s="39" t="s">
        <v>1605</v>
      </c>
      <c r="O175" s="39">
        <v>0</v>
      </c>
      <c r="P175" s="39">
        <v>6</v>
      </c>
      <c r="Q175" s="39">
        <v>6</v>
      </c>
      <c r="R175" s="39">
        <v>6</v>
      </c>
      <c r="S175" s="39">
        <v>6</v>
      </c>
      <c r="T175" s="39">
        <v>6</v>
      </c>
      <c r="U175" s="39">
        <v>0</v>
      </c>
      <c r="V175" s="39">
        <v>30</v>
      </c>
      <c r="W175" s="39">
        <v>89283</v>
      </c>
      <c r="X175" s="39">
        <v>88145</v>
      </c>
      <c r="Y175" s="39">
        <v>3624025</v>
      </c>
      <c r="Z175" s="39" t="s">
        <v>109</v>
      </c>
      <c r="AA175" s="39" t="s">
        <v>109</v>
      </c>
      <c r="AB175" s="39">
        <v>64659</v>
      </c>
      <c r="AC175" s="39">
        <v>64118</v>
      </c>
      <c r="AD175" s="39" t="s">
        <v>972</v>
      </c>
      <c r="AE175" s="39" t="s">
        <v>973</v>
      </c>
      <c r="AF175" s="136">
        <v>43917</v>
      </c>
      <c r="AG175" s="39"/>
      <c r="AH175" s="39">
        <v>42525848</v>
      </c>
      <c r="AI175" s="39">
        <v>27425258481</v>
      </c>
      <c r="AJ175" s="46">
        <v>43808</v>
      </c>
      <c r="AK175" s="46">
        <v>43808</v>
      </c>
      <c r="AL175" s="47">
        <v>43831</v>
      </c>
      <c r="AM175" s="39">
        <v>260</v>
      </c>
      <c r="AN175" s="137" t="s">
        <v>114</v>
      </c>
      <c r="AO175" s="141">
        <v>89998</v>
      </c>
      <c r="AP175" s="139" t="s">
        <v>115</v>
      </c>
      <c r="AQ175" s="142" t="s">
        <v>1611</v>
      </c>
    </row>
    <row r="176" spans="1:43" x14ac:dyDescent="0.25">
      <c r="A176" s="44" t="s">
        <v>71</v>
      </c>
      <c r="B176" s="39" t="s">
        <v>83</v>
      </c>
      <c r="C176" s="39" t="s">
        <v>974</v>
      </c>
      <c r="D176" s="39" t="s">
        <v>975</v>
      </c>
      <c r="E176" s="39" t="s">
        <v>40</v>
      </c>
      <c r="F176" s="39" t="s">
        <v>420</v>
      </c>
      <c r="G176" s="39" t="s">
        <v>420</v>
      </c>
      <c r="H176" s="39" t="s">
        <v>420</v>
      </c>
      <c r="I176" s="39" t="s">
        <v>420</v>
      </c>
      <c r="J176" s="39" t="s">
        <v>420</v>
      </c>
      <c r="K176" s="39" t="s">
        <v>40</v>
      </c>
      <c r="L176" s="135"/>
      <c r="M176" s="45"/>
      <c r="N176" s="39" t="s">
        <v>1605</v>
      </c>
      <c r="O176" s="39">
        <v>0</v>
      </c>
      <c r="P176" s="39">
        <v>6</v>
      </c>
      <c r="Q176" s="39">
        <v>6</v>
      </c>
      <c r="R176" s="39">
        <v>6</v>
      </c>
      <c r="S176" s="39">
        <v>6</v>
      </c>
      <c r="T176" s="39">
        <v>6</v>
      </c>
      <c r="U176" s="39">
        <v>0</v>
      </c>
      <c r="V176" s="39">
        <v>30</v>
      </c>
      <c r="W176" s="39">
        <v>648232</v>
      </c>
      <c r="X176" s="39">
        <v>81902</v>
      </c>
      <c r="Y176" s="39">
        <v>2102074</v>
      </c>
      <c r="Z176" s="39" t="s">
        <v>119</v>
      </c>
      <c r="AA176" s="39" t="s">
        <v>350</v>
      </c>
      <c r="AB176" s="39">
        <v>64659</v>
      </c>
      <c r="AC176" s="39">
        <v>64118</v>
      </c>
      <c r="AD176" s="39" t="s">
        <v>976</v>
      </c>
      <c r="AE176" s="39" t="s">
        <v>977</v>
      </c>
      <c r="AF176" s="136">
        <v>43935</v>
      </c>
      <c r="AG176" s="39" t="s">
        <v>978</v>
      </c>
      <c r="AH176" s="39">
        <v>37498078</v>
      </c>
      <c r="AI176" s="39">
        <v>27374980780</v>
      </c>
      <c r="AJ176" s="46">
        <v>42520</v>
      </c>
      <c r="AK176" s="46">
        <v>43930</v>
      </c>
      <c r="AL176" s="47">
        <v>43935</v>
      </c>
      <c r="AM176" s="39">
        <v>1529</v>
      </c>
      <c r="AN176" s="137" t="s">
        <v>114</v>
      </c>
      <c r="AO176" s="141">
        <v>89912</v>
      </c>
      <c r="AP176" s="139" t="s">
        <v>115</v>
      </c>
      <c r="AQ176" s="142" t="s">
        <v>1611</v>
      </c>
    </row>
    <row r="177" spans="1:43" x14ac:dyDescent="0.25">
      <c r="A177" s="44" t="s">
        <v>71</v>
      </c>
      <c r="B177" s="39" t="s">
        <v>83</v>
      </c>
      <c r="C177" s="39" t="s">
        <v>979</v>
      </c>
      <c r="D177" s="39" t="s">
        <v>980</v>
      </c>
      <c r="E177" s="39" t="s">
        <v>40</v>
      </c>
      <c r="F177" s="39" t="s">
        <v>52</v>
      </c>
      <c r="G177" s="39" t="s">
        <v>52</v>
      </c>
      <c r="H177" s="39" t="s">
        <v>52</v>
      </c>
      <c r="I177" s="39" t="s">
        <v>52</v>
      </c>
      <c r="J177" s="39" t="s">
        <v>52</v>
      </c>
      <c r="K177" s="39" t="s">
        <v>40</v>
      </c>
      <c r="L177" s="135"/>
      <c r="M177" s="45" t="s">
        <v>599</v>
      </c>
      <c r="N177" s="39" t="s">
        <v>1605</v>
      </c>
      <c r="O177" s="39">
        <v>0</v>
      </c>
      <c r="P177" s="39">
        <v>0</v>
      </c>
      <c r="Q177" s="39">
        <v>0</v>
      </c>
      <c r="R177" s="39">
        <v>0</v>
      </c>
      <c r="S177" s="39">
        <v>0</v>
      </c>
      <c r="T177" s="39">
        <v>0</v>
      </c>
      <c r="U177" s="39">
        <v>0</v>
      </c>
      <c r="V177" s="39">
        <v>0</v>
      </c>
      <c r="W177" s="39">
        <v>89293</v>
      </c>
      <c r="X177" s="39">
        <v>88155</v>
      </c>
      <c r="Y177" s="39">
        <v>3624072</v>
      </c>
      <c r="Z177" s="39" t="s">
        <v>119</v>
      </c>
      <c r="AA177" s="39" t="s">
        <v>119</v>
      </c>
      <c r="AB177" s="39">
        <v>64659</v>
      </c>
      <c r="AC177" s="39">
        <v>64118</v>
      </c>
      <c r="AD177" s="39" t="s">
        <v>981</v>
      </c>
      <c r="AE177" s="39" t="s">
        <v>982</v>
      </c>
      <c r="AF177" s="136">
        <v>43910</v>
      </c>
      <c r="AG177" s="39"/>
      <c r="AH177" s="39">
        <v>33163365</v>
      </c>
      <c r="AI177" s="39">
        <v>20331633659</v>
      </c>
      <c r="AJ177" s="46">
        <v>43808</v>
      </c>
      <c r="AK177" s="46">
        <v>43808</v>
      </c>
      <c r="AL177" s="47">
        <v>43831</v>
      </c>
      <c r="AM177" s="39">
        <v>260</v>
      </c>
      <c r="AN177" s="137" t="s">
        <v>114</v>
      </c>
      <c r="AO177" s="141">
        <v>89999</v>
      </c>
      <c r="AP177" s="139" t="s">
        <v>115</v>
      </c>
      <c r="AQ177" s="142" t="s">
        <v>1611</v>
      </c>
    </row>
    <row r="178" spans="1:43" x14ac:dyDescent="0.25">
      <c r="A178" s="44" t="s">
        <v>97</v>
      </c>
      <c r="B178" s="39" t="s">
        <v>95</v>
      </c>
      <c r="C178" s="39" t="s">
        <v>449</v>
      </c>
      <c r="D178" s="39" t="s">
        <v>983</v>
      </c>
      <c r="E178" s="39" t="s">
        <v>40</v>
      </c>
      <c r="F178" s="39" t="s">
        <v>639</v>
      </c>
      <c r="G178" s="39" t="s">
        <v>639</v>
      </c>
      <c r="H178" s="39" t="s">
        <v>639</v>
      </c>
      <c r="I178" s="39" t="s">
        <v>639</v>
      </c>
      <c r="J178" s="39" t="s">
        <v>639</v>
      </c>
      <c r="K178" s="39" t="s">
        <v>40</v>
      </c>
      <c r="L178" s="135"/>
      <c r="M178" s="45"/>
      <c r="N178" s="39" t="s">
        <v>1605</v>
      </c>
      <c r="O178" s="39">
        <v>0</v>
      </c>
      <c r="P178" s="39">
        <v>5</v>
      </c>
      <c r="Q178" s="39">
        <v>5</v>
      </c>
      <c r="R178" s="39">
        <v>5</v>
      </c>
      <c r="S178" s="39">
        <v>5</v>
      </c>
      <c r="T178" s="39">
        <v>5</v>
      </c>
      <c r="U178" s="39">
        <v>0</v>
      </c>
      <c r="V178" s="39">
        <v>25</v>
      </c>
      <c r="W178" s="39">
        <v>648221</v>
      </c>
      <c r="X178" s="39">
        <v>85556</v>
      </c>
      <c r="Y178" s="39">
        <v>2758426</v>
      </c>
      <c r="Z178" s="39" t="s">
        <v>119</v>
      </c>
      <c r="AA178" s="39" t="s">
        <v>350</v>
      </c>
      <c r="AB178" s="39">
        <v>83505</v>
      </c>
      <c r="AC178" s="39" t="e">
        <v>#N/A</v>
      </c>
      <c r="AD178" s="39" t="s">
        <v>984</v>
      </c>
      <c r="AE178" s="39" t="s">
        <v>985</v>
      </c>
      <c r="AF178" s="136">
        <v>43935</v>
      </c>
      <c r="AG178" s="39" t="s">
        <v>986</v>
      </c>
      <c r="AH178" s="39">
        <v>35548085</v>
      </c>
      <c r="AI178" s="39">
        <v>27355480858</v>
      </c>
      <c r="AJ178" s="46">
        <v>43209</v>
      </c>
      <c r="AK178" s="46">
        <v>43930</v>
      </c>
      <c r="AL178" s="47">
        <v>43935</v>
      </c>
      <c r="AM178" s="39">
        <v>850</v>
      </c>
      <c r="AN178" s="137" t="s">
        <v>114</v>
      </c>
      <c r="AO178" s="141">
        <v>89909</v>
      </c>
      <c r="AP178" s="139" t="s">
        <v>115</v>
      </c>
      <c r="AQ178" s="142" t="s">
        <v>1612</v>
      </c>
    </row>
    <row r="179" spans="1:43" x14ac:dyDescent="0.25">
      <c r="A179" s="44" t="s">
        <v>97</v>
      </c>
      <c r="B179" s="39" t="s">
        <v>95</v>
      </c>
      <c r="C179" s="39" t="s">
        <v>987</v>
      </c>
      <c r="D179" s="39" t="s">
        <v>988</v>
      </c>
      <c r="E179" s="39" t="s">
        <v>40</v>
      </c>
      <c r="F179" s="39" t="s">
        <v>420</v>
      </c>
      <c r="G179" s="39" t="s">
        <v>420</v>
      </c>
      <c r="H179" s="39" t="s">
        <v>420</v>
      </c>
      <c r="I179" s="39" t="s">
        <v>420</v>
      </c>
      <c r="J179" s="39" t="s">
        <v>420</v>
      </c>
      <c r="K179" s="39" t="s">
        <v>40</v>
      </c>
      <c r="L179" s="135"/>
      <c r="M179" s="45"/>
      <c r="N179" s="39" t="s">
        <v>1605</v>
      </c>
      <c r="O179" s="39">
        <v>0</v>
      </c>
      <c r="P179" s="39">
        <v>6</v>
      </c>
      <c r="Q179" s="39">
        <v>6</v>
      </c>
      <c r="R179" s="39">
        <v>6</v>
      </c>
      <c r="S179" s="39">
        <v>6</v>
      </c>
      <c r="T179" s="39">
        <v>6</v>
      </c>
      <c r="U179" s="39">
        <v>0</v>
      </c>
      <c r="V179" s="39">
        <v>30</v>
      </c>
      <c r="W179" s="39">
        <v>648230</v>
      </c>
      <c r="X179" s="39">
        <v>81664</v>
      </c>
      <c r="Y179" s="39">
        <v>2024463</v>
      </c>
      <c r="Z179" s="39" t="s">
        <v>119</v>
      </c>
      <c r="AA179" s="39" t="s">
        <v>350</v>
      </c>
      <c r="AB179" s="39">
        <v>83505</v>
      </c>
      <c r="AC179" s="39" t="e">
        <v>#N/A</v>
      </c>
      <c r="AD179" s="39" t="s">
        <v>989</v>
      </c>
      <c r="AE179" s="39" t="s">
        <v>990</v>
      </c>
      <c r="AF179" s="136">
        <v>43935</v>
      </c>
      <c r="AG179" s="39" t="s">
        <v>991</v>
      </c>
      <c r="AH179" s="39">
        <v>37502520</v>
      </c>
      <c r="AI179" s="39">
        <v>27375025200</v>
      </c>
      <c r="AJ179" s="46">
        <v>42461</v>
      </c>
      <c r="AK179" s="46">
        <v>43930</v>
      </c>
      <c r="AL179" s="47">
        <v>43935</v>
      </c>
      <c r="AM179" s="39">
        <v>1588</v>
      </c>
      <c r="AN179" s="137" t="s">
        <v>114</v>
      </c>
      <c r="AO179" s="141">
        <v>89910</v>
      </c>
      <c r="AP179" s="139" t="s">
        <v>115</v>
      </c>
      <c r="AQ179" s="142" t="s">
        <v>1611</v>
      </c>
    </row>
    <row r="180" spans="1:43" x14ac:dyDescent="0.25">
      <c r="A180" s="44" t="s">
        <v>97</v>
      </c>
      <c r="B180" s="39" t="s">
        <v>87</v>
      </c>
      <c r="C180" s="39" t="s">
        <v>992</v>
      </c>
      <c r="D180" s="39" t="s">
        <v>993</v>
      </c>
      <c r="E180" s="39" t="s">
        <v>40</v>
      </c>
      <c r="F180" s="39" t="s">
        <v>420</v>
      </c>
      <c r="G180" s="39" t="s">
        <v>420</v>
      </c>
      <c r="H180" s="39" t="s">
        <v>420</v>
      </c>
      <c r="I180" s="39" t="s">
        <v>420</v>
      </c>
      <c r="J180" s="39" t="s">
        <v>420</v>
      </c>
      <c r="K180" s="39" t="s">
        <v>40</v>
      </c>
      <c r="L180" s="135"/>
      <c r="M180" s="45"/>
      <c r="N180" s="39" t="s">
        <v>1605</v>
      </c>
      <c r="O180" s="39">
        <v>0</v>
      </c>
      <c r="P180" s="39">
        <v>6</v>
      </c>
      <c r="Q180" s="39">
        <v>6</v>
      </c>
      <c r="R180" s="39">
        <v>6</v>
      </c>
      <c r="S180" s="39">
        <v>6</v>
      </c>
      <c r="T180" s="39">
        <v>6</v>
      </c>
      <c r="U180" s="39">
        <v>0</v>
      </c>
      <c r="V180" s="39">
        <v>30</v>
      </c>
      <c r="W180" s="39">
        <v>89183</v>
      </c>
      <c r="X180" s="39">
        <v>86343</v>
      </c>
      <c r="Y180" s="39">
        <v>3138530</v>
      </c>
      <c r="Z180" s="39" t="s">
        <v>109</v>
      </c>
      <c r="AA180" s="39" t="s">
        <v>109</v>
      </c>
      <c r="AB180" s="39">
        <v>81043</v>
      </c>
      <c r="AC180" s="39" t="e">
        <v>#N/A</v>
      </c>
      <c r="AD180" s="39" t="s">
        <v>994</v>
      </c>
      <c r="AE180" s="39" t="s">
        <v>995</v>
      </c>
      <c r="AF180" s="136">
        <v>43917</v>
      </c>
      <c r="AG180" s="39" t="s">
        <v>996</v>
      </c>
      <c r="AH180" s="39">
        <v>38216500</v>
      </c>
      <c r="AI180" s="39">
        <v>23382165004</v>
      </c>
      <c r="AJ180" s="46">
        <v>43460</v>
      </c>
      <c r="AK180" s="46">
        <v>43460</v>
      </c>
      <c r="AL180" s="47">
        <v>43476</v>
      </c>
      <c r="AM180" s="39">
        <v>603</v>
      </c>
      <c r="AN180" s="137" t="s">
        <v>114</v>
      </c>
      <c r="AO180" s="141">
        <v>89943</v>
      </c>
      <c r="AP180" s="139" t="s">
        <v>115</v>
      </c>
      <c r="AQ180" s="142" t="s">
        <v>1611</v>
      </c>
    </row>
    <row r="181" spans="1:43" x14ac:dyDescent="0.25">
      <c r="A181" s="44" t="s">
        <v>97</v>
      </c>
      <c r="B181" s="39" t="s">
        <v>87</v>
      </c>
      <c r="C181" s="39" t="s">
        <v>921</v>
      </c>
      <c r="D181" s="39" t="s">
        <v>997</v>
      </c>
      <c r="E181" s="39" t="s">
        <v>40</v>
      </c>
      <c r="F181" s="39" t="s">
        <v>420</v>
      </c>
      <c r="G181" s="39" t="s">
        <v>420</v>
      </c>
      <c r="H181" s="39" t="s">
        <v>420</v>
      </c>
      <c r="I181" s="39" t="s">
        <v>420</v>
      </c>
      <c r="J181" s="39" t="s">
        <v>420</v>
      </c>
      <c r="K181" s="39" t="s">
        <v>40</v>
      </c>
      <c r="L181" s="135"/>
      <c r="M181" s="45"/>
      <c r="N181" s="39" t="s">
        <v>1605</v>
      </c>
      <c r="O181" s="39">
        <v>0</v>
      </c>
      <c r="P181" s="39">
        <v>6</v>
      </c>
      <c r="Q181" s="39">
        <v>6</v>
      </c>
      <c r="R181" s="39">
        <v>6</v>
      </c>
      <c r="S181" s="39">
        <v>6</v>
      </c>
      <c r="T181" s="39">
        <v>6</v>
      </c>
      <c r="U181" s="39">
        <v>0</v>
      </c>
      <c r="V181" s="39">
        <v>30</v>
      </c>
      <c r="W181" s="39">
        <v>89094</v>
      </c>
      <c r="X181" s="39">
        <v>85804</v>
      </c>
      <c r="Y181" s="39">
        <v>2911897</v>
      </c>
      <c r="Z181" s="39" t="s">
        <v>109</v>
      </c>
      <c r="AA181" s="39" t="s">
        <v>109</v>
      </c>
      <c r="AB181" s="39">
        <v>81043</v>
      </c>
      <c r="AC181" s="39" t="e">
        <v>#N/A</v>
      </c>
      <c r="AD181" s="39" t="s">
        <v>998</v>
      </c>
      <c r="AE181" s="39" t="s">
        <v>999</v>
      </c>
      <c r="AF181" s="136">
        <v>43916</v>
      </c>
      <c r="AG181" s="39" t="s">
        <v>1000</v>
      </c>
      <c r="AH181" s="39">
        <v>39575074</v>
      </c>
      <c r="AI181" s="39">
        <v>20395750748</v>
      </c>
      <c r="AJ181" s="46">
        <v>43262</v>
      </c>
      <c r="AK181" s="46">
        <v>43409</v>
      </c>
      <c r="AL181" s="47">
        <v>43423</v>
      </c>
      <c r="AM181" s="39">
        <v>798</v>
      </c>
      <c r="AN181" s="137" t="s">
        <v>114</v>
      </c>
      <c r="AO181" s="141">
        <v>89945</v>
      </c>
      <c r="AP181" s="139" t="s">
        <v>115</v>
      </c>
      <c r="AQ181" s="142" t="s">
        <v>1611</v>
      </c>
    </row>
    <row r="182" spans="1:43" x14ac:dyDescent="0.25">
      <c r="A182" s="83" t="s">
        <v>71</v>
      </c>
      <c r="B182" s="84" t="s">
        <v>101</v>
      </c>
      <c r="C182" s="84" t="s">
        <v>1001</v>
      </c>
      <c r="D182" s="84" t="s">
        <v>1002</v>
      </c>
      <c r="E182" s="84" t="s">
        <v>40</v>
      </c>
      <c r="F182" s="84" t="s">
        <v>486</v>
      </c>
      <c r="G182" s="84" t="s">
        <v>486</v>
      </c>
      <c r="H182" s="84" t="s">
        <v>486</v>
      </c>
      <c r="I182" s="84" t="s">
        <v>486</v>
      </c>
      <c r="J182" s="84" t="s">
        <v>486</v>
      </c>
      <c r="K182" s="84" t="s">
        <v>40</v>
      </c>
      <c r="L182" s="135"/>
      <c r="M182" s="45"/>
      <c r="N182" s="39" t="s">
        <v>1605</v>
      </c>
      <c r="O182" s="39">
        <v>0</v>
      </c>
      <c r="P182" s="39">
        <v>5.0000000000000009</v>
      </c>
      <c r="Q182" s="39">
        <v>5.0000000000000009</v>
      </c>
      <c r="R182" s="39">
        <v>5.0000000000000009</v>
      </c>
      <c r="S182" s="39">
        <v>5.0000000000000009</v>
      </c>
      <c r="T182" s="39">
        <v>5.0000000000000009</v>
      </c>
      <c r="U182" s="39">
        <v>0</v>
      </c>
      <c r="V182" s="39">
        <v>25.000000000000004</v>
      </c>
      <c r="W182" s="39">
        <v>648366</v>
      </c>
      <c r="X182" s="39">
        <v>87029</v>
      </c>
      <c r="Y182" s="39">
        <v>3405729</v>
      </c>
      <c r="Z182" s="39" t="s">
        <v>118</v>
      </c>
      <c r="AA182" s="39" t="s">
        <v>119</v>
      </c>
      <c r="AB182" s="39">
        <v>84144</v>
      </c>
      <c r="AC182" s="39">
        <v>64118</v>
      </c>
      <c r="AD182" s="39" t="s">
        <v>364</v>
      </c>
      <c r="AE182" s="39" t="s">
        <v>364</v>
      </c>
      <c r="AF182" s="136">
        <v>44006</v>
      </c>
      <c r="AG182" s="39" t="s">
        <v>1003</v>
      </c>
      <c r="AH182" s="39">
        <v>37658620</v>
      </c>
      <c r="AI182" s="39">
        <v>27376586206</v>
      </c>
      <c r="AJ182" s="46">
        <v>43664</v>
      </c>
      <c r="AK182" s="46">
        <v>43962</v>
      </c>
      <c r="AL182" s="47">
        <v>43969</v>
      </c>
      <c r="AM182" s="39">
        <v>401</v>
      </c>
      <c r="AN182" s="137" t="s">
        <v>114</v>
      </c>
      <c r="AO182" s="141">
        <v>648321</v>
      </c>
      <c r="AP182" s="139" t="s">
        <v>158</v>
      </c>
      <c r="AQ182" s="142" t="s">
        <v>1613</v>
      </c>
    </row>
    <row r="183" spans="1:43" x14ac:dyDescent="0.25">
      <c r="A183" s="44" t="s">
        <v>97</v>
      </c>
      <c r="B183" s="39" t="s">
        <v>87</v>
      </c>
      <c r="C183" s="39" t="s">
        <v>1004</v>
      </c>
      <c r="D183" s="39" t="s">
        <v>721</v>
      </c>
      <c r="E183" s="39" t="s">
        <v>40</v>
      </c>
      <c r="F183" s="39" t="s">
        <v>420</v>
      </c>
      <c r="G183" s="39" t="s">
        <v>420</v>
      </c>
      <c r="H183" s="39" t="s">
        <v>420</v>
      </c>
      <c r="I183" s="39" t="s">
        <v>420</v>
      </c>
      <c r="J183" s="39" t="s">
        <v>420</v>
      </c>
      <c r="K183" s="39" t="s">
        <v>40</v>
      </c>
      <c r="L183" s="135"/>
      <c r="M183" s="45"/>
      <c r="N183" s="39" t="s">
        <v>1605</v>
      </c>
      <c r="O183" s="39">
        <v>0</v>
      </c>
      <c r="P183" s="39">
        <v>6</v>
      </c>
      <c r="Q183" s="39">
        <v>6</v>
      </c>
      <c r="R183" s="39">
        <v>6</v>
      </c>
      <c r="S183" s="39">
        <v>6</v>
      </c>
      <c r="T183" s="39">
        <v>6</v>
      </c>
      <c r="U183" s="39">
        <v>0</v>
      </c>
      <c r="V183" s="39">
        <v>30</v>
      </c>
      <c r="W183" s="39">
        <v>648364</v>
      </c>
      <c r="X183" s="39">
        <v>75493</v>
      </c>
      <c r="Y183" s="39">
        <v>717244</v>
      </c>
      <c r="Z183" s="39" t="s">
        <v>119</v>
      </c>
      <c r="AA183" s="39" t="s">
        <v>119</v>
      </c>
      <c r="AB183" s="39">
        <v>81043</v>
      </c>
      <c r="AC183" s="39" t="e">
        <v>#N/A</v>
      </c>
      <c r="AD183" s="39" t="s">
        <v>1005</v>
      </c>
      <c r="AE183" s="39" t="s">
        <v>1006</v>
      </c>
      <c r="AF183" s="136">
        <v>43969</v>
      </c>
      <c r="AG183" s="39">
        <v>381155546584</v>
      </c>
      <c r="AH183" s="39">
        <v>32132541</v>
      </c>
      <c r="AI183" s="39">
        <v>27321325411</v>
      </c>
      <c r="AJ183" s="46">
        <v>40827</v>
      </c>
      <c r="AK183" s="46">
        <v>43962</v>
      </c>
      <c r="AL183" s="47">
        <v>43969</v>
      </c>
      <c r="AM183" s="39">
        <v>3198</v>
      </c>
      <c r="AN183" s="137" t="s">
        <v>114</v>
      </c>
      <c r="AO183" s="141">
        <v>648332</v>
      </c>
      <c r="AP183" s="139" t="s">
        <v>115</v>
      </c>
      <c r="AQ183" s="142" t="s">
        <v>1611</v>
      </c>
    </row>
    <row r="184" spans="1:43" x14ac:dyDescent="0.25">
      <c r="A184" s="44" t="s">
        <v>97</v>
      </c>
      <c r="B184" s="39" t="s">
        <v>87</v>
      </c>
      <c r="C184" s="39" t="s">
        <v>1007</v>
      </c>
      <c r="D184" s="39" t="s">
        <v>1008</v>
      </c>
      <c r="E184" s="39" t="s">
        <v>40</v>
      </c>
      <c r="F184" s="39" t="s">
        <v>52</v>
      </c>
      <c r="G184" s="39" t="s">
        <v>52</v>
      </c>
      <c r="H184" s="39" t="s">
        <v>52</v>
      </c>
      <c r="I184" s="39" t="s">
        <v>52</v>
      </c>
      <c r="J184" s="39" t="s">
        <v>52</v>
      </c>
      <c r="K184" s="39" t="s">
        <v>40</v>
      </c>
      <c r="L184" s="135"/>
      <c r="M184" s="45" t="s">
        <v>599</v>
      </c>
      <c r="N184" s="39" t="s">
        <v>1605</v>
      </c>
      <c r="O184" s="39">
        <v>0</v>
      </c>
      <c r="P184" s="39">
        <v>0</v>
      </c>
      <c r="Q184" s="39">
        <v>0</v>
      </c>
      <c r="R184" s="39">
        <v>0</v>
      </c>
      <c r="S184" s="39">
        <v>0</v>
      </c>
      <c r="T184" s="39">
        <v>0</v>
      </c>
      <c r="U184" s="39">
        <v>0</v>
      </c>
      <c r="V184" s="39">
        <v>0</v>
      </c>
      <c r="W184" s="39">
        <v>89013</v>
      </c>
      <c r="X184" s="39">
        <v>72480</v>
      </c>
      <c r="Y184" s="39">
        <v>538948</v>
      </c>
      <c r="Z184" s="39" t="s">
        <v>118</v>
      </c>
      <c r="AA184" s="39" t="s">
        <v>119</v>
      </c>
      <c r="AB184" s="39">
        <v>81043</v>
      </c>
      <c r="AC184" s="39" t="e">
        <v>#N/A</v>
      </c>
      <c r="AD184" s="39" t="s">
        <v>1009</v>
      </c>
      <c r="AE184" s="39" t="s">
        <v>1010</v>
      </c>
      <c r="AF184" s="136">
        <v>43956</v>
      </c>
      <c r="AG184" s="39" t="s">
        <v>1011</v>
      </c>
      <c r="AH184" s="39">
        <v>36049213</v>
      </c>
      <c r="AI184" s="39">
        <v>20360492134</v>
      </c>
      <c r="AJ184" s="46">
        <v>40413</v>
      </c>
      <c r="AK184" s="46">
        <v>43259</v>
      </c>
      <c r="AL184" s="47">
        <v>43262</v>
      </c>
      <c r="AM184" s="39">
        <v>3606</v>
      </c>
      <c r="AN184" s="137" t="s">
        <v>114</v>
      </c>
      <c r="AO184" s="141">
        <v>89981</v>
      </c>
      <c r="AP184" s="139" t="s">
        <v>115</v>
      </c>
      <c r="AQ184" s="142" t="s">
        <v>1611</v>
      </c>
    </row>
    <row r="185" spans="1:43" x14ac:dyDescent="0.25">
      <c r="A185" s="44" t="s">
        <v>74</v>
      </c>
      <c r="B185" s="39" t="s">
        <v>72</v>
      </c>
      <c r="C185" s="39" t="s">
        <v>1012</v>
      </c>
      <c r="D185" s="39" t="s">
        <v>1013</v>
      </c>
      <c r="E185" s="39" t="s">
        <v>40</v>
      </c>
      <c r="F185" s="39" t="s">
        <v>131</v>
      </c>
      <c r="G185" s="39" t="s">
        <v>131</v>
      </c>
      <c r="H185" s="39" t="s">
        <v>131</v>
      </c>
      <c r="I185" s="39" t="s">
        <v>131</v>
      </c>
      <c r="J185" s="39" t="s">
        <v>131</v>
      </c>
      <c r="K185" s="39" t="s">
        <v>40</v>
      </c>
      <c r="L185" s="135"/>
      <c r="M185" s="45"/>
      <c r="N185" s="39" t="s">
        <v>1605</v>
      </c>
      <c r="O185" s="39">
        <v>0</v>
      </c>
      <c r="P185" s="39">
        <v>6</v>
      </c>
      <c r="Q185" s="39">
        <v>6</v>
      </c>
      <c r="R185" s="39">
        <v>6</v>
      </c>
      <c r="S185" s="39">
        <v>6</v>
      </c>
      <c r="T185" s="39">
        <v>6</v>
      </c>
      <c r="U185" s="39">
        <v>0</v>
      </c>
      <c r="V185" s="39">
        <v>30</v>
      </c>
      <c r="W185" s="39">
        <v>648302</v>
      </c>
      <c r="X185" s="39">
        <v>87695</v>
      </c>
      <c r="Y185" s="39">
        <v>3526421</v>
      </c>
      <c r="Z185" s="39" t="s">
        <v>146</v>
      </c>
      <c r="AA185" s="39" t="s">
        <v>848</v>
      </c>
      <c r="AB185" s="39">
        <v>84825</v>
      </c>
      <c r="AC185" s="39">
        <v>74054</v>
      </c>
      <c r="AD185" s="39" t="s">
        <v>1014</v>
      </c>
      <c r="AE185" s="39" t="s">
        <v>1015</v>
      </c>
      <c r="AF185" s="136">
        <v>43955</v>
      </c>
      <c r="AG185" s="39" t="s">
        <v>1016</v>
      </c>
      <c r="AH185" s="39">
        <v>41299917</v>
      </c>
      <c r="AI185" s="39">
        <v>27412999172</v>
      </c>
      <c r="AJ185" s="46">
        <v>43745</v>
      </c>
      <c r="AK185" s="46">
        <v>43945</v>
      </c>
      <c r="AL185" s="47">
        <v>43956</v>
      </c>
      <c r="AM185" s="39">
        <v>322</v>
      </c>
      <c r="AN185" s="137" t="s">
        <v>114</v>
      </c>
      <c r="AO185" s="141">
        <v>89987</v>
      </c>
      <c r="AP185" s="139" t="s">
        <v>115</v>
      </c>
      <c r="AQ185" s="142" t="s">
        <v>1607</v>
      </c>
    </row>
    <row r="186" spans="1:43" x14ac:dyDescent="0.25">
      <c r="A186" s="44" t="s">
        <v>74</v>
      </c>
      <c r="B186" s="39" t="s">
        <v>72</v>
      </c>
      <c r="C186" s="39" t="s">
        <v>1017</v>
      </c>
      <c r="D186" s="39" t="s">
        <v>665</v>
      </c>
      <c r="E186" s="39" t="s">
        <v>40</v>
      </c>
      <c r="F186" s="39" t="s">
        <v>47</v>
      </c>
      <c r="G186" s="39" t="s">
        <v>47</v>
      </c>
      <c r="H186" s="39" t="s">
        <v>47</v>
      </c>
      <c r="I186" s="39" t="s">
        <v>47</v>
      </c>
      <c r="J186" s="39" t="s">
        <v>47</v>
      </c>
      <c r="K186" s="39" t="s">
        <v>40</v>
      </c>
      <c r="L186" s="135"/>
      <c r="M186" s="45" t="s">
        <v>1018</v>
      </c>
      <c r="N186" s="39" t="s">
        <v>1605</v>
      </c>
      <c r="O186" s="39">
        <v>0</v>
      </c>
      <c r="P186" s="39">
        <v>0</v>
      </c>
      <c r="Q186" s="39">
        <v>0</v>
      </c>
      <c r="R186" s="39">
        <v>0</v>
      </c>
      <c r="S186" s="39">
        <v>0</v>
      </c>
      <c r="T186" s="39">
        <v>0</v>
      </c>
      <c r="U186" s="39">
        <v>0</v>
      </c>
      <c r="V186" s="39">
        <v>0</v>
      </c>
      <c r="W186" s="39">
        <v>648303</v>
      </c>
      <c r="X186" s="39">
        <v>87688</v>
      </c>
      <c r="Y186" s="39">
        <v>1546296</v>
      </c>
      <c r="Z186" s="39" t="s">
        <v>375</v>
      </c>
      <c r="AA186" s="39" t="s">
        <v>848</v>
      </c>
      <c r="AB186" s="39">
        <v>84825</v>
      </c>
      <c r="AC186" s="39">
        <v>74054</v>
      </c>
      <c r="AD186" s="39" t="s">
        <v>1019</v>
      </c>
      <c r="AE186" s="39" t="s">
        <v>1020</v>
      </c>
      <c r="AF186" s="136">
        <v>43955</v>
      </c>
      <c r="AG186" s="39" t="s">
        <v>1021</v>
      </c>
      <c r="AH186" s="39">
        <v>36231401</v>
      </c>
      <c r="AI186" s="39">
        <v>27362314017</v>
      </c>
      <c r="AJ186" s="46">
        <v>43745</v>
      </c>
      <c r="AK186" s="46">
        <v>43945</v>
      </c>
      <c r="AL186" s="47">
        <v>43956</v>
      </c>
      <c r="AM186" s="39">
        <v>322</v>
      </c>
      <c r="AN186" s="137" t="s">
        <v>114</v>
      </c>
      <c r="AO186" s="141">
        <v>89992</v>
      </c>
      <c r="AP186" s="139" t="s">
        <v>115</v>
      </c>
      <c r="AQ186" s="142" t="s">
        <v>1607</v>
      </c>
    </row>
    <row r="187" spans="1:43" x14ac:dyDescent="0.25">
      <c r="A187" s="44" t="s">
        <v>74</v>
      </c>
      <c r="B187" s="39" t="s">
        <v>72</v>
      </c>
      <c r="C187" s="39" t="s">
        <v>1022</v>
      </c>
      <c r="D187" s="39" t="s">
        <v>1023</v>
      </c>
      <c r="E187" s="39" t="s">
        <v>40</v>
      </c>
      <c r="F187" s="39" t="s">
        <v>131</v>
      </c>
      <c r="G187" s="39" t="s">
        <v>131</v>
      </c>
      <c r="H187" s="39" t="s">
        <v>131</v>
      </c>
      <c r="I187" s="39" t="s">
        <v>131</v>
      </c>
      <c r="J187" s="39" t="s">
        <v>131</v>
      </c>
      <c r="K187" s="39" t="s">
        <v>40</v>
      </c>
      <c r="L187" s="135"/>
      <c r="M187" s="45"/>
      <c r="N187" s="39" t="s">
        <v>1605</v>
      </c>
      <c r="O187" s="39">
        <v>0</v>
      </c>
      <c r="P187" s="39">
        <v>6</v>
      </c>
      <c r="Q187" s="39">
        <v>6</v>
      </c>
      <c r="R187" s="39">
        <v>6</v>
      </c>
      <c r="S187" s="39">
        <v>6</v>
      </c>
      <c r="T187" s="39">
        <v>6</v>
      </c>
      <c r="U187" s="39">
        <v>0</v>
      </c>
      <c r="V187" s="39">
        <v>30</v>
      </c>
      <c r="W187" s="39">
        <v>648306</v>
      </c>
      <c r="X187" s="39">
        <v>87262</v>
      </c>
      <c r="Y187" s="39">
        <v>2837797</v>
      </c>
      <c r="Z187" s="39" t="s">
        <v>375</v>
      </c>
      <c r="AA187" s="39" t="s">
        <v>848</v>
      </c>
      <c r="AB187" s="39">
        <v>84825</v>
      </c>
      <c r="AC187" s="39">
        <v>74054</v>
      </c>
      <c r="AD187" s="39" t="s">
        <v>1024</v>
      </c>
      <c r="AE187" s="39" t="s">
        <v>1025</v>
      </c>
      <c r="AF187" s="136">
        <v>43955</v>
      </c>
      <c r="AG187" s="39" t="s">
        <v>1026</v>
      </c>
      <c r="AH187" s="39">
        <v>41059943</v>
      </c>
      <c r="AI187" s="39">
        <v>20410599431</v>
      </c>
      <c r="AJ187" s="46">
        <v>43692</v>
      </c>
      <c r="AK187" s="46">
        <v>43945</v>
      </c>
      <c r="AL187" s="47">
        <v>43956</v>
      </c>
      <c r="AM187" s="39">
        <v>374</v>
      </c>
      <c r="AN187" s="137" t="s">
        <v>114</v>
      </c>
      <c r="AO187" s="141">
        <v>89989</v>
      </c>
      <c r="AP187" s="139" t="s">
        <v>115</v>
      </c>
      <c r="AQ187" s="142" t="s">
        <v>1607</v>
      </c>
    </row>
    <row r="188" spans="1:43" x14ac:dyDescent="0.25">
      <c r="A188" s="44" t="s">
        <v>74</v>
      </c>
      <c r="B188" s="39" t="s">
        <v>72</v>
      </c>
      <c r="C188" s="39" t="s">
        <v>1027</v>
      </c>
      <c r="D188" s="39" t="s">
        <v>1028</v>
      </c>
      <c r="E188" s="39" t="s">
        <v>40</v>
      </c>
      <c r="F188" s="39" t="s">
        <v>131</v>
      </c>
      <c r="G188" s="39" t="s">
        <v>131</v>
      </c>
      <c r="H188" s="39" t="s">
        <v>131</v>
      </c>
      <c r="I188" s="39" t="s">
        <v>131</v>
      </c>
      <c r="J188" s="39" t="s">
        <v>131</v>
      </c>
      <c r="K188" s="39" t="s">
        <v>40</v>
      </c>
      <c r="L188" s="135"/>
      <c r="M188" s="45"/>
      <c r="N188" s="39" t="s">
        <v>1605</v>
      </c>
      <c r="O188" s="39">
        <v>0</v>
      </c>
      <c r="P188" s="39">
        <v>6</v>
      </c>
      <c r="Q188" s="39">
        <v>6</v>
      </c>
      <c r="R188" s="39">
        <v>6</v>
      </c>
      <c r="S188" s="39">
        <v>6</v>
      </c>
      <c r="T188" s="39">
        <v>6</v>
      </c>
      <c r="U188" s="39">
        <v>0</v>
      </c>
      <c r="V188" s="39">
        <v>30</v>
      </c>
      <c r="W188" s="39">
        <v>648315</v>
      </c>
      <c r="X188" s="39">
        <v>87719</v>
      </c>
      <c r="Y188" s="39">
        <v>3526375</v>
      </c>
      <c r="Z188" s="39" t="s">
        <v>146</v>
      </c>
      <c r="AA188" s="39" t="s">
        <v>848</v>
      </c>
      <c r="AB188" s="39">
        <v>84825</v>
      </c>
      <c r="AC188" s="39">
        <v>74054</v>
      </c>
      <c r="AD188" s="39" t="s">
        <v>1029</v>
      </c>
      <c r="AE188" s="39" t="s">
        <v>1030</v>
      </c>
      <c r="AF188" s="136">
        <v>43955</v>
      </c>
      <c r="AG188" s="39" t="s">
        <v>1031</v>
      </c>
      <c r="AH188" s="39">
        <v>35548816</v>
      </c>
      <c r="AI188" s="39">
        <v>27355488166</v>
      </c>
      <c r="AJ188" s="136">
        <v>43745</v>
      </c>
      <c r="AK188" s="46">
        <v>43945</v>
      </c>
      <c r="AL188" s="47">
        <v>43956</v>
      </c>
      <c r="AM188" s="39">
        <v>322</v>
      </c>
      <c r="AN188" s="137" t="s">
        <v>114</v>
      </c>
      <c r="AO188" s="141">
        <v>89986</v>
      </c>
      <c r="AP188" s="139" t="s">
        <v>115</v>
      </c>
      <c r="AQ188" s="142" t="s">
        <v>1607</v>
      </c>
    </row>
    <row r="189" spans="1:43" x14ac:dyDescent="0.25">
      <c r="A189" s="44" t="s">
        <v>74</v>
      </c>
      <c r="B189" s="39" t="s">
        <v>75</v>
      </c>
      <c r="C189" s="39" t="s">
        <v>1032</v>
      </c>
      <c r="D189" s="39" t="s">
        <v>1033</v>
      </c>
      <c r="E189" s="39" t="s">
        <v>40</v>
      </c>
      <c r="F189" s="39" t="s">
        <v>131</v>
      </c>
      <c r="G189" s="39" t="s">
        <v>131</v>
      </c>
      <c r="H189" s="39" t="s">
        <v>131</v>
      </c>
      <c r="I189" s="39" t="s">
        <v>131</v>
      </c>
      <c r="J189" s="39" t="s">
        <v>131</v>
      </c>
      <c r="K189" s="39" t="s">
        <v>40</v>
      </c>
      <c r="L189" s="135"/>
      <c r="M189" s="45"/>
      <c r="N189" s="39" t="s">
        <v>1605</v>
      </c>
      <c r="O189" s="39">
        <v>0</v>
      </c>
      <c r="P189" s="39">
        <v>6</v>
      </c>
      <c r="Q189" s="39">
        <v>6</v>
      </c>
      <c r="R189" s="39">
        <v>6</v>
      </c>
      <c r="S189" s="39">
        <v>6</v>
      </c>
      <c r="T189" s="39">
        <v>6</v>
      </c>
      <c r="U189" s="39">
        <v>0</v>
      </c>
      <c r="V189" s="39">
        <v>30</v>
      </c>
      <c r="W189" s="39">
        <v>648314</v>
      </c>
      <c r="X189" s="39">
        <v>87699</v>
      </c>
      <c r="Y189" s="39">
        <v>3526445</v>
      </c>
      <c r="Z189" s="39" t="s">
        <v>375</v>
      </c>
      <c r="AA189" s="39" t="s">
        <v>848</v>
      </c>
      <c r="AB189" s="39" t="e">
        <v>#N/A</v>
      </c>
      <c r="AC189" s="39">
        <v>74054</v>
      </c>
      <c r="AD189" s="39" t="s">
        <v>1034</v>
      </c>
      <c r="AE189" s="39" t="s">
        <v>1035</v>
      </c>
      <c r="AF189" s="136">
        <v>43955</v>
      </c>
      <c r="AG189" s="39" t="s">
        <v>1036</v>
      </c>
      <c r="AH189" s="39">
        <v>38246090</v>
      </c>
      <c r="AI189" s="39">
        <v>20382460902</v>
      </c>
      <c r="AJ189" s="46">
        <v>43745</v>
      </c>
      <c r="AK189" s="46">
        <v>43945</v>
      </c>
      <c r="AL189" s="47">
        <v>43956</v>
      </c>
      <c r="AM189" s="39">
        <v>322</v>
      </c>
      <c r="AN189" s="137" t="s">
        <v>114</v>
      </c>
      <c r="AO189" s="141">
        <v>89996</v>
      </c>
      <c r="AP189" s="139" t="s">
        <v>115</v>
      </c>
      <c r="AQ189" s="142" t="s">
        <v>1607</v>
      </c>
    </row>
    <row r="190" spans="1:43" x14ac:dyDescent="0.25">
      <c r="A190" s="44" t="s">
        <v>74</v>
      </c>
      <c r="B190" s="39" t="s">
        <v>75</v>
      </c>
      <c r="C190" s="39" t="s">
        <v>1037</v>
      </c>
      <c r="D190" s="39" t="s">
        <v>1038</v>
      </c>
      <c r="E190" s="39" t="s">
        <v>40</v>
      </c>
      <c r="F190" s="39" t="s">
        <v>131</v>
      </c>
      <c r="G190" s="39" t="s">
        <v>131</v>
      </c>
      <c r="H190" s="39" t="s">
        <v>131</v>
      </c>
      <c r="I190" s="39" t="s">
        <v>131</v>
      </c>
      <c r="J190" s="39" t="s">
        <v>131</v>
      </c>
      <c r="K190" s="39" t="s">
        <v>40</v>
      </c>
      <c r="L190" s="135"/>
      <c r="M190" s="45"/>
      <c r="N190" s="39" t="s">
        <v>1605</v>
      </c>
      <c r="O190" s="39">
        <v>0</v>
      </c>
      <c r="P190" s="39">
        <v>6</v>
      </c>
      <c r="Q190" s="39">
        <v>6</v>
      </c>
      <c r="R190" s="39">
        <v>6</v>
      </c>
      <c r="S190" s="39">
        <v>6</v>
      </c>
      <c r="T190" s="39">
        <v>6</v>
      </c>
      <c r="U190" s="39">
        <v>0</v>
      </c>
      <c r="V190" s="39">
        <v>30</v>
      </c>
      <c r="W190" s="143">
        <v>89246</v>
      </c>
      <c r="X190" s="39">
        <v>87302</v>
      </c>
      <c r="Y190" s="39">
        <v>3462494</v>
      </c>
      <c r="Z190" s="39" t="s">
        <v>109</v>
      </c>
      <c r="AA190" s="39" t="s">
        <v>110</v>
      </c>
      <c r="AB190" s="39" t="e">
        <v>#N/A</v>
      </c>
      <c r="AC190" s="39">
        <v>74054</v>
      </c>
      <c r="AD190" s="39" t="s">
        <v>1039</v>
      </c>
      <c r="AE190" s="39" t="s">
        <v>1040</v>
      </c>
      <c r="AF190" s="136">
        <v>43912</v>
      </c>
      <c r="AG190" s="39">
        <v>3815494273</v>
      </c>
      <c r="AH190" s="39">
        <v>40697438</v>
      </c>
      <c r="AI190" s="39" t="s">
        <v>1041</v>
      </c>
      <c r="AJ190" s="46">
        <v>43703</v>
      </c>
      <c r="AK190" s="46">
        <v>43703</v>
      </c>
      <c r="AL190" s="47">
        <v>43713</v>
      </c>
      <c r="AM190" s="39">
        <v>363</v>
      </c>
      <c r="AN190" s="137" t="s">
        <v>114</v>
      </c>
      <c r="AO190" s="141">
        <v>89764</v>
      </c>
      <c r="AP190" s="139" t="s">
        <v>115</v>
      </c>
      <c r="AQ190" s="142" t="s">
        <v>1607</v>
      </c>
    </row>
    <row r="191" spans="1:43" x14ac:dyDescent="0.25">
      <c r="A191" s="44" t="s">
        <v>74</v>
      </c>
      <c r="B191" s="39" t="s">
        <v>94</v>
      </c>
      <c r="C191" s="39" t="s">
        <v>1042</v>
      </c>
      <c r="D191" s="39" t="s">
        <v>1043</v>
      </c>
      <c r="E191" s="39" t="s">
        <v>40</v>
      </c>
      <c r="F191" s="39" t="s">
        <v>131</v>
      </c>
      <c r="G191" s="39" t="s">
        <v>131</v>
      </c>
      <c r="H191" s="39" t="s">
        <v>131</v>
      </c>
      <c r="I191" s="39" t="s">
        <v>131</v>
      </c>
      <c r="J191" s="39" t="s">
        <v>131</v>
      </c>
      <c r="K191" s="39" t="s">
        <v>40</v>
      </c>
      <c r="L191" s="135"/>
      <c r="M191" s="45"/>
      <c r="N191" s="39" t="s">
        <v>1605</v>
      </c>
      <c r="O191" s="39">
        <v>0</v>
      </c>
      <c r="P191" s="39">
        <v>6</v>
      </c>
      <c r="Q191" s="39">
        <v>6</v>
      </c>
      <c r="R191" s="39">
        <v>6</v>
      </c>
      <c r="S191" s="39">
        <v>6</v>
      </c>
      <c r="T191" s="39">
        <v>6</v>
      </c>
      <c r="U191" s="39">
        <v>0</v>
      </c>
      <c r="V191" s="39">
        <v>30</v>
      </c>
      <c r="W191" s="39">
        <v>648310</v>
      </c>
      <c r="X191" s="39">
        <v>87705</v>
      </c>
      <c r="Y191" s="39">
        <v>3526463</v>
      </c>
      <c r="Z191" s="39" t="s">
        <v>146</v>
      </c>
      <c r="AA191" s="39" t="s">
        <v>848</v>
      </c>
      <c r="AB191" s="39">
        <v>85154</v>
      </c>
      <c r="AC191" s="39">
        <v>74054</v>
      </c>
      <c r="AD191" s="39" t="s">
        <v>1044</v>
      </c>
      <c r="AE191" s="39" t="s">
        <v>1045</v>
      </c>
      <c r="AF191" s="136">
        <v>43955</v>
      </c>
      <c r="AG191" s="39" t="s">
        <v>1046</v>
      </c>
      <c r="AH191" s="39">
        <v>39141069</v>
      </c>
      <c r="AI191" s="39">
        <v>27391410696</v>
      </c>
      <c r="AJ191" s="46">
        <v>43745</v>
      </c>
      <c r="AK191" s="46">
        <v>43945</v>
      </c>
      <c r="AL191" s="47">
        <v>43956</v>
      </c>
      <c r="AM191" s="39">
        <v>322</v>
      </c>
      <c r="AN191" s="137" t="s">
        <v>114</v>
      </c>
      <c r="AO191" s="141">
        <v>89983</v>
      </c>
      <c r="AP191" s="139" t="s">
        <v>115</v>
      </c>
      <c r="AQ191" s="142" t="s">
        <v>1607</v>
      </c>
    </row>
    <row r="192" spans="1:43" x14ac:dyDescent="0.25">
      <c r="A192" s="44" t="s">
        <v>74</v>
      </c>
      <c r="B192" s="39" t="s">
        <v>94</v>
      </c>
      <c r="C192" s="39" t="s">
        <v>1047</v>
      </c>
      <c r="D192" s="39" t="s">
        <v>1048</v>
      </c>
      <c r="E192" s="39" t="s">
        <v>40</v>
      </c>
      <c r="F192" s="39" t="s">
        <v>131</v>
      </c>
      <c r="G192" s="39" t="s">
        <v>131</v>
      </c>
      <c r="H192" s="39" t="s">
        <v>131</v>
      </c>
      <c r="I192" s="39" t="s">
        <v>131</v>
      </c>
      <c r="J192" s="39" t="s">
        <v>131</v>
      </c>
      <c r="K192" s="39" t="s">
        <v>40</v>
      </c>
      <c r="L192" s="135"/>
      <c r="M192" s="45"/>
      <c r="N192" s="39" t="s">
        <v>1605</v>
      </c>
      <c r="O192" s="39">
        <v>0</v>
      </c>
      <c r="P192" s="39">
        <v>6</v>
      </c>
      <c r="Q192" s="39">
        <v>6</v>
      </c>
      <c r="R192" s="39">
        <v>6</v>
      </c>
      <c r="S192" s="39">
        <v>6</v>
      </c>
      <c r="T192" s="39">
        <v>6</v>
      </c>
      <c r="U192" s="39">
        <v>0</v>
      </c>
      <c r="V192" s="39">
        <v>30</v>
      </c>
      <c r="W192" s="143">
        <v>89239</v>
      </c>
      <c r="X192" s="39">
        <v>87297</v>
      </c>
      <c r="Y192" s="39">
        <v>1294127</v>
      </c>
      <c r="Z192" s="39" t="s">
        <v>118</v>
      </c>
      <c r="AA192" s="39" t="s">
        <v>119</v>
      </c>
      <c r="AB192" s="39">
        <v>85154</v>
      </c>
      <c r="AC192" s="39">
        <v>74054</v>
      </c>
      <c r="AD192" s="39" t="s">
        <v>1049</v>
      </c>
      <c r="AE192" s="39" t="s">
        <v>1050</v>
      </c>
      <c r="AF192" s="136">
        <v>43945</v>
      </c>
      <c r="AG192" s="39">
        <v>3814152698</v>
      </c>
      <c r="AH192" s="39">
        <v>34953742</v>
      </c>
      <c r="AI192" s="39">
        <v>27349537422</v>
      </c>
      <c r="AJ192" s="46">
        <v>43703</v>
      </c>
      <c r="AK192" s="46">
        <v>43703</v>
      </c>
      <c r="AL192" s="47">
        <v>43713</v>
      </c>
      <c r="AM192" s="39">
        <v>363</v>
      </c>
      <c r="AN192" s="137" t="s">
        <v>114</v>
      </c>
      <c r="AO192" s="141">
        <v>89880</v>
      </c>
      <c r="AP192" s="139" t="s">
        <v>115</v>
      </c>
      <c r="AQ192" s="142" t="s">
        <v>1607</v>
      </c>
    </row>
    <row r="193" spans="1:43" x14ac:dyDescent="0.25">
      <c r="A193" s="44" t="s">
        <v>74</v>
      </c>
      <c r="B193" s="39" t="s">
        <v>94</v>
      </c>
      <c r="C193" s="39" t="s">
        <v>1051</v>
      </c>
      <c r="D193" s="39" t="s">
        <v>1052</v>
      </c>
      <c r="E193" s="39" t="s">
        <v>40</v>
      </c>
      <c r="F193" s="39" t="s">
        <v>131</v>
      </c>
      <c r="G193" s="39" t="s">
        <v>131</v>
      </c>
      <c r="H193" s="39" t="s">
        <v>131</v>
      </c>
      <c r="I193" s="39" t="s">
        <v>131</v>
      </c>
      <c r="J193" s="39" t="s">
        <v>131</v>
      </c>
      <c r="K193" s="39" t="s">
        <v>40</v>
      </c>
      <c r="L193" s="135"/>
      <c r="M193" s="45"/>
      <c r="N193" s="39" t="s">
        <v>1605</v>
      </c>
      <c r="O193" s="39">
        <v>0</v>
      </c>
      <c r="P193" s="39">
        <v>6</v>
      </c>
      <c r="Q193" s="39">
        <v>6</v>
      </c>
      <c r="R193" s="39">
        <v>6</v>
      </c>
      <c r="S193" s="39">
        <v>6</v>
      </c>
      <c r="T193" s="39">
        <v>6</v>
      </c>
      <c r="U193" s="39">
        <v>0</v>
      </c>
      <c r="V193" s="39">
        <v>30</v>
      </c>
      <c r="W193" s="39">
        <v>648311</v>
      </c>
      <c r="X193" s="39">
        <v>87722</v>
      </c>
      <c r="Y193" s="39">
        <v>3526400</v>
      </c>
      <c r="Z193" s="39" t="s">
        <v>375</v>
      </c>
      <c r="AA193" s="39" t="s">
        <v>848</v>
      </c>
      <c r="AB193" s="39">
        <v>85154</v>
      </c>
      <c r="AC193" s="39">
        <v>74054</v>
      </c>
      <c r="AD193" s="39" t="s">
        <v>1053</v>
      </c>
      <c r="AE193" s="39" t="s">
        <v>1054</v>
      </c>
      <c r="AF193" s="136">
        <v>43955</v>
      </c>
      <c r="AG193" s="39" t="s">
        <v>1055</v>
      </c>
      <c r="AH193" s="39">
        <v>33882372</v>
      </c>
      <c r="AI193" s="39">
        <v>20338823720</v>
      </c>
      <c r="AJ193" s="46">
        <v>43745</v>
      </c>
      <c r="AK193" s="46">
        <v>43945</v>
      </c>
      <c r="AL193" s="47">
        <v>43956</v>
      </c>
      <c r="AM193" s="39">
        <v>322</v>
      </c>
      <c r="AN193" s="137" t="s">
        <v>114</v>
      </c>
      <c r="AO193" s="141">
        <v>89994</v>
      </c>
      <c r="AP193" s="139" t="s">
        <v>115</v>
      </c>
      <c r="AQ193" s="142" t="s">
        <v>1607</v>
      </c>
    </row>
    <row r="194" spans="1:43" x14ac:dyDescent="0.25">
      <c r="A194" s="44" t="s">
        <v>74</v>
      </c>
      <c r="B194" s="39" t="s">
        <v>94</v>
      </c>
      <c r="C194" s="39" t="s">
        <v>603</v>
      </c>
      <c r="D194" s="39" t="s">
        <v>1056</v>
      </c>
      <c r="E194" s="39" t="s">
        <v>40</v>
      </c>
      <c r="F194" s="39" t="s">
        <v>131</v>
      </c>
      <c r="G194" s="39" t="s">
        <v>131</v>
      </c>
      <c r="H194" s="39" t="s">
        <v>131</v>
      </c>
      <c r="I194" s="39" t="s">
        <v>131</v>
      </c>
      <c r="J194" s="39" t="s">
        <v>131</v>
      </c>
      <c r="K194" s="39" t="s">
        <v>40</v>
      </c>
      <c r="L194" s="135"/>
      <c r="M194" s="45"/>
      <c r="N194" s="39" t="s">
        <v>1605</v>
      </c>
      <c r="O194" s="39">
        <v>0</v>
      </c>
      <c r="P194" s="39">
        <v>6</v>
      </c>
      <c r="Q194" s="39">
        <v>6</v>
      </c>
      <c r="R194" s="39">
        <v>6</v>
      </c>
      <c r="S194" s="39">
        <v>6</v>
      </c>
      <c r="T194" s="39">
        <v>6</v>
      </c>
      <c r="U194" s="39">
        <v>0</v>
      </c>
      <c r="V194" s="39">
        <v>30</v>
      </c>
      <c r="W194" s="39">
        <v>648312</v>
      </c>
      <c r="X194" s="39">
        <v>87701</v>
      </c>
      <c r="Y194" s="39">
        <v>2000078</v>
      </c>
      <c r="Z194" s="39" t="s">
        <v>375</v>
      </c>
      <c r="AA194" s="39" t="s">
        <v>848</v>
      </c>
      <c r="AB194" s="39">
        <v>85154</v>
      </c>
      <c r="AC194" s="39">
        <v>74054</v>
      </c>
      <c r="AD194" s="39" t="s">
        <v>1057</v>
      </c>
      <c r="AE194" s="39" t="s">
        <v>1058</v>
      </c>
      <c r="AF194" s="136">
        <v>43955</v>
      </c>
      <c r="AG194" s="39" t="s">
        <v>1059</v>
      </c>
      <c r="AH194" s="39">
        <v>36281639</v>
      </c>
      <c r="AI194" s="39">
        <v>20362816395</v>
      </c>
      <c r="AJ194" s="46">
        <v>43745</v>
      </c>
      <c r="AK194" s="46">
        <v>43945</v>
      </c>
      <c r="AL194" s="47">
        <v>43956</v>
      </c>
      <c r="AM194" s="39">
        <v>322</v>
      </c>
      <c r="AN194" s="137" t="s">
        <v>114</v>
      </c>
      <c r="AO194" s="141">
        <v>89993</v>
      </c>
      <c r="AP194" s="139" t="s">
        <v>115</v>
      </c>
      <c r="AQ194" s="142" t="s">
        <v>1607</v>
      </c>
    </row>
    <row r="195" spans="1:43" x14ac:dyDescent="0.25">
      <c r="A195" s="44" t="s">
        <v>97</v>
      </c>
      <c r="B195" s="39" t="s">
        <v>86</v>
      </c>
      <c r="C195" s="39" t="s">
        <v>1060</v>
      </c>
      <c r="D195" s="39" t="s">
        <v>1061</v>
      </c>
      <c r="E195" s="39" t="s">
        <v>40</v>
      </c>
      <c r="F195" s="39" t="s">
        <v>131</v>
      </c>
      <c r="G195" s="39" t="s">
        <v>131</v>
      </c>
      <c r="H195" s="39" t="s">
        <v>131</v>
      </c>
      <c r="I195" s="39" t="s">
        <v>131</v>
      </c>
      <c r="J195" s="39" t="s">
        <v>131</v>
      </c>
      <c r="K195" s="39" t="s">
        <v>40</v>
      </c>
      <c r="L195" s="135"/>
      <c r="M195" s="45"/>
      <c r="N195" s="39" t="s">
        <v>1605</v>
      </c>
      <c r="O195" s="39">
        <v>0</v>
      </c>
      <c r="P195" s="39">
        <v>6</v>
      </c>
      <c r="Q195" s="39">
        <v>6</v>
      </c>
      <c r="R195" s="39">
        <v>6</v>
      </c>
      <c r="S195" s="39">
        <v>6</v>
      </c>
      <c r="T195" s="39">
        <v>6</v>
      </c>
      <c r="U195" s="39">
        <v>0</v>
      </c>
      <c r="V195" s="39">
        <v>30</v>
      </c>
      <c r="W195" s="39">
        <v>648307</v>
      </c>
      <c r="X195" s="39">
        <v>87685</v>
      </c>
      <c r="Y195" s="39">
        <v>3526349</v>
      </c>
      <c r="Z195" s="39" t="s">
        <v>146</v>
      </c>
      <c r="AA195" s="39" t="s">
        <v>848</v>
      </c>
      <c r="AB195" s="39" t="e">
        <v>#N/A</v>
      </c>
      <c r="AC195" s="39" t="e">
        <v>#N/A</v>
      </c>
      <c r="AD195" s="39" t="s">
        <v>1062</v>
      </c>
      <c r="AE195" s="39" t="s">
        <v>1063</v>
      </c>
      <c r="AF195" s="136">
        <v>43989</v>
      </c>
      <c r="AG195" s="39" t="s">
        <v>1064</v>
      </c>
      <c r="AH195" s="39">
        <v>42467693</v>
      </c>
      <c r="AI195" s="39">
        <v>20424676935</v>
      </c>
      <c r="AJ195" s="46">
        <v>43745</v>
      </c>
      <c r="AK195" s="46">
        <v>43945</v>
      </c>
      <c r="AL195" s="47">
        <v>43956</v>
      </c>
      <c r="AM195" s="39">
        <v>322</v>
      </c>
      <c r="AN195" s="137" t="s">
        <v>114</v>
      </c>
      <c r="AO195" s="141">
        <v>89984</v>
      </c>
      <c r="AP195" s="139" t="s">
        <v>158</v>
      </c>
      <c r="AQ195" s="142" t="s">
        <v>1607</v>
      </c>
    </row>
    <row r="196" spans="1:43" x14ac:dyDescent="0.25">
      <c r="A196" s="44" t="s">
        <v>74</v>
      </c>
      <c r="B196" s="39" t="s">
        <v>85</v>
      </c>
      <c r="C196" s="39" t="s">
        <v>1065</v>
      </c>
      <c r="D196" s="39" t="s">
        <v>1066</v>
      </c>
      <c r="E196" s="39" t="s">
        <v>40</v>
      </c>
      <c r="F196" s="39" t="s">
        <v>131</v>
      </c>
      <c r="G196" s="39" t="s">
        <v>131</v>
      </c>
      <c r="H196" s="39" t="s">
        <v>131</v>
      </c>
      <c r="I196" s="39" t="s">
        <v>131</v>
      </c>
      <c r="J196" s="39" t="s">
        <v>131</v>
      </c>
      <c r="K196" s="39" t="s">
        <v>40</v>
      </c>
      <c r="L196" s="135"/>
      <c r="M196" s="45"/>
      <c r="N196" s="39" t="s">
        <v>1605</v>
      </c>
      <c r="O196" s="39">
        <v>0</v>
      </c>
      <c r="P196" s="39">
        <v>6</v>
      </c>
      <c r="Q196" s="39">
        <v>6</v>
      </c>
      <c r="R196" s="39">
        <v>6</v>
      </c>
      <c r="S196" s="39">
        <v>6</v>
      </c>
      <c r="T196" s="39">
        <v>6</v>
      </c>
      <c r="U196" s="39">
        <v>0</v>
      </c>
      <c r="V196" s="39">
        <v>30</v>
      </c>
      <c r="W196" s="39">
        <v>648308</v>
      </c>
      <c r="X196" s="39">
        <v>87882</v>
      </c>
      <c r="Y196" s="39">
        <v>3123170</v>
      </c>
      <c r="Z196" s="39" t="s">
        <v>375</v>
      </c>
      <c r="AA196" s="39" t="s">
        <v>848</v>
      </c>
      <c r="AB196" s="39">
        <v>79688</v>
      </c>
      <c r="AC196" s="39">
        <v>74054</v>
      </c>
      <c r="AD196" s="39" t="s">
        <v>1067</v>
      </c>
      <c r="AE196" s="39" t="s">
        <v>1068</v>
      </c>
      <c r="AF196" s="136">
        <v>43955</v>
      </c>
      <c r="AG196" s="39" t="s">
        <v>1069</v>
      </c>
      <c r="AH196" s="39">
        <v>42007193</v>
      </c>
      <c r="AI196" s="39">
        <v>20420071931</v>
      </c>
      <c r="AJ196" s="46">
        <v>43752</v>
      </c>
      <c r="AK196" s="46">
        <v>43945</v>
      </c>
      <c r="AL196" s="47">
        <v>43956</v>
      </c>
      <c r="AM196" s="39">
        <v>315</v>
      </c>
      <c r="AN196" s="137" t="s">
        <v>114</v>
      </c>
      <c r="AO196" s="141">
        <v>89990</v>
      </c>
      <c r="AP196" s="139" t="s">
        <v>115</v>
      </c>
      <c r="AQ196" s="142" t="s">
        <v>1607</v>
      </c>
    </row>
    <row r="197" spans="1:43" x14ac:dyDescent="0.25">
      <c r="A197" s="44" t="s">
        <v>74</v>
      </c>
      <c r="B197" s="39" t="s">
        <v>85</v>
      </c>
      <c r="C197" s="39" t="s">
        <v>1070</v>
      </c>
      <c r="D197" s="39" t="s">
        <v>1071</v>
      </c>
      <c r="E197" s="39" t="s">
        <v>40</v>
      </c>
      <c r="F197" s="39" t="s">
        <v>131</v>
      </c>
      <c r="G197" s="39" t="s">
        <v>131</v>
      </c>
      <c r="H197" s="39" t="s">
        <v>131</v>
      </c>
      <c r="I197" s="39" t="s">
        <v>131</v>
      </c>
      <c r="J197" s="39" t="s">
        <v>131</v>
      </c>
      <c r="K197" s="39" t="s">
        <v>40</v>
      </c>
      <c r="L197" s="135"/>
      <c r="M197" s="45"/>
      <c r="N197" s="39" t="s">
        <v>1605</v>
      </c>
      <c r="O197" s="39">
        <v>0</v>
      </c>
      <c r="P197" s="39">
        <v>6</v>
      </c>
      <c r="Q197" s="39">
        <v>6</v>
      </c>
      <c r="R197" s="39">
        <v>6</v>
      </c>
      <c r="S197" s="39">
        <v>6</v>
      </c>
      <c r="T197" s="39">
        <v>6</v>
      </c>
      <c r="U197" s="39">
        <v>0</v>
      </c>
      <c r="V197" s="39">
        <v>30</v>
      </c>
      <c r="W197" s="39">
        <v>648309</v>
      </c>
      <c r="X197" s="39">
        <v>87715</v>
      </c>
      <c r="Y197" s="39">
        <v>2353705</v>
      </c>
      <c r="Z197" s="39" t="s">
        <v>146</v>
      </c>
      <c r="AA197" s="39" t="s">
        <v>848</v>
      </c>
      <c r="AB197" s="39">
        <v>79688</v>
      </c>
      <c r="AC197" s="39">
        <v>74054</v>
      </c>
      <c r="AD197" s="39" t="s">
        <v>1072</v>
      </c>
      <c r="AE197" s="39" t="s">
        <v>1073</v>
      </c>
      <c r="AF197" s="136">
        <v>43955</v>
      </c>
      <c r="AG197" s="39" t="s">
        <v>1074</v>
      </c>
      <c r="AH197" s="39">
        <v>37503155</v>
      </c>
      <c r="AI197" s="39">
        <v>27375031553</v>
      </c>
      <c r="AJ197" s="46">
        <v>43745</v>
      </c>
      <c r="AK197" s="46">
        <v>43945</v>
      </c>
      <c r="AL197" s="47">
        <v>43956</v>
      </c>
      <c r="AM197" s="39">
        <v>322</v>
      </c>
      <c r="AN197" s="137" t="s">
        <v>114</v>
      </c>
      <c r="AO197" s="141">
        <v>89997</v>
      </c>
      <c r="AP197" s="139" t="s">
        <v>115</v>
      </c>
      <c r="AQ197" s="142" t="s">
        <v>1607</v>
      </c>
    </row>
    <row r="198" spans="1:43" x14ac:dyDescent="0.25">
      <c r="A198" s="44" t="s">
        <v>74</v>
      </c>
      <c r="B198" s="39" t="s">
        <v>85</v>
      </c>
      <c r="C198" s="39" t="s">
        <v>1075</v>
      </c>
      <c r="D198" s="39" t="s">
        <v>1076</v>
      </c>
      <c r="E198" s="39" t="s">
        <v>40</v>
      </c>
      <c r="F198" s="39" t="s">
        <v>52</v>
      </c>
      <c r="G198" s="39" t="s">
        <v>52</v>
      </c>
      <c r="H198" s="39" t="s">
        <v>52</v>
      </c>
      <c r="I198" s="39" t="s">
        <v>52</v>
      </c>
      <c r="J198" s="39" t="s">
        <v>52</v>
      </c>
      <c r="K198" s="39" t="s">
        <v>40</v>
      </c>
      <c r="L198" s="135"/>
      <c r="M198" s="45" t="s">
        <v>367</v>
      </c>
      <c r="N198" s="39" t="s">
        <v>1605</v>
      </c>
      <c r="O198" s="39">
        <v>0</v>
      </c>
      <c r="P198" s="39">
        <v>0</v>
      </c>
      <c r="Q198" s="39">
        <v>0</v>
      </c>
      <c r="R198" s="39">
        <v>0</v>
      </c>
      <c r="S198" s="39">
        <v>0</v>
      </c>
      <c r="T198" s="39">
        <v>0</v>
      </c>
      <c r="U198" s="39">
        <v>0</v>
      </c>
      <c r="V198" s="39">
        <v>0</v>
      </c>
      <c r="W198" s="39">
        <v>89217</v>
      </c>
      <c r="X198" s="39">
        <v>87050</v>
      </c>
      <c r="Y198" s="39">
        <v>3409733</v>
      </c>
      <c r="Z198" s="39" t="s">
        <v>118</v>
      </c>
      <c r="AA198" s="39" t="s">
        <v>119</v>
      </c>
      <c r="AB198" s="39">
        <v>79688</v>
      </c>
      <c r="AC198" s="39">
        <v>74054</v>
      </c>
      <c r="AD198" s="39" t="s">
        <v>1077</v>
      </c>
      <c r="AE198" s="39" t="s">
        <v>1078</v>
      </c>
      <c r="AF198" s="136">
        <v>43916</v>
      </c>
      <c r="AG198" s="39" t="s">
        <v>1079</v>
      </c>
      <c r="AH198" s="39">
        <v>41126232</v>
      </c>
      <c r="AI198" s="39" t="s">
        <v>1080</v>
      </c>
      <c r="AJ198" s="46">
        <v>43668</v>
      </c>
      <c r="AK198" s="46">
        <v>43669</v>
      </c>
      <c r="AL198" s="47">
        <v>43678</v>
      </c>
      <c r="AM198" s="39">
        <v>397</v>
      </c>
      <c r="AN198" s="137" t="s">
        <v>114</v>
      </c>
      <c r="AO198" s="141">
        <v>89881</v>
      </c>
      <c r="AP198" s="139" t="s">
        <v>115</v>
      </c>
      <c r="AQ198" s="142" t="s">
        <v>1606</v>
      </c>
    </row>
    <row r="199" spans="1:43" x14ac:dyDescent="0.25">
      <c r="A199" s="44" t="s">
        <v>97</v>
      </c>
      <c r="B199" s="39" t="s">
        <v>91</v>
      </c>
      <c r="C199" s="39" t="s">
        <v>1012</v>
      </c>
      <c r="D199" s="39" t="s">
        <v>1081</v>
      </c>
      <c r="E199" s="39" t="s">
        <v>40</v>
      </c>
      <c r="F199" s="39" t="s">
        <v>420</v>
      </c>
      <c r="G199" s="39" t="s">
        <v>420</v>
      </c>
      <c r="H199" s="39" t="s">
        <v>420</v>
      </c>
      <c r="I199" s="39" t="s">
        <v>420</v>
      </c>
      <c r="J199" s="39" t="s">
        <v>420</v>
      </c>
      <c r="K199" s="39" t="s">
        <v>40</v>
      </c>
      <c r="L199" s="135"/>
      <c r="M199" s="45"/>
      <c r="N199" s="39" t="s">
        <v>1605</v>
      </c>
      <c r="O199" s="39">
        <v>0</v>
      </c>
      <c r="P199" s="39">
        <v>6</v>
      </c>
      <c r="Q199" s="39">
        <v>6</v>
      </c>
      <c r="R199" s="39">
        <v>6</v>
      </c>
      <c r="S199" s="39">
        <v>6</v>
      </c>
      <c r="T199" s="39">
        <v>6</v>
      </c>
      <c r="U199" s="39">
        <v>0</v>
      </c>
      <c r="V199" s="39">
        <v>30</v>
      </c>
      <c r="W199" s="39">
        <v>89292</v>
      </c>
      <c r="X199" s="39">
        <v>88154</v>
      </c>
      <c r="Y199" s="39">
        <v>3624040</v>
      </c>
      <c r="Z199" s="39" t="s">
        <v>118</v>
      </c>
      <c r="AA199" s="39" t="s">
        <v>119</v>
      </c>
      <c r="AB199" s="39">
        <v>79943</v>
      </c>
      <c r="AC199" s="39" t="e">
        <v>#N/A</v>
      </c>
      <c r="AD199" s="39" t="s">
        <v>1082</v>
      </c>
      <c r="AE199" s="39" t="s">
        <v>1083</v>
      </c>
      <c r="AF199" s="136">
        <v>43919</v>
      </c>
      <c r="AG199" s="39"/>
      <c r="AH199" s="39">
        <v>40274531</v>
      </c>
      <c r="AI199" s="39">
        <v>27402745318</v>
      </c>
      <c r="AJ199" s="46">
        <v>43808</v>
      </c>
      <c r="AK199" s="46">
        <v>43808</v>
      </c>
      <c r="AL199" s="47">
        <v>43831</v>
      </c>
      <c r="AM199" s="39">
        <v>260</v>
      </c>
      <c r="AN199" s="137" t="s">
        <v>114</v>
      </c>
      <c r="AO199" s="141">
        <v>89984</v>
      </c>
      <c r="AP199" s="139" t="s">
        <v>115</v>
      </c>
      <c r="AQ199" s="142" t="s">
        <v>1611</v>
      </c>
    </row>
    <row r="200" spans="1:43" x14ac:dyDescent="0.25">
      <c r="A200" s="44" t="s">
        <v>97</v>
      </c>
      <c r="B200" s="39" t="s">
        <v>91</v>
      </c>
      <c r="C200" s="39" t="s">
        <v>1084</v>
      </c>
      <c r="D200" s="39" t="s">
        <v>1085</v>
      </c>
      <c r="E200" s="39" t="s">
        <v>40</v>
      </c>
      <c r="F200" s="39" t="s">
        <v>420</v>
      </c>
      <c r="G200" s="39" t="s">
        <v>420</v>
      </c>
      <c r="H200" s="39" t="s">
        <v>420</v>
      </c>
      <c r="I200" s="39" t="s">
        <v>420</v>
      </c>
      <c r="J200" s="39" t="s">
        <v>420</v>
      </c>
      <c r="K200" s="39" t="s">
        <v>40</v>
      </c>
      <c r="L200" s="135"/>
      <c r="M200" s="45"/>
      <c r="N200" s="39" t="s">
        <v>1605</v>
      </c>
      <c r="O200" s="39">
        <v>0</v>
      </c>
      <c r="P200" s="39">
        <v>6</v>
      </c>
      <c r="Q200" s="39">
        <v>6</v>
      </c>
      <c r="R200" s="39">
        <v>6</v>
      </c>
      <c r="S200" s="39">
        <v>6</v>
      </c>
      <c r="T200" s="39">
        <v>6</v>
      </c>
      <c r="U200" s="39">
        <v>0</v>
      </c>
      <c r="V200" s="39">
        <v>30</v>
      </c>
      <c r="W200" s="39">
        <v>648290</v>
      </c>
      <c r="X200" s="39">
        <v>87868</v>
      </c>
      <c r="Y200" s="39">
        <v>1831428</v>
      </c>
      <c r="Z200" s="39" t="s">
        <v>375</v>
      </c>
      <c r="AA200" s="39" t="s">
        <v>848</v>
      </c>
      <c r="AB200" s="39">
        <v>79943</v>
      </c>
      <c r="AC200" s="39" t="e">
        <v>#N/A</v>
      </c>
      <c r="AD200" s="39" t="s">
        <v>1086</v>
      </c>
      <c r="AE200" s="39" t="s">
        <v>1087</v>
      </c>
      <c r="AF200" s="136">
        <v>43955</v>
      </c>
      <c r="AG200" s="39" t="s">
        <v>1088</v>
      </c>
      <c r="AH200" s="39">
        <v>38248191</v>
      </c>
      <c r="AI200" s="39">
        <v>20382481918</v>
      </c>
      <c r="AJ200" s="46">
        <v>43752</v>
      </c>
      <c r="AK200" s="46">
        <v>43945</v>
      </c>
      <c r="AL200" s="47">
        <v>43956</v>
      </c>
      <c r="AM200" s="39">
        <v>315</v>
      </c>
      <c r="AN200" s="137" t="s">
        <v>114</v>
      </c>
      <c r="AO200" s="141">
        <v>89882</v>
      </c>
      <c r="AP200" s="139" t="s">
        <v>115</v>
      </c>
      <c r="AQ200" s="142" t="s">
        <v>1611</v>
      </c>
    </row>
    <row r="201" spans="1:43" x14ac:dyDescent="0.25">
      <c r="A201" s="44" t="s">
        <v>97</v>
      </c>
      <c r="B201" s="39" t="s">
        <v>91</v>
      </c>
      <c r="C201" s="39" t="s">
        <v>1089</v>
      </c>
      <c r="D201" s="39" t="s">
        <v>1090</v>
      </c>
      <c r="E201" s="39" t="s">
        <v>40</v>
      </c>
      <c r="F201" s="39" t="s">
        <v>420</v>
      </c>
      <c r="G201" s="39" t="s">
        <v>420</v>
      </c>
      <c r="H201" s="39" t="s">
        <v>420</v>
      </c>
      <c r="I201" s="39" t="s">
        <v>420</v>
      </c>
      <c r="J201" s="39" t="s">
        <v>420</v>
      </c>
      <c r="K201" s="39" t="s">
        <v>40</v>
      </c>
      <c r="L201" s="135"/>
      <c r="M201" s="45"/>
      <c r="N201" s="39" t="s">
        <v>1605</v>
      </c>
      <c r="O201" s="39">
        <v>0</v>
      </c>
      <c r="P201" s="39">
        <v>6</v>
      </c>
      <c r="Q201" s="39">
        <v>6</v>
      </c>
      <c r="R201" s="39">
        <v>6</v>
      </c>
      <c r="S201" s="39">
        <v>6</v>
      </c>
      <c r="T201" s="39">
        <v>6</v>
      </c>
      <c r="U201" s="39">
        <v>0</v>
      </c>
      <c r="V201" s="39">
        <v>30</v>
      </c>
      <c r="W201" s="39">
        <v>648368</v>
      </c>
      <c r="X201" s="39">
        <v>76309</v>
      </c>
      <c r="Y201" s="39">
        <v>765954</v>
      </c>
      <c r="Z201" s="39" t="s">
        <v>146</v>
      </c>
      <c r="AA201" s="39" t="s">
        <v>119</v>
      </c>
      <c r="AB201" s="39">
        <v>79943</v>
      </c>
      <c r="AC201" s="39" t="e">
        <v>#N/A</v>
      </c>
      <c r="AD201" s="39" t="s">
        <v>1091</v>
      </c>
      <c r="AE201" s="39" t="s">
        <v>1092</v>
      </c>
      <c r="AF201" s="136">
        <v>43969</v>
      </c>
      <c r="AG201" s="39" t="s">
        <v>1093</v>
      </c>
      <c r="AH201" s="39">
        <v>37259157</v>
      </c>
      <c r="AI201" s="39">
        <v>23372591579</v>
      </c>
      <c r="AJ201" s="46">
        <v>40967</v>
      </c>
      <c r="AK201" s="46">
        <v>43962</v>
      </c>
      <c r="AL201" s="47">
        <v>43969</v>
      </c>
      <c r="AM201" s="39">
        <v>3061</v>
      </c>
      <c r="AN201" s="137" t="s">
        <v>114</v>
      </c>
      <c r="AO201" s="141">
        <v>648335</v>
      </c>
      <c r="AP201" s="139" t="s">
        <v>115</v>
      </c>
      <c r="AQ201" s="142" t="s">
        <v>1611</v>
      </c>
    </row>
    <row r="202" spans="1:43" x14ac:dyDescent="0.25">
      <c r="A202" s="44" t="s">
        <v>97</v>
      </c>
      <c r="B202" s="39" t="s">
        <v>91</v>
      </c>
      <c r="C202" s="39" t="s">
        <v>1094</v>
      </c>
      <c r="D202" s="39" t="s">
        <v>1095</v>
      </c>
      <c r="E202" s="39" t="s">
        <v>40</v>
      </c>
      <c r="F202" s="39" t="s">
        <v>420</v>
      </c>
      <c r="G202" s="39" t="s">
        <v>420</v>
      </c>
      <c r="H202" s="39" t="s">
        <v>420</v>
      </c>
      <c r="I202" s="39" t="s">
        <v>420</v>
      </c>
      <c r="J202" s="39" t="s">
        <v>420</v>
      </c>
      <c r="K202" s="39" t="s">
        <v>40</v>
      </c>
      <c r="L202" s="135"/>
      <c r="M202" s="45"/>
      <c r="N202" s="39" t="s">
        <v>1605</v>
      </c>
      <c r="O202" s="39">
        <v>0</v>
      </c>
      <c r="P202" s="39">
        <v>6</v>
      </c>
      <c r="Q202" s="39">
        <v>6</v>
      </c>
      <c r="R202" s="39">
        <v>6</v>
      </c>
      <c r="S202" s="39">
        <v>6</v>
      </c>
      <c r="T202" s="39">
        <v>6</v>
      </c>
      <c r="U202" s="39">
        <v>0</v>
      </c>
      <c r="V202" s="39">
        <v>30</v>
      </c>
      <c r="W202" s="39">
        <v>648291</v>
      </c>
      <c r="X202" s="39">
        <v>64167</v>
      </c>
      <c r="Y202" s="39">
        <v>433490</v>
      </c>
      <c r="Z202" s="39" t="s">
        <v>146</v>
      </c>
      <c r="AA202" s="39" t="s">
        <v>848</v>
      </c>
      <c r="AB202" s="39">
        <v>79943</v>
      </c>
      <c r="AC202" s="39" t="e">
        <v>#N/A</v>
      </c>
      <c r="AD202" s="39" t="s">
        <v>1096</v>
      </c>
      <c r="AE202" s="39" t="s">
        <v>1097</v>
      </c>
      <c r="AF202" s="136">
        <v>43955</v>
      </c>
      <c r="AG202" s="39">
        <v>3814348840</v>
      </c>
      <c r="AH202" s="39">
        <v>29391113</v>
      </c>
      <c r="AI202" s="39">
        <v>23293911134</v>
      </c>
      <c r="AJ202" s="46">
        <v>39937</v>
      </c>
      <c r="AK202" s="46">
        <v>43945</v>
      </c>
      <c r="AL202" s="47">
        <v>43956</v>
      </c>
      <c r="AM202" s="39">
        <v>4075</v>
      </c>
      <c r="AN202" s="137" t="s">
        <v>114</v>
      </c>
      <c r="AO202" s="141">
        <v>89876</v>
      </c>
      <c r="AP202" s="139" t="s">
        <v>115</v>
      </c>
      <c r="AQ202" s="142" t="s">
        <v>1611</v>
      </c>
    </row>
    <row r="203" spans="1:43" x14ac:dyDescent="0.25">
      <c r="A203" s="44" t="s">
        <v>97</v>
      </c>
      <c r="B203" s="39" t="s">
        <v>91</v>
      </c>
      <c r="C203" s="39" t="s">
        <v>1098</v>
      </c>
      <c r="D203" s="39" t="s">
        <v>1099</v>
      </c>
      <c r="E203" s="39" t="s">
        <v>40</v>
      </c>
      <c r="F203" s="39" t="s">
        <v>486</v>
      </c>
      <c r="G203" s="39" t="s">
        <v>486</v>
      </c>
      <c r="H203" s="39" t="s">
        <v>486</v>
      </c>
      <c r="I203" s="39" t="s">
        <v>486</v>
      </c>
      <c r="J203" s="39" t="s">
        <v>486</v>
      </c>
      <c r="K203" s="39" t="s">
        <v>40</v>
      </c>
      <c r="L203" s="135"/>
      <c r="M203" s="45"/>
      <c r="N203" s="39" t="s">
        <v>1605</v>
      </c>
      <c r="O203" s="39">
        <v>0</v>
      </c>
      <c r="P203" s="39">
        <v>5.0000000000000009</v>
      </c>
      <c r="Q203" s="39">
        <v>5.0000000000000009</v>
      </c>
      <c r="R203" s="39">
        <v>5.0000000000000009</v>
      </c>
      <c r="S203" s="39">
        <v>5.0000000000000009</v>
      </c>
      <c r="T203" s="39">
        <v>5.0000000000000009</v>
      </c>
      <c r="U203" s="39">
        <v>0</v>
      </c>
      <c r="V203" s="39">
        <v>25.000000000000004</v>
      </c>
      <c r="W203" s="39">
        <v>648375</v>
      </c>
      <c r="X203" s="39">
        <v>76198</v>
      </c>
      <c r="Y203" s="39">
        <v>765944</v>
      </c>
      <c r="Z203" s="39" t="s">
        <v>118</v>
      </c>
      <c r="AA203" s="39" t="s">
        <v>119</v>
      </c>
      <c r="AB203" s="39">
        <v>79943</v>
      </c>
      <c r="AC203" s="39" t="e">
        <v>#N/A</v>
      </c>
      <c r="AD203" s="39" t="s">
        <v>1100</v>
      </c>
      <c r="AE203" s="39" t="s">
        <v>1101</v>
      </c>
      <c r="AF203" s="136">
        <v>43969</v>
      </c>
      <c r="AG203" s="39" t="s">
        <v>1102</v>
      </c>
      <c r="AH203" s="39">
        <v>35419321</v>
      </c>
      <c r="AI203" s="39">
        <v>27354193219</v>
      </c>
      <c r="AJ203" s="46">
        <v>40938</v>
      </c>
      <c r="AK203" s="46">
        <v>43962</v>
      </c>
      <c r="AL203" s="47">
        <v>43969</v>
      </c>
      <c r="AM203" s="39">
        <v>3089</v>
      </c>
      <c r="AN203" s="137" t="s">
        <v>114</v>
      </c>
      <c r="AO203" s="141">
        <v>648322</v>
      </c>
      <c r="AP203" s="139" t="s">
        <v>115</v>
      </c>
      <c r="AQ203" s="142" t="s">
        <v>1613</v>
      </c>
    </row>
    <row r="204" spans="1:43" x14ac:dyDescent="0.25">
      <c r="A204" s="44" t="s">
        <v>97</v>
      </c>
      <c r="B204" s="39" t="s">
        <v>91</v>
      </c>
      <c r="C204" s="39" t="s">
        <v>164</v>
      </c>
      <c r="D204" s="39" t="s">
        <v>1103</v>
      </c>
      <c r="E204" s="39" t="s">
        <v>40</v>
      </c>
      <c r="F204" s="39" t="s">
        <v>420</v>
      </c>
      <c r="G204" s="39" t="s">
        <v>420</v>
      </c>
      <c r="H204" s="39" t="s">
        <v>420</v>
      </c>
      <c r="I204" s="39" t="s">
        <v>420</v>
      </c>
      <c r="J204" s="39" t="s">
        <v>420</v>
      </c>
      <c r="K204" s="39" t="s">
        <v>40</v>
      </c>
      <c r="L204" s="135"/>
      <c r="M204" s="45"/>
      <c r="N204" s="39" t="s">
        <v>1605</v>
      </c>
      <c r="O204" s="39">
        <v>0</v>
      </c>
      <c r="P204" s="39">
        <v>6</v>
      </c>
      <c r="Q204" s="39">
        <v>6</v>
      </c>
      <c r="R204" s="39">
        <v>6</v>
      </c>
      <c r="S204" s="39">
        <v>6</v>
      </c>
      <c r="T204" s="39">
        <v>6</v>
      </c>
      <c r="U204" s="39">
        <v>0</v>
      </c>
      <c r="V204" s="39">
        <v>30</v>
      </c>
      <c r="W204" s="39">
        <v>648292</v>
      </c>
      <c r="X204" s="39">
        <v>71798</v>
      </c>
      <c r="Y204" s="39">
        <v>516965</v>
      </c>
      <c r="Z204" s="39" t="s">
        <v>146</v>
      </c>
      <c r="AA204" s="39" t="s">
        <v>848</v>
      </c>
      <c r="AB204" s="39">
        <v>79943</v>
      </c>
      <c r="AC204" s="39" t="e">
        <v>#N/A</v>
      </c>
      <c r="AD204" s="39" t="s">
        <v>1104</v>
      </c>
      <c r="AE204" s="39" t="s">
        <v>1105</v>
      </c>
      <c r="AF204" s="136">
        <v>43955</v>
      </c>
      <c r="AG204" s="39">
        <v>381156539986</v>
      </c>
      <c r="AH204" s="39">
        <v>32853762</v>
      </c>
      <c r="AI204" s="39">
        <v>20328537622</v>
      </c>
      <c r="AJ204" s="46">
        <v>40357</v>
      </c>
      <c r="AK204" s="46">
        <v>43945</v>
      </c>
      <c r="AL204" s="47">
        <v>43956</v>
      </c>
      <c r="AM204" s="39">
        <v>3661</v>
      </c>
      <c r="AN204" s="137" t="s">
        <v>114</v>
      </c>
      <c r="AO204" s="141">
        <v>89874</v>
      </c>
      <c r="AP204" s="139" t="s">
        <v>115</v>
      </c>
      <c r="AQ204" s="142" t="s">
        <v>1611</v>
      </c>
    </row>
    <row r="205" spans="1:43" x14ac:dyDescent="0.25">
      <c r="A205" s="44" t="s">
        <v>97</v>
      </c>
      <c r="B205" s="39" t="s">
        <v>91</v>
      </c>
      <c r="C205" s="39" t="s">
        <v>164</v>
      </c>
      <c r="D205" s="39" t="s">
        <v>662</v>
      </c>
      <c r="E205" s="39" t="s">
        <v>40</v>
      </c>
      <c r="F205" s="39" t="s">
        <v>420</v>
      </c>
      <c r="G205" s="39" t="s">
        <v>420</v>
      </c>
      <c r="H205" s="39" t="s">
        <v>420</v>
      </c>
      <c r="I205" s="39" t="s">
        <v>420</v>
      </c>
      <c r="J205" s="39" t="s">
        <v>420</v>
      </c>
      <c r="K205" s="39" t="s">
        <v>40</v>
      </c>
      <c r="L205" s="135"/>
      <c r="M205" s="45"/>
      <c r="N205" s="39" t="s">
        <v>1605</v>
      </c>
      <c r="O205" s="39">
        <v>0</v>
      </c>
      <c r="P205" s="39">
        <v>6</v>
      </c>
      <c r="Q205" s="39">
        <v>6</v>
      </c>
      <c r="R205" s="39">
        <v>6</v>
      </c>
      <c r="S205" s="39">
        <v>6</v>
      </c>
      <c r="T205" s="39">
        <v>6</v>
      </c>
      <c r="U205" s="39">
        <v>0</v>
      </c>
      <c r="V205" s="39">
        <v>30</v>
      </c>
      <c r="W205" s="39">
        <v>648293</v>
      </c>
      <c r="X205" s="39">
        <v>80050</v>
      </c>
      <c r="Y205" s="39">
        <v>1535101</v>
      </c>
      <c r="Z205" s="39" t="s">
        <v>146</v>
      </c>
      <c r="AA205" s="39" t="s">
        <v>848</v>
      </c>
      <c r="AB205" s="39">
        <v>79943</v>
      </c>
      <c r="AC205" s="39" t="e">
        <v>#N/A</v>
      </c>
      <c r="AD205" s="39" t="s">
        <v>1106</v>
      </c>
      <c r="AE205" s="39" t="s">
        <v>1107</v>
      </c>
      <c r="AF205" s="136">
        <v>43955</v>
      </c>
      <c r="AG205" s="39" t="s">
        <v>1108</v>
      </c>
      <c r="AH205" s="39">
        <v>34064053</v>
      </c>
      <c r="AI205" s="39">
        <v>27340640530</v>
      </c>
      <c r="AJ205" s="46">
        <v>42009</v>
      </c>
      <c r="AK205" s="46">
        <v>43945</v>
      </c>
      <c r="AL205" s="47">
        <v>43956</v>
      </c>
      <c r="AM205" s="39">
        <v>2034</v>
      </c>
      <c r="AN205" s="137" t="s">
        <v>114</v>
      </c>
      <c r="AO205" s="141">
        <v>89875</v>
      </c>
      <c r="AP205" s="139" t="s">
        <v>115</v>
      </c>
      <c r="AQ205" s="142" t="s">
        <v>1611</v>
      </c>
    </row>
    <row r="206" spans="1:43" x14ac:dyDescent="0.25">
      <c r="A206" s="44" t="s">
        <v>97</v>
      </c>
      <c r="B206" s="39" t="s">
        <v>91</v>
      </c>
      <c r="C206" s="39" t="s">
        <v>1109</v>
      </c>
      <c r="D206" s="39" t="s">
        <v>1002</v>
      </c>
      <c r="E206" s="39" t="s">
        <v>40</v>
      </c>
      <c r="F206" s="39" t="s">
        <v>420</v>
      </c>
      <c r="G206" s="39" t="s">
        <v>420</v>
      </c>
      <c r="H206" s="39" t="s">
        <v>420</v>
      </c>
      <c r="I206" s="39" t="s">
        <v>420</v>
      </c>
      <c r="J206" s="39" t="s">
        <v>420</v>
      </c>
      <c r="K206" s="39" t="s">
        <v>40</v>
      </c>
      <c r="L206" s="135"/>
      <c r="M206" s="45"/>
      <c r="N206" s="39" t="s">
        <v>1605</v>
      </c>
      <c r="O206" s="39">
        <v>0</v>
      </c>
      <c r="P206" s="39">
        <v>6</v>
      </c>
      <c r="Q206" s="39">
        <v>6</v>
      </c>
      <c r="R206" s="39">
        <v>6</v>
      </c>
      <c r="S206" s="39">
        <v>6</v>
      </c>
      <c r="T206" s="39">
        <v>6</v>
      </c>
      <c r="U206" s="39">
        <v>0</v>
      </c>
      <c r="V206" s="39">
        <v>30</v>
      </c>
      <c r="W206" s="39">
        <v>648391</v>
      </c>
      <c r="X206" s="39">
        <v>81639</v>
      </c>
      <c r="Y206" s="39">
        <v>2024635</v>
      </c>
      <c r="Z206" s="39" t="s">
        <v>118</v>
      </c>
      <c r="AA206" s="39" t="s">
        <v>119</v>
      </c>
      <c r="AB206" s="39">
        <v>79943</v>
      </c>
      <c r="AC206" s="39" t="e">
        <v>#N/A</v>
      </c>
      <c r="AD206" s="39" t="s">
        <v>1110</v>
      </c>
      <c r="AE206" s="39" t="s">
        <v>1111</v>
      </c>
      <c r="AF206" s="136">
        <v>43969</v>
      </c>
      <c r="AG206" s="39" t="s">
        <v>1112</v>
      </c>
      <c r="AH206" s="39">
        <v>37456943</v>
      </c>
      <c r="AI206" s="39">
        <v>27374569436</v>
      </c>
      <c r="AJ206" s="46">
        <v>42460</v>
      </c>
      <c r="AK206" s="46">
        <v>43962</v>
      </c>
      <c r="AL206" s="47">
        <v>43969</v>
      </c>
      <c r="AM206" s="39">
        <v>1589</v>
      </c>
      <c r="AN206" s="137" t="s">
        <v>114</v>
      </c>
      <c r="AO206" s="141">
        <v>648323</v>
      </c>
      <c r="AP206" s="139" t="s">
        <v>115</v>
      </c>
      <c r="AQ206" s="142" t="s">
        <v>1611</v>
      </c>
    </row>
    <row r="207" spans="1:43" x14ac:dyDescent="0.25">
      <c r="A207" s="44" t="s">
        <v>97</v>
      </c>
      <c r="B207" s="39" t="s">
        <v>91</v>
      </c>
      <c r="C207" s="39" t="s">
        <v>851</v>
      </c>
      <c r="D207" s="39" t="s">
        <v>1113</v>
      </c>
      <c r="E207" s="39" t="s">
        <v>40</v>
      </c>
      <c r="F207" s="39" t="s">
        <v>420</v>
      </c>
      <c r="G207" s="39" t="s">
        <v>420</v>
      </c>
      <c r="H207" s="39" t="s">
        <v>420</v>
      </c>
      <c r="I207" s="39" t="s">
        <v>420</v>
      </c>
      <c r="J207" s="39" t="s">
        <v>420</v>
      </c>
      <c r="K207" s="39" t="s">
        <v>40</v>
      </c>
      <c r="L207" s="135"/>
      <c r="M207" s="45"/>
      <c r="N207" s="39" t="s">
        <v>1605</v>
      </c>
      <c r="O207" s="39">
        <v>0</v>
      </c>
      <c r="P207" s="39">
        <v>6</v>
      </c>
      <c r="Q207" s="39">
        <v>6</v>
      </c>
      <c r="R207" s="39">
        <v>6</v>
      </c>
      <c r="S207" s="39">
        <v>6</v>
      </c>
      <c r="T207" s="39">
        <v>6</v>
      </c>
      <c r="U207" s="39">
        <v>0</v>
      </c>
      <c r="V207" s="39">
        <v>30</v>
      </c>
      <c r="W207" s="39">
        <v>648295</v>
      </c>
      <c r="X207" s="39">
        <v>87670</v>
      </c>
      <c r="Y207" s="39">
        <v>3525831</v>
      </c>
      <c r="Z207" s="39" t="s">
        <v>146</v>
      </c>
      <c r="AA207" s="39" t="s">
        <v>848</v>
      </c>
      <c r="AB207" s="39">
        <v>79943</v>
      </c>
      <c r="AC207" s="39" t="e">
        <v>#N/A</v>
      </c>
      <c r="AD207" s="39" t="s">
        <v>1114</v>
      </c>
      <c r="AE207" s="39" t="s">
        <v>1115</v>
      </c>
      <c r="AF207" s="136">
        <v>43955</v>
      </c>
      <c r="AG207" s="39" t="s">
        <v>1116</v>
      </c>
      <c r="AH207" s="39">
        <v>40273863</v>
      </c>
      <c r="AI207" s="39">
        <v>20402738635</v>
      </c>
      <c r="AJ207" s="46">
        <v>43745</v>
      </c>
      <c r="AK207" s="46">
        <v>43945</v>
      </c>
      <c r="AL207" s="47">
        <v>43956</v>
      </c>
      <c r="AM207" s="39">
        <v>322</v>
      </c>
      <c r="AN207" s="137" t="s">
        <v>114</v>
      </c>
      <c r="AO207" s="141">
        <v>89877</v>
      </c>
      <c r="AP207" s="139" t="s">
        <v>115</v>
      </c>
      <c r="AQ207" s="142" t="s">
        <v>1611</v>
      </c>
    </row>
    <row r="208" spans="1:43" x14ac:dyDescent="0.25">
      <c r="A208" s="44" t="s">
        <v>97</v>
      </c>
      <c r="B208" s="39" t="s">
        <v>91</v>
      </c>
      <c r="C208" s="39" t="s">
        <v>1117</v>
      </c>
      <c r="D208" s="39" t="s">
        <v>1118</v>
      </c>
      <c r="E208" s="39" t="s">
        <v>40</v>
      </c>
      <c r="F208" s="39" t="s">
        <v>420</v>
      </c>
      <c r="G208" s="39" t="s">
        <v>420</v>
      </c>
      <c r="H208" s="39" t="s">
        <v>420</v>
      </c>
      <c r="I208" s="39" t="s">
        <v>420</v>
      </c>
      <c r="J208" s="39" t="s">
        <v>420</v>
      </c>
      <c r="K208" s="39" t="s">
        <v>40</v>
      </c>
      <c r="L208" s="135"/>
      <c r="M208" s="45"/>
      <c r="N208" s="39" t="s">
        <v>1605</v>
      </c>
      <c r="O208" s="39">
        <v>0</v>
      </c>
      <c r="P208" s="39">
        <v>6</v>
      </c>
      <c r="Q208" s="39">
        <v>6</v>
      </c>
      <c r="R208" s="39">
        <v>6</v>
      </c>
      <c r="S208" s="39">
        <v>6</v>
      </c>
      <c r="T208" s="39">
        <v>6</v>
      </c>
      <c r="U208" s="39">
        <v>0</v>
      </c>
      <c r="V208" s="39">
        <v>30</v>
      </c>
      <c r="W208" s="39">
        <v>648296</v>
      </c>
      <c r="X208" s="39">
        <v>60260</v>
      </c>
      <c r="Y208" s="39">
        <v>433236</v>
      </c>
      <c r="Z208" s="39" t="s">
        <v>146</v>
      </c>
      <c r="AA208" s="39" t="s">
        <v>848</v>
      </c>
      <c r="AB208" s="39">
        <v>79943</v>
      </c>
      <c r="AC208" s="39" t="e">
        <v>#N/A</v>
      </c>
      <c r="AD208" s="39" t="s">
        <v>1119</v>
      </c>
      <c r="AE208" s="39" t="s">
        <v>1120</v>
      </c>
      <c r="AF208" s="136">
        <v>43955</v>
      </c>
      <c r="AG208" s="39">
        <v>3814392233</v>
      </c>
      <c r="AH208" s="39">
        <v>24982560</v>
      </c>
      <c r="AI208" s="39">
        <v>27249825609</v>
      </c>
      <c r="AJ208" s="46">
        <v>39671</v>
      </c>
      <c r="AK208" s="46">
        <v>43945</v>
      </c>
      <c r="AL208" s="47">
        <v>43956</v>
      </c>
      <c r="AM208" s="39">
        <v>4338</v>
      </c>
      <c r="AN208" s="137" t="s">
        <v>114</v>
      </c>
      <c r="AO208" s="141">
        <v>89878</v>
      </c>
      <c r="AP208" s="139" t="s">
        <v>115</v>
      </c>
      <c r="AQ208" s="142" t="s">
        <v>1611</v>
      </c>
    </row>
    <row r="209" spans="1:43" x14ac:dyDescent="0.25">
      <c r="A209" s="44" t="s">
        <v>97</v>
      </c>
      <c r="B209" s="39" t="s">
        <v>91</v>
      </c>
      <c r="C209" s="39" t="s">
        <v>1121</v>
      </c>
      <c r="D209" s="39" t="s">
        <v>1122</v>
      </c>
      <c r="E209" s="39" t="s">
        <v>40</v>
      </c>
      <c r="F209" s="39" t="s">
        <v>420</v>
      </c>
      <c r="G209" s="39" t="s">
        <v>420</v>
      </c>
      <c r="H209" s="39" t="s">
        <v>420</v>
      </c>
      <c r="I209" s="39" t="s">
        <v>420</v>
      </c>
      <c r="J209" s="39" t="s">
        <v>420</v>
      </c>
      <c r="K209" s="39" t="s">
        <v>40</v>
      </c>
      <c r="L209" s="135"/>
      <c r="M209" s="45"/>
      <c r="N209" s="39" t="s">
        <v>1605</v>
      </c>
      <c r="O209" s="39">
        <v>0</v>
      </c>
      <c r="P209" s="39">
        <v>6</v>
      </c>
      <c r="Q209" s="39">
        <v>6</v>
      </c>
      <c r="R209" s="39">
        <v>6</v>
      </c>
      <c r="S209" s="39">
        <v>6</v>
      </c>
      <c r="T209" s="39">
        <v>6</v>
      </c>
      <c r="U209" s="39">
        <v>0</v>
      </c>
      <c r="V209" s="39">
        <v>30</v>
      </c>
      <c r="W209" s="39">
        <v>648359</v>
      </c>
      <c r="X209" s="39">
        <v>75641</v>
      </c>
      <c r="Y209" s="39">
        <v>730819</v>
      </c>
      <c r="Z209" s="39" t="s">
        <v>119</v>
      </c>
      <c r="AA209" s="39" t="s">
        <v>119</v>
      </c>
      <c r="AB209" s="39">
        <v>79943</v>
      </c>
      <c r="AC209" s="39" t="e">
        <v>#N/A</v>
      </c>
      <c r="AD209" s="39" t="s">
        <v>1123</v>
      </c>
      <c r="AE209" s="39" t="s">
        <v>1124</v>
      </c>
      <c r="AF209" s="136">
        <v>43969</v>
      </c>
      <c r="AG209" s="39">
        <v>385155980395</v>
      </c>
      <c r="AH209" s="39">
        <v>31305838</v>
      </c>
      <c r="AI209" s="39">
        <v>27313058382</v>
      </c>
      <c r="AJ209" s="46">
        <v>40854</v>
      </c>
      <c r="AK209" s="46">
        <v>43962</v>
      </c>
      <c r="AL209" s="47">
        <v>43969</v>
      </c>
      <c r="AM209" s="39">
        <v>3172</v>
      </c>
      <c r="AN209" s="137" t="s">
        <v>114</v>
      </c>
      <c r="AO209" s="141">
        <v>648327</v>
      </c>
      <c r="AP209" s="139" t="s">
        <v>115</v>
      </c>
      <c r="AQ209" s="142" t="s">
        <v>1611</v>
      </c>
    </row>
    <row r="210" spans="1:43" x14ac:dyDescent="0.25">
      <c r="A210" s="44" t="s">
        <v>97</v>
      </c>
      <c r="B210" s="39" t="s">
        <v>91</v>
      </c>
      <c r="C210" s="39" t="s">
        <v>1125</v>
      </c>
      <c r="D210" s="39" t="s">
        <v>1126</v>
      </c>
      <c r="E210" s="39" t="s">
        <v>40</v>
      </c>
      <c r="F210" s="39" t="s">
        <v>420</v>
      </c>
      <c r="G210" s="39" t="s">
        <v>420</v>
      </c>
      <c r="H210" s="39" t="s">
        <v>420</v>
      </c>
      <c r="I210" s="39" t="s">
        <v>420</v>
      </c>
      <c r="J210" s="39" t="s">
        <v>420</v>
      </c>
      <c r="K210" s="39" t="s">
        <v>40</v>
      </c>
      <c r="L210" s="135"/>
      <c r="M210" s="45"/>
      <c r="N210" s="39" t="s">
        <v>1605</v>
      </c>
      <c r="O210" s="39">
        <v>0</v>
      </c>
      <c r="P210" s="39">
        <v>6</v>
      </c>
      <c r="Q210" s="39">
        <v>6</v>
      </c>
      <c r="R210" s="39">
        <v>6</v>
      </c>
      <c r="S210" s="39">
        <v>6</v>
      </c>
      <c r="T210" s="39">
        <v>6</v>
      </c>
      <c r="U210" s="39">
        <v>0</v>
      </c>
      <c r="V210" s="39">
        <v>30</v>
      </c>
      <c r="W210" s="39">
        <v>648297</v>
      </c>
      <c r="X210" s="39">
        <v>87883</v>
      </c>
      <c r="Y210" s="39">
        <v>3534209</v>
      </c>
      <c r="Z210" s="39" t="s">
        <v>375</v>
      </c>
      <c r="AA210" s="39" t="s">
        <v>848</v>
      </c>
      <c r="AB210" s="39">
        <v>79943</v>
      </c>
      <c r="AC210" s="39" t="e">
        <v>#N/A</v>
      </c>
      <c r="AD210" s="39" t="s">
        <v>1127</v>
      </c>
      <c r="AE210" s="39" t="s">
        <v>1128</v>
      </c>
      <c r="AF210" s="136">
        <v>43955</v>
      </c>
      <c r="AG210" s="39" t="s">
        <v>1129</v>
      </c>
      <c r="AH210" s="39">
        <v>40782555</v>
      </c>
      <c r="AI210" s="39">
        <v>27407825557</v>
      </c>
      <c r="AJ210" s="46">
        <v>43752</v>
      </c>
      <c r="AK210" s="46">
        <v>43945</v>
      </c>
      <c r="AL210" s="47">
        <v>43956</v>
      </c>
      <c r="AM210" s="39">
        <v>315</v>
      </c>
      <c r="AN210" s="137" t="s">
        <v>114</v>
      </c>
      <c r="AO210" s="141">
        <v>89879</v>
      </c>
      <c r="AP210" s="139" t="s">
        <v>115</v>
      </c>
      <c r="AQ210" s="142" t="s">
        <v>1611</v>
      </c>
    </row>
    <row r="211" spans="1:43" x14ac:dyDescent="0.25">
      <c r="A211" s="44" t="s">
        <v>97</v>
      </c>
      <c r="B211" s="39" t="s">
        <v>91</v>
      </c>
      <c r="C211" s="39" t="s">
        <v>267</v>
      </c>
      <c r="D211" s="39" t="s">
        <v>1130</v>
      </c>
      <c r="E211" s="39" t="s">
        <v>40</v>
      </c>
      <c r="F211" s="39" t="s">
        <v>52</v>
      </c>
      <c r="G211" s="39" t="s">
        <v>52</v>
      </c>
      <c r="H211" s="39" t="s">
        <v>52</v>
      </c>
      <c r="I211" s="39" t="s">
        <v>52</v>
      </c>
      <c r="J211" s="39" t="s">
        <v>52</v>
      </c>
      <c r="K211" s="39" t="s">
        <v>40</v>
      </c>
      <c r="L211" s="135"/>
      <c r="M211" s="45" t="s">
        <v>1131</v>
      </c>
      <c r="N211" s="39" t="s">
        <v>1605</v>
      </c>
      <c r="O211" s="39">
        <v>0</v>
      </c>
      <c r="P211" s="39">
        <v>0</v>
      </c>
      <c r="Q211" s="39">
        <v>0</v>
      </c>
      <c r="R211" s="39">
        <v>0</v>
      </c>
      <c r="S211" s="39">
        <v>0</v>
      </c>
      <c r="T211" s="39">
        <v>0</v>
      </c>
      <c r="U211" s="39">
        <v>0</v>
      </c>
      <c r="V211" s="39">
        <v>0</v>
      </c>
      <c r="W211" s="39">
        <v>648039</v>
      </c>
      <c r="X211" s="39">
        <v>88033</v>
      </c>
      <c r="Y211" s="39">
        <v>3553104</v>
      </c>
      <c r="Z211" s="39" t="s">
        <v>118</v>
      </c>
      <c r="AA211" s="39" t="s">
        <v>119</v>
      </c>
      <c r="AB211" s="39">
        <v>79943</v>
      </c>
      <c r="AC211" s="39" t="e">
        <v>#N/A</v>
      </c>
      <c r="AD211" s="39" t="s">
        <v>1132</v>
      </c>
      <c r="AE211" s="39" t="s">
        <v>1133</v>
      </c>
      <c r="AF211" s="136">
        <v>43943</v>
      </c>
      <c r="AG211" s="39" t="s">
        <v>1134</v>
      </c>
      <c r="AH211" s="39">
        <v>42173457</v>
      </c>
      <c r="AI211" s="39" t="s">
        <v>1135</v>
      </c>
      <c r="AJ211" s="46">
        <v>43942</v>
      </c>
      <c r="AK211" s="46">
        <v>43942</v>
      </c>
      <c r="AL211" s="47">
        <v>43943</v>
      </c>
      <c r="AM211" s="39">
        <v>128</v>
      </c>
      <c r="AN211" s="137" t="s">
        <v>114</v>
      </c>
      <c r="AO211" s="141">
        <v>89799</v>
      </c>
      <c r="AP211" s="139" t="s">
        <v>115</v>
      </c>
      <c r="AQ211" s="142" t="s">
        <v>1613</v>
      </c>
    </row>
    <row r="212" spans="1:43" x14ac:dyDescent="0.25">
      <c r="A212" s="44" t="s">
        <v>97</v>
      </c>
      <c r="B212" s="39" t="s">
        <v>91</v>
      </c>
      <c r="C212" s="39" t="s">
        <v>1136</v>
      </c>
      <c r="D212" s="39" t="s">
        <v>1137</v>
      </c>
      <c r="E212" s="39" t="s">
        <v>40</v>
      </c>
      <c r="F212" s="39" t="s">
        <v>420</v>
      </c>
      <c r="G212" s="39" t="s">
        <v>420</v>
      </c>
      <c r="H212" s="39" t="s">
        <v>420</v>
      </c>
      <c r="I212" s="39" t="s">
        <v>420</v>
      </c>
      <c r="J212" s="39" t="s">
        <v>420</v>
      </c>
      <c r="K212" s="39" t="s">
        <v>40</v>
      </c>
      <c r="L212" s="135"/>
      <c r="M212" s="45"/>
      <c r="N212" s="39" t="s">
        <v>1605</v>
      </c>
      <c r="O212" s="39">
        <v>0</v>
      </c>
      <c r="P212" s="39">
        <v>6</v>
      </c>
      <c r="Q212" s="39">
        <v>6</v>
      </c>
      <c r="R212" s="39">
        <v>6</v>
      </c>
      <c r="S212" s="39">
        <v>6</v>
      </c>
      <c r="T212" s="39">
        <v>6</v>
      </c>
      <c r="U212" s="39">
        <v>0</v>
      </c>
      <c r="V212" s="39">
        <v>30</v>
      </c>
      <c r="W212" s="39">
        <v>648299</v>
      </c>
      <c r="X212" s="39">
        <v>87895</v>
      </c>
      <c r="Y212" s="39">
        <v>3534360</v>
      </c>
      <c r="Z212" s="39" t="s">
        <v>375</v>
      </c>
      <c r="AA212" s="39" t="s">
        <v>848</v>
      </c>
      <c r="AB212" s="39">
        <v>79943</v>
      </c>
      <c r="AC212" s="39" t="e">
        <v>#N/A</v>
      </c>
      <c r="AD212" s="39" t="s">
        <v>1138</v>
      </c>
      <c r="AE212" s="39" t="s">
        <v>1139</v>
      </c>
      <c r="AF212" s="136">
        <v>43955</v>
      </c>
      <c r="AG212" s="39" t="s">
        <v>1140</v>
      </c>
      <c r="AH212" s="39">
        <v>31809122</v>
      </c>
      <c r="AI212" s="39">
        <v>27318091221</v>
      </c>
      <c r="AJ212" s="46">
        <v>43752</v>
      </c>
      <c r="AK212" s="46">
        <v>43945</v>
      </c>
      <c r="AL212" s="47">
        <v>43956</v>
      </c>
      <c r="AM212" s="39">
        <v>315</v>
      </c>
      <c r="AN212" s="137" t="s">
        <v>114</v>
      </c>
      <c r="AO212" s="141">
        <v>89883</v>
      </c>
      <c r="AP212" s="139" t="s">
        <v>115</v>
      </c>
      <c r="AQ212" s="142" t="s">
        <v>1611</v>
      </c>
    </row>
    <row r="213" spans="1:43" x14ac:dyDescent="0.25">
      <c r="A213" s="44" t="s">
        <v>97</v>
      </c>
      <c r="B213" s="39" t="s">
        <v>91</v>
      </c>
      <c r="C213" s="39" t="s">
        <v>1141</v>
      </c>
      <c r="D213" s="39" t="s">
        <v>1142</v>
      </c>
      <c r="E213" s="39" t="s">
        <v>40</v>
      </c>
      <c r="F213" s="39" t="s">
        <v>420</v>
      </c>
      <c r="G213" s="39" t="s">
        <v>420</v>
      </c>
      <c r="H213" s="39" t="s">
        <v>420</v>
      </c>
      <c r="I213" s="39" t="s">
        <v>420</v>
      </c>
      <c r="J213" s="39" t="s">
        <v>420</v>
      </c>
      <c r="K213" s="39" t="s">
        <v>40</v>
      </c>
      <c r="L213" s="135"/>
      <c r="M213" s="45"/>
      <c r="N213" s="39" t="s">
        <v>1605</v>
      </c>
      <c r="O213" s="39">
        <v>0</v>
      </c>
      <c r="P213" s="39">
        <v>6</v>
      </c>
      <c r="Q213" s="39">
        <v>6</v>
      </c>
      <c r="R213" s="39">
        <v>6</v>
      </c>
      <c r="S213" s="39">
        <v>6</v>
      </c>
      <c r="T213" s="39">
        <v>6</v>
      </c>
      <c r="U213" s="39">
        <v>0</v>
      </c>
      <c r="V213" s="39">
        <v>30</v>
      </c>
      <c r="W213" s="39">
        <v>648300</v>
      </c>
      <c r="X213" s="39">
        <v>87867</v>
      </c>
      <c r="Y213" s="39">
        <v>3534207</v>
      </c>
      <c r="Z213" s="39" t="s">
        <v>375</v>
      </c>
      <c r="AA213" s="39" t="s">
        <v>848</v>
      </c>
      <c r="AB213" s="39">
        <v>79943</v>
      </c>
      <c r="AC213" s="39" t="e">
        <v>#N/A</v>
      </c>
      <c r="AD213" s="39" t="s">
        <v>1143</v>
      </c>
      <c r="AE213" s="39" t="s">
        <v>1144</v>
      </c>
      <c r="AF213" s="136">
        <v>43955</v>
      </c>
      <c r="AG213" s="39" t="s">
        <v>1145</v>
      </c>
      <c r="AH213" s="39">
        <v>42371528</v>
      </c>
      <c r="AI213" s="39">
        <v>20423715287</v>
      </c>
      <c r="AJ213" s="46">
        <v>43752</v>
      </c>
      <c r="AK213" s="46">
        <v>43945</v>
      </c>
      <c r="AL213" s="47">
        <v>43956</v>
      </c>
      <c r="AM213" s="39">
        <v>315</v>
      </c>
      <c r="AN213" s="137" t="s">
        <v>114</v>
      </c>
      <c r="AO213" s="141">
        <v>89880</v>
      </c>
      <c r="AP213" s="139" t="s">
        <v>115</v>
      </c>
      <c r="AQ213" s="142" t="s">
        <v>1611</v>
      </c>
    </row>
    <row r="214" spans="1:43" x14ac:dyDescent="0.25">
      <c r="A214" s="44" t="s">
        <v>97</v>
      </c>
      <c r="B214" s="39" t="s">
        <v>91</v>
      </c>
      <c r="C214" s="39" t="s">
        <v>1146</v>
      </c>
      <c r="D214" s="39" t="s">
        <v>1147</v>
      </c>
      <c r="E214" s="39" t="s">
        <v>40</v>
      </c>
      <c r="F214" s="39" t="s">
        <v>52</v>
      </c>
      <c r="G214" s="39" t="s">
        <v>52</v>
      </c>
      <c r="H214" s="39" t="s">
        <v>52</v>
      </c>
      <c r="I214" s="39" t="s">
        <v>52</v>
      </c>
      <c r="J214" s="39" t="s">
        <v>52</v>
      </c>
      <c r="K214" s="39" t="s">
        <v>40</v>
      </c>
      <c r="L214" s="135"/>
      <c r="M214" s="45" t="s">
        <v>946</v>
      </c>
      <c r="N214" s="39" t="s">
        <v>1605</v>
      </c>
      <c r="O214" s="39">
        <v>0</v>
      </c>
      <c r="P214" s="39">
        <v>0</v>
      </c>
      <c r="Q214" s="39">
        <v>0</v>
      </c>
      <c r="R214" s="39">
        <v>0</v>
      </c>
      <c r="S214" s="39">
        <v>0</v>
      </c>
      <c r="T214" s="39">
        <v>0</v>
      </c>
      <c r="U214" s="39">
        <v>0</v>
      </c>
      <c r="V214" s="39">
        <v>0</v>
      </c>
      <c r="W214" s="39">
        <v>648040</v>
      </c>
      <c r="X214" s="39">
        <v>88034</v>
      </c>
      <c r="Y214" s="39">
        <v>3553109</v>
      </c>
      <c r="Z214" s="39" t="s">
        <v>118</v>
      </c>
      <c r="AA214" s="39" t="s">
        <v>119</v>
      </c>
      <c r="AB214" s="39">
        <v>79943</v>
      </c>
      <c r="AC214" s="39" t="e">
        <v>#N/A</v>
      </c>
      <c r="AD214" s="39" t="s">
        <v>1148</v>
      </c>
      <c r="AE214" s="39" t="s">
        <v>1149</v>
      </c>
      <c r="AF214" s="136">
        <v>43943</v>
      </c>
      <c r="AG214" s="39" t="s">
        <v>1150</v>
      </c>
      <c r="AH214" s="39">
        <v>37503426</v>
      </c>
      <c r="AI214" s="39" t="s">
        <v>1151</v>
      </c>
      <c r="AJ214" s="46">
        <v>43942</v>
      </c>
      <c r="AK214" s="46">
        <v>43942</v>
      </c>
      <c r="AL214" s="47">
        <v>43943</v>
      </c>
      <c r="AM214" s="39">
        <v>128</v>
      </c>
      <c r="AN214" s="137" t="s">
        <v>114</v>
      </c>
      <c r="AO214" s="141">
        <v>648240</v>
      </c>
      <c r="AP214" s="139" t="s">
        <v>115</v>
      </c>
      <c r="AQ214" s="142" t="s">
        <v>1612</v>
      </c>
    </row>
    <row r="215" spans="1:43" x14ac:dyDescent="0.25">
      <c r="A215" s="44" t="s">
        <v>97</v>
      </c>
      <c r="B215" s="39" t="s">
        <v>91</v>
      </c>
      <c r="C215" s="39" t="s">
        <v>1152</v>
      </c>
      <c r="D215" s="39" t="s">
        <v>1153</v>
      </c>
      <c r="E215" s="39" t="s">
        <v>40</v>
      </c>
      <c r="F215" s="39" t="s">
        <v>420</v>
      </c>
      <c r="G215" s="39" t="s">
        <v>420</v>
      </c>
      <c r="H215" s="39" t="s">
        <v>420</v>
      </c>
      <c r="I215" s="39" t="s">
        <v>420</v>
      </c>
      <c r="J215" s="39" t="s">
        <v>420</v>
      </c>
      <c r="K215" s="39" t="s">
        <v>40</v>
      </c>
      <c r="L215" s="135"/>
      <c r="M215" s="45"/>
      <c r="N215" s="39" t="s">
        <v>1605</v>
      </c>
      <c r="O215" s="39">
        <v>0</v>
      </c>
      <c r="P215" s="39">
        <v>6</v>
      </c>
      <c r="Q215" s="39">
        <v>6</v>
      </c>
      <c r="R215" s="39">
        <v>6</v>
      </c>
      <c r="S215" s="39">
        <v>6</v>
      </c>
      <c r="T215" s="39">
        <v>6</v>
      </c>
      <c r="U215" s="39">
        <v>0</v>
      </c>
      <c r="V215" s="39">
        <v>30</v>
      </c>
      <c r="W215" s="39">
        <v>648301</v>
      </c>
      <c r="X215" s="39">
        <v>87891</v>
      </c>
      <c r="Y215" s="39">
        <v>3522061</v>
      </c>
      <c r="Z215" s="39" t="s">
        <v>375</v>
      </c>
      <c r="AA215" s="39" t="s">
        <v>848</v>
      </c>
      <c r="AB215" s="39">
        <v>79943</v>
      </c>
      <c r="AC215" s="39" t="e">
        <v>#N/A</v>
      </c>
      <c r="AD215" s="39" t="s">
        <v>1154</v>
      </c>
      <c r="AE215" s="39" t="s">
        <v>1155</v>
      </c>
      <c r="AF215" s="136">
        <v>43955</v>
      </c>
      <c r="AG215" s="39" t="s">
        <v>1156</v>
      </c>
      <c r="AH215" s="39">
        <v>38023091</v>
      </c>
      <c r="AI215" s="39">
        <v>20380230918</v>
      </c>
      <c r="AJ215" s="46">
        <v>43752</v>
      </c>
      <c r="AK215" s="46">
        <v>43945</v>
      </c>
      <c r="AL215" s="47">
        <v>43956</v>
      </c>
      <c r="AM215" s="39">
        <v>315</v>
      </c>
      <c r="AN215" s="137" t="s">
        <v>114</v>
      </c>
      <c r="AO215" s="141">
        <v>89881</v>
      </c>
      <c r="AP215" s="139" t="s">
        <v>115</v>
      </c>
      <c r="AQ215" s="142" t="s">
        <v>1611</v>
      </c>
    </row>
    <row r="216" spans="1:43" x14ac:dyDescent="0.25">
      <c r="A216" s="44" t="s">
        <v>97</v>
      </c>
      <c r="B216" s="39" t="s">
        <v>95</v>
      </c>
      <c r="C216" s="39" t="s">
        <v>360</v>
      </c>
      <c r="D216" s="39" t="s">
        <v>1157</v>
      </c>
      <c r="E216" s="39" t="s">
        <v>40</v>
      </c>
      <c r="F216" s="39" t="s">
        <v>486</v>
      </c>
      <c r="G216" s="39" t="s">
        <v>486</v>
      </c>
      <c r="H216" s="39" t="s">
        <v>486</v>
      </c>
      <c r="I216" s="39" t="s">
        <v>486</v>
      </c>
      <c r="J216" s="39" t="s">
        <v>486</v>
      </c>
      <c r="K216" s="39" t="s">
        <v>40</v>
      </c>
      <c r="L216" s="135"/>
      <c r="M216" s="45"/>
      <c r="N216" s="39" t="s">
        <v>1605</v>
      </c>
      <c r="O216" s="39">
        <v>0</v>
      </c>
      <c r="P216" s="39">
        <v>5.0000000000000009</v>
      </c>
      <c r="Q216" s="39">
        <v>5.0000000000000009</v>
      </c>
      <c r="R216" s="39">
        <v>5.0000000000000009</v>
      </c>
      <c r="S216" s="39">
        <v>5.0000000000000009</v>
      </c>
      <c r="T216" s="39">
        <v>5.0000000000000009</v>
      </c>
      <c r="U216" s="39">
        <v>0</v>
      </c>
      <c r="V216" s="39">
        <v>25.000000000000004</v>
      </c>
      <c r="W216" s="39">
        <v>648220</v>
      </c>
      <c r="X216" s="39">
        <v>80879</v>
      </c>
      <c r="Y216" s="39">
        <v>1833170</v>
      </c>
      <c r="Z216" s="39" t="s">
        <v>119</v>
      </c>
      <c r="AA216" s="39" t="s">
        <v>350</v>
      </c>
      <c r="AB216" s="39">
        <v>83505</v>
      </c>
      <c r="AC216" s="39" t="e">
        <v>#N/A</v>
      </c>
      <c r="AD216" s="39" t="s">
        <v>1158</v>
      </c>
      <c r="AE216" s="39" t="s">
        <v>1159</v>
      </c>
      <c r="AF216" s="136">
        <v>43935</v>
      </c>
      <c r="AG216" s="39" t="s">
        <v>1160</v>
      </c>
      <c r="AH216" s="39">
        <v>32601762</v>
      </c>
      <c r="AI216" s="39">
        <v>27326017626</v>
      </c>
      <c r="AJ216" s="46">
        <v>42264</v>
      </c>
      <c r="AK216" s="46">
        <v>43930</v>
      </c>
      <c r="AL216" s="47">
        <v>43935</v>
      </c>
      <c r="AM216" s="39">
        <v>1782</v>
      </c>
      <c r="AN216" s="137" t="s">
        <v>114</v>
      </c>
      <c r="AO216" s="141">
        <v>89908</v>
      </c>
      <c r="AP216" s="139" t="s">
        <v>115</v>
      </c>
      <c r="AQ216" s="142" t="s">
        <v>1613</v>
      </c>
    </row>
    <row r="217" spans="1:43" x14ac:dyDescent="0.25">
      <c r="A217" s="44" t="s">
        <v>97</v>
      </c>
      <c r="B217" s="39" t="s">
        <v>95</v>
      </c>
      <c r="C217" s="39" t="s">
        <v>1161</v>
      </c>
      <c r="D217" s="39" t="s">
        <v>1162</v>
      </c>
      <c r="E217" s="39" t="s">
        <v>40</v>
      </c>
      <c r="F217" s="39" t="s">
        <v>639</v>
      </c>
      <c r="G217" s="39" t="s">
        <v>639</v>
      </c>
      <c r="H217" s="39" t="s">
        <v>639</v>
      </c>
      <c r="I217" s="39" t="s">
        <v>639</v>
      </c>
      <c r="J217" s="39" t="s">
        <v>639</v>
      </c>
      <c r="K217" s="39" t="s">
        <v>40</v>
      </c>
      <c r="L217" s="135"/>
      <c r="M217" s="45"/>
      <c r="N217" s="39" t="s">
        <v>1605</v>
      </c>
      <c r="O217" s="39">
        <v>0</v>
      </c>
      <c r="P217" s="39">
        <v>5</v>
      </c>
      <c r="Q217" s="39">
        <v>5</v>
      </c>
      <c r="R217" s="39">
        <v>5</v>
      </c>
      <c r="S217" s="39">
        <v>5</v>
      </c>
      <c r="T217" s="39">
        <v>5</v>
      </c>
      <c r="U217" s="39">
        <v>0</v>
      </c>
      <c r="V217" s="39">
        <v>25</v>
      </c>
      <c r="W217" s="39">
        <v>648041</v>
      </c>
      <c r="X217" s="39">
        <v>88035</v>
      </c>
      <c r="Y217" s="39">
        <v>3553153</v>
      </c>
      <c r="Z217" s="39" t="s">
        <v>118</v>
      </c>
      <c r="AA217" s="39" t="s">
        <v>119</v>
      </c>
      <c r="AB217" s="39">
        <v>83505</v>
      </c>
      <c r="AC217" s="39" t="e">
        <v>#N/A</v>
      </c>
      <c r="AD217" s="39" t="s">
        <v>1163</v>
      </c>
      <c r="AE217" s="39" t="s">
        <v>1164</v>
      </c>
      <c r="AF217" s="136">
        <v>43943</v>
      </c>
      <c r="AG217" s="39" t="s">
        <v>1165</v>
      </c>
      <c r="AH217" s="39">
        <v>36420663</v>
      </c>
      <c r="AI217" s="39" t="s">
        <v>1166</v>
      </c>
      <c r="AJ217" s="46">
        <v>43942</v>
      </c>
      <c r="AK217" s="46">
        <v>43942</v>
      </c>
      <c r="AL217" s="47">
        <v>43943</v>
      </c>
      <c r="AM217" s="39">
        <v>128</v>
      </c>
      <c r="AN217" s="137" t="s">
        <v>114</v>
      </c>
      <c r="AO217" s="141">
        <v>89938</v>
      </c>
      <c r="AP217" s="139" t="s">
        <v>115</v>
      </c>
      <c r="AQ217" s="142" t="s">
        <v>1612</v>
      </c>
    </row>
    <row r="218" spans="1:43" x14ac:dyDescent="0.25">
      <c r="A218" s="44" t="s">
        <v>97</v>
      </c>
      <c r="B218" s="39" t="s">
        <v>95</v>
      </c>
      <c r="C218" s="39" t="s">
        <v>215</v>
      </c>
      <c r="D218" s="39" t="s">
        <v>1167</v>
      </c>
      <c r="E218" s="39" t="s">
        <v>40</v>
      </c>
      <c r="F218" s="39" t="s">
        <v>420</v>
      </c>
      <c r="G218" s="39" t="s">
        <v>420</v>
      </c>
      <c r="H218" s="39" t="s">
        <v>420</v>
      </c>
      <c r="I218" s="39" t="s">
        <v>420</v>
      </c>
      <c r="J218" s="39" t="s">
        <v>420</v>
      </c>
      <c r="K218" s="39" t="s">
        <v>40</v>
      </c>
      <c r="L218" s="135"/>
      <c r="M218" s="45"/>
      <c r="N218" s="39" t="s">
        <v>1605</v>
      </c>
      <c r="O218" s="39">
        <v>0</v>
      </c>
      <c r="P218" s="39">
        <v>6</v>
      </c>
      <c r="Q218" s="39">
        <v>6</v>
      </c>
      <c r="R218" s="39">
        <v>6</v>
      </c>
      <c r="S218" s="39">
        <v>6</v>
      </c>
      <c r="T218" s="39">
        <v>6</v>
      </c>
      <c r="U218" s="39">
        <v>0</v>
      </c>
      <c r="V218" s="39">
        <v>30</v>
      </c>
      <c r="W218" s="39">
        <v>648367</v>
      </c>
      <c r="X218" s="39">
        <v>84602</v>
      </c>
      <c r="Y218" s="39">
        <v>2744900</v>
      </c>
      <c r="Z218" s="39" t="s">
        <v>146</v>
      </c>
      <c r="AA218" s="39" t="s">
        <v>119</v>
      </c>
      <c r="AB218" s="39">
        <v>83505</v>
      </c>
      <c r="AC218" s="39" t="e">
        <v>#N/A</v>
      </c>
      <c r="AD218" s="39" t="s">
        <v>1168</v>
      </c>
      <c r="AE218" s="39" t="s">
        <v>1169</v>
      </c>
      <c r="AF218" s="136">
        <v>43969</v>
      </c>
      <c r="AG218" s="39" t="s">
        <v>1170</v>
      </c>
      <c r="AH218" s="39">
        <v>41374252</v>
      </c>
      <c r="AI218" s="39">
        <v>27413742523</v>
      </c>
      <c r="AJ218" s="46">
        <v>43108</v>
      </c>
      <c r="AK218" s="46">
        <v>43962</v>
      </c>
      <c r="AL218" s="47">
        <v>43969</v>
      </c>
      <c r="AM218" s="39">
        <v>951</v>
      </c>
      <c r="AN218" s="137" t="s">
        <v>114</v>
      </c>
      <c r="AO218" s="141">
        <v>648334</v>
      </c>
      <c r="AP218" s="139" t="s">
        <v>115</v>
      </c>
      <c r="AQ218" s="142" t="s">
        <v>1611</v>
      </c>
    </row>
    <row r="219" spans="1:43" x14ac:dyDescent="0.25">
      <c r="A219" s="44" t="s">
        <v>97</v>
      </c>
      <c r="B219" s="39" t="s">
        <v>95</v>
      </c>
      <c r="C219" s="39" t="s">
        <v>1171</v>
      </c>
      <c r="D219" s="39" t="s">
        <v>1172</v>
      </c>
      <c r="E219" s="39" t="s">
        <v>40</v>
      </c>
      <c r="F219" s="39" t="s">
        <v>420</v>
      </c>
      <c r="G219" s="39" t="s">
        <v>420</v>
      </c>
      <c r="H219" s="39" t="s">
        <v>420</v>
      </c>
      <c r="I219" s="39" t="s">
        <v>420</v>
      </c>
      <c r="J219" s="39" t="s">
        <v>420</v>
      </c>
      <c r="K219" s="39" t="s">
        <v>40</v>
      </c>
      <c r="L219" s="135"/>
      <c r="M219" s="45"/>
      <c r="N219" s="39" t="s">
        <v>1605</v>
      </c>
      <c r="O219" s="39">
        <v>0</v>
      </c>
      <c r="P219" s="39">
        <v>6</v>
      </c>
      <c r="Q219" s="39">
        <v>6</v>
      </c>
      <c r="R219" s="39">
        <v>6</v>
      </c>
      <c r="S219" s="39">
        <v>6</v>
      </c>
      <c r="T219" s="39">
        <v>6</v>
      </c>
      <c r="U219" s="39">
        <v>0</v>
      </c>
      <c r="V219" s="39">
        <v>30</v>
      </c>
      <c r="W219" s="39">
        <v>648350</v>
      </c>
      <c r="X219" s="39">
        <v>83317</v>
      </c>
      <c r="Y219" s="39">
        <v>2445631</v>
      </c>
      <c r="Z219" s="39" t="s">
        <v>118</v>
      </c>
      <c r="AA219" s="39" t="s">
        <v>119</v>
      </c>
      <c r="AB219" s="39">
        <v>83505</v>
      </c>
      <c r="AC219" s="39" t="e">
        <v>#N/A</v>
      </c>
      <c r="AD219" s="39" t="s">
        <v>1173</v>
      </c>
      <c r="AE219" s="39" t="s">
        <v>1174</v>
      </c>
      <c r="AF219" s="136">
        <v>43969</v>
      </c>
      <c r="AG219" s="39" t="s">
        <v>1175</v>
      </c>
      <c r="AH219" s="39">
        <v>34911669</v>
      </c>
      <c r="AI219" s="39">
        <v>27349116699</v>
      </c>
      <c r="AJ219" s="46">
        <v>42821</v>
      </c>
      <c r="AK219" s="46">
        <v>43962</v>
      </c>
      <c r="AL219" s="47">
        <v>43969</v>
      </c>
      <c r="AM219" s="39">
        <v>1232</v>
      </c>
      <c r="AN219" s="137" t="s">
        <v>114</v>
      </c>
      <c r="AO219" s="141">
        <v>648324</v>
      </c>
      <c r="AP219" s="139" t="s">
        <v>115</v>
      </c>
      <c r="AQ219" s="142" t="s">
        <v>1611</v>
      </c>
    </row>
    <row r="220" spans="1:43" x14ac:dyDescent="0.25">
      <c r="A220" s="44" t="s">
        <v>97</v>
      </c>
      <c r="B220" s="39" t="s">
        <v>95</v>
      </c>
      <c r="C220" s="39" t="s">
        <v>1176</v>
      </c>
      <c r="D220" s="39" t="s">
        <v>1177</v>
      </c>
      <c r="E220" s="39" t="s">
        <v>40</v>
      </c>
      <c r="F220" s="39" t="s">
        <v>420</v>
      </c>
      <c r="G220" s="39" t="s">
        <v>420</v>
      </c>
      <c r="H220" s="39" t="s">
        <v>420</v>
      </c>
      <c r="I220" s="39" t="s">
        <v>420</v>
      </c>
      <c r="J220" s="39" t="s">
        <v>420</v>
      </c>
      <c r="K220" s="39" t="s">
        <v>40</v>
      </c>
      <c r="L220" s="135"/>
      <c r="M220" s="45"/>
      <c r="N220" s="39" t="s">
        <v>1605</v>
      </c>
      <c r="O220" s="39">
        <v>0</v>
      </c>
      <c r="P220" s="39">
        <v>6</v>
      </c>
      <c r="Q220" s="39">
        <v>6</v>
      </c>
      <c r="R220" s="39">
        <v>6</v>
      </c>
      <c r="S220" s="39">
        <v>6</v>
      </c>
      <c r="T220" s="39">
        <v>6</v>
      </c>
      <c r="U220" s="39">
        <v>0</v>
      </c>
      <c r="V220" s="39">
        <v>30</v>
      </c>
      <c r="W220" s="39">
        <v>648376</v>
      </c>
      <c r="X220" s="39">
        <v>86048</v>
      </c>
      <c r="Y220" s="39">
        <v>3124769</v>
      </c>
      <c r="Z220" s="39" t="s">
        <v>118</v>
      </c>
      <c r="AA220" s="39" t="s">
        <v>119</v>
      </c>
      <c r="AB220" s="39">
        <v>83505</v>
      </c>
      <c r="AC220" s="39" t="e">
        <v>#N/A</v>
      </c>
      <c r="AD220" s="39" t="s">
        <v>1178</v>
      </c>
      <c r="AE220" s="39" t="s">
        <v>1179</v>
      </c>
      <c r="AF220" s="136">
        <v>43969</v>
      </c>
      <c r="AG220" s="39">
        <v>3816402083</v>
      </c>
      <c r="AH220" s="39">
        <v>31588787</v>
      </c>
      <c r="AI220" s="39">
        <v>23315887879</v>
      </c>
      <c r="AJ220" s="46">
        <v>43437</v>
      </c>
      <c r="AK220" s="46">
        <v>43962</v>
      </c>
      <c r="AL220" s="47">
        <v>43969</v>
      </c>
      <c r="AM220" s="39">
        <v>626</v>
      </c>
      <c r="AN220" s="137" t="s">
        <v>114</v>
      </c>
      <c r="AO220" s="141">
        <v>648340</v>
      </c>
      <c r="AP220" s="139" t="s">
        <v>115</v>
      </c>
      <c r="AQ220" s="142" t="s">
        <v>1611</v>
      </c>
    </row>
    <row r="221" spans="1:43" x14ac:dyDescent="0.25">
      <c r="A221" s="44" t="s">
        <v>97</v>
      </c>
      <c r="B221" s="39" t="s">
        <v>95</v>
      </c>
      <c r="C221" s="39" t="s">
        <v>1180</v>
      </c>
      <c r="D221" s="39" t="s">
        <v>1181</v>
      </c>
      <c r="E221" s="39" t="s">
        <v>40</v>
      </c>
      <c r="F221" s="39" t="s">
        <v>486</v>
      </c>
      <c r="G221" s="39" t="s">
        <v>486</v>
      </c>
      <c r="H221" s="39" t="s">
        <v>486</v>
      </c>
      <c r="I221" s="39" t="s">
        <v>486</v>
      </c>
      <c r="J221" s="39" t="s">
        <v>486</v>
      </c>
      <c r="K221" s="39" t="s">
        <v>40</v>
      </c>
      <c r="L221" s="135"/>
      <c r="M221" s="45"/>
      <c r="N221" s="39" t="s">
        <v>1605</v>
      </c>
      <c r="O221" s="39">
        <v>0</v>
      </c>
      <c r="P221" s="39">
        <v>5.0000000000000009</v>
      </c>
      <c r="Q221" s="39">
        <v>5.0000000000000009</v>
      </c>
      <c r="R221" s="39">
        <v>5.0000000000000009</v>
      </c>
      <c r="S221" s="39">
        <v>5.0000000000000009</v>
      </c>
      <c r="T221" s="39">
        <v>5.0000000000000009</v>
      </c>
      <c r="U221" s="39">
        <v>0</v>
      </c>
      <c r="V221" s="39">
        <v>25.000000000000004</v>
      </c>
      <c r="W221" s="39">
        <v>648358</v>
      </c>
      <c r="X221" s="39">
        <v>80032</v>
      </c>
      <c r="Y221" s="39">
        <v>1534867</v>
      </c>
      <c r="Z221" s="39" t="s">
        <v>119</v>
      </c>
      <c r="AA221" s="39" t="s">
        <v>119</v>
      </c>
      <c r="AB221" s="39">
        <v>83505</v>
      </c>
      <c r="AC221" s="39" t="e">
        <v>#N/A</v>
      </c>
      <c r="AD221" s="39" t="s">
        <v>1182</v>
      </c>
      <c r="AE221" s="39" t="s">
        <v>1183</v>
      </c>
      <c r="AF221" s="136">
        <v>43969</v>
      </c>
      <c r="AG221" s="39" t="s">
        <v>1184</v>
      </c>
      <c r="AH221" s="39">
        <v>31443913</v>
      </c>
      <c r="AI221" s="39">
        <v>27314439134</v>
      </c>
      <c r="AJ221" s="46">
        <v>42009</v>
      </c>
      <c r="AK221" s="46">
        <v>43962</v>
      </c>
      <c r="AL221" s="47">
        <v>43969</v>
      </c>
      <c r="AM221" s="39">
        <v>2034</v>
      </c>
      <c r="AN221" s="137" t="s">
        <v>114</v>
      </c>
      <c r="AO221" s="141">
        <v>648330</v>
      </c>
      <c r="AP221" s="139" t="s">
        <v>115</v>
      </c>
      <c r="AQ221" s="142" t="s">
        <v>1611</v>
      </c>
    </row>
    <row r="222" spans="1:43" x14ac:dyDescent="0.25">
      <c r="A222" s="44" t="s">
        <v>97</v>
      </c>
      <c r="B222" s="39" t="s">
        <v>95</v>
      </c>
      <c r="C222" s="39" t="s">
        <v>1185</v>
      </c>
      <c r="D222" s="39" t="s">
        <v>1186</v>
      </c>
      <c r="E222" s="39" t="s">
        <v>40</v>
      </c>
      <c r="F222" s="39" t="s">
        <v>420</v>
      </c>
      <c r="G222" s="39" t="s">
        <v>420</v>
      </c>
      <c r="H222" s="39" t="s">
        <v>420</v>
      </c>
      <c r="I222" s="39" t="s">
        <v>420</v>
      </c>
      <c r="J222" s="39" t="s">
        <v>420</v>
      </c>
      <c r="K222" s="39" t="s">
        <v>40</v>
      </c>
      <c r="L222" s="135"/>
      <c r="M222" s="45"/>
      <c r="N222" s="39" t="s">
        <v>1605</v>
      </c>
      <c r="O222" s="39">
        <v>0</v>
      </c>
      <c r="P222" s="39">
        <v>6</v>
      </c>
      <c r="Q222" s="39">
        <v>6</v>
      </c>
      <c r="R222" s="39">
        <v>6</v>
      </c>
      <c r="S222" s="39">
        <v>6</v>
      </c>
      <c r="T222" s="39">
        <v>6</v>
      </c>
      <c r="U222" s="39">
        <v>0</v>
      </c>
      <c r="V222" s="39">
        <v>30</v>
      </c>
      <c r="W222" s="39">
        <v>648374</v>
      </c>
      <c r="X222" s="39">
        <v>85181</v>
      </c>
      <c r="Y222" s="39">
        <v>2360478</v>
      </c>
      <c r="Z222" s="39" t="s">
        <v>118</v>
      </c>
      <c r="AA222" s="39" t="s">
        <v>119</v>
      </c>
      <c r="AB222" s="39">
        <v>83505</v>
      </c>
      <c r="AC222" s="39" t="e">
        <v>#N/A</v>
      </c>
      <c r="AD222" s="39" t="s">
        <v>1187</v>
      </c>
      <c r="AE222" s="39" t="s">
        <v>1188</v>
      </c>
      <c r="AF222" s="136">
        <v>43969</v>
      </c>
      <c r="AG222" s="39" t="s">
        <v>1189</v>
      </c>
      <c r="AH222" s="39">
        <v>39359211</v>
      </c>
      <c r="AI222" s="39">
        <v>27393592112</v>
      </c>
      <c r="AJ222" s="46">
        <v>43150</v>
      </c>
      <c r="AK222" s="46">
        <v>43962</v>
      </c>
      <c r="AL222" s="47">
        <v>43969</v>
      </c>
      <c r="AM222" s="39">
        <v>910</v>
      </c>
      <c r="AN222" s="137" t="s">
        <v>114</v>
      </c>
      <c r="AO222" s="141">
        <v>648339</v>
      </c>
      <c r="AP222" s="139" t="s">
        <v>115</v>
      </c>
      <c r="AQ222" s="142" t="s">
        <v>1611</v>
      </c>
    </row>
    <row r="223" spans="1:43" x14ac:dyDescent="0.25">
      <c r="A223" s="44" t="s">
        <v>97</v>
      </c>
      <c r="B223" s="39" t="s">
        <v>95</v>
      </c>
      <c r="C223" s="39" t="s">
        <v>768</v>
      </c>
      <c r="D223" s="39" t="s">
        <v>1190</v>
      </c>
      <c r="E223" s="39" t="s">
        <v>40</v>
      </c>
      <c r="F223" s="39" t="s">
        <v>420</v>
      </c>
      <c r="G223" s="39" t="s">
        <v>420</v>
      </c>
      <c r="H223" s="39" t="s">
        <v>420</v>
      </c>
      <c r="I223" s="39" t="s">
        <v>420</v>
      </c>
      <c r="J223" s="39" t="s">
        <v>420</v>
      </c>
      <c r="K223" s="39" t="s">
        <v>40</v>
      </c>
      <c r="L223" s="135"/>
      <c r="M223" s="45"/>
      <c r="N223" s="39" t="s">
        <v>1605</v>
      </c>
      <c r="O223" s="39">
        <v>0</v>
      </c>
      <c r="P223" s="39">
        <v>6</v>
      </c>
      <c r="Q223" s="39">
        <v>6</v>
      </c>
      <c r="R223" s="39">
        <v>6</v>
      </c>
      <c r="S223" s="39">
        <v>6</v>
      </c>
      <c r="T223" s="39">
        <v>6</v>
      </c>
      <c r="U223" s="39">
        <v>0</v>
      </c>
      <c r="V223" s="39">
        <v>30</v>
      </c>
      <c r="W223" s="39">
        <v>89018</v>
      </c>
      <c r="X223" s="39">
        <v>85610</v>
      </c>
      <c r="Y223" s="39">
        <v>2873906</v>
      </c>
      <c r="Z223" s="39" t="s">
        <v>146</v>
      </c>
      <c r="AA223" s="39" t="s">
        <v>119</v>
      </c>
      <c r="AB223" s="39">
        <v>83505</v>
      </c>
      <c r="AC223" s="39" t="e">
        <v>#N/A</v>
      </c>
      <c r="AD223" s="39" t="s">
        <v>1191</v>
      </c>
      <c r="AE223" s="39" t="s">
        <v>1192</v>
      </c>
      <c r="AF223" s="136">
        <v>43915</v>
      </c>
      <c r="AG223" s="39" t="s">
        <v>1193</v>
      </c>
      <c r="AH223" s="39">
        <v>32201685</v>
      </c>
      <c r="AI223" s="39">
        <v>23322016859</v>
      </c>
      <c r="AJ223" s="46">
        <v>43227</v>
      </c>
      <c r="AK223" s="46">
        <v>43259</v>
      </c>
      <c r="AL223" s="47">
        <v>43262</v>
      </c>
      <c r="AM223" s="39">
        <v>832</v>
      </c>
      <c r="AN223" s="137" t="s">
        <v>114</v>
      </c>
      <c r="AO223" s="141">
        <v>89994</v>
      </c>
      <c r="AP223" s="139" t="s">
        <v>115</v>
      </c>
      <c r="AQ223" s="142" t="s">
        <v>1611</v>
      </c>
    </row>
    <row r="224" spans="1:43" x14ac:dyDescent="0.25">
      <c r="A224" s="44" t="s">
        <v>97</v>
      </c>
      <c r="B224" s="39" t="s">
        <v>95</v>
      </c>
      <c r="C224" s="39" t="s">
        <v>1194</v>
      </c>
      <c r="D224" s="39" t="s">
        <v>1195</v>
      </c>
      <c r="E224" s="39" t="s">
        <v>40</v>
      </c>
      <c r="F224" s="39" t="s">
        <v>420</v>
      </c>
      <c r="G224" s="39" t="s">
        <v>420</v>
      </c>
      <c r="H224" s="39" t="s">
        <v>420</v>
      </c>
      <c r="I224" s="39" t="s">
        <v>420</v>
      </c>
      <c r="J224" s="39" t="s">
        <v>420</v>
      </c>
      <c r="K224" s="39" t="s">
        <v>40</v>
      </c>
      <c r="L224" s="135"/>
      <c r="M224" s="45"/>
      <c r="N224" s="39" t="s">
        <v>1605</v>
      </c>
      <c r="O224" s="39">
        <v>0</v>
      </c>
      <c r="P224" s="39">
        <v>6</v>
      </c>
      <c r="Q224" s="39">
        <v>6</v>
      </c>
      <c r="R224" s="39">
        <v>6</v>
      </c>
      <c r="S224" s="39">
        <v>6</v>
      </c>
      <c r="T224" s="39">
        <v>6</v>
      </c>
      <c r="U224" s="39">
        <v>0</v>
      </c>
      <c r="V224" s="39">
        <v>30</v>
      </c>
      <c r="W224" s="39">
        <v>648356</v>
      </c>
      <c r="X224" s="39">
        <v>68100</v>
      </c>
      <c r="Y224" s="39">
        <v>500872</v>
      </c>
      <c r="Z224" s="39" t="s">
        <v>119</v>
      </c>
      <c r="AA224" s="39" t="s">
        <v>119</v>
      </c>
      <c r="AB224" s="39">
        <v>83505</v>
      </c>
      <c r="AC224" s="39" t="e">
        <v>#N/A</v>
      </c>
      <c r="AD224" s="39" t="s">
        <v>1196</v>
      </c>
      <c r="AE224" s="39" t="s">
        <v>1197</v>
      </c>
      <c r="AF224" s="136">
        <v>43969</v>
      </c>
      <c r="AG224" s="39">
        <v>3814314836</v>
      </c>
      <c r="AH224" s="39">
        <v>31100697</v>
      </c>
      <c r="AI224" s="39">
        <v>20311006976</v>
      </c>
      <c r="AJ224" s="46">
        <v>40147</v>
      </c>
      <c r="AK224" s="46">
        <v>43962</v>
      </c>
      <c r="AL224" s="47">
        <v>43969</v>
      </c>
      <c r="AM224" s="39">
        <v>3869</v>
      </c>
      <c r="AN224" s="137" t="s">
        <v>114</v>
      </c>
      <c r="AO224" s="141">
        <v>648325</v>
      </c>
      <c r="AP224" s="139" t="s">
        <v>115</v>
      </c>
      <c r="AQ224" s="142" t="s">
        <v>1611</v>
      </c>
    </row>
    <row r="225" spans="1:43" x14ac:dyDescent="0.25">
      <c r="A225" s="44" t="s">
        <v>97</v>
      </c>
      <c r="B225" s="39" t="s">
        <v>95</v>
      </c>
      <c r="C225" s="39" t="s">
        <v>1198</v>
      </c>
      <c r="D225" s="39" t="s">
        <v>1199</v>
      </c>
      <c r="E225" s="39" t="s">
        <v>40</v>
      </c>
      <c r="F225" s="39" t="s">
        <v>420</v>
      </c>
      <c r="G225" s="39" t="s">
        <v>420</v>
      </c>
      <c r="H225" s="39" t="s">
        <v>420</v>
      </c>
      <c r="I225" s="39" t="s">
        <v>420</v>
      </c>
      <c r="J225" s="39" t="s">
        <v>420</v>
      </c>
      <c r="K225" s="39" t="s">
        <v>40</v>
      </c>
      <c r="L225" s="135"/>
      <c r="M225" s="45"/>
      <c r="N225" s="39" t="s">
        <v>1605</v>
      </c>
      <c r="O225" s="39">
        <v>0</v>
      </c>
      <c r="P225" s="39">
        <v>6</v>
      </c>
      <c r="Q225" s="39">
        <v>6</v>
      </c>
      <c r="R225" s="39">
        <v>6</v>
      </c>
      <c r="S225" s="39">
        <v>6</v>
      </c>
      <c r="T225" s="39">
        <v>6</v>
      </c>
      <c r="U225" s="39">
        <v>0</v>
      </c>
      <c r="V225" s="39">
        <v>30</v>
      </c>
      <c r="W225" s="39">
        <v>648362</v>
      </c>
      <c r="X225" s="39">
        <v>70186</v>
      </c>
      <c r="Y225" s="39">
        <v>487637</v>
      </c>
      <c r="Z225" s="39" t="s">
        <v>119</v>
      </c>
      <c r="AA225" s="39" t="s">
        <v>119</v>
      </c>
      <c r="AB225" s="39">
        <v>83505</v>
      </c>
      <c r="AC225" s="39" t="e">
        <v>#N/A</v>
      </c>
      <c r="AD225" s="39" t="s">
        <v>1200</v>
      </c>
      <c r="AE225" s="39" t="s">
        <v>1201</v>
      </c>
      <c r="AF225" s="136">
        <v>43969</v>
      </c>
      <c r="AG225" s="39">
        <v>381154157004</v>
      </c>
      <c r="AH225" s="39">
        <v>28290663</v>
      </c>
      <c r="AI225" s="39">
        <v>27282906630</v>
      </c>
      <c r="AJ225" s="46">
        <v>40280</v>
      </c>
      <c r="AK225" s="46">
        <v>43962</v>
      </c>
      <c r="AL225" s="47">
        <v>43969</v>
      </c>
      <c r="AM225" s="39">
        <v>3737</v>
      </c>
      <c r="AN225" s="137" t="s">
        <v>114</v>
      </c>
      <c r="AO225" s="141">
        <v>648329</v>
      </c>
      <c r="AP225" s="139" t="s">
        <v>115</v>
      </c>
      <c r="AQ225" s="142" t="s">
        <v>1611</v>
      </c>
    </row>
    <row r="226" spans="1:43" x14ac:dyDescent="0.25">
      <c r="A226" s="44" t="s">
        <v>97</v>
      </c>
      <c r="B226" s="39" t="s">
        <v>95</v>
      </c>
      <c r="C226" s="39" t="s">
        <v>1202</v>
      </c>
      <c r="D226" s="39" t="s">
        <v>1203</v>
      </c>
      <c r="E226" s="39" t="s">
        <v>40</v>
      </c>
      <c r="F226" s="39" t="s">
        <v>420</v>
      </c>
      <c r="G226" s="39" t="s">
        <v>420</v>
      </c>
      <c r="H226" s="39" t="s">
        <v>420</v>
      </c>
      <c r="I226" s="39" t="s">
        <v>420</v>
      </c>
      <c r="J226" s="39" t="s">
        <v>420</v>
      </c>
      <c r="K226" s="39" t="s">
        <v>40</v>
      </c>
      <c r="L226" s="135"/>
      <c r="M226" s="45"/>
      <c r="N226" s="39" t="s">
        <v>1605</v>
      </c>
      <c r="O226" s="39">
        <v>0</v>
      </c>
      <c r="P226" s="39">
        <v>6</v>
      </c>
      <c r="Q226" s="39">
        <v>6</v>
      </c>
      <c r="R226" s="39">
        <v>6</v>
      </c>
      <c r="S226" s="39">
        <v>6</v>
      </c>
      <c r="T226" s="39">
        <v>6</v>
      </c>
      <c r="U226" s="39">
        <v>0</v>
      </c>
      <c r="V226" s="39">
        <v>30</v>
      </c>
      <c r="W226" s="39">
        <v>648360</v>
      </c>
      <c r="X226" s="39">
        <v>81211</v>
      </c>
      <c r="Y226" s="39">
        <v>1915088</v>
      </c>
      <c r="Z226" s="39" t="s">
        <v>119</v>
      </c>
      <c r="AA226" s="39" t="s">
        <v>119</v>
      </c>
      <c r="AB226" s="39">
        <v>83505</v>
      </c>
      <c r="AC226" s="39" t="e">
        <v>#N/A</v>
      </c>
      <c r="AD226" s="39" t="s">
        <v>1204</v>
      </c>
      <c r="AE226" s="39" t="s">
        <v>1205</v>
      </c>
      <c r="AF226" s="136">
        <v>43969</v>
      </c>
      <c r="AG226" s="39">
        <v>155130505</v>
      </c>
      <c r="AH226" s="39">
        <v>33161942</v>
      </c>
      <c r="AI226" s="39">
        <v>27331619421</v>
      </c>
      <c r="AJ226" s="46">
        <v>42347</v>
      </c>
      <c r="AK226" s="46">
        <v>43962</v>
      </c>
      <c r="AL226" s="47">
        <v>43969</v>
      </c>
      <c r="AM226" s="39">
        <v>1700</v>
      </c>
      <c r="AN226" s="137" t="s">
        <v>114</v>
      </c>
      <c r="AO226" s="141">
        <v>648328</v>
      </c>
      <c r="AP226" s="139" t="s">
        <v>115</v>
      </c>
      <c r="AQ226" s="142" t="s">
        <v>1611</v>
      </c>
    </row>
    <row r="227" spans="1:43" x14ac:dyDescent="0.25">
      <c r="A227" s="44" t="s">
        <v>97</v>
      </c>
      <c r="B227" s="39" t="s">
        <v>95</v>
      </c>
      <c r="C227" s="39" t="s">
        <v>424</v>
      </c>
      <c r="D227" s="39" t="s">
        <v>1206</v>
      </c>
      <c r="E227" s="39" t="s">
        <v>40</v>
      </c>
      <c r="F227" s="39" t="s">
        <v>52</v>
      </c>
      <c r="G227" s="39" t="s">
        <v>52</v>
      </c>
      <c r="H227" s="39" t="s">
        <v>52</v>
      </c>
      <c r="I227" s="39" t="s">
        <v>52</v>
      </c>
      <c r="J227" s="39" t="s">
        <v>52</v>
      </c>
      <c r="K227" s="39" t="s">
        <v>40</v>
      </c>
      <c r="L227" s="135"/>
      <c r="M227" s="45" t="s">
        <v>599</v>
      </c>
      <c r="N227" s="39" t="s">
        <v>1605</v>
      </c>
      <c r="O227" s="39">
        <v>0</v>
      </c>
      <c r="P227" s="39">
        <v>0</v>
      </c>
      <c r="Q227" s="39">
        <v>0</v>
      </c>
      <c r="R227" s="39">
        <v>0</v>
      </c>
      <c r="S227" s="39">
        <v>0</v>
      </c>
      <c r="T227" s="39">
        <v>0</v>
      </c>
      <c r="U227" s="39">
        <v>0</v>
      </c>
      <c r="V227" s="39">
        <v>0</v>
      </c>
      <c r="W227" s="39">
        <v>89289</v>
      </c>
      <c r="X227" s="39">
        <v>88151</v>
      </c>
      <c r="Y227" s="39">
        <v>1690062</v>
      </c>
      <c r="Z227" s="39" t="s">
        <v>118</v>
      </c>
      <c r="AA227" s="39" t="s">
        <v>119</v>
      </c>
      <c r="AB227" s="39">
        <v>83505</v>
      </c>
      <c r="AC227" s="39" t="e">
        <v>#N/A</v>
      </c>
      <c r="AD227" s="39" t="s">
        <v>1207</v>
      </c>
      <c r="AE227" s="39" t="s">
        <v>1208</v>
      </c>
      <c r="AF227" s="136">
        <v>43917</v>
      </c>
      <c r="AG227" s="39"/>
      <c r="AH227" s="39">
        <v>34357057</v>
      </c>
      <c r="AI227" s="39">
        <v>27343570576</v>
      </c>
      <c r="AJ227" s="46">
        <v>43808</v>
      </c>
      <c r="AK227" s="46">
        <v>43808</v>
      </c>
      <c r="AL227" s="47">
        <v>43831</v>
      </c>
      <c r="AM227" s="39">
        <v>260</v>
      </c>
      <c r="AN227" s="137" t="s">
        <v>114</v>
      </c>
      <c r="AO227" s="141">
        <v>89950</v>
      </c>
      <c r="AP227" s="139" t="s">
        <v>115</v>
      </c>
      <c r="AQ227" s="142" t="s">
        <v>1611</v>
      </c>
    </row>
    <row r="228" spans="1:43" x14ac:dyDescent="0.25">
      <c r="A228" s="44" t="s">
        <v>97</v>
      </c>
      <c r="B228" s="39" t="s">
        <v>95</v>
      </c>
      <c r="C228" s="39" t="s">
        <v>424</v>
      </c>
      <c r="D228" s="39" t="s">
        <v>1209</v>
      </c>
      <c r="E228" s="39" t="s">
        <v>40</v>
      </c>
      <c r="F228" s="39" t="s">
        <v>420</v>
      </c>
      <c r="G228" s="39" t="s">
        <v>420</v>
      </c>
      <c r="H228" s="39" t="s">
        <v>420</v>
      </c>
      <c r="I228" s="39" t="s">
        <v>420</v>
      </c>
      <c r="J228" s="39" t="s">
        <v>420</v>
      </c>
      <c r="K228" s="39" t="s">
        <v>40</v>
      </c>
      <c r="L228" s="135"/>
      <c r="M228" s="45"/>
      <c r="N228" s="39" t="s">
        <v>1605</v>
      </c>
      <c r="O228" s="39">
        <v>0</v>
      </c>
      <c r="P228" s="39">
        <v>6</v>
      </c>
      <c r="Q228" s="39">
        <v>6</v>
      </c>
      <c r="R228" s="39">
        <v>6</v>
      </c>
      <c r="S228" s="39">
        <v>6</v>
      </c>
      <c r="T228" s="39">
        <v>6</v>
      </c>
      <c r="U228" s="39">
        <v>0</v>
      </c>
      <c r="V228" s="39">
        <v>30</v>
      </c>
      <c r="W228" s="39">
        <v>648373</v>
      </c>
      <c r="X228" s="39">
        <v>84600</v>
      </c>
      <c r="Y228" s="39">
        <v>1601683</v>
      </c>
      <c r="Z228" s="39" t="s">
        <v>118</v>
      </c>
      <c r="AA228" s="39" t="s">
        <v>119</v>
      </c>
      <c r="AB228" s="39">
        <v>83505</v>
      </c>
      <c r="AC228" s="39" t="e">
        <v>#N/A</v>
      </c>
      <c r="AD228" s="39" t="s">
        <v>1210</v>
      </c>
      <c r="AE228" s="39" t="s">
        <v>1211</v>
      </c>
      <c r="AF228" s="136">
        <v>43969</v>
      </c>
      <c r="AG228" s="39" t="s">
        <v>1212</v>
      </c>
      <c r="AH228" s="39">
        <v>37456968</v>
      </c>
      <c r="AI228" s="39">
        <v>27374569681</v>
      </c>
      <c r="AJ228" s="46">
        <v>43108</v>
      </c>
      <c r="AK228" s="46">
        <v>43962</v>
      </c>
      <c r="AL228" s="47">
        <v>43969</v>
      </c>
      <c r="AM228" s="39">
        <v>951</v>
      </c>
      <c r="AN228" s="137" t="s">
        <v>114</v>
      </c>
      <c r="AO228" s="141">
        <v>648338</v>
      </c>
      <c r="AP228" s="139" t="s">
        <v>115</v>
      </c>
      <c r="AQ228" s="142" t="s">
        <v>1611</v>
      </c>
    </row>
    <row r="229" spans="1:43" x14ac:dyDescent="0.25">
      <c r="A229" s="44" t="s">
        <v>97</v>
      </c>
      <c r="B229" s="39" t="s">
        <v>95</v>
      </c>
      <c r="C229" s="39" t="s">
        <v>1213</v>
      </c>
      <c r="D229" s="39" t="s">
        <v>1214</v>
      </c>
      <c r="E229" s="39" t="s">
        <v>40</v>
      </c>
      <c r="F229" s="39" t="s">
        <v>420</v>
      </c>
      <c r="G229" s="39" t="s">
        <v>420</v>
      </c>
      <c r="H229" s="39" t="s">
        <v>420</v>
      </c>
      <c r="I229" s="39" t="s">
        <v>420</v>
      </c>
      <c r="J229" s="39" t="s">
        <v>420</v>
      </c>
      <c r="K229" s="39" t="s">
        <v>40</v>
      </c>
      <c r="L229" s="135"/>
      <c r="M229" s="45"/>
      <c r="N229" s="39" t="s">
        <v>1605</v>
      </c>
      <c r="O229" s="39">
        <v>0</v>
      </c>
      <c r="P229" s="39">
        <v>6</v>
      </c>
      <c r="Q229" s="39">
        <v>6</v>
      </c>
      <c r="R229" s="39">
        <v>6</v>
      </c>
      <c r="S229" s="39">
        <v>6</v>
      </c>
      <c r="T229" s="39">
        <v>6</v>
      </c>
      <c r="U229" s="39">
        <v>0</v>
      </c>
      <c r="V229" s="39">
        <v>30</v>
      </c>
      <c r="W229" s="39">
        <v>648357</v>
      </c>
      <c r="X229" s="39">
        <v>59401</v>
      </c>
      <c r="Y229" s="39">
        <v>432923</v>
      </c>
      <c r="Z229" s="39" t="s">
        <v>119</v>
      </c>
      <c r="AA229" s="39" t="s">
        <v>119</v>
      </c>
      <c r="AB229" s="39">
        <v>83505</v>
      </c>
      <c r="AC229" s="39" t="e">
        <v>#N/A</v>
      </c>
      <c r="AD229" s="39" t="s">
        <v>1215</v>
      </c>
      <c r="AE229" s="39" t="s">
        <v>1216</v>
      </c>
      <c r="AF229" s="136">
        <v>43969</v>
      </c>
      <c r="AG229" s="39">
        <v>3814283174</v>
      </c>
      <c r="AH229" s="39">
        <v>31030140</v>
      </c>
      <c r="AI229" s="39">
        <v>20310301400</v>
      </c>
      <c r="AJ229" s="46">
        <v>39615</v>
      </c>
      <c r="AK229" s="46">
        <v>43962</v>
      </c>
      <c r="AL229" s="47">
        <v>43969</v>
      </c>
      <c r="AM229" s="39">
        <v>4393</v>
      </c>
      <c r="AN229" s="137" t="s">
        <v>114</v>
      </c>
      <c r="AO229" s="141">
        <v>648326</v>
      </c>
      <c r="AP229" s="139" t="s">
        <v>115</v>
      </c>
      <c r="AQ229" s="142" t="s">
        <v>1611</v>
      </c>
    </row>
    <row r="230" spans="1:43" x14ac:dyDescent="0.25">
      <c r="A230" s="44" t="s">
        <v>97</v>
      </c>
      <c r="B230" s="39" t="s">
        <v>95</v>
      </c>
      <c r="C230" s="39" t="s">
        <v>1217</v>
      </c>
      <c r="D230" s="39" t="s">
        <v>1218</v>
      </c>
      <c r="E230" s="39" t="s">
        <v>40</v>
      </c>
      <c r="F230" s="39" t="s">
        <v>420</v>
      </c>
      <c r="G230" s="39" t="s">
        <v>420</v>
      </c>
      <c r="H230" s="39" t="s">
        <v>420</v>
      </c>
      <c r="I230" s="39" t="s">
        <v>420</v>
      </c>
      <c r="J230" s="39" t="s">
        <v>420</v>
      </c>
      <c r="K230" s="39" t="s">
        <v>40</v>
      </c>
      <c r="L230" s="135"/>
      <c r="M230" s="45"/>
      <c r="N230" s="39" t="s">
        <v>1605</v>
      </c>
      <c r="O230" s="39">
        <v>0</v>
      </c>
      <c r="P230" s="39">
        <v>6</v>
      </c>
      <c r="Q230" s="39">
        <v>6</v>
      </c>
      <c r="R230" s="39">
        <v>6</v>
      </c>
      <c r="S230" s="39">
        <v>6</v>
      </c>
      <c r="T230" s="39">
        <v>6</v>
      </c>
      <c r="U230" s="39">
        <v>0</v>
      </c>
      <c r="V230" s="39">
        <v>30</v>
      </c>
      <c r="W230" s="39">
        <v>648363</v>
      </c>
      <c r="X230" s="39">
        <v>83489</v>
      </c>
      <c r="Y230" s="39">
        <v>2490376</v>
      </c>
      <c r="Z230" s="39" t="s">
        <v>119</v>
      </c>
      <c r="AA230" s="39" t="s">
        <v>119</v>
      </c>
      <c r="AB230" s="39">
        <v>83505</v>
      </c>
      <c r="AC230" s="39" t="e">
        <v>#N/A</v>
      </c>
      <c r="AD230" s="39" t="s">
        <v>1219</v>
      </c>
      <c r="AE230" s="39" t="s">
        <v>1220</v>
      </c>
      <c r="AF230" s="136">
        <v>43969</v>
      </c>
      <c r="AG230" s="39" t="s">
        <v>1221</v>
      </c>
      <c r="AH230" s="39">
        <v>35578660</v>
      </c>
      <c r="AI230" s="39">
        <v>27355786604</v>
      </c>
      <c r="AJ230" s="46">
        <v>42863</v>
      </c>
      <c r="AK230" s="46">
        <v>43962</v>
      </c>
      <c r="AL230" s="47">
        <v>43969</v>
      </c>
      <c r="AM230" s="39">
        <v>1191</v>
      </c>
      <c r="AN230" s="137" t="s">
        <v>114</v>
      </c>
      <c r="AO230" s="141">
        <v>648331</v>
      </c>
      <c r="AP230" s="139" t="s">
        <v>115</v>
      </c>
      <c r="AQ230" s="142" t="s">
        <v>1611</v>
      </c>
    </row>
    <row r="231" spans="1:43" x14ac:dyDescent="0.25">
      <c r="A231" s="44" t="s">
        <v>97</v>
      </c>
      <c r="B231" s="39" t="s">
        <v>95</v>
      </c>
      <c r="C231" s="39" t="s">
        <v>1222</v>
      </c>
      <c r="D231" s="39" t="s">
        <v>1223</v>
      </c>
      <c r="E231" s="39" t="s">
        <v>40</v>
      </c>
      <c r="F231" s="39" t="s">
        <v>420</v>
      </c>
      <c r="G231" s="39" t="s">
        <v>420</v>
      </c>
      <c r="H231" s="39" t="s">
        <v>420</v>
      </c>
      <c r="I231" s="39" t="s">
        <v>420</v>
      </c>
      <c r="J231" s="39" t="s">
        <v>420</v>
      </c>
      <c r="K231" s="39" t="s">
        <v>40</v>
      </c>
      <c r="L231" s="135"/>
      <c r="M231" s="45"/>
      <c r="N231" s="39" t="s">
        <v>1605</v>
      </c>
      <c r="O231" s="39">
        <v>0</v>
      </c>
      <c r="P231" s="39">
        <v>6</v>
      </c>
      <c r="Q231" s="39">
        <v>6</v>
      </c>
      <c r="R231" s="39">
        <v>6</v>
      </c>
      <c r="S231" s="39">
        <v>6</v>
      </c>
      <c r="T231" s="39">
        <v>6</v>
      </c>
      <c r="U231" s="39">
        <v>0</v>
      </c>
      <c r="V231" s="39">
        <v>30</v>
      </c>
      <c r="W231" s="39">
        <v>648371</v>
      </c>
      <c r="X231" s="39">
        <v>80860</v>
      </c>
      <c r="Y231" s="39">
        <v>1817065</v>
      </c>
      <c r="Z231" s="39" t="s">
        <v>344</v>
      </c>
      <c r="AA231" s="39" t="s">
        <v>119</v>
      </c>
      <c r="AB231" s="39">
        <v>83505</v>
      </c>
      <c r="AC231" s="39" t="e">
        <v>#N/A</v>
      </c>
      <c r="AD231" s="39" t="s">
        <v>1224</v>
      </c>
      <c r="AE231" s="39" t="s">
        <v>1225</v>
      </c>
      <c r="AF231" s="136">
        <v>43969</v>
      </c>
      <c r="AG231" s="39" t="s">
        <v>1226</v>
      </c>
      <c r="AH231" s="39">
        <v>37457670</v>
      </c>
      <c r="AI231" s="39">
        <v>23374576704</v>
      </c>
      <c r="AJ231" s="46">
        <v>42254</v>
      </c>
      <c r="AK231" s="46">
        <v>43962</v>
      </c>
      <c r="AL231" s="47">
        <v>43969</v>
      </c>
      <c r="AM231" s="39">
        <v>1792</v>
      </c>
      <c r="AN231" s="137" t="s">
        <v>114</v>
      </c>
      <c r="AO231" s="141">
        <v>648336</v>
      </c>
      <c r="AP231" s="139" t="s">
        <v>115</v>
      </c>
      <c r="AQ231" s="142" t="s">
        <v>1611</v>
      </c>
    </row>
    <row r="232" spans="1:43" x14ac:dyDescent="0.25">
      <c r="A232" s="44" t="s">
        <v>97</v>
      </c>
      <c r="B232" s="39" t="s">
        <v>95</v>
      </c>
      <c r="C232" s="39" t="s">
        <v>705</v>
      </c>
      <c r="D232" s="39" t="s">
        <v>1227</v>
      </c>
      <c r="E232" s="39" t="s">
        <v>40</v>
      </c>
      <c r="F232" s="39" t="s">
        <v>420</v>
      </c>
      <c r="G232" s="39" t="s">
        <v>420</v>
      </c>
      <c r="H232" s="39" t="s">
        <v>420</v>
      </c>
      <c r="I232" s="39" t="s">
        <v>420</v>
      </c>
      <c r="J232" s="39" t="s">
        <v>420</v>
      </c>
      <c r="K232" s="39" t="s">
        <v>40</v>
      </c>
      <c r="L232" s="135"/>
      <c r="M232" s="45"/>
      <c r="N232" s="39" t="s">
        <v>1605</v>
      </c>
      <c r="O232" s="39">
        <v>0</v>
      </c>
      <c r="P232" s="39">
        <v>6</v>
      </c>
      <c r="Q232" s="39">
        <v>6</v>
      </c>
      <c r="R232" s="39">
        <v>6</v>
      </c>
      <c r="S232" s="39">
        <v>6</v>
      </c>
      <c r="T232" s="39">
        <v>6</v>
      </c>
      <c r="U232" s="39">
        <v>0</v>
      </c>
      <c r="V232" s="39">
        <v>30</v>
      </c>
      <c r="W232" s="39">
        <v>648372</v>
      </c>
      <c r="X232" s="39">
        <v>81847</v>
      </c>
      <c r="Y232" s="39">
        <v>2076324</v>
      </c>
      <c r="Z232" s="39" t="s">
        <v>119</v>
      </c>
      <c r="AA232" s="39" t="s">
        <v>119</v>
      </c>
      <c r="AB232" s="39">
        <v>83505</v>
      </c>
      <c r="AC232" s="39" t="e">
        <v>#N/A</v>
      </c>
      <c r="AD232" s="39" t="s">
        <v>1228</v>
      </c>
      <c r="AE232" s="39" t="s">
        <v>1229</v>
      </c>
      <c r="AF232" s="136">
        <v>43969</v>
      </c>
      <c r="AG232" s="39" t="s">
        <v>1230</v>
      </c>
      <c r="AH232" s="39">
        <v>38491058</v>
      </c>
      <c r="AI232" s="39">
        <v>27384910586</v>
      </c>
      <c r="AJ232" s="46">
        <v>42499</v>
      </c>
      <c r="AK232" s="46">
        <v>43962</v>
      </c>
      <c r="AL232" s="47">
        <v>43969</v>
      </c>
      <c r="AM232" s="39">
        <v>1550</v>
      </c>
      <c r="AN232" s="137" t="s">
        <v>114</v>
      </c>
      <c r="AO232" s="141">
        <v>648337</v>
      </c>
      <c r="AP232" s="139" t="s">
        <v>115</v>
      </c>
      <c r="AQ232" s="142" t="s">
        <v>1611</v>
      </c>
    </row>
    <row r="233" spans="1:43" x14ac:dyDescent="0.25">
      <c r="A233" s="44" t="s">
        <v>74</v>
      </c>
      <c r="B233" s="39" t="s">
        <v>77</v>
      </c>
      <c r="C233" s="39" t="s">
        <v>1231</v>
      </c>
      <c r="D233" s="39" t="s">
        <v>1232</v>
      </c>
      <c r="E233" s="39" t="s">
        <v>40</v>
      </c>
      <c r="F233" s="39" t="s">
        <v>52</v>
      </c>
      <c r="G233" s="39" t="s">
        <v>52</v>
      </c>
      <c r="H233" s="39" t="s">
        <v>52</v>
      </c>
      <c r="I233" s="39" t="s">
        <v>52</v>
      </c>
      <c r="J233" s="39" t="s">
        <v>52</v>
      </c>
      <c r="K233" s="39" t="s">
        <v>40</v>
      </c>
      <c r="L233" s="135"/>
      <c r="M233" s="45" t="s">
        <v>374</v>
      </c>
      <c r="N233" s="39" t="s">
        <v>1605</v>
      </c>
      <c r="O233" s="39">
        <v>0</v>
      </c>
      <c r="P233" s="39">
        <v>0</v>
      </c>
      <c r="Q233" s="39">
        <v>0</v>
      </c>
      <c r="R233" s="39">
        <v>0</v>
      </c>
      <c r="S233" s="39">
        <v>0</v>
      </c>
      <c r="T233" s="39">
        <v>0</v>
      </c>
      <c r="U233" s="39">
        <v>0</v>
      </c>
      <c r="V233" s="39">
        <v>0</v>
      </c>
      <c r="W233" s="39">
        <v>648380</v>
      </c>
      <c r="X233" s="39">
        <v>79759</v>
      </c>
      <c r="Y233" s="39">
        <v>1466034</v>
      </c>
      <c r="Z233" s="39" t="s">
        <v>119</v>
      </c>
      <c r="AA233" s="39" t="s">
        <v>119</v>
      </c>
      <c r="AB233" s="39">
        <v>80740</v>
      </c>
      <c r="AC233" s="39">
        <v>74054</v>
      </c>
      <c r="AD233" s="39" t="s">
        <v>1233</v>
      </c>
      <c r="AE233" s="39" t="s">
        <v>1234</v>
      </c>
      <c r="AF233" s="136">
        <v>43969</v>
      </c>
      <c r="AG233" s="39" t="s">
        <v>1235</v>
      </c>
      <c r="AH233" s="39">
        <v>35262083</v>
      </c>
      <c r="AI233" s="39">
        <v>27352620837</v>
      </c>
      <c r="AJ233" s="46">
        <v>41946</v>
      </c>
      <c r="AK233" s="46">
        <v>43962</v>
      </c>
      <c r="AL233" s="47">
        <v>43969</v>
      </c>
      <c r="AM233" s="39">
        <v>2096</v>
      </c>
      <c r="AN233" s="137" t="s">
        <v>114</v>
      </c>
      <c r="AO233" s="141">
        <v>648323</v>
      </c>
      <c r="AP233" s="139" t="s">
        <v>115</v>
      </c>
      <c r="AQ233" s="142" t="s">
        <v>1607</v>
      </c>
    </row>
    <row r="234" spans="1:43" x14ac:dyDescent="0.25">
      <c r="A234" s="44" t="s">
        <v>74</v>
      </c>
      <c r="B234" s="39" t="s">
        <v>77</v>
      </c>
      <c r="C234" s="39" t="s">
        <v>1236</v>
      </c>
      <c r="D234" s="39" t="s">
        <v>1237</v>
      </c>
      <c r="E234" s="39" t="s">
        <v>40</v>
      </c>
      <c r="F234" s="39" t="s">
        <v>131</v>
      </c>
      <c r="G234" s="39" t="s">
        <v>131</v>
      </c>
      <c r="H234" s="39" t="s">
        <v>131</v>
      </c>
      <c r="I234" s="39" t="s">
        <v>131</v>
      </c>
      <c r="J234" s="39" t="s">
        <v>131</v>
      </c>
      <c r="K234" s="39" t="s">
        <v>40</v>
      </c>
      <c r="L234" s="135"/>
      <c r="M234" s="45"/>
      <c r="N234" s="39" t="s">
        <v>1605</v>
      </c>
      <c r="O234" s="39">
        <v>0</v>
      </c>
      <c r="P234" s="39">
        <v>6</v>
      </c>
      <c r="Q234" s="39">
        <v>6</v>
      </c>
      <c r="R234" s="39">
        <v>6</v>
      </c>
      <c r="S234" s="39">
        <v>6</v>
      </c>
      <c r="T234" s="39">
        <v>6</v>
      </c>
      <c r="U234" s="39">
        <v>0</v>
      </c>
      <c r="V234" s="39">
        <v>30</v>
      </c>
      <c r="W234" s="39">
        <v>648316</v>
      </c>
      <c r="X234" s="39">
        <v>87724</v>
      </c>
      <c r="Y234" s="39">
        <v>3526407</v>
      </c>
      <c r="Z234" s="39" t="s">
        <v>375</v>
      </c>
      <c r="AA234" s="39" t="s">
        <v>848</v>
      </c>
      <c r="AB234" s="39">
        <v>80740</v>
      </c>
      <c r="AC234" s="39">
        <v>74054</v>
      </c>
      <c r="AD234" s="39" t="s">
        <v>1238</v>
      </c>
      <c r="AE234" s="39" t="s">
        <v>1239</v>
      </c>
      <c r="AF234" s="136">
        <v>43955</v>
      </c>
      <c r="AG234" s="39" t="s">
        <v>1240</v>
      </c>
      <c r="AH234" s="39">
        <v>40085777</v>
      </c>
      <c r="AI234" s="39">
        <v>27400857771</v>
      </c>
      <c r="AJ234" s="46">
        <v>43745</v>
      </c>
      <c r="AK234" s="46">
        <v>43945</v>
      </c>
      <c r="AL234" s="47">
        <v>43956</v>
      </c>
      <c r="AM234" s="39">
        <v>322</v>
      </c>
      <c r="AN234" s="137" t="s">
        <v>114</v>
      </c>
      <c r="AO234" s="141">
        <v>89995</v>
      </c>
      <c r="AP234" s="139" t="s">
        <v>115</v>
      </c>
      <c r="AQ234" s="142" t="s">
        <v>1607</v>
      </c>
    </row>
    <row r="235" spans="1:43" x14ac:dyDescent="0.25">
      <c r="A235" s="44" t="s">
        <v>97</v>
      </c>
      <c r="B235" s="39" t="s">
        <v>92</v>
      </c>
      <c r="C235" s="39" t="s">
        <v>1241</v>
      </c>
      <c r="D235" s="39" t="s">
        <v>1242</v>
      </c>
      <c r="E235" s="39" t="s">
        <v>40</v>
      </c>
      <c r="F235" s="39" t="s">
        <v>1243</v>
      </c>
      <c r="G235" s="39" t="s">
        <v>1243</v>
      </c>
      <c r="H235" s="39" t="s">
        <v>1243</v>
      </c>
      <c r="I235" s="39" t="s">
        <v>1243</v>
      </c>
      <c r="J235" s="39" t="s">
        <v>40</v>
      </c>
      <c r="K235" s="39" t="s">
        <v>40</v>
      </c>
      <c r="L235" s="135"/>
      <c r="M235" s="45"/>
      <c r="N235" s="39" t="s">
        <v>1605</v>
      </c>
      <c r="O235" s="39">
        <v>0</v>
      </c>
      <c r="P235" s="39">
        <v>5.0000000000000009</v>
      </c>
      <c r="Q235" s="39">
        <v>5.0000000000000009</v>
      </c>
      <c r="R235" s="39">
        <v>5.0000000000000009</v>
      </c>
      <c r="S235" s="39">
        <v>5.0000000000000009</v>
      </c>
      <c r="T235" s="39">
        <v>0</v>
      </c>
      <c r="U235" s="39">
        <v>0</v>
      </c>
      <c r="V235" s="39">
        <v>20.000000000000004</v>
      </c>
      <c r="W235" s="39">
        <v>648222</v>
      </c>
      <c r="X235" s="39">
        <v>84367</v>
      </c>
      <c r="Y235" s="39">
        <v>2741462</v>
      </c>
      <c r="Z235" s="39" t="s">
        <v>119</v>
      </c>
      <c r="AA235" s="39" t="s">
        <v>350</v>
      </c>
      <c r="AB235" s="39">
        <v>79479</v>
      </c>
      <c r="AC235" s="39" t="e">
        <v>#N/A</v>
      </c>
      <c r="AD235" s="39" t="s">
        <v>1244</v>
      </c>
      <c r="AE235" s="39" t="s">
        <v>1245</v>
      </c>
      <c r="AF235" s="136">
        <v>43935</v>
      </c>
      <c r="AG235" s="39" t="s">
        <v>1246</v>
      </c>
      <c r="AH235" s="39">
        <v>31053001</v>
      </c>
      <c r="AI235" s="39">
        <v>20310530019</v>
      </c>
      <c r="AJ235" s="46">
        <v>43102</v>
      </c>
      <c r="AK235" s="46">
        <v>43930</v>
      </c>
      <c r="AL235" s="47">
        <v>43935</v>
      </c>
      <c r="AM235" s="39">
        <v>957</v>
      </c>
      <c r="AN235" s="137" t="s">
        <v>114</v>
      </c>
      <c r="AO235" s="141">
        <v>89919</v>
      </c>
      <c r="AP235" s="139" t="s">
        <v>115</v>
      </c>
      <c r="AQ235" s="142" t="s">
        <v>1614</v>
      </c>
    </row>
    <row r="236" spans="1:43" x14ac:dyDescent="0.25">
      <c r="A236" s="44" t="s">
        <v>97</v>
      </c>
      <c r="B236" s="39" t="s">
        <v>92</v>
      </c>
      <c r="C236" s="39" t="s">
        <v>1084</v>
      </c>
      <c r="D236" s="39" t="s">
        <v>1247</v>
      </c>
      <c r="E236" s="39" t="s">
        <v>40</v>
      </c>
      <c r="F236" s="39" t="s">
        <v>52</v>
      </c>
      <c r="G236" s="39" t="s">
        <v>52</v>
      </c>
      <c r="H236" s="39" t="s">
        <v>52</v>
      </c>
      <c r="I236" s="39" t="s">
        <v>52</v>
      </c>
      <c r="J236" s="39" t="s">
        <v>52</v>
      </c>
      <c r="K236" s="39" t="s">
        <v>40</v>
      </c>
      <c r="L236" s="135"/>
      <c r="M236" s="45" t="s">
        <v>374</v>
      </c>
      <c r="N236" s="39" t="s">
        <v>1605</v>
      </c>
      <c r="O236" s="39">
        <v>0</v>
      </c>
      <c r="P236" s="39">
        <v>0</v>
      </c>
      <c r="Q236" s="39">
        <v>0</v>
      </c>
      <c r="R236" s="39">
        <v>0</v>
      </c>
      <c r="S236" s="39">
        <v>0</v>
      </c>
      <c r="T236" s="39">
        <v>0</v>
      </c>
      <c r="U236" s="39">
        <v>0</v>
      </c>
      <c r="V236" s="39">
        <v>0</v>
      </c>
      <c r="W236" s="39">
        <v>89308</v>
      </c>
      <c r="X236" s="39">
        <v>88169</v>
      </c>
      <c r="Y236" s="39">
        <v>3624172</v>
      </c>
      <c r="Z236" s="39" t="s">
        <v>146</v>
      </c>
      <c r="AA236" s="39" t="s">
        <v>119</v>
      </c>
      <c r="AB236" s="39">
        <v>79479</v>
      </c>
      <c r="AC236" s="39" t="e">
        <v>#N/A</v>
      </c>
      <c r="AD236" s="39" t="s">
        <v>1248</v>
      </c>
      <c r="AE236" s="39" t="s">
        <v>1249</v>
      </c>
      <c r="AF236" s="136">
        <v>43917</v>
      </c>
      <c r="AG236" s="39"/>
      <c r="AH236" s="39">
        <v>38246432</v>
      </c>
      <c r="AI236" s="39">
        <v>20382464320</v>
      </c>
      <c r="AJ236" s="46">
        <v>43808</v>
      </c>
      <c r="AK236" s="46">
        <v>43808</v>
      </c>
      <c r="AL236" s="47">
        <v>43831</v>
      </c>
      <c r="AM236" s="39">
        <v>260</v>
      </c>
      <c r="AN236" s="137" t="s">
        <v>114</v>
      </c>
      <c r="AO236" s="141">
        <v>89883</v>
      </c>
      <c r="AP236" s="139" t="s">
        <v>115</v>
      </c>
      <c r="AQ236" s="142" t="s">
        <v>1607</v>
      </c>
    </row>
    <row r="237" spans="1:43" x14ac:dyDescent="0.25">
      <c r="A237" s="44" t="s">
        <v>97</v>
      </c>
      <c r="B237" s="39" t="s">
        <v>92</v>
      </c>
      <c r="C237" s="39" t="s">
        <v>1250</v>
      </c>
      <c r="D237" s="39" t="s">
        <v>1251</v>
      </c>
      <c r="E237" s="39" t="s">
        <v>40</v>
      </c>
      <c r="F237" s="39" t="s">
        <v>108</v>
      </c>
      <c r="G237" s="39" t="s">
        <v>108</v>
      </c>
      <c r="H237" s="39" t="s">
        <v>108</v>
      </c>
      <c r="I237" s="39" t="s">
        <v>108</v>
      </c>
      <c r="J237" s="39" t="s">
        <v>108</v>
      </c>
      <c r="K237" s="39" t="s">
        <v>40</v>
      </c>
      <c r="L237" s="135"/>
      <c r="M237" s="45"/>
      <c r="N237" s="39" t="s">
        <v>1605</v>
      </c>
      <c r="O237" s="39">
        <v>0</v>
      </c>
      <c r="P237" s="39">
        <v>5.0000000000000009</v>
      </c>
      <c r="Q237" s="39">
        <v>5.0000000000000009</v>
      </c>
      <c r="R237" s="39">
        <v>5.0000000000000009</v>
      </c>
      <c r="S237" s="39">
        <v>5.0000000000000009</v>
      </c>
      <c r="T237" s="39">
        <v>5.0000000000000009</v>
      </c>
      <c r="U237" s="39">
        <v>0</v>
      </c>
      <c r="V237" s="39">
        <v>25.000000000000004</v>
      </c>
      <c r="W237" s="39">
        <v>648045</v>
      </c>
      <c r="X237" s="39">
        <v>88043</v>
      </c>
      <c r="Y237" s="39">
        <v>3553124</v>
      </c>
      <c r="Z237" s="39" t="s">
        <v>118</v>
      </c>
      <c r="AA237" s="39" t="s">
        <v>119</v>
      </c>
      <c r="AB237" s="39">
        <v>79479</v>
      </c>
      <c r="AC237" s="39" t="e">
        <v>#N/A</v>
      </c>
      <c r="AD237" s="39" t="s">
        <v>1252</v>
      </c>
      <c r="AE237" s="39" t="s">
        <v>1253</v>
      </c>
      <c r="AF237" s="136">
        <v>43943</v>
      </c>
      <c r="AG237" s="39" t="s">
        <v>1254</v>
      </c>
      <c r="AH237" s="39">
        <v>38245134</v>
      </c>
      <c r="AI237" s="39" t="s">
        <v>1255</v>
      </c>
      <c r="AJ237" s="46">
        <v>43942</v>
      </c>
      <c r="AK237" s="46">
        <v>43942</v>
      </c>
      <c r="AL237" s="47">
        <v>43943</v>
      </c>
      <c r="AM237" s="39">
        <v>128</v>
      </c>
      <c r="AN237" s="137" t="s">
        <v>114</v>
      </c>
      <c r="AO237" s="141">
        <v>89884</v>
      </c>
      <c r="AP237" s="139" t="s">
        <v>115</v>
      </c>
      <c r="AQ237" s="142" t="s">
        <v>1606</v>
      </c>
    </row>
    <row r="238" spans="1:43" x14ac:dyDescent="0.25">
      <c r="A238" s="44" t="s">
        <v>97</v>
      </c>
      <c r="B238" s="39" t="s">
        <v>92</v>
      </c>
      <c r="C238" s="39" t="s">
        <v>1256</v>
      </c>
      <c r="D238" s="39" t="s">
        <v>1257</v>
      </c>
      <c r="E238" s="39" t="s">
        <v>40</v>
      </c>
      <c r="F238" s="39" t="s">
        <v>131</v>
      </c>
      <c r="G238" s="39" t="s">
        <v>131</v>
      </c>
      <c r="H238" s="39" t="s">
        <v>131</v>
      </c>
      <c r="I238" s="39" t="s">
        <v>131</v>
      </c>
      <c r="J238" s="39" t="s">
        <v>131</v>
      </c>
      <c r="K238" s="39" t="s">
        <v>40</v>
      </c>
      <c r="L238" s="135"/>
      <c r="M238" s="45"/>
      <c r="N238" s="39" t="s">
        <v>1605</v>
      </c>
      <c r="O238" s="39">
        <v>0</v>
      </c>
      <c r="P238" s="39">
        <v>6</v>
      </c>
      <c r="Q238" s="39">
        <v>6</v>
      </c>
      <c r="R238" s="39">
        <v>6</v>
      </c>
      <c r="S238" s="39">
        <v>6</v>
      </c>
      <c r="T238" s="39">
        <v>6</v>
      </c>
      <c r="U238" s="39">
        <v>0</v>
      </c>
      <c r="V238" s="39">
        <v>30</v>
      </c>
      <c r="W238" s="39">
        <v>89102</v>
      </c>
      <c r="X238" s="39">
        <v>82973</v>
      </c>
      <c r="Y238" s="39">
        <v>2397193</v>
      </c>
      <c r="Z238" s="39" t="s">
        <v>375</v>
      </c>
      <c r="AA238" s="39" t="s">
        <v>119</v>
      </c>
      <c r="AB238" s="39">
        <v>79479</v>
      </c>
      <c r="AC238" s="39" t="e">
        <v>#N/A</v>
      </c>
      <c r="AD238" s="39" t="s">
        <v>1258</v>
      </c>
      <c r="AE238" s="39" t="s">
        <v>1259</v>
      </c>
      <c r="AF238" s="136">
        <v>43917</v>
      </c>
      <c r="AG238" s="39">
        <v>154435369</v>
      </c>
      <c r="AH238" s="39">
        <v>30357462</v>
      </c>
      <c r="AI238" s="39">
        <v>20303574620</v>
      </c>
      <c r="AJ238" s="46">
        <v>42772</v>
      </c>
      <c r="AK238" s="46">
        <v>43409</v>
      </c>
      <c r="AL238" s="47">
        <v>43423</v>
      </c>
      <c r="AM238" s="39">
        <v>1283</v>
      </c>
      <c r="AN238" s="137" t="s">
        <v>114</v>
      </c>
      <c r="AO238" s="141">
        <v>89885</v>
      </c>
      <c r="AP238" s="139" t="s">
        <v>115</v>
      </c>
      <c r="AQ238" s="142" t="s">
        <v>1607</v>
      </c>
    </row>
    <row r="239" spans="1:43" x14ac:dyDescent="0.25">
      <c r="A239" s="44" t="s">
        <v>97</v>
      </c>
      <c r="B239" s="39" t="s">
        <v>92</v>
      </c>
      <c r="C239" s="39" t="s">
        <v>1260</v>
      </c>
      <c r="D239" s="39" t="s">
        <v>1261</v>
      </c>
      <c r="E239" s="39" t="s">
        <v>40</v>
      </c>
      <c r="F239" s="39" t="s">
        <v>108</v>
      </c>
      <c r="G239" s="39" t="s">
        <v>108</v>
      </c>
      <c r="H239" s="39" t="s">
        <v>108</v>
      </c>
      <c r="I239" s="39" t="s">
        <v>108</v>
      </c>
      <c r="J239" s="39" t="s">
        <v>108</v>
      </c>
      <c r="K239" s="39" t="s">
        <v>40</v>
      </c>
      <c r="L239" s="135"/>
      <c r="M239" s="45"/>
      <c r="N239" s="39" t="s">
        <v>1605</v>
      </c>
      <c r="O239" s="39">
        <v>0</v>
      </c>
      <c r="P239" s="39">
        <v>5.0000000000000009</v>
      </c>
      <c r="Q239" s="39">
        <v>5.0000000000000009</v>
      </c>
      <c r="R239" s="39">
        <v>5.0000000000000009</v>
      </c>
      <c r="S239" s="39">
        <v>5.0000000000000009</v>
      </c>
      <c r="T239" s="39">
        <v>5.0000000000000009</v>
      </c>
      <c r="U239" s="39">
        <v>0</v>
      </c>
      <c r="V239" s="39">
        <v>25.000000000000004</v>
      </c>
      <c r="W239" s="39">
        <v>89264</v>
      </c>
      <c r="X239" s="39">
        <v>88039</v>
      </c>
      <c r="Y239" s="39">
        <v>3553117</v>
      </c>
      <c r="Z239" s="39" t="s">
        <v>109</v>
      </c>
      <c r="AA239" s="39" t="s">
        <v>118</v>
      </c>
      <c r="AB239" s="39">
        <v>79479</v>
      </c>
      <c r="AC239" s="39" t="e">
        <v>#N/A</v>
      </c>
      <c r="AD239" s="39" t="s">
        <v>1262</v>
      </c>
      <c r="AE239" s="39" t="s">
        <v>1263</v>
      </c>
      <c r="AF239" s="136">
        <v>43912</v>
      </c>
      <c r="AG239" s="39"/>
      <c r="AH239" s="39">
        <v>33697993</v>
      </c>
      <c r="AI239" s="39" t="s">
        <v>1264</v>
      </c>
      <c r="AJ239" s="46">
        <v>43766</v>
      </c>
      <c r="AK239" s="46">
        <v>43766</v>
      </c>
      <c r="AL239" s="47">
        <v>43776</v>
      </c>
      <c r="AM239" s="39">
        <v>301</v>
      </c>
      <c r="AN239" s="137" t="s">
        <v>114</v>
      </c>
      <c r="AO239" s="141">
        <v>89889</v>
      </c>
      <c r="AP239" s="139" t="s">
        <v>115</v>
      </c>
      <c r="AQ239" s="142" t="s">
        <v>1606</v>
      </c>
    </row>
    <row r="240" spans="1:43" x14ac:dyDescent="0.25">
      <c r="A240" s="44" t="s">
        <v>97</v>
      </c>
      <c r="B240" s="39" t="s">
        <v>92</v>
      </c>
      <c r="C240" s="39" t="s">
        <v>1265</v>
      </c>
      <c r="D240" s="39" t="s">
        <v>1266</v>
      </c>
      <c r="E240" s="39" t="s">
        <v>40</v>
      </c>
      <c r="F240" s="39" t="s">
        <v>131</v>
      </c>
      <c r="G240" s="39" t="s">
        <v>131</v>
      </c>
      <c r="H240" s="39" t="s">
        <v>131</v>
      </c>
      <c r="I240" s="39" t="s">
        <v>131</v>
      </c>
      <c r="J240" s="39" t="s">
        <v>131</v>
      </c>
      <c r="K240" s="39" t="s">
        <v>40</v>
      </c>
      <c r="L240" s="135"/>
      <c r="M240" s="45"/>
      <c r="N240" s="39" t="s">
        <v>1605</v>
      </c>
      <c r="O240" s="39">
        <v>0</v>
      </c>
      <c r="P240" s="39">
        <v>6</v>
      </c>
      <c r="Q240" s="39">
        <v>6</v>
      </c>
      <c r="R240" s="39">
        <v>6</v>
      </c>
      <c r="S240" s="39">
        <v>6</v>
      </c>
      <c r="T240" s="39">
        <v>6</v>
      </c>
      <c r="U240" s="39">
        <v>0</v>
      </c>
      <c r="V240" s="39">
        <v>30</v>
      </c>
      <c r="W240" s="39">
        <v>89060</v>
      </c>
      <c r="X240" s="39">
        <v>84980</v>
      </c>
      <c r="Y240" s="39">
        <v>2783370</v>
      </c>
      <c r="Z240" s="39" t="s">
        <v>375</v>
      </c>
      <c r="AA240" s="39" t="s">
        <v>119</v>
      </c>
      <c r="AB240" s="39">
        <v>79479</v>
      </c>
      <c r="AC240" s="39" t="e">
        <v>#N/A</v>
      </c>
      <c r="AD240" s="39" t="s">
        <v>1267</v>
      </c>
      <c r="AE240" s="39" t="s">
        <v>1268</v>
      </c>
      <c r="AF240" s="136">
        <v>43945</v>
      </c>
      <c r="AG240" s="39" t="s">
        <v>1269</v>
      </c>
      <c r="AH240" s="39">
        <v>27906244</v>
      </c>
      <c r="AI240" s="39">
        <v>20279062443</v>
      </c>
      <c r="AJ240" s="46">
        <v>43145</v>
      </c>
      <c r="AK240" s="46">
        <v>43327</v>
      </c>
      <c r="AL240" s="47">
        <v>43328</v>
      </c>
      <c r="AM240" s="39">
        <v>915</v>
      </c>
      <c r="AN240" s="137" t="s">
        <v>114</v>
      </c>
      <c r="AO240" s="141">
        <v>89874</v>
      </c>
      <c r="AP240" s="139" t="s">
        <v>115</v>
      </c>
      <c r="AQ240" s="142" t="s">
        <v>1607</v>
      </c>
    </row>
    <row r="241" spans="1:43" x14ac:dyDescent="0.25">
      <c r="A241" s="44" t="s">
        <v>97</v>
      </c>
      <c r="B241" s="39" t="s">
        <v>92</v>
      </c>
      <c r="C241" s="39" t="s">
        <v>1270</v>
      </c>
      <c r="D241" s="39" t="s">
        <v>1271</v>
      </c>
      <c r="E241" s="39" t="s">
        <v>40</v>
      </c>
      <c r="F241" s="39" t="s">
        <v>131</v>
      </c>
      <c r="G241" s="39" t="s">
        <v>131</v>
      </c>
      <c r="H241" s="39" t="s">
        <v>131</v>
      </c>
      <c r="I241" s="39" t="s">
        <v>131</v>
      </c>
      <c r="J241" s="39" t="s">
        <v>131</v>
      </c>
      <c r="K241" s="39" t="s">
        <v>40</v>
      </c>
      <c r="L241" s="135"/>
      <c r="M241" s="45"/>
      <c r="N241" s="39" t="s">
        <v>1605</v>
      </c>
      <c r="O241" s="39">
        <v>0</v>
      </c>
      <c r="P241" s="39">
        <v>6</v>
      </c>
      <c r="Q241" s="39">
        <v>6</v>
      </c>
      <c r="R241" s="39">
        <v>6</v>
      </c>
      <c r="S241" s="39">
        <v>6</v>
      </c>
      <c r="T241" s="39">
        <v>6</v>
      </c>
      <c r="U241" s="39">
        <v>0</v>
      </c>
      <c r="V241" s="39">
        <v>30</v>
      </c>
      <c r="W241" s="39">
        <v>89303</v>
      </c>
      <c r="X241" s="39">
        <v>88164</v>
      </c>
      <c r="Y241" s="39">
        <v>3624151</v>
      </c>
      <c r="Z241" s="39" t="s">
        <v>455</v>
      </c>
      <c r="AA241" s="39" t="s">
        <v>119</v>
      </c>
      <c r="AB241" s="39">
        <v>79479</v>
      </c>
      <c r="AC241" s="39" t="e">
        <v>#N/A</v>
      </c>
      <c r="AD241" s="39" t="s">
        <v>1272</v>
      </c>
      <c r="AE241" s="39" t="s">
        <v>1273</v>
      </c>
      <c r="AF241" s="136">
        <v>43912</v>
      </c>
      <c r="AG241" s="39"/>
      <c r="AH241" s="39">
        <v>40876335</v>
      </c>
      <c r="AI241" s="39">
        <v>27408763350</v>
      </c>
      <c r="AJ241" s="46">
        <v>43808</v>
      </c>
      <c r="AK241" s="46">
        <v>43808</v>
      </c>
      <c r="AL241" s="47">
        <v>43831</v>
      </c>
      <c r="AM241" s="39">
        <v>260</v>
      </c>
      <c r="AN241" s="137" t="s">
        <v>114</v>
      </c>
      <c r="AO241" s="141">
        <v>89888</v>
      </c>
      <c r="AP241" s="139" t="s">
        <v>115</v>
      </c>
      <c r="AQ241" s="142" t="s">
        <v>1607</v>
      </c>
    </row>
    <row r="242" spans="1:43" x14ac:dyDescent="0.25">
      <c r="A242" s="44" t="s">
        <v>97</v>
      </c>
      <c r="B242" s="39" t="s">
        <v>92</v>
      </c>
      <c r="C242" s="39" t="s">
        <v>1274</v>
      </c>
      <c r="D242" s="39" t="s">
        <v>1275</v>
      </c>
      <c r="E242" s="39" t="s">
        <v>40</v>
      </c>
      <c r="F242" s="39" t="s">
        <v>131</v>
      </c>
      <c r="G242" s="39" t="s">
        <v>131</v>
      </c>
      <c r="H242" s="39" t="s">
        <v>131</v>
      </c>
      <c r="I242" s="39" t="s">
        <v>131</v>
      </c>
      <c r="J242" s="39" t="s">
        <v>131</v>
      </c>
      <c r="K242" s="39" t="s">
        <v>40</v>
      </c>
      <c r="L242" s="135"/>
      <c r="M242" s="45"/>
      <c r="N242" s="39" t="s">
        <v>1605</v>
      </c>
      <c r="O242" s="39">
        <v>0</v>
      </c>
      <c r="P242" s="39">
        <v>6</v>
      </c>
      <c r="Q242" s="39">
        <v>6</v>
      </c>
      <c r="R242" s="39">
        <v>6</v>
      </c>
      <c r="S242" s="39">
        <v>6</v>
      </c>
      <c r="T242" s="39">
        <v>6</v>
      </c>
      <c r="U242" s="39">
        <v>0</v>
      </c>
      <c r="V242" s="39">
        <v>30</v>
      </c>
      <c r="W242" s="39">
        <v>648077</v>
      </c>
      <c r="X242" s="39">
        <v>88361</v>
      </c>
      <c r="Y242" s="39">
        <v>3667101</v>
      </c>
      <c r="Z242" s="39" t="s">
        <v>119</v>
      </c>
      <c r="AA242" s="39" t="s">
        <v>119</v>
      </c>
      <c r="AB242" s="39">
        <v>79479</v>
      </c>
      <c r="AC242" s="39" t="e">
        <v>#N/A</v>
      </c>
      <c r="AD242" s="39" t="s">
        <v>1276</v>
      </c>
      <c r="AE242" s="39" t="s">
        <v>1277</v>
      </c>
      <c r="AF242" s="136">
        <v>43943</v>
      </c>
      <c r="AG242" s="39" t="s">
        <v>1278</v>
      </c>
      <c r="AH242" s="39">
        <v>40698559</v>
      </c>
      <c r="AI242" s="39" t="s">
        <v>1279</v>
      </c>
      <c r="AJ242" s="46">
        <v>43942</v>
      </c>
      <c r="AK242" s="46">
        <v>43942</v>
      </c>
      <c r="AL242" s="47">
        <v>43943</v>
      </c>
      <c r="AM242" s="39">
        <v>128</v>
      </c>
      <c r="AN242" s="137" t="s">
        <v>114</v>
      </c>
      <c r="AO242" s="141">
        <v>89879</v>
      </c>
      <c r="AP242" s="139" t="s">
        <v>115</v>
      </c>
      <c r="AQ242" s="142" t="s">
        <v>1607</v>
      </c>
    </row>
    <row r="243" spans="1:43" x14ac:dyDescent="0.25">
      <c r="A243" s="44" t="s">
        <v>97</v>
      </c>
      <c r="B243" s="39" t="s">
        <v>92</v>
      </c>
      <c r="C243" s="39" t="s">
        <v>549</v>
      </c>
      <c r="D243" s="39" t="s">
        <v>1280</v>
      </c>
      <c r="E243" s="39" t="s">
        <v>40</v>
      </c>
      <c r="F243" s="39" t="s">
        <v>131</v>
      </c>
      <c r="G243" s="39" t="s">
        <v>131</v>
      </c>
      <c r="H243" s="39" t="s">
        <v>131</v>
      </c>
      <c r="I243" s="39" t="s">
        <v>131</v>
      </c>
      <c r="J243" s="39" t="s">
        <v>131</v>
      </c>
      <c r="K243" s="39" t="s">
        <v>40</v>
      </c>
      <c r="L243" s="135"/>
      <c r="M243" s="45"/>
      <c r="N243" s="39" t="s">
        <v>1605</v>
      </c>
      <c r="O243" s="39">
        <v>0</v>
      </c>
      <c r="P243" s="39">
        <v>6</v>
      </c>
      <c r="Q243" s="39">
        <v>6</v>
      </c>
      <c r="R243" s="39">
        <v>6</v>
      </c>
      <c r="S243" s="39">
        <v>6</v>
      </c>
      <c r="T243" s="39">
        <v>6</v>
      </c>
      <c r="U243" s="39">
        <v>0</v>
      </c>
      <c r="V243" s="39">
        <v>30</v>
      </c>
      <c r="W243" s="39">
        <v>648353</v>
      </c>
      <c r="X243" s="39">
        <v>69253</v>
      </c>
      <c r="Y243" s="39">
        <v>464833</v>
      </c>
      <c r="Z243" s="39" t="s">
        <v>344</v>
      </c>
      <c r="AA243" s="39" t="s">
        <v>119</v>
      </c>
      <c r="AB243" s="39">
        <v>79479</v>
      </c>
      <c r="AC243" s="39" t="e">
        <v>#N/A</v>
      </c>
      <c r="AD243" s="39" t="s">
        <v>1281</v>
      </c>
      <c r="AE243" s="39" t="s">
        <v>1282</v>
      </c>
      <c r="AF243" s="136">
        <v>43969</v>
      </c>
      <c r="AG243" s="39">
        <v>381156284181</v>
      </c>
      <c r="AH243" s="39">
        <v>34132310</v>
      </c>
      <c r="AI243" s="39">
        <v>27341323105</v>
      </c>
      <c r="AJ243" s="46">
        <v>40217</v>
      </c>
      <c r="AK243" s="46">
        <v>43962</v>
      </c>
      <c r="AL243" s="47">
        <v>43969</v>
      </c>
      <c r="AM243" s="39">
        <v>3801</v>
      </c>
      <c r="AN243" s="137" t="s">
        <v>114</v>
      </c>
      <c r="AO243" s="141">
        <v>648335</v>
      </c>
      <c r="AP243" s="139" t="s">
        <v>115</v>
      </c>
      <c r="AQ243" s="142" t="s">
        <v>1607</v>
      </c>
    </row>
    <row r="244" spans="1:43" x14ac:dyDescent="0.25">
      <c r="A244" s="44" t="s">
        <v>97</v>
      </c>
      <c r="B244" s="39" t="s">
        <v>92</v>
      </c>
      <c r="C244" s="39" t="s">
        <v>1180</v>
      </c>
      <c r="D244" s="39" t="s">
        <v>1283</v>
      </c>
      <c r="E244" s="39" t="s">
        <v>40</v>
      </c>
      <c r="F244" s="39" t="s">
        <v>131</v>
      </c>
      <c r="G244" s="39" t="s">
        <v>131</v>
      </c>
      <c r="H244" s="39" t="s">
        <v>131</v>
      </c>
      <c r="I244" s="39" t="s">
        <v>131</v>
      </c>
      <c r="J244" s="39" t="s">
        <v>131</v>
      </c>
      <c r="K244" s="39" t="s">
        <v>40</v>
      </c>
      <c r="L244" s="135"/>
      <c r="M244" s="45"/>
      <c r="N244" s="39" t="s">
        <v>1605</v>
      </c>
      <c r="O244" s="39">
        <v>0</v>
      </c>
      <c r="P244" s="39">
        <v>6</v>
      </c>
      <c r="Q244" s="39">
        <v>6</v>
      </c>
      <c r="R244" s="39">
        <v>6</v>
      </c>
      <c r="S244" s="39">
        <v>6</v>
      </c>
      <c r="T244" s="39">
        <v>6</v>
      </c>
      <c r="U244" s="39">
        <v>0</v>
      </c>
      <c r="V244" s="39">
        <v>30</v>
      </c>
      <c r="W244" s="143">
        <v>89230</v>
      </c>
      <c r="X244" s="39">
        <v>87309</v>
      </c>
      <c r="Y244" s="39">
        <v>3462510</v>
      </c>
      <c r="Z244" s="39" t="s">
        <v>118</v>
      </c>
      <c r="AA244" s="39" t="s">
        <v>119</v>
      </c>
      <c r="AB244" s="39">
        <v>79479</v>
      </c>
      <c r="AC244" s="39" t="e">
        <v>#N/A</v>
      </c>
      <c r="AD244" s="39" t="s">
        <v>1284</v>
      </c>
      <c r="AE244" s="39" t="s">
        <v>1285</v>
      </c>
      <c r="AF244" s="136">
        <v>43919</v>
      </c>
      <c r="AG244" s="39">
        <v>3813030689</v>
      </c>
      <c r="AH244" s="39">
        <v>29438749</v>
      </c>
      <c r="AI244" s="39" t="s">
        <v>1286</v>
      </c>
      <c r="AJ244" s="46">
        <v>43703</v>
      </c>
      <c r="AK244" s="46">
        <v>43703</v>
      </c>
      <c r="AL244" s="47">
        <v>43713</v>
      </c>
      <c r="AM244" s="39">
        <v>363</v>
      </c>
      <c r="AN244" s="137" t="s">
        <v>114</v>
      </c>
      <c r="AO244" s="141">
        <v>89759</v>
      </c>
      <c r="AP244" s="139" t="s">
        <v>115</v>
      </c>
      <c r="AQ244" s="142" t="s">
        <v>1607</v>
      </c>
    </row>
    <row r="245" spans="1:43" x14ac:dyDescent="0.25">
      <c r="A245" s="44" t="s">
        <v>97</v>
      </c>
      <c r="B245" s="39" t="s">
        <v>92</v>
      </c>
      <c r="C245" s="39" t="s">
        <v>921</v>
      </c>
      <c r="D245" s="39" t="s">
        <v>1287</v>
      </c>
      <c r="E245" s="39" t="s">
        <v>40</v>
      </c>
      <c r="F245" s="39" t="s">
        <v>131</v>
      </c>
      <c r="G245" s="39" t="s">
        <v>131</v>
      </c>
      <c r="H245" s="39" t="s">
        <v>131</v>
      </c>
      <c r="I245" s="39" t="s">
        <v>131</v>
      </c>
      <c r="J245" s="39" t="s">
        <v>131</v>
      </c>
      <c r="K245" s="39" t="s">
        <v>40</v>
      </c>
      <c r="L245" s="135"/>
      <c r="M245" s="45"/>
      <c r="N245" s="39" t="s">
        <v>1605</v>
      </c>
      <c r="O245" s="39">
        <v>0</v>
      </c>
      <c r="P245" s="39">
        <v>6</v>
      </c>
      <c r="Q245" s="39">
        <v>6</v>
      </c>
      <c r="R245" s="39">
        <v>6</v>
      </c>
      <c r="S245" s="39">
        <v>6</v>
      </c>
      <c r="T245" s="39">
        <v>6</v>
      </c>
      <c r="U245" s="39">
        <v>0</v>
      </c>
      <c r="V245" s="39">
        <v>30</v>
      </c>
      <c r="W245" s="39">
        <v>89299</v>
      </c>
      <c r="X245" s="39">
        <v>88160</v>
      </c>
      <c r="Y245" s="39">
        <v>2538332</v>
      </c>
      <c r="Z245" s="39" t="s">
        <v>455</v>
      </c>
      <c r="AA245" s="39" t="s">
        <v>119</v>
      </c>
      <c r="AB245" s="39">
        <v>79479</v>
      </c>
      <c r="AC245" s="39" t="e">
        <v>#N/A</v>
      </c>
      <c r="AD245" s="39" t="s">
        <v>1288</v>
      </c>
      <c r="AE245" s="39" t="s">
        <v>1289</v>
      </c>
      <c r="AF245" s="136">
        <v>43919</v>
      </c>
      <c r="AG245" s="39"/>
      <c r="AH245" s="39">
        <v>38490522</v>
      </c>
      <c r="AI245" s="39">
        <v>27384905221</v>
      </c>
      <c r="AJ245" s="46">
        <v>43808</v>
      </c>
      <c r="AK245" s="46">
        <v>43808</v>
      </c>
      <c r="AL245" s="47">
        <v>43831</v>
      </c>
      <c r="AM245" s="39">
        <v>260</v>
      </c>
      <c r="AN245" s="137" t="s">
        <v>114</v>
      </c>
      <c r="AO245" s="141">
        <v>89760</v>
      </c>
      <c r="AP245" s="139" t="s">
        <v>115</v>
      </c>
      <c r="AQ245" s="142" t="s">
        <v>1607</v>
      </c>
    </row>
    <row r="246" spans="1:43" x14ac:dyDescent="0.25">
      <c r="A246" s="44" t="s">
        <v>97</v>
      </c>
      <c r="B246" s="39" t="s">
        <v>92</v>
      </c>
      <c r="C246" s="39" t="s">
        <v>1290</v>
      </c>
      <c r="D246" s="39" t="s">
        <v>332</v>
      </c>
      <c r="E246" s="39" t="s">
        <v>40</v>
      </c>
      <c r="F246" s="39" t="s">
        <v>131</v>
      </c>
      <c r="G246" s="39" t="s">
        <v>131</v>
      </c>
      <c r="H246" s="39" t="s">
        <v>131</v>
      </c>
      <c r="I246" s="39" t="s">
        <v>131</v>
      </c>
      <c r="J246" s="39" t="s">
        <v>131</v>
      </c>
      <c r="K246" s="39" t="s">
        <v>40</v>
      </c>
      <c r="L246" s="135"/>
      <c r="M246" s="45"/>
      <c r="N246" s="39" t="s">
        <v>1605</v>
      </c>
      <c r="O246" s="39">
        <v>0</v>
      </c>
      <c r="P246" s="39">
        <v>6</v>
      </c>
      <c r="Q246" s="39">
        <v>6</v>
      </c>
      <c r="R246" s="39">
        <v>6</v>
      </c>
      <c r="S246" s="39">
        <v>6</v>
      </c>
      <c r="T246" s="39">
        <v>6</v>
      </c>
      <c r="U246" s="39">
        <v>0</v>
      </c>
      <c r="V246" s="39">
        <v>30</v>
      </c>
      <c r="W246" s="39">
        <v>648075</v>
      </c>
      <c r="X246" s="39">
        <v>88359</v>
      </c>
      <c r="Y246" s="39">
        <v>3646861</v>
      </c>
      <c r="Z246" s="39" t="s">
        <v>119</v>
      </c>
      <c r="AA246" s="39" t="s">
        <v>119</v>
      </c>
      <c r="AB246" s="39">
        <v>79479</v>
      </c>
      <c r="AC246" s="39" t="e">
        <v>#N/A</v>
      </c>
      <c r="AD246" s="39" t="s">
        <v>1291</v>
      </c>
      <c r="AE246" s="39" t="s">
        <v>1292</v>
      </c>
      <c r="AF246" s="136">
        <v>43943</v>
      </c>
      <c r="AG246" s="39">
        <v>3814563507</v>
      </c>
      <c r="AH246" s="39">
        <v>41772351</v>
      </c>
      <c r="AI246" s="39" t="s">
        <v>1293</v>
      </c>
      <c r="AJ246" s="46">
        <v>43942</v>
      </c>
      <c r="AK246" s="46">
        <v>43942</v>
      </c>
      <c r="AL246" s="47">
        <v>43943</v>
      </c>
      <c r="AM246" s="39">
        <v>128</v>
      </c>
      <c r="AN246" s="137" t="s">
        <v>114</v>
      </c>
      <c r="AO246" s="141">
        <v>89761</v>
      </c>
      <c r="AP246" s="139" t="s">
        <v>115</v>
      </c>
      <c r="AQ246" s="142" t="s">
        <v>1607</v>
      </c>
    </row>
    <row r="247" spans="1:43" x14ac:dyDescent="0.25">
      <c r="A247" s="44" t="s">
        <v>97</v>
      </c>
      <c r="B247" s="39" t="s">
        <v>92</v>
      </c>
      <c r="C247" s="39" t="s">
        <v>1294</v>
      </c>
      <c r="D247" s="39" t="s">
        <v>1295</v>
      </c>
      <c r="E247" s="39" t="s">
        <v>40</v>
      </c>
      <c r="F247" s="39" t="s">
        <v>1296</v>
      </c>
      <c r="G247" s="39" t="s">
        <v>1296</v>
      </c>
      <c r="H247" s="39" t="s">
        <v>1296</v>
      </c>
      <c r="I247" s="39" t="s">
        <v>1296</v>
      </c>
      <c r="J247" s="39" t="s">
        <v>1296</v>
      </c>
      <c r="K247" s="39" t="s">
        <v>40</v>
      </c>
      <c r="L247" s="135"/>
      <c r="M247" s="45"/>
      <c r="N247" s="39" t="s">
        <v>1605</v>
      </c>
      <c r="O247" s="39">
        <v>0</v>
      </c>
      <c r="P247" s="39">
        <v>6</v>
      </c>
      <c r="Q247" s="39">
        <v>6</v>
      </c>
      <c r="R247" s="39">
        <v>6</v>
      </c>
      <c r="S247" s="39">
        <v>6</v>
      </c>
      <c r="T247" s="39">
        <v>6</v>
      </c>
      <c r="U247" s="39">
        <v>0</v>
      </c>
      <c r="V247" s="39">
        <v>30</v>
      </c>
      <c r="W247" s="39">
        <v>648227</v>
      </c>
      <c r="X247" s="39">
        <v>84358</v>
      </c>
      <c r="Y247" s="39">
        <v>2741865</v>
      </c>
      <c r="Z247" s="39" t="s">
        <v>119</v>
      </c>
      <c r="AA247" s="39" t="s">
        <v>350</v>
      </c>
      <c r="AB247" s="39">
        <v>79479</v>
      </c>
      <c r="AC247" s="39" t="e">
        <v>#N/A</v>
      </c>
      <c r="AD247" s="39" t="s">
        <v>1297</v>
      </c>
      <c r="AE247" s="39" t="s">
        <v>1298</v>
      </c>
      <c r="AF247" s="136">
        <v>43935</v>
      </c>
      <c r="AG247" s="39" t="s">
        <v>1299</v>
      </c>
      <c r="AH247" s="39">
        <v>39699234</v>
      </c>
      <c r="AI247" s="39">
        <v>20396992346</v>
      </c>
      <c r="AJ247" s="46">
        <v>43102</v>
      </c>
      <c r="AK247" s="46">
        <v>43930</v>
      </c>
      <c r="AL247" s="47">
        <v>43935</v>
      </c>
      <c r="AM247" s="39">
        <v>957</v>
      </c>
      <c r="AN247" s="137" t="s">
        <v>114</v>
      </c>
      <c r="AO247" s="141">
        <v>89920</v>
      </c>
      <c r="AP247" s="139" t="s">
        <v>115</v>
      </c>
      <c r="AQ247" s="142" t="s">
        <v>1615</v>
      </c>
    </row>
    <row r="248" spans="1:43" x14ac:dyDescent="0.25">
      <c r="A248" s="44" t="s">
        <v>97</v>
      </c>
      <c r="B248" s="39" t="s">
        <v>92</v>
      </c>
      <c r="C248" s="39" t="s">
        <v>1300</v>
      </c>
      <c r="D248" s="39" t="s">
        <v>1301</v>
      </c>
      <c r="E248" s="39" t="s">
        <v>40</v>
      </c>
      <c r="F248" s="39" t="s">
        <v>131</v>
      </c>
      <c r="G248" s="39" t="s">
        <v>131</v>
      </c>
      <c r="H248" s="39" t="s">
        <v>131</v>
      </c>
      <c r="I248" s="39" t="s">
        <v>131</v>
      </c>
      <c r="J248" s="39" t="s">
        <v>131</v>
      </c>
      <c r="K248" s="39" t="s">
        <v>40</v>
      </c>
      <c r="L248" s="135"/>
      <c r="M248" s="45"/>
      <c r="N248" s="39" t="s">
        <v>1605</v>
      </c>
      <c r="O248" s="39">
        <v>0</v>
      </c>
      <c r="P248" s="39">
        <v>6</v>
      </c>
      <c r="Q248" s="39">
        <v>6</v>
      </c>
      <c r="R248" s="39">
        <v>6</v>
      </c>
      <c r="S248" s="39">
        <v>6</v>
      </c>
      <c r="T248" s="39">
        <v>6</v>
      </c>
      <c r="U248" s="39">
        <v>0</v>
      </c>
      <c r="V248" s="39">
        <v>30</v>
      </c>
      <c r="W248" s="39">
        <v>648388</v>
      </c>
      <c r="X248" s="39">
        <v>84641</v>
      </c>
      <c r="Y248" s="39">
        <v>2746225</v>
      </c>
      <c r="Z248" s="39" t="s">
        <v>119</v>
      </c>
      <c r="AA248" s="39" t="s">
        <v>119</v>
      </c>
      <c r="AB248" s="39">
        <v>79479</v>
      </c>
      <c r="AC248" s="39" t="e">
        <v>#N/A</v>
      </c>
      <c r="AD248" s="39" t="s">
        <v>1302</v>
      </c>
      <c r="AE248" s="39" t="s">
        <v>1303</v>
      </c>
      <c r="AF248" s="136">
        <v>43969</v>
      </c>
      <c r="AG248" s="39" t="s">
        <v>1304</v>
      </c>
      <c r="AH248" s="39">
        <v>39730187</v>
      </c>
      <c r="AI248" s="39">
        <v>20397301878</v>
      </c>
      <c r="AJ248" s="46">
        <v>43108</v>
      </c>
      <c r="AK248" s="46">
        <v>43962</v>
      </c>
      <c r="AL248" s="47">
        <v>43969</v>
      </c>
      <c r="AM248" s="39">
        <v>951</v>
      </c>
      <c r="AN248" s="137" t="s">
        <v>114</v>
      </c>
      <c r="AO248" s="141">
        <v>648328</v>
      </c>
      <c r="AP248" s="139" t="s">
        <v>115</v>
      </c>
      <c r="AQ248" s="142" t="s">
        <v>1607</v>
      </c>
    </row>
    <row r="249" spans="1:43" x14ac:dyDescent="0.25">
      <c r="A249" s="44" t="s">
        <v>97</v>
      </c>
      <c r="B249" s="39" t="s">
        <v>92</v>
      </c>
      <c r="C249" s="39" t="s">
        <v>1305</v>
      </c>
      <c r="D249" s="39" t="s">
        <v>1306</v>
      </c>
      <c r="E249" s="39" t="s">
        <v>40</v>
      </c>
      <c r="F249" s="39" t="s">
        <v>1296</v>
      </c>
      <c r="G249" s="39" t="s">
        <v>1296</v>
      </c>
      <c r="H249" s="39" t="s">
        <v>1296</v>
      </c>
      <c r="I249" s="39" t="s">
        <v>1296</v>
      </c>
      <c r="J249" s="39" t="s">
        <v>1296</v>
      </c>
      <c r="K249" s="39" t="s">
        <v>40</v>
      </c>
      <c r="L249" s="135"/>
      <c r="M249" s="45"/>
      <c r="N249" s="39" t="s">
        <v>1605</v>
      </c>
      <c r="O249" s="39">
        <v>0</v>
      </c>
      <c r="P249" s="39">
        <v>6</v>
      </c>
      <c r="Q249" s="39">
        <v>6</v>
      </c>
      <c r="R249" s="39">
        <v>6</v>
      </c>
      <c r="S249" s="39">
        <v>6</v>
      </c>
      <c r="T249" s="39">
        <v>6</v>
      </c>
      <c r="U249" s="39">
        <v>0</v>
      </c>
      <c r="V249" s="39">
        <v>30</v>
      </c>
      <c r="W249" s="39">
        <v>648239</v>
      </c>
      <c r="X249" s="39">
        <v>79828</v>
      </c>
      <c r="Y249" s="39">
        <v>1496443</v>
      </c>
      <c r="Z249" s="39" t="s">
        <v>119</v>
      </c>
      <c r="AA249" s="39" t="s">
        <v>350</v>
      </c>
      <c r="AB249" s="39">
        <v>79479</v>
      </c>
      <c r="AC249" s="39" t="e">
        <v>#N/A</v>
      </c>
      <c r="AD249" s="39" t="s">
        <v>1307</v>
      </c>
      <c r="AE249" s="39" t="s">
        <v>1308</v>
      </c>
      <c r="AF249" s="136">
        <v>43935</v>
      </c>
      <c r="AG249" s="39"/>
      <c r="AH249" s="39">
        <v>31857587</v>
      </c>
      <c r="AI249" s="39"/>
      <c r="AJ249" s="46">
        <v>42461</v>
      </c>
      <c r="AK249" s="46">
        <v>43930</v>
      </c>
      <c r="AL249" s="47">
        <v>43935</v>
      </c>
      <c r="AM249" s="39">
        <v>1588</v>
      </c>
      <c r="AN249" s="137" t="s">
        <v>114</v>
      </c>
      <c r="AO249" s="141">
        <v>89917</v>
      </c>
      <c r="AP249" s="139" t="s">
        <v>115</v>
      </c>
      <c r="AQ249" s="142" t="s">
        <v>1615</v>
      </c>
    </row>
    <row r="250" spans="1:43" x14ac:dyDescent="0.25">
      <c r="A250" s="44" t="s">
        <v>97</v>
      </c>
      <c r="B250" s="39" t="s">
        <v>92</v>
      </c>
      <c r="C250" s="39" t="s">
        <v>1309</v>
      </c>
      <c r="D250" s="39" t="s">
        <v>1310</v>
      </c>
      <c r="E250" s="39" t="s">
        <v>40</v>
      </c>
      <c r="F250" s="39" t="s">
        <v>131</v>
      </c>
      <c r="G250" s="39" t="s">
        <v>131</v>
      </c>
      <c r="H250" s="39" t="s">
        <v>131</v>
      </c>
      <c r="I250" s="39" t="s">
        <v>131</v>
      </c>
      <c r="J250" s="39" t="s">
        <v>131</v>
      </c>
      <c r="K250" s="39" t="s">
        <v>40</v>
      </c>
      <c r="L250" s="135"/>
      <c r="M250" s="45"/>
      <c r="N250" s="39" t="s">
        <v>1605</v>
      </c>
      <c r="O250" s="39">
        <v>0</v>
      </c>
      <c r="P250" s="39">
        <v>6</v>
      </c>
      <c r="Q250" s="39">
        <v>6</v>
      </c>
      <c r="R250" s="39">
        <v>6</v>
      </c>
      <c r="S250" s="39">
        <v>6</v>
      </c>
      <c r="T250" s="39">
        <v>6</v>
      </c>
      <c r="U250" s="39">
        <v>0</v>
      </c>
      <c r="V250" s="39">
        <v>30</v>
      </c>
      <c r="W250" s="39">
        <v>648313</v>
      </c>
      <c r="X250" s="39">
        <v>87884</v>
      </c>
      <c r="Y250" s="39">
        <v>3102002</v>
      </c>
      <c r="Z250" s="39" t="s">
        <v>146</v>
      </c>
      <c r="AA250" s="39" t="s">
        <v>848</v>
      </c>
      <c r="AB250" s="39">
        <v>79479</v>
      </c>
      <c r="AC250" s="39" t="e">
        <v>#N/A</v>
      </c>
      <c r="AD250" s="39" t="s">
        <v>1311</v>
      </c>
      <c r="AE250" s="39" t="s">
        <v>1312</v>
      </c>
      <c r="AF250" s="136">
        <v>43955</v>
      </c>
      <c r="AG250" s="39" t="s">
        <v>1313</v>
      </c>
      <c r="AH250" s="39">
        <v>35073705</v>
      </c>
      <c r="AI250" s="39">
        <v>20350737058</v>
      </c>
      <c r="AJ250" s="46">
        <v>43752</v>
      </c>
      <c r="AK250" s="46">
        <v>43945</v>
      </c>
      <c r="AL250" s="47">
        <v>43956</v>
      </c>
      <c r="AM250" s="39">
        <v>315</v>
      </c>
      <c r="AN250" s="137" t="s">
        <v>114</v>
      </c>
      <c r="AO250" s="141">
        <v>89998</v>
      </c>
      <c r="AP250" s="139" t="s">
        <v>115</v>
      </c>
      <c r="AQ250" s="142" t="s">
        <v>1607</v>
      </c>
    </row>
    <row r="251" spans="1:43" x14ac:dyDescent="0.25">
      <c r="A251" s="44" t="s">
        <v>97</v>
      </c>
      <c r="B251" s="39" t="s">
        <v>92</v>
      </c>
      <c r="C251" s="39" t="s">
        <v>1314</v>
      </c>
      <c r="D251" s="39" t="s">
        <v>1315</v>
      </c>
      <c r="E251" s="39" t="s">
        <v>40</v>
      </c>
      <c r="F251" s="39" t="s">
        <v>131</v>
      </c>
      <c r="G251" s="39" t="s">
        <v>131</v>
      </c>
      <c r="H251" s="39" t="s">
        <v>131</v>
      </c>
      <c r="I251" s="39" t="s">
        <v>131</v>
      </c>
      <c r="J251" s="39" t="s">
        <v>131</v>
      </c>
      <c r="K251" s="39" t="s">
        <v>40</v>
      </c>
      <c r="L251" s="135"/>
      <c r="M251" s="45"/>
      <c r="N251" s="39" t="s">
        <v>1605</v>
      </c>
      <c r="O251" s="39">
        <v>0</v>
      </c>
      <c r="P251" s="39">
        <v>6</v>
      </c>
      <c r="Q251" s="39">
        <v>6</v>
      </c>
      <c r="R251" s="39">
        <v>6</v>
      </c>
      <c r="S251" s="39">
        <v>6</v>
      </c>
      <c r="T251" s="39">
        <v>6</v>
      </c>
      <c r="U251" s="39">
        <v>0</v>
      </c>
      <c r="V251" s="39">
        <v>30</v>
      </c>
      <c r="W251" s="39">
        <v>89167</v>
      </c>
      <c r="X251" s="39">
        <v>86287</v>
      </c>
      <c r="Y251" s="39">
        <v>3133268</v>
      </c>
      <c r="Z251" s="39" t="s">
        <v>375</v>
      </c>
      <c r="AA251" s="39" t="s">
        <v>119</v>
      </c>
      <c r="AB251" s="39">
        <v>79479</v>
      </c>
      <c r="AC251" s="39" t="e">
        <v>#N/A</v>
      </c>
      <c r="AD251" s="39" t="s">
        <v>1316</v>
      </c>
      <c r="AE251" s="39" t="s">
        <v>1317</v>
      </c>
      <c r="AF251" s="136">
        <v>43915</v>
      </c>
      <c r="AG251" s="39" t="s">
        <v>1318</v>
      </c>
      <c r="AH251" s="39">
        <v>38509438</v>
      </c>
      <c r="AI251" s="39" t="s">
        <v>1319</v>
      </c>
      <c r="AJ251" s="46">
        <v>43451</v>
      </c>
      <c r="AK251" s="46">
        <v>43451</v>
      </c>
      <c r="AL251" s="47">
        <v>43467</v>
      </c>
      <c r="AM251" s="39">
        <v>612</v>
      </c>
      <c r="AN251" s="137" t="s">
        <v>114</v>
      </c>
      <c r="AO251" s="141">
        <v>89762</v>
      </c>
      <c r="AP251" s="139" t="s">
        <v>115</v>
      </c>
      <c r="AQ251" s="142" t="s">
        <v>1607</v>
      </c>
    </row>
    <row r="252" spans="1:43" x14ac:dyDescent="0.25">
      <c r="A252" s="44" t="s">
        <v>97</v>
      </c>
      <c r="B252" s="39" t="s">
        <v>92</v>
      </c>
      <c r="C252" s="39" t="s">
        <v>1320</v>
      </c>
      <c r="D252" s="39" t="s">
        <v>1321</v>
      </c>
      <c r="E252" s="39" t="s">
        <v>40</v>
      </c>
      <c r="F252" s="39" t="s">
        <v>131</v>
      </c>
      <c r="G252" s="39" t="s">
        <v>131</v>
      </c>
      <c r="H252" s="39" t="s">
        <v>131</v>
      </c>
      <c r="I252" s="39" t="s">
        <v>131</v>
      </c>
      <c r="J252" s="39" t="s">
        <v>131</v>
      </c>
      <c r="K252" s="39" t="s">
        <v>40</v>
      </c>
      <c r="L252" s="135"/>
      <c r="M252" s="45"/>
      <c r="N252" s="39" t="s">
        <v>1605</v>
      </c>
      <c r="O252" s="39">
        <v>0</v>
      </c>
      <c r="P252" s="39">
        <v>6</v>
      </c>
      <c r="Q252" s="39">
        <v>6</v>
      </c>
      <c r="R252" s="39">
        <v>6</v>
      </c>
      <c r="S252" s="39">
        <v>6</v>
      </c>
      <c r="T252" s="39">
        <v>6</v>
      </c>
      <c r="U252" s="39">
        <v>0</v>
      </c>
      <c r="V252" s="39">
        <v>30</v>
      </c>
      <c r="W252" s="39">
        <v>89334</v>
      </c>
      <c r="X252" s="39">
        <v>88364</v>
      </c>
      <c r="Y252" s="39">
        <v>3667104</v>
      </c>
      <c r="Z252" s="39" t="s">
        <v>119</v>
      </c>
      <c r="AA252" s="39" t="s">
        <v>119</v>
      </c>
      <c r="AB252" s="39">
        <v>79479</v>
      </c>
      <c r="AC252" s="39" t="e">
        <v>#N/A</v>
      </c>
      <c r="AD252" s="39" t="s">
        <v>1322</v>
      </c>
      <c r="AE252" s="39" t="s">
        <v>1323</v>
      </c>
      <c r="AF252" s="136">
        <v>43912</v>
      </c>
      <c r="AG252" s="39"/>
      <c r="AH252" s="39">
        <v>40532694</v>
      </c>
      <c r="AI252" s="39" t="s">
        <v>1324</v>
      </c>
      <c r="AJ252" s="46">
        <v>43852</v>
      </c>
      <c r="AK252" s="46">
        <v>43852</v>
      </c>
      <c r="AL252" s="47">
        <v>43873</v>
      </c>
      <c r="AM252" s="39">
        <v>217</v>
      </c>
      <c r="AN252" s="137" t="s">
        <v>114</v>
      </c>
      <c r="AO252" s="141">
        <v>89763</v>
      </c>
      <c r="AP252" s="139" t="s">
        <v>115</v>
      </c>
      <c r="AQ252" s="142" t="s">
        <v>1607</v>
      </c>
    </row>
    <row r="253" spans="1:43" x14ac:dyDescent="0.25">
      <c r="A253" s="44" t="s">
        <v>97</v>
      </c>
      <c r="B253" s="39" t="s">
        <v>86</v>
      </c>
      <c r="C253" s="39" t="s">
        <v>1325</v>
      </c>
      <c r="D253" s="39" t="s">
        <v>866</v>
      </c>
      <c r="E253" s="39" t="s">
        <v>40</v>
      </c>
      <c r="F253" s="39" t="s">
        <v>131</v>
      </c>
      <c r="G253" s="39" t="s">
        <v>131</v>
      </c>
      <c r="H253" s="39" t="s">
        <v>131</v>
      </c>
      <c r="I253" s="39" t="s">
        <v>131</v>
      </c>
      <c r="J253" s="39" t="s">
        <v>131</v>
      </c>
      <c r="K253" s="39" t="s">
        <v>40</v>
      </c>
      <c r="L253" s="135"/>
      <c r="M253" s="45"/>
      <c r="N253" s="39" t="s">
        <v>1605</v>
      </c>
      <c r="O253" s="39">
        <v>0</v>
      </c>
      <c r="P253" s="39">
        <v>6</v>
      </c>
      <c r="Q253" s="39">
        <v>6</v>
      </c>
      <c r="R253" s="39">
        <v>6</v>
      </c>
      <c r="S253" s="39">
        <v>6</v>
      </c>
      <c r="T253" s="39">
        <v>6</v>
      </c>
      <c r="U253" s="39">
        <v>0</v>
      </c>
      <c r="V253" s="39">
        <v>30</v>
      </c>
      <c r="W253" s="39">
        <v>648317</v>
      </c>
      <c r="X253" s="39">
        <v>87259</v>
      </c>
      <c r="Y253" s="39">
        <v>3448408</v>
      </c>
      <c r="Z253" s="39" t="s">
        <v>375</v>
      </c>
      <c r="AA253" s="39" t="s">
        <v>848</v>
      </c>
      <c r="AB253" s="39" t="e">
        <v>#N/A</v>
      </c>
      <c r="AC253" s="39" t="e">
        <v>#N/A</v>
      </c>
      <c r="AD253" s="39" t="s">
        <v>1326</v>
      </c>
      <c r="AE253" s="39" t="s">
        <v>1327</v>
      </c>
      <c r="AF253" s="136">
        <v>43955</v>
      </c>
      <c r="AG253" s="39" t="s">
        <v>1328</v>
      </c>
      <c r="AH253" s="39">
        <v>36690903</v>
      </c>
      <c r="AI253" s="39">
        <v>27366909031</v>
      </c>
      <c r="AJ253" s="46">
        <v>43692</v>
      </c>
      <c r="AK253" s="46">
        <v>43945</v>
      </c>
      <c r="AL253" s="47">
        <v>43956</v>
      </c>
      <c r="AM253" s="39">
        <v>374</v>
      </c>
      <c r="AN253" s="137" t="s">
        <v>114</v>
      </c>
      <c r="AO253" s="141">
        <v>89991</v>
      </c>
      <c r="AP253" s="139" t="s">
        <v>158</v>
      </c>
      <c r="AQ253" s="142" t="s">
        <v>1607</v>
      </c>
    </row>
    <row r="254" spans="1:43" x14ac:dyDescent="0.25">
      <c r="A254" s="44" t="s">
        <v>97</v>
      </c>
      <c r="B254" s="39" t="s">
        <v>92</v>
      </c>
      <c r="C254" s="39" t="s">
        <v>1329</v>
      </c>
      <c r="D254" s="39" t="s">
        <v>1330</v>
      </c>
      <c r="E254" s="39" t="s">
        <v>40</v>
      </c>
      <c r="F254" s="39" t="s">
        <v>227</v>
      </c>
      <c r="G254" s="39" t="s">
        <v>227</v>
      </c>
      <c r="H254" s="39" t="s">
        <v>227</v>
      </c>
      <c r="I254" s="39" t="s">
        <v>227</v>
      </c>
      <c r="J254" s="39" t="s">
        <v>227</v>
      </c>
      <c r="K254" s="39" t="s">
        <v>40</v>
      </c>
      <c r="L254" s="135"/>
      <c r="M254" s="45"/>
      <c r="N254" s="39" t="s">
        <v>1605</v>
      </c>
      <c r="O254" s="39">
        <v>0</v>
      </c>
      <c r="P254" s="39">
        <v>5.0000000000000009</v>
      </c>
      <c r="Q254" s="39">
        <v>5.0000000000000009</v>
      </c>
      <c r="R254" s="39">
        <v>5.0000000000000009</v>
      </c>
      <c r="S254" s="39">
        <v>5.0000000000000009</v>
      </c>
      <c r="T254" s="39">
        <v>5.0000000000000009</v>
      </c>
      <c r="U254" s="39">
        <v>0</v>
      </c>
      <c r="V254" s="39">
        <v>25.000000000000004</v>
      </c>
      <c r="W254" s="39">
        <v>89221</v>
      </c>
      <c r="X254" s="39">
        <v>87055</v>
      </c>
      <c r="Y254" s="39">
        <v>3409601</v>
      </c>
      <c r="Z254" s="39" t="s">
        <v>118</v>
      </c>
      <c r="AA254" s="39" t="s">
        <v>119</v>
      </c>
      <c r="AB254" s="39">
        <v>79479</v>
      </c>
      <c r="AC254" s="39" t="e">
        <v>#N/A</v>
      </c>
      <c r="AD254" s="39" t="s">
        <v>1331</v>
      </c>
      <c r="AE254" s="39" t="s">
        <v>1332</v>
      </c>
      <c r="AF254" s="136">
        <v>43917</v>
      </c>
      <c r="AG254" s="39" t="s">
        <v>1333</v>
      </c>
      <c r="AH254" s="39">
        <v>41651681</v>
      </c>
      <c r="AI254" s="39" t="s">
        <v>1334</v>
      </c>
      <c r="AJ254" s="46">
        <v>43668</v>
      </c>
      <c r="AK254" s="46">
        <v>43669</v>
      </c>
      <c r="AL254" s="47">
        <v>43678</v>
      </c>
      <c r="AM254" s="39">
        <v>397</v>
      </c>
      <c r="AN254" s="137" t="s">
        <v>114</v>
      </c>
      <c r="AO254" s="141">
        <v>89765</v>
      </c>
      <c r="AP254" s="139" t="s">
        <v>115</v>
      </c>
      <c r="AQ254" s="142" t="s">
        <v>1608</v>
      </c>
    </row>
    <row r="255" spans="1:43" x14ac:dyDescent="0.25">
      <c r="A255" s="44" t="s">
        <v>97</v>
      </c>
      <c r="B255" s="39" t="s">
        <v>86</v>
      </c>
      <c r="C255" s="39" t="s">
        <v>439</v>
      </c>
      <c r="D255" s="39" t="s">
        <v>1335</v>
      </c>
      <c r="E255" s="39" t="s">
        <v>40</v>
      </c>
      <c r="F255" s="39" t="s">
        <v>108</v>
      </c>
      <c r="G255" s="39" t="s">
        <v>108</v>
      </c>
      <c r="H255" s="39" t="s">
        <v>108</v>
      </c>
      <c r="I255" s="39" t="s">
        <v>108</v>
      </c>
      <c r="J255" s="39" t="s">
        <v>108</v>
      </c>
      <c r="K255" s="39" t="s">
        <v>40</v>
      </c>
      <c r="L255" s="135"/>
      <c r="M255" s="45"/>
      <c r="N255" s="39" t="s">
        <v>1605</v>
      </c>
      <c r="O255" s="39">
        <v>0</v>
      </c>
      <c r="P255" s="39">
        <v>5.0000000000000009</v>
      </c>
      <c r="Q255" s="39">
        <v>5.0000000000000009</v>
      </c>
      <c r="R255" s="39">
        <v>5.0000000000000009</v>
      </c>
      <c r="S255" s="39">
        <v>5.0000000000000009</v>
      </c>
      <c r="T255" s="39">
        <v>5.0000000000000009</v>
      </c>
      <c r="U255" s="39">
        <v>0</v>
      </c>
      <c r="V255" s="39">
        <v>25.000000000000004</v>
      </c>
      <c r="W255" s="39">
        <v>89274</v>
      </c>
      <c r="X255" s="39">
        <v>88049</v>
      </c>
      <c r="Y255" s="39">
        <v>3553148</v>
      </c>
      <c r="Z255" s="39" t="s">
        <v>118</v>
      </c>
      <c r="AA255" s="39" t="s">
        <v>118</v>
      </c>
      <c r="AB255" s="39" t="e">
        <v>#N/A</v>
      </c>
      <c r="AC255" s="39" t="e">
        <v>#N/A</v>
      </c>
      <c r="AD255" s="39"/>
      <c r="AE255" s="39" t="s">
        <v>1336</v>
      </c>
      <c r="AF255" s="136"/>
      <c r="AG255" s="39"/>
      <c r="AH255" s="39">
        <v>40275956</v>
      </c>
      <c r="AI255" s="39" t="s">
        <v>1337</v>
      </c>
      <c r="AJ255" s="46">
        <v>44026</v>
      </c>
      <c r="AK255" s="46">
        <v>44026</v>
      </c>
      <c r="AL255" s="47">
        <v>44027</v>
      </c>
      <c r="AM255" s="39">
        <v>45</v>
      </c>
      <c r="AN255" s="137" t="s">
        <v>114</v>
      </c>
      <c r="AO255" s="141"/>
      <c r="AP255" s="139" t="s">
        <v>158</v>
      </c>
      <c r="AQ255" s="142" t="s">
        <v>1606</v>
      </c>
    </row>
    <row r="256" spans="1:43" x14ac:dyDescent="0.25">
      <c r="A256" s="44" t="s">
        <v>97</v>
      </c>
      <c r="B256" s="39" t="s">
        <v>86</v>
      </c>
      <c r="C256" s="39" t="s">
        <v>1338</v>
      </c>
      <c r="D256" s="39" t="s">
        <v>1339</v>
      </c>
      <c r="E256" s="39" t="s">
        <v>40</v>
      </c>
      <c r="F256" s="39" t="s">
        <v>131</v>
      </c>
      <c r="G256" s="39" t="s">
        <v>131</v>
      </c>
      <c r="H256" s="39" t="s">
        <v>131</v>
      </c>
      <c r="I256" s="39" t="s">
        <v>131</v>
      </c>
      <c r="J256" s="39" t="s">
        <v>131</v>
      </c>
      <c r="K256" s="39" t="s">
        <v>40</v>
      </c>
      <c r="L256" s="135"/>
      <c r="M256" s="45"/>
      <c r="N256" s="39" t="s">
        <v>1605</v>
      </c>
      <c r="O256" s="39">
        <v>0</v>
      </c>
      <c r="P256" s="39">
        <v>6</v>
      </c>
      <c r="Q256" s="39">
        <v>6</v>
      </c>
      <c r="R256" s="39">
        <v>6</v>
      </c>
      <c r="S256" s="39">
        <v>6</v>
      </c>
      <c r="T256" s="39">
        <v>6</v>
      </c>
      <c r="U256" s="39">
        <v>0</v>
      </c>
      <c r="V256" s="39">
        <v>30</v>
      </c>
      <c r="W256" s="143">
        <v>89224</v>
      </c>
      <c r="X256" s="39">
        <v>87317</v>
      </c>
      <c r="Y256" s="39">
        <v>3462526</v>
      </c>
      <c r="Z256" s="39" t="s">
        <v>146</v>
      </c>
      <c r="AA256" s="39" t="s">
        <v>119</v>
      </c>
      <c r="AB256" s="39" t="e">
        <v>#N/A</v>
      </c>
      <c r="AC256" s="39" t="e">
        <v>#N/A</v>
      </c>
      <c r="AD256" s="39" t="s">
        <v>1340</v>
      </c>
      <c r="AE256" s="39" t="s">
        <v>1341</v>
      </c>
      <c r="AF256" s="136">
        <v>43916</v>
      </c>
      <c r="AG256" s="39">
        <v>3815532654</v>
      </c>
      <c r="AH256" s="39">
        <v>31870365</v>
      </c>
      <c r="AI256" s="39">
        <v>27318703650</v>
      </c>
      <c r="AJ256" s="46">
        <v>43703</v>
      </c>
      <c r="AK256" s="46">
        <v>43703</v>
      </c>
      <c r="AL256" s="47">
        <v>43713</v>
      </c>
      <c r="AM256" s="39">
        <v>363</v>
      </c>
      <c r="AN256" s="137" t="s">
        <v>114</v>
      </c>
      <c r="AO256" s="141">
        <v>89872</v>
      </c>
      <c r="AP256" s="139" t="s">
        <v>158</v>
      </c>
      <c r="AQ256" s="142" t="s">
        <v>1607</v>
      </c>
    </row>
    <row r="257" spans="1:43" x14ac:dyDescent="0.25">
      <c r="A257" s="44" t="s">
        <v>97</v>
      </c>
      <c r="B257" s="39" t="s">
        <v>86</v>
      </c>
      <c r="C257" s="39" t="s">
        <v>1338</v>
      </c>
      <c r="D257" s="39" t="s">
        <v>1342</v>
      </c>
      <c r="E257" s="39" t="s">
        <v>40</v>
      </c>
      <c r="F257" s="39" t="s">
        <v>52</v>
      </c>
      <c r="G257" s="39" t="s">
        <v>52</v>
      </c>
      <c r="H257" s="39" t="s">
        <v>52</v>
      </c>
      <c r="I257" s="39" t="s">
        <v>52</v>
      </c>
      <c r="J257" s="39" t="s">
        <v>52</v>
      </c>
      <c r="K257" s="39" t="s">
        <v>40</v>
      </c>
      <c r="L257" s="135"/>
      <c r="M257" s="45" t="s">
        <v>367</v>
      </c>
      <c r="N257" s="39" t="s">
        <v>1605</v>
      </c>
      <c r="O257" s="39">
        <v>0</v>
      </c>
      <c r="P257" s="39">
        <v>0</v>
      </c>
      <c r="Q257" s="39">
        <v>0</v>
      </c>
      <c r="R257" s="39">
        <v>0</v>
      </c>
      <c r="S257" s="39">
        <v>0</v>
      </c>
      <c r="T257" s="39">
        <v>0</v>
      </c>
      <c r="U257" s="39">
        <v>0</v>
      </c>
      <c r="V257" s="39">
        <v>0</v>
      </c>
      <c r="W257" s="39">
        <v>648036</v>
      </c>
      <c r="X257" s="39">
        <v>88040</v>
      </c>
      <c r="Y257" s="39">
        <v>1664812</v>
      </c>
      <c r="Z257" s="39" t="s">
        <v>118</v>
      </c>
      <c r="AA257" s="39" t="s">
        <v>119</v>
      </c>
      <c r="AB257" s="39" t="e">
        <v>#N/A</v>
      </c>
      <c r="AC257" s="39" t="e">
        <v>#N/A</v>
      </c>
      <c r="AD257" s="39" t="s">
        <v>1343</v>
      </c>
      <c r="AE257" s="39" t="s">
        <v>1344</v>
      </c>
      <c r="AF257" s="136">
        <v>43943</v>
      </c>
      <c r="AG257" s="39" t="s">
        <v>1345</v>
      </c>
      <c r="AH257" s="39">
        <v>37997844</v>
      </c>
      <c r="AI257" s="39" t="s">
        <v>1346</v>
      </c>
      <c r="AJ257" s="46">
        <v>43942</v>
      </c>
      <c r="AK257" s="46">
        <v>43942</v>
      </c>
      <c r="AL257" s="47">
        <v>43943</v>
      </c>
      <c r="AM257" s="39">
        <v>128</v>
      </c>
      <c r="AN257" s="137" t="s">
        <v>114</v>
      </c>
      <c r="AO257" s="141">
        <v>89956</v>
      </c>
      <c r="AP257" s="139" t="s">
        <v>158</v>
      </c>
      <c r="AQ257" s="142" t="s">
        <v>1606</v>
      </c>
    </row>
    <row r="258" spans="1:43" x14ac:dyDescent="0.25">
      <c r="A258" s="44" t="s">
        <v>97</v>
      </c>
      <c r="B258" s="39" t="s">
        <v>86</v>
      </c>
      <c r="C258" s="39" t="s">
        <v>1347</v>
      </c>
      <c r="D258" s="39" t="s">
        <v>1348</v>
      </c>
      <c r="E258" s="39" t="s">
        <v>40</v>
      </c>
      <c r="F258" s="39" t="s">
        <v>131</v>
      </c>
      <c r="G258" s="39" t="s">
        <v>131</v>
      </c>
      <c r="H258" s="39" t="s">
        <v>131</v>
      </c>
      <c r="I258" s="39" t="s">
        <v>131</v>
      </c>
      <c r="J258" s="39" t="s">
        <v>131</v>
      </c>
      <c r="K258" s="39" t="s">
        <v>40</v>
      </c>
      <c r="L258" s="135"/>
      <c r="M258" s="45"/>
      <c r="N258" s="39" t="s">
        <v>1605</v>
      </c>
      <c r="O258" s="39">
        <v>0</v>
      </c>
      <c r="P258" s="39">
        <v>6</v>
      </c>
      <c r="Q258" s="39">
        <v>6</v>
      </c>
      <c r="R258" s="39">
        <v>6</v>
      </c>
      <c r="S258" s="39">
        <v>6</v>
      </c>
      <c r="T258" s="39">
        <v>6</v>
      </c>
      <c r="U258" s="39">
        <v>0</v>
      </c>
      <c r="V258" s="39">
        <v>30</v>
      </c>
      <c r="W258" s="39">
        <v>648304</v>
      </c>
      <c r="X258" s="39">
        <v>87686</v>
      </c>
      <c r="Y258" s="39">
        <v>3526354</v>
      </c>
      <c r="Z258" s="39" t="s">
        <v>146</v>
      </c>
      <c r="AA258" s="39" t="s">
        <v>848</v>
      </c>
      <c r="AB258" s="39" t="e">
        <v>#N/A</v>
      </c>
      <c r="AC258" s="39" t="e">
        <v>#N/A</v>
      </c>
      <c r="AD258" s="39" t="s">
        <v>1349</v>
      </c>
      <c r="AE258" s="39" t="s">
        <v>1350</v>
      </c>
      <c r="AF258" s="136">
        <v>43955</v>
      </c>
      <c r="AG258" s="39" t="s">
        <v>1351</v>
      </c>
      <c r="AH258" s="39">
        <v>41950744</v>
      </c>
      <c r="AI258" s="39">
        <v>27419507445</v>
      </c>
      <c r="AJ258" s="46">
        <v>43745</v>
      </c>
      <c r="AK258" s="46">
        <v>43945</v>
      </c>
      <c r="AL258" s="47">
        <v>43956</v>
      </c>
      <c r="AM258" s="39">
        <v>322</v>
      </c>
      <c r="AN258" s="137" t="s">
        <v>114</v>
      </c>
      <c r="AO258" s="141">
        <v>89985</v>
      </c>
      <c r="AP258" s="139" t="s">
        <v>158</v>
      </c>
      <c r="AQ258" s="142" t="s">
        <v>1607</v>
      </c>
    </row>
    <row r="259" spans="1:43" x14ac:dyDescent="0.25">
      <c r="A259" s="42" t="s">
        <v>97</v>
      </c>
      <c r="B259" s="41" t="s">
        <v>86</v>
      </c>
      <c r="C259" s="41" t="s">
        <v>1352</v>
      </c>
      <c r="D259" s="41" t="s">
        <v>1353</v>
      </c>
      <c r="E259" s="41" t="s">
        <v>40</v>
      </c>
      <c r="F259" s="41" t="s">
        <v>52</v>
      </c>
      <c r="G259" s="41" t="s">
        <v>52</v>
      </c>
      <c r="H259" s="41" t="s">
        <v>52</v>
      </c>
      <c r="I259" s="41" t="s">
        <v>131</v>
      </c>
      <c r="J259" s="41" t="s">
        <v>131</v>
      </c>
      <c r="K259" s="41" t="s">
        <v>40</v>
      </c>
      <c r="L259" s="135"/>
      <c r="M259" s="45" t="s">
        <v>1617</v>
      </c>
      <c r="N259" s="39" t="s">
        <v>1605</v>
      </c>
      <c r="O259" s="39">
        <v>0</v>
      </c>
      <c r="P259" s="39">
        <v>0</v>
      </c>
      <c r="Q259" s="39">
        <v>0</v>
      </c>
      <c r="R259" s="39">
        <v>0</v>
      </c>
      <c r="S259" s="39">
        <v>6</v>
      </c>
      <c r="T259" s="39">
        <v>6</v>
      </c>
      <c r="U259" s="39">
        <v>0</v>
      </c>
      <c r="V259" s="39">
        <v>12</v>
      </c>
      <c r="W259" s="39">
        <v>89022</v>
      </c>
      <c r="X259" s="39">
        <v>85620</v>
      </c>
      <c r="Y259" s="39">
        <v>2873657</v>
      </c>
      <c r="Z259" s="39" t="s">
        <v>109</v>
      </c>
      <c r="AA259" s="39" t="s">
        <v>1354</v>
      </c>
      <c r="AB259" s="39" t="e">
        <v>#N/A</v>
      </c>
      <c r="AC259" s="39" t="e">
        <v>#N/A</v>
      </c>
      <c r="AD259" s="39" t="s">
        <v>1355</v>
      </c>
      <c r="AE259" s="39" t="s">
        <v>1356</v>
      </c>
      <c r="AF259" s="136">
        <v>43945</v>
      </c>
      <c r="AG259" s="39" t="s">
        <v>1357</v>
      </c>
      <c r="AH259" s="39">
        <v>41694320</v>
      </c>
      <c r="AI259" s="39">
        <v>20416943207</v>
      </c>
      <c r="AJ259" s="46">
        <v>43227</v>
      </c>
      <c r="AK259" s="46">
        <v>43259</v>
      </c>
      <c r="AL259" s="47">
        <v>43262</v>
      </c>
      <c r="AM259" s="39">
        <v>832</v>
      </c>
      <c r="AN259" s="137" t="s">
        <v>114</v>
      </c>
      <c r="AO259" s="141">
        <v>89943</v>
      </c>
      <c r="AP259" s="139" t="s">
        <v>158</v>
      </c>
      <c r="AQ259" s="142" t="s">
        <v>1607</v>
      </c>
    </row>
    <row r="260" spans="1:43" x14ac:dyDescent="0.25">
      <c r="A260" s="44" t="s">
        <v>97</v>
      </c>
      <c r="B260" s="39" t="s">
        <v>86</v>
      </c>
      <c r="C260" s="39" t="s">
        <v>1358</v>
      </c>
      <c r="D260" s="39" t="s">
        <v>1359</v>
      </c>
      <c r="E260" s="39" t="s">
        <v>40</v>
      </c>
      <c r="F260" s="39" t="s">
        <v>108</v>
      </c>
      <c r="G260" s="39" t="s">
        <v>108</v>
      </c>
      <c r="H260" s="39" t="s">
        <v>108</v>
      </c>
      <c r="I260" s="39" t="s">
        <v>108</v>
      </c>
      <c r="J260" s="39" t="s">
        <v>108</v>
      </c>
      <c r="K260" s="39" t="s">
        <v>40</v>
      </c>
      <c r="L260" s="135"/>
      <c r="M260" s="45"/>
      <c r="N260" s="39" t="s">
        <v>1605</v>
      </c>
      <c r="O260" s="39">
        <v>0</v>
      </c>
      <c r="P260" s="39">
        <v>5.0000000000000009</v>
      </c>
      <c r="Q260" s="39">
        <v>5.0000000000000009</v>
      </c>
      <c r="R260" s="39">
        <v>5.0000000000000009</v>
      </c>
      <c r="S260" s="39">
        <v>5.0000000000000009</v>
      </c>
      <c r="T260" s="39">
        <v>5.0000000000000009</v>
      </c>
      <c r="U260" s="39">
        <v>0</v>
      </c>
      <c r="V260" s="39">
        <v>25.000000000000004</v>
      </c>
      <c r="W260" s="39">
        <v>89328</v>
      </c>
      <c r="X260" s="39">
        <v>88358</v>
      </c>
      <c r="Y260" s="39">
        <v>3667099</v>
      </c>
      <c r="Z260" s="39" t="s">
        <v>119</v>
      </c>
      <c r="AA260" s="39" t="s">
        <v>119</v>
      </c>
      <c r="AB260" s="39" t="e">
        <v>#N/A</v>
      </c>
      <c r="AC260" s="39" t="e">
        <v>#N/A</v>
      </c>
      <c r="AD260" s="39"/>
      <c r="AE260" s="39" t="s">
        <v>1360</v>
      </c>
      <c r="AF260" s="136"/>
      <c r="AG260" s="39"/>
      <c r="AH260" s="39">
        <v>42467280</v>
      </c>
      <c r="AI260" s="39" t="s">
        <v>1361</v>
      </c>
      <c r="AJ260" s="46">
        <v>44026</v>
      </c>
      <c r="AK260" s="46">
        <v>44026</v>
      </c>
      <c r="AL260" s="47">
        <v>44029</v>
      </c>
      <c r="AM260" s="39">
        <v>45</v>
      </c>
      <c r="AN260" s="137" t="s">
        <v>114</v>
      </c>
      <c r="AO260" s="141"/>
      <c r="AP260" s="139" t="s">
        <v>158</v>
      </c>
      <c r="AQ260" s="142" t="s">
        <v>1606</v>
      </c>
    </row>
    <row r="261" spans="1:43" x14ac:dyDescent="0.25">
      <c r="A261" s="44" t="s">
        <v>97</v>
      </c>
      <c r="B261" s="39" t="s">
        <v>86</v>
      </c>
      <c r="C261" s="39" t="s">
        <v>1362</v>
      </c>
      <c r="D261" s="39" t="s">
        <v>1363</v>
      </c>
      <c r="E261" s="39" t="s">
        <v>40</v>
      </c>
      <c r="F261" s="39" t="s">
        <v>131</v>
      </c>
      <c r="G261" s="39" t="s">
        <v>131</v>
      </c>
      <c r="H261" s="39" t="s">
        <v>131</v>
      </c>
      <c r="I261" s="39" t="s">
        <v>131</v>
      </c>
      <c r="J261" s="39" t="s">
        <v>131</v>
      </c>
      <c r="K261" s="39" t="s">
        <v>40</v>
      </c>
      <c r="L261" s="135"/>
      <c r="M261" s="45"/>
      <c r="N261" s="39" t="s">
        <v>1605</v>
      </c>
      <c r="O261" s="39">
        <v>0</v>
      </c>
      <c r="P261" s="39">
        <v>6</v>
      </c>
      <c r="Q261" s="39">
        <v>6</v>
      </c>
      <c r="R261" s="39">
        <v>6</v>
      </c>
      <c r="S261" s="39">
        <v>6</v>
      </c>
      <c r="T261" s="39">
        <v>6</v>
      </c>
      <c r="U261" s="39">
        <v>0</v>
      </c>
      <c r="V261" s="39">
        <v>30</v>
      </c>
      <c r="W261" s="39">
        <v>89007</v>
      </c>
      <c r="X261" s="39">
        <v>83376</v>
      </c>
      <c r="Y261" s="39">
        <v>2453507</v>
      </c>
      <c r="Z261" s="39" t="s">
        <v>139</v>
      </c>
      <c r="AA261" s="39" t="s">
        <v>1364</v>
      </c>
      <c r="AB261" s="39" t="e">
        <v>#N/A</v>
      </c>
      <c r="AC261" s="39" t="e">
        <v>#N/A</v>
      </c>
      <c r="AD261" s="39" t="s">
        <v>1365</v>
      </c>
      <c r="AE261" s="39" t="s">
        <v>1366</v>
      </c>
      <c r="AF261" s="136">
        <v>43915</v>
      </c>
      <c r="AG261" s="39" t="s">
        <v>1367</v>
      </c>
      <c r="AH261" s="39">
        <v>40533169</v>
      </c>
      <c r="AI261" s="39">
        <v>27405331697</v>
      </c>
      <c r="AJ261" s="46">
        <v>42828</v>
      </c>
      <c r="AK261" s="46">
        <v>43259</v>
      </c>
      <c r="AL261" s="47">
        <v>43262</v>
      </c>
      <c r="AM261" s="39">
        <v>1226</v>
      </c>
      <c r="AN261" s="137" t="s">
        <v>114</v>
      </c>
      <c r="AO261" s="141">
        <v>89927</v>
      </c>
      <c r="AP261" s="139" t="s">
        <v>158</v>
      </c>
      <c r="AQ261" s="142" t="s">
        <v>1607</v>
      </c>
    </row>
    <row r="262" spans="1:43" x14ac:dyDescent="0.25">
      <c r="A262" s="44" t="s">
        <v>97</v>
      </c>
      <c r="B262" s="39" t="s">
        <v>86</v>
      </c>
      <c r="C262" s="39" t="s">
        <v>829</v>
      </c>
      <c r="D262" s="39" t="s">
        <v>1368</v>
      </c>
      <c r="E262" s="39" t="s">
        <v>40</v>
      </c>
      <c r="F262" s="39" t="s">
        <v>108</v>
      </c>
      <c r="G262" s="39" t="s">
        <v>108</v>
      </c>
      <c r="H262" s="39" t="s">
        <v>108</v>
      </c>
      <c r="I262" s="39" t="s">
        <v>108</v>
      </c>
      <c r="J262" s="39" t="s">
        <v>108</v>
      </c>
      <c r="K262" s="39" t="s">
        <v>40</v>
      </c>
      <c r="L262" s="135"/>
      <c r="M262" s="45"/>
      <c r="N262" s="39" t="s">
        <v>1605</v>
      </c>
      <c r="O262" s="39">
        <v>0</v>
      </c>
      <c r="P262" s="39">
        <v>5.0000000000000009</v>
      </c>
      <c r="Q262" s="39">
        <v>5.0000000000000009</v>
      </c>
      <c r="R262" s="39">
        <v>5.0000000000000009</v>
      </c>
      <c r="S262" s="39">
        <v>5.0000000000000009</v>
      </c>
      <c r="T262" s="39">
        <v>5.0000000000000009</v>
      </c>
      <c r="U262" s="39">
        <v>0</v>
      </c>
      <c r="V262" s="39">
        <v>25.000000000000004</v>
      </c>
      <c r="W262" s="39">
        <v>89209</v>
      </c>
      <c r="X262" s="39">
        <v>87053</v>
      </c>
      <c r="Y262" s="39">
        <v>3409633</v>
      </c>
      <c r="Z262" s="39" t="s">
        <v>146</v>
      </c>
      <c r="AA262" s="39" t="s">
        <v>119</v>
      </c>
      <c r="AB262" s="39" t="e">
        <v>#N/A</v>
      </c>
      <c r="AC262" s="39" t="e">
        <v>#N/A</v>
      </c>
      <c r="AD262" s="39" t="s">
        <v>1369</v>
      </c>
      <c r="AE262" s="39" t="s">
        <v>1370</v>
      </c>
      <c r="AF262" s="136">
        <v>44029</v>
      </c>
      <c r="AG262" s="39" t="s">
        <v>1371</v>
      </c>
      <c r="AH262" s="39">
        <v>41495251</v>
      </c>
      <c r="AI262" s="39" t="s">
        <v>1372</v>
      </c>
      <c r="AJ262" s="46">
        <v>43668</v>
      </c>
      <c r="AK262" s="46">
        <v>43669</v>
      </c>
      <c r="AL262" s="47">
        <v>43678</v>
      </c>
      <c r="AM262" s="39">
        <v>397</v>
      </c>
      <c r="AN262" s="137" t="s">
        <v>114</v>
      </c>
      <c r="AO262" s="141"/>
      <c r="AP262" s="139" t="s">
        <v>158</v>
      </c>
      <c r="AQ262" s="142" t="s">
        <v>1611</v>
      </c>
    </row>
    <row r="263" spans="1:43" x14ac:dyDescent="0.25">
      <c r="A263" s="44" t="s">
        <v>97</v>
      </c>
      <c r="B263" s="39" t="s">
        <v>86</v>
      </c>
      <c r="C263" s="39" t="s">
        <v>544</v>
      </c>
      <c r="D263" s="39" t="s">
        <v>1373</v>
      </c>
      <c r="E263" s="39" t="s">
        <v>40</v>
      </c>
      <c r="F263" s="39" t="s">
        <v>52</v>
      </c>
      <c r="G263" s="39" t="s">
        <v>52</v>
      </c>
      <c r="H263" s="39" t="s">
        <v>52</v>
      </c>
      <c r="I263" s="39" t="s">
        <v>52</v>
      </c>
      <c r="J263" s="39" t="s">
        <v>52</v>
      </c>
      <c r="K263" s="39" t="s">
        <v>40</v>
      </c>
      <c r="L263" s="135"/>
      <c r="M263" s="45" t="s">
        <v>374</v>
      </c>
      <c r="N263" s="39" t="s">
        <v>1605</v>
      </c>
      <c r="O263" s="39">
        <v>0</v>
      </c>
      <c r="P263" s="39">
        <v>0</v>
      </c>
      <c r="Q263" s="39">
        <v>0</v>
      </c>
      <c r="R263" s="39">
        <v>0</v>
      </c>
      <c r="S263" s="39">
        <v>0</v>
      </c>
      <c r="T263" s="39">
        <v>0</v>
      </c>
      <c r="U263" s="39">
        <v>0</v>
      </c>
      <c r="V263" s="39">
        <v>0</v>
      </c>
      <c r="W263" s="39">
        <v>89300</v>
      </c>
      <c r="X263" s="39">
        <v>88161</v>
      </c>
      <c r="Y263" s="39">
        <v>3624113</v>
      </c>
      <c r="Z263" s="39" t="s">
        <v>146</v>
      </c>
      <c r="AA263" s="39" t="s">
        <v>119</v>
      </c>
      <c r="AB263" s="39" t="e">
        <v>#N/A</v>
      </c>
      <c r="AC263" s="39" t="e">
        <v>#N/A</v>
      </c>
      <c r="AD263" s="39" t="s">
        <v>1374</v>
      </c>
      <c r="AE263" s="39" t="s">
        <v>1375</v>
      </c>
      <c r="AF263" s="136">
        <v>43919</v>
      </c>
      <c r="AG263" s="39"/>
      <c r="AH263" s="39">
        <v>34285532</v>
      </c>
      <c r="AI263" s="39">
        <v>27342855321</v>
      </c>
      <c r="AJ263" s="46">
        <v>43808</v>
      </c>
      <c r="AK263" s="46">
        <v>43808</v>
      </c>
      <c r="AL263" s="47">
        <v>43831</v>
      </c>
      <c r="AM263" s="39">
        <v>260</v>
      </c>
      <c r="AN263" s="137" t="s">
        <v>114</v>
      </c>
      <c r="AO263" s="141">
        <v>89878</v>
      </c>
      <c r="AP263" s="139" t="s">
        <v>158</v>
      </c>
      <c r="AQ263" s="142" t="s">
        <v>1607</v>
      </c>
    </row>
    <row r="264" spans="1:43" x14ac:dyDescent="0.25">
      <c r="A264" s="44" t="s">
        <v>97</v>
      </c>
      <c r="B264" s="39" t="s">
        <v>86</v>
      </c>
      <c r="C264" s="39" t="s">
        <v>544</v>
      </c>
      <c r="D264" s="39" t="s">
        <v>1376</v>
      </c>
      <c r="E264" s="39" t="s">
        <v>40</v>
      </c>
      <c r="F264" s="39" t="s">
        <v>131</v>
      </c>
      <c r="G264" s="39" t="s">
        <v>131</v>
      </c>
      <c r="H264" s="39" t="s">
        <v>131</v>
      </c>
      <c r="I264" s="39" t="s">
        <v>131</v>
      </c>
      <c r="J264" s="39" t="s">
        <v>131</v>
      </c>
      <c r="K264" s="39" t="s">
        <v>40</v>
      </c>
      <c r="L264" s="135"/>
      <c r="M264" s="45"/>
      <c r="N264" s="39" t="s">
        <v>1605</v>
      </c>
      <c r="O264" s="39">
        <v>0</v>
      </c>
      <c r="P264" s="39">
        <v>6</v>
      </c>
      <c r="Q264" s="39">
        <v>6</v>
      </c>
      <c r="R264" s="39">
        <v>6</v>
      </c>
      <c r="S264" s="39">
        <v>6</v>
      </c>
      <c r="T264" s="39">
        <v>6</v>
      </c>
      <c r="U264" s="39">
        <v>0</v>
      </c>
      <c r="V264" s="39">
        <v>30</v>
      </c>
      <c r="W264" s="143">
        <v>89238</v>
      </c>
      <c r="X264" s="39">
        <v>87299</v>
      </c>
      <c r="Y264" s="39">
        <v>3295607</v>
      </c>
      <c r="Z264" s="39" t="s">
        <v>146</v>
      </c>
      <c r="AA264" s="39" t="s">
        <v>119</v>
      </c>
      <c r="AB264" s="39" t="e">
        <v>#N/A</v>
      </c>
      <c r="AC264" s="39" t="e">
        <v>#N/A</v>
      </c>
      <c r="AD264" s="39" t="s">
        <v>1377</v>
      </c>
      <c r="AE264" s="39" t="s">
        <v>1378</v>
      </c>
      <c r="AF264" s="136">
        <v>43916</v>
      </c>
      <c r="AG264" s="39">
        <v>3813397461</v>
      </c>
      <c r="AH264" s="39">
        <v>43002203</v>
      </c>
      <c r="AI264" s="39">
        <v>27430022038</v>
      </c>
      <c r="AJ264" s="46">
        <v>43703</v>
      </c>
      <c r="AK264" s="46">
        <v>43703</v>
      </c>
      <c r="AL264" s="47">
        <v>43713</v>
      </c>
      <c r="AM264" s="39">
        <v>363</v>
      </c>
      <c r="AN264" s="137" t="s">
        <v>114</v>
      </c>
      <c r="AO264" s="141">
        <v>89877</v>
      </c>
      <c r="AP264" s="139" t="s">
        <v>158</v>
      </c>
      <c r="AQ264" s="142" t="s">
        <v>1607</v>
      </c>
    </row>
    <row r="265" spans="1:43" x14ac:dyDescent="0.25">
      <c r="A265" s="44" t="s">
        <v>97</v>
      </c>
      <c r="B265" s="39" t="s">
        <v>86</v>
      </c>
      <c r="C265" s="39" t="s">
        <v>1379</v>
      </c>
      <c r="D265" s="39" t="s">
        <v>1380</v>
      </c>
      <c r="E265" s="39" t="s">
        <v>40</v>
      </c>
      <c r="F265" s="39" t="s">
        <v>131</v>
      </c>
      <c r="G265" s="39" t="s">
        <v>131</v>
      </c>
      <c r="H265" s="39" t="s">
        <v>131</v>
      </c>
      <c r="I265" s="39" t="s">
        <v>131</v>
      </c>
      <c r="J265" s="39" t="s">
        <v>131</v>
      </c>
      <c r="K265" s="39" t="s">
        <v>40</v>
      </c>
      <c r="L265" s="135"/>
      <c r="M265" s="45"/>
      <c r="N265" s="39" t="s">
        <v>1605</v>
      </c>
      <c r="O265" s="39">
        <v>0</v>
      </c>
      <c r="P265" s="39">
        <v>6</v>
      </c>
      <c r="Q265" s="39">
        <v>6</v>
      </c>
      <c r="R265" s="39">
        <v>6</v>
      </c>
      <c r="S265" s="39">
        <v>6</v>
      </c>
      <c r="T265" s="39">
        <v>6</v>
      </c>
      <c r="U265" s="39">
        <v>0</v>
      </c>
      <c r="V265" s="39">
        <v>30</v>
      </c>
      <c r="W265" s="39">
        <v>89187</v>
      </c>
      <c r="X265" s="39">
        <v>86336</v>
      </c>
      <c r="Y265" s="39">
        <v>3138449</v>
      </c>
      <c r="Z265" s="39" t="s">
        <v>109</v>
      </c>
      <c r="AA265" s="39" t="s">
        <v>109</v>
      </c>
      <c r="AB265" s="39" t="e">
        <v>#N/A</v>
      </c>
      <c r="AC265" s="39" t="e">
        <v>#N/A</v>
      </c>
      <c r="AD265" s="39" t="s">
        <v>1381</v>
      </c>
      <c r="AE265" s="39" t="s">
        <v>1382</v>
      </c>
      <c r="AF265" s="136">
        <v>43945</v>
      </c>
      <c r="AG265" s="39" t="s">
        <v>1383</v>
      </c>
      <c r="AH265" s="39">
        <v>42797032</v>
      </c>
      <c r="AI265" s="39">
        <v>23427970329</v>
      </c>
      <c r="AJ265" s="46">
        <v>43460</v>
      </c>
      <c r="AK265" s="46">
        <v>43460</v>
      </c>
      <c r="AL265" s="47">
        <v>43476</v>
      </c>
      <c r="AM265" s="39">
        <v>603</v>
      </c>
      <c r="AN265" s="137" t="s">
        <v>114</v>
      </c>
      <c r="AO265" s="141">
        <v>89931</v>
      </c>
      <c r="AP265" s="139" t="s">
        <v>158</v>
      </c>
      <c r="AQ265" s="142" t="s">
        <v>1607</v>
      </c>
    </row>
    <row r="266" spans="1:43" x14ac:dyDescent="0.25">
      <c r="A266" s="44" t="s">
        <v>97</v>
      </c>
      <c r="B266" s="39" t="s">
        <v>86</v>
      </c>
      <c r="C266" s="39" t="s">
        <v>1384</v>
      </c>
      <c r="D266" s="39" t="s">
        <v>1385</v>
      </c>
      <c r="E266" s="39" t="s">
        <v>40</v>
      </c>
      <c r="F266" s="39" t="s">
        <v>108</v>
      </c>
      <c r="G266" s="39" t="s">
        <v>108</v>
      </c>
      <c r="H266" s="39" t="s">
        <v>108</v>
      </c>
      <c r="I266" s="39" t="s">
        <v>108</v>
      </c>
      <c r="J266" s="39" t="s">
        <v>108</v>
      </c>
      <c r="K266" s="39" t="s">
        <v>40</v>
      </c>
      <c r="L266" s="135"/>
      <c r="M266" s="45"/>
      <c r="N266" s="39" t="s">
        <v>1605</v>
      </c>
      <c r="O266" s="39">
        <v>0</v>
      </c>
      <c r="P266" s="39">
        <v>5.0000000000000009</v>
      </c>
      <c r="Q266" s="39">
        <v>5.0000000000000009</v>
      </c>
      <c r="R266" s="39">
        <v>5.0000000000000009</v>
      </c>
      <c r="S266" s="39">
        <v>5.0000000000000009</v>
      </c>
      <c r="T266" s="39">
        <v>5.0000000000000009</v>
      </c>
      <c r="U266" s="39">
        <v>0</v>
      </c>
      <c r="V266" s="39">
        <v>25.000000000000004</v>
      </c>
      <c r="W266" s="39">
        <v>89326</v>
      </c>
      <c r="X266" s="39">
        <v>88356</v>
      </c>
      <c r="Y266" s="39">
        <v>3667097</v>
      </c>
      <c r="Z266" s="39" t="s">
        <v>119</v>
      </c>
      <c r="AA266" s="39" t="s">
        <v>119</v>
      </c>
      <c r="AB266" s="39" t="e">
        <v>#N/A</v>
      </c>
      <c r="AC266" s="39" t="e">
        <v>#N/A</v>
      </c>
      <c r="AD266" s="39"/>
      <c r="AE266" s="39" t="s">
        <v>1386</v>
      </c>
      <c r="AF266" s="136"/>
      <c r="AG266" s="39"/>
      <c r="AH266" s="39">
        <v>40356980</v>
      </c>
      <c r="AI266" s="39" t="s">
        <v>1387</v>
      </c>
      <c r="AJ266" s="46">
        <v>44026</v>
      </c>
      <c r="AK266" s="46">
        <v>44026</v>
      </c>
      <c r="AL266" s="47">
        <v>44029</v>
      </c>
      <c r="AM266" s="39">
        <v>45</v>
      </c>
      <c r="AN266" s="137" t="s">
        <v>114</v>
      </c>
      <c r="AO266" s="141"/>
      <c r="AP266" s="139" t="s">
        <v>158</v>
      </c>
      <c r="AQ266" s="142" t="s">
        <v>1606</v>
      </c>
    </row>
    <row r="267" spans="1:43" x14ac:dyDescent="0.25">
      <c r="A267" s="42" t="s">
        <v>97</v>
      </c>
      <c r="B267" s="41" t="s">
        <v>86</v>
      </c>
      <c r="C267" s="41" t="s">
        <v>1388</v>
      </c>
      <c r="D267" s="41" t="s">
        <v>1389</v>
      </c>
      <c r="E267" s="41" t="s">
        <v>40</v>
      </c>
      <c r="F267" s="41" t="s">
        <v>52</v>
      </c>
      <c r="G267" s="41" t="s">
        <v>52</v>
      </c>
      <c r="H267" s="41" t="s">
        <v>52</v>
      </c>
      <c r="I267" s="41" t="s">
        <v>131</v>
      </c>
      <c r="J267" s="41" t="s">
        <v>131</v>
      </c>
      <c r="K267" s="41" t="s">
        <v>40</v>
      </c>
      <c r="L267" s="135"/>
      <c r="M267" s="45" t="s">
        <v>1617</v>
      </c>
      <c r="N267" s="39" t="s">
        <v>1605</v>
      </c>
      <c r="O267" s="39">
        <v>0</v>
      </c>
      <c r="P267" s="39">
        <v>0</v>
      </c>
      <c r="Q267" s="39">
        <v>0</v>
      </c>
      <c r="R267" s="39">
        <v>0</v>
      </c>
      <c r="S267" s="39">
        <v>6</v>
      </c>
      <c r="T267" s="39">
        <v>6</v>
      </c>
      <c r="U267" s="39">
        <v>0</v>
      </c>
      <c r="V267" s="39">
        <v>12</v>
      </c>
      <c r="W267" s="39">
        <v>89101</v>
      </c>
      <c r="X267" s="39">
        <v>83362</v>
      </c>
      <c r="Y267" s="39">
        <v>2178550</v>
      </c>
      <c r="Z267" s="39" t="s">
        <v>109</v>
      </c>
      <c r="AA267" s="39" t="s">
        <v>109</v>
      </c>
      <c r="AB267" s="39" t="e">
        <v>#N/A</v>
      </c>
      <c r="AC267" s="39" t="e">
        <v>#N/A</v>
      </c>
      <c r="AD267" s="39" t="s">
        <v>1390</v>
      </c>
      <c r="AE267" s="39" t="s">
        <v>1391</v>
      </c>
      <c r="AF267" s="136">
        <v>43921</v>
      </c>
      <c r="AG267" s="39">
        <v>153048278</v>
      </c>
      <c r="AH267" s="39">
        <v>39975325</v>
      </c>
      <c r="AI267" s="39">
        <v>20399753253</v>
      </c>
      <c r="AJ267" s="46">
        <v>42828</v>
      </c>
      <c r="AK267" s="46">
        <v>43409</v>
      </c>
      <c r="AL267" s="47">
        <v>43423</v>
      </c>
      <c r="AM267" s="39">
        <v>1226</v>
      </c>
      <c r="AN267" s="137" t="s">
        <v>114</v>
      </c>
      <c r="AO267" s="141">
        <v>89936</v>
      </c>
      <c r="AP267" s="139" t="s">
        <v>158</v>
      </c>
      <c r="AQ267" s="142" t="s">
        <v>1607</v>
      </c>
    </row>
    <row r="268" spans="1:43" x14ac:dyDescent="0.25">
      <c r="A268" s="44" t="s">
        <v>97</v>
      </c>
      <c r="B268" s="39" t="s">
        <v>86</v>
      </c>
      <c r="C268" s="39" t="s">
        <v>336</v>
      </c>
      <c r="D268" s="39" t="s">
        <v>1392</v>
      </c>
      <c r="E268" s="39" t="s">
        <v>40</v>
      </c>
      <c r="F268" s="39" t="s">
        <v>131</v>
      </c>
      <c r="G268" s="39" t="s">
        <v>131</v>
      </c>
      <c r="H268" s="39" t="s">
        <v>131</v>
      </c>
      <c r="I268" s="39" t="s">
        <v>131</v>
      </c>
      <c r="J268" s="39" t="s">
        <v>131</v>
      </c>
      <c r="K268" s="39" t="s">
        <v>40</v>
      </c>
      <c r="L268" s="135"/>
      <c r="M268" s="45"/>
      <c r="N268" s="39" t="s">
        <v>1605</v>
      </c>
      <c r="O268" s="39">
        <v>0</v>
      </c>
      <c r="P268" s="39">
        <v>6</v>
      </c>
      <c r="Q268" s="39">
        <v>6</v>
      </c>
      <c r="R268" s="39">
        <v>6</v>
      </c>
      <c r="S268" s="39">
        <v>6</v>
      </c>
      <c r="T268" s="39">
        <v>6</v>
      </c>
      <c r="U268" s="39">
        <v>0</v>
      </c>
      <c r="V268" s="39">
        <v>30</v>
      </c>
      <c r="W268" s="39">
        <v>89231</v>
      </c>
      <c r="X268" s="39">
        <v>87313</v>
      </c>
      <c r="Y268" s="39">
        <v>2001850</v>
      </c>
      <c r="Z268" s="39" t="s">
        <v>109</v>
      </c>
      <c r="AA268" s="39" t="s">
        <v>109</v>
      </c>
      <c r="AB268" s="39" t="e">
        <v>#N/A</v>
      </c>
      <c r="AC268" s="39" t="e">
        <v>#N/A</v>
      </c>
      <c r="AD268" s="39" t="s">
        <v>1393</v>
      </c>
      <c r="AE268" s="39" t="s">
        <v>1394</v>
      </c>
      <c r="AF268" s="136">
        <v>44033</v>
      </c>
      <c r="AG268" s="39">
        <v>3816699242</v>
      </c>
      <c r="AH268" s="39">
        <v>37658363</v>
      </c>
      <c r="AI268" s="39" t="s">
        <v>1395</v>
      </c>
      <c r="AJ268" s="46">
        <v>43703</v>
      </c>
      <c r="AK268" s="46">
        <v>43703</v>
      </c>
      <c r="AL268" s="47">
        <v>43713</v>
      </c>
      <c r="AM268" s="39">
        <v>363</v>
      </c>
      <c r="AN268" s="137" t="s">
        <v>114</v>
      </c>
      <c r="AO268" s="141"/>
      <c r="AP268" s="139" t="s">
        <v>158</v>
      </c>
      <c r="AQ268" s="142" t="s">
        <v>1611</v>
      </c>
    </row>
    <row r="269" spans="1:43" x14ac:dyDescent="0.25">
      <c r="A269" s="44" t="s">
        <v>97</v>
      </c>
      <c r="B269" s="39" t="s">
        <v>87</v>
      </c>
      <c r="C269" s="39" t="s">
        <v>1396</v>
      </c>
      <c r="D269" s="39" t="s">
        <v>1397</v>
      </c>
      <c r="E269" s="39" t="s">
        <v>40</v>
      </c>
      <c r="F269" s="39" t="s">
        <v>420</v>
      </c>
      <c r="G269" s="39" t="s">
        <v>420</v>
      </c>
      <c r="H269" s="39" t="s">
        <v>420</v>
      </c>
      <c r="I269" s="39" t="s">
        <v>420</v>
      </c>
      <c r="J269" s="39" t="s">
        <v>420</v>
      </c>
      <c r="K269" s="39" t="s">
        <v>40</v>
      </c>
      <c r="L269" s="135"/>
      <c r="M269" s="45"/>
      <c r="N269" s="39" t="s">
        <v>1605</v>
      </c>
      <c r="O269" s="39">
        <v>0</v>
      </c>
      <c r="P269" s="39">
        <v>6</v>
      </c>
      <c r="Q269" s="39">
        <v>6</v>
      </c>
      <c r="R269" s="39">
        <v>6</v>
      </c>
      <c r="S269" s="39">
        <v>6</v>
      </c>
      <c r="T269" s="39">
        <v>6</v>
      </c>
      <c r="U269" s="39">
        <v>0</v>
      </c>
      <c r="V269" s="39">
        <v>30</v>
      </c>
      <c r="W269" s="143">
        <v>89223</v>
      </c>
      <c r="X269" s="39">
        <v>87320</v>
      </c>
      <c r="Y269" s="39">
        <v>3462531</v>
      </c>
      <c r="Z269" s="39" t="s">
        <v>109</v>
      </c>
      <c r="AA269" s="39" t="s">
        <v>109</v>
      </c>
      <c r="AB269" s="39">
        <v>81043</v>
      </c>
      <c r="AC269" s="39" t="e">
        <v>#N/A</v>
      </c>
      <c r="AD269" s="39" t="s">
        <v>1398</v>
      </c>
      <c r="AE269" s="39" t="s">
        <v>1399</v>
      </c>
      <c r="AF269" s="136">
        <v>43945</v>
      </c>
      <c r="AG269" s="39">
        <v>3814735728</v>
      </c>
      <c r="AH269" s="39">
        <v>39477028</v>
      </c>
      <c r="AI269" s="39" t="s">
        <v>1400</v>
      </c>
      <c r="AJ269" s="46">
        <v>43703</v>
      </c>
      <c r="AK269" s="46">
        <v>43703</v>
      </c>
      <c r="AL269" s="47">
        <v>43713</v>
      </c>
      <c r="AM269" s="39">
        <v>363</v>
      </c>
      <c r="AN269" s="137" t="s">
        <v>114</v>
      </c>
      <c r="AO269" s="141">
        <v>89885</v>
      </c>
      <c r="AP269" s="139" t="s">
        <v>115</v>
      </c>
      <c r="AQ269" s="142" t="s">
        <v>1611</v>
      </c>
    </row>
    <row r="270" spans="1:43" x14ac:dyDescent="0.25">
      <c r="A270" s="44" t="s">
        <v>97</v>
      </c>
      <c r="B270" s="39" t="s">
        <v>87</v>
      </c>
      <c r="C270" s="39" t="s">
        <v>1401</v>
      </c>
      <c r="D270" s="39" t="s">
        <v>1402</v>
      </c>
      <c r="E270" s="39" t="s">
        <v>40</v>
      </c>
      <c r="F270" s="39" t="s">
        <v>639</v>
      </c>
      <c r="G270" s="39" t="s">
        <v>639</v>
      </c>
      <c r="H270" s="39" t="s">
        <v>639</v>
      </c>
      <c r="I270" s="39" t="s">
        <v>639</v>
      </c>
      <c r="J270" s="39" t="s">
        <v>40</v>
      </c>
      <c r="K270" s="39" t="s">
        <v>40</v>
      </c>
      <c r="L270" s="135"/>
      <c r="M270" s="45"/>
      <c r="N270" s="39" t="s">
        <v>1605</v>
      </c>
      <c r="O270" s="39">
        <v>0</v>
      </c>
      <c r="P270" s="39">
        <v>5</v>
      </c>
      <c r="Q270" s="39">
        <v>5</v>
      </c>
      <c r="R270" s="39">
        <v>5</v>
      </c>
      <c r="S270" s="39">
        <v>5</v>
      </c>
      <c r="T270" s="39">
        <v>0</v>
      </c>
      <c r="U270" s="39">
        <v>0</v>
      </c>
      <c r="V270" s="39">
        <v>20</v>
      </c>
      <c r="W270" s="39">
        <v>89023</v>
      </c>
      <c r="X270" s="39">
        <v>85615</v>
      </c>
      <c r="Y270" s="39">
        <v>2646185</v>
      </c>
      <c r="Z270" s="39" t="s">
        <v>375</v>
      </c>
      <c r="AA270" s="39" t="s">
        <v>119</v>
      </c>
      <c r="AB270" s="39">
        <v>81043</v>
      </c>
      <c r="AC270" s="39" t="e">
        <v>#N/A</v>
      </c>
      <c r="AD270" s="39" t="s">
        <v>1403</v>
      </c>
      <c r="AE270" s="39" t="s">
        <v>1404</v>
      </c>
      <c r="AF270" s="136">
        <v>43912</v>
      </c>
      <c r="AG270" s="39" t="s">
        <v>1405</v>
      </c>
      <c r="AH270" s="39">
        <v>39355647</v>
      </c>
      <c r="AI270" s="39" t="s">
        <v>1406</v>
      </c>
      <c r="AJ270" s="46">
        <v>43227</v>
      </c>
      <c r="AK270" s="46">
        <v>43259</v>
      </c>
      <c r="AL270" s="47">
        <v>43262</v>
      </c>
      <c r="AM270" s="39">
        <v>832</v>
      </c>
      <c r="AN270" s="137" t="s">
        <v>114</v>
      </c>
      <c r="AO270" s="141">
        <v>89887</v>
      </c>
      <c r="AP270" s="139" t="s">
        <v>115</v>
      </c>
      <c r="AQ270" s="142" t="s">
        <v>1616</v>
      </c>
    </row>
    <row r="271" spans="1:43" x14ac:dyDescent="0.25">
      <c r="A271" s="44" t="s">
        <v>97</v>
      </c>
      <c r="B271" s="39" t="s">
        <v>87</v>
      </c>
      <c r="C271" s="39" t="s">
        <v>1407</v>
      </c>
      <c r="D271" s="39" t="s">
        <v>1408</v>
      </c>
      <c r="E271" s="39" t="s">
        <v>40</v>
      </c>
      <c r="F271" s="39" t="s">
        <v>420</v>
      </c>
      <c r="G271" s="39" t="s">
        <v>420</v>
      </c>
      <c r="H271" s="39" t="s">
        <v>420</v>
      </c>
      <c r="I271" s="39" t="s">
        <v>420</v>
      </c>
      <c r="J271" s="39" t="s">
        <v>420</v>
      </c>
      <c r="K271" s="39" t="s">
        <v>40</v>
      </c>
      <c r="L271" s="135"/>
      <c r="M271" s="45"/>
      <c r="N271" s="39" t="s">
        <v>1605</v>
      </c>
      <c r="O271" s="39">
        <v>0</v>
      </c>
      <c r="P271" s="39">
        <v>6</v>
      </c>
      <c r="Q271" s="39">
        <v>6</v>
      </c>
      <c r="R271" s="39">
        <v>6</v>
      </c>
      <c r="S271" s="39">
        <v>6</v>
      </c>
      <c r="T271" s="39">
        <v>6</v>
      </c>
      <c r="U271" s="39">
        <v>0</v>
      </c>
      <c r="V271" s="39">
        <v>30</v>
      </c>
      <c r="W271" s="39">
        <v>89316</v>
      </c>
      <c r="X271" s="39">
        <v>88346</v>
      </c>
      <c r="Y271" s="39">
        <v>3667089</v>
      </c>
      <c r="Z271" s="39" t="s">
        <v>119</v>
      </c>
      <c r="AA271" s="39" t="s">
        <v>119</v>
      </c>
      <c r="AB271" s="39">
        <v>81043</v>
      </c>
      <c r="AC271" s="39" t="e">
        <v>#N/A</v>
      </c>
      <c r="AD271" s="39" t="s">
        <v>1409</v>
      </c>
      <c r="AE271" s="39" t="s">
        <v>1410</v>
      </c>
      <c r="AF271" s="136">
        <v>43912</v>
      </c>
      <c r="AG271" s="39"/>
      <c r="AH271" s="39">
        <v>96001421</v>
      </c>
      <c r="AI271" s="39" t="s">
        <v>1411</v>
      </c>
      <c r="AJ271" s="46">
        <v>43852</v>
      </c>
      <c r="AK271" s="46">
        <v>43852</v>
      </c>
      <c r="AL271" s="47">
        <v>43873</v>
      </c>
      <c r="AM271" s="39">
        <v>217</v>
      </c>
      <c r="AN271" s="137" t="s">
        <v>114</v>
      </c>
      <c r="AO271" s="141">
        <v>89886</v>
      </c>
      <c r="AP271" s="139" t="s">
        <v>115</v>
      </c>
      <c r="AQ271" s="142" t="s">
        <v>1611</v>
      </c>
    </row>
    <row r="272" spans="1:43" x14ac:dyDescent="0.25">
      <c r="A272" s="44" t="s">
        <v>97</v>
      </c>
      <c r="B272" s="39" t="s">
        <v>87</v>
      </c>
      <c r="C272" s="39" t="s">
        <v>1412</v>
      </c>
      <c r="D272" s="39" t="s">
        <v>1413</v>
      </c>
      <c r="E272" s="39" t="s">
        <v>40</v>
      </c>
      <c r="F272" s="39" t="s">
        <v>52</v>
      </c>
      <c r="G272" s="39" t="s">
        <v>52</v>
      </c>
      <c r="H272" s="39" t="s">
        <v>52</v>
      </c>
      <c r="I272" s="39" t="s">
        <v>52</v>
      </c>
      <c r="J272" s="39" t="s">
        <v>52</v>
      </c>
      <c r="K272" s="39" t="s">
        <v>40</v>
      </c>
      <c r="L272" s="135"/>
      <c r="M272" s="45" t="s">
        <v>599</v>
      </c>
      <c r="N272" s="39" t="s">
        <v>1605</v>
      </c>
      <c r="O272" s="39">
        <v>0</v>
      </c>
      <c r="P272" s="39">
        <v>0</v>
      </c>
      <c r="Q272" s="39">
        <v>0</v>
      </c>
      <c r="R272" s="39">
        <v>0</v>
      </c>
      <c r="S272" s="39">
        <v>0</v>
      </c>
      <c r="T272" s="39">
        <v>0</v>
      </c>
      <c r="U272" s="39">
        <v>0</v>
      </c>
      <c r="V272" s="39">
        <v>0</v>
      </c>
      <c r="W272" s="39">
        <v>89321</v>
      </c>
      <c r="X272" s="39">
        <v>88351</v>
      </c>
      <c r="Y272" s="39">
        <v>3123376</v>
      </c>
      <c r="Z272" s="39" t="s">
        <v>119</v>
      </c>
      <c r="AA272" s="39" t="s">
        <v>119</v>
      </c>
      <c r="AB272" s="39">
        <v>81043</v>
      </c>
      <c r="AC272" s="39" t="e">
        <v>#N/A</v>
      </c>
      <c r="AD272" s="39" t="s">
        <v>1414</v>
      </c>
      <c r="AE272" s="39" t="s">
        <v>1415</v>
      </c>
      <c r="AF272" s="136">
        <v>43912</v>
      </c>
      <c r="AG272" s="39"/>
      <c r="AH272" s="39">
        <v>40357988</v>
      </c>
      <c r="AI272" s="39" t="s">
        <v>1416</v>
      </c>
      <c r="AJ272" s="46">
        <v>43852</v>
      </c>
      <c r="AK272" s="46">
        <v>43852</v>
      </c>
      <c r="AL272" s="47">
        <v>43873</v>
      </c>
      <c r="AM272" s="39">
        <v>217</v>
      </c>
      <c r="AN272" s="137" t="s">
        <v>114</v>
      </c>
      <c r="AO272" s="141">
        <v>89759</v>
      </c>
      <c r="AP272" s="139" t="s">
        <v>115</v>
      </c>
      <c r="AQ272" s="142" t="s">
        <v>1611</v>
      </c>
    </row>
    <row r="273" spans="1:43" x14ac:dyDescent="0.25">
      <c r="A273" s="44" t="s">
        <v>97</v>
      </c>
      <c r="B273" s="39" t="s">
        <v>87</v>
      </c>
      <c r="C273" s="39" t="s">
        <v>1417</v>
      </c>
      <c r="D273" s="39" t="s">
        <v>1418</v>
      </c>
      <c r="E273" s="39" t="s">
        <v>40</v>
      </c>
      <c r="F273" s="39" t="s">
        <v>52</v>
      </c>
      <c r="G273" s="39" t="s">
        <v>52</v>
      </c>
      <c r="H273" s="39" t="s">
        <v>52</v>
      </c>
      <c r="I273" s="39" t="s">
        <v>52</v>
      </c>
      <c r="J273" s="39" t="s">
        <v>52</v>
      </c>
      <c r="K273" s="39" t="s">
        <v>40</v>
      </c>
      <c r="L273" s="135"/>
      <c r="M273" s="45" t="s">
        <v>599</v>
      </c>
      <c r="N273" s="39" t="s">
        <v>1605</v>
      </c>
      <c r="O273" s="39">
        <v>0</v>
      </c>
      <c r="P273" s="39">
        <v>0</v>
      </c>
      <c r="Q273" s="39">
        <v>0</v>
      </c>
      <c r="R273" s="39">
        <v>0</v>
      </c>
      <c r="S273" s="39">
        <v>0</v>
      </c>
      <c r="T273" s="39">
        <v>0</v>
      </c>
      <c r="U273" s="39">
        <v>0</v>
      </c>
      <c r="V273" s="39">
        <v>0</v>
      </c>
      <c r="W273" s="143">
        <v>89226</v>
      </c>
      <c r="X273" s="39">
        <v>87319</v>
      </c>
      <c r="Y273" s="39">
        <v>3462528</v>
      </c>
      <c r="Z273" s="39" t="s">
        <v>119</v>
      </c>
      <c r="AA273" s="39" t="s">
        <v>119</v>
      </c>
      <c r="AB273" s="39">
        <v>81043</v>
      </c>
      <c r="AC273" s="39" t="e">
        <v>#N/A</v>
      </c>
      <c r="AD273" s="39" t="s">
        <v>1419</v>
      </c>
      <c r="AE273" s="39" t="s">
        <v>1420</v>
      </c>
      <c r="AF273" s="136">
        <v>43915</v>
      </c>
      <c r="AG273" s="39" t="s">
        <v>364</v>
      </c>
      <c r="AH273" s="39">
        <v>41649361</v>
      </c>
      <c r="AI273" s="39" t="s">
        <v>1421</v>
      </c>
      <c r="AJ273" s="46">
        <v>43703</v>
      </c>
      <c r="AK273" s="46">
        <v>43703</v>
      </c>
      <c r="AL273" s="47">
        <v>43713</v>
      </c>
      <c r="AM273" s="39">
        <v>363</v>
      </c>
      <c r="AN273" s="137" t="s">
        <v>114</v>
      </c>
      <c r="AO273" s="141">
        <v>89760</v>
      </c>
      <c r="AP273" s="139" t="s">
        <v>115</v>
      </c>
      <c r="AQ273" s="142" t="s">
        <v>1611</v>
      </c>
    </row>
    <row r="274" spans="1:43" x14ac:dyDescent="0.25">
      <c r="A274" s="44" t="s">
        <v>97</v>
      </c>
      <c r="B274" s="39" t="s">
        <v>87</v>
      </c>
      <c r="C274" s="39" t="s">
        <v>1422</v>
      </c>
      <c r="D274" s="39" t="s">
        <v>1423</v>
      </c>
      <c r="E274" s="39" t="s">
        <v>40</v>
      </c>
      <c r="F274" s="39" t="s">
        <v>52</v>
      </c>
      <c r="G274" s="39" t="s">
        <v>52</v>
      </c>
      <c r="H274" s="39" t="s">
        <v>52</v>
      </c>
      <c r="I274" s="39" t="s">
        <v>52</v>
      </c>
      <c r="J274" s="39" t="s">
        <v>52</v>
      </c>
      <c r="K274" s="39" t="s">
        <v>40</v>
      </c>
      <c r="L274" s="135"/>
      <c r="M274" s="45" t="s">
        <v>599</v>
      </c>
      <c r="N274" s="39" t="s">
        <v>1605</v>
      </c>
      <c r="O274" s="39">
        <v>0</v>
      </c>
      <c r="P274" s="39">
        <v>0</v>
      </c>
      <c r="Q274" s="39">
        <v>0</v>
      </c>
      <c r="R274" s="39">
        <v>0</v>
      </c>
      <c r="S274" s="39">
        <v>0</v>
      </c>
      <c r="T274" s="39">
        <v>0</v>
      </c>
      <c r="U274" s="39">
        <v>0</v>
      </c>
      <c r="V274" s="39">
        <v>0</v>
      </c>
      <c r="W274" s="39">
        <v>89291</v>
      </c>
      <c r="X274" s="39">
        <v>88153</v>
      </c>
      <c r="Y274" s="39">
        <v>3624035</v>
      </c>
      <c r="Z274" s="39" t="s">
        <v>146</v>
      </c>
      <c r="AA274" s="39" t="s">
        <v>119</v>
      </c>
      <c r="AB274" s="39">
        <v>81043</v>
      </c>
      <c r="AC274" s="39" t="e">
        <v>#N/A</v>
      </c>
      <c r="AD274" s="39" t="s">
        <v>1424</v>
      </c>
      <c r="AE274" s="39" t="s">
        <v>1425</v>
      </c>
      <c r="AF274" s="136">
        <v>43917</v>
      </c>
      <c r="AG274" s="39"/>
      <c r="AH274" s="39">
        <v>38184629</v>
      </c>
      <c r="AI274" s="39">
        <v>27381846291</v>
      </c>
      <c r="AJ274" s="46">
        <v>43808</v>
      </c>
      <c r="AK274" s="46">
        <v>43808</v>
      </c>
      <c r="AL274" s="47">
        <v>43831</v>
      </c>
      <c r="AM274" s="39">
        <v>260</v>
      </c>
      <c r="AN274" s="137" t="s">
        <v>114</v>
      </c>
      <c r="AO274" s="141">
        <v>89761</v>
      </c>
      <c r="AP274" s="139" t="s">
        <v>115</v>
      </c>
      <c r="AQ274" s="142" t="s">
        <v>1611</v>
      </c>
    </row>
    <row r="275" spans="1:43" x14ac:dyDescent="0.25">
      <c r="A275" s="44" t="s">
        <v>97</v>
      </c>
      <c r="B275" s="39" t="s">
        <v>87</v>
      </c>
      <c r="C275" s="39" t="s">
        <v>1426</v>
      </c>
      <c r="D275" s="39" t="s">
        <v>1427</v>
      </c>
      <c r="E275" s="39" t="s">
        <v>40</v>
      </c>
      <c r="F275" s="39" t="s">
        <v>420</v>
      </c>
      <c r="G275" s="39" t="s">
        <v>420</v>
      </c>
      <c r="H275" s="39" t="s">
        <v>420</v>
      </c>
      <c r="I275" s="39" t="s">
        <v>420</v>
      </c>
      <c r="J275" s="39" t="s">
        <v>420</v>
      </c>
      <c r="K275" s="39" t="s">
        <v>40</v>
      </c>
      <c r="L275" s="135"/>
      <c r="M275" s="45"/>
      <c r="N275" s="39" t="s">
        <v>1605</v>
      </c>
      <c r="O275" s="39">
        <v>0</v>
      </c>
      <c r="P275" s="39">
        <v>6</v>
      </c>
      <c r="Q275" s="39">
        <v>6</v>
      </c>
      <c r="R275" s="39">
        <v>6</v>
      </c>
      <c r="S275" s="39">
        <v>6</v>
      </c>
      <c r="T275" s="39">
        <v>6</v>
      </c>
      <c r="U275" s="39">
        <v>0</v>
      </c>
      <c r="V275" s="39">
        <v>30</v>
      </c>
      <c r="W275" s="39">
        <v>89123</v>
      </c>
      <c r="X275" s="39">
        <v>86151</v>
      </c>
      <c r="Y275" s="39">
        <v>3118301</v>
      </c>
      <c r="Z275" s="39" t="s">
        <v>109</v>
      </c>
      <c r="AA275" s="39" t="s">
        <v>110</v>
      </c>
      <c r="AB275" s="39">
        <v>81043</v>
      </c>
      <c r="AC275" s="39" t="e">
        <v>#N/A</v>
      </c>
      <c r="AD275" s="39" t="s">
        <v>1428</v>
      </c>
      <c r="AE275" s="39" t="s">
        <v>1429</v>
      </c>
      <c r="AF275" s="136">
        <v>43912</v>
      </c>
      <c r="AG275" s="39" t="s">
        <v>1430</v>
      </c>
      <c r="AH275" s="39">
        <v>38184365</v>
      </c>
      <c r="AI275" s="39" t="s">
        <v>1431</v>
      </c>
      <c r="AJ275" s="46">
        <v>43437</v>
      </c>
      <c r="AK275" s="46">
        <v>43437</v>
      </c>
      <c r="AL275" s="47">
        <v>43448</v>
      </c>
      <c r="AM275" s="39">
        <v>626</v>
      </c>
      <c r="AN275" s="137" t="s">
        <v>114</v>
      </c>
      <c r="AO275" s="141">
        <v>89762</v>
      </c>
      <c r="AP275" s="139" t="s">
        <v>115</v>
      </c>
      <c r="AQ275" s="142" t="s">
        <v>1611</v>
      </c>
    </row>
    <row r="276" spans="1:43" x14ac:dyDescent="0.25">
      <c r="A276" s="44" t="s">
        <v>97</v>
      </c>
      <c r="B276" s="39" t="s">
        <v>87</v>
      </c>
      <c r="C276" s="39" t="s">
        <v>1294</v>
      </c>
      <c r="D276" s="39" t="s">
        <v>1432</v>
      </c>
      <c r="E276" s="39" t="s">
        <v>40</v>
      </c>
      <c r="F276" s="39" t="s">
        <v>52</v>
      </c>
      <c r="G276" s="39" t="s">
        <v>52</v>
      </c>
      <c r="H276" s="39" t="s">
        <v>52</v>
      </c>
      <c r="I276" s="39" t="s">
        <v>52</v>
      </c>
      <c r="J276" s="39" t="s">
        <v>52</v>
      </c>
      <c r="K276" s="39" t="s">
        <v>40</v>
      </c>
      <c r="L276" s="135"/>
      <c r="M276" s="45" t="s">
        <v>599</v>
      </c>
      <c r="N276" s="39" t="s">
        <v>1605</v>
      </c>
      <c r="O276" s="39">
        <v>0</v>
      </c>
      <c r="P276" s="39">
        <v>0</v>
      </c>
      <c r="Q276" s="39">
        <v>0</v>
      </c>
      <c r="R276" s="39">
        <v>0</v>
      </c>
      <c r="S276" s="39">
        <v>0</v>
      </c>
      <c r="T276" s="39">
        <v>0</v>
      </c>
      <c r="U276" s="39">
        <v>0</v>
      </c>
      <c r="V276" s="39">
        <v>0</v>
      </c>
      <c r="W276" s="39">
        <v>648067</v>
      </c>
      <c r="X276" s="39">
        <v>88350</v>
      </c>
      <c r="Y276" s="39">
        <v>3667092</v>
      </c>
      <c r="Z276" s="39" t="s">
        <v>119</v>
      </c>
      <c r="AA276" s="39" t="s">
        <v>119</v>
      </c>
      <c r="AB276" s="39">
        <v>81043</v>
      </c>
      <c r="AC276" s="39" t="e">
        <v>#N/A</v>
      </c>
      <c r="AD276" s="39" t="s">
        <v>1433</v>
      </c>
      <c r="AE276" s="39" t="s">
        <v>1434</v>
      </c>
      <c r="AF276" s="136">
        <v>43943</v>
      </c>
      <c r="AG276" s="39" t="s">
        <v>1435</v>
      </c>
      <c r="AH276" s="39">
        <v>37727877</v>
      </c>
      <c r="AI276" s="39" t="s">
        <v>1436</v>
      </c>
      <c r="AJ276" s="46">
        <v>43942</v>
      </c>
      <c r="AK276" s="46">
        <v>43942</v>
      </c>
      <c r="AL276" s="47">
        <v>43943</v>
      </c>
      <c r="AM276" s="39">
        <v>128</v>
      </c>
      <c r="AN276" s="137" t="s">
        <v>114</v>
      </c>
      <c r="AO276" s="141">
        <v>89763</v>
      </c>
      <c r="AP276" s="139" t="s">
        <v>115</v>
      </c>
      <c r="AQ276" s="142" t="s">
        <v>1611</v>
      </c>
    </row>
    <row r="277" spans="1:43" x14ac:dyDescent="0.25">
      <c r="A277" s="44" t="s">
        <v>97</v>
      </c>
      <c r="B277" s="39" t="s">
        <v>87</v>
      </c>
      <c r="C277" s="39" t="s">
        <v>257</v>
      </c>
      <c r="D277" s="39" t="s">
        <v>1437</v>
      </c>
      <c r="E277" s="39" t="s">
        <v>40</v>
      </c>
      <c r="F277" s="39" t="s">
        <v>420</v>
      </c>
      <c r="G277" s="39" t="s">
        <v>420</v>
      </c>
      <c r="H277" s="39" t="s">
        <v>420</v>
      </c>
      <c r="I277" s="39" t="s">
        <v>420</v>
      </c>
      <c r="J277" s="39" t="s">
        <v>420</v>
      </c>
      <c r="K277" s="39" t="s">
        <v>40</v>
      </c>
      <c r="L277" s="135"/>
      <c r="M277" s="45"/>
      <c r="N277" s="39" t="s">
        <v>1605</v>
      </c>
      <c r="O277" s="39">
        <v>0</v>
      </c>
      <c r="P277" s="39">
        <v>6</v>
      </c>
      <c r="Q277" s="39">
        <v>6</v>
      </c>
      <c r="R277" s="39">
        <v>6</v>
      </c>
      <c r="S277" s="39">
        <v>6</v>
      </c>
      <c r="T277" s="39">
        <v>6</v>
      </c>
      <c r="U277" s="39">
        <v>0</v>
      </c>
      <c r="V277" s="39">
        <v>30</v>
      </c>
      <c r="W277" s="39">
        <v>648231</v>
      </c>
      <c r="X277" s="39">
        <v>81663</v>
      </c>
      <c r="Y277" s="39">
        <v>2025854</v>
      </c>
      <c r="Z277" s="39" t="s">
        <v>119</v>
      </c>
      <c r="AA277" s="39" t="s">
        <v>350</v>
      </c>
      <c r="AB277" s="39">
        <v>81043</v>
      </c>
      <c r="AC277" s="39" t="e">
        <v>#N/A</v>
      </c>
      <c r="AD277" s="39" t="s">
        <v>1438</v>
      </c>
      <c r="AE277" s="39" t="s">
        <v>1439</v>
      </c>
      <c r="AF277" s="136">
        <v>43935</v>
      </c>
      <c r="AG277" s="39" t="s">
        <v>1440</v>
      </c>
      <c r="AH277" s="39">
        <v>39139933</v>
      </c>
      <c r="AI277" s="39">
        <v>27391399331</v>
      </c>
      <c r="AJ277" s="46">
        <v>42461</v>
      </c>
      <c r="AK277" s="46">
        <v>43930</v>
      </c>
      <c r="AL277" s="47">
        <v>43935</v>
      </c>
      <c r="AM277" s="39">
        <v>1588</v>
      </c>
      <c r="AN277" s="137" t="s">
        <v>114</v>
      </c>
      <c r="AO277" s="141">
        <v>89921</v>
      </c>
      <c r="AP277" s="139" t="s">
        <v>115</v>
      </c>
      <c r="AQ277" s="142" t="s">
        <v>1611</v>
      </c>
    </row>
    <row r="278" spans="1:43" x14ac:dyDescent="0.25">
      <c r="A278" s="44" t="s">
        <v>97</v>
      </c>
      <c r="B278" s="39" t="s">
        <v>87</v>
      </c>
      <c r="C278" s="39" t="s">
        <v>859</v>
      </c>
      <c r="D278" s="39" t="s">
        <v>1441</v>
      </c>
      <c r="E278" s="39" t="s">
        <v>40</v>
      </c>
      <c r="F278" s="39" t="s">
        <v>420</v>
      </c>
      <c r="G278" s="39" t="s">
        <v>420</v>
      </c>
      <c r="H278" s="39" t="s">
        <v>420</v>
      </c>
      <c r="I278" s="39" t="s">
        <v>420</v>
      </c>
      <c r="J278" s="39" t="s">
        <v>420</v>
      </c>
      <c r="K278" s="39" t="s">
        <v>40</v>
      </c>
      <c r="L278" s="135"/>
      <c r="M278" s="45"/>
      <c r="N278" s="39" t="s">
        <v>1605</v>
      </c>
      <c r="O278" s="39">
        <v>0</v>
      </c>
      <c r="P278" s="39">
        <v>6</v>
      </c>
      <c r="Q278" s="39">
        <v>6</v>
      </c>
      <c r="R278" s="39">
        <v>6</v>
      </c>
      <c r="S278" s="39">
        <v>6</v>
      </c>
      <c r="T278" s="39">
        <v>6</v>
      </c>
      <c r="U278" s="39">
        <v>0</v>
      </c>
      <c r="V278" s="39">
        <v>30</v>
      </c>
      <c r="W278" s="39">
        <v>89129</v>
      </c>
      <c r="X278" s="39">
        <v>86144</v>
      </c>
      <c r="Y278" s="39">
        <v>3118271</v>
      </c>
      <c r="Z278" s="39" t="s">
        <v>118</v>
      </c>
      <c r="AA278" s="39" t="s">
        <v>119</v>
      </c>
      <c r="AB278" s="39">
        <v>81043</v>
      </c>
      <c r="AC278" s="39" t="e">
        <v>#N/A</v>
      </c>
      <c r="AD278" s="39" t="s">
        <v>1442</v>
      </c>
      <c r="AE278" s="39" t="s">
        <v>1443</v>
      </c>
      <c r="AF278" s="136">
        <v>43915</v>
      </c>
      <c r="AG278" s="39" t="s">
        <v>1444</v>
      </c>
      <c r="AH278" s="39">
        <v>40217271</v>
      </c>
      <c r="AI278" s="39" t="s">
        <v>1445</v>
      </c>
      <c r="AJ278" s="46">
        <v>43437</v>
      </c>
      <c r="AK278" s="46">
        <v>43437</v>
      </c>
      <c r="AL278" s="47">
        <v>43448</v>
      </c>
      <c r="AM278" s="39">
        <v>626</v>
      </c>
      <c r="AN278" s="137" t="s">
        <v>114</v>
      </c>
      <c r="AO278" s="141">
        <v>89764</v>
      </c>
      <c r="AP278" s="139" t="s">
        <v>115</v>
      </c>
      <c r="AQ278" s="142" t="s">
        <v>1611</v>
      </c>
    </row>
    <row r="279" spans="1:43" x14ac:dyDescent="0.25">
      <c r="A279" s="44" t="s">
        <v>97</v>
      </c>
      <c r="B279" s="39" t="s">
        <v>87</v>
      </c>
      <c r="C279" s="39" t="s">
        <v>603</v>
      </c>
      <c r="D279" s="39" t="s">
        <v>852</v>
      </c>
      <c r="E279" s="39" t="s">
        <v>40</v>
      </c>
      <c r="F279" s="39" t="s">
        <v>420</v>
      </c>
      <c r="G279" s="39" t="s">
        <v>420</v>
      </c>
      <c r="H279" s="39" t="s">
        <v>420</v>
      </c>
      <c r="I279" s="39" t="s">
        <v>420</v>
      </c>
      <c r="J279" s="39" t="s">
        <v>420</v>
      </c>
      <c r="K279" s="39" t="s">
        <v>40</v>
      </c>
      <c r="L279" s="135"/>
      <c r="M279" s="45"/>
      <c r="N279" s="39" t="s">
        <v>1605</v>
      </c>
      <c r="O279" s="39">
        <v>0</v>
      </c>
      <c r="P279" s="39">
        <v>6</v>
      </c>
      <c r="Q279" s="39">
        <v>6</v>
      </c>
      <c r="R279" s="39">
        <v>6</v>
      </c>
      <c r="S279" s="39">
        <v>6</v>
      </c>
      <c r="T279" s="39">
        <v>6</v>
      </c>
      <c r="U279" s="39">
        <v>0</v>
      </c>
      <c r="V279" s="39">
        <v>30</v>
      </c>
      <c r="W279" s="39" t="s">
        <v>1446</v>
      </c>
      <c r="X279" s="39">
        <v>88352</v>
      </c>
      <c r="Y279" s="39">
        <v>3667093</v>
      </c>
      <c r="Z279" s="39" t="s">
        <v>119</v>
      </c>
      <c r="AA279" s="39" t="s">
        <v>119</v>
      </c>
      <c r="AB279" s="39">
        <v>81043</v>
      </c>
      <c r="AC279" s="39" t="e">
        <v>#N/A</v>
      </c>
      <c r="AD279" s="39" t="s">
        <v>1447</v>
      </c>
      <c r="AE279" s="39" t="s">
        <v>1448</v>
      </c>
      <c r="AF279" s="136">
        <v>43912</v>
      </c>
      <c r="AG279" s="39"/>
      <c r="AH279" s="39">
        <v>39698542</v>
      </c>
      <c r="AI279" s="39" t="s">
        <v>1449</v>
      </c>
      <c r="AJ279" s="46">
        <v>43852</v>
      </c>
      <c r="AK279" s="46">
        <v>43852</v>
      </c>
      <c r="AL279" s="47">
        <v>43873</v>
      </c>
      <c r="AM279" s="39">
        <v>217</v>
      </c>
      <c r="AN279" s="137" t="s">
        <v>114</v>
      </c>
      <c r="AO279" s="141">
        <v>89765</v>
      </c>
      <c r="AP279" s="139" t="s">
        <v>115</v>
      </c>
      <c r="AQ279" s="142" t="s">
        <v>1611</v>
      </c>
    </row>
    <row r="280" spans="1:43" x14ac:dyDescent="0.25">
      <c r="A280" s="44" t="s">
        <v>97</v>
      </c>
      <c r="B280" s="39" t="s">
        <v>87</v>
      </c>
      <c r="C280" s="39" t="s">
        <v>1450</v>
      </c>
      <c r="D280" s="39" t="s">
        <v>1451</v>
      </c>
      <c r="E280" s="39" t="s">
        <v>40</v>
      </c>
      <c r="F280" s="39" t="s">
        <v>420</v>
      </c>
      <c r="G280" s="39" t="s">
        <v>420</v>
      </c>
      <c r="H280" s="39" t="s">
        <v>420</v>
      </c>
      <c r="I280" s="39" t="s">
        <v>420</v>
      </c>
      <c r="J280" s="39" t="s">
        <v>420</v>
      </c>
      <c r="K280" s="39" t="s">
        <v>40</v>
      </c>
      <c r="L280" s="135"/>
      <c r="M280" s="45"/>
      <c r="N280" s="39" t="s">
        <v>1605</v>
      </c>
      <c r="O280" s="39">
        <v>0</v>
      </c>
      <c r="P280" s="39">
        <v>6</v>
      </c>
      <c r="Q280" s="39">
        <v>6</v>
      </c>
      <c r="R280" s="39">
        <v>6</v>
      </c>
      <c r="S280" s="39">
        <v>6</v>
      </c>
      <c r="T280" s="39">
        <v>6</v>
      </c>
      <c r="U280" s="39">
        <v>0</v>
      </c>
      <c r="V280" s="39">
        <v>30</v>
      </c>
      <c r="W280" s="39">
        <v>89165</v>
      </c>
      <c r="X280" s="39">
        <v>86283</v>
      </c>
      <c r="Y280" s="39">
        <v>3133256</v>
      </c>
      <c r="Z280" s="39" t="s">
        <v>146</v>
      </c>
      <c r="AA280" s="39" t="s">
        <v>674</v>
      </c>
      <c r="AB280" s="39">
        <v>81043</v>
      </c>
      <c r="AC280" s="39" t="e">
        <v>#N/A</v>
      </c>
      <c r="AD280" s="39" t="s">
        <v>1452</v>
      </c>
      <c r="AE280" s="39" t="s">
        <v>1453</v>
      </c>
      <c r="AF280" s="136">
        <v>43912</v>
      </c>
      <c r="AG280" s="39" t="s">
        <v>1454</v>
      </c>
      <c r="AH280" s="39">
        <v>40155412</v>
      </c>
      <c r="AI280" s="39" t="s">
        <v>1455</v>
      </c>
      <c r="AJ280" s="46">
        <v>43451</v>
      </c>
      <c r="AK280" s="46">
        <v>43451</v>
      </c>
      <c r="AL280" s="47">
        <v>43467</v>
      </c>
      <c r="AM280" s="39">
        <v>612</v>
      </c>
      <c r="AN280" s="137" t="s">
        <v>114</v>
      </c>
      <c r="AO280" s="141">
        <v>89796</v>
      </c>
      <c r="AP280" s="139" t="s">
        <v>115</v>
      </c>
      <c r="AQ280" s="142" t="s">
        <v>1611</v>
      </c>
    </row>
    <row r="281" spans="1:43" x14ac:dyDescent="0.25">
      <c r="A281" s="44" t="s">
        <v>97</v>
      </c>
      <c r="B281" s="39" t="s">
        <v>87</v>
      </c>
      <c r="C281" s="39" t="s">
        <v>619</v>
      </c>
      <c r="D281" s="39" t="s">
        <v>1456</v>
      </c>
      <c r="E281" s="39" t="s">
        <v>40</v>
      </c>
      <c r="F281" s="39" t="s">
        <v>420</v>
      </c>
      <c r="G281" s="39" t="s">
        <v>420</v>
      </c>
      <c r="H281" s="39" t="s">
        <v>420</v>
      </c>
      <c r="I281" s="39" t="s">
        <v>420</v>
      </c>
      <c r="J281" s="39" t="s">
        <v>420</v>
      </c>
      <c r="K281" s="39" t="s">
        <v>40</v>
      </c>
      <c r="L281" s="135"/>
      <c r="M281" s="45"/>
      <c r="N281" s="39" t="s">
        <v>1605</v>
      </c>
      <c r="O281" s="39">
        <v>0</v>
      </c>
      <c r="P281" s="39">
        <v>6</v>
      </c>
      <c r="Q281" s="39">
        <v>6</v>
      </c>
      <c r="R281" s="39">
        <v>6</v>
      </c>
      <c r="S281" s="39">
        <v>6</v>
      </c>
      <c r="T281" s="39">
        <v>6</v>
      </c>
      <c r="U281" s="39">
        <v>0</v>
      </c>
      <c r="V281" s="39">
        <v>30</v>
      </c>
      <c r="W281" s="39">
        <v>89281</v>
      </c>
      <c r="X281" s="39">
        <v>88143</v>
      </c>
      <c r="Y281" s="39">
        <v>3624022</v>
      </c>
      <c r="Z281" s="39" t="s">
        <v>119</v>
      </c>
      <c r="AA281" s="39" t="s">
        <v>119</v>
      </c>
      <c r="AB281" s="39">
        <v>81043</v>
      </c>
      <c r="AC281" s="39" t="e">
        <v>#N/A</v>
      </c>
      <c r="AD281" s="39" t="s">
        <v>1457</v>
      </c>
      <c r="AE281" s="39" t="s">
        <v>1458</v>
      </c>
      <c r="AF281" s="136">
        <v>43917</v>
      </c>
      <c r="AG281" s="39"/>
      <c r="AH281" s="39">
        <v>32501160</v>
      </c>
      <c r="AI281" s="39">
        <v>27325011608</v>
      </c>
      <c r="AJ281" s="46">
        <v>43808</v>
      </c>
      <c r="AK281" s="46">
        <v>43808</v>
      </c>
      <c r="AL281" s="47">
        <v>43831</v>
      </c>
      <c r="AM281" s="39">
        <v>260</v>
      </c>
      <c r="AN281" s="137" t="s">
        <v>114</v>
      </c>
      <c r="AO281" s="141">
        <v>89797</v>
      </c>
      <c r="AP281" s="139" t="s">
        <v>115</v>
      </c>
      <c r="AQ281" s="142" t="s">
        <v>1611</v>
      </c>
    </row>
    <row r="282" spans="1:43" x14ac:dyDescent="0.25">
      <c r="A282" s="44" t="s">
        <v>97</v>
      </c>
      <c r="B282" s="39" t="s">
        <v>87</v>
      </c>
      <c r="C282" s="39" t="s">
        <v>1459</v>
      </c>
      <c r="D282" s="39" t="s">
        <v>1460</v>
      </c>
      <c r="E282" s="39" t="s">
        <v>40</v>
      </c>
      <c r="F282" s="39" t="s">
        <v>420</v>
      </c>
      <c r="G282" s="39" t="s">
        <v>420</v>
      </c>
      <c r="H282" s="39" t="s">
        <v>420</v>
      </c>
      <c r="I282" s="39" t="s">
        <v>420</v>
      </c>
      <c r="J282" s="39" t="s">
        <v>420</v>
      </c>
      <c r="K282" s="39" t="s">
        <v>40</v>
      </c>
      <c r="L282" s="135"/>
      <c r="M282" s="45"/>
      <c r="N282" s="39" t="s">
        <v>1605</v>
      </c>
      <c r="O282" s="39">
        <v>0</v>
      </c>
      <c r="P282" s="39">
        <v>6</v>
      </c>
      <c r="Q282" s="39">
        <v>6</v>
      </c>
      <c r="R282" s="39">
        <v>6</v>
      </c>
      <c r="S282" s="39">
        <v>6</v>
      </c>
      <c r="T282" s="39">
        <v>6</v>
      </c>
      <c r="U282" s="39">
        <v>0</v>
      </c>
      <c r="V282" s="39">
        <v>30</v>
      </c>
      <c r="W282" s="39">
        <v>648234</v>
      </c>
      <c r="X282" s="39">
        <v>80591</v>
      </c>
      <c r="Y282" s="39">
        <v>1676298</v>
      </c>
      <c r="Z282" s="39" t="s">
        <v>119</v>
      </c>
      <c r="AA282" s="39" t="s">
        <v>350</v>
      </c>
      <c r="AB282" s="39">
        <v>81043</v>
      </c>
      <c r="AC282" s="39" t="e">
        <v>#N/A</v>
      </c>
      <c r="AD282" s="39" t="s">
        <v>1461</v>
      </c>
      <c r="AE282" s="39" t="s">
        <v>1462</v>
      </c>
      <c r="AF282" s="136">
        <v>43935</v>
      </c>
      <c r="AG282" s="39" t="s">
        <v>1463</v>
      </c>
      <c r="AH282" s="39">
        <v>31253777</v>
      </c>
      <c r="AI282" s="39">
        <v>20312537770</v>
      </c>
      <c r="AJ282" s="46">
        <v>42135</v>
      </c>
      <c r="AK282" s="46">
        <v>43930</v>
      </c>
      <c r="AL282" s="47">
        <v>43935</v>
      </c>
      <c r="AM282" s="39">
        <v>1908</v>
      </c>
      <c r="AN282" s="137" t="s">
        <v>114</v>
      </c>
      <c r="AO282" s="141">
        <v>89922</v>
      </c>
      <c r="AP282" s="139" t="s">
        <v>115</v>
      </c>
      <c r="AQ282" s="142" t="s">
        <v>1611</v>
      </c>
    </row>
    <row r="283" spans="1:43" x14ac:dyDescent="0.25">
      <c r="A283" s="83" t="s">
        <v>97</v>
      </c>
      <c r="B283" s="84" t="s">
        <v>92</v>
      </c>
      <c r="C283" s="41" t="s">
        <v>1037</v>
      </c>
      <c r="D283" s="41" t="s">
        <v>1464</v>
      </c>
      <c r="E283" s="41" t="s">
        <v>40</v>
      </c>
      <c r="F283" s="41" t="s">
        <v>131</v>
      </c>
      <c r="G283" s="41" t="s">
        <v>131</v>
      </c>
      <c r="H283" s="41" t="s">
        <v>420</v>
      </c>
      <c r="I283" s="41" t="s">
        <v>420</v>
      </c>
      <c r="J283" s="41" t="s">
        <v>420</v>
      </c>
      <c r="K283" s="41" t="s">
        <v>40</v>
      </c>
      <c r="L283" s="135"/>
      <c r="M283" s="45" t="s">
        <v>1619</v>
      </c>
      <c r="N283" s="39" t="s">
        <v>1605</v>
      </c>
      <c r="O283" s="39">
        <v>0</v>
      </c>
      <c r="P283" s="39">
        <v>6</v>
      </c>
      <c r="Q283" s="39">
        <v>6</v>
      </c>
      <c r="R283" s="39">
        <v>6</v>
      </c>
      <c r="S283" s="39">
        <v>6</v>
      </c>
      <c r="T283" s="39">
        <v>6</v>
      </c>
      <c r="U283" s="39">
        <v>0</v>
      </c>
      <c r="V283" s="39">
        <v>30</v>
      </c>
      <c r="W283" s="39">
        <v>648236</v>
      </c>
      <c r="X283" s="39">
        <v>84355</v>
      </c>
      <c r="Y283" s="39">
        <v>2741813</v>
      </c>
      <c r="Z283" s="39" t="s">
        <v>119</v>
      </c>
      <c r="AA283" s="39" t="s">
        <v>350</v>
      </c>
      <c r="AB283" s="39">
        <v>79479</v>
      </c>
      <c r="AC283" s="39" t="e">
        <v>#N/A</v>
      </c>
      <c r="AD283" s="39" t="s">
        <v>1465</v>
      </c>
      <c r="AE283" s="39" t="s">
        <v>1466</v>
      </c>
      <c r="AF283" s="136">
        <v>43935</v>
      </c>
      <c r="AG283" s="39" t="s">
        <v>1467</v>
      </c>
      <c r="AH283" s="39">
        <v>40698650</v>
      </c>
      <c r="AI283" s="39">
        <v>20406986501</v>
      </c>
      <c r="AJ283" s="46">
        <v>43102</v>
      </c>
      <c r="AK283" s="46">
        <v>43930</v>
      </c>
      <c r="AL283" s="47">
        <v>43935</v>
      </c>
      <c r="AM283" s="39">
        <v>957</v>
      </c>
      <c r="AN283" s="137" t="s">
        <v>114</v>
      </c>
      <c r="AO283" s="141">
        <v>89923</v>
      </c>
      <c r="AP283" s="139" t="s">
        <v>115</v>
      </c>
      <c r="AQ283" s="142" t="s">
        <v>1611</v>
      </c>
    </row>
    <row r="284" spans="1:43" x14ac:dyDescent="0.25">
      <c r="A284" s="44" t="s">
        <v>97</v>
      </c>
      <c r="B284" s="39" t="s">
        <v>87</v>
      </c>
      <c r="C284" s="39" t="s">
        <v>1468</v>
      </c>
      <c r="D284" s="39" t="s">
        <v>1469</v>
      </c>
      <c r="E284" s="39" t="s">
        <v>40</v>
      </c>
      <c r="F284" s="39" t="s">
        <v>52</v>
      </c>
      <c r="G284" s="39" t="s">
        <v>52</v>
      </c>
      <c r="H284" s="39" t="s">
        <v>52</v>
      </c>
      <c r="I284" s="39" t="s">
        <v>52</v>
      </c>
      <c r="J284" s="39" t="s">
        <v>52</v>
      </c>
      <c r="K284" s="39" t="s">
        <v>40</v>
      </c>
      <c r="L284" s="135"/>
      <c r="M284" s="45" t="s">
        <v>599</v>
      </c>
      <c r="N284" s="39" t="s">
        <v>1605</v>
      </c>
      <c r="O284" s="39">
        <v>0</v>
      </c>
      <c r="P284" s="39">
        <v>0</v>
      </c>
      <c r="Q284" s="39">
        <v>0</v>
      </c>
      <c r="R284" s="39">
        <v>0</v>
      </c>
      <c r="S284" s="39">
        <v>0</v>
      </c>
      <c r="T284" s="39">
        <v>0</v>
      </c>
      <c r="U284" s="39">
        <v>0</v>
      </c>
      <c r="V284" s="39">
        <v>0</v>
      </c>
      <c r="W284" s="39">
        <v>89174</v>
      </c>
      <c r="X284" s="39">
        <v>86284</v>
      </c>
      <c r="Y284" s="39">
        <v>1412049</v>
      </c>
      <c r="Z284" s="39" t="s">
        <v>118</v>
      </c>
      <c r="AA284" s="39" t="s">
        <v>119</v>
      </c>
      <c r="AB284" s="39">
        <v>81043</v>
      </c>
      <c r="AC284" s="39" t="e">
        <v>#N/A</v>
      </c>
      <c r="AD284" s="39" t="s">
        <v>1470</v>
      </c>
      <c r="AE284" s="39" t="s">
        <v>1471</v>
      </c>
      <c r="AF284" s="136">
        <v>43916</v>
      </c>
      <c r="AG284" s="39" t="s">
        <v>1472</v>
      </c>
      <c r="AH284" s="39">
        <v>34186702</v>
      </c>
      <c r="AI284" s="39" t="s">
        <v>1473</v>
      </c>
      <c r="AJ284" s="46">
        <v>43451</v>
      </c>
      <c r="AK284" s="46">
        <v>43451</v>
      </c>
      <c r="AL284" s="47">
        <v>43467</v>
      </c>
      <c r="AM284" s="39">
        <v>612</v>
      </c>
      <c r="AN284" s="137" t="s">
        <v>114</v>
      </c>
      <c r="AO284" s="141">
        <v>89798</v>
      </c>
      <c r="AP284" s="139" t="s">
        <v>115</v>
      </c>
      <c r="AQ284" s="142" t="s">
        <v>1611</v>
      </c>
    </row>
    <row r="285" spans="1:43" x14ac:dyDescent="0.25">
      <c r="A285" s="69" t="s">
        <v>71</v>
      </c>
      <c r="B285" s="70" t="s">
        <v>101</v>
      </c>
      <c r="C285" s="70" t="s">
        <v>1474</v>
      </c>
      <c r="D285" s="70" t="s">
        <v>1475</v>
      </c>
      <c r="E285" s="70" t="s">
        <v>40</v>
      </c>
      <c r="F285" s="70" t="s">
        <v>420</v>
      </c>
      <c r="G285" s="70" t="s">
        <v>420</v>
      </c>
      <c r="H285" s="70" t="s">
        <v>420</v>
      </c>
      <c r="I285" s="70" t="s">
        <v>420</v>
      </c>
      <c r="J285" s="70" t="s">
        <v>420</v>
      </c>
      <c r="K285" s="70" t="s">
        <v>40</v>
      </c>
      <c r="L285" s="108"/>
      <c r="M285" s="109"/>
      <c r="N285" s="70" t="s">
        <v>1605</v>
      </c>
      <c r="O285" s="70">
        <v>0</v>
      </c>
      <c r="P285" s="70">
        <v>6</v>
      </c>
      <c r="Q285" s="70">
        <v>6</v>
      </c>
      <c r="R285" s="70">
        <v>6</v>
      </c>
      <c r="S285" s="70">
        <v>6</v>
      </c>
      <c r="T285" s="70">
        <v>6</v>
      </c>
      <c r="U285" s="70">
        <v>0</v>
      </c>
      <c r="V285" s="70">
        <v>30</v>
      </c>
      <c r="W285" s="146">
        <v>648393</v>
      </c>
      <c r="X285" s="146">
        <v>88925</v>
      </c>
      <c r="Y285" s="146">
        <v>3841572</v>
      </c>
      <c r="Z285" s="70" t="s">
        <v>118</v>
      </c>
      <c r="AA285" s="70" t="s">
        <v>118</v>
      </c>
      <c r="AB285" s="70">
        <v>84144</v>
      </c>
      <c r="AC285" s="70">
        <v>64118</v>
      </c>
      <c r="AD285" s="146" t="s">
        <v>1622</v>
      </c>
      <c r="AE285" s="146" t="s">
        <v>1623</v>
      </c>
      <c r="AF285" s="110"/>
      <c r="AG285" s="70" t="s">
        <v>1476</v>
      </c>
      <c r="AH285" s="70">
        <v>43710701</v>
      </c>
      <c r="AI285" s="70" t="s">
        <v>1477</v>
      </c>
      <c r="AJ285" s="111">
        <v>44039</v>
      </c>
      <c r="AK285" s="111">
        <v>44039</v>
      </c>
      <c r="AL285" s="112">
        <v>44047</v>
      </c>
      <c r="AM285" s="70">
        <v>32</v>
      </c>
      <c r="AN285" s="113" t="s">
        <v>114</v>
      </c>
      <c r="AO285" s="116"/>
      <c r="AP285" s="114" t="s">
        <v>158</v>
      </c>
      <c r="AQ285" s="115" t="s">
        <v>1611</v>
      </c>
    </row>
    <row r="286" spans="1:43" x14ac:dyDescent="0.25">
      <c r="A286" s="69" t="s">
        <v>71</v>
      </c>
      <c r="B286" s="70" t="s">
        <v>101</v>
      </c>
      <c r="C286" s="70" t="s">
        <v>1070</v>
      </c>
      <c r="D286" s="70" t="s">
        <v>1478</v>
      </c>
      <c r="E286" s="70" t="s">
        <v>40</v>
      </c>
      <c r="F286" s="70" t="s">
        <v>420</v>
      </c>
      <c r="G286" s="70" t="s">
        <v>420</v>
      </c>
      <c r="H286" s="70" t="s">
        <v>420</v>
      </c>
      <c r="I286" s="70" t="s">
        <v>420</v>
      </c>
      <c r="J286" s="70" t="s">
        <v>420</v>
      </c>
      <c r="K286" s="70" t="s">
        <v>40</v>
      </c>
      <c r="L286" s="108"/>
      <c r="M286" s="109"/>
      <c r="N286" s="70" t="s">
        <v>1605</v>
      </c>
      <c r="O286" s="70">
        <v>0</v>
      </c>
      <c r="P286" s="70">
        <v>6</v>
      </c>
      <c r="Q286" s="70">
        <v>6</v>
      </c>
      <c r="R286" s="70">
        <v>6</v>
      </c>
      <c r="S286" s="70">
        <v>6</v>
      </c>
      <c r="T286" s="70">
        <v>6</v>
      </c>
      <c r="U286" s="70">
        <v>0</v>
      </c>
      <c r="V286" s="70">
        <v>30</v>
      </c>
      <c r="W286" s="146">
        <v>648394</v>
      </c>
      <c r="X286" s="146">
        <v>88923</v>
      </c>
      <c r="Y286" s="146">
        <v>3523021</v>
      </c>
      <c r="Z286" s="70" t="s">
        <v>118</v>
      </c>
      <c r="AA286" s="70" t="s">
        <v>118</v>
      </c>
      <c r="AB286" s="70">
        <v>84144</v>
      </c>
      <c r="AC286" s="70">
        <v>64118</v>
      </c>
      <c r="AD286" s="146" t="s">
        <v>1624</v>
      </c>
      <c r="AE286" s="146" t="s">
        <v>1625</v>
      </c>
      <c r="AF286" s="110"/>
      <c r="AG286" s="70" t="s">
        <v>1479</v>
      </c>
      <c r="AH286" s="70">
        <v>41534420</v>
      </c>
      <c r="AI286" s="70" t="s">
        <v>1480</v>
      </c>
      <c r="AJ286" s="111">
        <v>44039</v>
      </c>
      <c r="AK286" s="111">
        <v>44039</v>
      </c>
      <c r="AL286" s="112">
        <v>44047</v>
      </c>
      <c r="AM286" s="70">
        <v>32</v>
      </c>
      <c r="AN286" s="113" t="s">
        <v>114</v>
      </c>
      <c r="AO286" s="116"/>
      <c r="AP286" s="114" t="s">
        <v>158</v>
      </c>
      <c r="AQ286" s="115" t="s">
        <v>1611</v>
      </c>
    </row>
    <row r="287" spans="1:43" x14ac:dyDescent="0.25">
      <c r="A287" s="69" t="s">
        <v>71</v>
      </c>
      <c r="B287" s="70" t="s">
        <v>101</v>
      </c>
      <c r="C287" s="70" t="s">
        <v>768</v>
      </c>
      <c r="D287" s="70" t="s">
        <v>1481</v>
      </c>
      <c r="E287" s="70" t="s">
        <v>40</v>
      </c>
      <c r="F287" s="70" t="s">
        <v>420</v>
      </c>
      <c r="G287" s="70" t="s">
        <v>420</v>
      </c>
      <c r="H287" s="70" t="s">
        <v>420</v>
      </c>
      <c r="I287" s="70" t="s">
        <v>420</v>
      </c>
      <c r="J287" s="70" t="s">
        <v>420</v>
      </c>
      <c r="K287" s="70" t="s">
        <v>40</v>
      </c>
      <c r="L287" s="108"/>
      <c r="M287" s="109"/>
      <c r="N287" s="70" t="s">
        <v>1605</v>
      </c>
      <c r="O287" s="70">
        <v>0</v>
      </c>
      <c r="P287" s="70">
        <v>6</v>
      </c>
      <c r="Q287" s="70">
        <v>6</v>
      </c>
      <c r="R287" s="70">
        <v>6</v>
      </c>
      <c r="S287" s="70">
        <v>6</v>
      </c>
      <c r="T287" s="70">
        <v>6</v>
      </c>
      <c r="U287" s="70">
        <v>0</v>
      </c>
      <c r="V287" s="70">
        <v>30</v>
      </c>
      <c r="W287" s="146">
        <v>648395</v>
      </c>
      <c r="X287" s="146">
        <v>88918</v>
      </c>
      <c r="Y287" s="146">
        <v>3841578</v>
      </c>
      <c r="Z287" s="70" t="s">
        <v>118</v>
      </c>
      <c r="AA287" s="70" t="s">
        <v>118</v>
      </c>
      <c r="AB287" s="70">
        <v>84144</v>
      </c>
      <c r="AC287" s="70">
        <v>64118</v>
      </c>
      <c r="AD287" s="146" t="s">
        <v>1626</v>
      </c>
      <c r="AE287" s="146" t="s">
        <v>1627</v>
      </c>
      <c r="AF287" s="110"/>
      <c r="AG287" s="70" t="s">
        <v>1482</v>
      </c>
      <c r="AH287" s="70">
        <v>36867211</v>
      </c>
      <c r="AI287" s="70" t="s">
        <v>1483</v>
      </c>
      <c r="AJ287" s="111">
        <v>44039</v>
      </c>
      <c r="AK287" s="111">
        <v>44039</v>
      </c>
      <c r="AL287" s="112">
        <v>44047</v>
      </c>
      <c r="AM287" s="70">
        <v>32</v>
      </c>
      <c r="AN287" s="113" t="s">
        <v>114</v>
      </c>
      <c r="AO287" s="116"/>
      <c r="AP287" s="114" t="s">
        <v>158</v>
      </c>
      <c r="AQ287" s="115" t="s">
        <v>1611</v>
      </c>
    </row>
    <row r="288" spans="1:43" x14ac:dyDescent="0.25">
      <c r="A288" s="69" t="s">
        <v>71</v>
      </c>
      <c r="B288" s="70" t="s">
        <v>101</v>
      </c>
      <c r="C288" s="70" t="s">
        <v>1484</v>
      </c>
      <c r="D288" s="70" t="s">
        <v>1485</v>
      </c>
      <c r="E288" s="70" t="s">
        <v>40</v>
      </c>
      <c r="F288" s="70" t="s">
        <v>420</v>
      </c>
      <c r="G288" s="70" t="s">
        <v>420</v>
      </c>
      <c r="H288" s="70" t="s">
        <v>420</v>
      </c>
      <c r="I288" s="70" t="s">
        <v>420</v>
      </c>
      <c r="J288" s="70" t="s">
        <v>420</v>
      </c>
      <c r="K288" s="70" t="s">
        <v>40</v>
      </c>
      <c r="L288" s="108"/>
      <c r="M288" s="109"/>
      <c r="N288" s="70" t="s">
        <v>1605</v>
      </c>
      <c r="O288" s="70">
        <v>0</v>
      </c>
      <c r="P288" s="70">
        <v>6</v>
      </c>
      <c r="Q288" s="70">
        <v>6</v>
      </c>
      <c r="R288" s="70">
        <v>6</v>
      </c>
      <c r="S288" s="70">
        <v>6</v>
      </c>
      <c r="T288" s="70">
        <v>6</v>
      </c>
      <c r="U288" s="70">
        <v>0</v>
      </c>
      <c r="V288" s="70">
        <v>30</v>
      </c>
      <c r="W288" s="146">
        <v>648396</v>
      </c>
      <c r="X288" s="146">
        <v>88927</v>
      </c>
      <c r="Y288" s="146">
        <v>3841580</v>
      </c>
      <c r="Z288" s="70" t="s">
        <v>118</v>
      </c>
      <c r="AA288" s="70" t="s">
        <v>118</v>
      </c>
      <c r="AB288" s="70">
        <v>84144</v>
      </c>
      <c r="AC288" s="70">
        <v>64118</v>
      </c>
      <c r="AD288" s="146" t="s">
        <v>1628</v>
      </c>
      <c r="AE288" s="146" t="s">
        <v>1629</v>
      </c>
      <c r="AF288" s="110"/>
      <c r="AG288" s="70" t="s">
        <v>1486</v>
      </c>
      <c r="AH288" s="70">
        <v>41763147</v>
      </c>
      <c r="AI288" s="70" t="s">
        <v>1487</v>
      </c>
      <c r="AJ288" s="111">
        <v>44039</v>
      </c>
      <c r="AK288" s="111">
        <v>44039</v>
      </c>
      <c r="AL288" s="112">
        <v>44047</v>
      </c>
      <c r="AM288" s="70">
        <v>32</v>
      </c>
      <c r="AN288" s="113" t="s">
        <v>114</v>
      </c>
      <c r="AO288" s="116"/>
      <c r="AP288" s="114" t="s">
        <v>158</v>
      </c>
      <c r="AQ288" s="115" t="s">
        <v>1611</v>
      </c>
    </row>
    <row r="289" spans="1:43" x14ac:dyDescent="0.25">
      <c r="A289" s="69" t="s">
        <v>71</v>
      </c>
      <c r="B289" s="70" t="s">
        <v>101</v>
      </c>
      <c r="C289" s="70" t="s">
        <v>1488</v>
      </c>
      <c r="D289" s="70" t="s">
        <v>1489</v>
      </c>
      <c r="E289" s="70" t="s">
        <v>40</v>
      </c>
      <c r="F289" s="70" t="s">
        <v>420</v>
      </c>
      <c r="G289" s="70" t="s">
        <v>420</v>
      </c>
      <c r="H289" s="70" t="s">
        <v>420</v>
      </c>
      <c r="I289" s="70" t="s">
        <v>420</v>
      </c>
      <c r="J289" s="70" t="s">
        <v>420</v>
      </c>
      <c r="K289" s="70" t="s">
        <v>40</v>
      </c>
      <c r="L289" s="108"/>
      <c r="M289" s="109"/>
      <c r="N289" s="70" t="s">
        <v>1605</v>
      </c>
      <c r="O289" s="70">
        <v>0</v>
      </c>
      <c r="P289" s="70">
        <v>6</v>
      </c>
      <c r="Q289" s="70">
        <v>6</v>
      </c>
      <c r="R289" s="70">
        <v>6</v>
      </c>
      <c r="S289" s="70">
        <v>6</v>
      </c>
      <c r="T289" s="70">
        <v>6</v>
      </c>
      <c r="U289" s="70">
        <v>0</v>
      </c>
      <c r="V289" s="70">
        <v>30</v>
      </c>
      <c r="W289" s="146">
        <v>648397</v>
      </c>
      <c r="X289" s="146">
        <v>88926</v>
      </c>
      <c r="Y289" s="146">
        <v>3841583</v>
      </c>
      <c r="Z289" s="70" t="s">
        <v>118</v>
      </c>
      <c r="AA289" s="70" t="s">
        <v>118</v>
      </c>
      <c r="AB289" s="70">
        <v>84144</v>
      </c>
      <c r="AC289" s="70">
        <v>64118</v>
      </c>
      <c r="AD289" s="146" t="s">
        <v>1630</v>
      </c>
      <c r="AE289" s="146" t="s">
        <v>1631</v>
      </c>
      <c r="AF289" s="110"/>
      <c r="AG289" s="70" t="s">
        <v>1490</v>
      </c>
      <c r="AH289" s="70">
        <v>36712734</v>
      </c>
      <c r="AI289" s="70" t="s">
        <v>1491</v>
      </c>
      <c r="AJ289" s="111">
        <v>44039</v>
      </c>
      <c r="AK289" s="111">
        <v>44039</v>
      </c>
      <c r="AL289" s="112">
        <v>44047</v>
      </c>
      <c r="AM289" s="70">
        <v>32</v>
      </c>
      <c r="AN289" s="113" t="s">
        <v>114</v>
      </c>
      <c r="AO289" s="116"/>
      <c r="AP289" s="114" t="s">
        <v>158</v>
      </c>
      <c r="AQ289" s="115" t="s">
        <v>1611</v>
      </c>
    </row>
    <row r="290" spans="1:43" x14ac:dyDescent="0.25">
      <c r="A290" s="69" t="s">
        <v>74</v>
      </c>
      <c r="B290" s="70" t="s">
        <v>102</v>
      </c>
      <c r="C290" s="70" t="s">
        <v>1492</v>
      </c>
      <c r="D290" s="70" t="s">
        <v>1493</v>
      </c>
      <c r="E290" s="70" t="s">
        <v>40</v>
      </c>
      <c r="F290" s="70" t="s">
        <v>131</v>
      </c>
      <c r="G290" s="70" t="s">
        <v>131</v>
      </c>
      <c r="H290" s="70" t="s">
        <v>131</v>
      </c>
      <c r="I290" s="70" t="s">
        <v>131</v>
      </c>
      <c r="J290" s="70" t="s">
        <v>131</v>
      </c>
      <c r="K290" s="70" t="s">
        <v>40</v>
      </c>
      <c r="L290" s="108"/>
      <c r="M290" s="109"/>
      <c r="N290" s="70" t="s">
        <v>1605</v>
      </c>
      <c r="O290" s="70">
        <v>0</v>
      </c>
      <c r="P290" s="70">
        <v>6</v>
      </c>
      <c r="Q290" s="70">
        <v>6</v>
      </c>
      <c r="R290" s="70">
        <v>6</v>
      </c>
      <c r="S290" s="70">
        <v>6</v>
      </c>
      <c r="T290" s="70">
        <v>6</v>
      </c>
      <c r="U290" s="70">
        <v>0</v>
      </c>
      <c r="V290" s="70">
        <v>30</v>
      </c>
      <c r="W290" s="146">
        <v>648398</v>
      </c>
      <c r="X290" s="146">
        <v>88924</v>
      </c>
      <c r="Y290" s="146">
        <v>3841586</v>
      </c>
      <c r="Z290" s="70" t="s">
        <v>118</v>
      </c>
      <c r="AA290" s="70" t="s">
        <v>118</v>
      </c>
      <c r="AB290" s="70">
        <v>83851</v>
      </c>
      <c r="AC290" s="70">
        <v>74054</v>
      </c>
      <c r="AD290" s="146" t="s">
        <v>1632</v>
      </c>
      <c r="AE290" s="146" t="s">
        <v>1633</v>
      </c>
      <c r="AF290" s="110"/>
      <c r="AG290" s="70" t="s">
        <v>1494</v>
      </c>
      <c r="AH290" s="70">
        <v>34327482</v>
      </c>
      <c r="AI290" s="70" t="s">
        <v>1495</v>
      </c>
      <c r="AJ290" s="111">
        <v>44039</v>
      </c>
      <c r="AK290" s="111">
        <v>44039</v>
      </c>
      <c r="AL290" s="112">
        <v>44047</v>
      </c>
      <c r="AM290" s="70">
        <v>32</v>
      </c>
      <c r="AN290" s="113" t="s">
        <v>114</v>
      </c>
      <c r="AO290" s="116"/>
      <c r="AP290" s="114" t="s">
        <v>158</v>
      </c>
      <c r="AQ290" s="115" t="s">
        <v>1607</v>
      </c>
    </row>
    <row r="291" spans="1:43" x14ac:dyDescent="0.25">
      <c r="A291" s="69" t="s">
        <v>74</v>
      </c>
      <c r="B291" s="70" t="s">
        <v>102</v>
      </c>
      <c r="C291" s="70" t="s">
        <v>1496</v>
      </c>
      <c r="D291" s="70" t="s">
        <v>1497</v>
      </c>
      <c r="E291" s="70" t="s">
        <v>40</v>
      </c>
      <c r="F291" s="70" t="s">
        <v>131</v>
      </c>
      <c r="G291" s="70" t="s">
        <v>131</v>
      </c>
      <c r="H291" s="70" t="s">
        <v>131</v>
      </c>
      <c r="I291" s="70" t="s">
        <v>131</v>
      </c>
      <c r="J291" s="70" t="s">
        <v>131</v>
      </c>
      <c r="K291" s="70" t="s">
        <v>40</v>
      </c>
      <c r="L291" s="108"/>
      <c r="M291" s="109"/>
      <c r="N291" s="70" t="s">
        <v>1605</v>
      </c>
      <c r="O291" s="70">
        <v>0</v>
      </c>
      <c r="P291" s="70">
        <v>6</v>
      </c>
      <c r="Q291" s="70">
        <v>6</v>
      </c>
      <c r="R291" s="70">
        <v>6</v>
      </c>
      <c r="S291" s="70">
        <v>6</v>
      </c>
      <c r="T291" s="70">
        <v>6</v>
      </c>
      <c r="U291" s="70">
        <v>0</v>
      </c>
      <c r="V291" s="70">
        <v>30</v>
      </c>
      <c r="W291" s="146">
        <v>648399</v>
      </c>
      <c r="X291" s="146">
        <v>88914</v>
      </c>
      <c r="Y291" s="146">
        <v>3841590</v>
      </c>
      <c r="Z291" s="70" t="s">
        <v>118</v>
      </c>
      <c r="AA291" s="70" t="s">
        <v>118</v>
      </c>
      <c r="AB291" s="70">
        <v>83851</v>
      </c>
      <c r="AC291" s="70">
        <v>74054</v>
      </c>
      <c r="AD291" s="146" t="s">
        <v>1634</v>
      </c>
      <c r="AE291" s="146" t="s">
        <v>1635</v>
      </c>
      <c r="AF291" s="110"/>
      <c r="AG291" s="70" t="s">
        <v>1498</v>
      </c>
      <c r="AH291" s="70">
        <v>35195568</v>
      </c>
      <c r="AI291" s="70" t="s">
        <v>1499</v>
      </c>
      <c r="AJ291" s="111">
        <v>44039</v>
      </c>
      <c r="AK291" s="111">
        <v>44039</v>
      </c>
      <c r="AL291" s="112">
        <v>44047</v>
      </c>
      <c r="AM291" s="70">
        <v>32</v>
      </c>
      <c r="AN291" s="113" t="s">
        <v>114</v>
      </c>
      <c r="AO291" s="116"/>
      <c r="AP291" s="114" t="s">
        <v>158</v>
      </c>
      <c r="AQ291" s="115" t="s">
        <v>1607</v>
      </c>
    </row>
    <row r="292" spans="1:43" x14ac:dyDescent="0.25">
      <c r="A292" s="69" t="s">
        <v>74</v>
      </c>
      <c r="B292" s="70" t="s">
        <v>102</v>
      </c>
      <c r="C292" s="70" t="s">
        <v>1500</v>
      </c>
      <c r="D292" s="70" t="s">
        <v>1501</v>
      </c>
      <c r="E292" s="70" t="s">
        <v>40</v>
      </c>
      <c r="F292" s="70" t="s">
        <v>131</v>
      </c>
      <c r="G292" s="70" t="s">
        <v>131</v>
      </c>
      <c r="H292" s="70" t="s">
        <v>131</v>
      </c>
      <c r="I292" s="70" t="s">
        <v>131</v>
      </c>
      <c r="J292" s="70" t="s">
        <v>131</v>
      </c>
      <c r="K292" s="70" t="s">
        <v>40</v>
      </c>
      <c r="L292" s="108"/>
      <c r="M292" s="109"/>
      <c r="N292" s="70" t="s">
        <v>1605</v>
      </c>
      <c r="O292" s="70">
        <v>0</v>
      </c>
      <c r="P292" s="70">
        <v>6</v>
      </c>
      <c r="Q292" s="70">
        <v>6</v>
      </c>
      <c r="R292" s="70">
        <v>6</v>
      </c>
      <c r="S292" s="70">
        <v>6</v>
      </c>
      <c r="T292" s="70">
        <v>6</v>
      </c>
      <c r="U292" s="70">
        <v>0</v>
      </c>
      <c r="V292" s="70">
        <v>30</v>
      </c>
      <c r="W292" s="146">
        <v>648400</v>
      </c>
      <c r="X292" s="146">
        <v>88921</v>
      </c>
      <c r="Y292" s="146">
        <v>3557330</v>
      </c>
      <c r="Z292" s="70" t="s">
        <v>118</v>
      </c>
      <c r="AA292" s="70" t="s">
        <v>118</v>
      </c>
      <c r="AB292" s="70">
        <v>83851</v>
      </c>
      <c r="AC292" s="70">
        <v>74054</v>
      </c>
      <c r="AD292" s="146" t="s">
        <v>1636</v>
      </c>
      <c r="AE292" s="146" t="s">
        <v>1637</v>
      </c>
      <c r="AF292" s="110"/>
      <c r="AG292" s="70" t="s">
        <v>1502</v>
      </c>
      <c r="AH292" s="70">
        <v>42548543</v>
      </c>
      <c r="AI292" s="70" t="s">
        <v>1503</v>
      </c>
      <c r="AJ292" s="111">
        <v>44039</v>
      </c>
      <c r="AK292" s="111">
        <v>44039</v>
      </c>
      <c r="AL292" s="112">
        <v>44047</v>
      </c>
      <c r="AM292" s="70">
        <v>32</v>
      </c>
      <c r="AN292" s="113" t="s">
        <v>114</v>
      </c>
      <c r="AO292" s="116"/>
      <c r="AP292" s="114" t="s">
        <v>158</v>
      </c>
      <c r="AQ292" s="115" t="s">
        <v>1607</v>
      </c>
    </row>
    <row r="293" spans="1:43" x14ac:dyDescent="0.25">
      <c r="A293" s="69" t="s">
        <v>74</v>
      </c>
      <c r="B293" s="70" t="s">
        <v>102</v>
      </c>
      <c r="C293" s="70" t="s">
        <v>1504</v>
      </c>
      <c r="D293" s="70" t="s">
        <v>1505</v>
      </c>
      <c r="E293" s="70" t="s">
        <v>40</v>
      </c>
      <c r="F293" s="70" t="s">
        <v>131</v>
      </c>
      <c r="G293" s="70" t="s">
        <v>131</v>
      </c>
      <c r="H293" s="70" t="s">
        <v>131</v>
      </c>
      <c r="I293" s="70" t="s">
        <v>131</v>
      </c>
      <c r="J293" s="70" t="s">
        <v>131</v>
      </c>
      <c r="K293" s="70" t="s">
        <v>40</v>
      </c>
      <c r="L293" s="108"/>
      <c r="M293" s="109"/>
      <c r="N293" s="70" t="s">
        <v>1605</v>
      </c>
      <c r="O293" s="70">
        <v>0</v>
      </c>
      <c r="P293" s="70">
        <v>6</v>
      </c>
      <c r="Q293" s="70">
        <v>6</v>
      </c>
      <c r="R293" s="70">
        <v>6</v>
      </c>
      <c r="S293" s="70">
        <v>6</v>
      </c>
      <c r="T293" s="70">
        <v>6</v>
      </c>
      <c r="U293" s="70">
        <v>0</v>
      </c>
      <c r="V293" s="70">
        <v>30</v>
      </c>
      <c r="W293" s="146">
        <v>648401</v>
      </c>
      <c r="X293" s="146">
        <v>88920</v>
      </c>
      <c r="Y293" s="146">
        <v>3841605</v>
      </c>
      <c r="Z293" s="70" t="s">
        <v>118</v>
      </c>
      <c r="AA293" s="70" t="s">
        <v>118</v>
      </c>
      <c r="AB293" s="70">
        <v>83851</v>
      </c>
      <c r="AC293" s="70">
        <v>74054</v>
      </c>
      <c r="AD293" s="146" t="s">
        <v>1638</v>
      </c>
      <c r="AE293" s="146" t="s">
        <v>1639</v>
      </c>
      <c r="AF293" s="110"/>
      <c r="AG293" s="70" t="s">
        <v>1506</v>
      </c>
      <c r="AH293" s="70">
        <v>39574767</v>
      </c>
      <c r="AI293" s="70" t="s">
        <v>1507</v>
      </c>
      <c r="AJ293" s="111">
        <v>44039</v>
      </c>
      <c r="AK293" s="111">
        <v>44039</v>
      </c>
      <c r="AL293" s="112">
        <v>44047</v>
      </c>
      <c r="AM293" s="70">
        <v>32</v>
      </c>
      <c r="AN293" s="113" t="s">
        <v>114</v>
      </c>
      <c r="AO293" s="116"/>
      <c r="AP293" s="114" t="s">
        <v>158</v>
      </c>
      <c r="AQ293" s="115" t="s">
        <v>1607</v>
      </c>
    </row>
    <row r="294" spans="1:43" x14ac:dyDescent="0.25">
      <c r="A294" s="69" t="s">
        <v>74</v>
      </c>
      <c r="B294" s="70" t="s">
        <v>102</v>
      </c>
      <c r="C294" s="70" t="s">
        <v>1508</v>
      </c>
      <c r="D294" s="70" t="s">
        <v>1509</v>
      </c>
      <c r="E294" s="70" t="s">
        <v>40</v>
      </c>
      <c r="F294" s="70" t="s">
        <v>131</v>
      </c>
      <c r="G294" s="70" t="s">
        <v>131</v>
      </c>
      <c r="H294" s="70" t="s">
        <v>131</v>
      </c>
      <c r="I294" s="70" t="s">
        <v>131</v>
      </c>
      <c r="J294" s="70" t="s">
        <v>131</v>
      </c>
      <c r="K294" s="70" t="s">
        <v>40</v>
      </c>
      <c r="L294" s="108"/>
      <c r="M294" s="109"/>
      <c r="N294" s="70" t="s">
        <v>1605</v>
      </c>
      <c r="O294" s="70">
        <v>0</v>
      </c>
      <c r="P294" s="70">
        <v>6</v>
      </c>
      <c r="Q294" s="70">
        <v>6</v>
      </c>
      <c r="R294" s="70">
        <v>6</v>
      </c>
      <c r="S294" s="70">
        <v>6</v>
      </c>
      <c r="T294" s="70">
        <v>6</v>
      </c>
      <c r="U294" s="70">
        <v>0</v>
      </c>
      <c r="V294" s="70">
        <v>30</v>
      </c>
      <c r="W294" s="146">
        <v>648402</v>
      </c>
      <c r="X294" s="146">
        <v>88922</v>
      </c>
      <c r="Y294" s="146">
        <v>3841611</v>
      </c>
      <c r="Z294" s="70" t="s">
        <v>118</v>
      </c>
      <c r="AA294" s="70" t="s">
        <v>118</v>
      </c>
      <c r="AB294" s="70">
        <v>83851</v>
      </c>
      <c r="AC294" s="70">
        <v>74054</v>
      </c>
      <c r="AD294" s="146" t="s">
        <v>1640</v>
      </c>
      <c r="AE294" s="146" t="s">
        <v>1641</v>
      </c>
      <c r="AF294" s="110"/>
      <c r="AG294" s="70" t="s">
        <v>1510</v>
      </c>
      <c r="AH294" s="70">
        <v>39730809</v>
      </c>
      <c r="AI294" s="70" t="s">
        <v>1511</v>
      </c>
      <c r="AJ294" s="111">
        <v>44039</v>
      </c>
      <c r="AK294" s="111">
        <v>44039</v>
      </c>
      <c r="AL294" s="112">
        <v>44047</v>
      </c>
      <c r="AM294" s="70">
        <v>32</v>
      </c>
      <c r="AN294" s="113" t="s">
        <v>114</v>
      </c>
      <c r="AO294" s="116"/>
      <c r="AP294" s="114" t="s">
        <v>158</v>
      </c>
      <c r="AQ294" s="115" t="s">
        <v>1607</v>
      </c>
    </row>
    <row r="295" spans="1:43" x14ac:dyDescent="0.25">
      <c r="A295" s="69" t="s">
        <v>74</v>
      </c>
      <c r="B295" s="70" t="s">
        <v>102</v>
      </c>
      <c r="C295" s="70" t="s">
        <v>1512</v>
      </c>
      <c r="D295" s="70" t="s">
        <v>1513</v>
      </c>
      <c r="E295" s="70" t="s">
        <v>40</v>
      </c>
      <c r="F295" s="70" t="s">
        <v>131</v>
      </c>
      <c r="G295" s="70" t="s">
        <v>131</v>
      </c>
      <c r="H295" s="70" t="s">
        <v>131</v>
      </c>
      <c r="I295" s="70" t="s">
        <v>131</v>
      </c>
      <c r="J295" s="70" t="s">
        <v>131</v>
      </c>
      <c r="K295" s="70" t="s">
        <v>40</v>
      </c>
      <c r="L295" s="108"/>
      <c r="M295" s="109"/>
      <c r="N295" s="70" t="s">
        <v>1605</v>
      </c>
      <c r="O295" s="70">
        <v>0</v>
      </c>
      <c r="P295" s="70">
        <v>6</v>
      </c>
      <c r="Q295" s="70">
        <v>6</v>
      </c>
      <c r="R295" s="70">
        <v>6</v>
      </c>
      <c r="S295" s="70">
        <v>6</v>
      </c>
      <c r="T295" s="70">
        <v>6</v>
      </c>
      <c r="U295" s="70">
        <v>0</v>
      </c>
      <c r="V295" s="70">
        <v>30</v>
      </c>
      <c r="W295" s="146">
        <v>648403</v>
      </c>
      <c r="X295" s="146">
        <v>88916</v>
      </c>
      <c r="Y295" s="146">
        <v>3841614</v>
      </c>
      <c r="Z295" s="70" t="s">
        <v>118</v>
      </c>
      <c r="AA295" s="70" t="s">
        <v>118</v>
      </c>
      <c r="AB295" s="70">
        <v>83851</v>
      </c>
      <c r="AC295" s="70">
        <v>74054</v>
      </c>
      <c r="AD295" s="146" t="s">
        <v>1642</v>
      </c>
      <c r="AE295" s="146" t="s">
        <v>1643</v>
      </c>
      <c r="AF295" s="110"/>
      <c r="AG295" s="70" t="s">
        <v>1514</v>
      </c>
      <c r="AH295" s="70">
        <v>41771566</v>
      </c>
      <c r="AI295" s="70" t="s">
        <v>1515</v>
      </c>
      <c r="AJ295" s="111">
        <v>44039</v>
      </c>
      <c r="AK295" s="111">
        <v>44039</v>
      </c>
      <c r="AL295" s="112">
        <v>44047</v>
      </c>
      <c r="AM295" s="70">
        <v>32</v>
      </c>
      <c r="AN295" s="113" t="s">
        <v>114</v>
      </c>
      <c r="AO295" s="116"/>
      <c r="AP295" s="114" t="s">
        <v>158</v>
      </c>
      <c r="AQ295" s="115" t="s">
        <v>1607</v>
      </c>
    </row>
    <row r="296" spans="1:43" x14ac:dyDescent="0.25">
      <c r="A296" s="69" t="s">
        <v>74</v>
      </c>
      <c r="B296" s="70" t="s">
        <v>102</v>
      </c>
      <c r="C296" s="70" t="s">
        <v>1516</v>
      </c>
      <c r="D296" s="70" t="s">
        <v>1517</v>
      </c>
      <c r="E296" s="70" t="s">
        <v>40</v>
      </c>
      <c r="F296" s="70" t="s">
        <v>131</v>
      </c>
      <c r="G296" s="70" t="s">
        <v>131</v>
      </c>
      <c r="H296" s="70" t="s">
        <v>131</v>
      </c>
      <c r="I296" s="70" t="s">
        <v>131</v>
      </c>
      <c r="J296" s="70" t="s">
        <v>131</v>
      </c>
      <c r="K296" s="70" t="s">
        <v>40</v>
      </c>
      <c r="L296" s="108"/>
      <c r="M296" s="109"/>
      <c r="N296" s="70" t="s">
        <v>1605</v>
      </c>
      <c r="O296" s="70">
        <v>0</v>
      </c>
      <c r="P296" s="70">
        <v>6</v>
      </c>
      <c r="Q296" s="70">
        <v>6</v>
      </c>
      <c r="R296" s="70">
        <v>6</v>
      </c>
      <c r="S296" s="70">
        <v>6</v>
      </c>
      <c r="T296" s="70">
        <v>6</v>
      </c>
      <c r="U296" s="70">
        <v>0</v>
      </c>
      <c r="V296" s="70">
        <v>30</v>
      </c>
      <c r="W296" s="146">
        <v>648404</v>
      </c>
      <c r="X296" s="146">
        <v>88915</v>
      </c>
      <c r="Y296" s="146">
        <v>3841616</v>
      </c>
      <c r="Z296" s="70" t="s">
        <v>118</v>
      </c>
      <c r="AA296" s="70" t="s">
        <v>118</v>
      </c>
      <c r="AB296" s="70">
        <v>83851</v>
      </c>
      <c r="AC296" s="70">
        <v>74054</v>
      </c>
      <c r="AD296" s="146" t="s">
        <v>1644</v>
      </c>
      <c r="AE296" s="146" t="s">
        <v>1645</v>
      </c>
      <c r="AF296" s="110"/>
      <c r="AG296" s="70" t="s">
        <v>1518</v>
      </c>
      <c r="AH296" s="70">
        <v>42371182</v>
      </c>
      <c r="AI296" s="70" t="s">
        <v>1519</v>
      </c>
      <c r="AJ296" s="111">
        <v>44039</v>
      </c>
      <c r="AK296" s="111">
        <v>44039</v>
      </c>
      <c r="AL296" s="112">
        <v>44047</v>
      </c>
      <c r="AM296" s="70">
        <v>32</v>
      </c>
      <c r="AN296" s="113" t="s">
        <v>114</v>
      </c>
      <c r="AO296" s="116"/>
      <c r="AP296" s="114" t="s">
        <v>158</v>
      </c>
      <c r="AQ296" s="115" t="s">
        <v>1607</v>
      </c>
    </row>
    <row r="297" spans="1:43" x14ac:dyDescent="0.25">
      <c r="A297" s="69" t="s">
        <v>74</v>
      </c>
      <c r="B297" s="70" t="s">
        <v>102</v>
      </c>
      <c r="C297" s="70" t="s">
        <v>1520</v>
      </c>
      <c r="D297" s="70" t="s">
        <v>1521</v>
      </c>
      <c r="E297" s="70" t="s">
        <v>40</v>
      </c>
      <c r="F297" s="70" t="s">
        <v>131</v>
      </c>
      <c r="G297" s="70" t="s">
        <v>131</v>
      </c>
      <c r="H297" s="70" t="s">
        <v>131</v>
      </c>
      <c r="I297" s="70" t="s">
        <v>131</v>
      </c>
      <c r="J297" s="70" t="s">
        <v>131</v>
      </c>
      <c r="K297" s="70" t="s">
        <v>40</v>
      </c>
      <c r="L297" s="108"/>
      <c r="M297" s="109"/>
      <c r="N297" s="70" t="s">
        <v>1605</v>
      </c>
      <c r="O297" s="70">
        <v>0</v>
      </c>
      <c r="P297" s="70">
        <v>6</v>
      </c>
      <c r="Q297" s="70">
        <v>6</v>
      </c>
      <c r="R297" s="70">
        <v>6</v>
      </c>
      <c r="S297" s="70">
        <v>6</v>
      </c>
      <c r="T297" s="70">
        <v>6</v>
      </c>
      <c r="U297" s="70">
        <v>0</v>
      </c>
      <c r="V297" s="70">
        <v>30</v>
      </c>
      <c r="W297" s="146">
        <v>648405</v>
      </c>
      <c r="X297" s="146">
        <v>88919</v>
      </c>
      <c r="Y297" s="146">
        <v>3841618</v>
      </c>
      <c r="Z297" s="70" t="s">
        <v>118</v>
      </c>
      <c r="AA297" s="70" t="s">
        <v>118</v>
      </c>
      <c r="AB297" s="70">
        <v>83851</v>
      </c>
      <c r="AC297" s="70">
        <v>74054</v>
      </c>
      <c r="AD297" s="146" t="s">
        <v>1646</v>
      </c>
      <c r="AE297" s="146" t="s">
        <v>1647</v>
      </c>
      <c r="AF297" s="110"/>
      <c r="AG297" s="70" t="s">
        <v>1522</v>
      </c>
      <c r="AH297" s="70">
        <v>36439725</v>
      </c>
      <c r="AI297" s="70" t="s">
        <v>1523</v>
      </c>
      <c r="AJ297" s="111">
        <v>44039</v>
      </c>
      <c r="AK297" s="111">
        <v>44039</v>
      </c>
      <c r="AL297" s="112">
        <v>44047</v>
      </c>
      <c r="AM297" s="70">
        <v>32</v>
      </c>
      <c r="AN297" s="113" t="s">
        <v>114</v>
      </c>
      <c r="AO297" s="116"/>
      <c r="AP297" s="114" t="s">
        <v>158</v>
      </c>
      <c r="AQ297" s="115" t="s">
        <v>1607</v>
      </c>
    </row>
    <row r="298" spans="1:43" x14ac:dyDescent="0.25">
      <c r="A298" s="69" t="s">
        <v>74</v>
      </c>
      <c r="B298" s="70" t="s">
        <v>102</v>
      </c>
      <c r="C298" s="70" t="s">
        <v>1524</v>
      </c>
      <c r="D298" s="70" t="s">
        <v>1525</v>
      </c>
      <c r="E298" s="70" t="s">
        <v>40</v>
      </c>
      <c r="F298" s="70" t="s">
        <v>131</v>
      </c>
      <c r="G298" s="70" t="s">
        <v>131</v>
      </c>
      <c r="H298" s="70" t="s">
        <v>131</v>
      </c>
      <c r="I298" s="70" t="s">
        <v>131</v>
      </c>
      <c r="J298" s="70" t="s">
        <v>131</v>
      </c>
      <c r="K298" s="70" t="s">
        <v>40</v>
      </c>
      <c r="L298" s="108"/>
      <c r="M298" s="109"/>
      <c r="N298" s="70" t="s">
        <v>1605</v>
      </c>
      <c r="O298" s="70">
        <v>0</v>
      </c>
      <c r="P298" s="70">
        <v>6</v>
      </c>
      <c r="Q298" s="70">
        <v>6</v>
      </c>
      <c r="R298" s="70">
        <v>6</v>
      </c>
      <c r="S298" s="70">
        <v>6</v>
      </c>
      <c r="T298" s="70">
        <v>6</v>
      </c>
      <c r="U298" s="70">
        <v>0</v>
      </c>
      <c r="V298" s="70">
        <v>30</v>
      </c>
      <c r="W298" s="146">
        <v>648406</v>
      </c>
      <c r="X298" s="146">
        <v>88913</v>
      </c>
      <c r="Y298" s="146">
        <v>3841619</v>
      </c>
      <c r="Z298" s="70" t="s">
        <v>118</v>
      </c>
      <c r="AA298" s="70" t="s">
        <v>118</v>
      </c>
      <c r="AB298" s="70">
        <v>83851</v>
      </c>
      <c r="AC298" s="70">
        <v>74054</v>
      </c>
      <c r="AD298" s="146" t="s">
        <v>1648</v>
      </c>
      <c r="AE298" s="146" t="s">
        <v>1649</v>
      </c>
      <c r="AF298" s="110"/>
      <c r="AG298" s="70" t="s">
        <v>1526</v>
      </c>
      <c r="AH298" s="70">
        <v>38224052</v>
      </c>
      <c r="AI298" s="70" t="s">
        <v>1527</v>
      </c>
      <c r="AJ298" s="111">
        <v>44039</v>
      </c>
      <c r="AK298" s="111">
        <v>44039</v>
      </c>
      <c r="AL298" s="112">
        <v>44047</v>
      </c>
      <c r="AM298" s="70">
        <v>32</v>
      </c>
      <c r="AN298" s="113" t="s">
        <v>114</v>
      </c>
      <c r="AO298" s="116"/>
      <c r="AP298" s="114" t="s">
        <v>158</v>
      </c>
      <c r="AQ298" s="115" t="s">
        <v>1607</v>
      </c>
    </row>
    <row r="299" spans="1:43" x14ac:dyDescent="0.25">
      <c r="A299" s="69" t="s">
        <v>74</v>
      </c>
      <c r="B299" s="70" t="s">
        <v>102</v>
      </c>
      <c r="C299" s="70" t="s">
        <v>859</v>
      </c>
      <c r="D299" s="70" t="s">
        <v>1528</v>
      </c>
      <c r="E299" s="70" t="s">
        <v>40</v>
      </c>
      <c r="F299" s="70" t="s">
        <v>131</v>
      </c>
      <c r="G299" s="70" t="s">
        <v>131</v>
      </c>
      <c r="H299" s="70" t="s">
        <v>131</v>
      </c>
      <c r="I299" s="70" t="s">
        <v>131</v>
      </c>
      <c r="J299" s="70" t="s">
        <v>131</v>
      </c>
      <c r="K299" s="70" t="s">
        <v>40</v>
      </c>
      <c r="L299" s="108"/>
      <c r="M299" s="109"/>
      <c r="N299" s="70" t="s">
        <v>1605</v>
      </c>
      <c r="O299" s="70">
        <v>0</v>
      </c>
      <c r="P299" s="70">
        <v>6</v>
      </c>
      <c r="Q299" s="70">
        <v>6</v>
      </c>
      <c r="R299" s="70">
        <v>6</v>
      </c>
      <c r="S299" s="70">
        <v>6</v>
      </c>
      <c r="T299" s="70">
        <v>6</v>
      </c>
      <c r="U299" s="70">
        <v>0</v>
      </c>
      <c r="V299" s="70">
        <v>30</v>
      </c>
      <c r="W299" s="146">
        <v>648407</v>
      </c>
      <c r="X299" s="146">
        <v>88917</v>
      </c>
      <c r="Y299" s="146">
        <v>3841622</v>
      </c>
      <c r="Z299" s="70" t="s">
        <v>118</v>
      </c>
      <c r="AA299" s="70" t="s">
        <v>118</v>
      </c>
      <c r="AB299" s="70">
        <v>83851</v>
      </c>
      <c r="AC299" s="70">
        <v>74054</v>
      </c>
      <c r="AD299" s="146" t="s">
        <v>1650</v>
      </c>
      <c r="AE299" s="146" t="s">
        <v>1651</v>
      </c>
      <c r="AF299" s="110"/>
      <c r="AG299" s="70" t="s">
        <v>1529</v>
      </c>
      <c r="AH299" s="70">
        <v>38244120</v>
      </c>
      <c r="AI299" s="70" t="s">
        <v>1530</v>
      </c>
      <c r="AJ299" s="111">
        <v>44039</v>
      </c>
      <c r="AK299" s="111">
        <v>44039</v>
      </c>
      <c r="AL299" s="112">
        <v>44047</v>
      </c>
      <c r="AM299" s="70">
        <v>32</v>
      </c>
      <c r="AN299" s="113" t="s">
        <v>114</v>
      </c>
      <c r="AO299" s="116"/>
      <c r="AP299" s="114" t="s">
        <v>158</v>
      </c>
      <c r="AQ299" s="115" t="s">
        <v>1607</v>
      </c>
    </row>
    <row r="300" spans="1:43" x14ac:dyDescent="0.25">
      <c r="A300" s="69" t="s">
        <v>74</v>
      </c>
      <c r="B300" s="70" t="s">
        <v>102</v>
      </c>
      <c r="C300" s="70" t="s">
        <v>1531</v>
      </c>
      <c r="D300" s="70" t="s">
        <v>1532</v>
      </c>
      <c r="E300" s="70" t="s">
        <v>40</v>
      </c>
      <c r="F300" s="70" t="s">
        <v>131</v>
      </c>
      <c r="G300" s="70" t="s">
        <v>131</v>
      </c>
      <c r="H300" s="70" t="s">
        <v>131</v>
      </c>
      <c r="I300" s="70" t="s">
        <v>131</v>
      </c>
      <c r="J300" s="70" t="s">
        <v>131</v>
      </c>
      <c r="K300" s="70" t="s">
        <v>40</v>
      </c>
      <c r="L300" s="108"/>
      <c r="M300" s="109"/>
      <c r="N300" s="70" t="s">
        <v>1605</v>
      </c>
      <c r="O300" s="70">
        <v>0</v>
      </c>
      <c r="P300" s="70">
        <v>6</v>
      </c>
      <c r="Q300" s="70">
        <v>6</v>
      </c>
      <c r="R300" s="70">
        <v>6</v>
      </c>
      <c r="S300" s="70">
        <v>6</v>
      </c>
      <c r="T300" s="70">
        <v>6</v>
      </c>
      <c r="U300" s="70">
        <v>0</v>
      </c>
      <c r="V300" s="70">
        <v>30</v>
      </c>
      <c r="W300" s="146">
        <v>648408</v>
      </c>
      <c r="X300" s="146">
        <v>648408</v>
      </c>
      <c r="Y300" s="70">
        <v>3436665</v>
      </c>
      <c r="Z300" s="70" t="s">
        <v>118</v>
      </c>
      <c r="AA300" s="70" t="s">
        <v>118</v>
      </c>
      <c r="AB300" s="70">
        <v>83851</v>
      </c>
      <c r="AC300" s="70">
        <v>74054</v>
      </c>
      <c r="AD300" s="146" t="s">
        <v>1652</v>
      </c>
      <c r="AE300" s="146" t="s">
        <v>1653</v>
      </c>
      <c r="AF300" s="110"/>
      <c r="AG300" s="70"/>
      <c r="AH300" s="70">
        <v>31354102</v>
      </c>
      <c r="AI300" s="70" t="s">
        <v>1533</v>
      </c>
      <c r="AJ300" s="111">
        <v>44046</v>
      </c>
      <c r="AK300" s="111">
        <v>44046</v>
      </c>
      <c r="AL300" s="112">
        <v>44057</v>
      </c>
      <c r="AM300" s="70">
        <v>26</v>
      </c>
      <c r="AN300" s="113" t="s">
        <v>114</v>
      </c>
      <c r="AO300" s="116"/>
      <c r="AP300" s="114" t="s">
        <v>158</v>
      </c>
      <c r="AQ300" s="115" t="s">
        <v>1607</v>
      </c>
    </row>
    <row r="301" spans="1:43" x14ac:dyDescent="0.25">
      <c r="A301" s="69" t="s">
        <v>71</v>
      </c>
      <c r="B301" s="70" t="s">
        <v>101</v>
      </c>
      <c r="C301" s="70" t="s">
        <v>1534</v>
      </c>
      <c r="D301" s="70" t="s">
        <v>1535</v>
      </c>
      <c r="E301" s="70" t="s">
        <v>40</v>
      </c>
      <c r="F301" s="70" t="s">
        <v>420</v>
      </c>
      <c r="G301" s="70" t="s">
        <v>420</v>
      </c>
      <c r="H301" s="70" t="s">
        <v>420</v>
      </c>
      <c r="I301" s="70" t="s">
        <v>420</v>
      </c>
      <c r="J301" s="70" t="s">
        <v>420</v>
      </c>
      <c r="K301" s="70" t="s">
        <v>40</v>
      </c>
      <c r="L301" s="108"/>
      <c r="M301" s="109"/>
      <c r="N301" s="70" t="s">
        <v>1605</v>
      </c>
      <c r="O301" s="70">
        <v>0</v>
      </c>
      <c r="P301" s="70">
        <v>6</v>
      </c>
      <c r="Q301" s="70">
        <v>6</v>
      </c>
      <c r="R301" s="70">
        <v>6</v>
      </c>
      <c r="S301" s="70">
        <v>6</v>
      </c>
      <c r="T301" s="70">
        <v>6</v>
      </c>
      <c r="U301" s="70">
        <v>0</v>
      </c>
      <c r="V301" s="70">
        <v>30</v>
      </c>
      <c r="W301" s="146">
        <v>648409</v>
      </c>
      <c r="X301" s="146">
        <v>648409</v>
      </c>
      <c r="Y301" s="70">
        <v>3849916</v>
      </c>
      <c r="Z301" s="70" t="s">
        <v>118</v>
      </c>
      <c r="AA301" s="70" t="s">
        <v>118</v>
      </c>
      <c r="AB301" s="70">
        <v>84144</v>
      </c>
      <c r="AC301" s="70">
        <v>64118</v>
      </c>
      <c r="AD301" s="146" t="s">
        <v>1654</v>
      </c>
      <c r="AE301" s="146" t="s">
        <v>1655</v>
      </c>
      <c r="AF301" s="110"/>
      <c r="AG301" s="70"/>
      <c r="AH301" s="70">
        <v>39975338</v>
      </c>
      <c r="AI301" s="70" t="s">
        <v>1536</v>
      </c>
      <c r="AJ301" s="111">
        <v>44046</v>
      </c>
      <c r="AK301" s="111">
        <v>44046</v>
      </c>
      <c r="AL301" s="112">
        <v>44057</v>
      </c>
      <c r="AM301" s="70">
        <v>26</v>
      </c>
      <c r="AN301" s="113" t="s">
        <v>114</v>
      </c>
      <c r="AO301" s="116"/>
      <c r="AP301" s="114" t="s">
        <v>158</v>
      </c>
      <c r="AQ301" s="115" t="s">
        <v>1611</v>
      </c>
    </row>
    <row r="302" spans="1:43" x14ac:dyDescent="0.25">
      <c r="A302" s="69" t="s">
        <v>74</v>
      </c>
      <c r="B302" s="70" t="s">
        <v>102</v>
      </c>
      <c r="C302" s="70" t="s">
        <v>1084</v>
      </c>
      <c r="D302" s="70" t="s">
        <v>1537</v>
      </c>
      <c r="E302" s="70" t="s">
        <v>40</v>
      </c>
      <c r="F302" s="70" t="s">
        <v>131</v>
      </c>
      <c r="G302" s="70" t="s">
        <v>131</v>
      </c>
      <c r="H302" s="70" t="s">
        <v>131</v>
      </c>
      <c r="I302" s="70" t="s">
        <v>131</v>
      </c>
      <c r="J302" s="70" t="s">
        <v>131</v>
      </c>
      <c r="K302" s="70" t="s">
        <v>40</v>
      </c>
      <c r="L302" s="108"/>
      <c r="M302" s="109"/>
      <c r="N302" s="70" t="s">
        <v>1605</v>
      </c>
      <c r="O302" s="70">
        <v>0</v>
      </c>
      <c r="P302" s="70">
        <v>6</v>
      </c>
      <c r="Q302" s="70">
        <v>6</v>
      </c>
      <c r="R302" s="70">
        <v>6</v>
      </c>
      <c r="S302" s="70">
        <v>6</v>
      </c>
      <c r="T302" s="70">
        <v>6</v>
      </c>
      <c r="U302" s="70">
        <v>0</v>
      </c>
      <c r="V302" s="70">
        <v>30</v>
      </c>
      <c r="W302" s="146">
        <v>648410</v>
      </c>
      <c r="X302" s="146">
        <v>648410</v>
      </c>
      <c r="Y302" s="70">
        <v>3320633</v>
      </c>
      <c r="Z302" s="70" t="s">
        <v>118</v>
      </c>
      <c r="AA302" s="70" t="s">
        <v>118</v>
      </c>
      <c r="AB302" s="70">
        <v>83851</v>
      </c>
      <c r="AC302" s="70">
        <v>74054</v>
      </c>
      <c r="AD302" s="146" t="s">
        <v>1656</v>
      </c>
      <c r="AE302" s="146" t="s">
        <v>1657</v>
      </c>
      <c r="AF302" s="110"/>
      <c r="AG302" s="70"/>
      <c r="AH302" s="70">
        <v>42371665</v>
      </c>
      <c r="AI302" s="70" t="s">
        <v>1538</v>
      </c>
      <c r="AJ302" s="111">
        <v>44046</v>
      </c>
      <c r="AK302" s="111">
        <v>44046</v>
      </c>
      <c r="AL302" s="112">
        <v>44057</v>
      </c>
      <c r="AM302" s="70">
        <v>26</v>
      </c>
      <c r="AN302" s="113" t="s">
        <v>114</v>
      </c>
      <c r="AO302" s="116"/>
      <c r="AP302" s="114" t="s">
        <v>158</v>
      </c>
      <c r="AQ302" s="115" t="s">
        <v>1607</v>
      </c>
    </row>
    <row r="303" spans="1:43" x14ac:dyDescent="0.25">
      <c r="A303" s="69" t="s">
        <v>74</v>
      </c>
      <c r="B303" s="70" t="s">
        <v>102</v>
      </c>
      <c r="C303" s="70" t="s">
        <v>1539</v>
      </c>
      <c r="D303" s="70" t="s">
        <v>1540</v>
      </c>
      <c r="E303" s="70" t="s">
        <v>40</v>
      </c>
      <c r="F303" s="70" t="s">
        <v>131</v>
      </c>
      <c r="G303" s="70" t="s">
        <v>131</v>
      </c>
      <c r="H303" s="70" t="s">
        <v>131</v>
      </c>
      <c r="I303" s="70" t="s">
        <v>131</v>
      </c>
      <c r="J303" s="70" t="s">
        <v>131</v>
      </c>
      <c r="K303" s="70" t="s">
        <v>40</v>
      </c>
      <c r="L303" s="108"/>
      <c r="M303" s="109"/>
      <c r="N303" s="70" t="s">
        <v>1605</v>
      </c>
      <c r="O303" s="70">
        <v>0</v>
      </c>
      <c r="P303" s="70">
        <v>6</v>
      </c>
      <c r="Q303" s="70">
        <v>6</v>
      </c>
      <c r="R303" s="70">
        <v>6</v>
      </c>
      <c r="S303" s="70">
        <v>6</v>
      </c>
      <c r="T303" s="70">
        <v>6</v>
      </c>
      <c r="U303" s="70">
        <v>0</v>
      </c>
      <c r="V303" s="70">
        <v>30</v>
      </c>
      <c r="W303" s="146">
        <v>648411</v>
      </c>
      <c r="X303" s="146">
        <v>648411</v>
      </c>
      <c r="Y303" s="70">
        <v>3851241</v>
      </c>
      <c r="Z303" s="70" t="s">
        <v>118</v>
      </c>
      <c r="AA303" s="70" t="s">
        <v>118</v>
      </c>
      <c r="AB303" s="70">
        <v>83851</v>
      </c>
      <c r="AC303" s="70">
        <v>74054</v>
      </c>
      <c r="AD303" s="146" t="s">
        <v>1658</v>
      </c>
      <c r="AE303" s="146" t="s">
        <v>1659</v>
      </c>
      <c r="AF303" s="110"/>
      <c r="AG303" s="70"/>
      <c r="AH303" s="70">
        <v>37657560</v>
      </c>
      <c r="AI303" s="70" t="s">
        <v>1541</v>
      </c>
      <c r="AJ303" s="111">
        <v>44046</v>
      </c>
      <c r="AK303" s="111">
        <v>44046</v>
      </c>
      <c r="AL303" s="112">
        <v>44057</v>
      </c>
      <c r="AM303" s="70">
        <v>26</v>
      </c>
      <c r="AN303" s="113" t="s">
        <v>114</v>
      </c>
      <c r="AO303" s="116"/>
      <c r="AP303" s="114" t="s">
        <v>158</v>
      </c>
      <c r="AQ303" s="115" t="s">
        <v>1607</v>
      </c>
    </row>
    <row r="304" spans="1:43" x14ac:dyDescent="0.25">
      <c r="A304" s="69" t="s">
        <v>74</v>
      </c>
      <c r="B304" s="70" t="s">
        <v>102</v>
      </c>
      <c r="C304" s="70" t="s">
        <v>1542</v>
      </c>
      <c r="D304" s="70" t="s">
        <v>1543</v>
      </c>
      <c r="E304" s="70" t="s">
        <v>40</v>
      </c>
      <c r="F304" s="70" t="s">
        <v>131</v>
      </c>
      <c r="G304" s="70" t="s">
        <v>131</v>
      </c>
      <c r="H304" s="70" t="s">
        <v>131</v>
      </c>
      <c r="I304" s="70" t="s">
        <v>131</v>
      </c>
      <c r="J304" s="70" t="s">
        <v>131</v>
      </c>
      <c r="K304" s="70" t="s">
        <v>40</v>
      </c>
      <c r="L304" s="108"/>
      <c r="M304" s="109"/>
      <c r="N304" s="70" t="s">
        <v>1605</v>
      </c>
      <c r="O304" s="70">
        <v>0</v>
      </c>
      <c r="P304" s="70">
        <v>6</v>
      </c>
      <c r="Q304" s="70">
        <v>6</v>
      </c>
      <c r="R304" s="70">
        <v>6</v>
      </c>
      <c r="S304" s="70">
        <v>6</v>
      </c>
      <c r="T304" s="70">
        <v>6</v>
      </c>
      <c r="U304" s="70">
        <v>0</v>
      </c>
      <c r="V304" s="70">
        <v>30</v>
      </c>
      <c r="W304" s="146">
        <v>648412</v>
      </c>
      <c r="X304" s="146">
        <v>648412</v>
      </c>
      <c r="Y304" s="70">
        <v>3851249</v>
      </c>
      <c r="Z304" s="70" t="s">
        <v>118</v>
      </c>
      <c r="AA304" s="70" t="s">
        <v>118</v>
      </c>
      <c r="AB304" s="70">
        <v>83851</v>
      </c>
      <c r="AC304" s="70">
        <v>74054</v>
      </c>
      <c r="AD304" s="146" t="s">
        <v>1660</v>
      </c>
      <c r="AE304" s="146" t="s">
        <v>1661</v>
      </c>
      <c r="AF304" s="110"/>
      <c r="AG304" s="70"/>
      <c r="AH304" s="70">
        <v>39142413</v>
      </c>
      <c r="AI304" s="70" t="s">
        <v>1544</v>
      </c>
      <c r="AJ304" s="111">
        <v>44046</v>
      </c>
      <c r="AK304" s="111">
        <v>44046</v>
      </c>
      <c r="AL304" s="112">
        <v>44057</v>
      </c>
      <c r="AM304" s="70">
        <v>26</v>
      </c>
      <c r="AN304" s="113" t="s">
        <v>114</v>
      </c>
      <c r="AO304" s="116"/>
      <c r="AP304" s="114" t="s">
        <v>158</v>
      </c>
      <c r="AQ304" s="115" t="s">
        <v>1607</v>
      </c>
    </row>
    <row r="305" spans="1:43" x14ac:dyDescent="0.25">
      <c r="A305" s="69" t="s">
        <v>71</v>
      </c>
      <c r="B305" s="70" t="s">
        <v>101</v>
      </c>
      <c r="C305" s="70" t="s">
        <v>1545</v>
      </c>
      <c r="D305" s="70" t="s">
        <v>1546</v>
      </c>
      <c r="E305" s="70" t="s">
        <v>40</v>
      </c>
      <c r="F305" s="70" t="s">
        <v>420</v>
      </c>
      <c r="G305" s="70" t="s">
        <v>420</v>
      </c>
      <c r="H305" s="70" t="s">
        <v>420</v>
      </c>
      <c r="I305" s="70" t="s">
        <v>420</v>
      </c>
      <c r="J305" s="70" t="s">
        <v>420</v>
      </c>
      <c r="K305" s="70" t="s">
        <v>40</v>
      </c>
      <c r="L305" s="108"/>
      <c r="M305" s="109"/>
      <c r="N305" s="70" t="s">
        <v>1605</v>
      </c>
      <c r="O305" s="70">
        <v>0</v>
      </c>
      <c r="P305" s="70">
        <v>6</v>
      </c>
      <c r="Q305" s="70">
        <v>6</v>
      </c>
      <c r="R305" s="70">
        <v>6</v>
      </c>
      <c r="S305" s="70">
        <v>6</v>
      </c>
      <c r="T305" s="70">
        <v>6</v>
      </c>
      <c r="U305" s="70">
        <v>0</v>
      </c>
      <c r="V305" s="70">
        <v>30</v>
      </c>
      <c r="W305" s="146">
        <v>648413</v>
      </c>
      <c r="X305" s="146">
        <v>648413</v>
      </c>
      <c r="Y305" s="70">
        <v>3851211</v>
      </c>
      <c r="Z305" s="70" t="s">
        <v>118</v>
      </c>
      <c r="AA305" s="70" t="s">
        <v>118</v>
      </c>
      <c r="AB305" s="70">
        <v>84144</v>
      </c>
      <c r="AC305" s="70">
        <v>64118</v>
      </c>
      <c r="AD305" s="146" t="s">
        <v>1662</v>
      </c>
      <c r="AE305" s="146" t="s">
        <v>1663</v>
      </c>
      <c r="AF305" s="110"/>
      <c r="AG305" s="70"/>
      <c r="AH305" s="70">
        <v>37190020</v>
      </c>
      <c r="AI305" s="70" t="s">
        <v>1547</v>
      </c>
      <c r="AJ305" s="111">
        <v>44046</v>
      </c>
      <c r="AK305" s="111">
        <v>44046</v>
      </c>
      <c r="AL305" s="112">
        <v>44057</v>
      </c>
      <c r="AM305" s="70">
        <v>26</v>
      </c>
      <c r="AN305" s="113" t="s">
        <v>114</v>
      </c>
      <c r="AO305" s="116"/>
      <c r="AP305" s="114" t="s">
        <v>158</v>
      </c>
      <c r="AQ305" s="115" t="s">
        <v>1611</v>
      </c>
    </row>
    <row r="306" spans="1:43" x14ac:dyDescent="0.25">
      <c r="A306" s="69" t="s">
        <v>74</v>
      </c>
      <c r="B306" s="70" t="s">
        <v>103</v>
      </c>
      <c r="C306" s="70" t="s">
        <v>1548</v>
      </c>
      <c r="D306" s="70" t="s">
        <v>530</v>
      </c>
      <c r="E306" s="70" t="s">
        <v>40</v>
      </c>
      <c r="F306" s="70" t="s">
        <v>131</v>
      </c>
      <c r="G306" s="70" t="s">
        <v>131</v>
      </c>
      <c r="H306" s="70" t="s">
        <v>131</v>
      </c>
      <c r="I306" s="70" t="s">
        <v>131</v>
      </c>
      <c r="J306" s="70" t="s">
        <v>131</v>
      </c>
      <c r="K306" s="70" t="s">
        <v>40</v>
      </c>
      <c r="L306" s="108"/>
      <c r="M306" s="109"/>
      <c r="N306" s="70" t="s">
        <v>1605</v>
      </c>
      <c r="O306" s="70">
        <v>0</v>
      </c>
      <c r="P306" s="70">
        <v>6</v>
      </c>
      <c r="Q306" s="70">
        <v>6</v>
      </c>
      <c r="R306" s="70">
        <v>6</v>
      </c>
      <c r="S306" s="70">
        <v>6</v>
      </c>
      <c r="T306" s="70">
        <v>6</v>
      </c>
      <c r="U306" s="70">
        <v>0</v>
      </c>
      <c r="V306" s="70">
        <v>30</v>
      </c>
      <c r="W306" s="146">
        <v>648414</v>
      </c>
      <c r="X306" s="146">
        <v>648414</v>
      </c>
      <c r="Y306" s="70">
        <v>3851254</v>
      </c>
      <c r="Z306" s="70" t="s">
        <v>118</v>
      </c>
      <c r="AA306" s="70" t="s">
        <v>118</v>
      </c>
      <c r="AB306" s="70">
        <v>83947</v>
      </c>
      <c r="AC306" s="70">
        <v>74054</v>
      </c>
      <c r="AD306" s="146" t="s">
        <v>1664</v>
      </c>
      <c r="AE306" s="146" t="s">
        <v>1665</v>
      </c>
      <c r="AF306" s="110"/>
      <c r="AG306" s="70"/>
      <c r="AH306" s="70">
        <v>40437526</v>
      </c>
      <c r="AI306" s="70" t="s">
        <v>1549</v>
      </c>
      <c r="AJ306" s="111">
        <v>44046</v>
      </c>
      <c r="AK306" s="111">
        <v>44046</v>
      </c>
      <c r="AL306" s="112">
        <v>44057</v>
      </c>
      <c r="AM306" s="70">
        <v>26</v>
      </c>
      <c r="AN306" s="113" t="s">
        <v>114</v>
      </c>
      <c r="AO306" s="116"/>
      <c r="AP306" s="114" t="s">
        <v>158</v>
      </c>
      <c r="AQ306" s="115" t="s">
        <v>1607</v>
      </c>
    </row>
    <row r="307" spans="1:43" x14ac:dyDescent="0.25">
      <c r="A307" s="69" t="s">
        <v>74</v>
      </c>
      <c r="B307" s="70" t="s">
        <v>103</v>
      </c>
      <c r="C307" s="70" t="s">
        <v>1180</v>
      </c>
      <c r="D307" s="70" t="s">
        <v>1550</v>
      </c>
      <c r="E307" s="70" t="s">
        <v>40</v>
      </c>
      <c r="F307" s="70" t="s">
        <v>131</v>
      </c>
      <c r="G307" s="70" t="s">
        <v>131</v>
      </c>
      <c r="H307" s="70" t="s">
        <v>131</v>
      </c>
      <c r="I307" s="70" t="s">
        <v>131</v>
      </c>
      <c r="J307" s="70" t="s">
        <v>131</v>
      </c>
      <c r="K307" s="70" t="s">
        <v>40</v>
      </c>
      <c r="L307" s="108"/>
      <c r="M307" s="109"/>
      <c r="N307" s="70" t="s">
        <v>1605</v>
      </c>
      <c r="O307" s="70">
        <v>0</v>
      </c>
      <c r="P307" s="70">
        <v>6</v>
      </c>
      <c r="Q307" s="70">
        <v>6</v>
      </c>
      <c r="R307" s="70">
        <v>6</v>
      </c>
      <c r="S307" s="70">
        <v>6</v>
      </c>
      <c r="T307" s="70">
        <v>6</v>
      </c>
      <c r="U307" s="70">
        <v>0</v>
      </c>
      <c r="V307" s="70">
        <v>30</v>
      </c>
      <c r="W307" s="146">
        <v>648415</v>
      </c>
      <c r="X307" s="146">
        <v>648415</v>
      </c>
      <c r="Y307" s="70">
        <v>3851265</v>
      </c>
      <c r="Z307" s="70" t="s">
        <v>118</v>
      </c>
      <c r="AA307" s="70" t="s">
        <v>118</v>
      </c>
      <c r="AB307" s="70">
        <v>83947</v>
      </c>
      <c r="AC307" s="70">
        <v>74054</v>
      </c>
      <c r="AD307" s="146" t="s">
        <v>1666</v>
      </c>
      <c r="AE307" s="146" t="s">
        <v>1667</v>
      </c>
      <c r="AF307" s="110"/>
      <c r="AG307" s="70"/>
      <c r="AH307" s="70">
        <v>41833251</v>
      </c>
      <c r="AI307" s="70" t="s">
        <v>1551</v>
      </c>
      <c r="AJ307" s="111">
        <v>44046</v>
      </c>
      <c r="AK307" s="111">
        <v>44046</v>
      </c>
      <c r="AL307" s="112">
        <v>44057</v>
      </c>
      <c r="AM307" s="70">
        <v>26</v>
      </c>
      <c r="AN307" s="113" t="s">
        <v>114</v>
      </c>
      <c r="AO307" s="116"/>
      <c r="AP307" s="114" t="s">
        <v>158</v>
      </c>
      <c r="AQ307" s="115" t="s">
        <v>1607</v>
      </c>
    </row>
    <row r="308" spans="1:43" x14ac:dyDescent="0.25">
      <c r="A308" s="69" t="s">
        <v>74</v>
      </c>
      <c r="B308" s="70" t="s">
        <v>103</v>
      </c>
      <c r="C308" s="70" t="s">
        <v>1552</v>
      </c>
      <c r="D308" s="70" t="s">
        <v>1553</v>
      </c>
      <c r="E308" s="70" t="s">
        <v>40</v>
      </c>
      <c r="F308" s="70" t="s">
        <v>131</v>
      </c>
      <c r="G308" s="70" t="s">
        <v>131</v>
      </c>
      <c r="H308" s="70" t="s">
        <v>131</v>
      </c>
      <c r="I308" s="70" t="s">
        <v>131</v>
      </c>
      <c r="J308" s="70" t="s">
        <v>131</v>
      </c>
      <c r="K308" s="70" t="s">
        <v>40</v>
      </c>
      <c r="L308" s="108"/>
      <c r="M308" s="109"/>
      <c r="N308" s="70" t="s">
        <v>1605</v>
      </c>
      <c r="O308" s="70">
        <v>0</v>
      </c>
      <c r="P308" s="70">
        <v>6</v>
      </c>
      <c r="Q308" s="70">
        <v>6</v>
      </c>
      <c r="R308" s="70">
        <v>6</v>
      </c>
      <c r="S308" s="70">
        <v>6</v>
      </c>
      <c r="T308" s="70">
        <v>6</v>
      </c>
      <c r="U308" s="70">
        <v>0</v>
      </c>
      <c r="V308" s="70">
        <v>30</v>
      </c>
      <c r="W308" s="146">
        <v>648416</v>
      </c>
      <c r="X308" s="146">
        <v>648416</v>
      </c>
      <c r="Y308" s="70">
        <v>3851228</v>
      </c>
      <c r="Z308" s="70" t="s">
        <v>118</v>
      </c>
      <c r="AA308" s="70" t="s">
        <v>118</v>
      </c>
      <c r="AB308" s="70">
        <v>83947</v>
      </c>
      <c r="AC308" s="70">
        <v>74054</v>
      </c>
      <c r="AD308" s="146" t="s">
        <v>1668</v>
      </c>
      <c r="AE308" s="146" t="s">
        <v>1669</v>
      </c>
      <c r="AF308" s="110"/>
      <c r="AG308" s="70"/>
      <c r="AH308" s="70">
        <v>42269972</v>
      </c>
      <c r="AI308" s="70" t="s">
        <v>1554</v>
      </c>
      <c r="AJ308" s="111">
        <v>44046</v>
      </c>
      <c r="AK308" s="111">
        <v>44046</v>
      </c>
      <c r="AL308" s="112">
        <v>44057</v>
      </c>
      <c r="AM308" s="70">
        <v>26</v>
      </c>
      <c r="AN308" s="113" t="s">
        <v>114</v>
      </c>
      <c r="AO308" s="116"/>
      <c r="AP308" s="114" t="s">
        <v>158</v>
      </c>
      <c r="AQ308" s="115" t="s">
        <v>1607</v>
      </c>
    </row>
    <row r="309" spans="1:43" x14ac:dyDescent="0.25">
      <c r="A309" s="69" t="s">
        <v>74</v>
      </c>
      <c r="B309" s="70" t="s">
        <v>103</v>
      </c>
      <c r="C309" s="70" t="s">
        <v>1555</v>
      </c>
      <c r="D309" s="70" t="s">
        <v>1556</v>
      </c>
      <c r="E309" s="70" t="s">
        <v>40</v>
      </c>
      <c r="F309" s="70" t="s">
        <v>131</v>
      </c>
      <c r="G309" s="70" t="s">
        <v>131</v>
      </c>
      <c r="H309" s="70" t="s">
        <v>131</v>
      </c>
      <c r="I309" s="70" t="s">
        <v>131</v>
      </c>
      <c r="J309" s="70" t="s">
        <v>131</v>
      </c>
      <c r="K309" s="70" t="s">
        <v>40</v>
      </c>
      <c r="L309" s="108"/>
      <c r="M309" s="109"/>
      <c r="N309" s="70" t="s">
        <v>1605</v>
      </c>
      <c r="O309" s="70">
        <v>0</v>
      </c>
      <c r="P309" s="70">
        <v>6</v>
      </c>
      <c r="Q309" s="70">
        <v>6</v>
      </c>
      <c r="R309" s="70">
        <v>6</v>
      </c>
      <c r="S309" s="70">
        <v>6</v>
      </c>
      <c r="T309" s="70">
        <v>6</v>
      </c>
      <c r="U309" s="70">
        <v>0</v>
      </c>
      <c r="V309" s="70">
        <v>30</v>
      </c>
      <c r="W309" s="146">
        <v>648417</v>
      </c>
      <c r="X309" s="146">
        <v>648417</v>
      </c>
      <c r="Y309" s="70">
        <v>3851268</v>
      </c>
      <c r="Z309" s="70" t="s">
        <v>118</v>
      </c>
      <c r="AA309" s="70" t="s">
        <v>118</v>
      </c>
      <c r="AB309" s="70">
        <v>83947</v>
      </c>
      <c r="AC309" s="70">
        <v>74054</v>
      </c>
      <c r="AD309" s="146" t="s">
        <v>1670</v>
      </c>
      <c r="AE309" s="146" t="s">
        <v>1671</v>
      </c>
      <c r="AF309" s="110"/>
      <c r="AG309" s="70"/>
      <c r="AH309" s="70">
        <v>37838075</v>
      </c>
      <c r="AI309" s="70" t="s">
        <v>1557</v>
      </c>
      <c r="AJ309" s="111">
        <v>44046</v>
      </c>
      <c r="AK309" s="111">
        <v>44046</v>
      </c>
      <c r="AL309" s="112">
        <v>44057</v>
      </c>
      <c r="AM309" s="70">
        <v>26</v>
      </c>
      <c r="AN309" s="113" t="s">
        <v>114</v>
      </c>
      <c r="AO309" s="116"/>
      <c r="AP309" s="114" t="s">
        <v>158</v>
      </c>
      <c r="AQ309" s="115" t="s">
        <v>1607</v>
      </c>
    </row>
    <row r="310" spans="1:43" x14ac:dyDescent="0.25">
      <c r="A310" s="69" t="s">
        <v>71</v>
      </c>
      <c r="B310" s="70" t="s">
        <v>101</v>
      </c>
      <c r="C310" s="70" t="s">
        <v>1558</v>
      </c>
      <c r="D310" s="70" t="s">
        <v>1559</v>
      </c>
      <c r="E310" s="70" t="s">
        <v>40</v>
      </c>
      <c r="F310" s="70" t="s">
        <v>420</v>
      </c>
      <c r="G310" s="70" t="s">
        <v>420</v>
      </c>
      <c r="H310" s="70" t="s">
        <v>420</v>
      </c>
      <c r="I310" s="70" t="s">
        <v>420</v>
      </c>
      <c r="J310" s="70" t="s">
        <v>420</v>
      </c>
      <c r="K310" s="70" t="s">
        <v>40</v>
      </c>
      <c r="L310" s="108"/>
      <c r="M310" s="109"/>
      <c r="N310" s="70" t="s">
        <v>1605</v>
      </c>
      <c r="O310" s="70">
        <v>0</v>
      </c>
      <c r="P310" s="70">
        <v>6</v>
      </c>
      <c r="Q310" s="70">
        <v>6</v>
      </c>
      <c r="R310" s="70">
        <v>6</v>
      </c>
      <c r="S310" s="70">
        <v>6</v>
      </c>
      <c r="T310" s="70">
        <v>6</v>
      </c>
      <c r="U310" s="70">
        <v>0</v>
      </c>
      <c r="V310" s="70">
        <v>30</v>
      </c>
      <c r="W310" s="146">
        <v>648418</v>
      </c>
      <c r="X310" s="146">
        <v>648418</v>
      </c>
      <c r="Y310" s="70">
        <v>3849918</v>
      </c>
      <c r="Z310" s="70" t="s">
        <v>118</v>
      </c>
      <c r="AA310" s="70" t="s">
        <v>118</v>
      </c>
      <c r="AB310" s="70">
        <v>84144</v>
      </c>
      <c r="AC310" s="70">
        <v>64118</v>
      </c>
      <c r="AD310" s="146" t="s">
        <v>1672</v>
      </c>
      <c r="AE310" s="146" t="s">
        <v>1673</v>
      </c>
      <c r="AF310" s="110"/>
      <c r="AG310" s="70"/>
      <c r="AH310" s="70">
        <v>36885457</v>
      </c>
      <c r="AI310" s="70" t="s">
        <v>1560</v>
      </c>
      <c r="AJ310" s="111">
        <v>44046</v>
      </c>
      <c r="AK310" s="111">
        <v>44046</v>
      </c>
      <c r="AL310" s="112">
        <v>44057</v>
      </c>
      <c r="AM310" s="70">
        <v>26</v>
      </c>
      <c r="AN310" s="113" t="s">
        <v>114</v>
      </c>
      <c r="AO310" s="116"/>
      <c r="AP310" s="114" t="s">
        <v>158</v>
      </c>
      <c r="AQ310" s="115" t="s">
        <v>1611</v>
      </c>
    </row>
    <row r="311" spans="1:43" x14ac:dyDescent="0.25">
      <c r="A311" s="69" t="s">
        <v>74</v>
      </c>
      <c r="B311" s="70" t="s">
        <v>103</v>
      </c>
      <c r="C311" s="70" t="s">
        <v>1561</v>
      </c>
      <c r="D311" s="70" t="s">
        <v>1562</v>
      </c>
      <c r="E311" s="70" t="s">
        <v>40</v>
      </c>
      <c r="F311" s="70" t="s">
        <v>131</v>
      </c>
      <c r="G311" s="70" t="s">
        <v>131</v>
      </c>
      <c r="H311" s="70" t="s">
        <v>131</v>
      </c>
      <c r="I311" s="70" t="s">
        <v>131</v>
      </c>
      <c r="J311" s="70" t="s">
        <v>131</v>
      </c>
      <c r="K311" s="70" t="s">
        <v>40</v>
      </c>
      <c r="L311" s="108"/>
      <c r="M311" s="109"/>
      <c r="N311" s="70" t="s">
        <v>1605</v>
      </c>
      <c r="O311" s="70">
        <v>0</v>
      </c>
      <c r="P311" s="70">
        <v>6</v>
      </c>
      <c r="Q311" s="70">
        <v>6</v>
      </c>
      <c r="R311" s="70">
        <v>6</v>
      </c>
      <c r="S311" s="70">
        <v>6</v>
      </c>
      <c r="T311" s="70">
        <v>6</v>
      </c>
      <c r="U311" s="70">
        <v>0</v>
      </c>
      <c r="V311" s="70">
        <v>30</v>
      </c>
      <c r="W311" s="146">
        <v>648419</v>
      </c>
      <c r="X311" s="146">
        <v>648419</v>
      </c>
      <c r="Y311" s="70">
        <v>1308377</v>
      </c>
      <c r="Z311" s="70" t="s">
        <v>118</v>
      </c>
      <c r="AA311" s="70" t="s">
        <v>118</v>
      </c>
      <c r="AB311" s="70">
        <v>83947</v>
      </c>
      <c r="AC311" s="70">
        <v>74054</v>
      </c>
      <c r="AD311" s="146" t="s">
        <v>1674</v>
      </c>
      <c r="AE311" s="146" t="s">
        <v>1675</v>
      </c>
      <c r="AF311" s="110"/>
      <c r="AG311" s="70"/>
      <c r="AH311" s="70">
        <v>37916231</v>
      </c>
      <c r="AI311" s="70" t="s">
        <v>1563</v>
      </c>
      <c r="AJ311" s="111">
        <v>44046</v>
      </c>
      <c r="AK311" s="111">
        <v>44046</v>
      </c>
      <c r="AL311" s="112">
        <v>44057</v>
      </c>
      <c r="AM311" s="70">
        <v>26</v>
      </c>
      <c r="AN311" s="113" t="s">
        <v>114</v>
      </c>
      <c r="AO311" s="116"/>
      <c r="AP311" s="114" t="s">
        <v>158</v>
      </c>
      <c r="AQ311" s="115" t="s">
        <v>1607</v>
      </c>
    </row>
    <row r="312" spans="1:43" x14ac:dyDescent="0.25">
      <c r="A312" s="69" t="s">
        <v>71</v>
      </c>
      <c r="B312" s="70" t="s">
        <v>101</v>
      </c>
      <c r="C312" s="70" t="s">
        <v>842</v>
      </c>
      <c r="D312" s="70" t="s">
        <v>1564</v>
      </c>
      <c r="E312" s="70" t="s">
        <v>40</v>
      </c>
      <c r="F312" s="70" t="s">
        <v>420</v>
      </c>
      <c r="G312" s="70" t="s">
        <v>420</v>
      </c>
      <c r="H312" s="70" t="s">
        <v>420</v>
      </c>
      <c r="I312" s="70" t="s">
        <v>420</v>
      </c>
      <c r="J312" s="70" t="s">
        <v>420</v>
      </c>
      <c r="K312" s="70" t="s">
        <v>40</v>
      </c>
      <c r="L312" s="108"/>
      <c r="M312" s="109"/>
      <c r="N312" s="70" t="s">
        <v>1605</v>
      </c>
      <c r="O312" s="70">
        <v>0</v>
      </c>
      <c r="P312" s="70">
        <v>6</v>
      </c>
      <c r="Q312" s="70">
        <v>6</v>
      </c>
      <c r="R312" s="70">
        <v>6</v>
      </c>
      <c r="S312" s="70">
        <v>6</v>
      </c>
      <c r="T312" s="70">
        <v>6</v>
      </c>
      <c r="U312" s="70">
        <v>0</v>
      </c>
      <c r="V312" s="70">
        <v>30</v>
      </c>
      <c r="W312" s="146">
        <v>648420</v>
      </c>
      <c r="X312" s="146">
        <v>648420</v>
      </c>
      <c r="Y312" s="70">
        <v>1929044</v>
      </c>
      <c r="Z312" s="70" t="s">
        <v>118</v>
      </c>
      <c r="AA312" s="70" t="s">
        <v>118</v>
      </c>
      <c r="AB312" s="70">
        <v>84144</v>
      </c>
      <c r="AC312" s="70">
        <v>64118</v>
      </c>
      <c r="AD312" s="146" t="s">
        <v>1676</v>
      </c>
      <c r="AE312" s="146" t="s">
        <v>1677</v>
      </c>
      <c r="AF312" s="110"/>
      <c r="AG312" s="70"/>
      <c r="AH312" s="146">
        <v>33431542</v>
      </c>
      <c r="AI312" s="70"/>
      <c r="AJ312" s="111">
        <v>44046</v>
      </c>
      <c r="AK312" s="111">
        <v>44046</v>
      </c>
      <c r="AL312" s="112">
        <v>44057</v>
      </c>
      <c r="AM312" s="70">
        <v>26</v>
      </c>
      <c r="AN312" s="113" t="s">
        <v>114</v>
      </c>
      <c r="AO312" s="116"/>
      <c r="AP312" s="114" t="s">
        <v>158</v>
      </c>
      <c r="AQ312" s="115" t="s">
        <v>1611</v>
      </c>
    </row>
    <row r="313" spans="1:43" x14ac:dyDescent="0.25">
      <c r="A313" s="69" t="s">
        <v>74</v>
      </c>
      <c r="B313" s="70" t="s">
        <v>103</v>
      </c>
      <c r="C313" s="70" t="s">
        <v>1565</v>
      </c>
      <c r="D313" s="70" t="s">
        <v>669</v>
      </c>
      <c r="E313" s="70" t="s">
        <v>40</v>
      </c>
      <c r="F313" s="70" t="s">
        <v>131</v>
      </c>
      <c r="G313" s="70" t="s">
        <v>131</v>
      </c>
      <c r="H313" s="70" t="s">
        <v>131</v>
      </c>
      <c r="I313" s="70" t="s">
        <v>131</v>
      </c>
      <c r="J313" s="70" t="s">
        <v>131</v>
      </c>
      <c r="K313" s="70" t="s">
        <v>40</v>
      </c>
      <c r="L313" s="108"/>
      <c r="M313" s="109"/>
      <c r="N313" s="70" t="s">
        <v>1605</v>
      </c>
      <c r="O313" s="70">
        <v>0</v>
      </c>
      <c r="P313" s="70">
        <v>6</v>
      </c>
      <c r="Q313" s="70">
        <v>6</v>
      </c>
      <c r="R313" s="70">
        <v>6</v>
      </c>
      <c r="S313" s="70">
        <v>6</v>
      </c>
      <c r="T313" s="70">
        <v>6</v>
      </c>
      <c r="U313" s="70">
        <v>0</v>
      </c>
      <c r="V313" s="70">
        <v>30</v>
      </c>
      <c r="W313" s="146">
        <v>648421</v>
      </c>
      <c r="X313" s="146">
        <v>648421</v>
      </c>
      <c r="Y313" s="70">
        <v>3851259</v>
      </c>
      <c r="Z313" s="70" t="s">
        <v>118</v>
      </c>
      <c r="AA313" s="70" t="s">
        <v>118</v>
      </c>
      <c r="AB313" s="70">
        <v>83947</v>
      </c>
      <c r="AC313" s="70">
        <v>74054</v>
      </c>
      <c r="AD313" s="146" t="s">
        <v>1678</v>
      </c>
      <c r="AE313" s="146" t="s">
        <v>1679</v>
      </c>
      <c r="AF313" s="110"/>
      <c r="AG313" s="70"/>
      <c r="AH313" s="70">
        <v>36132635</v>
      </c>
      <c r="AI313" s="70" t="s">
        <v>1566</v>
      </c>
      <c r="AJ313" s="111">
        <v>44046</v>
      </c>
      <c r="AK313" s="111">
        <v>44046</v>
      </c>
      <c r="AL313" s="112">
        <v>44057</v>
      </c>
      <c r="AM313" s="70">
        <v>26</v>
      </c>
      <c r="AN313" s="113" t="s">
        <v>114</v>
      </c>
      <c r="AO313" s="116"/>
      <c r="AP313" s="114" t="s">
        <v>158</v>
      </c>
      <c r="AQ313" s="115" t="s">
        <v>1607</v>
      </c>
    </row>
    <row r="314" spans="1:43" x14ac:dyDescent="0.25">
      <c r="A314" s="69" t="s">
        <v>74</v>
      </c>
      <c r="B314" s="70" t="s">
        <v>103</v>
      </c>
      <c r="C314" s="70" t="s">
        <v>1567</v>
      </c>
      <c r="D314" s="70" t="s">
        <v>1568</v>
      </c>
      <c r="E314" s="70" t="s">
        <v>40</v>
      </c>
      <c r="F314" s="70" t="s">
        <v>131</v>
      </c>
      <c r="G314" s="70" t="s">
        <v>131</v>
      </c>
      <c r="H314" s="70" t="s">
        <v>131</v>
      </c>
      <c r="I314" s="70" t="s">
        <v>131</v>
      </c>
      <c r="J314" s="70" t="s">
        <v>131</v>
      </c>
      <c r="K314" s="70" t="s">
        <v>40</v>
      </c>
      <c r="L314" s="108"/>
      <c r="M314" s="109"/>
      <c r="N314" s="70" t="s">
        <v>1605</v>
      </c>
      <c r="O314" s="70">
        <v>0</v>
      </c>
      <c r="P314" s="70">
        <v>6</v>
      </c>
      <c r="Q314" s="70">
        <v>6</v>
      </c>
      <c r="R314" s="70">
        <v>6</v>
      </c>
      <c r="S314" s="70">
        <v>6</v>
      </c>
      <c r="T314" s="70">
        <v>6</v>
      </c>
      <c r="U314" s="70">
        <v>0</v>
      </c>
      <c r="V314" s="70">
        <v>30</v>
      </c>
      <c r="W314" s="146">
        <v>648422</v>
      </c>
      <c r="X314" s="146">
        <v>648422</v>
      </c>
      <c r="Y314" s="70">
        <v>3851263</v>
      </c>
      <c r="Z314" s="70" t="s">
        <v>118</v>
      </c>
      <c r="AA314" s="70" t="s">
        <v>118</v>
      </c>
      <c r="AB314" s="70">
        <v>83947</v>
      </c>
      <c r="AC314" s="70">
        <v>74054</v>
      </c>
      <c r="AD314" s="146" t="s">
        <v>1680</v>
      </c>
      <c r="AE314" s="146" t="s">
        <v>1681</v>
      </c>
      <c r="AF314" s="110"/>
      <c r="AG314" s="70"/>
      <c r="AH314" s="70">
        <v>41736742</v>
      </c>
      <c r="AI314" s="70" t="s">
        <v>1569</v>
      </c>
      <c r="AJ314" s="111">
        <v>44046</v>
      </c>
      <c r="AK314" s="111">
        <v>44046</v>
      </c>
      <c r="AL314" s="112">
        <v>44057</v>
      </c>
      <c r="AM314" s="70">
        <v>26</v>
      </c>
      <c r="AN314" s="113" t="s">
        <v>114</v>
      </c>
      <c r="AO314" s="116"/>
      <c r="AP314" s="114" t="s">
        <v>158</v>
      </c>
      <c r="AQ314" s="115" t="s">
        <v>1607</v>
      </c>
    </row>
    <row r="315" spans="1:43" x14ac:dyDescent="0.25">
      <c r="A315" s="69" t="s">
        <v>97</v>
      </c>
      <c r="B315" s="70" t="s">
        <v>1570</v>
      </c>
      <c r="C315" s="70" t="s">
        <v>1571</v>
      </c>
      <c r="D315" s="70" t="s">
        <v>1572</v>
      </c>
      <c r="E315" s="70" t="s">
        <v>40</v>
      </c>
      <c r="F315" s="70" t="s">
        <v>420</v>
      </c>
      <c r="G315" s="70" t="s">
        <v>420</v>
      </c>
      <c r="H315" s="70" t="s">
        <v>420</v>
      </c>
      <c r="I315" s="70" t="s">
        <v>420</v>
      </c>
      <c r="J315" s="70" t="s">
        <v>420</v>
      </c>
      <c r="K315" s="70" t="s">
        <v>40</v>
      </c>
      <c r="L315" s="108"/>
      <c r="M315" s="109"/>
      <c r="N315" s="70" t="s">
        <v>1605</v>
      </c>
      <c r="O315" s="70">
        <v>0</v>
      </c>
      <c r="P315" s="70">
        <v>6</v>
      </c>
      <c r="Q315" s="70">
        <v>6</v>
      </c>
      <c r="R315" s="70">
        <v>6</v>
      </c>
      <c r="S315" s="70">
        <v>6</v>
      </c>
      <c r="T315" s="70">
        <v>6</v>
      </c>
      <c r="U315" s="70">
        <v>0</v>
      </c>
      <c r="V315" s="70">
        <v>30</v>
      </c>
      <c r="W315" s="146">
        <v>648423</v>
      </c>
      <c r="X315" s="146">
        <v>648423</v>
      </c>
      <c r="Y315" s="70">
        <v>3851271</v>
      </c>
      <c r="Z315" s="70" t="s">
        <v>118</v>
      </c>
      <c r="AA315" s="70" t="s">
        <v>118</v>
      </c>
      <c r="AB315" s="70">
        <v>85988</v>
      </c>
      <c r="AC315" s="70" t="e">
        <v>#N/A</v>
      </c>
      <c r="AD315" s="146" t="s">
        <v>1682</v>
      </c>
      <c r="AE315" s="146" t="s">
        <v>1683</v>
      </c>
      <c r="AF315" s="110"/>
      <c r="AG315" s="70"/>
      <c r="AH315" s="70">
        <v>40089669</v>
      </c>
      <c r="AI315" s="70" t="s">
        <v>1573</v>
      </c>
      <c r="AJ315" s="111">
        <v>44046</v>
      </c>
      <c r="AK315" s="111">
        <v>44046</v>
      </c>
      <c r="AL315" s="112">
        <v>44057</v>
      </c>
      <c r="AM315" s="70">
        <v>26</v>
      </c>
      <c r="AN315" s="113" t="s">
        <v>114</v>
      </c>
      <c r="AO315" s="116"/>
      <c r="AP315" s="114" t="s">
        <v>158</v>
      </c>
      <c r="AQ315" s="115" t="s">
        <v>1611</v>
      </c>
    </row>
    <row r="316" spans="1:43" x14ac:dyDescent="0.25">
      <c r="A316" s="69" t="s">
        <v>74</v>
      </c>
      <c r="B316" s="70" t="s">
        <v>103</v>
      </c>
      <c r="C316" s="70" t="s">
        <v>586</v>
      </c>
      <c r="D316" s="70" t="s">
        <v>1574</v>
      </c>
      <c r="E316" s="70" t="s">
        <v>40</v>
      </c>
      <c r="F316" s="70" t="s">
        <v>131</v>
      </c>
      <c r="G316" s="70" t="s">
        <v>131</v>
      </c>
      <c r="H316" s="70" t="s">
        <v>131</v>
      </c>
      <c r="I316" s="70" t="s">
        <v>131</v>
      </c>
      <c r="J316" s="70" t="s">
        <v>131</v>
      </c>
      <c r="K316" s="70" t="s">
        <v>40</v>
      </c>
      <c r="L316" s="108"/>
      <c r="M316" s="109"/>
      <c r="N316" s="70" t="s">
        <v>1605</v>
      </c>
      <c r="O316" s="70">
        <v>0</v>
      </c>
      <c r="P316" s="70">
        <v>6</v>
      </c>
      <c r="Q316" s="70">
        <v>6</v>
      </c>
      <c r="R316" s="70">
        <v>6</v>
      </c>
      <c r="S316" s="70">
        <v>6</v>
      </c>
      <c r="T316" s="70">
        <v>6</v>
      </c>
      <c r="U316" s="70">
        <v>0</v>
      </c>
      <c r="V316" s="70">
        <v>30</v>
      </c>
      <c r="W316" s="146">
        <v>648424</v>
      </c>
      <c r="X316" s="146">
        <v>648424</v>
      </c>
      <c r="Y316" s="70">
        <v>3851236</v>
      </c>
      <c r="Z316" s="70" t="s">
        <v>118</v>
      </c>
      <c r="AA316" s="70" t="s">
        <v>118</v>
      </c>
      <c r="AB316" s="70">
        <v>83947</v>
      </c>
      <c r="AC316" s="70">
        <v>74054</v>
      </c>
      <c r="AD316" s="146" t="s">
        <v>1684</v>
      </c>
      <c r="AE316" s="146" t="s">
        <v>1685</v>
      </c>
      <c r="AF316" s="110"/>
      <c r="AG316" s="70"/>
      <c r="AH316" s="70">
        <v>36347133</v>
      </c>
      <c r="AI316" s="70" t="s">
        <v>1575</v>
      </c>
      <c r="AJ316" s="111">
        <v>44046</v>
      </c>
      <c r="AK316" s="111">
        <v>44046</v>
      </c>
      <c r="AL316" s="112">
        <v>44057</v>
      </c>
      <c r="AM316" s="70">
        <v>26</v>
      </c>
      <c r="AN316" s="113" t="s">
        <v>114</v>
      </c>
      <c r="AO316" s="116"/>
      <c r="AP316" s="114" t="s">
        <v>158</v>
      </c>
      <c r="AQ316" s="115" t="s">
        <v>1607</v>
      </c>
    </row>
    <row r="317" spans="1:43" x14ac:dyDescent="0.25">
      <c r="A317" s="69" t="s">
        <v>74</v>
      </c>
      <c r="B317" s="70" t="s">
        <v>103</v>
      </c>
      <c r="C317" s="70" t="s">
        <v>1576</v>
      </c>
      <c r="D317" s="70" t="s">
        <v>1577</v>
      </c>
      <c r="E317" s="70" t="s">
        <v>40</v>
      </c>
      <c r="F317" s="70" t="s">
        <v>131</v>
      </c>
      <c r="G317" s="70" t="s">
        <v>131</v>
      </c>
      <c r="H317" s="70" t="s">
        <v>131</v>
      </c>
      <c r="I317" s="70" t="s">
        <v>131</v>
      </c>
      <c r="J317" s="70" t="s">
        <v>131</v>
      </c>
      <c r="K317" s="70" t="s">
        <v>40</v>
      </c>
      <c r="L317" s="108"/>
      <c r="M317" s="109"/>
      <c r="N317" s="70" t="s">
        <v>1605</v>
      </c>
      <c r="O317" s="70">
        <v>0</v>
      </c>
      <c r="P317" s="70">
        <v>6</v>
      </c>
      <c r="Q317" s="70">
        <v>6</v>
      </c>
      <c r="R317" s="70">
        <v>6</v>
      </c>
      <c r="S317" s="70">
        <v>6</v>
      </c>
      <c r="T317" s="70">
        <v>6</v>
      </c>
      <c r="U317" s="70">
        <v>0</v>
      </c>
      <c r="V317" s="70">
        <v>30</v>
      </c>
      <c r="W317" s="146">
        <v>648425</v>
      </c>
      <c r="X317" s="146">
        <v>648425</v>
      </c>
      <c r="Y317" s="70">
        <v>3851264</v>
      </c>
      <c r="Z317" s="70" t="s">
        <v>118</v>
      </c>
      <c r="AA317" s="70" t="s">
        <v>118</v>
      </c>
      <c r="AB317" s="70">
        <v>83947</v>
      </c>
      <c r="AC317" s="70">
        <v>74054</v>
      </c>
      <c r="AD317" s="146" t="s">
        <v>1686</v>
      </c>
      <c r="AE317" s="146" t="s">
        <v>1687</v>
      </c>
      <c r="AF317" s="110"/>
      <c r="AG317" s="70"/>
      <c r="AH317" s="70">
        <v>43362130</v>
      </c>
      <c r="AI317" s="70" t="s">
        <v>1578</v>
      </c>
      <c r="AJ317" s="111">
        <v>44046</v>
      </c>
      <c r="AK317" s="111">
        <v>44046</v>
      </c>
      <c r="AL317" s="112">
        <v>44057</v>
      </c>
      <c r="AM317" s="70">
        <v>26</v>
      </c>
      <c r="AN317" s="113" t="s">
        <v>114</v>
      </c>
      <c r="AO317" s="116"/>
      <c r="AP317" s="114" t="s">
        <v>158</v>
      </c>
      <c r="AQ317" s="115" t="s">
        <v>1611</v>
      </c>
    </row>
    <row r="318" spans="1:43" x14ac:dyDescent="0.25">
      <c r="A318" s="69" t="s">
        <v>97</v>
      </c>
      <c r="B318" s="70" t="s">
        <v>1570</v>
      </c>
      <c r="C318" s="70" t="s">
        <v>257</v>
      </c>
      <c r="D318" s="70" t="s">
        <v>1579</v>
      </c>
      <c r="E318" s="70" t="s">
        <v>40</v>
      </c>
      <c r="F318" s="70" t="s">
        <v>420</v>
      </c>
      <c r="G318" s="70" t="s">
        <v>420</v>
      </c>
      <c r="H318" s="70" t="s">
        <v>420</v>
      </c>
      <c r="I318" s="70" t="s">
        <v>420</v>
      </c>
      <c r="J318" s="70" t="s">
        <v>420</v>
      </c>
      <c r="K318" s="70" t="s">
        <v>40</v>
      </c>
      <c r="L318" s="108"/>
      <c r="M318" s="109"/>
      <c r="N318" s="70" t="s">
        <v>1605</v>
      </c>
      <c r="O318" s="70">
        <v>0</v>
      </c>
      <c r="P318" s="70">
        <v>6</v>
      </c>
      <c r="Q318" s="70">
        <v>6</v>
      </c>
      <c r="R318" s="70">
        <v>6</v>
      </c>
      <c r="S318" s="70">
        <v>6</v>
      </c>
      <c r="T318" s="70">
        <v>6</v>
      </c>
      <c r="U318" s="70">
        <v>0</v>
      </c>
      <c r="V318" s="70">
        <v>30</v>
      </c>
      <c r="W318" s="146">
        <v>648426</v>
      </c>
      <c r="X318" s="146">
        <v>648426</v>
      </c>
      <c r="Y318" s="70">
        <v>1525070</v>
      </c>
      <c r="Z318" s="70" t="s">
        <v>118</v>
      </c>
      <c r="AA318" s="70" t="s">
        <v>118</v>
      </c>
      <c r="AB318" s="70">
        <v>85988</v>
      </c>
      <c r="AC318" s="70" t="e">
        <v>#N/A</v>
      </c>
      <c r="AD318" s="146" t="s">
        <v>1688</v>
      </c>
      <c r="AE318" s="146" t="s">
        <v>1689</v>
      </c>
      <c r="AF318" s="110"/>
      <c r="AG318" s="70"/>
      <c r="AH318" s="70">
        <v>35921828</v>
      </c>
      <c r="AI318" s="70" t="s">
        <v>1580</v>
      </c>
      <c r="AJ318" s="111">
        <v>44046</v>
      </c>
      <c r="AK318" s="111">
        <v>44046</v>
      </c>
      <c r="AL318" s="112">
        <v>44057</v>
      </c>
      <c r="AM318" s="70">
        <v>26</v>
      </c>
      <c r="AN318" s="113" t="s">
        <v>114</v>
      </c>
      <c r="AO318" s="116"/>
      <c r="AP318" s="114" t="s">
        <v>158</v>
      </c>
      <c r="AQ318" s="115" t="s">
        <v>1611</v>
      </c>
    </row>
    <row r="319" spans="1:43" x14ac:dyDescent="0.25">
      <c r="A319" s="69" t="s">
        <v>97</v>
      </c>
      <c r="B319" s="70" t="s">
        <v>1570</v>
      </c>
      <c r="C319" s="70" t="s">
        <v>1581</v>
      </c>
      <c r="D319" s="70" t="s">
        <v>1582</v>
      </c>
      <c r="E319" s="70" t="s">
        <v>40</v>
      </c>
      <c r="F319" s="70" t="s">
        <v>420</v>
      </c>
      <c r="G319" s="70" t="s">
        <v>420</v>
      </c>
      <c r="H319" s="70" t="s">
        <v>420</v>
      </c>
      <c r="I319" s="70" t="s">
        <v>420</v>
      </c>
      <c r="J319" s="70" t="s">
        <v>420</v>
      </c>
      <c r="K319" s="70" t="s">
        <v>40</v>
      </c>
      <c r="L319" s="108"/>
      <c r="M319" s="109"/>
      <c r="N319" s="70" t="s">
        <v>1605</v>
      </c>
      <c r="O319" s="70">
        <v>0</v>
      </c>
      <c r="P319" s="70">
        <v>6</v>
      </c>
      <c r="Q319" s="70">
        <v>6</v>
      </c>
      <c r="R319" s="70">
        <v>6</v>
      </c>
      <c r="S319" s="70">
        <v>6</v>
      </c>
      <c r="T319" s="70">
        <v>6</v>
      </c>
      <c r="U319" s="70">
        <v>0</v>
      </c>
      <c r="V319" s="70">
        <v>30</v>
      </c>
      <c r="W319" s="146">
        <v>648427</v>
      </c>
      <c r="X319" s="146">
        <v>648427</v>
      </c>
      <c r="Y319" s="70">
        <v>3528515</v>
      </c>
      <c r="Z319" s="70" t="s">
        <v>118</v>
      </c>
      <c r="AA319" s="70" t="s">
        <v>118</v>
      </c>
      <c r="AB319" s="70">
        <v>85988</v>
      </c>
      <c r="AC319" s="70" t="e">
        <v>#N/A</v>
      </c>
      <c r="AD319" s="146" t="s">
        <v>1690</v>
      </c>
      <c r="AE319" s="146" t="s">
        <v>1691</v>
      </c>
      <c r="AF319" s="110"/>
      <c r="AG319" s="70"/>
      <c r="AH319" s="70">
        <v>40643538</v>
      </c>
      <c r="AI319" s="70" t="s">
        <v>1583</v>
      </c>
      <c r="AJ319" s="111">
        <v>44046</v>
      </c>
      <c r="AK319" s="111">
        <v>44046</v>
      </c>
      <c r="AL319" s="112">
        <v>44057</v>
      </c>
      <c r="AM319" s="70">
        <v>26</v>
      </c>
      <c r="AN319" s="113" t="s">
        <v>114</v>
      </c>
      <c r="AO319" s="116"/>
      <c r="AP319" s="114" t="s">
        <v>158</v>
      </c>
      <c r="AQ319" s="115" t="s">
        <v>1607</v>
      </c>
    </row>
    <row r="320" spans="1:43" x14ac:dyDescent="0.25">
      <c r="A320" s="69" t="s">
        <v>74</v>
      </c>
      <c r="B320" s="70" t="s">
        <v>103</v>
      </c>
      <c r="C320" s="70" t="s">
        <v>1584</v>
      </c>
      <c r="D320" s="70" t="s">
        <v>1585</v>
      </c>
      <c r="E320" s="70" t="s">
        <v>40</v>
      </c>
      <c r="F320" s="70" t="s">
        <v>131</v>
      </c>
      <c r="G320" s="70" t="s">
        <v>131</v>
      </c>
      <c r="H320" s="70" t="s">
        <v>131</v>
      </c>
      <c r="I320" s="70" t="s">
        <v>131</v>
      </c>
      <c r="J320" s="70" t="s">
        <v>131</v>
      </c>
      <c r="K320" s="70" t="s">
        <v>40</v>
      </c>
      <c r="L320" s="108"/>
      <c r="M320" s="109"/>
      <c r="N320" s="70" t="s">
        <v>1605</v>
      </c>
      <c r="O320" s="70">
        <v>0</v>
      </c>
      <c r="P320" s="70">
        <v>6</v>
      </c>
      <c r="Q320" s="70">
        <v>6</v>
      </c>
      <c r="R320" s="70">
        <v>6</v>
      </c>
      <c r="S320" s="70">
        <v>6</v>
      </c>
      <c r="T320" s="70">
        <v>6</v>
      </c>
      <c r="U320" s="70">
        <v>0</v>
      </c>
      <c r="V320" s="70">
        <v>30</v>
      </c>
      <c r="W320" s="146">
        <v>648428</v>
      </c>
      <c r="X320" s="146">
        <v>648428</v>
      </c>
      <c r="Y320" s="70">
        <v>3851276</v>
      </c>
      <c r="Z320" s="70" t="s">
        <v>118</v>
      </c>
      <c r="AA320" s="70" t="s">
        <v>118</v>
      </c>
      <c r="AB320" s="70">
        <v>83947</v>
      </c>
      <c r="AC320" s="70">
        <v>74054</v>
      </c>
      <c r="AD320" s="146" t="s">
        <v>1692</v>
      </c>
      <c r="AE320" s="146" t="s">
        <v>1693</v>
      </c>
      <c r="AF320" s="110"/>
      <c r="AG320" s="70"/>
      <c r="AH320" s="70">
        <v>41059241</v>
      </c>
      <c r="AI320" s="70" t="s">
        <v>1586</v>
      </c>
      <c r="AJ320" s="111">
        <v>44046</v>
      </c>
      <c r="AK320" s="111">
        <v>44046</v>
      </c>
      <c r="AL320" s="112">
        <v>44057</v>
      </c>
      <c r="AM320" s="70">
        <v>26</v>
      </c>
      <c r="AN320" s="113" t="s">
        <v>114</v>
      </c>
      <c r="AO320" s="116"/>
      <c r="AP320" s="114" t="s">
        <v>158</v>
      </c>
      <c r="AQ320" s="115" t="s">
        <v>1611</v>
      </c>
    </row>
    <row r="321" spans="1:43" x14ac:dyDescent="0.25">
      <c r="A321" s="69" t="s">
        <v>97</v>
      </c>
      <c r="B321" s="70" t="s">
        <v>1570</v>
      </c>
      <c r="C321" s="70" t="s">
        <v>1587</v>
      </c>
      <c r="D321" s="70" t="s">
        <v>1588</v>
      </c>
      <c r="E321" s="70" t="s">
        <v>40</v>
      </c>
      <c r="F321" s="70" t="s">
        <v>420</v>
      </c>
      <c r="G321" s="70" t="s">
        <v>420</v>
      </c>
      <c r="H321" s="70" t="s">
        <v>420</v>
      </c>
      <c r="I321" s="70" t="s">
        <v>420</v>
      </c>
      <c r="J321" s="70" t="s">
        <v>420</v>
      </c>
      <c r="K321" s="70" t="s">
        <v>40</v>
      </c>
      <c r="L321" s="108"/>
      <c r="M321" s="109"/>
      <c r="N321" s="70" t="s">
        <v>1605</v>
      </c>
      <c r="O321" s="70">
        <v>0</v>
      </c>
      <c r="P321" s="70">
        <v>6</v>
      </c>
      <c r="Q321" s="70">
        <v>6</v>
      </c>
      <c r="R321" s="70">
        <v>6</v>
      </c>
      <c r="S321" s="70">
        <v>6</v>
      </c>
      <c r="T321" s="70">
        <v>6</v>
      </c>
      <c r="U321" s="70">
        <v>0</v>
      </c>
      <c r="V321" s="70">
        <v>30</v>
      </c>
      <c r="W321" s="146">
        <v>648429</v>
      </c>
      <c r="X321" s="146">
        <v>648429</v>
      </c>
      <c r="Y321" s="70">
        <v>1187330</v>
      </c>
      <c r="Z321" s="70" t="s">
        <v>118</v>
      </c>
      <c r="AA321" s="70" t="s">
        <v>118</v>
      </c>
      <c r="AB321" s="70">
        <v>85988</v>
      </c>
      <c r="AC321" s="70" t="e">
        <v>#N/A</v>
      </c>
      <c r="AD321" s="146" t="s">
        <v>1694</v>
      </c>
      <c r="AE321" s="146" t="s">
        <v>1695</v>
      </c>
      <c r="AF321" s="110"/>
      <c r="AG321" s="70"/>
      <c r="AH321" s="70">
        <v>38185201</v>
      </c>
      <c r="AI321" s="70" t="s">
        <v>1589</v>
      </c>
      <c r="AJ321" s="111">
        <v>44046</v>
      </c>
      <c r="AK321" s="111">
        <v>44046</v>
      </c>
      <c r="AL321" s="112">
        <v>44057</v>
      </c>
      <c r="AM321" s="70">
        <v>26</v>
      </c>
      <c r="AN321" s="113" t="s">
        <v>114</v>
      </c>
      <c r="AO321" s="116"/>
      <c r="AP321" s="114" t="s">
        <v>158</v>
      </c>
      <c r="AQ321" s="115" t="s">
        <v>1607</v>
      </c>
    </row>
    <row r="322" spans="1:43" x14ac:dyDescent="0.25">
      <c r="A322" s="69" t="s">
        <v>74</v>
      </c>
      <c r="B322" s="70" t="s">
        <v>103</v>
      </c>
      <c r="C322" s="70" t="s">
        <v>1590</v>
      </c>
      <c r="D322" s="70" t="s">
        <v>1591</v>
      </c>
      <c r="E322" s="70" t="s">
        <v>40</v>
      </c>
      <c r="F322" s="70" t="s">
        <v>131</v>
      </c>
      <c r="G322" s="70" t="s">
        <v>131</v>
      </c>
      <c r="H322" s="70" t="s">
        <v>131</v>
      </c>
      <c r="I322" s="70" t="s">
        <v>131</v>
      </c>
      <c r="J322" s="70" t="s">
        <v>131</v>
      </c>
      <c r="K322" s="70" t="s">
        <v>40</v>
      </c>
      <c r="L322" s="108"/>
      <c r="M322" s="109"/>
      <c r="N322" s="70" t="s">
        <v>1605</v>
      </c>
      <c r="O322" s="70">
        <v>0</v>
      </c>
      <c r="P322" s="70">
        <v>6</v>
      </c>
      <c r="Q322" s="70">
        <v>6</v>
      </c>
      <c r="R322" s="70">
        <v>6</v>
      </c>
      <c r="S322" s="70">
        <v>6</v>
      </c>
      <c r="T322" s="70">
        <v>6</v>
      </c>
      <c r="U322" s="70">
        <v>0</v>
      </c>
      <c r="V322" s="70">
        <v>30</v>
      </c>
      <c r="W322" s="146">
        <v>648430</v>
      </c>
      <c r="X322" s="146">
        <v>648430</v>
      </c>
      <c r="Y322" s="70">
        <v>3851277</v>
      </c>
      <c r="Z322" s="70" t="s">
        <v>118</v>
      </c>
      <c r="AA322" s="70" t="s">
        <v>118</v>
      </c>
      <c r="AB322" s="70">
        <v>83947</v>
      </c>
      <c r="AC322" s="70">
        <v>74054</v>
      </c>
      <c r="AD322" s="146" t="s">
        <v>1696</v>
      </c>
      <c r="AE322" s="146" t="s">
        <v>1697</v>
      </c>
      <c r="AF322" s="110"/>
      <c r="AG322" s="70"/>
      <c r="AH322" s="70">
        <v>41649190</v>
      </c>
      <c r="AI322" s="70" t="s">
        <v>1592</v>
      </c>
      <c r="AJ322" s="111">
        <v>44046</v>
      </c>
      <c r="AK322" s="111">
        <v>44046</v>
      </c>
      <c r="AL322" s="112">
        <v>44057</v>
      </c>
      <c r="AM322" s="70">
        <v>26</v>
      </c>
      <c r="AN322" s="113" t="s">
        <v>114</v>
      </c>
      <c r="AO322" s="116"/>
      <c r="AP322" s="114" t="s">
        <v>158</v>
      </c>
      <c r="AQ322" s="115" t="s">
        <v>1611</v>
      </c>
    </row>
    <row r="323" spans="1:43" x14ac:dyDescent="0.25">
      <c r="A323" s="69" t="s">
        <v>97</v>
      </c>
      <c r="B323" s="70" t="s">
        <v>1570</v>
      </c>
      <c r="C323" s="70" t="s">
        <v>1593</v>
      </c>
      <c r="D323" s="70" t="s">
        <v>278</v>
      </c>
      <c r="E323" s="70" t="s">
        <v>40</v>
      </c>
      <c r="F323" s="70" t="s">
        <v>420</v>
      </c>
      <c r="G323" s="70" t="s">
        <v>420</v>
      </c>
      <c r="H323" s="70" t="s">
        <v>420</v>
      </c>
      <c r="I323" s="70" t="s">
        <v>420</v>
      </c>
      <c r="J323" s="70" t="s">
        <v>420</v>
      </c>
      <c r="K323" s="70" t="s">
        <v>40</v>
      </c>
      <c r="L323" s="108"/>
      <c r="M323" s="109"/>
      <c r="N323" s="70" t="s">
        <v>1605</v>
      </c>
      <c r="O323" s="70">
        <v>0</v>
      </c>
      <c r="P323" s="70">
        <v>6</v>
      </c>
      <c r="Q323" s="70">
        <v>6</v>
      </c>
      <c r="R323" s="70">
        <v>6</v>
      </c>
      <c r="S323" s="70">
        <v>6</v>
      </c>
      <c r="T323" s="70">
        <v>6</v>
      </c>
      <c r="U323" s="70">
        <v>0</v>
      </c>
      <c r="V323" s="70">
        <v>30</v>
      </c>
      <c r="W323" s="146">
        <v>648431</v>
      </c>
      <c r="X323" s="146">
        <v>648431</v>
      </c>
      <c r="Y323" s="70">
        <v>3851218</v>
      </c>
      <c r="Z323" s="70" t="s">
        <v>118</v>
      </c>
      <c r="AA323" s="70" t="s">
        <v>118</v>
      </c>
      <c r="AB323" s="70">
        <v>85988</v>
      </c>
      <c r="AC323" s="70" t="e">
        <v>#N/A</v>
      </c>
      <c r="AD323" s="146" t="s">
        <v>1698</v>
      </c>
      <c r="AE323" s="146" t="s">
        <v>1699</v>
      </c>
      <c r="AF323" s="110"/>
      <c r="AG323" s="70"/>
      <c r="AH323" s="70">
        <v>36182605</v>
      </c>
      <c r="AI323" s="70" t="s">
        <v>1594</v>
      </c>
      <c r="AJ323" s="111">
        <v>44046</v>
      </c>
      <c r="AK323" s="111">
        <v>44046</v>
      </c>
      <c r="AL323" s="112">
        <v>44057</v>
      </c>
      <c r="AM323" s="70">
        <v>26</v>
      </c>
      <c r="AN323" s="113" t="s">
        <v>114</v>
      </c>
      <c r="AO323" s="116"/>
      <c r="AP323" s="114" t="s">
        <v>158</v>
      </c>
      <c r="AQ323" s="115" t="s">
        <v>1611</v>
      </c>
    </row>
    <row r="324" spans="1:43" x14ac:dyDescent="0.25">
      <c r="A324" s="69" t="s">
        <v>97</v>
      </c>
      <c r="B324" s="70" t="s">
        <v>1570</v>
      </c>
      <c r="C324" s="70" t="s">
        <v>1595</v>
      </c>
      <c r="D324" s="70" t="s">
        <v>1596</v>
      </c>
      <c r="E324" s="70" t="s">
        <v>40</v>
      </c>
      <c r="F324" s="70" t="s">
        <v>420</v>
      </c>
      <c r="G324" s="70" t="s">
        <v>420</v>
      </c>
      <c r="H324" s="70" t="s">
        <v>420</v>
      </c>
      <c r="I324" s="70" t="s">
        <v>420</v>
      </c>
      <c r="J324" s="70" t="s">
        <v>420</v>
      </c>
      <c r="K324" s="70" t="s">
        <v>40</v>
      </c>
      <c r="L324" s="108"/>
      <c r="M324" s="109"/>
      <c r="N324" s="70" t="s">
        <v>1605</v>
      </c>
      <c r="O324" s="70">
        <v>0</v>
      </c>
      <c r="P324" s="70">
        <v>6</v>
      </c>
      <c r="Q324" s="70">
        <v>6</v>
      </c>
      <c r="R324" s="70">
        <v>6</v>
      </c>
      <c r="S324" s="70">
        <v>6</v>
      </c>
      <c r="T324" s="70">
        <v>6</v>
      </c>
      <c r="U324" s="70">
        <v>0</v>
      </c>
      <c r="V324" s="70">
        <v>30</v>
      </c>
      <c r="W324" s="146">
        <v>648432</v>
      </c>
      <c r="X324" s="146">
        <v>648432</v>
      </c>
      <c r="Y324" s="70">
        <v>3851213</v>
      </c>
      <c r="Z324" s="70" t="s">
        <v>118</v>
      </c>
      <c r="AA324" s="70" t="s">
        <v>118</v>
      </c>
      <c r="AB324" s="70">
        <v>85988</v>
      </c>
      <c r="AC324" s="70" t="e">
        <v>#N/A</v>
      </c>
      <c r="AD324" s="146" t="s">
        <v>1700</v>
      </c>
      <c r="AE324" s="146" t="s">
        <v>1701</v>
      </c>
      <c r="AF324" s="110"/>
      <c r="AG324" s="70"/>
      <c r="AH324" s="70">
        <v>39359545</v>
      </c>
      <c r="AI324" s="70" t="s">
        <v>1597</v>
      </c>
      <c r="AJ324" s="111">
        <v>44046</v>
      </c>
      <c r="AK324" s="111">
        <v>44046</v>
      </c>
      <c r="AL324" s="112">
        <v>44057</v>
      </c>
      <c r="AM324" s="70">
        <v>26</v>
      </c>
      <c r="AN324" s="113" t="s">
        <v>114</v>
      </c>
      <c r="AO324" s="116"/>
      <c r="AP324" s="114" t="s">
        <v>158</v>
      </c>
      <c r="AQ324" s="115" t="s">
        <v>1611</v>
      </c>
    </row>
    <row r="325" spans="1:43" x14ac:dyDescent="0.25">
      <c r="A325" s="69" t="s">
        <v>97</v>
      </c>
      <c r="B325" s="70" t="s">
        <v>1570</v>
      </c>
      <c r="C325" s="70" t="s">
        <v>520</v>
      </c>
      <c r="D325" s="70" t="s">
        <v>1598</v>
      </c>
      <c r="E325" s="70" t="s">
        <v>40</v>
      </c>
      <c r="F325" s="70" t="s">
        <v>420</v>
      </c>
      <c r="G325" s="70" t="s">
        <v>420</v>
      </c>
      <c r="H325" s="70" t="s">
        <v>420</v>
      </c>
      <c r="I325" s="70" t="s">
        <v>420</v>
      </c>
      <c r="J325" s="70" t="s">
        <v>420</v>
      </c>
      <c r="K325" s="70" t="s">
        <v>40</v>
      </c>
      <c r="L325" s="108"/>
      <c r="M325" s="109"/>
      <c r="N325" s="70" t="s">
        <v>1605</v>
      </c>
      <c r="O325" s="70">
        <v>0</v>
      </c>
      <c r="P325" s="70">
        <v>6</v>
      </c>
      <c r="Q325" s="70">
        <v>6</v>
      </c>
      <c r="R325" s="70">
        <v>6</v>
      </c>
      <c r="S325" s="70">
        <v>6</v>
      </c>
      <c r="T325" s="70">
        <v>6</v>
      </c>
      <c r="U325" s="70">
        <v>0</v>
      </c>
      <c r="V325" s="70">
        <v>30</v>
      </c>
      <c r="W325" s="146">
        <v>648433</v>
      </c>
      <c r="X325" s="146">
        <v>648433</v>
      </c>
      <c r="Y325" s="70">
        <v>3851219</v>
      </c>
      <c r="Z325" s="70" t="s">
        <v>118</v>
      </c>
      <c r="AA325" s="70" t="s">
        <v>118</v>
      </c>
      <c r="AB325" s="70">
        <v>85988</v>
      </c>
      <c r="AC325" s="70" t="e">
        <v>#N/A</v>
      </c>
      <c r="AD325" s="146" t="s">
        <v>1702</v>
      </c>
      <c r="AE325" s="146" t="s">
        <v>1703</v>
      </c>
      <c r="AF325" s="110"/>
      <c r="AG325" s="70"/>
      <c r="AH325" s="146">
        <v>36668375</v>
      </c>
      <c r="AI325" s="70"/>
      <c r="AJ325" s="111">
        <v>44046</v>
      </c>
      <c r="AK325" s="111">
        <v>44046</v>
      </c>
      <c r="AL325" s="112">
        <v>44057</v>
      </c>
      <c r="AM325" s="70">
        <v>26</v>
      </c>
      <c r="AN325" s="113" t="s">
        <v>114</v>
      </c>
      <c r="AO325" s="116"/>
      <c r="AP325" s="114" t="s">
        <v>158</v>
      </c>
      <c r="AQ325" s="115" t="s">
        <v>1607</v>
      </c>
    </row>
    <row r="326" spans="1:43" x14ac:dyDescent="0.25">
      <c r="A326" s="69" t="s">
        <v>74</v>
      </c>
      <c r="B326" s="70" t="s">
        <v>103</v>
      </c>
      <c r="C326" s="70" t="s">
        <v>1599</v>
      </c>
      <c r="D326" s="117" t="s">
        <v>1600</v>
      </c>
      <c r="E326" s="70" t="s">
        <v>40</v>
      </c>
      <c r="F326" s="70" t="s">
        <v>131</v>
      </c>
      <c r="G326" s="70" t="s">
        <v>131</v>
      </c>
      <c r="H326" s="70" t="s">
        <v>131</v>
      </c>
      <c r="I326" s="70" t="s">
        <v>131</v>
      </c>
      <c r="J326" s="70" t="s">
        <v>131</v>
      </c>
      <c r="K326" s="70" t="s">
        <v>40</v>
      </c>
      <c r="L326" s="108"/>
      <c r="M326" s="109"/>
      <c r="N326" s="70" t="s">
        <v>1605</v>
      </c>
      <c r="O326" s="70">
        <v>0</v>
      </c>
      <c r="P326" s="70">
        <v>6</v>
      </c>
      <c r="Q326" s="70">
        <v>6</v>
      </c>
      <c r="R326" s="70">
        <v>6</v>
      </c>
      <c r="S326" s="70">
        <v>6</v>
      </c>
      <c r="T326" s="70">
        <v>6</v>
      </c>
      <c r="U326" s="70">
        <v>0</v>
      </c>
      <c r="V326" s="70">
        <v>30</v>
      </c>
      <c r="W326" s="146">
        <v>648434</v>
      </c>
      <c r="X326" s="146">
        <v>648434</v>
      </c>
      <c r="Y326" s="70">
        <v>3851221</v>
      </c>
      <c r="Z326" s="70" t="s">
        <v>118</v>
      </c>
      <c r="AA326" s="70" t="s">
        <v>118</v>
      </c>
      <c r="AB326" s="70">
        <v>83947</v>
      </c>
      <c r="AC326" s="70">
        <v>74054</v>
      </c>
      <c r="AD326" s="146" t="s">
        <v>1704</v>
      </c>
      <c r="AE326" s="146" t="s">
        <v>1705</v>
      </c>
      <c r="AF326" s="110"/>
      <c r="AG326" s="70"/>
      <c r="AH326" s="146">
        <v>42939063</v>
      </c>
      <c r="AI326" s="70"/>
      <c r="AJ326" s="111">
        <v>44046</v>
      </c>
      <c r="AK326" s="111">
        <v>44046</v>
      </c>
      <c r="AL326" s="112">
        <v>44057</v>
      </c>
      <c r="AM326" s="70">
        <v>26</v>
      </c>
      <c r="AN326" s="113" t="s">
        <v>114</v>
      </c>
      <c r="AO326" s="116"/>
      <c r="AP326" s="114" t="s">
        <v>158</v>
      </c>
      <c r="AQ326" s="115" t="s">
        <v>1607</v>
      </c>
    </row>
    <row r="327" spans="1:43" x14ac:dyDescent="0.25">
      <c r="A327" s="69" t="s">
        <v>74</v>
      </c>
      <c r="B327" s="70" t="s">
        <v>103</v>
      </c>
      <c r="C327" s="70" t="s">
        <v>1459</v>
      </c>
      <c r="D327" s="70" t="s">
        <v>1601</v>
      </c>
      <c r="E327" s="70" t="s">
        <v>40</v>
      </c>
      <c r="F327" s="70" t="s">
        <v>131</v>
      </c>
      <c r="G327" s="70" t="s">
        <v>131</v>
      </c>
      <c r="H327" s="70" t="s">
        <v>131</v>
      </c>
      <c r="I327" s="70" t="s">
        <v>131</v>
      </c>
      <c r="J327" s="70" t="s">
        <v>131</v>
      </c>
      <c r="K327" s="70" t="s">
        <v>40</v>
      </c>
      <c r="L327" s="108"/>
      <c r="M327" s="109"/>
      <c r="N327" s="70" t="s">
        <v>1605</v>
      </c>
      <c r="O327" s="70">
        <v>0</v>
      </c>
      <c r="P327" s="70">
        <v>6</v>
      </c>
      <c r="Q327" s="70">
        <v>6</v>
      </c>
      <c r="R327" s="70">
        <v>6</v>
      </c>
      <c r="S327" s="70">
        <v>6</v>
      </c>
      <c r="T327" s="70">
        <v>6</v>
      </c>
      <c r="U327" s="70">
        <v>0</v>
      </c>
      <c r="V327" s="70">
        <v>30</v>
      </c>
      <c r="W327" s="146">
        <v>648435</v>
      </c>
      <c r="X327" s="146">
        <v>648435</v>
      </c>
      <c r="Y327" s="70">
        <v>3851225</v>
      </c>
      <c r="Z327" s="70" t="s">
        <v>118</v>
      </c>
      <c r="AA327" s="70" t="s">
        <v>118</v>
      </c>
      <c r="AB327" s="70">
        <v>83947</v>
      </c>
      <c r="AC327" s="70">
        <v>74054</v>
      </c>
      <c r="AD327" s="146" t="s">
        <v>1706</v>
      </c>
      <c r="AE327" s="146" t="s">
        <v>1707</v>
      </c>
      <c r="AF327" s="110"/>
      <c r="AG327" s="70"/>
      <c r="AH327" s="146">
        <v>39571286</v>
      </c>
      <c r="AI327" s="70"/>
      <c r="AJ327" s="111">
        <v>44046</v>
      </c>
      <c r="AK327" s="111">
        <v>44046</v>
      </c>
      <c r="AL327" s="112">
        <v>44057</v>
      </c>
      <c r="AM327" s="70">
        <v>26</v>
      </c>
      <c r="AN327" s="113" t="s">
        <v>114</v>
      </c>
      <c r="AO327" s="116"/>
      <c r="AP327" s="114" t="s">
        <v>158</v>
      </c>
      <c r="AQ327" s="115" t="s">
        <v>1611</v>
      </c>
    </row>
    <row r="328" spans="1:43" x14ac:dyDescent="0.25">
      <c r="A328" s="69" t="s">
        <v>97</v>
      </c>
      <c r="B328" s="70" t="s">
        <v>1570</v>
      </c>
      <c r="C328" s="70" t="s">
        <v>347</v>
      </c>
      <c r="D328" s="70" t="s">
        <v>1602</v>
      </c>
      <c r="E328" s="70" t="s">
        <v>40</v>
      </c>
      <c r="F328" s="70" t="s">
        <v>420</v>
      </c>
      <c r="G328" s="70" t="s">
        <v>420</v>
      </c>
      <c r="H328" s="70" t="s">
        <v>420</v>
      </c>
      <c r="I328" s="70" t="s">
        <v>420</v>
      </c>
      <c r="J328" s="70" t="s">
        <v>420</v>
      </c>
      <c r="K328" s="70" t="s">
        <v>40</v>
      </c>
      <c r="L328" s="108"/>
      <c r="M328" s="109"/>
      <c r="N328" s="70" t="s">
        <v>1605</v>
      </c>
      <c r="O328" s="70">
        <v>0</v>
      </c>
      <c r="P328" s="70">
        <v>6</v>
      </c>
      <c r="Q328" s="70">
        <v>6</v>
      </c>
      <c r="R328" s="70">
        <v>6</v>
      </c>
      <c r="S328" s="70">
        <v>6</v>
      </c>
      <c r="T328" s="70">
        <v>6</v>
      </c>
      <c r="U328" s="70">
        <v>0</v>
      </c>
      <c r="V328" s="70">
        <v>30</v>
      </c>
      <c r="W328" s="146">
        <v>648436</v>
      </c>
      <c r="X328" s="146">
        <v>648436</v>
      </c>
      <c r="Y328" s="70">
        <v>2419193</v>
      </c>
      <c r="Z328" s="70" t="s">
        <v>118</v>
      </c>
      <c r="AA328" s="70" t="s">
        <v>118</v>
      </c>
      <c r="AB328" s="70">
        <v>85988</v>
      </c>
      <c r="AC328" s="70" t="e">
        <v>#N/A</v>
      </c>
      <c r="AD328" s="146" t="s">
        <v>1708</v>
      </c>
      <c r="AE328" s="146" t="s">
        <v>1709</v>
      </c>
      <c r="AF328" s="110"/>
      <c r="AG328" s="70"/>
      <c r="AH328" s="146">
        <v>35816645</v>
      </c>
      <c r="AI328" s="70"/>
      <c r="AJ328" s="111">
        <v>44046</v>
      </c>
      <c r="AK328" s="111">
        <v>44046</v>
      </c>
      <c r="AL328" s="112">
        <v>44057</v>
      </c>
      <c r="AM328" s="70">
        <v>26</v>
      </c>
      <c r="AN328" s="113" t="s">
        <v>114</v>
      </c>
      <c r="AO328" s="116"/>
      <c r="AP328" s="114" t="s">
        <v>158</v>
      </c>
      <c r="AQ328" s="115" t="s">
        <v>1611</v>
      </c>
    </row>
    <row r="329" spans="1:43" ht="15.75" thickBot="1" x14ac:dyDescent="0.3">
      <c r="A329" s="148" t="s">
        <v>97</v>
      </c>
      <c r="B329" s="120" t="s">
        <v>1570</v>
      </c>
      <c r="C329" s="120" t="s">
        <v>1603</v>
      </c>
      <c r="D329" s="120" t="s">
        <v>1604</v>
      </c>
      <c r="E329" s="120" t="s">
        <v>40</v>
      </c>
      <c r="F329" s="120" t="s">
        <v>420</v>
      </c>
      <c r="G329" s="120" t="s">
        <v>420</v>
      </c>
      <c r="H329" s="120" t="s">
        <v>420</v>
      </c>
      <c r="I329" s="120" t="s">
        <v>420</v>
      </c>
      <c r="J329" s="120" t="s">
        <v>420</v>
      </c>
      <c r="K329" s="120" t="s">
        <v>40</v>
      </c>
      <c r="L329" s="118"/>
      <c r="M329" s="119"/>
      <c r="N329" s="120" t="s">
        <v>1605</v>
      </c>
      <c r="O329" s="120">
        <v>0</v>
      </c>
      <c r="P329" s="120">
        <v>6</v>
      </c>
      <c r="Q329" s="120">
        <v>6</v>
      </c>
      <c r="R329" s="120">
        <v>6</v>
      </c>
      <c r="S329" s="120">
        <v>6</v>
      </c>
      <c r="T329" s="120">
        <v>6</v>
      </c>
      <c r="U329" s="120">
        <v>0</v>
      </c>
      <c r="V329" s="120">
        <v>30</v>
      </c>
      <c r="W329" s="149">
        <v>648437</v>
      </c>
      <c r="X329" s="149">
        <v>648437</v>
      </c>
      <c r="Y329" s="120">
        <v>1119960</v>
      </c>
      <c r="Z329" s="120" t="s">
        <v>118</v>
      </c>
      <c r="AA329" s="120" t="s">
        <v>118</v>
      </c>
      <c r="AB329" s="120">
        <v>85988</v>
      </c>
      <c r="AC329" s="120" t="e">
        <v>#N/A</v>
      </c>
      <c r="AD329" s="149" t="s">
        <v>1710</v>
      </c>
      <c r="AE329" s="149" t="s">
        <v>1711</v>
      </c>
      <c r="AF329" s="121"/>
      <c r="AG329" s="120"/>
      <c r="AH329" s="149">
        <v>37457213</v>
      </c>
      <c r="AI329" s="120"/>
      <c r="AJ329" s="122">
        <v>44046</v>
      </c>
      <c r="AK329" s="122">
        <v>44046</v>
      </c>
      <c r="AL329" s="123">
        <v>44057</v>
      </c>
      <c r="AM329" s="124">
        <v>26</v>
      </c>
      <c r="AN329" s="125" t="s">
        <v>114</v>
      </c>
      <c r="AO329" s="126"/>
      <c r="AP329" s="127" t="s">
        <v>158</v>
      </c>
      <c r="AQ329" s="128" t="s">
        <v>1607</v>
      </c>
    </row>
    <row r="330" spans="1:43" x14ac:dyDescent="0.25"/>
    <row r="331" spans="1:43" hidden="1" x14ac:dyDescent="0.25"/>
    <row r="332" spans="1:43" hidden="1" x14ac:dyDescent="0.25"/>
  </sheetData>
  <autoFilter ref="A1:AQ329"/>
  <conditionalFormatting sqref="E1:K1">
    <cfRule type="cellIs" dxfId="2555" priority="1409" operator="equal">
      <formula>"Pending Term"</formula>
    </cfRule>
  </conditionalFormatting>
  <conditionalFormatting sqref="F1:L1">
    <cfRule type="cellIs" dxfId="2529" priority="1388" operator="equal">
      <formula>"off"</formula>
    </cfRule>
  </conditionalFormatting>
  <conditionalFormatting sqref="F1:L1">
    <cfRule type="cellIs" dxfId="2528" priority="1387" operator="equal">
      <formula>"LOA"</formula>
    </cfRule>
  </conditionalFormatting>
  <conditionalFormatting sqref="V2 V31:V39 V185:V271 V277:V284 V4:V29 V41:V165">
    <cfRule type="cellIs" dxfId="1041" priority="412" operator="greaterThan">
      <formula>45</formula>
    </cfRule>
  </conditionalFormatting>
  <conditionalFormatting sqref="A2 A31:A39 A185:AP190 A100:AP165 A192:AP195 A191:F191 H191:AP191 A197:AP271 A196:AD196 AF196:AP196 A277:AP284 A4:A29 A41:A99">
    <cfRule type="cellIs" dxfId="1039" priority="401" operator="equal">
      <formula>"LOA"</formula>
    </cfRule>
    <cfRule type="cellIs" dxfId="1038" priority="402" operator="equal">
      <formula>"PENDING TERM"</formula>
    </cfRule>
    <cfRule type="cellIs" dxfId="1037" priority="403" operator="equal">
      <formula>"PROMOTED"</formula>
    </cfRule>
    <cfRule type="cellIs" dxfId="1036" priority="404" operator="equal">
      <formula>"REINSTATEMENT"</formula>
    </cfRule>
    <cfRule type="cellIs" dxfId="1035" priority="405" operator="equal">
      <formula>"TERM"</formula>
    </cfRule>
    <cfRule type="cellIs" dxfId="1034" priority="406" operator="equal">
      <formula>"TRANSFER"</formula>
    </cfRule>
  </conditionalFormatting>
  <conditionalFormatting sqref="G40:G42 E41:F42 E43 K43 E78 K78 E83 K83 E2:K2 H41:K42 E61 K61 E57 K57 E44:K56 E31:K39 E185:K190 E62:K77 E79:K82 E84:K165 E192:K271 E191:F191 H191:K191 E277:K284 E4:F29 G3:G30 H4:K29 E58:K60">
    <cfRule type="cellIs" dxfId="1027" priority="407" operator="equal">
      <formula>"Approved Off"</formula>
    </cfRule>
    <cfRule type="cellIs" dxfId="1026" priority="408" operator="equal">
      <formula>"LOA"</formula>
    </cfRule>
    <cfRule type="cellIs" dxfId="1025" priority="409" operator="equal">
      <formula>"nesting"</formula>
    </cfRule>
    <cfRule type="cellIs" dxfId="1024" priority="410" operator="equal">
      <formula>"off"</formula>
    </cfRule>
    <cfRule type="cellIs" dxfId="1023" priority="411" operator="equal">
      <formula>"vac"</formula>
    </cfRule>
  </conditionalFormatting>
  <conditionalFormatting sqref="V3">
    <cfRule type="cellIs" dxfId="1017" priority="400" operator="greaterThan">
      <formula>45</formula>
    </cfRule>
  </conditionalFormatting>
  <conditionalFormatting sqref="A3">
    <cfRule type="cellIs" dxfId="1015" priority="389" operator="equal">
      <formula>"LOA"</formula>
    </cfRule>
    <cfRule type="cellIs" dxfId="1014" priority="390" operator="equal">
      <formula>"PENDING TERM"</formula>
    </cfRule>
    <cfRule type="cellIs" dxfId="1013" priority="391" operator="equal">
      <formula>"PROMOTED"</formula>
    </cfRule>
    <cfRule type="cellIs" dxfId="1012" priority="392" operator="equal">
      <formula>"REINSTATEMENT"</formula>
    </cfRule>
    <cfRule type="cellIs" dxfId="1011" priority="393" operator="equal">
      <formula>"TERM"</formula>
    </cfRule>
    <cfRule type="cellIs" dxfId="1010" priority="394" operator="equal">
      <formula>"TRANSFER"</formula>
    </cfRule>
  </conditionalFormatting>
  <conditionalFormatting sqref="E3:K3">
    <cfRule type="cellIs" dxfId="1003" priority="395" operator="equal">
      <formula>"Approved Off"</formula>
    </cfRule>
    <cfRule type="cellIs" dxfId="1002" priority="396" operator="equal">
      <formula>"LOA"</formula>
    </cfRule>
    <cfRule type="cellIs" dxfId="1001" priority="397" operator="equal">
      <formula>"nesting"</formula>
    </cfRule>
    <cfRule type="cellIs" dxfId="1000" priority="398" operator="equal">
      <formula>"off"</formula>
    </cfRule>
    <cfRule type="cellIs" dxfId="999" priority="399" operator="equal">
      <formula>"vac"</formula>
    </cfRule>
  </conditionalFormatting>
  <conditionalFormatting sqref="X3">
    <cfRule type="duplicateValues" dxfId="993" priority="413"/>
  </conditionalFormatting>
  <conditionalFormatting sqref="Y3">
    <cfRule type="duplicateValues" dxfId="991" priority="414"/>
  </conditionalFormatting>
  <conditionalFormatting sqref="AH3">
    <cfRule type="duplicateValues" dxfId="989" priority="415"/>
  </conditionalFormatting>
  <conditionalFormatting sqref="AI3">
    <cfRule type="duplicateValues" dxfId="987" priority="416"/>
  </conditionalFormatting>
  <conditionalFormatting sqref="G30 G40:G42 E41:F42 E43 K43 E78 K78 E83 K83 H41:K42 E61 K61 E57 K57 E44:K56 E31:K39 E185:K190 E62:K77 E79:K82 E84:K165 E192:K271 E191:F191 H191:K191 E277:K284 E2:K29 E58:K60">
    <cfRule type="cellIs" dxfId="985" priority="388" operator="equal">
      <formula>"Study Day"</formula>
    </cfRule>
  </conditionalFormatting>
  <conditionalFormatting sqref="G30 G40:G42 E41:F42 E43 K43 E78 K78 E83 K83 H41:K42 E61 K61 E57 K57 E44:K56 E31:K39 E185:K190 E62:K77 E79:K82 E84:K165 E192:K271 E191:F191 H191:K191 E277:K284 E2:K29 E58:K60">
    <cfRule type="cellIs" dxfId="983" priority="387" operator="equal">
      <formula>"FER"</formula>
    </cfRule>
  </conditionalFormatting>
  <conditionalFormatting sqref="V30">
    <cfRule type="cellIs" dxfId="981" priority="381" operator="greaterThan">
      <formula>45</formula>
    </cfRule>
  </conditionalFormatting>
  <conditionalFormatting sqref="A30">
    <cfRule type="cellIs" dxfId="979" priority="370" operator="equal">
      <formula>"LOA"</formula>
    </cfRule>
    <cfRule type="cellIs" dxfId="978" priority="371" operator="equal">
      <formula>"PENDING TERM"</formula>
    </cfRule>
    <cfRule type="cellIs" dxfId="977" priority="372" operator="equal">
      <formula>"PROMOTED"</formula>
    </cfRule>
    <cfRule type="cellIs" dxfId="976" priority="373" operator="equal">
      <formula>"REINSTATEMENT"</formula>
    </cfRule>
    <cfRule type="cellIs" dxfId="975" priority="374" operator="equal">
      <formula>"TERM"</formula>
    </cfRule>
    <cfRule type="cellIs" dxfId="974" priority="375" operator="equal">
      <formula>"TRANSFER"</formula>
    </cfRule>
  </conditionalFormatting>
  <conditionalFormatting sqref="E30:K30">
    <cfRule type="cellIs" dxfId="967" priority="376" operator="equal">
      <formula>"Approved Off"</formula>
    </cfRule>
    <cfRule type="cellIs" dxfId="966" priority="377" operator="equal">
      <formula>"LOA"</formula>
    </cfRule>
    <cfRule type="cellIs" dxfId="965" priority="378" operator="equal">
      <formula>"nesting"</formula>
    </cfRule>
    <cfRule type="cellIs" dxfId="964" priority="379" operator="equal">
      <formula>"off"</formula>
    </cfRule>
    <cfRule type="cellIs" dxfId="963" priority="380" operator="equal">
      <formula>"vac"</formula>
    </cfRule>
  </conditionalFormatting>
  <conditionalFormatting sqref="E30:K30">
    <cfRule type="cellIs" dxfId="957" priority="369" operator="equal">
      <formula>"Study Day"</formula>
    </cfRule>
  </conditionalFormatting>
  <conditionalFormatting sqref="E30:K30">
    <cfRule type="cellIs" dxfId="955" priority="368" operator="equal">
      <formula>"FER"</formula>
    </cfRule>
  </conditionalFormatting>
  <conditionalFormatting sqref="X30">
    <cfRule type="duplicateValues" dxfId="953" priority="382"/>
  </conditionalFormatting>
  <conditionalFormatting sqref="Y30">
    <cfRule type="duplicateValues" dxfId="951" priority="383"/>
  </conditionalFormatting>
  <conditionalFormatting sqref="AH30">
    <cfRule type="duplicateValues" dxfId="949" priority="384"/>
  </conditionalFormatting>
  <conditionalFormatting sqref="AI30">
    <cfRule type="duplicateValues" dxfId="947" priority="385"/>
  </conditionalFormatting>
  <conditionalFormatting sqref="W30">
    <cfRule type="duplicateValues" dxfId="945" priority="386"/>
  </conditionalFormatting>
  <conditionalFormatting sqref="E41:F42 E43 K43 E78 K78 E83 K83 H41:K42 E61 K61 E57 K57 E44:K56 E2:K13 G14:K19 E185:K190 E62:K77 E79:K82 E84:K165 E192:K271 E191:F191 H191:K191 E277:K284 H20:K39 G20:G42 E14:F39 E58:K60">
    <cfRule type="cellIs" dxfId="943" priority="367" operator="equal">
      <formula>"Pending Term"</formula>
    </cfRule>
  </conditionalFormatting>
  <conditionalFormatting sqref="X7">
    <cfRule type="duplicateValues" dxfId="941" priority="417"/>
  </conditionalFormatting>
  <conditionalFormatting sqref="Y7">
    <cfRule type="duplicateValues" dxfId="939" priority="418"/>
  </conditionalFormatting>
  <conditionalFormatting sqref="AH7">
    <cfRule type="duplicateValues" dxfId="937" priority="419"/>
  </conditionalFormatting>
  <conditionalFormatting sqref="AI7">
    <cfRule type="duplicateValues" dxfId="935" priority="420"/>
  </conditionalFormatting>
  <conditionalFormatting sqref="W7">
    <cfRule type="duplicateValues" dxfId="933" priority="421"/>
  </conditionalFormatting>
  <conditionalFormatting sqref="V40">
    <cfRule type="cellIs" dxfId="931" priority="361" operator="greaterThan">
      <formula>45</formula>
    </cfRule>
  </conditionalFormatting>
  <conditionalFormatting sqref="A40">
    <cfRule type="cellIs" dxfId="929" priority="350" operator="equal">
      <formula>"LOA"</formula>
    </cfRule>
    <cfRule type="cellIs" dxfId="928" priority="351" operator="equal">
      <formula>"PENDING TERM"</formula>
    </cfRule>
    <cfRule type="cellIs" dxfId="927" priority="352" operator="equal">
      <formula>"PROMOTED"</formula>
    </cfRule>
    <cfRule type="cellIs" dxfId="926" priority="353" operator="equal">
      <formula>"REINSTATEMENT"</formula>
    </cfRule>
    <cfRule type="cellIs" dxfId="925" priority="354" operator="equal">
      <formula>"TERM"</formula>
    </cfRule>
    <cfRule type="cellIs" dxfId="924" priority="355" operator="equal">
      <formula>"TRANSFER"</formula>
    </cfRule>
  </conditionalFormatting>
  <conditionalFormatting sqref="E40:K40">
    <cfRule type="cellIs" dxfId="917" priority="356" operator="equal">
      <formula>"Approved Off"</formula>
    </cfRule>
    <cfRule type="cellIs" dxfId="916" priority="357" operator="equal">
      <formula>"LOA"</formula>
    </cfRule>
    <cfRule type="cellIs" dxfId="915" priority="358" operator="equal">
      <formula>"nesting"</formula>
    </cfRule>
    <cfRule type="cellIs" dxfId="914" priority="359" operator="equal">
      <formula>"off"</formula>
    </cfRule>
    <cfRule type="cellIs" dxfId="913" priority="360" operator="equal">
      <formula>"vac"</formula>
    </cfRule>
  </conditionalFormatting>
  <conditionalFormatting sqref="E40:K40">
    <cfRule type="cellIs" dxfId="907" priority="349" operator="equal">
      <formula>"Study Day"</formula>
    </cfRule>
  </conditionalFormatting>
  <conditionalFormatting sqref="E40:K40">
    <cfRule type="cellIs" dxfId="905" priority="348" operator="equal">
      <formula>"FER"</formula>
    </cfRule>
  </conditionalFormatting>
  <conditionalFormatting sqref="E40:K40">
    <cfRule type="cellIs" dxfId="903" priority="347" operator="equal">
      <formula>"Pending Term"</formula>
    </cfRule>
  </conditionalFormatting>
  <conditionalFormatting sqref="X40">
    <cfRule type="duplicateValues" dxfId="901" priority="362"/>
  </conditionalFormatting>
  <conditionalFormatting sqref="Y40">
    <cfRule type="duplicateValues" dxfId="899" priority="363"/>
  </conditionalFormatting>
  <conditionalFormatting sqref="AH40">
    <cfRule type="duplicateValues" dxfId="897" priority="364"/>
  </conditionalFormatting>
  <conditionalFormatting sqref="AI40">
    <cfRule type="duplicateValues" dxfId="895" priority="365"/>
  </conditionalFormatting>
  <conditionalFormatting sqref="W40">
    <cfRule type="duplicateValues" dxfId="893" priority="366"/>
  </conditionalFormatting>
  <conditionalFormatting sqref="X28">
    <cfRule type="duplicateValues" dxfId="891" priority="422"/>
  </conditionalFormatting>
  <conditionalFormatting sqref="Y28">
    <cfRule type="duplicateValues" dxfId="889" priority="423"/>
  </conditionalFormatting>
  <conditionalFormatting sqref="AH28">
    <cfRule type="duplicateValues" dxfId="887" priority="424"/>
  </conditionalFormatting>
  <conditionalFormatting sqref="AI28">
    <cfRule type="duplicateValues" dxfId="885" priority="425"/>
  </conditionalFormatting>
  <conditionalFormatting sqref="W28">
    <cfRule type="duplicateValues" dxfId="883" priority="426"/>
  </conditionalFormatting>
  <conditionalFormatting sqref="X8:X12">
    <cfRule type="duplicateValues" dxfId="881" priority="427"/>
  </conditionalFormatting>
  <conditionalFormatting sqref="Y8:Y12">
    <cfRule type="duplicateValues" dxfId="879" priority="428"/>
  </conditionalFormatting>
  <conditionalFormatting sqref="AH8:AH12">
    <cfRule type="duplicateValues" dxfId="877" priority="429"/>
  </conditionalFormatting>
  <conditionalFormatting sqref="AI8:AI12">
    <cfRule type="duplicateValues" dxfId="875" priority="430"/>
  </conditionalFormatting>
  <conditionalFormatting sqref="W8:W12">
    <cfRule type="duplicateValues" dxfId="873" priority="431"/>
  </conditionalFormatting>
  <conditionalFormatting sqref="X41:X46">
    <cfRule type="duplicateValues" dxfId="871" priority="432"/>
  </conditionalFormatting>
  <conditionalFormatting sqref="Y41:Y46">
    <cfRule type="duplicateValues" dxfId="869" priority="433"/>
  </conditionalFormatting>
  <conditionalFormatting sqref="AH41:AH46">
    <cfRule type="duplicateValues" dxfId="867" priority="434"/>
  </conditionalFormatting>
  <conditionalFormatting sqref="AI41:AI46">
    <cfRule type="duplicateValues" dxfId="865" priority="435"/>
  </conditionalFormatting>
  <conditionalFormatting sqref="W41:W46">
    <cfRule type="duplicateValues" dxfId="863" priority="436"/>
  </conditionalFormatting>
  <conditionalFormatting sqref="K43 K78:L78 K83:L83 F84:L85 K61:L61 K57:L57 F44:L56 F86:K99 F185:L190 F62:L77 F79:L82 F100:L165 F192:L271 F191 H191:L191 F277:L284 F2:L42 F58:L60">
    <cfRule type="cellIs" dxfId="861" priority="346" operator="equal">
      <formula>"off"</formula>
    </cfRule>
  </conditionalFormatting>
  <conditionalFormatting sqref="K43 K78:L78 K83:L83 F84:L85 K61:L61 K57:L57 F44:L56 F86:K99 F185:L190 F62:L77 F79:L82 F100:L165 F192:L271 F191 H191:L191 F277:L284 F2:L42 F58:L60">
    <cfRule type="cellIs" dxfId="859" priority="345" operator="equal">
      <formula>"LOA"</formula>
    </cfRule>
  </conditionalFormatting>
  <conditionalFormatting sqref="F72:F74 F70">
    <cfRule type="cellIs" dxfId="857" priority="340" operator="equal">
      <formula>"Approved Off"</formula>
    </cfRule>
    <cfRule type="cellIs" dxfId="856" priority="341" operator="equal">
      <formula>"LOA"</formula>
    </cfRule>
    <cfRule type="cellIs" dxfId="855" priority="342" operator="equal">
      <formula>"nesting"</formula>
    </cfRule>
    <cfRule type="cellIs" dxfId="854" priority="343" operator="equal">
      <formula>"off"</formula>
    </cfRule>
    <cfRule type="cellIs" dxfId="853" priority="344" operator="equal">
      <formula>"vac"</formula>
    </cfRule>
  </conditionalFormatting>
  <conditionalFormatting sqref="F57">
    <cfRule type="cellIs" dxfId="847" priority="335" operator="equal">
      <formula>"Approved Off"</formula>
    </cfRule>
    <cfRule type="cellIs" dxfId="846" priority="336" operator="equal">
      <formula>"LOA"</formula>
    </cfRule>
    <cfRule type="cellIs" dxfId="845" priority="337" operator="equal">
      <formula>"nesting"</formula>
    </cfRule>
    <cfRule type="cellIs" dxfId="844" priority="338" operator="equal">
      <formula>"off"</formula>
    </cfRule>
    <cfRule type="cellIs" dxfId="843" priority="339" operator="equal">
      <formula>"vac"</formula>
    </cfRule>
  </conditionalFormatting>
  <conditionalFormatting sqref="F57">
    <cfRule type="cellIs" dxfId="837" priority="334" operator="equal">
      <formula>"Study Day"</formula>
    </cfRule>
  </conditionalFormatting>
  <conditionalFormatting sqref="F57">
    <cfRule type="cellIs" dxfId="835" priority="333" operator="equal">
      <formula>"FER"</formula>
    </cfRule>
  </conditionalFormatting>
  <conditionalFormatting sqref="F57">
    <cfRule type="cellIs" dxfId="833" priority="332" operator="equal">
      <formula>"Pending Term"</formula>
    </cfRule>
  </conditionalFormatting>
  <conditionalFormatting sqref="F57">
    <cfRule type="cellIs" dxfId="831" priority="331" operator="equal">
      <formula>"off"</formula>
    </cfRule>
  </conditionalFormatting>
  <conditionalFormatting sqref="F57">
    <cfRule type="cellIs" dxfId="829" priority="330" operator="equal">
      <formula>"LOA"</formula>
    </cfRule>
  </conditionalFormatting>
  <conditionalFormatting sqref="G57">
    <cfRule type="cellIs" dxfId="827" priority="325" operator="equal">
      <formula>"Approved Off"</formula>
    </cfRule>
    <cfRule type="cellIs" dxfId="826" priority="326" operator="equal">
      <formula>"LOA"</formula>
    </cfRule>
    <cfRule type="cellIs" dxfId="825" priority="327" operator="equal">
      <formula>"nesting"</formula>
    </cfRule>
    <cfRule type="cellIs" dxfId="824" priority="328" operator="equal">
      <formula>"off"</formula>
    </cfRule>
    <cfRule type="cellIs" dxfId="823" priority="329" operator="equal">
      <formula>"vac"</formula>
    </cfRule>
  </conditionalFormatting>
  <conditionalFormatting sqref="G57">
    <cfRule type="cellIs" dxfId="817" priority="324" operator="equal">
      <formula>"Study Day"</formula>
    </cfRule>
  </conditionalFormatting>
  <conditionalFormatting sqref="G57">
    <cfRule type="cellIs" dxfId="815" priority="323" operator="equal">
      <formula>"FER"</formula>
    </cfRule>
  </conditionalFormatting>
  <conditionalFormatting sqref="G57">
    <cfRule type="cellIs" dxfId="813" priority="322" operator="equal">
      <formula>"Pending Term"</formula>
    </cfRule>
  </conditionalFormatting>
  <conditionalFormatting sqref="G57">
    <cfRule type="cellIs" dxfId="811" priority="321" operator="equal">
      <formula>"off"</formula>
    </cfRule>
  </conditionalFormatting>
  <conditionalFormatting sqref="G57">
    <cfRule type="cellIs" dxfId="809" priority="320" operator="equal">
      <formula>"LOA"</formula>
    </cfRule>
  </conditionalFormatting>
  <conditionalFormatting sqref="H57">
    <cfRule type="cellIs" dxfId="807" priority="315" operator="equal">
      <formula>"Approved Off"</formula>
    </cfRule>
    <cfRule type="cellIs" dxfId="806" priority="316" operator="equal">
      <formula>"LOA"</formula>
    </cfRule>
    <cfRule type="cellIs" dxfId="805" priority="317" operator="equal">
      <formula>"nesting"</formula>
    </cfRule>
    <cfRule type="cellIs" dxfId="804" priority="318" operator="equal">
      <formula>"off"</formula>
    </cfRule>
    <cfRule type="cellIs" dxfId="803" priority="319" operator="equal">
      <formula>"vac"</formula>
    </cfRule>
  </conditionalFormatting>
  <conditionalFormatting sqref="H57">
    <cfRule type="cellIs" dxfId="797" priority="314" operator="equal">
      <formula>"Study Day"</formula>
    </cfRule>
  </conditionalFormatting>
  <conditionalFormatting sqref="H57">
    <cfRule type="cellIs" dxfId="795" priority="313" operator="equal">
      <formula>"FER"</formula>
    </cfRule>
  </conditionalFormatting>
  <conditionalFormatting sqref="H57">
    <cfRule type="cellIs" dxfId="793" priority="312" operator="equal">
      <formula>"Pending Term"</formula>
    </cfRule>
  </conditionalFormatting>
  <conditionalFormatting sqref="H57">
    <cfRule type="cellIs" dxfId="791" priority="311" operator="equal">
      <formula>"off"</formula>
    </cfRule>
  </conditionalFormatting>
  <conditionalFormatting sqref="H57">
    <cfRule type="cellIs" dxfId="789" priority="310" operator="equal">
      <formula>"LOA"</formula>
    </cfRule>
  </conditionalFormatting>
  <conditionalFormatting sqref="I57">
    <cfRule type="cellIs" dxfId="787" priority="305" operator="equal">
      <formula>"Approved Off"</formula>
    </cfRule>
    <cfRule type="cellIs" dxfId="786" priority="306" operator="equal">
      <formula>"LOA"</formula>
    </cfRule>
    <cfRule type="cellIs" dxfId="785" priority="307" operator="equal">
      <formula>"nesting"</formula>
    </cfRule>
    <cfRule type="cellIs" dxfId="784" priority="308" operator="equal">
      <formula>"off"</formula>
    </cfRule>
    <cfRule type="cellIs" dxfId="783" priority="309" operator="equal">
      <formula>"vac"</formula>
    </cfRule>
  </conditionalFormatting>
  <conditionalFormatting sqref="I57">
    <cfRule type="cellIs" dxfId="777" priority="304" operator="equal">
      <formula>"Study Day"</formula>
    </cfRule>
  </conditionalFormatting>
  <conditionalFormatting sqref="I57">
    <cfRule type="cellIs" dxfId="775" priority="303" operator="equal">
      <formula>"FER"</formula>
    </cfRule>
  </conditionalFormatting>
  <conditionalFormatting sqref="I57">
    <cfRule type="cellIs" dxfId="773" priority="302" operator="equal">
      <formula>"Pending Term"</formula>
    </cfRule>
  </conditionalFormatting>
  <conditionalFormatting sqref="I57">
    <cfRule type="cellIs" dxfId="771" priority="301" operator="equal">
      <formula>"off"</formula>
    </cfRule>
  </conditionalFormatting>
  <conditionalFormatting sqref="I57">
    <cfRule type="cellIs" dxfId="769" priority="300" operator="equal">
      <formula>"LOA"</formula>
    </cfRule>
  </conditionalFormatting>
  <conditionalFormatting sqref="J57">
    <cfRule type="cellIs" dxfId="767" priority="295" operator="equal">
      <formula>"Approved Off"</formula>
    </cfRule>
    <cfRule type="cellIs" dxfId="766" priority="296" operator="equal">
      <formula>"LOA"</formula>
    </cfRule>
    <cfRule type="cellIs" dxfId="765" priority="297" operator="equal">
      <formula>"nesting"</formula>
    </cfRule>
    <cfRule type="cellIs" dxfId="764" priority="298" operator="equal">
      <formula>"off"</formula>
    </cfRule>
    <cfRule type="cellIs" dxfId="763" priority="299" operator="equal">
      <formula>"vac"</formula>
    </cfRule>
  </conditionalFormatting>
  <conditionalFormatting sqref="J57">
    <cfRule type="cellIs" dxfId="757" priority="294" operator="equal">
      <formula>"Study Day"</formula>
    </cfRule>
  </conditionalFormatting>
  <conditionalFormatting sqref="J57">
    <cfRule type="cellIs" dxfId="755" priority="293" operator="equal">
      <formula>"FER"</formula>
    </cfRule>
  </conditionalFormatting>
  <conditionalFormatting sqref="J57">
    <cfRule type="cellIs" dxfId="753" priority="292" operator="equal">
      <formula>"Pending Term"</formula>
    </cfRule>
  </conditionalFormatting>
  <conditionalFormatting sqref="J57">
    <cfRule type="cellIs" dxfId="751" priority="291" operator="equal">
      <formula>"off"</formula>
    </cfRule>
  </conditionalFormatting>
  <conditionalFormatting sqref="J57">
    <cfRule type="cellIs" dxfId="749" priority="290" operator="equal">
      <formula>"LOA"</formula>
    </cfRule>
  </conditionalFormatting>
  <conditionalFormatting sqref="F61">
    <cfRule type="cellIs" dxfId="747" priority="285" operator="equal">
      <formula>"Approved Off"</formula>
    </cfRule>
    <cfRule type="cellIs" dxfId="746" priority="286" operator="equal">
      <formula>"LOA"</formula>
    </cfRule>
    <cfRule type="cellIs" dxfId="745" priority="287" operator="equal">
      <formula>"nesting"</formula>
    </cfRule>
    <cfRule type="cellIs" dxfId="744" priority="288" operator="equal">
      <formula>"off"</formula>
    </cfRule>
    <cfRule type="cellIs" dxfId="743" priority="289" operator="equal">
      <formula>"vac"</formula>
    </cfRule>
  </conditionalFormatting>
  <conditionalFormatting sqref="F61">
    <cfRule type="cellIs" dxfId="737" priority="284" operator="equal">
      <formula>"Study Day"</formula>
    </cfRule>
  </conditionalFormatting>
  <conditionalFormatting sqref="F61">
    <cfRule type="cellIs" dxfId="735" priority="283" operator="equal">
      <formula>"FER"</formula>
    </cfRule>
  </conditionalFormatting>
  <conditionalFormatting sqref="F61">
    <cfRule type="cellIs" dxfId="733" priority="282" operator="equal">
      <formula>"Pending Term"</formula>
    </cfRule>
  </conditionalFormatting>
  <conditionalFormatting sqref="F61">
    <cfRule type="cellIs" dxfId="731" priority="281" operator="equal">
      <formula>"off"</formula>
    </cfRule>
  </conditionalFormatting>
  <conditionalFormatting sqref="F61">
    <cfRule type="cellIs" dxfId="729" priority="280" operator="equal">
      <formula>"LOA"</formula>
    </cfRule>
  </conditionalFormatting>
  <conditionalFormatting sqref="G61">
    <cfRule type="cellIs" dxfId="727" priority="275" operator="equal">
      <formula>"Approved Off"</formula>
    </cfRule>
    <cfRule type="cellIs" dxfId="726" priority="276" operator="equal">
      <formula>"LOA"</formula>
    </cfRule>
    <cfRule type="cellIs" dxfId="725" priority="277" operator="equal">
      <formula>"nesting"</formula>
    </cfRule>
    <cfRule type="cellIs" dxfId="724" priority="278" operator="equal">
      <formula>"off"</formula>
    </cfRule>
    <cfRule type="cellIs" dxfId="723" priority="279" operator="equal">
      <formula>"vac"</formula>
    </cfRule>
  </conditionalFormatting>
  <conditionalFormatting sqref="G61">
    <cfRule type="cellIs" dxfId="717" priority="274" operator="equal">
      <formula>"Study Day"</formula>
    </cfRule>
  </conditionalFormatting>
  <conditionalFormatting sqref="G61">
    <cfRule type="cellIs" dxfId="715" priority="273" operator="equal">
      <formula>"FER"</formula>
    </cfRule>
  </conditionalFormatting>
  <conditionalFormatting sqref="G61">
    <cfRule type="cellIs" dxfId="713" priority="272" operator="equal">
      <formula>"Pending Term"</formula>
    </cfRule>
  </conditionalFormatting>
  <conditionalFormatting sqref="G61">
    <cfRule type="cellIs" dxfId="711" priority="271" operator="equal">
      <formula>"off"</formula>
    </cfRule>
  </conditionalFormatting>
  <conditionalFormatting sqref="G61">
    <cfRule type="cellIs" dxfId="709" priority="270" operator="equal">
      <formula>"LOA"</formula>
    </cfRule>
  </conditionalFormatting>
  <conditionalFormatting sqref="H61">
    <cfRule type="cellIs" dxfId="707" priority="265" operator="equal">
      <formula>"Approved Off"</formula>
    </cfRule>
    <cfRule type="cellIs" dxfId="706" priority="266" operator="equal">
      <formula>"LOA"</formula>
    </cfRule>
    <cfRule type="cellIs" dxfId="705" priority="267" operator="equal">
      <formula>"nesting"</formula>
    </cfRule>
    <cfRule type="cellIs" dxfId="704" priority="268" operator="equal">
      <formula>"off"</formula>
    </cfRule>
    <cfRule type="cellIs" dxfId="703" priority="269" operator="equal">
      <formula>"vac"</formula>
    </cfRule>
  </conditionalFormatting>
  <conditionalFormatting sqref="H61">
    <cfRule type="cellIs" dxfId="697" priority="264" operator="equal">
      <formula>"Study Day"</formula>
    </cfRule>
  </conditionalFormatting>
  <conditionalFormatting sqref="H61">
    <cfRule type="cellIs" dxfId="695" priority="263" operator="equal">
      <formula>"FER"</formula>
    </cfRule>
  </conditionalFormatting>
  <conditionalFormatting sqref="H61">
    <cfRule type="cellIs" dxfId="693" priority="262" operator="equal">
      <formula>"Pending Term"</formula>
    </cfRule>
  </conditionalFormatting>
  <conditionalFormatting sqref="H61">
    <cfRule type="cellIs" dxfId="691" priority="261" operator="equal">
      <formula>"off"</formula>
    </cfRule>
  </conditionalFormatting>
  <conditionalFormatting sqref="H61">
    <cfRule type="cellIs" dxfId="689" priority="260" operator="equal">
      <formula>"LOA"</formula>
    </cfRule>
  </conditionalFormatting>
  <conditionalFormatting sqref="I61">
    <cfRule type="cellIs" dxfId="687" priority="255" operator="equal">
      <formula>"Approved Off"</formula>
    </cfRule>
    <cfRule type="cellIs" dxfId="686" priority="256" operator="equal">
      <formula>"LOA"</formula>
    </cfRule>
    <cfRule type="cellIs" dxfId="685" priority="257" operator="equal">
      <formula>"nesting"</formula>
    </cfRule>
    <cfRule type="cellIs" dxfId="684" priority="258" operator="equal">
      <formula>"off"</formula>
    </cfRule>
    <cfRule type="cellIs" dxfId="683" priority="259" operator="equal">
      <formula>"vac"</formula>
    </cfRule>
  </conditionalFormatting>
  <conditionalFormatting sqref="I61">
    <cfRule type="cellIs" dxfId="677" priority="254" operator="equal">
      <formula>"Study Day"</formula>
    </cfRule>
  </conditionalFormatting>
  <conditionalFormatting sqref="I61">
    <cfRule type="cellIs" dxfId="675" priority="253" operator="equal">
      <formula>"FER"</formula>
    </cfRule>
  </conditionalFormatting>
  <conditionalFormatting sqref="I61">
    <cfRule type="cellIs" dxfId="673" priority="252" operator="equal">
      <formula>"Pending Term"</formula>
    </cfRule>
  </conditionalFormatting>
  <conditionalFormatting sqref="I61">
    <cfRule type="cellIs" dxfId="671" priority="251" operator="equal">
      <formula>"off"</formula>
    </cfRule>
  </conditionalFormatting>
  <conditionalFormatting sqref="I61">
    <cfRule type="cellIs" dxfId="669" priority="250" operator="equal">
      <formula>"LOA"</formula>
    </cfRule>
  </conditionalFormatting>
  <conditionalFormatting sqref="J61">
    <cfRule type="cellIs" dxfId="667" priority="245" operator="equal">
      <formula>"Approved Off"</formula>
    </cfRule>
    <cfRule type="cellIs" dxfId="666" priority="246" operator="equal">
      <formula>"LOA"</formula>
    </cfRule>
    <cfRule type="cellIs" dxfId="665" priority="247" operator="equal">
      <formula>"nesting"</formula>
    </cfRule>
    <cfRule type="cellIs" dxfId="664" priority="248" operator="equal">
      <formula>"off"</formula>
    </cfRule>
    <cfRule type="cellIs" dxfId="663" priority="249" operator="equal">
      <formula>"vac"</formula>
    </cfRule>
  </conditionalFormatting>
  <conditionalFormatting sqref="J61">
    <cfRule type="cellIs" dxfId="657" priority="244" operator="equal">
      <formula>"Study Day"</formula>
    </cfRule>
  </conditionalFormatting>
  <conditionalFormatting sqref="J61">
    <cfRule type="cellIs" dxfId="655" priority="243" operator="equal">
      <formula>"FER"</formula>
    </cfRule>
  </conditionalFormatting>
  <conditionalFormatting sqref="J61">
    <cfRule type="cellIs" dxfId="653" priority="242" operator="equal">
      <formula>"Pending Term"</formula>
    </cfRule>
  </conditionalFormatting>
  <conditionalFormatting sqref="J61">
    <cfRule type="cellIs" dxfId="651" priority="241" operator="equal">
      <formula>"off"</formula>
    </cfRule>
  </conditionalFormatting>
  <conditionalFormatting sqref="J61">
    <cfRule type="cellIs" dxfId="649" priority="240" operator="equal">
      <formula>"LOA"</formula>
    </cfRule>
  </conditionalFormatting>
  <conditionalFormatting sqref="J78">
    <cfRule type="cellIs" dxfId="647" priority="235" operator="equal">
      <formula>"Approved Off"</formula>
    </cfRule>
    <cfRule type="cellIs" dxfId="646" priority="236" operator="equal">
      <formula>"LOA"</formula>
    </cfRule>
    <cfRule type="cellIs" dxfId="645" priority="237" operator="equal">
      <formula>"nesting"</formula>
    </cfRule>
    <cfRule type="cellIs" dxfId="644" priority="238" operator="equal">
      <formula>"off"</formula>
    </cfRule>
    <cfRule type="cellIs" dxfId="643" priority="239" operator="equal">
      <formula>"vac"</formula>
    </cfRule>
  </conditionalFormatting>
  <conditionalFormatting sqref="J78">
    <cfRule type="cellIs" dxfId="637" priority="234" operator="equal">
      <formula>"Study Day"</formula>
    </cfRule>
  </conditionalFormatting>
  <conditionalFormatting sqref="J78">
    <cfRule type="cellIs" dxfId="635" priority="233" operator="equal">
      <formula>"FER"</formula>
    </cfRule>
  </conditionalFormatting>
  <conditionalFormatting sqref="J78">
    <cfRule type="cellIs" dxfId="633" priority="232" operator="equal">
      <formula>"Pending Term"</formula>
    </cfRule>
  </conditionalFormatting>
  <conditionalFormatting sqref="J78">
    <cfRule type="cellIs" dxfId="631" priority="231" operator="equal">
      <formula>"off"</formula>
    </cfRule>
  </conditionalFormatting>
  <conditionalFormatting sqref="J78">
    <cfRule type="cellIs" dxfId="629" priority="230" operator="equal">
      <formula>"LOA"</formula>
    </cfRule>
  </conditionalFormatting>
  <conditionalFormatting sqref="I78">
    <cfRule type="cellIs" dxfId="627" priority="225" operator="equal">
      <formula>"Approved Off"</formula>
    </cfRule>
    <cfRule type="cellIs" dxfId="626" priority="226" operator="equal">
      <formula>"LOA"</formula>
    </cfRule>
    <cfRule type="cellIs" dxfId="625" priority="227" operator="equal">
      <formula>"nesting"</formula>
    </cfRule>
    <cfRule type="cellIs" dxfId="624" priority="228" operator="equal">
      <formula>"off"</formula>
    </cfRule>
    <cfRule type="cellIs" dxfId="623" priority="229" operator="equal">
      <formula>"vac"</formula>
    </cfRule>
  </conditionalFormatting>
  <conditionalFormatting sqref="I78">
    <cfRule type="cellIs" dxfId="617" priority="224" operator="equal">
      <formula>"Study Day"</formula>
    </cfRule>
  </conditionalFormatting>
  <conditionalFormatting sqref="I78">
    <cfRule type="cellIs" dxfId="615" priority="223" operator="equal">
      <formula>"FER"</formula>
    </cfRule>
  </conditionalFormatting>
  <conditionalFormatting sqref="I78">
    <cfRule type="cellIs" dxfId="613" priority="222" operator="equal">
      <formula>"Pending Term"</formula>
    </cfRule>
  </conditionalFormatting>
  <conditionalFormatting sqref="I78">
    <cfRule type="cellIs" dxfId="611" priority="221" operator="equal">
      <formula>"off"</formula>
    </cfRule>
  </conditionalFormatting>
  <conditionalFormatting sqref="I78">
    <cfRule type="cellIs" dxfId="609" priority="220" operator="equal">
      <formula>"LOA"</formula>
    </cfRule>
  </conditionalFormatting>
  <conditionalFormatting sqref="H78">
    <cfRule type="cellIs" dxfId="607" priority="215" operator="equal">
      <formula>"Approved Off"</formula>
    </cfRule>
    <cfRule type="cellIs" dxfId="606" priority="216" operator="equal">
      <formula>"LOA"</formula>
    </cfRule>
    <cfRule type="cellIs" dxfId="605" priority="217" operator="equal">
      <formula>"nesting"</formula>
    </cfRule>
    <cfRule type="cellIs" dxfId="604" priority="218" operator="equal">
      <formula>"off"</formula>
    </cfRule>
    <cfRule type="cellIs" dxfId="603" priority="219" operator="equal">
      <formula>"vac"</formula>
    </cfRule>
  </conditionalFormatting>
  <conditionalFormatting sqref="H78">
    <cfRule type="cellIs" dxfId="597" priority="214" operator="equal">
      <formula>"Study Day"</formula>
    </cfRule>
  </conditionalFormatting>
  <conditionalFormatting sqref="H78">
    <cfRule type="cellIs" dxfId="595" priority="213" operator="equal">
      <formula>"FER"</formula>
    </cfRule>
  </conditionalFormatting>
  <conditionalFormatting sqref="H78">
    <cfRule type="cellIs" dxfId="593" priority="212" operator="equal">
      <formula>"Pending Term"</formula>
    </cfRule>
  </conditionalFormatting>
  <conditionalFormatting sqref="H78">
    <cfRule type="cellIs" dxfId="591" priority="211" operator="equal">
      <formula>"off"</formula>
    </cfRule>
  </conditionalFormatting>
  <conditionalFormatting sqref="H78">
    <cfRule type="cellIs" dxfId="589" priority="210" operator="equal">
      <formula>"LOA"</formula>
    </cfRule>
  </conditionalFormatting>
  <conditionalFormatting sqref="G78">
    <cfRule type="cellIs" dxfId="587" priority="205" operator="equal">
      <formula>"Approved Off"</formula>
    </cfRule>
    <cfRule type="cellIs" dxfId="586" priority="206" operator="equal">
      <formula>"LOA"</formula>
    </cfRule>
    <cfRule type="cellIs" dxfId="585" priority="207" operator="equal">
      <formula>"nesting"</formula>
    </cfRule>
    <cfRule type="cellIs" dxfId="584" priority="208" operator="equal">
      <formula>"off"</formula>
    </cfRule>
    <cfRule type="cellIs" dxfId="583" priority="209" operator="equal">
      <formula>"vac"</formula>
    </cfRule>
  </conditionalFormatting>
  <conditionalFormatting sqref="G78">
    <cfRule type="cellIs" dxfId="577" priority="204" operator="equal">
      <formula>"Study Day"</formula>
    </cfRule>
  </conditionalFormatting>
  <conditionalFormatting sqref="G78">
    <cfRule type="cellIs" dxfId="575" priority="203" operator="equal">
      <formula>"FER"</formula>
    </cfRule>
  </conditionalFormatting>
  <conditionalFormatting sqref="G78">
    <cfRule type="cellIs" dxfId="573" priority="202" operator="equal">
      <formula>"Pending Term"</formula>
    </cfRule>
  </conditionalFormatting>
  <conditionalFormatting sqref="G78">
    <cfRule type="cellIs" dxfId="571" priority="201" operator="equal">
      <formula>"off"</formula>
    </cfRule>
  </conditionalFormatting>
  <conditionalFormatting sqref="G78">
    <cfRule type="cellIs" dxfId="569" priority="200" operator="equal">
      <formula>"LOA"</formula>
    </cfRule>
  </conditionalFormatting>
  <conditionalFormatting sqref="F78">
    <cfRule type="cellIs" dxfId="567" priority="195" operator="equal">
      <formula>"Approved Off"</formula>
    </cfRule>
    <cfRule type="cellIs" dxfId="566" priority="196" operator="equal">
      <formula>"LOA"</formula>
    </cfRule>
    <cfRule type="cellIs" dxfId="565" priority="197" operator="equal">
      <formula>"nesting"</formula>
    </cfRule>
    <cfRule type="cellIs" dxfId="564" priority="198" operator="equal">
      <formula>"off"</formula>
    </cfRule>
    <cfRule type="cellIs" dxfId="563" priority="199" operator="equal">
      <formula>"vac"</formula>
    </cfRule>
  </conditionalFormatting>
  <conditionalFormatting sqref="F78">
    <cfRule type="cellIs" dxfId="557" priority="194" operator="equal">
      <formula>"Study Day"</formula>
    </cfRule>
  </conditionalFormatting>
  <conditionalFormatting sqref="F78">
    <cfRule type="cellIs" dxfId="555" priority="193" operator="equal">
      <formula>"FER"</formula>
    </cfRule>
  </conditionalFormatting>
  <conditionalFormatting sqref="F78">
    <cfRule type="cellIs" dxfId="553" priority="192" operator="equal">
      <formula>"Pending Term"</formula>
    </cfRule>
  </conditionalFormatting>
  <conditionalFormatting sqref="F78">
    <cfRule type="cellIs" dxfId="551" priority="191" operator="equal">
      <formula>"off"</formula>
    </cfRule>
  </conditionalFormatting>
  <conditionalFormatting sqref="F78">
    <cfRule type="cellIs" dxfId="549" priority="190" operator="equal">
      <formula>"LOA"</formula>
    </cfRule>
  </conditionalFormatting>
  <conditionalFormatting sqref="F83">
    <cfRule type="cellIs" dxfId="547" priority="185" operator="equal">
      <formula>"Approved Off"</formula>
    </cfRule>
    <cfRule type="cellIs" dxfId="546" priority="186" operator="equal">
      <formula>"LOA"</formula>
    </cfRule>
    <cfRule type="cellIs" dxfId="545" priority="187" operator="equal">
      <formula>"nesting"</formula>
    </cfRule>
    <cfRule type="cellIs" dxfId="544" priority="188" operator="equal">
      <formula>"off"</formula>
    </cfRule>
    <cfRule type="cellIs" dxfId="543" priority="189" operator="equal">
      <formula>"vac"</formula>
    </cfRule>
  </conditionalFormatting>
  <conditionalFormatting sqref="F83">
    <cfRule type="cellIs" dxfId="537" priority="184" operator="equal">
      <formula>"Study Day"</formula>
    </cfRule>
  </conditionalFormatting>
  <conditionalFormatting sqref="F83">
    <cfRule type="cellIs" dxfId="535" priority="183" operator="equal">
      <formula>"FER"</formula>
    </cfRule>
  </conditionalFormatting>
  <conditionalFormatting sqref="F83">
    <cfRule type="cellIs" dxfId="533" priority="182" operator="equal">
      <formula>"Pending Term"</formula>
    </cfRule>
  </conditionalFormatting>
  <conditionalFormatting sqref="F83">
    <cfRule type="cellIs" dxfId="531" priority="181" operator="equal">
      <formula>"off"</formula>
    </cfRule>
  </conditionalFormatting>
  <conditionalFormatting sqref="F83">
    <cfRule type="cellIs" dxfId="529" priority="180" operator="equal">
      <formula>"LOA"</formula>
    </cfRule>
  </conditionalFormatting>
  <conditionalFormatting sqref="G83">
    <cfRule type="cellIs" dxfId="527" priority="175" operator="equal">
      <formula>"Approved Off"</formula>
    </cfRule>
    <cfRule type="cellIs" dxfId="526" priority="176" operator="equal">
      <formula>"LOA"</formula>
    </cfRule>
    <cfRule type="cellIs" dxfId="525" priority="177" operator="equal">
      <formula>"nesting"</formula>
    </cfRule>
    <cfRule type="cellIs" dxfId="524" priority="178" operator="equal">
      <formula>"off"</formula>
    </cfRule>
    <cfRule type="cellIs" dxfId="523" priority="179" operator="equal">
      <formula>"vac"</formula>
    </cfRule>
  </conditionalFormatting>
  <conditionalFormatting sqref="G83">
    <cfRule type="cellIs" dxfId="517" priority="174" operator="equal">
      <formula>"Study Day"</formula>
    </cfRule>
  </conditionalFormatting>
  <conditionalFormatting sqref="G83">
    <cfRule type="cellIs" dxfId="515" priority="173" operator="equal">
      <formula>"FER"</formula>
    </cfRule>
  </conditionalFormatting>
  <conditionalFormatting sqref="G83">
    <cfRule type="cellIs" dxfId="513" priority="172" operator="equal">
      <formula>"Pending Term"</formula>
    </cfRule>
  </conditionalFormatting>
  <conditionalFormatting sqref="G83">
    <cfRule type="cellIs" dxfId="511" priority="171" operator="equal">
      <formula>"off"</formula>
    </cfRule>
  </conditionalFormatting>
  <conditionalFormatting sqref="G83">
    <cfRule type="cellIs" dxfId="509" priority="170" operator="equal">
      <formula>"LOA"</formula>
    </cfRule>
  </conditionalFormatting>
  <conditionalFormatting sqref="H83">
    <cfRule type="cellIs" dxfId="507" priority="165" operator="equal">
      <formula>"Approved Off"</formula>
    </cfRule>
    <cfRule type="cellIs" dxfId="506" priority="166" operator="equal">
      <formula>"LOA"</formula>
    </cfRule>
    <cfRule type="cellIs" dxfId="505" priority="167" operator="equal">
      <formula>"nesting"</formula>
    </cfRule>
    <cfRule type="cellIs" dxfId="504" priority="168" operator="equal">
      <formula>"off"</formula>
    </cfRule>
    <cfRule type="cellIs" dxfId="503" priority="169" operator="equal">
      <formula>"vac"</formula>
    </cfRule>
  </conditionalFormatting>
  <conditionalFormatting sqref="H83">
    <cfRule type="cellIs" dxfId="497" priority="164" operator="equal">
      <formula>"Study Day"</formula>
    </cfRule>
  </conditionalFormatting>
  <conditionalFormatting sqref="H83">
    <cfRule type="cellIs" dxfId="495" priority="163" operator="equal">
      <formula>"FER"</formula>
    </cfRule>
  </conditionalFormatting>
  <conditionalFormatting sqref="H83">
    <cfRule type="cellIs" dxfId="493" priority="162" operator="equal">
      <formula>"Pending Term"</formula>
    </cfRule>
  </conditionalFormatting>
  <conditionalFormatting sqref="H83">
    <cfRule type="cellIs" dxfId="491" priority="161" operator="equal">
      <formula>"off"</formula>
    </cfRule>
  </conditionalFormatting>
  <conditionalFormatting sqref="H83">
    <cfRule type="cellIs" dxfId="489" priority="160" operator="equal">
      <formula>"LOA"</formula>
    </cfRule>
  </conditionalFormatting>
  <conditionalFormatting sqref="I83">
    <cfRule type="cellIs" dxfId="487" priority="155" operator="equal">
      <formula>"Approved Off"</formula>
    </cfRule>
    <cfRule type="cellIs" dxfId="486" priority="156" operator="equal">
      <formula>"LOA"</formula>
    </cfRule>
    <cfRule type="cellIs" dxfId="485" priority="157" operator="equal">
      <formula>"nesting"</formula>
    </cfRule>
    <cfRule type="cellIs" dxfId="484" priority="158" operator="equal">
      <formula>"off"</formula>
    </cfRule>
    <cfRule type="cellIs" dxfId="483" priority="159" operator="equal">
      <formula>"vac"</formula>
    </cfRule>
  </conditionalFormatting>
  <conditionalFormatting sqref="I83">
    <cfRule type="cellIs" dxfId="477" priority="154" operator="equal">
      <formula>"Study Day"</formula>
    </cfRule>
  </conditionalFormatting>
  <conditionalFormatting sqref="I83">
    <cfRule type="cellIs" dxfId="475" priority="153" operator="equal">
      <formula>"FER"</formula>
    </cfRule>
  </conditionalFormatting>
  <conditionalFormatting sqref="I83">
    <cfRule type="cellIs" dxfId="473" priority="152" operator="equal">
      <formula>"Pending Term"</formula>
    </cfRule>
  </conditionalFormatting>
  <conditionalFormatting sqref="I83">
    <cfRule type="cellIs" dxfId="471" priority="151" operator="equal">
      <formula>"off"</formula>
    </cfRule>
  </conditionalFormatting>
  <conditionalFormatting sqref="I83">
    <cfRule type="cellIs" dxfId="469" priority="150" operator="equal">
      <formula>"LOA"</formula>
    </cfRule>
  </conditionalFormatting>
  <conditionalFormatting sqref="J83">
    <cfRule type="cellIs" dxfId="467" priority="145" operator="equal">
      <formula>"Approved Off"</formula>
    </cfRule>
    <cfRule type="cellIs" dxfId="466" priority="146" operator="equal">
      <formula>"LOA"</formula>
    </cfRule>
    <cfRule type="cellIs" dxfId="465" priority="147" operator="equal">
      <formula>"nesting"</formula>
    </cfRule>
    <cfRule type="cellIs" dxfId="464" priority="148" operator="equal">
      <formula>"off"</formula>
    </cfRule>
    <cfRule type="cellIs" dxfId="463" priority="149" operator="equal">
      <formula>"vac"</formula>
    </cfRule>
  </conditionalFormatting>
  <conditionalFormatting sqref="J83">
    <cfRule type="cellIs" dxfId="457" priority="144" operator="equal">
      <formula>"Study Day"</formula>
    </cfRule>
  </conditionalFormatting>
  <conditionalFormatting sqref="J83">
    <cfRule type="cellIs" dxfId="455" priority="143" operator="equal">
      <formula>"FER"</formula>
    </cfRule>
  </conditionalFormatting>
  <conditionalFormatting sqref="J83">
    <cfRule type="cellIs" dxfId="453" priority="142" operator="equal">
      <formula>"Pending Term"</formula>
    </cfRule>
  </conditionalFormatting>
  <conditionalFormatting sqref="J83">
    <cfRule type="cellIs" dxfId="451" priority="141" operator="equal">
      <formula>"off"</formula>
    </cfRule>
  </conditionalFormatting>
  <conditionalFormatting sqref="J83">
    <cfRule type="cellIs" dxfId="449" priority="140" operator="equal">
      <formula>"LOA"</formula>
    </cfRule>
  </conditionalFormatting>
  <conditionalFormatting sqref="F43:J43">
    <cfRule type="cellIs" dxfId="447" priority="135" operator="equal">
      <formula>"Approved Off"</formula>
    </cfRule>
    <cfRule type="cellIs" dxfId="446" priority="136" operator="equal">
      <formula>"LOA"</formula>
    </cfRule>
    <cfRule type="cellIs" dxfId="445" priority="137" operator="equal">
      <formula>"nesting"</formula>
    </cfRule>
    <cfRule type="cellIs" dxfId="444" priority="138" operator="equal">
      <formula>"off"</formula>
    </cfRule>
    <cfRule type="cellIs" dxfId="443" priority="139" operator="equal">
      <formula>"vac"</formula>
    </cfRule>
  </conditionalFormatting>
  <conditionalFormatting sqref="F43:J43">
    <cfRule type="cellIs" dxfId="437" priority="134" operator="equal">
      <formula>"Study Day"</formula>
    </cfRule>
  </conditionalFormatting>
  <conditionalFormatting sqref="F43:J43">
    <cfRule type="cellIs" dxfId="435" priority="133" operator="equal">
      <formula>"FER"</formula>
    </cfRule>
  </conditionalFormatting>
  <conditionalFormatting sqref="F43:J43">
    <cfRule type="cellIs" dxfId="433" priority="132" operator="equal">
      <formula>"Pending Term"</formula>
    </cfRule>
  </conditionalFormatting>
  <conditionalFormatting sqref="F43:J43">
    <cfRule type="cellIs" dxfId="431" priority="131" operator="equal">
      <formula>"off"</formula>
    </cfRule>
  </conditionalFormatting>
  <conditionalFormatting sqref="F43:J43">
    <cfRule type="cellIs" dxfId="429" priority="130" operator="equal">
      <formula>"LOA"</formula>
    </cfRule>
  </conditionalFormatting>
  <conditionalFormatting sqref="X27">
    <cfRule type="duplicateValues" dxfId="427" priority="437"/>
  </conditionalFormatting>
  <conditionalFormatting sqref="Y27">
    <cfRule type="duplicateValues" dxfId="425" priority="438"/>
  </conditionalFormatting>
  <conditionalFormatting sqref="AH27">
    <cfRule type="duplicateValues" dxfId="423" priority="439"/>
  </conditionalFormatting>
  <conditionalFormatting sqref="AI27">
    <cfRule type="duplicateValues" dxfId="421" priority="440"/>
  </conditionalFormatting>
  <conditionalFormatting sqref="W27">
    <cfRule type="duplicateValues" dxfId="419" priority="441"/>
  </conditionalFormatting>
  <conditionalFormatting sqref="X4:X6">
    <cfRule type="duplicateValues" dxfId="417" priority="442"/>
  </conditionalFormatting>
  <conditionalFormatting sqref="Y4:Y6">
    <cfRule type="duplicateValues" dxfId="415" priority="443"/>
  </conditionalFormatting>
  <conditionalFormatting sqref="AH4:AH6">
    <cfRule type="duplicateValues" dxfId="413" priority="444"/>
  </conditionalFormatting>
  <conditionalFormatting sqref="AI4:AI6">
    <cfRule type="duplicateValues" dxfId="411" priority="445"/>
  </conditionalFormatting>
  <conditionalFormatting sqref="X25:X26">
    <cfRule type="duplicateValues" dxfId="409" priority="446"/>
  </conditionalFormatting>
  <conditionalFormatting sqref="Y25:Y26">
    <cfRule type="duplicateValues" dxfId="407" priority="447"/>
  </conditionalFormatting>
  <conditionalFormatting sqref="AH25:AH26">
    <cfRule type="duplicateValues" dxfId="405" priority="448"/>
  </conditionalFormatting>
  <conditionalFormatting sqref="AI25:AI26">
    <cfRule type="duplicateValues" dxfId="403" priority="449"/>
  </conditionalFormatting>
  <conditionalFormatting sqref="W25:W26">
    <cfRule type="duplicateValues" dxfId="401" priority="450"/>
  </conditionalFormatting>
  <conditionalFormatting sqref="X29">
    <cfRule type="duplicateValues" dxfId="399" priority="451"/>
  </conditionalFormatting>
  <conditionalFormatting sqref="Y29">
    <cfRule type="duplicateValues" dxfId="397" priority="452"/>
  </conditionalFormatting>
  <conditionalFormatting sqref="AH29">
    <cfRule type="duplicateValues" dxfId="395" priority="453"/>
  </conditionalFormatting>
  <conditionalFormatting sqref="AI29">
    <cfRule type="duplicateValues" dxfId="393" priority="454"/>
  </conditionalFormatting>
  <conditionalFormatting sqref="W29">
    <cfRule type="duplicateValues" dxfId="391" priority="455"/>
  </conditionalFormatting>
  <conditionalFormatting sqref="X20:X24">
    <cfRule type="duplicateValues" dxfId="389" priority="456"/>
  </conditionalFormatting>
  <conditionalFormatting sqref="Y20:Y24">
    <cfRule type="duplicateValues" dxfId="387" priority="457"/>
  </conditionalFormatting>
  <conditionalFormatting sqref="AH20:AH24">
    <cfRule type="duplicateValues" dxfId="385" priority="458"/>
  </conditionalFormatting>
  <conditionalFormatting sqref="AI20:AI24">
    <cfRule type="duplicateValues" dxfId="383" priority="459"/>
  </conditionalFormatting>
  <conditionalFormatting sqref="W20:W24">
    <cfRule type="duplicateValues" dxfId="381" priority="460"/>
  </conditionalFormatting>
  <conditionalFormatting sqref="X160:X165">
    <cfRule type="duplicateValues" dxfId="379" priority="461"/>
  </conditionalFormatting>
  <conditionalFormatting sqref="Y160:Y165">
    <cfRule type="duplicateValues" dxfId="377" priority="462"/>
  </conditionalFormatting>
  <conditionalFormatting sqref="AH160:AH165">
    <cfRule type="duplicateValues" dxfId="375" priority="463"/>
  </conditionalFormatting>
  <conditionalFormatting sqref="AI160:AI165">
    <cfRule type="duplicateValues" dxfId="373" priority="464"/>
  </conditionalFormatting>
  <conditionalFormatting sqref="W160:W165">
    <cfRule type="duplicateValues" dxfId="371" priority="465"/>
  </conditionalFormatting>
  <conditionalFormatting sqref="V166:V184">
    <cfRule type="cellIs" dxfId="369" priority="115" operator="greaterThan">
      <formula>45</formula>
    </cfRule>
  </conditionalFormatting>
  <conditionalFormatting sqref="A166:AP184">
    <cfRule type="cellIs" dxfId="367" priority="104" operator="equal">
      <formula>"LOA"</formula>
    </cfRule>
    <cfRule type="cellIs" dxfId="366" priority="105" operator="equal">
      <formula>"PENDING TERM"</formula>
    </cfRule>
    <cfRule type="cellIs" dxfId="365" priority="106" operator="equal">
      <formula>"PROMOTED"</formula>
    </cfRule>
    <cfRule type="cellIs" dxfId="364" priority="107" operator="equal">
      <formula>"REINSTATEMENT"</formula>
    </cfRule>
    <cfRule type="cellIs" dxfId="363" priority="108" operator="equal">
      <formula>"TERM"</formula>
    </cfRule>
    <cfRule type="cellIs" dxfId="362" priority="109" operator="equal">
      <formula>"TRANSFER"</formula>
    </cfRule>
  </conditionalFormatting>
  <conditionalFormatting sqref="E166:K184">
    <cfRule type="cellIs" dxfId="355" priority="110" operator="equal">
      <formula>"Approved Off"</formula>
    </cfRule>
    <cfRule type="cellIs" dxfId="354" priority="111" operator="equal">
      <formula>"LOA"</formula>
    </cfRule>
    <cfRule type="cellIs" dxfId="353" priority="112" operator="equal">
      <formula>"nesting"</formula>
    </cfRule>
    <cfRule type="cellIs" dxfId="352" priority="113" operator="equal">
      <formula>"off"</formula>
    </cfRule>
    <cfRule type="cellIs" dxfId="351" priority="114" operator="equal">
      <formula>"vac"</formula>
    </cfRule>
  </conditionalFormatting>
  <conditionalFormatting sqref="E166:K184">
    <cfRule type="cellIs" dxfId="345" priority="103" operator="equal">
      <formula>"Study Day"</formula>
    </cfRule>
  </conditionalFormatting>
  <conditionalFormatting sqref="E166:K184">
    <cfRule type="cellIs" dxfId="343" priority="102" operator="equal">
      <formula>"FER"</formula>
    </cfRule>
  </conditionalFormatting>
  <conditionalFormatting sqref="E166:K184">
    <cfRule type="cellIs" dxfId="341" priority="101" operator="equal">
      <formula>"Pending Term"</formula>
    </cfRule>
  </conditionalFormatting>
  <conditionalFormatting sqref="F166:L184">
    <cfRule type="cellIs" dxfId="339" priority="100" operator="equal">
      <formula>"off"</formula>
    </cfRule>
  </conditionalFormatting>
  <conditionalFormatting sqref="F166:L184">
    <cfRule type="cellIs" dxfId="337" priority="99" operator="equal">
      <formula>"LOA"</formula>
    </cfRule>
  </conditionalFormatting>
  <conditionalFormatting sqref="X166:X184">
    <cfRule type="duplicateValues" dxfId="335" priority="116"/>
  </conditionalFormatting>
  <conditionalFormatting sqref="Y166:Y184">
    <cfRule type="duplicateValues" dxfId="333" priority="117"/>
  </conditionalFormatting>
  <conditionalFormatting sqref="AH166:AH184">
    <cfRule type="duplicateValues" dxfId="331" priority="118"/>
  </conditionalFormatting>
  <conditionalFormatting sqref="AI166:AI184">
    <cfRule type="duplicateValues" dxfId="329" priority="119"/>
  </conditionalFormatting>
  <conditionalFormatting sqref="X166:X184">
    <cfRule type="duplicateValues" dxfId="327" priority="120"/>
  </conditionalFormatting>
  <conditionalFormatting sqref="Y166:Y184">
    <cfRule type="duplicateValues" dxfId="325" priority="121"/>
  </conditionalFormatting>
  <conditionalFormatting sqref="AH166:AH184">
    <cfRule type="duplicateValues" dxfId="323" priority="122"/>
  </conditionalFormatting>
  <conditionalFormatting sqref="AI166:AI184">
    <cfRule type="duplicateValues" dxfId="321" priority="123"/>
  </conditionalFormatting>
  <conditionalFormatting sqref="W166:W184">
    <cfRule type="duplicateValues" dxfId="319" priority="124"/>
  </conditionalFormatting>
  <conditionalFormatting sqref="X166:X184">
    <cfRule type="duplicateValues" dxfId="317" priority="125"/>
  </conditionalFormatting>
  <conditionalFormatting sqref="Y166:Y184">
    <cfRule type="duplicateValues" dxfId="315" priority="126"/>
  </conditionalFormatting>
  <conditionalFormatting sqref="AH166:AH184">
    <cfRule type="duplicateValues" dxfId="313" priority="127"/>
  </conditionalFormatting>
  <conditionalFormatting sqref="AI166:AI184">
    <cfRule type="duplicateValues" dxfId="311" priority="128"/>
  </conditionalFormatting>
  <conditionalFormatting sqref="W166:W184">
    <cfRule type="duplicateValues" dxfId="309" priority="129"/>
  </conditionalFormatting>
  <conditionalFormatting sqref="X35:X39">
    <cfRule type="duplicateValues" dxfId="307" priority="466"/>
  </conditionalFormatting>
  <conditionalFormatting sqref="Y35:Y39">
    <cfRule type="duplicateValues" dxfId="305" priority="467"/>
  </conditionalFormatting>
  <conditionalFormatting sqref="AH35:AH39">
    <cfRule type="duplicateValues" dxfId="303" priority="468"/>
  </conditionalFormatting>
  <conditionalFormatting sqref="AI35:AI39">
    <cfRule type="duplicateValues" dxfId="301" priority="469"/>
  </conditionalFormatting>
  <conditionalFormatting sqref="W35:W39">
    <cfRule type="duplicateValues" dxfId="299" priority="470"/>
  </conditionalFormatting>
  <conditionalFormatting sqref="X111:X130 X47:X99">
    <cfRule type="duplicateValues" dxfId="297" priority="471"/>
  </conditionalFormatting>
  <conditionalFormatting sqref="Y111:Y130 Y47:Y99">
    <cfRule type="duplicateValues" dxfId="295" priority="472"/>
  </conditionalFormatting>
  <conditionalFormatting sqref="AH111:AH130 AH47:AH99">
    <cfRule type="duplicateValues" dxfId="293" priority="473"/>
  </conditionalFormatting>
  <conditionalFormatting sqref="AI111:AI130 AI47:AI99">
    <cfRule type="duplicateValues" dxfId="291" priority="474"/>
  </conditionalFormatting>
  <conditionalFormatting sqref="W111:W130 W47:W99">
    <cfRule type="duplicateValues" dxfId="289" priority="475"/>
  </conditionalFormatting>
  <conditionalFormatting sqref="W111:W130 W52:W99 W12 W2:W6">
    <cfRule type="duplicateValues" dxfId="287" priority="476"/>
  </conditionalFormatting>
  <conditionalFormatting sqref="X223:X271 X111:X130 X52:X99 X12 X2">
    <cfRule type="duplicateValues" dxfId="285" priority="477"/>
  </conditionalFormatting>
  <conditionalFormatting sqref="Y223:Y271 Y111:Y130 Y52:Y99 Y12 Y2">
    <cfRule type="duplicateValues" dxfId="283" priority="478"/>
  </conditionalFormatting>
  <conditionalFormatting sqref="AH223:AH271 AH111:AH130 AH52:AH99 AH12 AH2">
    <cfRule type="duplicateValues" dxfId="281" priority="479"/>
  </conditionalFormatting>
  <conditionalFormatting sqref="AI223:AI271 AI111:AI130 AI52:AI99 AI12 AI2">
    <cfRule type="duplicateValues" dxfId="279" priority="480"/>
  </conditionalFormatting>
  <conditionalFormatting sqref="AJ210">
    <cfRule type="duplicateValues" dxfId="277" priority="98"/>
  </conditionalFormatting>
  <conditionalFormatting sqref="AJ212">
    <cfRule type="duplicateValues" dxfId="275" priority="97"/>
  </conditionalFormatting>
  <conditionalFormatting sqref="X100:X130">
    <cfRule type="duplicateValues" dxfId="273" priority="481"/>
  </conditionalFormatting>
  <conditionalFormatting sqref="Y100:Y130">
    <cfRule type="duplicateValues" dxfId="271" priority="482"/>
  </conditionalFormatting>
  <conditionalFormatting sqref="AH100:AH130">
    <cfRule type="duplicateValues" dxfId="269" priority="483"/>
  </conditionalFormatting>
  <conditionalFormatting sqref="AI100:AI130">
    <cfRule type="duplicateValues" dxfId="267" priority="484"/>
  </conditionalFormatting>
  <conditionalFormatting sqref="W100:W130">
    <cfRule type="duplicateValues" dxfId="265" priority="485"/>
  </conditionalFormatting>
  <conditionalFormatting sqref="X31:X34">
    <cfRule type="duplicateValues" dxfId="263" priority="486"/>
  </conditionalFormatting>
  <conditionalFormatting sqref="Y31:Y34">
    <cfRule type="duplicateValues" dxfId="261" priority="487"/>
  </conditionalFormatting>
  <conditionalFormatting sqref="AH31:AH34">
    <cfRule type="duplicateValues" dxfId="259" priority="488"/>
  </conditionalFormatting>
  <conditionalFormatting sqref="AI31:AI34">
    <cfRule type="duplicateValues" dxfId="257" priority="489"/>
  </conditionalFormatting>
  <conditionalFormatting sqref="W31:W34">
    <cfRule type="duplicateValues" dxfId="255" priority="490"/>
  </conditionalFormatting>
  <conditionalFormatting sqref="V272:V276">
    <cfRule type="cellIs" dxfId="253" priority="87" operator="greaterThan">
      <formula>45</formula>
    </cfRule>
  </conditionalFormatting>
  <conditionalFormatting sqref="A272:AP276">
    <cfRule type="cellIs" dxfId="251" priority="76" operator="equal">
      <formula>"LOA"</formula>
    </cfRule>
    <cfRule type="cellIs" dxfId="250" priority="77" operator="equal">
      <formula>"PENDING TERM"</formula>
    </cfRule>
    <cfRule type="cellIs" dxfId="249" priority="78" operator="equal">
      <formula>"PROMOTED"</formula>
    </cfRule>
    <cfRule type="cellIs" dxfId="248" priority="79" operator="equal">
      <formula>"REINSTATEMENT"</formula>
    </cfRule>
    <cfRule type="cellIs" dxfId="247" priority="80" operator="equal">
      <formula>"TERM"</formula>
    </cfRule>
    <cfRule type="cellIs" dxfId="246" priority="81" operator="equal">
      <formula>"TRANSFER"</formula>
    </cfRule>
  </conditionalFormatting>
  <conditionalFormatting sqref="E272:K276">
    <cfRule type="cellIs" dxfId="239" priority="82" operator="equal">
      <formula>"Approved Off"</formula>
    </cfRule>
    <cfRule type="cellIs" dxfId="238" priority="83" operator="equal">
      <formula>"LOA"</formula>
    </cfRule>
    <cfRule type="cellIs" dxfId="237" priority="84" operator="equal">
      <formula>"nesting"</formula>
    </cfRule>
    <cfRule type="cellIs" dxfId="236" priority="85" operator="equal">
      <formula>"off"</formula>
    </cfRule>
    <cfRule type="cellIs" dxfId="235" priority="86" operator="equal">
      <formula>"vac"</formula>
    </cfRule>
  </conditionalFormatting>
  <conditionalFormatting sqref="E272:K276">
    <cfRule type="cellIs" dxfId="229" priority="75" operator="equal">
      <formula>"Study Day"</formula>
    </cfRule>
  </conditionalFormatting>
  <conditionalFormatting sqref="E272:K276">
    <cfRule type="cellIs" dxfId="227" priority="74" operator="equal">
      <formula>"FER"</formula>
    </cfRule>
  </conditionalFormatting>
  <conditionalFormatting sqref="E272:K276">
    <cfRule type="cellIs" dxfId="225" priority="73" operator="equal">
      <formula>"Pending Term"</formula>
    </cfRule>
  </conditionalFormatting>
  <conditionalFormatting sqref="F272:L276">
    <cfRule type="cellIs" dxfId="223" priority="72" operator="equal">
      <formula>"off"</formula>
    </cfRule>
  </conditionalFormatting>
  <conditionalFormatting sqref="F272:L276">
    <cfRule type="cellIs" dxfId="221" priority="71" operator="equal">
      <formula>"LOA"</formula>
    </cfRule>
  </conditionalFormatting>
  <conditionalFormatting sqref="X272:X276">
    <cfRule type="duplicateValues" dxfId="219" priority="88"/>
  </conditionalFormatting>
  <conditionalFormatting sqref="Y272:Y276">
    <cfRule type="duplicateValues" dxfId="217" priority="89"/>
  </conditionalFormatting>
  <conditionalFormatting sqref="AH272:AH276">
    <cfRule type="duplicateValues" dxfId="215" priority="90"/>
  </conditionalFormatting>
  <conditionalFormatting sqref="AI272:AI276">
    <cfRule type="duplicateValues" dxfId="213" priority="91"/>
  </conditionalFormatting>
  <conditionalFormatting sqref="X272:X276">
    <cfRule type="duplicateValues" dxfId="211" priority="92"/>
  </conditionalFormatting>
  <conditionalFormatting sqref="Y272:Y276">
    <cfRule type="duplicateValues" dxfId="209" priority="93"/>
  </conditionalFormatting>
  <conditionalFormatting sqref="AH272:AH276">
    <cfRule type="duplicateValues" dxfId="207" priority="94"/>
  </conditionalFormatting>
  <conditionalFormatting sqref="AI272:AI276">
    <cfRule type="duplicateValues" dxfId="205" priority="95"/>
  </conditionalFormatting>
  <conditionalFormatting sqref="W272:W276">
    <cfRule type="duplicateValues" dxfId="203" priority="96"/>
  </conditionalFormatting>
  <conditionalFormatting sqref="X13:X18">
    <cfRule type="duplicateValues" dxfId="201" priority="491"/>
  </conditionalFormatting>
  <conditionalFormatting sqref="Y13:Y18">
    <cfRule type="duplicateValues" dxfId="199" priority="492"/>
  </conditionalFormatting>
  <conditionalFormatting sqref="AH13:AH18">
    <cfRule type="duplicateValues" dxfId="197" priority="493"/>
  </conditionalFormatting>
  <conditionalFormatting sqref="AI13:AI18">
    <cfRule type="duplicateValues" dxfId="195" priority="494"/>
  </conditionalFormatting>
  <conditionalFormatting sqref="W13:W18">
    <cfRule type="duplicateValues" dxfId="193" priority="495"/>
  </conditionalFormatting>
  <conditionalFormatting sqref="X185:X206">
    <cfRule type="duplicateValues" dxfId="191" priority="496"/>
  </conditionalFormatting>
  <conditionalFormatting sqref="Y185:Y206">
    <cfRule type="duplicateValues" dxfId="189" priority="497"/>
  </conditionalFormatting>
  <conditionalFormatting sqref="AH185:AH206">
    <cfRule type="duplicateValues" dxfId="187" priority="498"/>
  </conditionalFormatting>
  <conditionalFormatting sqref="AI185:AI206">
    <cfRule type="duplicateValues" dxfId="185" priority="499"/>
  </conditionalFormatting>
  <conditionalFormatting sqref="W185:W206">
    <cfRule type="duplicateValues" dxfId="183" priority="500"/>
  </conditionalFormatting>
  <conditionalFormatting sqref="X207:X271">
    <cfRule type="duplicateValues" dxfId="181" priority="501"/>
  </conditionalFormatting>
  <conditionalFormatting sqref="Y207:Y271">
    <cfRule type="duplicateValues" dxfId="179" priority="502"/>
  </conditionalFormatting>
  <conditionalFormatting sqref="AH207:AH271">
    <cfRule type="duplicateValues" dxfId="177" priority="503"/>
  </conditionalFormatting>
  <conditionalFormatting sqref="AI207:AI271">
    <cfRule type="duplicateValues" dxfId="175" priority="504"/>
  </conditionalFormatting>
  <conditionalFormatting sqref="W207:W271">
    <cfRule type="duplicateValues" dxfId="173" priority="505"/>
  </conditionalFormatting>
  <conditionalFormatting sqref="X131:X159">
    <cfRule type="duplicateValues" dxfId="171" priority="506"/>
  </conditionalFormatting>
  <conditionalFormatting sqref="Y131:Y159">
    <cfRule type="duplicateValues" dxfId="169" priority="507"/>
  </conditionalFormatting>
  <conditionalFormatting sqref="AH131:AH159">
    <cfRule type="duplicateValues" dxfId="167" priority="508"/>
  </conditionalFormatting>
  <conditionalFormatting sqref="AI131:AI159">
    <cfRule type="duplicateValues" dxfId="165" priority="509"/>
  </conditionalFormatting>
  <conditionalFormatting sqref="W131:W159">
    <cfRule type="duplicateValues" dxfId="163" priority="510"/>
  </conditionalFormatting>
  <conditionalFormatting sqref="X277:X284">
    <cfRule type="duplicateValues" dxfId="161" priority="511"/>
  </conditionalFormatting>
  <conditionalFormatting sqref="Y277:Y284">
    <cfRule type="duplicateValues" dxfId="159" priority="512"/>
  </conditionalFormatting>
  <conditionalFormatting sqref="AH277:AH284">
    <cfRule type="duplicateValues" dxfId="157" priority="513"/>
  </conditionalFormatting>
  <conditionalFormatting sqref="AI277:AI284">
    <cfRule type="duplicateValues" dxfId="155" priority="514"/>
  </conditionalFormatting>
  <conditionalFormatting sqref="W277:W284">
    <cfRule type="duplicateValues" dxfId="153" priority="515"/>
  </conditionalFormatting>
  <conditionalFormatting sqref="G191">
    <cfRule type="cellIs" dxfId="151" priority="60" operator="equal">
      <formula>"LOA"</formula>
    </cfRule>
    <cfRule type="cellIs" dxfId="150" priority="61" operator="equal">
      <formula>"PENDING TERM"</formula>
    </cfRule>
    <cfRule type="cellIs" dxfId="149" priority="62" operator="equal">
      <formula>"PROMOTED"</formula>
    </cfRule>
    <cfRule type="cellIs" dxfId="148" priority="63" operator="equal">
      <formula>"REINSTATEMENT"</formula>
    </cfRule>
    <cfRule type="cellIs" dxfId="147" priority="64" operator="equal">
      <formula>"TERM"</formula>
    </cfRule>
    <cfRule type="cellIs" dxfId="146" priority="65" operator="equal">
      <formula>"TRANSFER"</formula>
    </cfRule>
  </conditionalFormatting>
  <conditionalFormatting sqref="G191">
    <cfRule type="cellIs" dxfId="139" priority="66" operator="equal">
      <formula>"Approved Off"</formula>
    </cfRule>
    <cfRule type="cellIs" dxfId="138" priority="67" operator="equal">
      <formula>"LOA"</formula>
    </cfRule>
    <cfRule type="cellIs" dxfId="137" priority="68" operator="equal">
      <formula>"nesting"</formula>
    </cfRule>
    <cfRule type="cellIs" dxfId="136" priority="69" operator="equal">
      <formula>"off"</formula>
    </cfRule>
    <cfRule type="cellIs" dxfId="135" priority="70" operator="equal">
      <formula>"vac"</formula>
    </cfRule>
  </conditionalFormatting>
  <conditionalFormatting sqref="G191">
    <cfRule type="cellIs" dxfId="129" priority="59" operator="equal">
      <formula>"Study Day"</formula>
    </cfRule>
  </conditionalFormatting>
  <conditionalFormatting sqref="G191">
    <cfRule type="cellIs" dxfId="127" priority="58" operator="equal">
      <formula>"FER"</formula>
    </cfRule>
  </conditionalFormatting>
  <conditionalFormatting sqref="G191">
    <cfRule type="cellIs" dxfId="125" priority="57" operator="equal">
      <formula>"Pending Term"</formula>
    </cfRule>
  </conditionalFormatting>
  <conditionalFormatting sqref="G191">
    <cfRule type="cellIs" dxfId="123" priority="56" operator="equal">
      <formula>"off"</formula>
    </cfRule>
  </conditionalFormatting>
  <conditionalFormatting sqref="G191">
    <cfRule type="cellIs" dxfId="121" priority="55" operator="equal">
      <formula>"LOA"</formula>
    </cfRule>
  </conditionalFormatting>
  <conditionalFormatting sqref="V285:V299">
    <cfRule type="cellIs" dxfId="119" priority="44" operator="greaterThan">
      <formula>45</formula>
    </cfRule>
  </conditionalFormatting>
  <conditionalFormatting sqref="A285:AP299">
    <cfRule type="cellIs" dxfId="117" priority="33" operator="equal">
      <formula>"LOA"</formula>
    </cfRule>
    <cfRule type="cellIs" dxfId="116" priority="34" operator="equal">
      <formula>"PENDING TERM"</formula>
    </cfRule>
    <cfRule type="cellIs" dxfId="115" priority="35" operator="equal">
      <formula>"PROMOTED"</formula>
    </cfRule>
    <cfRule type="cellIs" dxfId="114" priority="36" operator="equal">
      <formula>"REINSTATEMENT"</formula>
    </cfRule>
    <cfRule type="cellIs" dxfId="113" priority="37" operator="equal">
      <formula>"TERM"</formula>
    </cfRule>
    <cfRule type="cellIs" dxfId="112" priority="38" operator="equal">
      <formula>"TRANSFER"</formula>
    </cfRule>
  </conditionalFormatting>
  <conditionalFormatting sqref="E285:K299">
    <cfRule type="cellIs" dxfId="105" priority="39" operator="equal">
      <formula>"Approved Off"</formula>
    </cfRule>
    <cfRule type="cellIs" dxfId="104" priority="40" operator="equal">
      <formula>"LOA"</formula>
    </cfRule>
    <cfRule type="cellIs" dxfId="103" priority="41" operator="equal">
      <formula>"nesting"</formula>
    </cfRule>
    <cfRule type="cellIs" dxfId="102" priority="42" operator="equal">
      <formula>"off"</formula>
    </cfRule>
    <cfRule type="cellIs" dxfId="101" priority="43" operator="equal">
      <formula>"vac"</formula>
    </cfRule>
  </conditionalFormatting>
  <conditionalFormatting sqref="E285:K299">
    <cfRule type="cellIs" dxfId="95" priority="32" operator="equal">
      <formula>"Study Day"</formula>
    </cfRule>
  </conditionalFormatting>
  <conditionalFormatting sqref="E285:K299">
    <cfRule type="cellIs" dxfId="93" priority="31" operator="equal">
      <formula>"FER"</formula>
    </cfRule>
  </conditionalFormatting>
  <conditionalFormatting sqref="E285:K299">
    <cfRule type="cellIs" dxfId="91" priority="30" operator="equal">
      <formula>"Pending Term"</formula>
    </cfRule>
  </conditionalFormatting>
  <conditionalFormatting sqref="F285:L299">
    <cfRule type="cellIs" dxfId="89" priority="29" operator="equal">
      <formula>"off"</formula>
    </cfRule>
  </conditionalFormatting>
  <conditionalFormatting sqref="F285:L299">
    <cfRule type="cellIs" dxfId="87" priority="28" operator="equal">
      <formula>"LOA"</formula>
    </cfRule>
  </conditionalFormatting>
  <conditionalFormatting sqref="X285:X299">
    <cfRule type="duplicateValues" dxfId="85" priority="45"/>
  </conditionalFormatting>
  <conditionalFormatting sqref="Y285:Y299">
    <cfRule type="duplicateValues" dxfId="83" priority="46"/>
  </conditionalFormatting>
  <conditionalFormatting sqref="AH285:AH299">
    <cfRule type="duplicateValues" dxfId="81" priority="47"/>
  </conditionalFormatting>
  <conditionalFormatting sqref="AI285:AI299">
    <cfRule type="duplicateValues" dxfId="79" priority="48"/>
  </conditionalFormatting>
  <conditionalFormatting sqref="X285:X299">
    <cfRule type="duplicateValues" dxfId="77" priority="49"/>
  </conditionalFormatting>
  <conditionalFormatting sqref="Y285:Y299">
    <cfRule type="duplicateValues" dxfId="75" priority="50"/>
  </conditionalFormatting>
  <conditionalFormatting sqref="AH285:AH299">
    <cfRule type="duplicateValues" dxfId="73" priority="51"/>
  </conditionalFormatting>
  <conditionalFormatting sqref="AI285:AI299">
    <cfRule type="duplicateValues" dxfId="71" priority="52"/>
  </conditionalFormatting>
  <conditionalFormatting sqref="W285:W299">
    <cfRule type="duplicateValues" dxfId="69" priority="53"/>
  </conditionalFormatting>
  <conditionalFormatting sqref="Y285:Y299">
    <cfRule type="duplicateValues" dxfId="67" priority="54"/>
  </conditionalFormatting>
  <conditionalFormatting sqref="V300:V329">
    <cfRule type="cellIs" dxfId="65" priority="17" operator="greaterThan">
      <formula>45</formula>
    </cfRule>
  </conditionalFormatting>
  <conditionalFormatting sqref="A300:AP329">
    <cfRule type="cellIs" dxfId="63" priority="6" operator="equal">
      <formula>"LOA"</formula>
    </cfRule>
    <cfRule type="cellIs" dxfId="62" priority="7" operator="equal">
      <formula>"PENDING TERM"</formula>
    </cfRule>
    <cfRule type="cellIs" dxfId="61" priority="8" operator="equal">
      <formula>"PROMOTED"</formula>
    </cfRule>
    <cfRule type="cellIs" dxfId="60" priority="9" operator="equal">
      <formula>"REINSTATEMENT"</formula>
    </cfRule>
    <cfRule type="cellIs" dxfId="59" priority="10" operator="equal">
      <formula>"TERM"</formula>
    </cfRule>
    <cfRule type="cellIs" dxfId="58" priority="11" operator="equal">
      <formula>"TRANSFER"</formula>
    </cfRule>
  </conditionalFormatting>
  <conditionalFormatting sqref="E300:K329">
    <cfRule type="cellIs" dxfId="51" priority="12" operator="equal">
      <formula>"Approved Off"</formula>
    </cfRule>
    <cfRule type="cellIs" dxfId="50" priority="13" operator="equal">
      <formula>"LOA"</formula>
    </cfRule>
    <cfRule type="cellIs" dxfId="49" priority="14" operator="equal">
      <formula>"nesting"</formula>
    </cfRule>
    <cfRule type="cellIs" dxfId="48" priority="15" operator="equal">
      <formula>"off"</formula>
    </cfRule>
    <cfRule type="cellIs" dxfId="47" priority="16" operator="equal">
      <formula>"vac"</formula>
    </cfRule>
  </conditionalFormatting>
  <conditionalFormatting sqref="E300:K329">
    <cfRule type="cellIs" dxfId="41" priority="5" operator="equal">
      <formula>"Study Day"</formula>
    </cfRule>
  </conditionalFormatting>
  <conditionalFormatting sqref="E300:K329">
    <cfRule type="cellIs" dxfId="39" priority="4" operator="equal">
      <formula>"FER"</formula>
    </cfRule>
  </conditionalFormatting>
  <conditionalFormatting sqref="E300:K329">
    <cfRule type="cellIs" dxfId="37" priority="3" operator="equal">
      <formula>"Pending Term"</formula>
    </cfRule>
  </conditionalFormatting>
  <conditionalFormatting sqref="F300:L329">
    <cfRule type="cellIs" dxfId="35" priority="2" operator="equal">
      <formula>"off"</formula>
    </cfRule>
  </conditionalFormatting>
  <conditionalFormatting sqref="F300:L329">
    <cfRule type="cellIs" dxfId="33" priority="1" operator="equal">
      <formula>"LOA"</formula>
    </cfRule>
  </conditionalFormatting>
  <conditionalFormatting sqref="X300:X329">
    <cfRule type="duplicateValues" dxfId="31" priority="18"/>
  </conditionalFormatting>
  <conditionalFormatting sqref="Y300:Y329">
    <cfRule type="duplicateValues" dxfId="29" priority="19"/>
  </conditionalFormatting>
  <conditionalFormatting sqref="AH300:AH329">
    <cfRule type="duplicateValues" dxfId="27" priority="20"/>
  </conditionalFormatting>
  <conditionalFormatting sqref="AI300:AI329">
    <cfRule type="duplicateValues" dxfId="25" priority="21"/>
  </conditionalFormatting>
  <conditionalFormatting sqref="X300:X329">
    <cfRule type="duplicateValues" dxfId="23" priority="22"/>
  </conditionalFormatting>
  <conditionalFormatting sqref="Y300:Y329">
    <cfRule type="duplicateValues" dxfId="21" priority="23"/>
  </conditionalFormatting>
  <conditionalFormatting sqref="AH300:AH329">
    <cfRule type="duplicateValues" dxfId="19" priority="24"/>
  </conditionalFormatting>
  <conditionalFormatting sqref="AI300:AI329">
    <cfRule type="duplicateValues" dxfId="17" priority="25"/>
  </conditionalFormatting>
  <conditionalFormatting sqref="W300:W329">
    <cfRule type="duplicateValues" dxfId="15" priority="26"/>
  </conditionalFormatting>
  <conditionalFormatting sqref="Y300:Y329">
    <cfRule type="duplicateValues" dxfId="13" priority="27"/>
  </conditionalFormatting>
  <conditionalFormatting sqref="X19">
    <cfRule type="duplicateValues" dxfId="11" priority="516"/>
  </conditionalFormatting>
  <conditionalFormatting sqref="Y19">
    <cfRule type="duplicateValues" dxfId="9" priority="517"/>
  </conditionalFormatting>
  <conditionalFormatting sqref="AH19">
    <cfRule type="duplicateValues" dxfId="7" priority="518"/>
  </conditionalFormatting>
  <conditionalFormatting sqref="AI19">
    <cfRule type="duplicateValues" dxfId="5" priority="519"/>
  </conditionalFormatting>
  <conditionalFormatting sqref="W19">
    <cfRule type="duplicateValues" dxfId="3" priority="520"/>
  </conditionalFormatting>
  <conditionalFormatting sqref="Y2:Y284">
    <cfRule type="duplicateValues" dxfId="1" priority="52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showGridLines="0" zoomScale="70" zoomScaleNormal="70" workbookViewId="0">
      <pane ySplit="1" topLeftCell="A2" activePane="bottomLeft" state="frozen"/>
      <selection pane="bottomLeft"/>
    </sheetView>
  </sheetViews>
  <sheetFormatPr defaultColWidth="0" defaultRowHeight="15" customHeight="1" zeroHeight="1" x14ac:dyDescent="0.25"/>
  <cols>
    <col min="1" max="1" width="32.5703125" bestFit="1" customWidth="1"/>
    <col min="2" max="2" width="25.28515625" bestFit="1" customWidth="1"/>
    <col min="3" max="3" width="15" customWidth="1"/>
    <col min="4" max="4" width="17.140625" bestFit="1" customWidth="1"/>
    <col min="5" max="5" width="17.85546875" bestFit="1" customWidth="1"/>
    <col min="6" max="6" width="18.140625" customWidth="1"/>
    <col min="7" max="7" width="16.42578125" customWidth="1"/>
    <col min="8" max="8" width="16.5703125" customWidth="1"/>
    <col min="9" max="9" width="15" customWidth="1"/>
    <col min="10" max="10" width="14.85546875" bestFit="1" customWidth="1"/>
    <col min="11" max="11" width="16.85546875" bestFit="1" customWidth="1"/>
    <col min="12" max="12" width="3.42578125" customWidth="1"/>
    <col min="13" max="16384" width="9.140625" hidden="1"/>
  </cols>
  <sheetData>
    <row r="1" spans="1:12" ht="30.75" customHeight="1" thickBot="1" x14ac:dyDescent="0.3">
      <c r="A1" s="1" t="s">
        <v>0</v>
      </c>
      <c r="B1" s="2" t="s">
        <v>1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31</v>
      </c>
      <c r="K1" s="3" t="s">
        <v>22</v>
      </c>
    </row>
    <row r="2" spans="1:12" ht="15" customHeight="1" x14ac:dyDescent="0.25">
      <c r="A2" s="44" t="s">
        <v>74</v>
      </c>
      <c r="B2" s="64" t="s">
        <v>72</v>
      </c>
      <c r="C2" s="39" t="s">
        <v>40</v>
      </c>
      <c r="D2" s="39" t="s">
        <v>67</v>
      </c>
      <c r="E2" s="39" t="s">
        <v>67</v>
      </c>
      <c r="F2" s="39" t="s">
        <v>67</v>
      </c>
      <c r="G2" s="39" t="s">
        <v>67</v>
      </c>
      <c r="H2" s="39" t="s">
        <v>67</v>
      </c>
      <c r="I2" s="39" t="s">
        <v>40</v>
      </c>
      <c r="J2" s="51">
        <v>84825</v>
      </c>
      <c r="K2" s="51">
        <v>2770365</v>
      </c>
    </row>
    <row r="3" spans="1:12" ht="15" customHeight="1" x14ac:dyDescent="0.25">
      <c r="A3" s="44" t="s">
        <v>74</v>
      </c>
      <c r="B3" s="64" t="s">
        <v>75</v>
      </c>
      <c r="C3" s="39" t="s">
        <v>40</v>
      </c>
      <c r="D3" s="39" t="s">
        <v>67</v>
      </c>
      <c r="E3" s="39" t="s">
        <v>67</v>
      </c>
      <c r="F3" s="39" t="s">
        <v>67</v>
      </c>
      <c r="G3" s="39" t="s">
        <v>67</v>
      </c>
      <c r="H3" s="39" t="s">
        <v>67</v>
      </c>
      <c r="I3" s="39" t="s">
        <v>40</v>
      </c>
      <c r="J3" s="51">
        <v>81043</v>
      </c>
      <c r="K3" s="51">
        <v>1880608</v>
      </c>
    </row>
    <row r="4" spans="1:12" ht="15" customHeight="1" x14ac:dyDescent="0.25">
      <c r="A4" s="44" t="s">
        <v>74</v>
      </c>
      <c r="B4" s="51" t="s">
        <v>77</v>
      </c>
      <c r="C4" s="39" t="s">
        <v>40</v>
      </c>
      <c r="D4" s="39" t="s">
        <v>67</v>
      </c>
      <c r="E4" s="39" t="s">
        <v>67</v>
      </c>
      <c r="F4" s="39" t="s">
        <v>67</v>
      </c>
      <c r="G4" s="39" t="s">
        <v>67</v>
      </c>
      <c r="H4" s="39" t="s">
        <v>67</v>
      </c>
      <c r="I4" s="39" t="s">
        <v>40</v>
      </c>
      <c r="J4" s="51">
        <v>80740</v>
      </c>
      <c r="K4" s="51">
        <v>1793255</v>
      </c>
    </row>
    <row r="5" spans="1:12" ht="15" customHeight="1" x14ac:dyDescent="0.25">
      <c r="A5" s="44" t="s">
        <v>74</v>
      </c>
      <c r="B5" s="51" t="s">
        <v>85</v>
      </c>
      <c r="C5" s="39" t="s">
        <v>40</v>
      </c>
      <c r="D5" s="39" t="s">
        <v>67</v>
      </c>
      <c r="E5" s="39" t="s">
        <v>67</v>
      </c>
      <c r="F5" s="39" t="s">
        <v>67</v>
      </c>
      <c r="G5" s="39" t="s">
        <v>67</v>
      </c>
      <c r="H5" s="39" t="s">
        <v>67</v>
      </c>
      <c r="I5" s="39" t="s">
        <v>40</v>
      </c>
      <c r="J5" s="51">
        <v>79688</v>
      </c>
      <c r="K5" s="51">
        <v>1453697</v>
      </c>
    </row>
    <row r="6" spans="1:12" ht="15" customHeight="1" x14ac:dyDescent="0.25">
      <c r="A6" s="44" t="s">
        <v>98</v>
      </c>
      <c r="B6" s="51" t="s">
        <v>86</v>
      </c>
      <c r="C6" s="39" t="s">
        <v>40</v>
      </c>
      <c r="D6" s="39" t="s">
        <v>67</v>
      </c>
      <c r="E6" s="39" t="s">
        <v>67</v>
      </c>
      <c r="F6" s="39" t="s">
        <v>67</v>
      </c>
      <c r="G6" s="39" t="s">
        <v>67</v>
      </c>
      <c r="H6" s="39" t="s">
        <v>67</v>
      </c>
      <c r="I6" s="39" t="s">
        <v>40</v>
      </c>
      <c r="J6" s="51">
        <v>77681</v>
      </c>
      <c r="K6" s="51">
        <v>1077981</v>
      </c>
    </row>
    <row r="7" spans="1:12" ht="15" customHeight="1" x14ac:dyDescent="0.25">
      <c r="A7" s="44" t="s">
        <v>98</v>
      </c>
      <c r="B7" s="51" t="s">
        <v>92</v>
      </c>
      <c r="C7" s="39" t="s">
        <v>40</v>
      </c>
      <c r="D7" s="39" t="s">
        <v>67</v>
      </c>
      <c r="E7" s="39" t="s">
        <v>67</v>
      </c>
      <c r="F7" s="39" t="s">
        <v>67</v>
      </c>
      <c r="G7" s="39" t="s">
        <v>67</v>
      </c>
      <c r="H7" s="39" t="s">
        <v>67</v>
      </c>
      <c r="I7" s="39" t="s">
        <v>40</v>
      </c>
      <c r="J7" s="51">
        <v>79479</v>
      </c>
      <c r="K7" s="51">
        <v>1407265</v>
      </c>
    </row>
    <row r="8" spans="1:12" ht="15" customHeight="1" x14ac:dyDescent="0.25">
      <c r="A8" s="44" t="s">
        <v>74</v>
      </c>
      <c r="B8" s="51" t="s">
        <v>94</v>
      </c>
      <c r="C8" s="39" t="s">
        <v>40</v>
      </c>
      <c r="D8" s="39" t="s">
        <v>67</v>
      </c>
      <c r="E8" s="39" t="s">
        <v>67</v>
      </c>
      <c r="F8" s="39" t="s">
        <v>67</v>
      </c>
      <c r="G8" s="39" t="s">
        <v>67</v>
      </c>
      <c r="H8" s="39" t="s">
        <v>67</v>
      </c>
      <c r="I8" s="39" t="s">
        <v>40</v>
      </c>
      <c r="J8" s="51">
        <v>85154</v>
      </c>
      <c r="K8" s="51">
        <v>1815266</v>
      </c>
    </row>
    <row r="9" spans="1:12" ht="15" customHeight="1" x14ac:dyDescent="0.25">
      <c r="A9" s="44" t="s">
        <v>71</v>
      </c>
      <c r="B9" s="51" t="s">
        <v>76</v>
      </c>
      <c r="C9" s="39" t="s">
        <v>40</v>
      </c>
      <c r="D9" s="39" t="s">
        <v>89</v>
      </c>
      <c r="E9" s="39" t="s">
        <v>89</v>
      </c>
      <c r="F9" s="39" t="s">
        <v>89</v>
      </c>
      <c r="G9" s="39" t="s">
        <v>89</v>
      </c>
      <c r="H9" s="39" t="s">
        <v>89</v>
      </c>
      <c r="I9" s="39" t="s">
        <v>40</v>
      </c>
      <c r="J9" s="51">
        <v>66977</v>
      </c>
      <c r="K9" s="51">
        <v>500642</v>
      </c>
    </row>
    <row r="10" spans="1:12" ht="15" customHeight="1" x14ac:dyDescent="0.25">
      <c r="A10" s="44" t="s">
        <v>98</v>
      </c>
      <c r="B10" s="51" t="s">
        <v>87</v>
      </c>
      <c r="C10" s="39" t="s">
        <v>40</v>
      </c>
      <c r="D10" s="39" t="s">
        <v>59</v>
      </c>
      <c r="E10" s="39" t="s">
        <v>59</v>
      </c>
      <c r="F10" s="39" t="s">
        <v>59</v>
      </c>
      <c r="G10" s="39" t="s">
        <v>59</v>
      </c>
      <c r="H10" s="39" t="s">
        <v>59</v>
      </c>
      <c r="I10" s="39" t="s">
        <v>40</v>
      </c>
      <c r="J10" s="51">
        <v>81755</v>
      </c>
      <c r="K10" s="51">
        <v>2052783</v>
      </c>
    </row>
    <row r="11" spans="1:12" ht="15" customHeight="1" x14ac:dyDescent="0.25">
      <c r="A11" s="44" t="s">
        <v>71</v>
      </c>
      <c r="B11" s="51" t="s">
        <v>73</v>
      </c>
      <c r="C11" s="39" t="s">
        <v>40</v>
      </c>
      <c r="D11" s="39" t="s">
        <v>59</v>
      </c>
      <c r="E11" s="39" t="s">
        <v>59</v>
      </c>
      <c r="F11" s="39" t="s">
        <v>59</v>
      </c>
      <c r="G11" s="39" t="s">
        <v>59</v>
      </c>
      <c r="H11" s="39" t="s">
        <v>59</v>
      </c>
      <c r="I11" s="39" t="s">
        <v>40</v>
      </c>
      <c r="J11" s="51">
        <v>74323</v>
      </c>
      <c r="K11" s="51">
        <v>595902</v>
      </c>
    </row>
    <row r="12" spans="1:12" ht="15" customHeight="1" x14ac:dyDescent="0.25">
      <c r="A12" s="44" t="s">
        <v>71</v>
      </c>
      <c r="B12" s="51" t="s">
        <v>88</v>
      </c>
      <c r="C12" s="39" t="s">
        <v>40</v>
      </c>
      <c r="D12" s="39" t="s">
        <v>59</v>
      </c>
      <c r="E12" s="39" t="s">
        <v>59</v>
      </c>
      <c r="F12" s="39" t="s">
        <v>59</v>
      </c>
      <c r="G12" s="39" t="s">
        <v>59</v>
      </c>
      <c r="H12" s="39" t="s">
        <v>59</v>
      </c>
      <c r="I12" s="39" t="s">
        <v>40</v>
      </c>
      <c r="J12" s="51">
        <v>70271</v>
      </c>
      <c r="K12" s="51">
        <v>490014</v>
      </c>
      <c r="L12" s="4"/>
    </row>
    <row r="13" spans="1:12" ht="15" customHeight="1" x14ac:dyDescent="0.25">
      <c r="A13" s="44" t="s">
        <v>71</v>
      </c>
      <c r="B13" s="51" t="s">
        <v>78</v>
      </c>
      <c r="C13" s="39" t="s">
        <v>40</v>
      </c>
      <c r="D13" s="39" t="s">
        <v>59</v>
      </c>
      <c r="E13" s="39" t="s">
        <v>59</v>
      </c>
      <c r="F13" s="39" t="s">
        <v>59</v>
      </c>
      <c r="G13" s="39" t="s">
        <v>59</v>
      </c>
      <c r="H13" s="39" t="s">
        <v>59</v>
      </c>
      <c r="I13" s="39" t="s">
        <v>40</v>
      </c>
      <c r="J13" s="51">
        <v>78667</v>
      </c>
      <c r="K13" s="51">
        <v>1244026</v>
      </c>
    </row>
    <row r="14" spans="1:12" ht="15" customHeight="1" x14ac:dyDescent="0.25">
      <c r="A14" s="44" t="s">
        <v>71</v>
      </c>
      <c r="B14" s="51" t="s">
        <v>83</v>
      </c>
      <c r="C14" s="39" t="s">
        <v>40</v>
      </c>
      <c r="D14" s="39" t="s">
        <v>84</v>
      </c>
      <c r="E14" s="39" t="s">
        <v>84</v>
      </c>
      <c r="F14" s="39" t="s">
        <v>84</v>
      </c>
      <c r="G14" s="39" t="s">
        <v>84</v>
      </c>
      <c r="H14" s="39" t="s">
        <v>84</v>
      </c>
      <c r="I14" s="39" t="s">
        <v>40</v>
      </c>
      <c r="J14" s="51">
        <v>64659</v>
      </c>
      <c r="K14" s="51">
        <v>433331</v>
      </c>
    </row>
    <row r="15" spans="1:12" ht="15" customHeight="1" x14ac:dyDescent="0.25">
      <c r="A15" s="44" t="s">
        <v>98</v>
      </c>
      <c r="B15" s="51" t="s">
        <v>91</v>
      </c>
      <c r="C15" s="39" t="s">
        <v>40</v>
      </c>
      <c r="D15" s="39" t="s">
        <v>59</v>
      </c>
      <c r="E15" s="39" t="s">
        <v>59</v>
      </c>
      <c r="F15" s="39" t="s">
        <v>59</v>
      </c>
      <c r="G15" s="39" t="s">
        <v>59</v>
      </c>
      <c r="H15" s="39" t="s">
        <v>59</v>
      </c>
      <c r="I15" s="39" t="s">
        <v>40</v>
      </c>
      <c r="J15" s="51">
        <v>79943</v>
      </c>
      <c r="K15" s="51">
        <v>1509262</v>
      </c>
    </row>
    <row r="16" spans="1:12" ht="15" customHeight="1" x14ac:dyDescent="0.25">
      <c r="A16" s="44" t="s">
        <v>98</v>
      </c>
      <c r="B16" s="51" t="s">
        <v>95</v>
      </c>
      <c r="C16" s="39" t="s">
        <v>40</v>
      </c>
      <c r="D16" s="39" t="s">
        <v>59</v>
      </c>
      <c r="E16" s="39" t="s">
        <v>59</v>
      </c>
      <c r="F16" s="39" t="s">
        <v>59</v>
      </c>
      <c r="G16" s="39" t="s">
        <v>59</v>
      </c>
      <c r="H16" s="39" t="s">
        <v>59</v>
      </c>
      <c r="I16" s="39" t="s">
        <v>40</v>
      </c>
      <c r="J16" s="51">
        <v>83505</v>
      </c>
      <c r="K16" s="51">
        <v>2432304</v>
      </c>
    </row>
    <row r="17" spans="1:11" ht="15" customHeight="1" x14ac:dyDescent="0.25">
      <c r="A17" s="44" t="s">
        <v>74</v>
      </c>
      <c r="B17" s="51" t="s">
        <v>102</v>
      </c>
      <c r="C17" s="51" t="s">
        <v>40</v>
      </c>
      <c r="D17" s="51" t="s">
        <v>67</v>
      </c>
      <c r="E17" s="51" t="s">
        <v>67</v>
      </c>
      <c r="F17" s="51" t="s">
        <v>67</v>
      </c>
      <c r="G17" s="51" t="s">
        <v>67</v>
      </c>
      <c r="H17" s="51" t="s">
        <v>67</v>
      </c>
      <c r="I17" s="51" t="s">
        <v>40</v>
      </c>
      <c r="J17" s="51">
        <v>83851</v>
      </c>
      <c r="K17" s="51">
        <v>2592570</v>
      </c>
    </row>
    <row r="18" spans="1:11" ht="15" customHeight="1" x14ac:dyDescent="0.25">
      <c r="A18" s="44" t="s">
        <v>74</v>
      </c>
      <c r="B18" s="51" t="s">
        <v>103</v>
      </c>
      <c r="C18" s="51" t="s">
        <v>40</v>
      </c>
      <c r="D18" s="51" t="s">
        <v>67</v>
      </c>
      <c r="E18" s="51" t="s">
        <v>67</v>
      </c>
      <c r="F18" s="51" t="s">
        <v>67</v>
      </c>
      <c r="G18" s="51" t="s">
        <v>67</v>
      </c>
      <c r="H18" s="51" t="s">
        <v>67</v>
      </c>
      <c r="I18" s="51" t="s">
        <v>40</v>
      </c>
      <c r="J18" s="51">
        <v>83947</v>
      </c>
      <c r="K18" s="51">
        <v>2679645</v>
      </c>
    </row>
    <row r="19" spans="1:11" ht="15" customHeight="1" x14ac:dyDescent="0.25">
      <c r="A19" s="44" t="s">
        <v>98</v>
      </c>
      <c r="B19" s="51" t="s">
        <v>1570</v>
      </c>
      <c r="C19" s="51" t="s">
        <v>40</v>
      </c>
      <c r="D19" s="51" t="s">
        <v>59</v>
      </c>
      <c r="E19" s="51" t="s">
        <v>59</v>
      </c>
      <c r="F19" s="51" t="s">
        <v>59</v>
      </c>
      <c r="G19" s="51" t="s">
        <v>59</v>
      </c>
      <c r="H19" s="51" t="s">
        <v>59</v>
      </c>
      <c r="I19" s="51" t="s">
        <v>40</v>
      </c>
      <c r="J19" s="51">
        <v>85988</v>
      </c>
      <c r="K19" s="51">
        <v>3116873</v>
      </c>
    </row>
    <row r="20" spans="1:11" ht="15" customHeight="1" thickBot="1" x14ac:dyDescent="0.3">
      <c r="A20" s="92" t="s">
        <v>71</v>
      </c>
      <c r="B20" s="129" t="s">
        <v>101</v>
      </c>
      <c r="C20" s="129" t="s">
        <v>40</v>
      </c>
      <c r="D20" s="129" t="s">
        <v>59</v>
      </c>
      <c r="E20" s="129" t="s">
        <v>59</v>
      </c>
      <c r="F20" s="129" t="s">
        <v>59</v>
      </c>
      <c r="G20" s="129" t="s">
        <v>59</v>
      </c>
      <c r="H20" s="129" t="s">
        <v>59</v>
      </c>
      <c r="I20" s="129" t="s">
        <v>40</v>
      </c>
      <c r="J20" s="129">
        <v>84144</v>
      </c>
      <c r="K20" s="129">
        <v>2714348</v>
      </c>
    </row>
    <row r="21" spans="1:11" ht="15" customHeight="1" x14ac:dyDescent="0.25"/>
  </sheetData>
  <autoFilter ref="A1:K6"/>
  <conditionalFormatting sqref="A1">
    <cfRule type="cellIs" dxfId="2075" priority="2148" operator="equal">
      <formula>"TRANSFER"</formula>
    </cfRule>
  </conditionalFormatting>
  <conditionalFormatting sqref="A2:A20">
    <cfRule type="cellIs" dxfId="2074" priority="43" operator="equal">
      <formula>"LOA"</formula>
    </cfRule>
    <cfRule type="cellIs" dxfId="2073" priority="44" operator="equal">
      <formula>"PENDING TERM"</formula>
    </cfRule>
    <cfRule type="cellIs" dxfId="2072" priority="45" operator="equal">
      <formula>"PROMOTED"</formula>
    </cfRule>
    <cfRule type="cellIs" dxfId="2071" priority="46" operator="equal">
      <formula>"REINSTATEMENT"</formula>
    </cfRule>
    <cfRule type="cellIs" dxfId="2070" priority="47" operator="equal">
      <formula>"TERM"</formula>
    </cfRule>
    <cfRule type="cellIs" dxfId="2069" priority="48" operator="equal">
      <formula>"TRANSFER"</formula>
    </cfRule>
  </conditionalFormatting>
  <conditionalFormatting sqref="C2:I16">
    <cfRule type="cellIs" dxfId="2068" priority="49" operator="equal">
      <formula>"Approved Off"</formula>
    </cfRule>
    <cfRule type="cellIs" dxfId="2067" priority="50" operator="equal">
      <formula>"LOA"</formula>
    </cfRule>
    <cfRule type="cellIs" dxfId="2066" priority="51" operator="equal">
      <formula>"nesting"</formula>
    </cfRule>
    <cfRule type="cellIs" dxfId="2065" priority="52" operator="equal">
      <formula>"off"</formula>
    </cfRule>
    <cfRule type="cellIs" dxfId="2064" priority="53" operator="equal">
      <formula>"vac"</formula>
    </cfRule>
  </conditionalFormatting>
  <conditionalFormatting sqref="B3">
    <cfRule type="duplicateValues" dxfId="2063" priority="42"/>
  </conditionalFormatting>
  <conditionalFormatting sqref="B4">
    <cfRule type="duplicateValues" dxfId="2062" priority="41"/>
  </conditionalFormatting>
  <conditionalFormatting sqref="B4">
    <cfRule type="duplicateValues" dxfId="2061" priority="40"/>
  </conditionalFormatting>
  <conditionalFormatting sqref="B5">
    <cfRule type="duplicateValues" dxfId="2060" priority="39"/>
  </conditionalFormatting>
  <conditionalFormatting sqref="B5">
    <cfRule type="duplicateValues" dxfId="2059" priority="38"/>
  </conditionalFormatting>
  <conditionalFormatting sqref="B5">
    <cfRule type="duplicateValues" dxfId="2058" priority="37"/>
  </conditionalFormatting>
  <conditionalFormatting sqref="B5">
    <cfRule type="duplicateValues" dxfId="2057" priority="36"/>
  </conditionalFormatting>
  <conditionalFormatting sqref="B5">
    <cfRule type="duplicateValues" dxfId="2056" priority="35"/>
  </conditionalFormatting>
  <conditionalFormatting sqref="B5">
    <cfRule type="duplicateValues" dxfId="2055" priority="34"/>
  </conditionalFormatting>
  <conditionalFormatting sqref="B5">
    <cfRule type="duplicateValues" dxfId="2054" priority="33"/>
  </conditionalFormatting>
  <conditionalFormatting sqref="B6">
    <cfRule type="duplicateValues" dxfId="2053" priority="32"/>
  </conditionalFormatting>
  <conditionalFormatting sqref="B5">
    <cfRule type="duplicateValues" dxfId="2052" priority="31"/>
  </conditionalFormatting>
  <conditionalFormatting sqref="B5">
    <cfRule type="duplicateValues" dxfId="2051" priority="30"/>
  </conditionalFormatting>
  <conditionalFormatting sqref="B6">
    <cfRule type="duplicateValues" dxfId="2050" priority="29"/>
  </conditionalFormatting>
  <conditionalFormatting sqref="B6">
    <cfRule type="duplicateValues" dxfId="2049" priority="28"/>
  </conditionalFormatting>
  <conditionalFormatting sqref="B6">
    <cfRule type="duplicateValues" dxfId="2048" priority="27"/>
  </conditionalFormatting>
  <conditionalFormatting sqref="B6">
    <cfRule type="duplicateValues" dxfId="2047" priority="26"/>
  </conditionalFormatting>
  <conditionalFormatting sqref="B6">
    <cfRule type="duplicateValues" dxfId="2046" priority="25"/>
  </conditionalFormatting>
  <conditionalFormatting sqref="B6">
    <cfRule type="duplicateValues" dxfId="2045" priority="24"/>
  </conditionalFormatting>
  <conditionalFormatting sqref="B6">
    <cfRule type="duplicateValues" dxfId="2044" priority="23"/>
  </conditionalFormatting>
  <conditionalFormatting sqref="B6">
    <cfRule type="duplicateValues" dxfId="2043" priority="22"/>
  </conditionalFormatting>
  <conditionalFormatting sqref="B6">
    <cfRule type="duplicateValues" dxfId="2042" priority="21"/>
  </conditionalFormatting>
  <conditionalFormatting sqref="B6">
    <cfRule type="duplicateValues" dxfId="2041" priority="20"/>
  </conditionalFormatting>
  <conditionalFormatting sqref="B6">
    <cfRule type="duplicateValues" dxfId="2040" priority="19"/>
  </conditionalFormatting>
  <conditionalFormatting sqref="B6">
    <cfRule type="duplicateValues" dxfId="2039" priority="18"/>
  </conditionalFormatting>
  <conditionalFormatting sqref="B6">
    <cfRule type="duplicateValues" dxfId="2038" priority="17"/>
  </conditionalFormatting>
  <conditionalFormatting sqref="B6">
    <cfRule type="duplicateValues" dxfId="2037" priority="16"/>
  </conditionalFormatting>
  <conditionalFormatting sqref="B6">
    <cfRule type="duplicateValues" dxfId="2036" priority="15"/>
  </conditionalFormatting>
  <conditionalFormatting sqref="B6">
    <cfRule type="duplicateValues" dxfId="2035" priority="14"/>
  </conditionalFormatting>
  <conditionalFormatting sqref="B6">
    <cfRule type="duplicateValues" dxfId="2034" priority="13"/>
  </conditionalFormatting>
  <conditionalFormatting sqref="B6">
    <cfRule type="duplicateValues" dxfId="2033" priority="12"/>
  </conditionalFormatting>
  <conditionalFormatting sqref="B6">
    <cfRule type="duplicateValues" dxfId="2032" priority="11"/>
  </conditionalFormatting>
  <conditionalFormatting sqref="B6">
    <cfRule type="duplicateValues" dxfId="2031" priority="10"/>
  </conditionalFormatting>
  <conditionalFormatting sqref="B6">
    <cfRule type="duplicateValues" dxfId="2030" priority="9"/>
  </conditionalFormatting>
  <conditionalFormatting sqref="C2:I16">
    <cfRule type="cellIs" dxfId="2029" priority="8" operator="equal">
      <formula>"Study Day"</formula>
    </cfRule>
  </conditionalFormatting>
  <conditionalFormatting sqref="C2:I16">
    <cfRule type="cellIs" dxfId="2028" priority="7" operator="equal">
      <formula>"FER"</formula>
    </cfRule>
  </conditionalFormatting>
  <conditionalFormatting sqref="C2:I16">
    <cfRule type="cellIs" dxfId="2027" priority="6" operator="equal">
      <formula>"Pending Term"</formula>
    </cfRule>
  </conditionalFormatting>
  <conditionalFormatting sqref="C17:I20 D2:I16">
    <cfRule type="cellIs" dxfId="2026" priority="5" operator="equal">
      <formula>"off"</formula>
    </cfRule>
  </conditionalFormatting>
  <conditionalFormatting sqref="C17:I20">
    <cfRule type="cellIs" dxfId="2025" priority="3" operator="equal">
      <formula>"vac"</formula>
    </cfRule>
  </conditionalFormatting>
  <conditionalFormatting sqref="C17:I20 D2:I16">
    <cfRule type="cellIs" dxfId="2024" priority="4" operator="equal">
      <formula>"LOA"</formula>
    </cfRule>
  </conditionalFormatting>
  <conditionalFormatting sqref="B2">
    <cfRule type="duplicateValues" dxfId="2023" priority="54"/>
  </conditionalFormatting>
  <conditionalFormatting sqref="B10">
    <cfRule type="duplicateValues" dxfId="2022" priority="2"/>
  </conditionalFormatting>
  <conditionalFormatting sqref="K10">
    <cfRule type="duplicateValues" dxfId="2021" priority="1"/>
  </conditionalFormatting>
  <conditionalFormatting sqref="K2:K9">
    <cfRule type="duplicateValues" dxfId="2020" priority="55"/>
  </conditionalFormatting>
  <conditionalFormatting sqref="B11:B20 B5:B9">
    <cfRule type="duplicateValues" dxfId="2019" priority="56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51"/>
  <sheetViews>
    <sheetView showGridLines="0" zoomScale="70" zoomScaleNormal="70" workbookViewId="0">
      <pane ySplit="1" topLeftCell="A2" activePane="bottomLeft" state="frozen"/>
      <selection pane="bottomLeft"/>
    </sheetView>
  </sheetViews>
  <sheetFormatPr defaultColWidth="0" defaultRowHeight="15" customHeight="1" zeroHeight="1" x14ac:dyDescent="0.25"/>
  <cols>
    <col min="1" max="1" width="24.85546875" customWidth="1"/>
    <col min="2" max="2" width="32.5703125" bestFit="1" customWidth="1"/>
    <col min="3" max="9" width="15" customWidth="1"/>
    <col min="10" max="10" width="14.85546875" bestFit="1" customWidth="1"/>
    <col min="11" max="11" width="16.85546875" bestFit="1" customWidth="1"/>
    <col min="12" max="12" width="3.42578125" customWidth="1"/>
    <col min="13" max="16384" width="9.140625" hidden="1"/>
  </cols>
  <sheetData>
    <row r="1" spans="1:11" ht="30.75" customHeight="1" thickBot="1" x14ac:dyDescent="0.3">
      <c r="A1" s="1" t="s">
        <v>32</v>
      </c>
      <c r="B1" s="2" t="s">
        <v>0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31</v>
      </c>
      <c r="K1" s="3" t="s">
        <v>22</v>
      </c>
    </row>
    <row r="2" spans="1:11" x14ac:dyDescent="0.25">
      <c r="A2" s="105" t="s">
        <v>79</v>
      </c>
      <c r="B2" s="103" t="s">
        <v>71</v>
      </c>
      <c r="C2" s="103" t="s">
        <v>40</v>
      </c>
      <c r="D2" s="102" t="s">
        <v>60</v>
      </c>
      <c r="E2" s="103" t="s">
        <v>60</v>
      </c>
      <c r="F2" s="103" t="s">
        <v>60</v>
      </c>
      <c r="G2" s="103" t="s">
        <v>60</v>
      </c>
      <c r="H2" s="102" t="s">
        <v>60</v>
      </c>
      <c r="I2" s="103" t="s">
        <v>40</v>
      </c>
      <c r="J2" s="103">
        <v>64118</v>
      </c>
      <c r="K2" s="104">
        <v>433569</v>
      </c>
    </row>
    <row r="3" spans="1:11" x14ac:dyDescent="0.25">
      <c r="A3" s="65" t="s">
        <v>79</v>
      </c>
      <c r="B3" s="51" t="s">
        <v>74</v>
      </c>
      <c r="C3" s="51" t="s">
        <v>40</v>
      </c>
      <c r="D3" s="51" t="s">
        <v>96</v>
      </c>
      <c r="E3" s="51" t="s">
        <v>96</v>
      </c>
      <c r="F3" s="51" t="s">
        <v>96</v>
      </c>
      <c r="G3" s="51" t="s">
        <v>96</v>
      </c>
      <c r="H3" s="51" t="s">
        <v>96</v>
      </c>
      <c r="I3" s="51" t="s">
        <v>40</v>
      </c>
      <c r="J3" s="51">
        <v>74054</v>
      </c>
      <c r="K3" s="54">
        <v>590259</v>
      </c>
    </row>
    <row r="4" spans="1:11" ht="15.75" thickBot="1" x14ac:dyDescent="0.3">
      <c r="A4" s="150" t="s">
        <v>79</v>
      </c>
      <c r="B4" s="49" t="s">
        <v>98</v>
      </c>
      <c r="C4" s="49" t="s">
        <v>40</v>
      </c>
      <c r="D4" s="49" t="s">
        <v>60</v>
      </c>
      <c r="E4" s="49" t="s">
        <v>60</v>
      </c>
      <c r="F4" s="49" t="s">
        <v>60</v>
      </c>
      <c r="G4" s="49" t="s">
        <v>60</v>
      </c>
      <c r="H4" s="49" t="s">
        <v>60</v>
      </c>
      <c r="I4" s="49" t="s">
        <v>40</v>
      </c>
      <c r="J4" s="49">
        <v>59438</v>
      </c>
      <c r="K4" s="55">
        <v>433173</v>
      </c>
    </row>
    <row r="5" spans="1:11" x14ac:dyDescent="0.25"/>
    <row r="6" spans="1:11" hidden="1" x14ac:dyDescent="0.25"/>
    <row r="7" spans="1:11" hidden="1" x14ac:dyDescent="0.25"/>
    <row r="8" spans="1:11" hidden="1" x14ac:dyDescent="0.25"/>
    <row r="9" spans="1:11" hidden="1" x14ac:dyDescent="0.25"/>
    <row r="10" spans="1:11" hidden="1" x14ac:dyDescent="0.25"/>
    <row r="11" spans="1:11" hidden="1" x14ac:dyDescent="0.25"/>
    <row r="12" spans="1:11" hidden="1" x14ac:dyDescent="0.25"/>
    <row r="13" spans="1:11" hidden="1" x14ac:dyDescent="0.25"/>
    <row r="14" spans="1:11" hidden="1" x14ac:dyDescent="0.25"/>
    <row r="15" spans="1:11" hidden="1" x14ac:dyDescent="0.25"/>
    <row r="16" spans="1:11" hidden="1" x14ac:dyDescent="0.25"/>
    <row r="17" hidden="1" x14ac:dyDescent="0.25"/>
    <row r="18" hidden="1" x14ac:dyDescent="0.25"/>
    <row r="19" hidden="1" x14ac:dyDescent="0.25"/>
    <row r="20" hidden="1" x14ac:dyDescent="0.25"/>
    <row r="21" hidden="1" x14ac:dyDescent="0.25"/>
    <row r="22" hidden="1" x14ac:dyDescent="0.25"/>
    <row r="23" hidden="1" x14ac:dyDescent="0.25"/>
    <row r="24" hidden="1" x14ac:dyDescent="0.25"/>
    <row r="25" hidden="1" x14ac:dyDescent="0.25"/>
    <row r="26" hidden="1" x14ac:dyDescent="0.25"/>
    <row r="27" hidden="1" x14ac:dyDescent="0.25"/>
    <row r="28" hidden="1" x14ac:dyDescent="0.25"/>
    <row r="29" hidden="1" x14ac:dyDescent="0.25"/>
    <row r="30" hidden="1" x14ac:dyDescent="0.25"/>
    <row r="31" hidden="1" x14ac:dyDescent="0.25"/>
    <row r="32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37" hidden="1" x14ac:dyDescent="0.25"/>
    <row r="238" hidden="1" x14ac:dyDescent="0.25"/>
    <row r="239" hidden="1" x14ac:dyDescent="0.25"/>
    <row r="240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hidden="1" x14ac:dyDescent="0.25"/>
    <row r="262" hidden="1" x14ac:dyDescent="0.25"/>
    <row r="263" hidden="1" x14ac:dyDescent="0.25"/>
    <row r="264" hidden="1" x14ac:dyDescent="0.25"/>
    <row r="265" hidden="1" x14ac:dyDescent="0.25"/>
    <row r="266" hidden="1" x14ac:dyDescent="0.25"/>
    <row r="267" hidden="1" x14ac:dyDescent="0.25"/>
    <row r="268" hidden="1" x14ac:dyDescent="0.25"/>
    <row r="269" hidden="1" x14ac:dyDescent="0.25"/>
    <row r="270" hidden="1" x14ac:dyDescent="0.25"/>
    <row r="271" hidden="1" x14ac:dyDescent="0.25"/>
    <row r="272" hidden="1" x14ac:dyDescent="0.25"/>
    <row r="273" hidden="1" x14ac:dyDescent="0.25"/>
    <row r="274" hidden="1" x14ac:dyDescent="0.25"/>
    <row r="275" hidden="1" x14ac:dyDescent="0.25"/>
    <row r="276" hidden="1" x14ac:dyDescent="0.25"/>
    <row r="277" hidden="1" x14ac:dyDescent="0.25"/>
    <row r="278" hidden="1" x14ac:dyDescent="0.25"/>
    <row r="279" hidden="1" x14ac:dyDescent="0.25"/>
    <row r="280" hidden="1" x14ac:dyDescent="0.25"/>
    <row r="281" hidden="1" x14ac:dyDescent="0.25"/>
    <row r="282" hidden="1" x14ac:dyDescent="0.25"/>
    <row r="283" hidden="1" x14ac:dyDescent="0.25"/>
    <row r="284" hidden="1" x14ac:dyDescent="0.25"/>
    <row r="285" hidden="1" x14ac:dyDescent="0.25"/>
    <row r="286" hidden="1" x14ac:dyDescent="0.25"/>
    <row r="287" hidden="1" x14ac:dyDescent="0.25"/>
    <row r="288" hidden="1" x14ac:dyDescent="0.25"/>
    <row r="289" hidden="1" x14ac:dyDescent="0.25"/>
    <row r="290" hidden="1" x14ac:dyDescent="0.25"/>
    <row r="291" hidden="1" x14ac:dyDescent="0.25"/>
    <row r="292" hidden="1" x14ac:dyDescent="0.25"/>
    <row r="293" hidden="1" x14ac:dyDescent="0.25"/>
    <row r="294" hidden="1" x14ac:dyDescent="0.25"/>
    <row r="295" hidden="1" x14ac:dyDescent="0.25"/>
    <row r="296" hidden="1" x14ac:dyDescent="0.25"/>
    <row r="297" hidden="1" x14ac:dyDescent="0.25"/>
    <row r="298" hidden="1" x14ac:dyDescent="0.25"/>
    <row r="299" hidden="1" x14ac:dyDescent="0.25"/>
    <row r="300" hidden="1" x14ac:dyDescent="0.25"/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06" hidden="1" x14ac:dyDescent="0.25"/>
    <row r="307" hidden="1" x14ac:dyDescent="0.25"/>
    <row r="308" hidden="1" x14ac:dyDescent="0.25"/>
    <row r="309" hidden="1" x14ac:dyDescent="0.25"/>
    <row r="310" hidden="1" x14ac:dyDescent="0.25"/>
    <row r="311" hidden="1" x14ac:dyDescent="0.25"/>
    <row r="312" hidden="1" x14ac:dyDescent="0.25"/>
    <row r="313" hidden="1" x14ac:dyDescent="0.25"/>
    <row r="314" hidden="1" x14ac:dyDescent="0.25"/>
    <row r="315" hidden="1" x14ac:dyDescent="0.25"/>
    <row r="316" hidden="1" x14ac:dyDescent="0.25"/>
    <row r="317" hidden="1" x14ac:dyDescent="0.25"/>
    <row r="318" hidden="1" x14ac:dyDescent="0.25"/>
    <row r="319" hidden="1" x14ac:dyDescent="0.25"/>
    <row r="320" hidden="1" x14ac:dyDescent="0.25"/>
    <row r="321" hidden="1" x14ac:dyDescent="0.25"/>
    <row r="322" hidden="1" x14ac:dyDescent="0.25"/>
    <row r="323" hidden="1" x14ac:dyDescent="0.25"/>
    <row r="324" hidden="1" x14ac:dyDescent="0.25"/>
    <row r="325" hidden="1" x14ac:dyDescent="0.25"/>
    <row r="326" hidden="1" x14ac:dyDescent="0.25"/>
    <row r="327" hidden="1" x14ac:dyDescent="0.25"/>
    <row r="328" hidden="1" x14ac:dyDescent="0.25"/>
    <row r="329" hidden="1" x14ac:dyDescent="0.25"/>
    <row r="330" hidden="1" x14ac:dyDescent="0.25"/>
    <row r="331" hidden="1" x14ac:dyDescent="0.25"/>
    <row r="332" hidden="1" x14ac:dyDescent="0.25"/>
    <row r="333" hidden="1" x14ac:dyDescent="0.25"/>
    <row r="334" hidden="1" x14ac:dyDescent="0.25"/>
    <row r="335" hidden="1" x14ac:dyDescent="0.25"/>
    <row r="336" hidden="1" x14ac:dyDescent="0.25"/>
    <row r="337" hidden="1" x14ac:dyDescent="0.25"/>
    <row r="338" hidden="1" x14ac:dyDescent="0.25"/>
    <row r="339" hidden="1" x14ac:dyDescent="0.25"/>
    <row r="340" hidden="1" x14ac:dyDescent="0.25"/>
    <row r="341" hidden="1" x14ac:dyDescent="0.25"/>
    <row r="342" hidden="1" x14ac:dyDescent="0.25"/>
    <row r="343" hidden="1" x14ac:dyDescent="0.25"/>
    <row r="344" hidden="1" x14ac:dyDescent="0.25"/>
    <row r="345" hidden="1" x14ac:dyDescent="0.25"/>
    <row r="346" hidden="1" x14ac:dyDescent="0.25"/>
    <row r="347" hidden="1" x14ac:dyDescent="0.25"/>
    <row r="348" hidden="1" x14ac:dyDescent="0.25"/>
    <row r="349" hidden="1" x14ac:dyDescent="0.25"/>
    <row r="350" hidden="1" x14ac:dyDescent="0.25"/>
    <row r="351" hidden="1" x14ac:dyDescent="0.25"/>
    <row r="352" hidden="1" x14ac:dyDescent="0.25"/>
    <row r="353" hidden="1" x14ac:dyDescent="0.25"/>
    <row r="354" hidden="1" x14ac:dyDescent="0.25"/>
    <row r="355" hidden="1" x14ac:dyDescent="0.25"/>
    <row r="356" hidden="1" x14ac:dyDescent="0.25"/>
    <row r="357" hidden="1" x14ac:dyDescent="0.25"/>
    <row r="358" hidden="1" x14ac:dyDescent="0.25"/>
    <row r="359" hidden="1" x14ac:dyDescent="0.25"/>
    <row r="360" hidden="1" x14ac:dyDescent="0.25"/>
    <row r="361" hidden="1" x14ac:dyDescent="0.25"/>
    <row r="362" hidden="1" x14ac:dyDescent="0.25"/>
    <row r="363" hidden="1" x14ac:dyDescent="0.25"/>
    <row r="364" hidden="1" x14ac:dyDescent="0.25"/>
    <row r="365" hidden="1" x14ac:dyDescent="0.25"/>
    <row r="366" hidden="1" x14ac:dyDescent="0.25"/>
    <row r="367" hidden="1" x14ac:dyDescent="0.25"/>
    <row r="368" hidden="1" x14ac:dyDescent="0.25"/>
    <row r="369" hidden="1" x14ac:dyDescent="0.25"/>
    <row r="370" hidden="1" x14ac:dyDescent="0.25"/>
    <row r="371" hidden="1" x14ac:dyDescent="0.25"/>
    <row r="372" hidden="1" x14ac:dyDescent="0.25"/>
    <row r="373" hidden="1" x14ac:dyDescent="0.25"/>
    <row r="374" hidden="1" x14ac:dyDescent="0.25"/>
    <row r="375" hidden="1" x14ac:dyDescent="0.25"/>
    <row r="376" hidden="1" x14ac:dyDescent="0.25"/>
    <row r="377" hidden="1" x14ac:dyDescent="0.25"/>
    <row r="378" hidden="1" x14ac:dyDescent="0.25"/>
    <row r="379" hidden="1" x14ac:dyDescent="0.25"/>
    <row r="380" hidden="1" x14ac:dyDescent="0.25"/>
    <row r="381" hidden="1" x14ac:dyDescent="0.25"/>
    <row r="382" hidden="1" x14ac:dyDescent="0.25"/>
    <row r="383" hidden="1" x14ac:dyDescent="0.25"/>
    <row r="384" hidden="1" x14ac:dyDescent="0.25"/>
    <row r="385" hidden="1" x14ac:dyDescent="0.25"/>
    <row r="386" hidden="1" x14ac:dyDescent="0.25"/>
    <row r="387" hidden="1" x14ac:dyDescent="0.25"/>
    <row r="388" hidden="1" x14ac:dyDescent="0.25"/>
    <row r="389" hidden="1" x14ac:dyDescent="0.25"/>
    <row r="390" hidden="1" x14ac:dyDescent="0.25"/>
    <row r="391" hidden="1" x14ac:dyDescent="0.25"/>
    <row r="392" hidden="1" x14ac:dyDescent="0.25"/>
    <row r="393" hidden="1" x14ac:dyDescent="0.25"/>
    <row r="394" hidden="1" x14ac:dyDescent="0.25"/>
    <row r="395" hidden="1" x14ac:dyDescent="0.25"/>
    <row r="396" hidden="1" x14ac:dyDescent="0.25"/>
    <row r="397" hidden="1" x14ac:dyDescent="0.25"/>
    <row r="398" hidden="1" x14ac:dyDescent="0.25"/>
    <row r="399" hidden="1" x14ac:dyDescent="0.25"/>
    <row r="400" hidden="1" x14ac:dyDescent="0.25"/>
    <row r="401" hidden="1" x14ac:dyDescent="0.25"/>
    <row r="402" hidden="1" x14ac:dyDescent="0.25"/>
    <row r="403" hidden="1" x14ac:dyDescent="0.25"/>
    <row r="404" hidden="1" x14ac:dyDescent="0.25"/>
    <row r="405" hidden="1" x14ac:dyDescent="0.25"/>
    <row r="406" hidden="1" x14ac:dyDescent="0.25"/>
    <row r="407" hidden="1" x14ac:dyDescent="0.25"/>
    <row r="408" hidden="1" x14ac:dyDescent="0.25"/>
    <row r="409" hidden="1" x14ac:dyDescent="0.25"/>
    <row r="410" hidden="1" x14ac:dyDescent="0.25"/>
    <row r="411" hidden="1" x14ac:dyDescent="0.25"/>
    <row r="412" hidden="1" x14ac:dyDescent="0.25"/>
    <row r="413" hidden="1" x14ac:dyDescent="0.25"/>
    <row r="414" hidden="1" x14ac:dyDescent="0.25"/>
    <row r="415" hidden="1" x14ac:dyDescent="0.25"/>
    <row r="416" hidden="1" x14ac:dyDescent="0.25"/>
    <row r="417" hidden="1" x14ac:dyDescent="0.25"/>
    <row r="418" hidden="1" x14ac:dyDescent="0.25"/>
    <row r="419" hidden="1" x14ac:dyDescent="0.25"/>
    <row r="420" hidden="1" x14ac:dyDescent="0.25"/>
    <row r="421" hidden="1" x14ac:dyDescent="0.25"/>
    <row r="422" hidden="1" x14ac:dyDescent="0.25"/>
    <row r="423" hidden="1" x14ac:dyDescent="0.25"/>
    <row r="424" hidden="1" x14ac:dyDescent="0.25"/>
    <row r="425" hidden="1" x14ac:dyDescent="0.25"/>
    <row r="426" hidden="1" x14ac:dyDescent="0.25"/>
    <row r="427" hidden="1" x14ac:dyDescent="0.25"/>
    <row r="428" hidden="1" x14ac:dyDescent="0.25"/>
    <row r="429" hidden="1" x14ac:dyDescent="0.25"/>
    <row r="430" hidden="1" x14ac:dyDescent="0.25"/>
    <row r="431" hidden="1" x14ac:dyDescent="0.25"/>
    <row r="432" hidden="1" x14ac:dyDescent="0.25"/>
    <row r="433" hidden="1" x14ac:dyDescent="0.25"/>
    <row r="434" hidden="1" x14ac:dyDescent="0.25"/>
    <row r="435" hidden="1" x14ac:dyDescent="0.25"/>
    <row r="436" hidden="1" x14ac:dyDescent="0.25"/>
    <row r="437" hidden="1" x14ac:dyDescent="0.25"/>
    <row r="438" hidden="1" x14ac:dyDescent="0.25"/>
    <row r="439" hidden="1" x14ac:dyDescent="0.25"/>
    <row r="440" hidden="1" x14ac:dyDescent="0.25"/>
    <row r="441" hidden="1" x14ac:dyDescent="0.25"/>
    <row r="442" hidden="1" x14ac:dyDescent="0.25"/>
    <row r="443" hidden="1" x14ac:dyDescent="0.25"/>
    <row r="444" hidden="1" x14ac:dyDescent="0.25"/>
    <row r="445" hidden="1" x14ac:dyDescent="0.25"/>
    <row r="446" hidden="1" x14ac:dyDescent="0.25"/>
    <row r="447" hidden="1" x14ac:dyDescent="0.25"/>
    <row r="448" hidden="1" x14ac:dyDescent="0.25"/>
    <row r="449" hidden="1" x14ac:dyDescent="0.25"/>
    <row r="450" hidden="1" x14ac:dyDescent="0.25"/>
    <row r="451" hidden="1" x14ac:dyDescent="0.25"/>
    <row r="452" hidden="1" x14ac:dyDescent="0.25"/>
    <row r="453" hidden="1" x14ac:dyDescent="0.25"/>
    <row r="454" hidden="1" x14ac:dyDescent="0.25"/>
    <row r="455" hidden="1" x14ac:dyDescent="0.25"/>
    <row r="456" hidden="1" x14ac:dyDescent="0.25"/>
    <row r="457" hidden="1" x14ac:dyDescent="0.25"/>
    <row r="458" hidden="1" x14ac:dyDescent="0.25"/>
    <row r="459" hidden="1" x14ac:dyDescent="0.25"/>
    <row r="460" hidden="1" x14ac:dyDescent="0.25"/>
    <row r="461" hidden="1" x14ac:dyDescent="0.25"/>
    <row r="462" hidden="1" x14ac:dyDescent="0.25"/>
    <row r="463" hidden="1" x14ac:dyDescent="0.25"/>
    <row r="464" hidden="1" x14ac:dyDescent="0.25"/>
    <row r="465" hidden="1" x14ac:dyDescent="0.25"/>
    <row r="466" hidden="1" x14ac:dyDescent="0.25"/>
    <row r="467" hidden="1" x14ac:dyDescent="0.25"/>
    <row r="468" hidden="1" x14ac:dyDescent="0.25"/>
    <row r="469" hidden="1" x14ac:dyDescent="0.25"/>
    <row r="470" hidden="1" x14ac:dyDescent="0.25"/>
    <row r="471" hidden="1" x14ac:dyDescent="0.25"/>
    <row r="472" hidden="1" x14ac:dyDescent="0.25"/>
    <row r="473" hidden="1" x14ac:dyDescent="0.25"/>
    <row r="474" hidden="1" x14ac:dyDescent="0.25"/>
    <row r="475" hidden="1" x14ac:dyDescent="0.25"/>
    <row r="476" hidden="1" x14ac:dyDescent="0.25"/>
    <row r="477" hidden="1" x14ac:dyDescent="0.25"/>
    <row r="478" hidden="1" x14ac:dyDescent="0.25"/>
    <row r="479" hidden="1" x14ac:dyDescent="0.25"/>
    <row r="480" hidden="1" x14ac:dyDescent="0.25"/>
    <row r="481" hidden="1" x14ac:dyDescent="0.25"/>
    <row r="482" hidden="1" x14ac:dyDescent="0.25"/>
    <row r="483" hidden="1" x14ac:dyDescent="0.25"/>
    <row r="484" hidden="1" x14ac:dyDescent="0.25"/>
    <row r="485" hidden="1" x14ac:dyDescent="0.25"/>
    <row r="486" hidden="1" x14ac:dyDescent="0.25"/>
    <row r="487" hidden="1" x14ac:dyDescent="0.25"/>
    <row r="488" hidden="1" x14ac:dyDescent="0.25"/>
    <row r="489" hidden="1" x14ac:dyDescent="0.25"/>
    <row r="490" hidden="1" x14ac:dyDescent="0.25"/>
    <row r="491" hidden="1" x14ac:dyDescent="0.25"/>
    <row r="492" hidden="1" x14ac:dyDescent="0.25"/>
    <row r="493" hidden="1" x14ac:dyDescent="0.25"/>
    <row r="494" hidden="1" x14ac:dyDescent="0.25"/>
    <row r="495" hidden="1" x14ac:dyDescent="0.25"/>
    <row r="496" hidden="1" x14ac:dyDescent="0.25"/>
    <row r="497" hidden="1" x14ac:dyDescent="0.25"/>
    <row r="498" hidden="1" x14ac:dyDescent="0.25"/>
    <row r="499" hidden="1" x14ac:dyDescent="0.25"/>
    <row r="500" hidden="1" x14ac:dyDescent="0.25"/>
    <row r="501" hidden="1" x14ac:dyDescent="0.25"/>
    <row r="502" hidden="1" x14ac:dyDescent="0.25"/>
    <row r="503" hidden="1" x14ac:dyDescent="0.25"/>
    <row r="504" hidden="1" x14ac:dyDescent="0.25"/>
    <row r="505" hidden="1" x14ac:dyDescent="0.25"/>
    <row r="506" hidden="1" x14ac:dyDescent="0.25"/>
    <row r="507" hidden="1" x14ac:dyDescent="0.25"/>
    <row r="508" hidden="1" x14ac:dyDescent="0.25"/>
    <row r="509" hidden="1" x14ac:dyDescent="0.25"/>
    <row r="510" hidden="1" x14ac:dyDescent="0.25"/>
    <row r="511" hidden="1" x14ac:dyDescent="0.25"/>
    <row r="512" hidden="1" x14ac:dyDescent="0.25"/>
    <row r="513" hidden="1" x14ac:dyDescent="0.25"/>
    <row r="514" hidden="1" x14ac:dyDescent="0.25"/>
    <row r="515" hidden="1" x14ac:dyDescent="0.25"/>
    <row r="516" hidden="1" x14ac:dyDescent="0.25"/>
    <row r="517" hidden="1" x14ac:dyDescent="0.25"/>
    <row r="518" hidden="1" x14ac:dyDescent="0.25"/>
    <row r="519" hidden="1" x14ac:dyDescent="0.25"/>
    <row r="520" hidden="1" x14ac:dyDescent="0.25"/>
    <row r="521" hidden="1" x14ac:dyDescent="0.25"/>
    <row r="522" hidden="1" x14ac:dyDescent="0.25"/>
    <row r="523" hidden="1" x14ac:dyDescent="0.25"/>
    <row r="524" hidden="1" x14ac:dyDescent="0.25"/>
    <row r="525" hidden="1" x14ac:dyDescent="0.25"/>
    <row r="526" hidden="1" x14ac:dyDescent="0.25"/>
    <row r="527" hidden="1" x14ac:dyDescent="0.25"/>
    <row r="528" hidden="1" x14ac:dyDescent="0.25"/>
    <row r="529" hidden="1" x14ac:dyDescent="0.25"/>
    <row r="530" hidden="1" x14ac:dyDescent="0.25"/>
    <row r="531" hidden="1" x14ac:dyDescent="0.25"/>
    <row r="532" hidden="1" x14ac:dyDescent="0.25"/>
    <row r="533" hidden="1" x14ac:dyDescent="0.25"/>
    <row r="534" hidden="1" x14ac:dyDescent="0.25"/>
    <row r="535" hidden="1" x14ac:dyDescent="0.25"/>
    <row r="536" hidden="1" x14ac:dyDescent="0.25"/>
    <row r="537" hidden="1" x14ac:dyDescent="0.25"/>
    <row r="538" hidden="1" x14ac:dyDescent="0.25"/>
    <row r="539" hidden="1" x14ac:dyDescent="0.25"/>
    <row r="540" hidden="1" x14ac:dyDescent="0.25"/>
    <row r="541" hidden="1" x14ac:dyDescent="0.25"/>
    <row r="542" hidden="1" x14ac:dyDescent="0.25"/>
    <row r="543" hidden="1" x14ac:dyDescent="0.25"/>
    <row r="544" hidden="1" x14ac:dyDescent="0.25"/>
    <row r="545" hidden="1" x14ac:dyDescent="0.25"/>
    <row r="546" hidden="1" x14ac:dyDescent="0.25"/>
    <row r="547" hidden="1" x14ac:dyDescent="0.25"/>
    <row r="548" hidden="1" x14ac:dyDescent="0.25"/>
    <row r="549" hidden="1" x14ac:dyDescent="0.25"/>
    <row r="550" hidden="1" x14ac:dyDescent="0.25"/>
    <row r="551" hidden="1" x14ac:dyDescent="0.25"/>
    <row r="552" hidden="1" x14ac:dyDescent="0.25"/>
    <row r="553" hidden="1" x14ac:dyDescent="0.25"/>
    <row r="554" hidden="1" x14ac:dyDescent="0.25"/>
    <row r="555" hidden="1" x14ac:dyDescent="0.25"/>
    <row r="556" hidden="1" x14ac:dyDescent="0.25"/>
    <row r="557" hidden="1" x14ac:dyDescent="0.25"/>
    <row r="558" hidden="1" x14ac:dyDescent="0.25"/>
    <row r="559" hidden="1" x14ac:dyDescent="0.25"/>
    <row r="560" hidden="1" x14ac:dyDescent="0.25"/>
    <row r="561" hidden="1" x14ac:dyDescent="0.25"/>
    <row r="562" hidden="1" x14ac:dyDescent="0.25"/>
    <row r="563" hidden="1" x14ac:dyDescent="0.25"/>
    <row r="564" hidden="1" x14ac:dyDescent="0.25"/>
    <row r="565" hidden="1" x14ac:dyDescent="0.25"/>
    <row r="566" hidden="1" x14ac:dyDescent="0.25"/>
    <row r="567" hidden="1" x14ac:dyDescent="0.25"/>
    <row r="568" hidden="1" x14ac:dyDescent="0.25"/>
    <row r="569" hidden="1" x14ac:dyDescent="0.25"/>
    <row r="570" hidden="1" x14ac:dyDescent="0.25"/>
    <row r="571" hidden="1" x14ac:dyDescent="0.25"/>
    <row r="572" hidden="1" x14ac:dyDescent="0.25"/>
    <row r="573" hidden="1" x14ac:dyDescent="0.25"/>
    <row r="574" hidden="1" x14ac:dyDescent="0.25"/>
    <row r="575" hidden="1" x14ac:dyDescent="0.25"/>
    <row r="576" hidden="1" x14ac:dyDescent="0.25"/>
    <row r="577" hidden="1" x14ac:dyDescent="0.25"/>
    <row r="578" hidden="1" x14ac:dyDescent="0.25"/>
    <row r="579" hidden="1" x14ac:dyDescent="0.25"/>
    <row r="580" hidden="1" x14ac:dyDescent="0.25"/>
    <row r="581" hidden="1" x14ac:dyDescent="0.25"/>
    <row r="582" hidden="1" x14ac:dyDescent="0.25"/>
    <row r="583" hidden="1" x14ac:dyDescent="0.25"/>
    <row r="584" hidden="1" x14ac:dyDescent="0.25"/>
    <row r="585" hidden="1" x14ac:dyDescent="0.25"/>
    <row r="586" hidden="1" x14ac:dyDescent="0.25"/>
    <row r="587" hidden="1" x14ac:dyDescent="0.25"/>
    <row r="588" hidden="1" x14ac:dyDescent="0.25"/>
    <row r="589" hidden="1" x14ac:dyDescent="0.25"/>
    <row r="590" hidden="1" x14ac:dyDescent="0.25"/>
    <row r="591" hidden="1" x14ac:dyDescent="0.25"/>
    <row r="592" hidden="1" x14ac:dyDescent="0.25"/>
    <row r="593" hidden="1" x14ac:dyDescent="0.25"/>
    <row r="594" hidden="1" x14ac:dyDescent="0.25"/>
    <row r="595" hidden="1" x14ac:dyDescent="0.25"/>
    <row r="596" hidden="1" x14ac:dyDescent="0.25"/>
    <row r="597" hidden="1" x14ac:dyDescent="0.25"/>
    <row r="598" hidden="1" x14ac:dyDescent="0.25"/>
    <row r="599" hidden="1" x14ac:dyDescent="0.25"/>
    <row r="600" hidden="1" x14ac:dyDescent="0.25"/>
    <row r="601" hidden="1" x14ac:dyDescent="0.25"/>
    <row r="602" hidden="1" x14ac:dyDescent="0.25"/>
    <row r="603" hidden="1" x14ac:dyDescent="0.25"/>
    <row r="604" hidden="1" x14ac:dyDescent="0.25"/>
    <row r="605" hidden="1" x14ac:dyDescent="0.25"/>
    <row r="606" hidden="1" x14ac:dyDescent="0.25"/>
    <row r="607" hidden="1" x14ac:dyDescent="0.25"/>
    <row r="608" hidden="1" x14ac:dyDescent="0.25"/>
    <row r="609" hidden="1" x14ac:dyDescent="0.25"/>
    <row r="610" hidden="1" x14ac:dyDescent="0.25"/>
    <row r="611" hidden="1" x14ac:dyDescent="0.25"/>
    <row r="612" hidden="1" x14ac:dyDescent="0.25"/>
    <row r="613" hidden="1" x14ac:dyDescent="0.25"/>
    <row r="614" hidden="1" x14ac:dyDescent="0.25"/>
    <row r="615" hidden="1" x14ac:dyDescent="0.25"/>
    <row r="616" hidden="1" x14ac:dyDescent="0.25"/>
    <row r="617" hidden="1" x14ac:dyDescent="0.25"/>
    <row r="618" hidden="1" x14ac:dyDescent="0.25"/>
    <row r="619" hidden="1" x14ac:dyDescent="0.25"/>
    <row r="620" hidden="1" x14ac:dyDescent="0.25"/>
    <row r="621" hidden="1" x14ac:dyDescent="0.25"/>
    <row r="622" hidden="1" x14ac:dyDescent="0.25"/>
    <row r="623" hidden="1" x14ac:dyDescent="0.25"/>
    <row r="624" hidden="1" x14ac:dyDescent="0.25"/>
    <row r="625" hidden="1" x14ac:dyDescent="0.25"/>
    <row r="626" hidden="1" x14ac:dyDescent="0.25"/>
    <row r="627" hidden="1" x14ac:dyDescent="0.25"/>
    <row r="628" hidden="1" x14ac:dyDescent="0.25"/>
    <row r="629" hidden="1" x14ac:dyDescent="0.25"/>
    <row r="630" hidden="1" x14ac:dyDescent="0.25"/>
    <row r="631" hidden="1" x14ac:dyDescent="0.25"/>
    <row r="632" hidden="1" x14ac:dyDescent="0.25"/>
    <row r="633" hidden="1" x14ac:dyDescent="0.25"/>
    <row r="634" hidden="1" x14ac:dyDescent="0.25"/>
    <row r="635" hidden="1" x14ac:dyDescent="0.25"/>
    <row r="636" hidden="1" x14ac:dyDescent="0.25"/>
    <row r="637" hidden="1" x14ac:dyDescent="0.25"/>
    <row r="638" hidden="1" x14ac:dyDescent="0.25"/>
    <row r="639" hidden="1" x14ac:dyDescent="0.25"/>
    <row r="640" hidden="1" x14ac:dyDescent="0.25"/>
    <row r="641" hidden="1" x14ac:dyDescent="0.25"/>
    <row r="642" hidden="1" x14ac:dyDescent="0.25"/>
    <row r="643" hidden="1" x14ac:dyDescent="0.25"/>
    <row r="644" hidden="1" x14ac:dyDescent="0.25"/>
    <row r="645" hidden="1" x14ac:dyDescent="0.25"/>
    <row r="646" hidden="1" x14ac:dyDescent="0.25"/>
    <row r="647" hidden="1" x14ac:dyDescent="0.25"/>
    <row r="648" hidden="1" x14ac:dyDescent="0.25"/>
    <row r="649" hidden="1" x14ac:dyDescent="0.25"/>
    <row r="650" hidden="1" x14ac:dyDescent="0.25"/>
    <row r="651" hidden="1" x14ac:dyDescent="0.25"/>
    <row r="652" hidden="1" x14ac:dyDescent="0.25"/>
    <row r="653" hidden="1" x14ac:dyDescent="0.25"/>
    <row r="654" hidden="1" x14ac:dyDescent="0.25"/>
    <row r="655" hidden="1" x14ac:dyDescent="0.25"/>
    <row r="656" hidden="1" x14ac:dyDescent="0.25"/>
    <row r="657" hidden="1" x14ac:dyDescent="0.25"/>
    <row r="658" hidden="1" x14ac:dyDescent="0.25"/>
    <row r="659" hidden="1" x14ac:dyDescent="0.25"/>
    <row r="660" hidden="1" x14ac:dyDescent="0.25"/>
    <row r="661" hidden="1" x14ac:dyDescent="0.25"/>
    <row r="662" hidden="1" x14ac:dyDescent="0.25"/>
    <row r="663" hidden="1" x14ac:dyDescent="0.25"/>
    <row r="664" hidden="1" x14ac:dyDescent="0.25"/>
    <row r="665" hidden="1" x14ac:dyDescent="0.25"/>
    <row r="666" hidden="1" x14ac:dyDescent="0.25"/>
    <row r="667" hidden="1" x14ac:dyDescent="0.25"/>
    <row r="668" hidden="1" x14ac:dyDescent="0.25"/>
    <row r="669" hidden="1" x14ac:dyDescent="0.25"/>
    <row r="670" hidden="1" x14ac:dyDescent="0.25"/>
    <row r="671" hidden="1" x14ac:dyDescent="0.25"/>
    <row r="672" hidden="1" x14ac:dyDescent="0.25"/>
    <row r="673" hidden="1" x14ac:dyDescent="0.25"/>
    <row r="674" hidden="1" x14ac:dyDescent="0.25"/>
    <row r="675" hidden="1" x14ac:dyDescent="0.25"/>
    <row r="676" hidden="1" x14ac:dyDescent="0.25"/>
    <row r="677" hidden="1" x14ac:dyDescent="0.25"/>
    <row r="678" hidden="1" x14ac:dyDescent="0.25"/>
    <row r="679" hidden="1" x14ac:dyDescent="0.25"/>
    <row r="680" hidden="1" x14ac:dyDescent="0.25"/>
    <row r="681" hidden="1" x14ac:dyDescent="0.25"/>
    <row r="682" hidden="1" x14ac:dyDescent="0.25"/>
    <row r="683" hidden="1" x14ac:dyDescent="0.25"/>
    <row r="684" hidden="1" x14ac:dyDescent="0.25"/>
    <row r="685" hidden="1" x14ac:dyDescent="0.25"/>
    <row r="686" hidden="1" x14ac:dyDescent="0.25"/>
    <row r="687" hidden="1" x14ac:dyDescent="0.25"/>
    <row r="688" hidden="1" x14ac:dyDescent="0.25"/>
    <row r="689" hidden="1" x14ac:dyDescent="0.25"/>
    <row r="690" hidden="1" x14ac:dyDescent="0.25"/>
    <row r="691" hidden="1" x14ac:dyDescent="0.25"/>
    <row r="692" hidden="1" x14ac:dyDescent="0.25"/>
    <row r="693" hidden="1" x14ac:dyDescent="0.25"/>
    <row r="694" hidden="1" x14ac:dyDescent="0.25"/>
    <row r="695" hidden="1" x14ac:dyDescent="0.25"/>
    <row r="696" hidden="1" x14ac:dyDescent="0.25"/>
    <row r="697" hidden="1" x14ac:dyDescent="0.25"/>
    <row r="698" hidden="1" x14ac:dyDescent="0.25"/>
    <row r="699" hidden="1" x14ac:dyDescent="0.25"/>
    <row r="700" hidden="1" x14ac:dyDescent="0.25"/>
    <row r="701" hidden="1" x14ac:dyDescent="0.25"/>
    <row r="702" hidden="1" x14ac:dyDescent="0.25"/>
    <row r="703" hidden="1" x14ac:dyDescent="0.25"/>
    <row r="704" hidden="1" x14ac:dyDescent="0.25"/>
    <row r="705" hidden="1" x14ac:dyDescent="0.25"/>
    <row r="706" hidden="1" x14ac:dyDescent="0.25"/>
    <row r="707" hidden="1" x14ac:dyDescent="0.25"/>
    <row r="708" hidden="1" x14ac:dyDescent="0.25"/>
    <row r="709" hidden="1" x14ac:dyDescent="0.25"/>
    <row r="710" hidden="1" x14ac:dyDescent="0.25"/>
    <row r="711" hidden="1" x14ac:dyDescent="0.25"/>
    <row r="712" hidden="1" x14ac:dyDescent="0.25"/>
    <row r="713" hidden="1" x14ac:dyDescent="0.25"/>
    <row r="714" hidden="1" x14ac:dyDescent="0.25"/>
    <row r="715" hidden="1" x14ac:dyDescent="0.25"/>
    <row r="716" hidden="1" x14ac:dyDescent="0.25"/>
    <row r="717" hidden="1" x14ac:dyDescent="0.25"/>
    <row r="718" hidden="1" x14ac:dyDescent="0.25"/>
    <row r="719" hidden="1" x14ac:dyDescent="0.25"/>
    <row r="720" hidden="1" x14ac:dyDescent="0.25"/>
    <row r="721" hidden="1" x14ac:dyDescent="0.25"/>
    <row r="722" hidden="1" x14ac:dyDescent="0.25"/>
    <row r="723" hidden="1" x14ac:dyDescent="0.25"/>
    <row r="724" hidden="1" x14ac:dyDescent="0.25"/>
    <row r="725" hidden="1" x14ac:dyDescent="0.25"/>
    <row r="726" hidden="1" x14ac:dyDescent="0.25"/>
    <row r="727" hidden="1" x14ac:dyDescent="0.25"/>
    <row r="728" hidden="1" x14ac:dyDescent="0.25"/>
    <row r="729" hidden="1" x14ac:dyDescent="0.25"/>
    <row r="730" hidden="1" x14ac:dyDescent="0.25"/>
    <row r="731" hidden="1" x14ac:dyDescent="0.25"/>
    <row r="732" hidden="1" x14ac:dyDescent="0.25"/>
    <row r="733" hidden="1" x14ac:dyDescent="0.25"/>
    <row r="734" hidden="1" x14ac:dyDescent="0.25"/>
    <row r="735" hidden="1" x14ac:dyDescent="0.25"/>
    <row r="736" hidden="1" x14ac:dyDescent="0.25"/>
    <row r="737" hidden="1" x14ac:dyDescent="0.25"/>
    <row r="738" hidden="1" x14ac:dyDescent="0.25"/>
    <row r="739" hidden="1" x14ac:dyDescent="0.25"/>
    <row r="740" hidden="1" x14ac:dyDescent="0.25"/>
    <row r="741" hidden="1" x14ac:dyDescent="0.25"/>
    <row r="742" hidden="1" x14ac:dyDescent="0.25"/>
    <row r="743" hidden="1" x14ac:dyDescent="0.25"/>
    <row r="744" hidden="1" x14ac:dyDescent="0.25"/>
    <row r="745" hidden="1" x14ac:dyDescent="0.25"/>
    <row r="746" hidden="1" x14ac:dyDescent="0.25"/>
    <row r="747" hidden="1" x14ac:dyDescent="0.25"/>
    <row r="748" hidden="1" x14ac:dyDescent="0.25"/>
    <row r="749" hidden="1" x14ac:dyDescent="0.25"/>
    <row r="750" hidden="1" x14ac:dyDescent="0.25"/>
    <row r="751" hidden="1" x14ac:dyDescent="0.25"/>
    <row r="752" hidden="1" x14ac:dyDescent="0.25"/>
    <row r="753" hidden="1" x14ac:dyDescent="0.25"/>
    <row r="754" hidden="1" x14ac:dyDescent="0.25"/>
    <row r="755" hidden="1" x14ac:dyDescent="0.25"/>
    <row r="756" hidden="1" x14ac:dyDescent="0.25"/>
    <row r="757" hidden="1" x14ac:dyDescent="0.25"/>
    <row r="758" hidden="1" x14ac:dyDescent="0.25"/>
    <row r="759" hidden="1" x14ac:dyDescent="0.25"/>
    <row r="760" hidden="1" x14ac:dyDescent="0.25"/>
    <row r="761" hidden="1" x14ac:dyDescent="0.25"/>
    <row r="762" hidden="1" x14ac:dyDescent="0.25"/>
    <row r="763" hidden="1" x14ac:dyDescent="0.25"/>
    <row r="764" hidden="1" x14ac:dyDescent="0.25"/>
    <row r="765" hidden="1" x14ac:dyDescent="0.25"/>
    <row r="766" hidden="1" x14ac:dyDescent="0.25"/>
    <row r="767" hidden="1" x14ac:dyDescent="0.25"/>
    <row r="768" hidden="1" x14ac:dyDescent="0.25"/>
    <row r="769" hidden="1" x14ac:dyDescent="0.25"/>
    <row r="770" hidden="1" x14ac:dyDescent="0.25"/>
    <row r="771" hidden="1" x14ac:dyDescent="0.25"/>
    <row r="772" hidden="1" x14ac:dyDescent="0.25"/>
    <row r="773" hidden="1" x14ac:dyDescent="0.25"/>
    <row r="774" hidden="1" x14ac:dyDescent="0.25"/>
    <row r="775" hidden="1" x14ac:dyDescent="0.25"/>
    <row r="776" hidden="1" x14ac:dyDescent="0.25"/>
    <row r="777" hidden="1" x14ac:dyDescent="0.25"/>
    <row r="778" hidden="1" x14ac:dyDescent="0.25"/>
    <row r="779" hidden="1" x14ac:dyDescent="0.25"/>
    <row r="780" hidden="1" x14ac:dyDescent="0.25"/>
    <row r="781" hidden="1" x14ac:dyDescent="0.25"/>
    <row r="782" hidden="1" x14ac:dyDescent="0.25"/>
    <row r="783" hidden="1" x14ac:dyDescent="0.25"/>
    <row r="784" hidden="1" x14ac:dyDescent="0.25"/>
    <row r="785" hidden="1" x14ac:dyDescent="0.25"/>
    <row r="786" hidden="1" x14ac:dyDescent="0.25"/>
    <row r="787" hidden="1" x14ac:dyDescent="0.25"/>
    <row r="788" hidden="1" x14ac:dyDescent="0.25"/>
    <row r="789" hidden="1" x14ac:dyDescent="0.25"/>
    <row r="790" hidden="1" x14ac:dyDescent="0.25"/>
    <row r="791" hidden="1" x14ac:dyDescent="0.25"/>
    <row r="792" hidden="1" x14ac:dyDescent="0.25"/>
    <row r="793" hidden="1" x14ac:dyDescent="0.25"/>
    <row r="794" hidden="1" x14ac:dyDescent="0.25"/>
    <row r="795" hidden="1" x14ac:dyDescent="0.25"/>
    <row r="796" hidden="1" x14ac:dyDescent="0.25"/>
    <row r="797" hidden="1" x14ac:dyDescent="0.25"/>
    <row r="798" hidden="1" x14ac:dyDescent="0.25"/>
    <row r="799" hidden="1" x14ac:dyDescent="0.25"/>
    <row r="800" hidden="1" x14ac:dyDescent="0.25"/>
    <row r="801" hidden="1" x14ac:dyDescent="0.25"/>
    <row r="802" hidden="1" x14ac:dyDescent="0.25"/>
    <row r="803" hidden="1" x14ac:dyDescent="0.25"/>
    <row r="804" hidden="1" x14ac:dyDescent="0.25"/>
    <row r="805" hidden="1" x14ac:dyDescent="0.25"/>
    <row r="806" hidden="1" x14ac:dyDescent="0.25"/>
    <row r="807" hidden="1" x14ac:dyDescent="0.25"/>
    <row r="808" hidden="1" x14ac:dyDescent="0.25"/>
    <row r="809" hidden="1" x14ac:dyDescent="0.25"/>
    <row r="810" hidden="1" x14ac:dyDescent="0.25"/>
    <row r="811" hidden="1" x14ac:dyDescent="0.25"/>
    <row r="812" hidden="1" x14ac:dyDescent="0.25"/>
    <row r="813" hidden="1" x14ac:dyDescent="0.25"/>
    <row r="814" hidden="1" x14ac:dyDescent="0.25"/>
    <row r="815" hidden="1" x14ac:dyDescent="0.25"/>
    <row r="816" hidden="1" x14ac:dyDescent="0.25"/>
    <row r="817" hidden="1" x14ac:dyDescent="0.25"/>
    <row r="818" hidden="1" x14ac:dyDescent="0.25"/>
    <row r="819" hidden="1" x14ac:dyDescent="0.25"/>
    <row r="820" hidden="1" x14ac:dyDescent="0.25"/>
    <row r="821" hidden="1" x14ac:dyDescent="0.25"/>
    <row r="822" hidden="1" x14ac:dyDescent="0.25"/>
    <row r="823" hidden="1" x14ac:dyDescent="0.25"/>
    <row r="824" hidden="1" x14ac:dyDescent="0.25"/>
    <row r="825" hidden="1" x14ac:dyDescent="0.25"/>
    <row r="826" hidden="1" x14ac:dyDescent="0.25"/>
    <row r="827" hidden="1" x14ac:dyDescent="0.25"/>
    <row r="828" hidden="1" x14ac:dyDescent="0.25"/>
    <row r="829" hidden="1" x14ac:dyDescent="0.25"/>
    <row r="830" hidden="1" x14ac:dyDescent="0.25"/>
    <row r="831" hidden="1" x14ac:dyDescent="0.25"/>
    <row r="832" hidden="1" x14ac:dyDescent="0.25"/>
    <row r="833" hidden="1" x14ac:dyDescent="0.25"/>
    <row r="834" hidden="1" x14ac:dyDescent="0.25"/>
    <row r="835" hidden="1" x14ac:dyDescent="0.25"/>
    <row r="836" hidden="1" x14ac:dyDescent="0.25"/>
    <row r="837" hidden="1" x14ac:dyDescent="0.25"/>
    <row r="838" hidden="1" x14ac:dyDescent="0.25"/>
    <row r="839" hidden="1" x14ac:dyDescent="0.25"/>
    <row r="840" hidden="1" x14ac:dyDescent="0.25"/>
    <row r="841" hidden="1" x14ac:dyDescent="0.25"/>
    <row r="842" hidden="1" x14ac:dyDescent="0.25"/>
    <row r="843" hidden="1" x14ac:dyDescent="0.25"/>
    <row r="844" hidden="1" x14ac:dyDescent="0.25"/>
    <row r="845" hidden="1" x14ac:dyDescent="0.25"/>
    <row r="846" hidden="1" x14ac:dyDescent="0.25"/>
    <row r="847" hidden="1" x14ac:dyDescent="0.25"/>
    <row r="848" hidden="1" x14ac:dyDescent="0.25"/>
    <row r="849" hidden="1" x14ac:dyDescent="0.25"/>
    <row r="850" hidden="1" x14ac:dyDescent="0.25"/>
    <row r="851" hidden="1" x14ac:dyDescent="0.25"/>
    <row r="852" hidden="1" x14ac:dyDescent="0.25"/>
    <row r="853" hidden="1" x14ac:dyDescent="0.25"/>
    <row r="854" hidden="1" x14ac:dyDescent="0.25"/>
    <row r="855" hidden="1" x14ac:dyDescent="0.25"/>
    <row r="856" hidden="1" x14ac:dyDescent="0.25"/>
    <row r="857" hidden="1" x14ac:dyDescent="0.25"/>
    <row r="858" hidden="1" x14ac:dyDescent="0.25"/>
    <row r="859" hidden="1" x14ac:dyDescent="0.25"/>
    <row r="860" hidden="1" x14ac:dyDescent="0.25"/>
    <row r="861" hidden="1" x14ac:dyDescent="0.25"/>
    <row r="862" hidden="1" x14ac:dyDescent="0.25"/>
    <row r="863" hidden="1" x14ac:dyDescent="0.25"/>
    <row r="864" hidden="1" x14ac:dyDescent="0.25"/>
    <row r="865" hidden="1" x14ac:dyDescent="0.25"/>
    <row r="866" hidden="1" x14ac:dyDescent="0.25"/>
    <row r="867" hidden="1" x14ac:dyDescent="0.25"/>
    <row r="868" hidden="1" x14ac:dyDescent="0.25"/>
    <row r="869" hidden="1" x14ac:dyDescent="0.25"/>
    <row r="870" hidden="1" x14ac:dyDescent="0.25"/>
    <row r="871" hidden="1" x14ac:dyDescent="0.25"/>
    <row r="872" hidden="1" x14ac:dyDescent="0.25"/>
    <row r="873" hidden="1" x14ac:dyDescent="0.25"/>
    <row r="874" hidden="1" x14ac:dyDescent="0.25"/>
    <row r="875" hidden="1" x14ac:dyDescent="0.25"/>
    <row r="876" hidden="1" x14ac:dyDescent="0.25"/>
    <row r="877" hidden="1" x14ac:dyDescent="0.25"/>
    <row r="878" hidden="1" x14ac:dyDescent="0.25"/>
    <row r="879" hidden="1" x14ac:dyDescent="0.25"/>
    <row r="880" hidden="1" x14ac:dyDescent="0.25"/>
    <row r="881" hidden="1" x14ac:dyDescent="0.25"/>
    <row r="882" hidden="1" x14ac:dyDescent="0.25"/>
    <row r="883" hidden="1" x14ac:dyDescent="0.25"/>
    <row r="884" hidden="1" x14ac:dyDescent="0.25"/>
    <row r="885" hidden="1" x14ac:dyDescent="0.25"/>
    <row r="886" hidden="1" x14ac:dyDescent="0.25"/>
    <row r="887" hidden="1" x14ac:dyDescent="0.25"/>
    <row r="888" hidden="1" x14ac:dyDescent="0.25"/>
    <row r="889" hidden="1" x14ac:dyDescent="0.25"/>
    <row r="890" hidden="1" x14ac:dyDescent="0.25"/>
    <row r="891" hidden="1" x14ac:dyDescent="0.25"/>
    <row r="892" hidden="1" x14ac:dyDescent="0.25"/>
    <row r="893" hidden="1" x14ac:dyDescent="0.25"/>
    <row r="894" hidden="1" x14ac:dyDescent="0.25"/>
    <row r="895" hidden="1" x14ac:dyDescent="0.25"/>
    <row r="896" hidden="1" x14ac:dyDescent="0.25"/>
    <row r="897" hidden="1" x14ac:dyDescent="0.25"/>
    <row r="898" hidden="1" x14ac:dyDescent="0.25"/>
    <row r="899" hidden="1" x14ac:dyDescent="0.25"/>
    <row r="900" hidden="1" x14ac:dyDescent="0.25"/>
    <row r="901" hidden="1" x14ac:dyDescent="0.25"/>
    <row r="902" hidden="1" x14ac:dyDescent="0.25"/>
    <row r="903" hidden="1" x14ac:dyDescent="0.25"/>
    <row r="904" hidden="1" x14ac:dyDescent="0.25"/>
    <row r="905" hidden="1" x14ac:dyDescent="0.25"/>
    <row r="906" hidden="1" x14ac:dyDescent="0.25"/>
    <row r="907" hidden="1" x14ac:dyDescent="0.25"/>
    <row r="908" hidden="1" x14ac:dyDescent="0.25"/>
    <row r="909" hidden="1" x14ac:dyDescent="0.25"/>
    <row r="910" hidden="1" x14ac:dyDescent="0.25"/>
    <row r="911" hidden="1" x14ac:dyDescent="0.25"/>
    <row r="912" hidden="1" x14ac:dyDescent="0.25"/>
    <row r="913" hidden="1" x14ac:dyDescent="0.25"/>
    <row r="914" hidden="1" x14ac:dyDescent="0.25"/>
    <row r="915" hidden="1" x14ac:dyDescent="0.25"/>
    <row r="916" hidden="1" x14ac:dyDescent="0.25"/>
    <row r="917" hidden="1" x14ac:dyDescent="0.25"/>
    <row r="918" hidden="1" x14ac:dyDescent="0.25"/>
    <row r="919" hidden="1" x14ac:dyDescent="0.25"/>
    <row r="920" hidden="1" x14ac:dyDescent="0.25"/>
    <row r="921" hidden="1" x14ac:dyDescent="0.25"/>
    <row r="922" hidden="1" x14ac:dyDescent="0.25"/>
    <row r="923" hidden="1" x14ac:dyDescent="0.25"/>
    <row r="924" hidden="1" x14ac:dyDescent="0.25"/>
    <row r="925" hidden="1" x14ac:dyDescent="0.25"/>
    <row r="926" hidden="1" x14ac:dyDescent="0.25"/>
    <row r="927" hidden="1" x14ac:dyDescent="0.25"/>
    <row r="928" hidden="1" x14ac:dyDescent="0.25"/>
    <row r="929" hidden="1" x14ac:dyDescent="0.25"/>
    <row r="930" hidden="1" x14ac:dyDescent="0.25"/>
    <row r="931" hidden="1" x14ac:dyDescent="0.25"/>
    <row r="932" hidden="1" x14ac:dyDescent="0.25"/>
    <row r="933" hidden="1" x14ac:dyDescent="0.25"/>
    <row r="934" hidden="1" x14ac:dyDescent="0.25"/>
    <row r="935" hidden="1" x14ac:dyDescent="0.25"/>
    <row r="936" hidden="1" x14ac:dyDescent="0.25"/>
    <row r="937" hidden="1" x14ac:dyDescent="0.25"/>
    <row r="938" hidden="1" x14ac:dyDescent="0.25"/>
    <row r="939" hidden="1" x14ac:dyDescent="0.25"/>
    <row r="940" hidden="1" x14ac:dyDescent="0.25"/>
    <row r="941" hidden="1" x14ac:dyDescent="0.25"/>
    <row r="942" hidden="1" x14ac:dyDescent="0.25"/>
    <row r="943" hidden="1" x14ac:dyDescent="0.25"/>
    <row r="944" hidden="1" x14ac:dyDescent="0.25"/>
    <row r="945" hidden="1" x14ac:dyDescent="0.25"/>
    <row r="946" hidden="1" x14ac:dyDescent="0.25"/>
    <row r="947" hidden="1" x14ac:dyDescent="0.25"/>
    <row r="948" hidden="1" x14ac:dyDescent="0.25"/>
    <row r="949" hidden="1" x14ac:dyDescent="0.25"/>
    <row r="950" hidden="1" x14ac:dyDescent="0.25"/>
    <row r="951" hidden="1" x14ac:dyDescent="0.25"/>
    <row r="952" hidden="1" x14ac:dyDescent="0.25"/>
    <row r="953" hidden="1" x14ac:dyDescent="0.25"/>
    <row r="954" hidden="1" x14ac:dyDescent="0.25"/>
    <row r="955" hidden="1" x14ac:dyDescent="0.25"/>
    <row r="956" hidden="1" x14ac:dyDescent="0.25"/>
    <row r="957" hidden="1" x14ac:dyDescent="0.25"/>
    <row r="958" hidden="1" x14ac:dyDescent="0.25"/>
    <row r="959" hidden="1" x14ac:dyDescent="0.25"/>
    <row r="960" hidden="1" x14ac:dyDescent="0.25"/>
    <row r="961" hidden="1" x14ac:dyDescent="0.25"/>
    <row r="962" hidden="1" x14ac:dyDescent="0.25"/>
    <row r="963" hidden="1" x14ac:dyDescent="0.25"/>
    <row r="964" hidden="1" x14ac:dyDescent="0.25"/>
    <row r="965" hidden="1" x14ac:dyDescent="0.25"/>
    <row r="966" hidden="1" x14ac:dyDescent="0.25"/>
    <row r="967" hidden="1" x14ac:dyDescent="0.25"/>
    <row r="968" hidden="1" x14ac:dyDescent="0.25"/>
    <row r="969" hidden="1" x14ac:dyDescent="0.25"/>
    <row r="970" hidden="1" x14ac:dyDescent="0.25"/>
    <row r="971" hidden="1" x14ac:dyDescent="0.25"/>
    <row r="972" hidden="1" x14ac:dyDescent="0.25"/>
    <row r="973" hidden="1" x14ac:dyDescent="0.25"/>
    <row r="974" hidden="1" x14ac:dyDescent="0.25"/>
    <row r="975" hidden="1" x14ac:dyDescent="0.25"/>
    <row r="976" hidden="1" x14ac:dyDescent="0.25"/>
    <row r="977" hidden="1" x14ac:dyDescent="0.25"/>
    <row r="978" hidden="1" x14ac:dyDescent="0.25"/>
    <row r="979" hidden="1" x14ac:dyDescent="0.25"/>
    <row r="980" hidden="1" x14ac:dyDescent="0.25"/>
    <row r="981" hidden="1" x14ac:dyDescent="0.25"/>
    <row r="982" hidden="1" x14ac:dyDescent="0.25"/>
    <row r="983" hidden="1" x14ac:dyDescent="0.25"/>
    <row r="984" hidden="1" x14ac:dyDescent="0.25"/>
    <row r="985" hidden="1" x14ac:dyDescent="0.25"/>
    <row r="986" hidden="1" x14ac:dyDescent="0.25"/>
    <row r="987" hidden="1" x14ac:dyDescent="0.25"/>
    <row r="988" hidden="1" x14ac:dyDescent="0.25"/>
    <row r="989" hidden="1" x14ac:dyDescent="0.25"/>
    <row r="990" hidden="1" x14ac:dyDescent="0.25"/>
    <row r="991" hidden="1" x14ac:dyDescent="0.25"/>
    <row r="992" hidden="1" x14ac:dyDescent="0.25"/>
    <row r="993" hidden="1" x14ac:dyDescent="0.25"/>
    <row r="994" hidden="1" x14ac:dyDescent="0.25"/>
    <row r="995" hidden="1" x14ac:dyDescent="0.25"/>
    <row r="996" hidden="1" x14ac:dyDescent="0.25"/>
    <row r="997" hidden="1" x14ac:dyDescent="0.25"/>
    <row r="998" hidden="1" x14ac:dyDescent="0.25"/>
    <row r="999" hidden="1" x14ac:dyDescent="0.25"/>
    <row r="1000" hidden="1" x14ac:dyDescent="0.25"/>
    <row r="1001" hidden="1" x14ac:dyDescent="0.25"/>
    <row r="1002" hidden="1" x14ac:dyDescent="0.25"/>
    <row r="1003" hidden="1" x14ac:dyDescent="0.25"/>
    <row r="1004" hidden="1" x14ac:dyDescent="0.25"/>
    <row r="1005" hidden="1" x14ac:dyDescent="0.25"/>
    <row r="1006" hidden="1" x14ac:dyDescent="0.25"/>
    <row r="1007" hidden="1" x14ac:dyDescent="0.25"/>
    <row r="1008" hidden="1" x14ac:dyDescent="0.25"/>
    <row r="1009" hidden="1" x14ac:dyDescent="0.25"/>
    <row r="1010" hidden="1" x14ac:dyDescent="0.25"/>
    <row r="1011" hidden="1" x14ac:dyDescent="0.25"/>
    <row r="1012" hidden="1" x14ac:dyDescent="0.25"/>
    <row r="1013" hidden="1" x14ac:dyDescent="0.25"/>
    <row r="1014" hidden="1" x14ac:dyDescent="0.25"/>
    <row r="1015" hidden="1" x14ac:dyDescent="0.25"/>
    <row r="1016" hidden="1" x14ac:dyDescent="0.25"/>
    <row r="1017" hidden="1" x14ac:dyDescent="0.25"/>
    <row r="1018" hidden="1" x14ac:dyDescent="0.25"/>
    <row r="1019" hidden="1" x14ac:dyDescent="0.25"/>
    <row r="1020" hidden="1" x14ac:dyDescent="0.25"/>
    <row r="1021" hidden="1" x14ac:dyDescent="0.25"/>
    <row r="1022" hidden="1" x14ac:dyDescent="0.25"/>
    <row r="1023" hidden="1" x14ac:dyDescent="0.25"/>
    <row r="1024" hidden="1" x14ac:dyDescent="0.25"/>
    <row r="1025" hidden="1" x14ac:dyDescent="0.25"/>
    <row r="1026" hidden="1" x14ac:dyDescent="0.25"/>
    <row r="1027" hidden="1" x14ac:dyDescent="0.25"/>
    <row r="1028" hidden="1" x14ac:dyDescent="0.25"/>
    <row r="1029" hidden="1" x14ac:dyDescent="0.25"/>
    <row r="1030" hidden="1" x14ac:dyDescent="0.25"/>
    <row r="1031" hidden="1" x14ac:dyDescent="0.25"/>
    <row r="1032" hidden="1" x14ac:dyDescent="0.25"/>
    <row r="1033" hidden="1" x14ac:dyDescent="0.25"/>
    <row r="1034" hidden="1" x14ac:dyDescent="0.25"/>
    <row r="1035" hidden="1" x14ac:dyDescent="0.25"/>
    <row r="1036" hidden="1" x14ac:dyDescent="0.25"/>
    <row r="1037" hidden="1" x14ac:dyDescent="0.25"/>
    <row r="1038" hidden="1" x14ac:dyDescent="0.25"/>
    <row r="1039" hidden="1" x14ac:dyDescent="0.25"/>
    <row r="1040" hidden="1" x14ac:dyDescent="0.25"/>
    <row r="1041" hidden="1" x14ac:dyDescent="0.25"/>
    <row r="1042" hidden="1" x14ac:dyDescent="0.25"/>
    <row r="1043" hidden="1" x14ac:dyDescent="0.25"/>
    <row r="1044" hidden="1" x14ac:dyDescent="0.25"/>
    <row r="1045" hidden="1" x14ac:dyDescent="0.25"/>
    <row r="1046" hidden="1" x14ac:dyDescent="0.25"/>
    <row r="1047" hidden="1" x14ac:dyDescent="0.25"/>
    <row r="1048" hidden="1" x14ac:dyDescent="0.25"/>
    <row r="1049" hidden="1" x14ac:dyDescent="0.25"/>
    <row r="1050" hidden="1" x14ac:dyDescent="0.25"/>
    <row r="1051" hidden="1" x14ac:dyDescent="0.25"/>
    <row r="1052" hidden="1" x14ac:dyDescent="0.25"/>
    <row r="1053" hidden="1" x14ac:dyDescent="0.25"/>
    <row r="1054" hidden="1" x14ac:dyDescent="0.25"/>
    <row r="1055" hidden="1" x14ac:dyDescent="0.25"/>
    <row r="1056" hidden="1" x14ac:dyDescent="0.25"/>
    <row r="1057" hidden="1" x14ac:dyDescent="0.25"/>
    <row r="1058" hidden="1" x14ac:dyDescent="0.25"/>
    <row r="1059" hidden="1" x14ac:dyDescent="0.25"/>
    <row r="1060" hidden="1" x14ac:dyDescent="0.25"/>
    <row r="1061" hidden="1" x14ac:dyDescent="0.25"/>
    <row r="1062" hidden="1" x14ac:dyDescent="0.25"/>
    <row r="1063" hidden="1" x14ac:dyDescent="0.25"/>
    <row r="1064" hidden="1" x14ac:dyDescent="0.25"/>
    <row r="1065" hidden="1" x14ac:dyDescent="0.25"/>
    <row r="1066" hidden="1" x14ac:dyDescent="0.25"/>
    <row r="1067" hidden="1" x14ac:dyDescent="0.25"/>
    <row r="1068" hidden="1" x14ac:dyDescent="0.25"/>
    <row r="1069" hidden="1" x14ac:dyDescent="0.25"/>
    <row r="1070" hidden="1" x14ac:dyDescent="0.25"/>
    <row r="1071" hidden="1" x14ac:dyDescent="0.25"/>
    <row r="1072" hidden="1" x14ac:dyDescent="0.25"/>
    <row r="1073" hidden="1" x14ac:dyDescent="0.25"/>
    <row r="1074" hidden="1" x14ac:dyDescent="0.25"/>
    <row r="1075" hidden="1" x14ac:dyDescent="0.25"/>
    <row r="1076" hidden="1" x14ac:dyDescent="0.25"/>
    <row r="1077" hidden="1" x14ac:dyDescent="0.25"/>
    <row r="1078" hidden="1" x14ac:dyDescent="0.25"/>
    <row r="1079" hidden="1" x14ac:dyDescent="0.25"/>
    <row r="1080" hidden="1" x14ac:dyDescent="0.25"/>
    <row r="1081" hidden="1" x14ac:dyDescent="0.25"/>
    <row r="1082" hidden="1" x14ac:dyDescent="0.25"/>
    <row r="1083" hidden="1" x14ac:dyDescent="0.25"/>
    <row r="1084" hidden="1" x14ac:dyDescent="0.25"/>
    <row r="1085" hidden="1" x14ac:dyDescent="0.25"/>
    <row r="1086" hidden="1" x14ac:dyDescent="0.25"/>
    <row r="1087" hidden="1" x14ac:dyDescent="0.25"/>
    <row r="1088" hidden="1" x14ac:dyDescent="0.25"/>
    <row r="1089" hidden="1" x14ac:dyDescent="0.25"/>
    <row r="1090" hidden="1" x14ac:dyDescent="0.25"/>
    <row r="1091" hidden="1" x14ac:dyDescent="0.25"/>
    <row r="1092" hidden="1" x14ac:dyDescent="0.25"/>
    <row r="1093" hidden="1" x14ac:dyDescent="0.25"/>
    <row r="1094" hidden="1" x14ac:dyDescent="0.25"/>
    <row r="1095" hidden="1" x14ac:dyDescent="0.25"/>
    <row r="1096" hidden="1" x14ac:dyDescent="0.25"/>
    <row r="1097" hidden="1" x14ac:dyDescent="0.25"/>
    <row r="1098" hidden="1" x14ac:dyDescent="0.25"/>
    <row r="1099" hidden="1" x14ac:dyDescent="0.25"/>
    <row r="1100" hidden="1" x14ac:dyDescent="0.25"/>
    <row r="1101" hidden="1" x14ac:dyDescent="0.25"/>
    <row r="1102" hidden="1" x14ac:dyDescent="0.25"/>
    <row r="1103" hidden="1" x14ac:dyDescent="0.25"/>
    <row r="1104" hidden="1" x14ac:dyDescent="0.25"/>
    <row r="1105" hidden="1" x14ac:dyDescent="0.25"/>
    <row r="1106" hidden="1" x14ac:dyDescent="0.25"/>
    <row r="1107" hidden="1" x14ac:dyDescent="0.25"/>
    <row r="1108" hidden="1" x14ac:dyDescent="0.25"/>
    <row r="1109" hidden="1" x14ac:dyDescent="0.25"/>
    <row r="1110" hidden="1" x14ac:dyDescent="0.25"/>
    <row r="1111" hidden="1" x14ac:dyDescent="0.25"/>
    <row r="1112" hidden="1" x14ac:dyDescent="0.25"/>
    <row r="1113" hidden="1" x14ac:dyDescent="0.25"/>
    <row r="1114" hidden="1" x14ac:dyDescent="0.25"/>
    <row r="1115" hidden="1" x14ac:dyDescent="0.25"/>
    <row r="1116" hidden="1" x14ac:dyDescent="0.25"/>
    <row r="1117" hidden="1" x14ac:dyDescent="0.25"/>
    <row r="1118" hidden="1" x14ac:dyDescent="0.25"/>
    <row r="1119" hidden="1" x14ac:dyDescent="0.25"/>
    <row r="1120" hidden="1" x14ac:dyDescent="0.25"/>
    <row r="1121" hidden="1" x14ac:dyDescent="0.25"/>
    <row r="1122" hidden="1" x14ac:dyDescent="0.25"/>
    <row r="1123" hidden="1" x14ac:dyDescent="0.25"/>
    <row r="1124" hidden="1" x14ac:dyDescent="0.25"/>
    <row r="1125" hidden="1" x14ac:dyDescent="0.25"/>
    <row r="1126" hidden="1" x14ac:dyDescent="0.25"/>
    <row r="1127" hidden="1" x14ac:dyDescent="0.25"/>
    <row r="1128" hidden="1" x14ac:dyDescent="0.25"/>
    <row r="1129" hidden="1" x14ac:dyDescent="0.25"/>
    <row r="1130" hidden="1" x14ac:dyDescent="0.25"/>
    <row r="1131" hidden="1" x14ac:dyDescent="0.25"/>
    <row r="1132" hidden="1" x14ac:dyDescent="0.25"/>
    <row r="1133" hidden="1" x14ac:dyDescent="0.25"/>
    <row r="1134" hidden="1" x14ac:dyDescent="0.25"/>
    <row r="1135" hidden="1" x14ac:dyDescent="0.25"/>
    <row r="1136" hidden="1" x14ac:dyDescent="0.25"/>
    <row r="1137" hidden="1" x14ac:dyDescent="0.25"/>
    <row r="1138" hidden="1" x14ac:dyDescent="0.25"/>
    <row r="1139" hidden="1" x14ac:dyDescent="0.25"/>
    <row r="1140" hidden="1" x14ac:dyDescent="0.25"/>
    <row r="1141" hidden="1" x14ac:dyDescent="0.25"/>
    <row r="1142" hidden="1" x14ac:dyDescent="0.25"/>
    <row r="1143" hidden="1" x14ac:dyDescent="0.25"/>
    <row r="1144" hidden="1" x14ac:dyDescent="0.25"/>
    <row r="1145" hidden="1" x14ac:dyDescent="0.25"/>
    <row r="1146" hidden="1" x14ac:dyDescent="0.25"/>
    <row r="1147" hidden="1" x14ac:dyDescent="0.25"/>
    <row r="1148" hidden="1" x14ac:dyDescent="0.25"/>
    <row r="1149" hidden="1" x14ac:dyDescent="0.25"/>
    <row r="1150" hidden="1" x14ac:dyDescent="0.25"/>
    <row r="1151" hidden="1" x14ac:dyDescent="0.25"/>
    <row r="1152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  <row r="1182" hidden="1" x14ac:dyDescent="0.25"/>
    <row r="1183" hidden="1" x14ac:dyDescent="0.25"/>
    <row r="1184" hidden="1" x14ac:dyDescent="0.25"/>
    <row r="1185" hidden="1" x14ac:dyDescent="0.25"/>
    <row r="1186" hidden="1" x14ac:dyDescent="0.25"/>
    <row r="1187" hidden="1" x14ac:dyDescent="0.25"/>
    <row r="1188" hidden="1" x14ac:dyDescent="0.25"/>
    <row r="1189" hidden="1" x14ac:dyDescent="0.25"/>
    <row r="1190" hidden="1" x14ac:dyDescent="0.25"/>
    <row r="1191" hidden="1" x14ac:dyDescent="0.25"/>
    <row r="1192" hidden="1" x14ac:dyDescent="0.25"/>
    <row r="1193" hidden="1" x14ac:dyDescent="0.25"/>
    <row r="1194" hidden="1" x14ac:dyDescent="0.25"/>
    <row r="1195" hidden="1" x14ac:dyDescent="0.25"/>
    <row r="1196" hidden="1" x14ac:dyDescent="0.25"/>
    <row r="1197" hidden="1" x14ac:dyDescent="0.25"/>
    <row r="1198" hidden="1" x14ac:dyDescent="0.25"/>
    <row r="1199" hidden="1" x14ac:dyDescent="0.25"/>
    <row r="1200" hidden="1" x14ac:dyDescent="0.25"/>
    <row r="1201" hidden="1" x14ac:dyDescent="0.25"/>
    <row r="1202" hidden="1" x14ac:dyDescent="0.25"/>
    <row r="1203" hidden="1" x14ac:dyDescent="0.25"/>
    <row r="1204" hidden="1" x14ac:dyDescent="0.25"/>
    <row r="1205" hidden="1" x14ac:dyDescent="0.25"/>
    <row r="1206" hidden="1" x14ac:dyDescent="0.25"/>
    <row r="1207" hidden="1" x14ac:dyDescent="0.25"/>
    <row r="1208" hidden="1" x14ac:dyDescent="0.25"/>
    <row r="1209" hidden="1" x14ac:dyDescent="0.25"/>
    <row r="1210" hidden="1" x14ac:dyDescent="0.25"/>
    <row r="1211" hidden="1" x14ac:dyDescent="0.25"/>
    <row r="1212" hidden="1" x14ac:dyDescent="0.25"/>
    <row r="1213" hidden="1" x14ac:dyDescent="0.25"/>
    <row r="1214" hidden="1" x14ac:dyDescent="0.25"/>
    <row r="1215" hidden="1" x14ac:dyDescent="0.25"/>
    <row r="1216" hidden="1" x14ac:dyDescent="0.25"/>
    <row r="1217" hidden="1" x14ac:dyDescent="0.25"/>
    <row r="1218" hidden="1" x14ac:dyDescent="0.25"/>
    <row r="1219" hidden="1" x14ac:dyDescent="0.25"/>
    <row r="1220" hidden="1" x14ac:dyDescent="0.25"/>
    <row r="1221" hidden="1" x14ac:dyDescent="0.25"/>
    <row r="1222" hidden="1" x14ac:dyDescent="0.25"/>
    <row r="1223" hidden="1" x14ac:dyDescent="0.25"/>
    <row r="1224" hidden="1" x14ac:dyDescent="0.25"/>
    <row r="1225" hidden="1" x14ac:dyDescent="0.25"/>
    <row r="1226" hidden="1" x14ac:dyDescent="0.25"/>
    <row r="1227" hidden="1" x14ac:dyDescent="0.25"/>
    <row r="1228" hidden="1" x14ac:dyDescent="0.25"/>
    <row r="1229" hidden="1" x14ac:dyDescent="0.25"/>
    <row r="1230" hidden="1" x14ac:dyDescent="0.25"/>
    <row r="1231" hidden="1" x14ac:dyDescent="0.25"/>
    <row r="1232" hidden="1" x14ac:dyDescent="0.25"/>
    <row r="1233" hidden="1" x14ac:dyDescent="0.25"/>
    <row r="1234" hidden="1" x14ac:dyDescent="0.25"/>
    <row r="1235" hidden="1" x14ac:dyDescent="0.25"/>
    <row r="1236" hidden="1" x14ac:dyDescent="0.25"/>
    <row r="1237" hidden="1" x14ac:dyDescent="0.25"/>
    <row r="1238" hidden="1" x14ac:dyDescent="0.25"/>
    <row r="1239" hidden="1" x14ac:dyDescent="0.25"/>
    <row r="1240" hidden="1" x14ac:dyDescent="0.25"/>
    <row r="1241" hidden="1" x14ac:dyDescent="0.25"/>
    <row r="1242" hidden="1" x14ac:dyDescent="0.25"/>
    <row r="1243" hidden="1" x14ac:dyDescent="0.25"/>
    <row r="1244" hidden="1" x14ac:dyDescent="0.25"/>
    <row r="1245" hidden="1" x14ac:dyDescent="0.25"/>
    <row r="1246" hidden="1" x14ac:dyDescent="0.25"/>
    <row r="1247" hidden="1" x14ac:dyDescent="0.25"/>
    <row r="1248" hidden="1" x14ac:dyDescent="0.25"/>
    <row r="1249" hidden="1" x14ac:dyDescent="0.25"/>
    <row r="1250" hidden="1" x14ac:dyDescent="0.25"/>
    <row r="1251" hidden="1" x14ac:dyDescent="0.25"/>
    <row r="1252" hidden="1" x14ac:dyDescent="0.25"/>
    <row r="1253" hidden="1" x14ac:dyDescent="0.25"/>
    <row r="1254" hidden="1" x14ac:dyDescent="0.25"/>
    <row r="1255" hidden="1" x14ac:dyDescent="0.25"/>
    <row r="1256" hidden="1" x14ac:dyDescent="0.25"/>
    <row r="1257" hidden="1" x14ac:dyDescent="0.25"/>
    <row r="1258" hidden="1" x14ac:dyDescent="0.25"/>
    <row r="1259" hidden="1" x14ac:dyDescent="0.25"/>
    <row r="1260" hidden="1" x14ac:dyDescent="0.25"/>
    <row r="1261" hidden="1" x14ac:dyDescent="0.25"/>
    <row r="1262" hidden="1" x14ac:dyDescent="0.25"/>
    <row r="1263" hidden="1" x14ac:dyDescent="0.25"/>
    <row r="1264" hidden="1" x14ac:dyDescent="0.25"/>
    <row r="1265" hidden="1" x14ac:dyDescent="0.25"/>
    <row r="1266" hidden="1" x14ac:dyDescent="0.25"/>
    <row r="1267" hidden="1" x14ac:dyDescent="0.25"/>
    <row r="1268" hidden="1" x14ac:dyDescent="0.25"/>
    <row r="1269" hidden="1" x14ac:dyDescent="0.25"/>
    <row r="1270" hidden="1" x14ac:dyDescent="0.25"/>
    <row r="1271" hidden="1" x14ac:dyDescent="0.25"/>
    <row r="1272" hidden="1" x14ac:dyDescent="0.25"/>
    <row r="1273" hidden="1" x14ac:dyDescent="0.25"/>
    <row r="1274" hidden="1" x14ac:dyDescent="0.25"/>
    <row r="1275" hidden="1" x14ac:dyDescent="0.25"/>
    <row r="1276" hidden="1" x14ac:dyDescent="0.25"/>
    <row r="1277" hidden="1" x14ac:dyDescent="0.25"/>
    <row r="1278" hidden="1" x14ac:dyDescent="0.25"/>
    <row r="1279" hidden="1" x14ac:dyDescent="0.25"/>
    <row r="1280" hidden="1" x14ac:dyDescent="0.25"/>
    <row r="1281" hidden="1" x14ac:dyDescent="0.25"/>
    <row r="1282" hidden="1" x14ac:dyDescent="0.25"/>
    <row r="1283" hidden="1" x14ac:dyDescent="0.25"/>
    <row r="1284" hidden="1" x14ac:dyDescent="0.25"/>
    <row r="1285" hidden="1" x14ac:dyDescent="0.25"/>
    <row r="1286" hidden="1" x14ac:dyDescent="0.25"/>
    <row r="1287" hidden="1" x14ac:dyDescent="0.25"/>
    <row r="1288" hidden="1" x14ac:dyDescent="0.25"/>
    <row r="1289" hidden="1" x14ac:dyDescent="0.25"/>
    <row r="1290" hidden="1" x14ac:dyDescent="0.25"/>
    <row r="1291" hidden="1" x14ac:dyDescent="0.25"/>
    <row r="1292" hidden="1" x14ac:dyDescent="0.25"/>
    <row r="1293" hidden="1" x14ac:dyDescent="0.25"/>
    <row r="1294" hidden="1" x14ac:dyDescent="0.25"/>
    <row r="1295" hidden="1" x14ac:dyDescent="0.25"/>
    <row r="1296" hidden="1" x14ac:dyDescent="0.25"/>
    <row r="1297" hidden="1" x14ac:dyDescent="0.25"/>
    <row r="1298" hidden="1" x14ac:dyDescent="0.25"/>
    <row r="1299" hidden="1" x14ac:dyDescent="0.25"/>
    <row r="1300" hidden="1" x14ac:dyDescent="0.25"/>
    <row r="1301" hidden="1" x14ac:dyDescent="0.25"/>
    <row r="1302" hidden="1" x14ac:dyDescent="0.25"/>
    <row r="1303" hidden="1" x14ac:dyDescent="0.25"/>
    <row r="1304" hidden="1" x14ac:dyDescent="0.25"/>
    <row r="1305" hidden="1" x14ac:dyDescent="0.25"/>
    <row r="1306" hidden="1" x14ac:dyDescent="0.25"/>
    <row r="1307" hidden="1" x14ac:dyDescent="0.25"/>
    <row r="1308" hidden="1" x14ac:dyDescent="0.25"/>
    <row r="1309" hidden="1" x14ac:dyDescent="0.25"/>
    <row r="1310" hidden="1" x14ac:dyDescent="0.25"/>
    <row r="1311" hidden="1" x14ac:dyDescent="0.25"/>
    <row r="1312" hidden="1" x14ac:dyDescent="0.25"/>
    <row r="1313" hidden="1" x14ac:dyDescent="0.25"/>
    <row r="1314" hidden="1" x14ac:dyDescent="0.25"/>
    <row r="1315" hidden="1" x14ac:dyDescent="0.25"/>
    <row r="1316" hidden="1" x14ac:dyDescent="0.25"/>
    <row r="1317" hidden="1" x14ac:dyDescent="0.25"/>
    <row r="1318" hidden="1" x14ac:dyDescent="0.25"/>
    <row r="1319" hidden="1" x14ac:dyDescent="0.25"/>
    <row r="1320" hidden="1" x14ac:dyDescent="0.25"/>
    <row r="1321" hidden="1" x14ac:dyDescent="0.25"/>
    <row r="1322" hidden="1" x14ac:dyDescent="0.25"/>
    <row r="1323" hidden="1" x14ac:dyDescent="0.25"/>
    <row r="1324" hidden="1" x14ac:dyDescent="0.25"/>
    <row r="1325" hidden="1" x14ac:dyDescent="0.25"/>
    <row r="1326" hidden="1" x14ac:dyDescent="0.25"/>
    <row r="1327" hidden="1" x14ac:dyDescent="0.25"/>
    <row r="1328" hidden="1" x14ac:dyDescent="0.25"/>
    <row r="1329" hidden="1" x14ac:dyDescent="0.25"/>
    <row r="1330" hidden="1" x14ac:dyDescent="0.25"/>
    <row r="1331" hidden="1" x14ac:dyDescent="0.25"/>
    <row r="1332" hidden="1" x14ac:dyDescent="0.25"/>
    <row r="1333" hidden="1" x14ac:dyDescent="0.25"/>
    <row r="1334" hidden="1" x14ac:dyDescent="0.25"/>
    <row r="1335" hidden="1" x14ac:dyDescent="0.25"/>
    <row r="1336" hidden="1" x14ac:dyDescent="0.25"/>
    <row r="1337" hidden="1" x14ac:dyDescent="0.25"/>
    <row r="1338" hidden="1" x14ac:dyDescent="0.25"/>
    <row r="1339" hidden="1" x14ac:dyDescent="0.25"/>
    <row r="1340" hidden="1" x14ac:dyDescent="0.25"/>
    <row r="1341" hidden="1" x14ac:dyDescent="0.25"/>
    <row r="1342" hidden="1" x14ac:dyDescent="0.25"/>
    <row r="1343" hidden="1" x14ac:dyDescent="0.25"/>
    <row r="1344" hidden="1" x14ac:dyDescent="0.25"/>
    <row r="1345" hidden="1" x14ac:dyDescent="0.25"/>
    <row r="1346" hidden="1" x14ac:dyDescent="0.25"/>
    <row r="1347" hidden="1" x14ac:dyDescent="0.25"/>
    <row r="1348" hidden="1" x14ac:dyDescent="0.25"/>
    <row r="1349" hidden="1" x14ac:dyDescent="0.25"/>
    <row r="1350" hidden="1" x14ac:dyDescent="0.25"/>
    <row r="1351" hidden="1" x14ac:dyDescent="0.25"/>
    <row r="1352" hidden="1" x14ac:dyDescent="0.25"/>
    <row r="1353" hidden="1" x14ac:dyDescent="0.25"/>
    <row r="1354" hidden="1" x14ac:dyDescent="0.25"/>
    <row r="1355" hidden="1" x14ac:dyDescent="0.25"/>
    <row r="1356" hidden="1" x14ac:dyDescent="0.25"/>
    <row r="1357" hidden="1" x14ac:dyDescent="0.25"/>
    <row r="1358" hidden="1" x14ac:dyDescent="0.25"/>
    <row r="1359" hidden="1" x14ac:dyDescent="0.25"/>
    <row r="1360" hidden="1" x14ac:dyDescent="0.25"/>
    <row r="1361" hidden="1" x14ac:dyDescent="0.25"/>
    <row r="1362" hidden="1" x14ac:dyDescent="0.25"/>
    <row r="1363" hidden="1" x14ac:dyDescent="0.25"/>
    <row r="1364" hidden="1" x14ac:dyDescent="0.25"/>
    <row r="1365" hidden="1" x14ac:dyDescent="0.25"/>
    <row r="1366" hidden="1" x14ac:dyDescent="0.25"/>
    <row r="1367" hidden="1" x14ac:dyDescent="0.25"/>
    <row r="1368" hidden="1" x14ac:dyDescent="0.25"/>
    <row r="1369" hidden="1" x14ac:dyDescent="0.25"/>
    <row r="1370" hidden="1" x14ac:dyDescent="0.25"/>
    <row r="1371" hidden="1" x14ac:dyDescent="0.25"/>
    <row r="1372" hidden="1" x14ac:dyDescent="0.25"/>
    <row r="1373" hidden="1" x14ac:dyDescent="0.25"/>
    <row r="1374" hidden="1" x14ac:dyDescent="0.25"/>
    <row r="1375" hidden="1" x14ac:dyDescent="0.25"/>
    <row r="1376" hidden="1" x14ac:dyDescent="0.25"/>
    <row r="1377" hidden="1" x14ac:dyDescent="0.25"/>
    <row r="1378" hidden="1" x14ac:dyDescent="0.25"/>
    <row r="1379" hidden="1" x14ac:dyDescent="0.25"/>
    <row r="1380" hidden="1" x14ac:dyDescent="0.25"/>
    <row r="1381" hidden="1" x14ac:dyDescent="0.25"/>
    <row r="1382" hidden="1" x14ac:dyDescent="0.25"/>
    <row r="1383" hidden="1" x14ac:dyDescent="0.25"/>
    <row r="1384" hidden="1" x14ac:dyDescent="0.25"/>
    <row r="1385" hidden="1" x14ac:dyDescent="0.25"/>
    <row r="1386" hidden="1" x14ac:dyDescent="0.25"/>
    <row r="1387" hidden="1" x14ac:dyDescent="0.25"/>
    <row r="1388" hidden="1" x14ac:dyDescent="0.25"/>
    <row r="1389" hidden="1" x14ac:dyDescent="0.25"/>
    <row r="1390" hidden="1" x14ac:dyDescent="0.25"/>
    <row r="1391" hidden="1" x14ac:dyDescent="0.25"/>
    <row r="1392" hidden="1" x14ac:dyDescent="0.25"/>
    <row r="1393" hidden="1" x14ac:dyDescent="0.25"/>
    <row r="1394" hidden="1" x14ac:dyDescent="0.25"/>
    <row r="1395" hidden="1" x14ac:dyDescent="0.25"/>
    <row r="1396" hidden="1" x14ac:dyDescent="0.25"/>
    <row r="1397" hidden="1" x14ac:dyDescent="0.25"/>
    <row r="1398" hidden="1" x14ac:dyDescent="0.25"/>
    <row r="1399" hidden="1" x14ac:dyDescent="0.25"/>
    <row r="1400" hidden="1" x14ac:dyDescent="0.25"/>
    <row r="1401" hidden="1" x14ac:dyDescent="0.25"/>
    <row r="1402" hidden="1" x14ac:dyDescent="0.25"/>
    <row r="1403" hidden="1" x14ac:dyDescent="0.25"/>
    <row r="1404" hidden="1" x14ac:dyDescent="0.25"/>
    <row r="1405" hidden="1" x14ac:dyDescent="0.25"/>
    <row r="1406" hidden="1" x14ac:dyDescent="0.25"/>
    <row r="1407" hidden="1" x14ac:dyDescent="0.25"/>
    <row r="1408" hidden="1" x14ac:dyDescent="0.25"/>
    <row r="1409" hidden="1" x14ac:dyDescent="0.25"/>
    <row r="1410" hidden="1" x14ac:dyDescent="0.25"/>
    <row r="1411" hidden="1" x14ac:dyDescent="0.25"/>
    <row r="1412" hidden="1" x14ac:dyDescent="0.25"/>
    <row r="1413" hidden="1" x14ac:dyDescent="0.25"/>
    <row r="1414" hidden="1" x14ac:dyDescent="0.25"/>
    <row r="1415" hidden="1" x14ac:dyDescent="0.25"/>
    <row r="1416" hidden="1" x14ac:dyDescent="0.25"/>
    <row r="1417" hidden="1" x14ac:dyDescent="0.25"/>
    <row r="1418" hidden="1" x14ac:dyDescent="0.25"/>
    <row r="1419" hidden="1" x14ac:dyDescent="0.25"/>
    <row r="1420" hidden="1" x14ac:dyDescent="0.25"/>
    <row r="1421" hidden="1" x14ac:dyDescent="0.25"/>
    <row r="1422" hidden="1" x14ac:dyDescent="0.25"/>
    <row r="1423" hidden="1" x14ac:dyDescent="0.25"/>
    <row r="1424" hidden="1" x14ac:dyDescent="0.25"/>
    <row r="1425" hidden="1" x14ac:dyDescent="0.25"/>
    <row r="1426" hidden="1" x14ac:dyDescent="0.25"/>
    <row r="1427" hidden="1" x14ac:dyDescent="0.25"/>
    <row r="1428" hidden="1" x14ac:dyDescent="0.25"/>
    <row r="1429" hidden="1" x14ac:dyDescent="0.25"/>
    <row r="1430" hidden="1" x14ac:dyDescent="0.25"/>
    <row r="1431" hidden="1" x14ac:dyDescent="0.25"/>
    <row r="1432" hidden="1" x14ac:dyDescent="0.25"/>
    <row r="1433" hidden="1" x14ac:dyDescent="0.25"/>
    <row r="1434" hidden="1" x14ac:dyDescent="0.25"/>
    <row r="1435" hidden="1" x14ac:dyDescent="0.25"/>
    <row r="1436" hidden="1" x14ac:dyDescent="0.25"/>
    <row r="1437" hidden="1" x14ac:dyDescent="0.25"/>
    <row r="1438" hidden="1" x14ac:dyDescent="0.25"/>
    <row r="1439" hidden="1" x14ac:dyDescent="0.25"/>
    <row r="1440" hidden="1" x14ac:dyDescent="0.25"/>
    <row r="1441" hidden="1" x14ac:dyDescent="0.25"/>
    <row r="1442" hidden="1" x14ac:dyDescent="0.25"/>
    <row r="1443" hidden="1" x14ac:dyDescent="0.25"/>
    <row r="1444" hidden="1" x14ac:dyDescent="0.25"/>
    <row r="1445" hidden="1" x14ac:dyDescent="0.25"/>
    <row r="1446" hidden="1" x14ac:dyDescent="0.25"/>
    <row r="1447" hidden="1" x14ac:dyDescent="0.25"/>
    <row r="1448" hidden="1" x14ac:dyDescent="0.25"/>
    <row r="1449" hidden="1" x14ac:dyDescent="0.25"/>
    <row r="1450" hidden="1" x14ac:dyDescent="0.25"/>
    <row r="1451" hidden="1" x14ac:dyDescent="0.25"/>
    <row r="1452" hidden="1" x14ac:dyDescent="0.25"/>
    <row r="1453" hidden="1" x14ac:dyDescent="0.25"/>
    <row r="1454" hidden="1" x14ac:dyDescent="0.25"/>
    <row r="1455" hidden="1" x14ac:dyDescent="0.25"/>
    <row r="1456" hidden="1" x14ac:dyDescent="0.25"/>
    <row r="1457" hidden="1" x14ac:dyDescent="0.25"/>
    <row r="1458" hidden="1" x14ac:dyDescent="0.25"/>
    <row r="1459" hidden="1" x14ac:dyDescent="0.25"/>
    <row r="1460" hidden="1" x14ac:dyDescent="0.25"/>
    <row r="1461" hidden="1" x14ac:dyDescent="0.25"/>
    <row r="1462" hidden="1" x14ac:dyDescent="0.25"/>
    <row r="1463" hidden="1" x14ac:dyDescent="0.25"/>
    <row r="1464" hidden="1" x14ac:dyDescent="0.25"/>
    <row r="1465" hidden="1" x14ac:dyDescent="0.25"/>
    <row r="1466" hidden="1" x14ac:dyDescent="0.25"/>
    <row r="1467" hidden="1" x14ac:dyDescent="0.25"/>
    <row r="1468" hidden="1" x14ac:dyDescent="0.25"/>
    <row r="1469" hidden="1" x14ac:dyDescent="0.25"/>
    <row r="1470" hidden="1" x14ac:dyDescent="0.25"/>
    <row r="1471" hidden="1" x14ac:dyDescent="0.25"/>
    <row r="1472" hidden="1" x14ac:dyDescent="0.25"/>
    <row r="1473" hidden="1" x14ac:dyDescent="0.25"/>
    <row r="1474" hidden="1" x14ac:dyDescent="0.25"/>
    <row r="1475" hidden="1" x14ac:dyDescent="0.25"/>
    <row r="1476" hidden="1" x14ac:dyDescent="0.25"/>
    <row r="1477" hidden="1" x14ac:dyDescent="0.25"/>
    <row r="1478" hidden="1" x14ac:dyDescent="0.25"/>
    <row r="1479" hidden="1" x14ac:dyDescent="0.25"/>
    <row r="1480" hidden="1" x14ac:dyDescent="0.25"/>
    <row r="1481" hidden="1" x14ac:dyDescent="0.25"/>
    <row r="1482" hidden="1" x14ac:dyDescent="0.25"/>
    <row r="1483" hidden="1" x14ac:dyDescent="0.25"/>
    <row r="1484" hidden="1" x14ac:dyDescent="0.25"/>
    <row r="1485" hidden="1" x14ac:dyDescent="0.25"/>
    <row r="1486" hidden="1" x14ac:dyDescent="0.25"/>
    <row r="1487" hidden="1" x14ac:dyDescent="0.25"/>
    <row r="1488" hidden="1" x14ac:dyDescent="0.25"/>
    <row r="1489" hidden="1" x14ac:dyDescent="0.25"/>
    <row r="1490" hidden="1" x14ac:dyDescent="0.25"/>
    <row r="1491" hidden="1" x14ac:dyDescent="0.25"/>
    <row r="1492" hidden="1" x14ac:dyDescent="0.25"/>
    <row r="1493" hidden="1" x14ac:dyDescent="0.25"/>
    <row r="1494" hidden="1" x14ac:dyDescent="0.25"/>
    <row r="1495" hidden="1" x14ac:dyDescent="0.25"/>
    <row r="1496" hidden="1" x14ac:dyDescent="0.25"/>
    <row r="1497" hidden="1" x14ac:dyDescent="0.25"/>
    <row r="1498" hidden="1" x14ac:dyDescent="0.25"/>
    <row r="1499" hidden="1" x14ac:dyDescent="0.25"/>
    <row r="1500" hidden="1" x14ac:dyDescent="0.25"/>
    <row r="1501" hidden="1" x14ac:dyDescent="0.25"/>
    <row r="1502" hidden="1" x14ac:dyDescent="0.25"/>
    <row r="1503" hidden="1" x14ac:dyDescent="0.25"/>
    <row r="1504" hidden="1" x14ac:dyDescent="0.25"/>
    <row r="1505" hidden="1" x14ac:dyDescent="0.25"/>
    <row r="1506" hidden="1" x14ac:dyDescent="0.25"/>
    <row r="1507" hidden="1" x14ac:dyDescent="0.25"/>
    <row r="1508" hidden="1" x14ac:dyDescent="0.25"/>
    <row r="1509" hidden="1" x14ac:dyDescent="0.25"/>
    <row r="1510" hidden="1" x14ac:dyDescent="0.25"/>
    <row r="1511" hidden="1" x14ac:dyDescent="0.25"/>
    <row r="1512" hidden="1" x14ac:dyDescent="0.25"/>
    <row r="1513" hidden="1" x14ac:dyDescent="0.25"/>
    <row r="1514" hidden="1" x14ac:dyDescent="0.25"/>
    <row r="1515" hidden="1" x14ac:dyDescent="0.25"/>
    <row r="1516" hidden="1" x14ac:dyDescent="0.25"/>
    <row r="1517" hidden="1" x14ac:dyDescent="0.25"/>
    <row r="1518" hidden="1" x14ac:dyDescent="0.25"/>
    <row r="1519" hidden="1" x14ac:dyDescent="0.25"/>
    <row r="1520" hidden="1" x14ac:dyDescent="0.25"/>
    <row r="1521" hidden="1" x14ac:dyDescent="0.25"/>
    <row r="1522" hidden="1" x14ac:dyDescent="0.25"/>
    <row r="1523" hidden="1" x14ac:dyDescent="0.25"/>
    <row r="1524" hidden="1" x14ac:dyDescent="0.25"/>
    <row r="1525" hidden="1" x14ac:dyDescent="0.25"/>
    <row r="1526" hidden="1" x14ac:dyDescent="0.25"/>
    <row r="1527" hidden="1" x14ac:dyDescent="0.25"/>
    <row r="1528" hidden="1" x14ac:dyDescent="0.25"/>
    <row r="1529" hidden="1" x14ac:dyDescent="0.25"/>
    <row r="1530" hidden="1" x14ac:dyDescent="0.25"/>
    <row r="1531" hidden="1" x14ac:dyDescent="0.25"/>
    <row r="1532" hidden="1" x14ac:dyDescent="0.25"/>
    <row r="1533" hidden="1" x14ac:dyDescent="0.25"/>
    <row r="1534" hidden="1" x14ac:dyDescent="0.25"/>
    <row r="1535" hidden="1" x14ac:dyDescent="0.25"/>
    <row r="1536" hidden="1" x14ac:dyDescent="0.25"/>
    <row r="1537" hidden="1" x14ac:dyDescent="0.25"/>
    <row r="1538" hidden="1" x14ac:dyDescent="0.25"/>
    <row r="1539" hidden="1" x14ac:dyDescent="0.25"/>
    <row r="1540" hidden="1" x14ac:dyDescent="0.25"/>
    <row r="1541" hidden="1" x14ac:dyDescent="0.25"/>
    <row r="1542" hidden="1" x14ac:dyDescent="0.25"/>
    <row r="1543" hidden="1" x14ac:dyDescent="0.25"/>
    <row r="1544" hidden="1" x14ac:dyDescent="0.25"/>
    <row r="1545" hidden="1" x14ac:dyDescent="0.25"/>
    <row r="1546" hidden="1" x14ac:dyDescent="0.25"/>
    <row r="1547" hidden="1" x14ac:dyDescent="0.25"/>
    <row r="1548" hidden="1" x14ac:dyDescent="0.25"/>
    <row r="1549" hidden="1" x14ac:dyDescent="0.25"/>
    <row r="1550" hidden="1" x14ac:dyDescent="0.25"/>
    <row r="1551" hidden="1" x14ac:dyDescent="0.25"/>
    <row r="1552" hidden="1" x14ac:dyDescent="0.25"/>
    <row r="1553" hidden="1" x14ac:dyDescent="0.25"/>
    <row r="1554" hidden="1" x14ac:dyDescent="0.25"/>
    <row r="1555" hidden="1" x14ac:dyDescent="0.25"/>
    <row r="1556" hidden="1" x14ac:dyDescent="0.25"/>
    <row r="1557" hidden="1" x14ac:dyDescent="0.25"/>
    <row r="1558" hidden="1" x14ac:dyDescent="0.25"/>
    <row r="1559" hidden="1" x14ac:dyDescent="0.25"/>
    <row r="1560" hidden="1" x14ac:dyDescent="0.25"/>
    <row r="1561" hidden="1" x14ac:dyDescent="0.25"/>
    <row r="1562" hidden="1" x14ac:dyDescent="0.25"/>
    <row r="1563" hidden="1" x14ac:dyDescent="0.25"/>
    <row r="1564" hidden="1" x14ac:dyDescent="0.25"/>
    <row r="1565" hidden="1" x14ac:dyDescent="0.25"/>
    <row r="1566" hidden="1" x14ac:dyDescent="0.25"/>
    <row r="1567" hidden="1" x14ac:dyDescent="0.25"/>
    <row r="1568" hidden="1" x14ac:dyDescent="0.25"/>
    <row r="1569" hidden="1" x14ac:dyDescent="0.25"/>
    <row r="1570" hidden="1" x14ac:dyDescent="0.25"/>
    <row r="1571" hidden="1" x14ac:dyDescent="0.25"/>
    <row r="1572" hidden="1" x14ac:dyDescent="0.25"/>
    <row r="1573" hidden="1" x14ac:dyDescent="0.25"/>
    <row r="1574" hidden="1" x14ac:dyDescent="0.25"/>
    <row r="1575" hidden="1" x14ac:dyDescent="0.25"/>
    <row r="1576" hidden="1" x14ac:dyDescent="0.25"/>
    <row r="1577" hidden="1" x14ac:dyDescent="0.25"/>
    <row r="1578" hidden="1" x14ac:dyDescent="0.25"/>
    <row r="1579" hidden="1" x14ac:dyDescent="0.25"/>
    <row r="1580" hidden="1" x14ac:dyDescent="0.25"/>
    <row r="1581" hidden="1" x14ac:dyDescent="0.25"/>
    <row r="1582" hidden="1" x14ac:dyDescent="0.25"/>
    <row r="1583" hidden="1" x14ac:dyDescent="0.25"/>
    <row r="1584" hidden="1" x14ac:dyDescent="0.25"/>
    <row r="1585" hidden="1" x14ac:dyDescent="0.25"/>
    <row r="1586" hidden="1" x14ac:dyDescent="0.25"/>
    <row r="1587" hidden="1" x14ac:dyDescent="0.25"/>
    <row r="1588" hidden="1" x14ac:dyDescent="0.25"/>
    <row r="1589" hidden="1" x14ac:dyDescent="0.25"/>
    <row r="1590" hidden="1" x14ac:dyDescent="0.25"/>
    <row r="1591" hidden="1" x14ac:dyDescent="0.25"/>
    <row r="1592" hidden="1" x14ac:dyDescent="0.25"/>
    <row r="1593" hidden="1" x14ac:dyDescent="0.25"/>
    <row r="1594" hidden="1" x14ac:dyDescent="0.25"/>
    <row r="1595" hidden="1" x14ac:dyDescent="0.25"/>
    <row r="1596" hidden="1" x14ac:dyDescent="0.25"/>
    <row r="1597" hidden="1" x14ac:dyDescent="0.25"/>
    <row r="1598" hidden="1" x14ac:dyDescent="0.25"/>
    <row r="1599" hidden="1" x14ac:dyDescent="0.25"/>
    <row r="1600" hidden="1" x14ac:dyDescent="0.25"/>
    <row r="1601" hidden="1" x14ac:dyDescent="0.25"/>
    <row r="1602" hidden="1" x14ac:dyDescent="0.25"/>
    <row r="1603" hidden="1" x14ac:dyDescent="0.25"/>
    <row r="1604" hidden="1" x14ac:dyDescent="0.25"/>
    <row r="1605" hidden="1" x14ac:dyDescent="0.25"/>
    <row r="1606" hidden="1" x14ac:dyDescent="0.25"/>
    <row r="1607" hidden="1" x14ac:dyDescent="0.25"/>
    <row r="1608" hidden="1" x14ac:dyDescent="0.25"/>
    <row r="1609" hidden="1" x14ac:dyDescent="0.25"/>
    <row r="1610" hidden="1" x14ac:dyDescent="0.25"/>
    <row r="1611" hidden="1" x14ac:dyDescent="0.25"/>
    <row r="1612" hidden="1" x14ac:dyDescent="0.25"/>
    <row r="1613" hidden="1" x14ac:dyDescent="0.25"/>
    <row r="1614" hidden="1" x14ac:dyDescent="0.25"/>
    <row r="1615" hidden="1" x14ac:dyDescent="0.25"/>
    <row r="1616" hidden="1" x14ac:dyDescent="0.25"/>
    <row r="1617" hidden="1" x14ac:dyDescent="0.25"/>
    <row r="1618" hidden="1" x14ac:dyDescent="0.25"/>
    <row r="1619" hidden="1" x14ac:dyDescent="0.25"/>
    <row r="1620" hidden="1" x14ac:dyDescent="0.25"/>
    <row r="1621" hidden="1" x14ac:dyDescent="0.25"/>
    <row r="1622" hidden="1" x14ac:dyDescent="0.25"/>
    <row r="1623" hidden="1" x14ac:dyDescent="0.25"/>
    <row r="1624" hidden="1" x14ac:dyDescent="0.25"/>
    <row r="1625" hidden="1" x14ac:dyDescent="0.25"/>
    <row r="1626" hidden="1" x14ac:dyDescent="0.25"/>
    <row r="1627" hidden="1" x14ac:dyDescent="0.25"/>
    <row r="1628" hidden="1" x14ac:dyDescent="0.25"/>
    <row r="1629" hidden="1" x14ac:dyDescent="0.25"/>
    <row r="1630" hidden="1" x14ac:dyDescent="0.25"/>
    <row r="1631" hidden="1" x14ac:dyDescent="0.25"/>
    <row r="1632" hidden="1" x14ac:dyDescent="0.25"/>
    <row r="1633" hidden="1" x14ac:dyDescent="0.25"/>
    <row r="1634" hidden="1" x14ac:dyDescent="0.25"/>
    <row r="1635" hidden="1" x14ac:dyDescent="0.25"/>
    <row r="1636" hidden="1" x14ac:dyDescent="0.25"/>
    <row r="1637" hidden="1" x14ac:dyDescent="0.25"/>
    <row r="1638" hidden="1" x14ac:dyDescent="0.25"/>
    <row r="1639" hidden="1" x14ac:dyDescent="0.25"/>
    <row r="1640" hidden="1" x14ac:dyDescent="0.25"/>
    <row r="1641" hidden="1" x14ac:dyDescent="0.25"/>
    <row r="1642" hidden="1" x14ac:dyDescent="0.25"/>
    <row r="1643" hidden="1" x14ac:dyDescent="0.25"/>
    <row r="1644" hidden="1" x14ac:dyDescent="0.25"/>
    <row r="1645" hidden="1" x14ac:dyDescent="0.25"/>
    <row r="1646" hidden="1" x14ac:dyDescent="0.25"/>
    <row r="1647" hidden="1" x14ac:dyDescent="0.25"/>
    <row r="1648" hidden="1" x14ac:dyDescent="0.25"/>
    <row r="1649" hidden="1" x14ac:dyDescent="0.25"/>
    <row r="1650" hidden="1" x14ac:dyDescent="0.25"/>
    <row r="1651" hidden="1" x14ac:dyDescent="0.25"/>
    <row r="1652" hidden="1" x14ac:dyDescent="0.25"/>
    <row r="1653" hidden="1" x14ac:dyDescent="0.25"/>
    <row r="1654" hidden="1" x14ac:dyDescent="0.25"/>
    <row r="1655" hidden="1" x14ac:dyDescent="0.25"/>
    <row r="1656" hidden="1" x14ac:dyDescent="0.25"/>
    <row r="1657" hidden="1" x14ac:dyDescent="0.25"/>
    <row r="1658" hidden="1" x14ac:dyDescent="0.25"/>
    <row r="1659" hidden="1" x14ac:dyDescent="0.25"/>
    <row r="1660" hidden="1" x14ac:dyDescent="0.25"/>
    <row r="1661" hidden="1" x14ac:dyDescent="0.25"/>
    <row r="1662" hidden="1" x14ac:dyDescent="0.25"/>
    <row r="1663" hidden="1" x14ac:dyDescent="0.25"/>
    <row r="1664" hidden="1" x14ac:dyDescent="0.25"/>
    <row r="1665" hidden="1" x14ac:dyDescent="0.25"/>
    <row r="1666" hidden="1" x14ac:dyDescent="0.25"/>
    <row r="1667" hidden="1" x14ac:dyDescent="0.25"/>
    <row r="1668" hidden="1" x14ac:dyDescent="0.25"/>
    <row r="1669" hidden="1" x14ac:dyDescent="0.25"/>
    <row r="1670" hidden="1" x14ac:dyDescent="0.25"/>
    <row r="1671" hidden="1" x14ac:dyDescent="0.25"/>
    <row r="1672" hidden="1" x14ac:dyDescent="0.25"/>
    <row r="1673" hidden="1" x14ac:dyDescent="0.25"/>
    <row r="1674" hidden="1" x14ac:dyDescent="0.25"/>
    <row r="1675" hidden="1" x14ac:dyDescent="0.25"/>
    <row r="1676" hidden="1" x14ac:dyDescent="0.25"/>
    <row r="1677" hidden="1" x14ac:dyDescent="0.25"/>
    <row r="1678" hidden="1" x14ac:dyDescent="0.25"/>
    <row r="1679" hidden="1" x14ac:dyDescent="0.25"/>
    <row r="1680" hidden="1" x14ac:dyDescent="0.25"/>
    <row r="1681" hidden="1" x14ac:dyDescent="0.25"/>
    <row r="1682" hidden="1" x14ac:dyDescent="0.25"/>
    <row r="1683" hidden="1" x14ac:dyDescent="0.25"/>
    <row r="1684" hidden="1" x14ac:dyDescent="0.25"/>
    <row r="1685" hidden="1" x14ac:dyDescent="0.25"/>
    <row r="1686" hidden="1" x14ac:dyDescent="0.25"/>
    <row r="1687" hidden="1" x14ac:dyDescent="0.25"/>
    <row r="1688" hidden="1" x14ac:dyDescent="0.25"/>
    <row r="1689" hidden="1" x14ac:dyDescent="0.25"/>
    <row r="1690" hidden="1" x14ac:dyDescent="0.25"/>
    <row r="1691" hidden="1" x14ac:dyDescent="0.25"/>
    <row r="1692" hidden="1" x14ac:dyDescent="0.25"/>
    <row r="1693" hidden="1" x14ac:dyDescent="0.25"/>
    <row r="1694" hidden="1" x14ac:dyDescent="0.25"/>
    <row r="1695" hidden="1" x14ac:dyDescent="0.25"/>
    <row r="1696" hidden="1" x14ac:dyDescent="0.25"/>
    <row r="1697" hidden="1" x14ac:dyDescent="0.25"/>
    <row r="1698" hidden="1" x14ac:dyDescent="0.25"/>
    <row r="1699" hidden="1" x14ac:dyDescent="0.25"/>
    <row r="1700" hidden="1" x14ac:dyDescent="0.25"/>
    <row r="1701" hidden="1" x14ac:dyDescent="0.25"/>
    <row r="1702" hidden="1" x14ac:dyDescent="0.25"/>
    <row r="1703" hidden="1" x14ac:dyDescent="0.25"/>
    <row r="1704" hidden="1" x14ac:dyDescent="0.25"/>
    <row r="1705" hidden="1" x14ac:dyDescent="0.25"/>
    <row r="1706" hidden="1" x14ac:dyDescent="0.25"/>
    <row r="1707" hidden="1" x14ac:dyDescent="0.25"/>
    <row r="1708" hidden="1" x14ac:dyDescent="0.25"/>
    <row r="1709" hidden="1" x14ac:dyDescent="0.25"/>
    <row r="1710" hidden="1" x14ac:dyDescent="0.25"/>
    <row r="1711" hidden="1" x14ac:dyDescent="0.25"/>
    <row r="1712" hidden="1" x14ac:dyDescent="0.25"/>
    <row r="1713" hidden="1" x14ac:dyDescent="0.25"/>
    <row r="1714" hidden="1" x14ac:dyDescent="0.25"/>
    <row r="1715" hidden="1" x14ac:dyDescent="0.25"/>
    <row r="1716" hidden="1" x14ac:dyDescent="0.25"/>
    <row r="1717" hidden="1" x14ac:dyDescent="0.25"/>
    <row r="1718" hidden="1" x14ac:dyDescent="0.25"/>
    <row r="1719" hidden="1" x14ac:dyDescent="0.25"/>
    <row r="1720" hidden="1" x14ac:dyDescent="0.25"/>
    <row r="1721" hidden="1" x14ac:dyDescent="0.25"/>
    <row r="1722" hidden="1" x14ac:dyDescent="0.25"/>
    <row r="1723" hidden="1" x14ac:dyDescent="0.25"/>
    <row r="1724" hidden="1" x14ac:dyDescent="0.25"/>
    <row r="1725" hidden="1" x14ac:dyDescent="0.25"/>
    <row r="1726" hidden="1" x14ac:dyDescent="0.25"/>
    <row r="1727" hidden="1" x14ac:dyDescent="0.25"/>
    <row r="1728" hidden="1" x14ac:dyDescent="0.25"/>
    <row r="1729" hidden="1" x14ac:dyDescent="0.25"/>
    <row r="1730" hidden="1" x14ac:dyDescent="0.25"/>
    <row r="1731" hidden="1" x14ac:dyDescent="0.25"/>
    <row r="1732" hidden="1" x14ac:dyDescent="0.25"/>
    <row r="1733" hidden="1" x14ac:dyDescent="0.25"/>
    <row r="1734" hidden="1" x14ac:dyDescent="0.25"/>
    <row r="1735" hidden="1" x14ac:dyDescent="0.25"/>
    <row r="1736" hidden="1" x14ac:dyDescent="0.25"/>
    <row r="1737" hidden="1" x14ac:dyDescent="0.25"/>
    <row r="1738" hidden="1" x14ac:dyDescent="0.25"/>
    <row r="1739" hidden="1" x14ac:dyDescent="0.25"/>
    <row r="1740" hidden="1" x14ac:dyDescent="0.25"/>
    <row r="1741" hidden="1" x14ac:dyDescent="0.25"/>
    <row r="1742" hidden="1" x14ac:dyDescent="0.25"/>
    <row r="1743" hidden="1" x14ac:dyDescent="0.25"/>
    <row r="1744" hidden="1" x14ac:dyDescent="0.25"/>
    <row r="1745" hidden="1" x14ac:dyDescent="0.25"/>
    <row r="1746" hidden="1" x14ac:dyDescent="0.25"/>
    <row r="1747" hidden="1" x14ac:dyDescent="0.25"/>
    <row r="1748" hidden="1" x14ac:dyDescent="0.25"/>
    <row r="1749" hidden="1" x14ac:dyDescent="0.25"/>
    <row r="1750" hidden="1" x14ac:dyDescent="0.25"/>
    <row r="1751" hidden="1" x14ac:dyDescent="0.25"/>
    <row r="1752" hidden="1" x14ac:dyDescent="0.25"/>
    <row r="1753" hidden="1" x14ac:dyDescent="0.25"/>
    <row r="1754" hidden="1" x14ac:dyDescent="0.25"/>
    <row r="1755" hidden="1" x14ac:dyDescent="0.25"/>
    <row r="1756" hidden="1" x14ac:dyDescent="0.25"/>
    <row r="1757" hidden="1" x14ac:dyDescent="0.25"/>
    <row r="1758" hidden="1" x14ac:dyDescent="0.25"/>
    <row r="1759" hidden="1" x14ac:dyDescent="0.25"/>
    <row r="1760" hidden="1" x14ac:dyDescent="0.25"/>
    <row r="1761" hidden="1" x14ac:dyDescent="0.25"/>
    <row r="1762" hidden="1" x14ac:dyDescent="0.25"/>
    <row r="1763" hidden="1" x14ac:dyDescent="0.25"/>
    <row r="1764" hidden="1" x14ac:dyDescent="0.25"/>
    <row r="1765" hidden="1" x14ac:dyDescent="0.25"/>
    <row r="1766" hidden="1" x14ac:dyDescent="0.25"/>
    <row r="1767" hidden="1" x14ac:dyDescent="0.25"/>
    <row r="1768" hidden="1" x14ac:dyDescent="0.25"/>
    <row r="1769" hidden="1" x14ac:dyDescent="0.25"/>
    <row r="1770" hidden="1" x14ac:dyDescent="0.25"/>
    <row r="1771" hidden="1" x14ac:dyDescent="0.25"/>
    <row r="1772" hidden="1" x14ac:dyDescent="0.25"/>
    <row r="1773" hidden="1" x14ac:dyDescent="0.25"/>
    <row r="1774" hidden="1" x14ac:dyDescent="0.25"/>
    <row r="1775" hidden="1" x14ac:dyDescent="0.25"/>
    <row r="1776" hidden="1" x14ac:dyDescent="0.25"/>
    <row r="1777" hidden="1" x14ac:dyDescent="0.25"/>
    <row r="1778" hidden="1" x14ac:dyDescent="0.25"/>
    <row r="1779" hidden="1" x14ac:dyDescent="0.25"/>
    <row r="1780" hidden="1" x14ac:dyDescent="0.25"/>
    <row r="1781" hidden="1" x14ac:dyDescent="0.25"/>
    <row r="1782" hidden="1" x14ac:dyDescent="0.25"/>
    <row r="1783" hidden="1" x14ac:dyDescent="0.25"/>
    <row r="1784" hidden="1" x14ac:dyDescent="0.25"/>
    <row r="1785" hidden="1" x14ac:dyDescent="0.25"/>
    <row r="1786" hidden="1" x14ac:dyDescent="0.25"/>
    <row r="1787" hidden="1" x14ac:dyDescent="0.25"/>
    <row r="1788" hidden="1" x14ac:dyDescent="0.25"/>
    <row r="1789" hidden="1" x14ac:dyDescent="0.25"/>
    <row r="1790" hidden="1" x14ac:dyDescent="0.25"/>
    <row r="1791" hidden="1" x14ac:dyDescent="0.25"/>
    <row r="1792" hidden="1" x14ac:dyDescent="0.25"/>
    <row r="1793" hidden="1" x14ac:dyDescent="0.25"/>
    <row r="1794" hidden="1" x14ac:dyDescent="0.25"/>
    <row r="1795" hidden="1" x14ac:dyDescent="0.25"/>
    <row r="1796" hidden="1" x14ac:dyDescent="0.25"/>
    <row r="1797" hidden="1" x14ac:dyDescent="0.25"/>
    <row r="1798" hidden="1" x14ac:dyDescent="0.25"/>
    <row r="1799" hidden="1" x14ac:dyDescent="0.25"/>
    <row r="1800" hidden="1" x14ac:dyDescent="0.25"/>
    <row r="1801" hidden="1" x14ac:dyDescent="0.25"/>
    <row r="1802" hidden="1" x14ac:dyDescent="0.25"/>
    <row r="1803" hidden="1" x14ac:dyDescent="0.25"/>
    <row r="1804" hidden="1" x14ac:dyDescent="0.25"/>
    <row r="1805" hidden="1" x14ac:dyDescent="0.25"/>
    <row r="1806" hidden="1" x14ac:dyDescent="0.25"/>
    <row r="1807" hidden="1" x14ac:dyDescent="0.25"/>
    <row r="1808" hidden="1" x14ac:dyDescent="0.25"/>
    <row r="1809" hidden="1" x14ac:dyDescent="0.25"/>
    <row r="1810" hidden="1" x14ac:dyDescent="0.25"/>
    <row r="1811" hidden="1" x14ac:dyDescent="0.25"/>
    <row r="1812" hidden="1" x14ac:dyDescent="0.25"/>
    <row r="1813" hidden="1" x14ac:dyDescent="0.25"/>
    <row r="1814" hidden="1" x14ac:dyDescent="0.25"/>
    <row r="1815" hidden="1" x14ac:dyDescent="0.25"/>
    <row r="1816" hidden="1" x14ac:dyDescent="0.25"/>
    <row r="1817" hidden="1" x14ac:dyDescent="0.25"/>
    <row r="1818" hidden="1" x14ac:dyDescent="0.25"/>
    <row r="1819" hidden="1" x14ac:dyDescent="0.25"/>
    <row r="1820" hidden="1" x14ac:dyDescent="0.25"/>
    <row r="1821" hidden="1" x14ac:dyDescent="0.25"/>
    <row r="1822" hidden="1" x14ac:dyDescent="0.25"/>
    <row r="1823" hidden="1" x14ac:dyDescent="0.25"/>
    <row r="1824" hidden="1" x14ac:dyDescent="0.25"/>
    <row r="1825" hidden="1" x14ac:dyDescent="0.25"/>
    <row r="1826" hidden="1" x14ac:dyDescent="0.25"/>
    <row r="1827" hidden="1" x14ac:dyDescent="0.25"/>
    <row r="1828" hidden="1" x14ac:dyDescent="0.25"/>
    <row r="1829" hidden="1" x14ac:dyDescent="0.25"/>
    <row r="1830" hidden="1" x14ac:dyDescent="0.25"/>
    <row r="1831" hidden="1" x14ac:dyDescent="0.25"/>
    <row r="1832" hidden="1" x14ac:dyDescent="0.25"/>
    <row r="1833" hidden="1" x14ac:dyDescent="0.25"/>
    <row r="1834" hidden="1" x14ac:dyDescent="0.25"/>
    <row r="1835" hidden="1" x14ac:dyDescent="0.25"/>
    <row r="1836" hidden="1" x14ac:dyDescent="0.25"/>
    <row r="1837" hidden="1" x14ac:dyDescent="0.25"/>
    <row r="1838" hidden="1" x14ac:dyDescent="0.25"/>
    <row r="1839" hidden="1" x14ac:dyDescent="0.25"/>
    <row r="1840" hidden="1" x14ac:dyDescent="0.25"/>
    <row r="1841" hidden="1" x14ac:dyDescent="0.25"/>
    <row r="1842" hidden="1" x14ac:dyDescent="0.25"/>
    <row r="1843" hidden="1" x14ac:dyDescent="0.25"/>
    <row r="1844" hidden="1" x14ac:dyDescent="0.25"/>
    <row r="1845" hidden="1" x14ac:dyDescent="0.25"/>
    <row r="1846" hidden="1" x14ac:dyDescent="0.25"/>
    <row r="1847" hidden="1" x14ac:dyDescent="0.25"/>
    <row r="1848" hidden="1" x14ac:dyDescent="0.25"/>
    <row r="1849" hidden="1" x14ac:dyDescent="0.25"/>
    <row r="1850" hidden="1" x14ac:dyDescent="0.25"/>
    <row r="1851" hidden="1" x14ac:dyDescent="0.25"/>
    <row r="1852" hidden="1" x14ac:dyDescent="0.25"/>
    <row r="1853" hidden="1" x14ac:dyDescent="0.25"/>
    <row r="1854" hidden="1" x14ac:dyDescent="0.25"/>
    <row r="1855" hidden="1" x14ac:dyDescent="0.25"/>
    <row r="1856" hidden="1" x14ac:dyDescent="0.25"/>
    <row r="1857" hidden="1" x14ac:dyDescent="0.25"/>
    <row r="1858" hidden="1" x14ac:dyDescent="0.25"/>
    <row r="1859" hidden="1" x14ac:dyDescent="0.25"/>
    <row r="1860" hidden="1" x14ac:dyDescent="0.25"/>
    <row r="1861" hidden="1" x14ac:dyDescent="0.25"/>
    <row r="1862" hidden="1" x14ac:dyDescent="0.25"/>
    <row r="1863" hidden="1" x14ac:dyDescent="0.25"/>
    <row r="1864" hidden="1" x14ac:dyDescent="0.25"/>
    <row r="1865" hidden="1" x14ac:dyDescent="0.25"/>
    <row r="1866" hidden="1" x14ac:dyDescent="0.25"/>
    <row r="1867" hidden="1" x14ac:dyDescent="0.25"/>
    <row r="1868" hidden="1" x14ac:dyDescent="0.25"/>
    <row r="1869" hidden="1" x14ac:dyDescent="0.25"/>
    <row r="1870" hidden="1" x14ac:dyDescent="0.25"/>
    <row r="1871" hidden="1" x14ac:dyDescent="0.25"/>
    <row r="1872" hidden="1" x14ac:dyDescent="0.25"/>
    <row r="1873" hidden="1" x14ac:dyDescent="0.25"/>
    <row r="1874" hidden="1" x14ac:dyDescent="0.25"/>
    <row r="1875" hidden="1" x14ac:dyDescent="0.25"/>
    <row r="1876" hidden="1" x14ac:dyDescent="0.25"/>
    <row r="1877" hidden="1" x14ac:dyDescent="0.25"/>
    <row r="1878" hidden="1" x14ac:dyDescent="0.25"/>
    <row r="1879" hidden="1" x14ac:dyDescent="0.25"/>
    <row r="1880" hidden="1" x14ac:dyDescent="0.25"/>
    <row r="1881" hidden="1" x14ac:dyDescent="0.25"/>
    <row r="1882" hidden="1" x14ac:dyDescent="0.25"/>
    <row r="1883" hidden="1" x14ac:dyDescent="0.25"/>
    <row r="1884" hidden="1" x14ac:dyDescent="0.25"/>
    <row r="1885" hidden="1" x14ac:dyDescent="0.25"/>
    <row r="1886" hidden="1" x14ac:dyDescent="0.25"/>
    <row r="1887" hidden="1" x14ac:dyDescent="0.25"/>
    <row r="1888" hidden="1" x14ac:dyDescent="0.25"/>
    <row r="1889" hidden="1" x14ac:dyDescent="0.25"/>
    <row r="1890" hidden="1" x14ac:dyDescent="0.25"/>
    <row r="1891" hidden="1" x14ac:dyDescent="0.25"/>
    <row r="1892" hidden="1" x14ac:dyDescent="0.25"/>
    <row r="1893" hidden="1" x14ac:dyDescent="0.25"/>
    <row r="1894" hidden="1" x14ac:dyDescent="0.25"/>
    <row r="1895" hidden="1" x14ac:dyDescent="0.25"/>
    <row r="1896" hidden="1" x14ac:dyDescent="0.25"/>
    <row r="1897" hidden="1" x14ac:dyDescent="0.25"/>
    <row r="1898" hidden="1" x14ac:dyDescent="0.25"/>
    <row r="1899" hidden="1" x14ac:dyDescent="0.25"/>
    <row r="1900" hidden="1" x14ac:dyDescent="0.25"/>
    <row r="1901" hidden="1" x14ac:dyDescent="0.25"/>
    <row r="1902" hidden="1" x14ac:dyDescent="0.25"/>
    <row r="1903" hidden="1" x14ac:dyDescent="0.25"/>
    <row r="1904" hidden="1" x14ac:dyDescent="0.25"/>
    <row r="1905" hidden="1" x14ac:dyDescent="0.25"/>
    <row r="1906" hidden="1" x14ac:dyDescent="0.25"/>
    <row r="1907" hidden="1" x14ac:dyDescent="0.25"/>
    <row r="1908" hidden="1" x14ac:dyDescent="0.25"/>
    <row r="1909" hidden="1" x14ac:dyDescent="0.25"/>
    <row r="1910" hidden="1" x14ac:dyDescent="0.25"/>
    <row r="1911" hidden="1" x14ac:dyDescent="0.25"/>
    <row r="1912" hidden="1" x14ac:dyDescent="0.25"/>
    <row r="1913" hidden="1" x14ac:dyDescent="0.25"/>
    <row r="1914" hidden="1" x14ac:dyDescent="0.25"/>
    <row r="1915" hidden="1" x14ac:dyDescent="0.25"/>
    <row r="1916" hidden="1" x14ac:dyDescent="0.25"/>
    <row r="1917" hidden="1" x14ac:dyDescent="0.25"/>
    <row r="1918" hidden="1" x14ac:dyDescent="0.25"/>
    <row r="1919" hidden="1" x14ac:dyDescent="0.25"/>
    <row r="1920" hidden="1" x14ac:dyDescent="0.25"/>
    <row r="1921" hidden="1" x14ac:dyDescent="0.25"/>
    <row r="1922" hidden="1" x14ac:dyDescent="0.25"/>
    <row r="1923" hidden="1" x14ac:dyDescent="0.25"/>
    <row r="1924" hidden="1" x14ac:dyDescent="0.25"/>
    <row r="1925" hidden="1" x14ac:dyDescent="0.25"/>
    <row r="1926" hidden="1" x14ac:dyDescent="0.25"/>
    <row r="1927" hidden="1" x14ac:dyDescent="0.25"/>
    <row r="1928" hidden="1" x14ac:dyDescent="0.25"/>
    <row r="1929" hidden="1" x14ac:dyDescent="0.25"/>
    <row r="1930" hidden="1" x14ac:dyDescent="0.25"/>
    <row r="1931" hidden="1" x14ac:dyDescent="0.25"/>
    <row r="1932" hidden="1" x14ac:dyDescent="0.25"/>
    <row r="1933" hidden="1" x14ac:dyDescent="0.25"/>
    <row r="1934" hidden="1" x14ac:dyDescent="0.25"/>
    <row r="1935" hidden="1" x14ac:dyDescent="0.25"/>
    <row r="1936" hidden="1" x14ac:dyDescent="0.25"/>
    <row r="1937" hidden="1" x14ac:dyDescent="0.25"/>
    <row r="1938" hidden="1" x14ac:dyDescent="0.25"/>
    <row r="1939" hidden="1" x14ac:dyDescent="0.25"/>
    <row r="1940" hidden="1" x14ac:dyDescent="0.25"/>
    <row r="1941" hidden="1" x14ac:dyDescent="0.25"/>
    <row r="1942" hidden="1" x14ac:dyDescent="0.25"/>
    <row r="1943" hidden="1" x14ac:dyDescent="0.25"/>
    <row r="1944" hidden="1" x14ac:dyDescent="0.25"/>
    <row r="1945" hidden="1" x14ac:dyDescent="0.25"/>
    <row r="1946" hidden="1" x14ac:dyDescent="0.25"/>
    <row r="1947" hidden="1" x14ac:dyDescent="0.25"/>
    <row r="1948" hidden="1" x14ac:dyDescent="0.25"/>
    <row r="1949" hidden="1" x14ac:dyDescent="0.25"/>
    <row r="1950" hidden="1" x14ac:dyDescent="0.25"/>
    <row r="1951" hidden="1" x14ac:dyDescent="0.25"/>
    <row r="1952" hidden="1" x14ac:dyDescent="0.25"/>
    <row r="1953" hidden="1" x14ac:dyDescent="0.25"/>
    <row r="1954" hidden="1" x14ac:dyDescent="0.25"/>
    <row r="1955" hidden="1" x14ac:dyDescent="0.25"/>
    <row r="1956" hidden="1" x14ac:dyDescent="0.25"/>
    <row r="1957" hidden="1" x14ac:dyDescent="0.25"/>
    <row r="1958" hidden="1" x14ac:dyDescent="0.25"/>
    <row r="1959" hidden="1" x14ac:dyDescent="0.25"/>
    <row r="1960" hidden="1" x14ac:dyDescent="0.25"/>
    <row r="1961" hidden="1" x14ac:dyDescent="0.25"/>
    <row r="1962" hidden="1" x14ac:dyDescent="0.25"/>
    <row r="1963" hidden="1" x14ac:dyDescent="0.25"/>
    <row r="1964" hidden="1" x14ac:dyDescent="0.25"/>
    <row r="1965" hidden="1" x14ac:dyDescent="0.25"/>
    <row r="1966" hidden="1" x14ac:dyDescent="0.25"/>
    <row r="1967" hidden="1" x14ac:dyDescent="0.25"/>
    <row r="1968" hidden="1" x14ac:dyDescent="0.25"/>
    <row r="1969" hidden="1" x14ac:dyDescent="0.25"/>
    <row r="1970" hidden="1" x14ac:dyDescent="0.25"/>
    <row r="1971" hidden="1" x14ac:dyDescent="0.25"/>
    <row r="1972" hidden="1" x14ac:dyDescent="0.25"/>
    <row r="1973" hidden="1" x14ac:dyDescent="0.25"/>
    <row r="1974" hidden="1" x14ac:dyDescent="0.25"/>
    <row r="1975" hidden="1" x14ac:dyDescent="0.25"/>
    <row r="1976" hidden="1" x14ac:dyDescent="0.25"/>
    <row r="1977" hidden="1" x14ac:dyDescent="0.25"/>
    <row r="1978" hidden="1" x14ac:dyDescent="0.25"/>
    <row r="1979" hidden="1" x14ac:dyDescent="0.25"/>
    <row r="1980" hidden="1" x14ac:dyDescent="0.25"/>
    <row r="1981" hidden="1" x14ac:dyDescent="0.25"/>
    <row r="1982" hidden="1" x14ac:dyDescent="0.25"/>
    <row r="1983" hidden="1" x14ac:dyDescent="0.25"/>
    <row r="1984" hidden="1" x14ac:dyDescent="0.25"/>
    <row r="1985" hidden="1" x14ac:dyDescent="0.25"/>
    <row r="1986" hidden="1" x14ac:dyDescent="0.25"/>
    <row r="1987" hidden="1" x14ac:dyDescent="0.25"/>
    <row r="1988" hidden="1" x14ac:dyDescent="0.25"/>
    <row r="1989" hidden="1" x14ac:dyDescent="0.25"/>
    <row r="1990" hidden="1" x14ac:dyDescent="0.25"/>
    <row r="1991" hidden="1" x14ac:dyDescent="0.25"/>
    <row r="1992" hidden="1" x14ac:dyDescent="0.25"/>
    <row r="1993" hidden="1" x14ac:dyDescent="0.25"/>
    <row r="1994" hidden="1" x14ac:dyDescent="0.25"/>
    <row r="1995" hidden="1" x14ac:dyDescent="0.25"/>
    <row r="1996" hidden="1" x14ac:dyDescent="0.25"/>
    <row r="1997" hidden="1" x14ac:dyDescent="0.25"/>
    <row r="1998" hidden="1" x14ac:dyDescent="0.25"/>
    <row r="1999" hidden="1" x14ac:dyDescent="0.25"/>
    <row r="2000" hidden="1" x14ac:dyDescent="0.25"/>
    <row r="2001" hidden="1" x14ac:dyDescent="0.25"/>
    <row r="2002" hidden="1" x14ac:dyDescent="0.25"/>
    <row r="2003" hidden="1" x14ac:dyDescent="0.25"/>
    <row r="2004" hidden="1" x14ac:dyDescent="0.25"/>
    <row r="2005" hidden="1" x14ac:dyDescent="0.25"/>
    <row r="2006" hidden="1" x14ac:dyDescent="0.25"/>
    <row r="2007" hidden="1" x14ac:dyDescent="0.25"/>
    <row r="2008" hidden="1" x14ac:dyDescent="0.25"/>
    <row r="2009" hidden="1" x14ac:dyDescent="0.25"/>
    <row r="2010" hidden="1" x14ac:dyDescent="0.25"/>
    <row r="2011" hidden="1" x14ac:dyDescent="0.25"/>
    <row r="2012" hidden="1" x14ac:dyDescent="0.25"/>
    <row r="2013" hidden="1" x14ac:dyDescent="0.25"/>
    <row r="2014" hidden="1" x14ac:dyDescent="0.25"/>
    <row r="2015" hidden="1" x14ac:dyDescent="0.25"/>
    <row r="2016" hidden="1" x14ac:dyDescent="0.25"/>
    <row r="2017" hidden="1" x14ac:dyDescent="0.25"/>
    <row r="2018" hidden="1" x14ac:dyDescent="0.25"/>
    <row r="2019" hidden="1" x14ac:dyDescent="0.25"/>
    <row r="2020" hidden="1" x14ac:dyDescent="0.25"/>
    <row r="2021" hidden="1" x14ac:dyDescent="0.25"/>
    <row r="2022" hidden="1" x14ac:dyDescent="0.25"/>
    <row r="2023" hidden="1" x14ac:dyDescent="0.25"/>
    <row r="2024" hidden="1" x14ac:dyDescent="0.25"/>
    <row r="2025" hidden="1" x14ac:dyDescent="0.25"/>
    <row r="2026" hidden="1" x14ac:dyDescent="0.25"/>
    <row r="2027" hidden="1" x14ac:dyDescent="0.25"/>
    <row r="2028" hidden="1" x14ac:dyDescent="0.25"/>
    <row r="2029" hidden="1" x14ac:dyDescent="0.25"/>
    <row r="2030" hidden="1" x14ac:dyDescent="0.25"/>
    <row r="2031" hidden="1" x14ac:dyDescent="0.25"/>
    <row r="2032" hidden="1" x14ac:dyDescent="0.25"/>
    <row r="2033" hidden="1" x14ac:dyDescent="0.25"/>
    <row r="2034" hidden="1" x14ac:dyDescent="0.25"/>
    <row r="2035" hidden="1" x14ac:dyDescent="0.25"/>
    <row r="2036" hidden="1" x14ac:dyDescent="0.25"/>
    <row r="2037" hidden="1" x14ac:dyDescent="0.25"/>
    <row r="2038" hidden="1" x14ac:dyDescent="0.25"/>
    <row r="2039" hidden="1" x14ac:dyDescent="0.25"/>
    <row r="2040" hidden="1" x14ac:dyDescent="0.25"/>
    <row r="2041" hidden="1" x14ac:dyDescent="0.25"/>
    <row r="2042" hidden="1" x14ac:dyDescent="0.25"/>
    <row r="2043" hidden="1" x14ac:dyDescent="0.25"/>
    <row r="2044" hidden="1" x14ac:dyDescent="0.25"/>
    <row r="2045" hidden="1" x14ac:dyDescent="0.25"/>
    <row r="2046" hidden="1" x14ac:dyDescent="0.25"/>
    <row r="2047" hidden="1" x14ac:dyDescent="0.25"/>
    <row r="2048" hidden="1" x14ac:dyDescent="0.25"/>
    <row r="2049" hidden="1" x14ac:dyDescent="0.25"/>
    <row r="2050" hidden="1" x14ac:dyDescent="0.25"/>
    <row r="2051" hidden="1" x14ac:dyDescent="0.25"/>
  </sheetData>
  <autoFilter ref="A1:K1"/>
  <conditionalFormatting sqref="B2:B4">
    <cfRule type="duplicateValues" dxfId="2018" priority="22"/>
  </conditionalFormatting>
  <conditionalFormatting sqref="C3:I4 C2 I2 E2:G2">
    <cfRule type="cellIs" dxfId="2017" priority="23" operator="equal">
      <formula>"LOA"</formula>
    </cfRule>
    <cfRule type="cellIs" dxfId="2016" priority="24" operator="equal">
      <formula>"off"</formula>
    </cfRule>
    <cfRule type="cellIs" dxfId="2015" priority="25" operator="equal">
      <formula>"vac"</formula>
    </cfRule>
  </conditionalFormatting>
  <conditionalFormatting sqref="H2">
    <cfRule type="cellIs" dxfId="2014" priority="21" operator="equal">
      <formula>"off"</formula>
    </cfRule>
  </conditionalFormatting>
  <conditionalFormatting sqref="H2">
    <cfRule type="cellIs" dxfId="2013" priority="19" operator="equal">
      <formula>"vac"</formula>
    </cfRule>
  </conditionalFormatting>
  <conditionalFormatting sqref="H2">
    <cfRule type="cellIs" dxfId="2012" priority="20" operator="equal">
      <formula>"LOA"</formula>
    </cfRule>
  </conditionalFormatting>
  <conditionalFormatting sqref="H2">
    <cfRule type="cellIs" dxfId="2011" priority="14" operator="equal">
      <formula>"Approved Off"</formula>
    </cfRule>
    <cfRule type="cellIs" dxfId="2010" priority="15" operator="equal">
      <formula>"LOA"</formula>
    </cfRule>
    <cfRule type="cellIs" dxfId="2009" priority="16" operator="equal">
      <formula>"nesting"</formula>
    </cfRule>
    <cfRule type="cellIs" dxfId="2008" priority="17" operator="equal">
      <formula>"off"</formula>
    </cfRule>
    <cfRule type="cellIs" dxfId="2007" priority="18" operator="equal">
      <formula>"vac"</formula>
    </cfRule>
  </conditionalFormatting>
  <conditionalFormatting sqref="H2">
    <cfRule type="cellIs" dxfId="2006" priority="13" operator="equal">
      <formula>"Study Day"</formula>
    </cfRule>
  </conditionalFormatting>
  <conditionalFormatting sqref="H2">
    <cfRule type="cellIs" dxfId="2005" priority="12" operator="equal">
      <formula>"FER"</formula>
    </cfRule>
  </conditionalFormatting>
  <conditionalFormatting sqref="H2">
    <cfRule type="cellIs" dxfId="2004" priority="11" operator="equal">
      <formula>"Pending Term"</formula>
    </cfRule>
  </conditionalFormatting>
  <conditionalFormatting sqref="D2">
    <cfRule type="cellIs" dxfId="2003" priority="6" operator="equal">
      <formula>"Approved Off"</formula>
    </cfRule>
    <cfRule type="cellIs" dxfId="2002" priority="7" operator="equal">
      <formula>"LOA"</formula>
    </cfRule>
    <cfRule type="cellIs" dxfId="2001" priority="8" operator="equal">
      <formula>"nesting"</formula>
    </cfRule>
    <cfRule type="cellIs" dxfId="2000" priority="9" operator="equal">
      <formula>"off"</formula>
    </cfRule>
    <cfRule type="cellIs" dxfId="1999" priority="10" operator="equal">
      <formula>"vac"</formula>
    </cfRule>
  </conditionalFormatting>
  <conditionalFormatting sqref="D2">
    <cfRule type="cellIs" dxfId="1998" priority="5" operator="equal">
      <formula>"Study Day"</formula>
    </cfRule>
  </conditionalFormatting>
  <conditionalFormatting sqref="D2">
    <cfRule type="cellIs" dxfId="1997" priority="4" operator="equal">
      <formula>"FER"</formula>
    </cfRule>
  </conditionalFormatting>
  <conditionalFormatting sqref="D2">
    <cfRule type="cellIs" dxfId="1996" priority="3" operator="equal">
      <formula>"Pending Term"</formula>
    </cfRule>
  </conditionalFormatting>
  <conditionalFormatting sqref="D2">
    <cfRule type="cellIs" dxfId="1995" priority="2" operator="equal">
      <formula>"off"</formula>
    </cfRule>
  </conditionalFormatting>
  <conditionalFormatting sqref="D2">
    <cfRule type="cellIs" dxfId="1994" priority="1" operator="equal">
      <formula>"LOA"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showGridLines="0" zoomScale="70" zoomScaleNormal="70" workbookViewId="0">
      <selection sqref="A1:O1"/>
    </sheetView>
  </sheetViews>
  <sheetFormatPr defaultColWidth="0" defaultRowHeight="15" x14ac:dyDescent="0.25"/>
  <cols>
    <col min="1" max="1" width="33.5703125" bestFit="1" customWidth="1"/>
    <col min="2" max="2" width="38.85546875" customWidth="1"/>
    <col min="3" max="3" width="14" bestFit="1" customWidth="1"/>
    <col min="4" max="4" width="11.42578125" customWidth="1"/>
    <col min="5" max="7" width="21" hidden="1" customWidth="1"/>
    <col min="8" max="8" width="33.5703125" bestFit="1" customWidth="1"/>
    <col min="9" max="9" width="38.85546875" customWidth="1"/>
    <col min="10" max="10" width="9.7109375" customWidth="1"/>
    <col min="11" max="11" width="11.42578125" customWidth="1"/>
    <col min="12" max="13" width="15" customWidth="1"/>
    <col min="14" max="14" width="14.85546875" customWidth="1"/>
    <col min="15" max="15" width="12.140625" customWidth="1"/>
    <col min="16" max="27" width="19.28515625" customWidth="1"/>
    <col min="28" max="28" width="14.85546875" customWidth="1"/>
    <col min="29" max="29" width="12.140625" customWidth="1"/>
    <col min="30" max="31" width="11.42578125" customWidth="1"/>
    <col min="32" max="32" width="3.7109375" customWidth="1"/>
    <col min="33" max="16384" width="11.42578125" hidden="1"/>
  </cols>
  <sheetData>
    <row r="1" spans="1:15" x14ac:dyDescent="0.25">
      <c r="A1" s="134" t="s">
        <v>82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</row>
    <row r="3" spans="1:15" x14ac:dyDescent="0.25">
      <c r="A3" s="93" t="s">
        <v>0</v>
      </c>
      <c r="B3" s="93" t="s">
        <v>1</v>
      </c>
      <c r="C3" s="100" t="s">
        <v>70</v>
      </c>
      <c r="D3" s="100" t="s">
        <v>69</v>
      </c>
      <c r="E3" s="94"/>
      <c r="F3" s="94"/>
      <c r="G3" s="94"/>
      <c r="H3" s="93" t="s">
        <v>0</v>
      </c>
      <c r="I3" s="93" t="s">
        <v>1</v>
      </c>
      <c r="J3" s="100" t="s">
        <v>68</v>
      </c>
      <c r="K3" s="100" t="s">
        <v>69</v>
      </c>
    </row>
    <row r="4" spans="1:15" x14ac:dyDescent="0.25">
      <c r="A4" s="132" t="s">
        <v>71</v>
      </c>
      <c r="B4" s="106" t="s">
        <v>76</v>
      </c>
      <c r="C4" s="98">
        <v>20</v>
      </c>
      <c r="D4" s="99">
        <v>6.1162079510703363E-2</v>
      </c>
      <c r="E4" s="97"/>
      <c r="F4" s="97"/>
      <c r="G4" s="97"/>
      <c r="H4" s="130" t="s">
        <v>71</v>
      </c>
      <c r="I4" s="106" t="s">
        <v>73</v>
      </c>
      <c r="J4" s="95">
        <v>21</v>
      </c>
      <c r="K4" s="96">
        <v>0.10144927536231885</v>
      </c>
    </row>
    <row r="5" spans="1:15" x14ac:dyDescent="0.25">
      <c r="A5" s="133"/>
      <c r="B5" s="106" t="s">
        <v>73</v>
      </c>
      <c r="C5" s="98">
        <v>21</v>
      </c>
      <c r="D5" s="99">
        <v>6.4220183486238536E-2</v>
      </c>
      <c r="E5" s="97"/>
      <c r="F5" s="97"/>
      <c r="G5" s="97"/>
      <c r="H5" s="131"/>
      <c r="I5" s="106" t="s">
        <v>78</v>
      </c>
      <c r="J5" s="95">
        <v>21</v>
      </c>
      <c r="K5" s="96">
        <v>0.10144927536231885</v>
      </c>
    </row>
    <row r="6" spans="1:15" x14ac:dyDescent="0.25">
      <c r="A6" s="133"/>
      <c r="B6" s="106" t="s">
        <v>78</v>
      </c>
      <c r="C6" s="98">
        <v>21</v>
      </c>
      <c r="D6" s="99">
        <v>6.4220183486238536E-2</v>
      </c>
      <c r="E6" s="97"/>
      <c r="F6" s="97"/>
      <c r="G6" s="97"/>
      <c r="H6" s="131"/>
      <c r="I6" s="106" t="s">
        <v>76</v>
      </c>
      <c r="J6" s="95">
        <v>20</v>
      </c>
      <c r="K6" s="96">
        <v>9.6618357487922704E-2</v>
      </c>
    </row>
    <row r="7" spans="1:15" x14ac:dyDescent="0.25">
      <c r="A7" s="133"/>
      <c r="B7" s="106" t="s">
        <v>83</v>
      </c>
      <c r="C7" s="98">
        <v>19</v>
      </c>
      <c r="D7" s="99">
        <v>5.8103975535168197E-2</v>
      </c>
      <c r="E7" s="97"/>
      <c r="F7" s="97"/>
      <c r="G7" s="97"/>
      <c r="H7" s="131"/>
      <c r="I7" s="106" t="s">
        <v>83</v>
      </c>
      <c r="J7" s="95">
        <v>19</v>
      </c>
      <c r="K7" s="96">
        <v>9.1787439613526575E-2</v>
      </c>
    </row>
    <row r="8" spans="1:15" x14ac:dyDescent="0.25">
      <c r="A8" s="133"/>
      <c r="B8" s="106" t="s">
        <v>88</v>
      </c>
      <c r="C8" s="98">
        <v>16</v>
      </c>
      <c r="D8" s="99">
        <v>4.8929663608562692E-2</v>
      </c>
      <c r="E8" s="97"/>
      <c r="F8" s="97"/>
      <c r="G8" s="97"/>
      <c r="H8" s="131"/>
      <c r="I8" s="106" t="s">
        <v>88</v>
      </c>
      <c r="J8" s="95">
        <v>16</v>
      </c>
      <c r="K8" s="96">
        <v>7.7294685990338161E-2</v>
      </c>
    </row>
    <row r="9" spans="1:15" x14ac:dyDescent="0.25">
      <c r="A9" s="133"/>
      <c r="B9" s="106" t="s">
        <v>101</v>
      </c>
      <c r="C9" s="98">
        <v>9</v>
      </c>
      <c r="D9" s="99">
        <v>2.7522935779816515E-2</v>
      </c>
      <c r="E9" s="97"/>
      <c r="F9" s="97"/>
      <c r="G9" s="97"/>
      <c r="H9" s="130" t="s">
        <v>81</v>
      </c>
      <c r="I9" s="131"/>
      <c r="J9" s="95">
        <v>97</v>
      </c>
      <c r="K9" s="96">
        <v>0.46859903381642515</v>
      </c>
    </row>
    <row r="10" spans="1:15" x14ac:dyDescent="0.25">
      <c r="A10" s="132" t="s">
        <v>81</v>
      </c>
      <c r="B10" s="133"/>
      <c r="C10" s="95">
        <v>106</v>
      </c>
      <c r="D10" s="96">
        <v>0.32415902140672781</v>
      </c>
      <c r="E10" s="97"/>
      <c r="F10" s="97"/>
      <c r="G10" s="97"/>
      <c r="H10" s="130" t="s">
        <v>74</v>
      </c>
      <c r="I10" s="106" t="s">
        <v>77</v>
      </c>
      <c r="J10" s="95">
        <v>19</v>
      </c>
      <c r="K10" s="96">
        <v>9.1787439613526575E-2</v>
      </c>
    </row>
    <row r="11" spans="1:15" x14ac:dyDescent="0.25">
      <c r="A11" s="132" t="s">
        <v>74</v>
      </c>
      <c r="B11" s="106" t="s">
        <v>72</v>
      </c>
      <c r="C11" s="98">
        <v>18</v>
      </c>
      <c r="D11" s="99">
        <v>5.5045871559633031E-2</v>
      </c>
      <c r="E11" s="97"/>
      <c r="F11" s="97"/>
      <c r="G11" s="97"/>
      <c r="H11" s="131"/>
      <c r="I11" s="106" t="s">
        <v>75</v>
      </c>
      <c r="J11" s="95">
        <v>19</v>
      </c>
      <c r="K11" s="96">
        <v>9.1787439613526575E-2</v>
      </c>
    </row>
    <row r="12" spans="1:15" x14ac:dyDescent="0.25">
      <c r="A12" s="133"/>
      <c r="B12" s="106" t="s">
        <v>77</v>
      </c>
      <c r="C12" s="98">
        <v>19</v>
      </c>
      <c r="D12" s="99">
        <v>5.8103975535168197E-2</v>
      </c>
      <c r="E12" s="97"/>
      <c r="F12" s="97"/>
      <c r="G12" s="97"/>
      <c r="H12" s="131"/>
      <c r="I12" s="106" t="s">
        <v>72</v>
      </c>
      <c r="J12" s="95">
        <v>18</v>
      </c>
      <c r="K12" s="96">
        <v>8.6956521739130432E-2</v>
      </c>
    </row>
    <row r="13" spans="1:15" x14ac:dyDescent="0.25">
      <c r="A13" s="133"/>
      <c r="B13" s="106" t="s">
        <v>85</v>
      </c>
      <c r="C13" s="98">
        <v>17</v>
      </c>
      <c r="D13" s="99">
        <v>5.1987767584097858E-2</v>
      </c>
      <c r="E13" s="97"/>
      <c r="F13" s="97"/>
      <c r="G13" s="97"/>
      <c r="H13" s="131"/>
      <c r="I13" s="106" t="s">
        <v>85</v>
      </c>
      <c r="J13" s="95">
        <v>17</v>
      </c>
      <c r="K13" s="96">
        <v>8.2125603864734303E-2</v>
      </c>
    </row>
    <row r="14" spans="1:15" x14ac:dyDescent="0.25">
      <c r="A14" s="133"/>
      <c r="B14" s="106" t="s">
        <v>75</v>
      </c>
      <c r="C14" s="98">
        <v>19</v>
      </c>
      <c r="D14" s="99">
        <v>5.8103975535168197E-2</v>
      </c>
      <c r="E14" s="97"/>
      <c r="F14" s="97"/>
      <c r="G14" s="97"/>
      <c r="H14" s="130" t="s">
        <v>99</v>
      </c>
      <c r="I14" s="131"/>
      <c r="J14" s="95">
        <v>73</v>
      </c>
      <c r="K14" s="96">
        <v>0.35265700483091789</v>
      </c>
    </row>
    <row r="15" spans="1:15" x14ac:dyDescent="0.25">
      <c r="A15" s="133"/>
      <c r="B15" s="106" t="s">
        <v>94</v>
      </c>
      <c r="C15" s="98">
        <v>20</v>
      </c>
      <c r="D15" s="99">
        <v>6.1162079510703363E-2</v>
      </c>
      <c r="E15" s="97"/>
      <c r="F15" s="97"/>
      <c r="G15" s="97"/>
      <c r="H15" s="130" t="s">
        <v>97</v>
      </c>
      <c r="I15" s="106" t="s">
        <v>87</v>
      </c>
      <c r="J15" s="95">
        <v>21</v>
      </c>
      <c r="K15" s="96">
        <v>0.10144927536231885</v>
      </c>
    </row>
    <row r="16" spans="1:15" x14ac:dyDescent="0.25">
      <c r="A16" s="133"/>
      <c r="B16" s="106" t="s">
        <v>102</v>
      </c>
      <c r="C16" s="98">
        <v>14</v>
      </c>
      <c r="D16" s="99">
        <v>4.2813455657492352E-2</v>
      </c>
      <c r="E16" s="97"/>
      <c r="F16" s="97"/>
      <c r="G16" s="97"/>
      <c r="H16" s="131"/>
      <c r="I16" s="106" t="s">
        <v>86</v>
      </c>
      <c r="J16" s="95">
        <v>16</v>
      </c>
      <c r="K16" s="96">
        <v>7.7294685990338161E-2</v>
      </c>
    </row>
    <row r="17" spans="1:11" x14ac:dyDescent="0.25">
      <c r="A17" s="133"/>
      <c r="B17" s="106" t="s">
        <v>103</v>
      </c>
      <c r="C17" s="98">
        <v>13</v>
      </c>
      <c r="D17" s="99">
        <v>3.9755351681957186E-2</v>
      </c>
      <c r="E17" s="97"/>
      <c r="F17" s="97"/>
      <c r="G17" s="97"/>
      <c r="H17" s="130" t="s">
        <v>100</v>
      </c>
      <c r="I17" s="131"/>
      <c r="J17" s="95">
        <v>37</v>
      </c>
      <c r="K17" s="96">
        <v>0.17874396135265699</v>
      </c>
    </row>
    <row r="18" spans="1:11" x14ac:dyDescent="0.25">
      <c r="A18" s="132" t="s">
        <v>99</v>
      </c>
      <c r="B18" s="133"/>
      <c r="C18" s="95">
        <v>120</v>
      </c>
      <c r="D18" s="96">
        <v>0.3669724770642202</v>
      </c>
      <c r="E18" s="97"/>
      <c r="F18" s="97"/>
      <c r="G18" s="97"/>
      <c r="H18" s="130" t="s">
        <v>80</v>
      </c>
      <c r="I18" s="131"/>
      <c r="J18" s="95">
        <v>207</v>
      </c>
      <c r="K18" s="96">
        <v>1</v>
      </c>
    </row>
    <row r="19" spans="1:11" x14ac:dyDescent="0.25">
      <c r="A19" s="132" t="s">
        <v>97</v>
      </c>
      <c r="B19" s="106" t="s">
        <v>86</v>
      </c>
      <c r="C19" s="98">
        <v>16</v>
      </c>
      <c r="D19" s="99">
        <v>4.8929663608562692E-2</v>
      </c>
      <c r="E19" s="97"/>
      <c r="F19" s="97"/>
      <c r="G19" s="97"/>
    </row>
    <row r="20" spans="1:11" x14ac:dyDescent="0.25">
      <c r="A20" s="133"/>
      <c r="B20" s="106" t="s">
        <v>87</v>
      </c>
      <c r="C20" s="98">
        <v>21</v>
      </c>
      <c r="D20" s="99">
        <v>6.4220183486238536E-2</v>
      </c>
      <c r="E20" s="97"/>
      <c r="F20" s="97"/>
      <c r="G20" s="97"/>
    </row>
    <row r="21" spans="1:11" x14ac:dyDescent="0.25">
      <c r="A21" s="133"/>
      <c r="B21" s="106" t="s">
        <v>91</v>
      </c>
      <c r="C21" s="98">
        <v>17</v>
      </c>
      <c r="D21" s="99">
        <v>5.1987767584097858E-2</v>
      </c>
      <c r="E21" s="97"/>
      <c r="F21" s="97"/>
      <c r="G21" s="97"/>
    </row>
    <row r="22" spans="1:11" x14ac:dyDescent="0.25">
      <c r="A22" s="133"/>
      <c r="B22" s="106" t="s">
        <v>92</v>
      </c>
      <c r="C22" s="98">
        <v>19</v>
      </c>
      <c r="D22" s="99">
        <v>5.8103975535168197E-2</v>
      </c>
      <c r="E22" s="97"/>
      <c r="F22" s="97"/>
      <c r="G22" s="97"/>
    </row>
    <row r="23" spans="1:11" x14ac:dyDescent="0.25">
      <c r="A23" s="133"/>
      <c r="B23" s="106" t="s">
        <v>95</v>
      </c>
      <c r="C23" s="98">
        <v>19</v>
      </c>
      <c r="D23" s="99">
        <v>5.8103975535168197E-2</v>
      </c>
    </row>
    <row r="24" spans="1:11" x14ac:dyDescent="0.25">
      <c r="A24" s="133"/>
      <c r="B24" s="106" t="s">
        <v>1570</v>
      </c>
      <c r="C24" s="98">
        <v>9</v>
      </c>
      <c r="D24" s="99">
        <v>2.7522935779816515E-2</v>
      </c>
    </row>
    <row r="25" spans="1:11" x14ac:dyDescent="0.25">
      <c r="A25" s="132" t="s">
        <v>100</v>
      </c>
      <c r="B25" s="133"/>
      <c r="C25" s="95">
        <v>101</v>
      </c>
      <c r="D25" s="96">
        <v>0.30886850152905199</v>
      </c>
    </row>
    <row r="26" spans="1:11" x14ac:dyDescent="0.25">
      <c r="A26" s="130" t="s">
        <v>80</v>
      </c>
      <c r="B26" s="131"/>
      <c r="C26" s="98">
        <v>327</v>
      </c>
      <c r="D26" s="99">
        <v>1</v>
      </c>
    </row>
  </sheetData>
  <dataConsolidate/>
  <mergeCells count="15">
    <mergeCell ref="A19:A24"/>
    <mergeCell ref="A25:B25"/>
    <mergeCell ref="A26:B26"/>
    <mergeCell ref="A1:O1"/>
    <mergeCell ref="H17:I17"/>
    <mergeCell ref="H18:I18"/>
    <mergeCell ref="A4:A9"/>
    <mergeCell ref="A10:B10"/>
    <mergeCell ref="A11:A17"/>
    <mergeCell ref="A18:B18"/>
    <mergeCell ref="H4:H8"/>
    <mergeCell ref="H9:I9"/>
    <mergeCell ref="H10:H13"/>
    <mergeCell ref="H14:I14"/>
    <mergeCell ref="H15:H16"/>
  </mergeCell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303"/>
  <sheetViews>
    <sheetView showGridLines="0" zoomScale="70" zoomScaleNormal="70" workbookViewId="0">
      <pane ySplit="1" topLeftCell="A2" activePane="bottomLeft" state="frozen"/>
      <selection pane="bottomLeft" activeCell="A2" sqref="A2"/>
    </sheetView>
  </sheetViews>
  <sheetFormatPr defaultColWidth="0" defaultRowHeight="15" x14ac:dyDescent="0.25"/>
  <cols>
    <col min="1" max="1" width="28.85546875" style="5" bestFit="1" customWidth="1"/>
    <col min="2" max="2" width="34.85546875" style="5" bestFit="1" customWidth="1"/>
    <col min="3" max="4" width="23.5703125" style="5" customWidth="1"/>
    <col min="5" max="11" width="15.85546875" style="5" customWidth="1"/>
    <col min="12" max="12" width="40" style="5" customWidth="1"/>
    <col min="13" max="22" width="15.85546875" style="5" customWidth="1"/>
    <col min="23" max="25" width="12.28515625" style="5" customWidth="1"/>
    <col min="26" max="26" width="13.7109375" style="5" customWidth="1"/>
    <col min="27" max="27" width="16" style="5" customWidth="1"/>
    <col min="28" max="28" width="16.42578125" style="5" customWidth="1"/>
    <col min="29" max="30" width="12.28515625" style="5" customWidth="1"/>
    <col min="31" max="32" width="18.85546875" style="5" customWidth="1"/>
    <col min="33" max="33" width="16.7109375" style="5" customWidth="1"/>
    <col min="34" max="34" width="12.28515625" style="5" customWidth="1"/>
    <col min="35" max="36" width="18.85546875" style="5" customWidth="1"/>
    <col min="37" max="39" width="14.140625" style="5" customWidth="1"/>
    <col min="40" max="40" width="15.28515625" style="5" customWidth="1"/>
    <col min="41" max="41" width="22" style="5" bestFit="1" customWidth="1"/>
    <col min="42" max="42" width="6.7109375" style="5" hidden="1" customWidth="1"/>
    <col min="43" max="43" width="4" style="4" customWidth="1"/>
    <col min="44" max="44" width="6.7109375" style="4" hidden="1" customWidth="1"/>
    <col min="45" max="53" width="0" style="4" hidden="1" customWidth="1"/>
    <col min="54" max="16384" width="5.5703125" style="4" hidden="1"/>
  </cols>
  <sheetData>
    <row r="1" spans="1:42" customFormat="1" ht="39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33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34</v>
      </c>
      <c r="Y1" s="2" t="s">
        <v>22</v>
      </c>
      <c r="Z1" s="2" t="s">
        <v>23</v>
      </c>
      <c r="AA1" s="2" t="s">
        <v>24</v>
      </c>
      <c r="AB1" s="2" t="s">
        <v>35</v>
      </c>
      <c r="AC1" s="2" t="s">
        <v>36</v>
      </c>
      <c r="AD1" s="2" t="s">
        <v>25</v>
      </c>
      <c r="AE1" s="2" t="s">
        <v>66</v>
      </c>
      <c r="AF1" s="2" t="s">
        <v>39</v>
      </c>
      <c r="AG1" s="2" t="s">
        <v>26</v>
      </c>
      <c r="AH1" s="2" t="s">
        <v>27</v>
      </c>
      <c r="AI1" s="2" t="s">
        <v>28</v>
      </c>
      <c r="AJ1" s="2" t="s">
        <v>29</v>
      </c>
      <c r="AK1" s="2" t="s">
        <v>38</v>
      </c>
      <c r="AL1" s="66" t="s">
        <v>37</v>
      </c>
      <c r="AM1" s="66" t="s">
        <v>30</v>
      </c>
      <c r="AN1" s="66" t="s">
        <v>43</v>
      </c>
      <c r="AO1" s="3" t="s">
        <v>64</v>
      </c>
      <c r="AP1" s="43" t="s">
        <v>47</v>
      </c>
    </row>
    <row r="2" spans="1:42" x14ac:dyDescent="0.25">
      <c r="A2" s="44" t="str">
        <f>'Agents'' Final Roster 0823-0829'!A2</f>
        <v>Campero Juarez Maria Guadalupe</v>
      </c>
      <c r="B2" s="39" t="str">
        <f>'Agents'' Final Roster 0823-0829'!B2</f>
        <v>Arias Juan José</v>
      </c>
      <c r="C2" s="39" t="str">
        <f>'Agents'' Final Roster 0823-0829'!C2</f>
        <v xml:space="preserve"> Bautista Boloña</v>
      </c>
      <c r="D2" s="39" t="str">
        <f>'Agents'' Final Roster 0823-0829'!D2</f>
        <v>Luciana Florencia</v>
      </c>
      <c r="E2" s="39"/>
      <c r="F2" s="39"/>
      <c r="G2" s="39"/>
      <c r="H2" s="39"/>
      <c r="I2" s="39"/>
      <c r="J2" s="39"/>
      <c r="K2" s="39"/>
      <c r="L2" s="45"/>
      <c r="M2" s="45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 t="str">
        <f>'Agents'' Final Roster 0823-0829'!Z2</f>
        <v>CSV2</v>
      </c>
      <c r="AA2" s="39"/>
      <c r="AB2" s="39"/>
      <c r="AC2" s="39"/>
      <c r="AD2" s="39"/>
      <c r="AE2" s="39"/>
      <c r="AF2" s="39"/>
      <c r="AG2" s="39"/>
      <c r="AH2" s="39"/>
      <c r="AI2" s="39"/>
      <c r="AJ2" s="46"/>
      <c r="AK2" s="46"/>
      <c r="AL2" s="47"/>
      <c r="AM2" s="52"/>
      <c r="AN2" s="67"/>
      <c r="AO2" s="68"/>
      <c r="AP2" s="56"/>
    </row>
    <row r="3" spans="1:42" ht="15" customHeight="1" x14ac:dyDescent="0.25">
      <c r="A3" s="44" t="str">
        <f>'Agents'' Final Roster 0823-0829'!A3</f>
        <v>Campero Juarez Maria Guadalupe</v>
      </c>
      <c r="B3" s="39" t="str">
        <f>'Agents'' Final Roster 0823-0829'!B3</f>
        <v>Arias Juan José</v>
      </c>
      <c r="C3" s="39" t="str">
        <f>'Agents'' Final Roster 0823-0829'!C3</f>
        <v>Albornoz Perez</v>
      </c>
      <c r="D3" s="39" t="str">
        <f>'Agents'' Final Roster 0823-0829'!D3</f>
        <v>Jose Ezequiel</v>
      </c>
      <c r="E3" s="39"/>
      <c r="F3" s="39"/>
      <c r="G3" s="39"/>
      <c r="H3" s="39"/>
      <c r="I3" s="39"/>
      <c r="J3" s="39"/>
      <c r="K3" s="39"/>
      <c r="L3" s="45"/>
      <c r="M3" s="45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 t="str">
        <f>'Agents'' Final Roster 0823-0829'!Z3</f>
        <v>DVH</v>
      </c>
      <c r="AA3" s="39"/>
      <c r="AB3" s="39"/>
      <c r="AC3" s="39"/>
      <c r="AD3" s="39"/>
      <c r="AE3" s="39"/>
      <c r="AF3" s="39"/>
      <c r="AG3" s="39"/>
      <c r="AH3" s="39"/>
      <c r="AI3" s="39"/>
      <c r="AJ3" s="46"/>
      <c r="AK3" s="46"/>
      <c r="AL3" s="47"/>
      <c r="AM3" s="52"/>
      <c r="AN3" s="53"/>
      <c r="AO3" s="50"/>
      <c r="AP3" s="57"/>
    </row>
    <row r="4" spans="1:42" ht="15" customHeight="1" x14ac:dyDescent="0.25">
      <c r="A4" s="44" t="str">
        <f>'Agents'' Final Roster 0823-0829'!A4</f>
        <v>Campero Juarez Maria Guadalupe</v>
      </c>
      <c r="B4" s="39" t="str">
        <f>'Agents'' Final Roster 0823-0829'!B4</f>
        <v>Arias Juan José</v>
      </c>
      <c r="C4" s="39" t="str">
        <f>'Agents'' Final Roster 0823-0829'!C4</f>
        <v>Brito</v>
      </c>
      <c r="D4" s="39" t="str">
        <f>'Agents'' Final Roster 0823-0829'!D4</f>
        <v>Jesus Exequiel</v>
      </c>
      <c r="E4" s="39"/>
      <c r="F4" s="39"/>
      <c r="G4" s="39"/>
      <c r="H4" s="39"/>
      <c r="I4" s="39"/>
      <c r="J4" s="39"/>
      <c r="K4" s="39"/>
      <c r="L4" s="45"/>
      <c r="M4" s="45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 t="str">
        <f>'Agents'' Final Roster 0823-0829'!Z4</f>
        <v>CSV2</v>
      </c>
      <c r="AA4" s="39"/>
      <c r="AB4" s="39"/>
      <c r="AC4" s="39"/>
      <c r="AD4" s="39"/>
      <c r="AE4" s="39"/>
      <c r="AF4" s="39"/>
      <c r="AG4" s="39"/>
      <c r="AH4" s="39"/>
      <c r="AI4" s="39"/>
      <c r="AJ4" s="46"/>
      <c r="AK4" s="46"/>
      <c r="AL4" s="47"/>
      <c r="AM4" s="52"/>
      <c r="AN4" s="53"/>
      <c r="AO4" s="50"/>
      <c r="AP4" s="57"/>
    </row>
    <row r="5" spans="1:42" ht="15" customHeight="1" x14ac:dyDescent="0.25">
      <c r="A5" s="44" t="str">
        <f>'Agents'' Final Roster 0823-0829'!A5</f>
        <v>Campero Juarez Maria Guadalupe</v>
      </c>
      <c r="B5" s="39" t="str">
        <f>'Agents'' Final Roster 0823-0829'!B5</f>
        <v>Arias Juan José</v>
      </c>
      <c r="C5" s="39" t="str">
        <f>'Agents'' Final Roster 0823-0829'!C5</f>
        <v>Carabajal</v>
      </c>
      <c r="D5" s="39" t="str">
        <f>'Agents'' Final Roster 0823-0829'!D5</f>
        <v>Priscila Daiana</v>
      </c>
      <c r="E5" s="39"/>
      <c r="F5" s="39"/>
      <c r="G5" s="39"/>
      <c r="H5" s="39"/>
      <c r="I5" s="39"/>
      <c r="J5" s="39"/>
      <c r="K5" s="39"/>
      <c r="L5" s="45"/>
      <c r="M5" s="45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 t="str">
        <f>'Agents'' Final Roster 0823-0829'!Z5</f>
        <v>CSV3</v>
      </c>
      <c r="AA5" s="39"/>
      <c r="AB5" s="39"/>
      <c r="AC5" s="39"/>
      <c r="AD5" s="39"/>
      <c r="AE5" s="39"/>
      <c r="AF5" s="39"/>
      <c r="AG5" s="39"/>
      <c r="AH5" s="39"/>
      <c r="AI5" s="39"/>
      <c r="AJ5" s="46"/>
      <c r="AK5" s="46"/>
      <c r="AL5" s="47"/>
      <c r="AM5" s="52"/>
      <c r="AN5" s="53"/>
      <c r="AO5" s="50"/>
      <c r="AP5" s="57"/>
    </row>
    <row r="6" spans="1:42" ht="15" customHeight="1" x14ac:dyDescent="0.25">
      <c r="A6" s="44" t="str">
        <f>'Agents'' Final Roster 0823-0829'!A6</f>
        <v>Campero Juarez Maria Guadalupe</v>
      </c>
      <c r="B6" s="39" t="str">
        <f>'Agents'' Final Roster 0823-0829'!B6</f>
        <v>Arias Juan José</v>
      </c>
      <c r="C6" s="39" t="str">
        <f>'Agents'' Final Roster 0823-0829'!C6</f>
        <v>Casares</v>
      </c>
      <c r="D6" s="39" t="str">
        <f>'Agents'' Final Roster 0823-0829'!D6</f>
        <v>Diego Jesus</v>
      </c>
      <c r="E6" s="39"/>
      <c r="F6" s="39"/>
      <c r="G6" s="39"/>
      <c r="H6" s="39"/>
      <c r="I6" s="39"/>
      <c r="J6" s="39"/>
      <c r="K6" s="39"/>
      <c r="L6" s="45"/>
      <c r="M6" s="45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 t="str">
        <f>'Agents'' Final Roster 0823-0829'!Z6</f>
        <v>VIP</v>
      </c>
      <c r="AA6" s="39"/>
      <c r="AB6" s="39"/>
      <c r="AC6" s="39"/>
      <c r="AD6" s="39"/>
      <c r="AE6" s="39"/>
      <c r="AF6" s="39"/>
      <c r="AG6" s="39"/>
      <c r="AH6" s="39"/>
      <c r="AI6" s="39"/>
      <c r="AJ6" s="46"/>
      <c r="AK6" s="46"/>
      <c r="AL6" s="47"/>
      <c r="AM6" s="52"/>
      <c r="AN6" s="53"/>
      <c r="AO6" s="50"/>
      <c r="AP6" s="57"/>
    </row>
    <row r="7" spans="1:42" ht="15" customHeight="1" x14ac:dyDescent="0.25">
      <c r="A7" s="44" t="str">
        <f>'Agents'' Final Roster 0823-0829'!A7</f>
        <v>Campero Juarez Maria Guadalupe</v>
      </c>
      <c r="B7" s="39" t="str">
        <f>'Agents'' Final Roster 0823-0829'!B7</f>
        <v>Arias Juan José</v>
      </c>
      <c r="C7" s="39" t="str">
        <f>'Agents'' Final Roster 0823-0829'!C7</f>
        <v>Cisneros</v>
      </c>
      <c r="D7" s="39" t="str">
        <f>'Agents'' Final Roster 0823-0829'!D7</f>
        <v>Roxana Natalia</v>
      </c>
      <c r="E7" s="39"/>
      <c r="F7" s="39"/>
      <c r="G7" s="39"/>
      <c r="H7" s="39"/>
      <c r="I7" s="39"/>
      <c r="J7" s="39"/>
      <c r="K7" s="39"/>
      <c r="L7" s="45"/>
      <c r="M7" s="45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 t="str">
        <f>'Agents'' Final Roster 0823-0829'!Z7</f>
        <v>Servicios web</v>
      </c>
      <c r="AA7" s="39"/>
      <c r="AB7" s="39"/>
      <c r="AC7" s="39"/>
      <c r="AD7" s="39"/>
      <c r="AE7" s="39"/>
      <c r="AF7" s="39"/>
      <c r="AG7" s="39"/>
      <c r="AH7" s="39"/>
      <c r="AI7" s="39"/>
      <c r="AJ7" s="46"/>
      <c r="AK7" s="46"/>
      <c r="AL7" s="47"/>
      <c r="AM7" s="52"/>
      <c r="AN7" s="53"/>
      <c r="AO7" s="50"/>
      <c r="AP7" s="57"/>
    </row>
    <row r="8" spans="1:42" ht="15" customHeight="1" x14ac:dyDescent="0.25">
      <c r="A8" s="44" t="str">
        <f>'Agents'' Final Roster 0823-0829'!A8</f>
        <v>Campero Juarez Maria Guadalupe</v>
      </c>
      <c r="B8" s="39" t="str">
        <f>'Agents'' Final Roster 0823-0829'!B8</f>
        <v>Arias Juan José</v>
      </c>
      <c r="C8" s="39" t="str">
        <f>'Agents'' Final Roster 0823-0829'!C8</f>
        <v>Corbera</v>
      </c>
      <c r="D8" s="39" t="str">
        <f>'Agents'' Final Roster 0823-0829'!D8</f>
        <v>Elena Beatriz</v>
      </c>
      <c r="E8" s="39"/>
      <c r="F8" s="39"/>
      <c r="G8" s="39"/>
      <c r="H8" s="39"/>
      <c r="I8" s="39"/>
      <c r="J8" s="39"/>
      <c r="K8" s="39"/>
      <c r="L8" s="45"/>
      <c r="M8" s="45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 t="str">
        <f>'Agents'' Final Roster 0823-0829'!Z8</f>
        <v>CSV2</v>
      </c>
      <c r="AA8" s="39"/>
      <c r="AB8" s="39"/>
      <c r="AC8" s="39"/>
      <c r="AD8" s="39"/>
      <c r="AE8" s="39"/>
      <c r="AF8" s="39"/>
      <c r="AG8" s="39"/>
      <c r="AH8" s="39"/>
      <c r="AI8" s="39"/>
      <c r="AJ8" s="46"/>
      <c r="AK8" s="46"/>
      <c r="AL8" s="47"/>
      <c r="AM8" s="52"/>
      <c r="AN8" s="53"/>
      <c r="AO8" s="50"/>
      <c r="AP8" s="57"/>
    </row>
    <row r="9" spans="1:42" ht="15" customHeight="1" x14ac:dyDescent="0.25">
      <c r="A9" s="44" t="str">
        <f>'Agents'' Final Roster 0823-0829'!A9</f>
        <v>Perez Zitzke Agustina</v>
      </c>
      <c r="B9" s="39" t="str">
        <f>'Agents'' Final Roster 0823-0829'!B9</f>
        <v>Vazquez Valladares Eduardo Alejandro</v>
      </c>
      <c r="C9" s="39" t="str">
        <f>'Agents'' Final Roster 0823-0829'!C9</f>
        <v>Diaz</v>
      </c>
      <c r="D9" s="39" t="str">
        <f>'Agents'' Final Roster 0823-0829'!D9</f>
        <v>Fernando Gabriel</v>
      </c>
      <c r="E9" s="39"/>
      <c r="F9" s="39"/>
      <c r="G9" s="39"/>
      <c r="H9" s="39"/>
      <c r="I9" s="39"/>
      <c r="J9" s="39"/>
      <c r="K9" s="39"/>
      <c r="L9" s="45"/>
      <c r="M9" s="45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 t="str">
        <f>'Agents'' Final Roster 0823-0829'!Z9</f>
        <v>CSV2</v>
      </c>
      <c r="AA9" s="39"/>
      <c r="AB9" s="39"/>
      <c r="AC9" s="39"/>
      <c r="AD9" s="39"/>
      <c r="AE9" s="39"/>
      <c r="AF9" s="39"/>
      <c r="AG9" s="39"/>
      <c r="AH9" s="39"/>
      <c r="AI9" s="39"/>
      <c r="AJ9" s="46"/>
      <c r="AK9" s="46"/>
      <c r="AL9" s="47"/>
      <c r="AM9" s="52"/>
      <c r="AN9" s="53"/>
      <c r="AO9" s="50"/>
      <c r="AP9" s="57"/>
    </row>
    <row r="10" spans="1:42" ht="15" customHeight="1" x14ac:dyDescent="0.25">
      <c r="A10" s="69" t="str">
        <f>'Agents'' Final Roster 0823-0829'!A10</f>
        <v>Campero Juarez Maria Guadalupe</v>
      </c>
      <c r="B10" s="70" t="str">
        <f>'Agents'' Final Roster 0823-0829'!B10</f>
        <v>Arias Juan José</v>
      </c>
      <c r="C10" s="70" t="str">
        <f>'Agents'' Final Roster 0823-0829'!C10</f>
        <v>Escobar</v>
      </c>
      <c r="D10" s="70" t="str">
        <f>'Agents'' Final Roster 0823-0829'!D10</f>
        <v>Marcos Nahuel</v>
      </c>
      <c r="E10" s="70"/>
      <c r="F10" s="70"/>
      <c r="G10" s="70"/>
      <c r="H10" s="70"/>
      <c r="I10" s="70"/>
      <c r="J10" s="70"/>
      <c r="K10" s="70"/>
      <c r="L10" s="45"/>
      <c r="M10" s="45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 t="str">
        <f>'Agents'' Final Roster 0823-0829'!Z10</f>
        <v>CSV2</v>
      </c>
      <c r="AA10" s="39"/>
      <c r="AB10" s="39"/>
      <c r="AC10" s="39"/>
      <c r="AD10" s="39"/>
      <c r="AE10" s="39"/>
      <c r="AF10" s="39"/>
      <c r="AG10" s="39"/>
      <c r="AH10" s="39"/>
      <c r="AI10" s="39"/>
      <c r="AJ10" s="46"/>
      <c r="AK10" s="46"/>
      <c r="AL10" s="47"/>
      <c r="AM10" s="52"/>
      <c r="AN10" s="53"/>
      <c r="AO10" s="50"/>
      <c r="AP10" s="57"/>
    </row>
    <row r="11" spans="1:42" ht="15" customHeight="1" x14ac:dyDescent="0.25">
      <c r="A11" s="44" t="str">
        <f>'Agents'' Final Roster 0823-0829'!A11</f>
        <v>Campero Juarez Maria Guadalupe</v>
      </c>
      <c r="B11" s="39" t="str">
        <f>'Agents'' Final Roster 0823-0829'!B11</f>
        <v>Arias Juan José</v>
      </c>
      <c r="C11" s="39" t="str">
        <f>'Agents'' Final Roster 0823-0829'!C11</f>
        <v>Juarez</v>
      </c>
      <c r="D11" s="39" t="str">
        <f>'Agents'' Final Roster 0823-0829'!D11</f>
        <v>Carlos Luciano</v>
      </c>
      <c r="E11" s="39"/>
      <c r="F11" s="39"/>
      <c r="G11" s="39"/>
      <c r="H11" s="39"/>
      <c r="I11" s="39"/>
      <c r="J11" s="39"/>
      <c r="K11" s="39"/>
      <c r="L11" s="45"/>
      <c r="M11" s="45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 t="str">
        <f>'Agents'' Final Roster 0823-0829'!Z11</f>
        <v>CSV3</v>
      </c>
      <c r="AA11" s="39"/>
      <c r="AB11" s="39"/>
      <c r="AC11" s="39"/>
      <c r="AD11" s="39"/>
      <c r="AE11" s="39"/>
      <c r="AF11" s="39"/>
      <c r="AG11" s="39"/>
      <c r="AH11" s="39"/>
      <c r="AI11" s="39"/>
      <c r="AJ11" s="46"/>
      <c r="AK11" s="46"/>
      <c r="AL11" s="47"/>
      <c r="AM11" s="52"/>
      <c r="AN11" s="53"/>
      <c r="AO11" s="50"/>
      <c r="AP11" s="57"/>
    </row>
    <row r="12" spans="1:42" ht="15" customHeight="1" x14ac:dyDescent="0.25">
      <c r="A12" s="44" t="str">
        <f>'Agents'' Final Roster 0823-0829'!A12</f>
        <v>Campero Juarez Maria Guadalupe</v>
      </c>
      <c r="B12" s="39" t="str">
        <f>'Agents'' Final Roster 0823-0829'!B12</f>
        <v>Arias Juan José</v>
      </c>
      <c r="C12" s="39" t="str">
        <f>'Agents'' Final Roster 0823-0829'!C12</f>
        <v>Muratore</v>
      </c>
      <c r="D12" s="39" t="str">
        <f>'Agents'' Final Roster 0823-0829'!D12</f>
        <v>Daiana Gabriela</v>
      </c>
      <c r="E12" s="39"/>
      <c r="F12" s="39"/>
      <c r="G12" s="39"/>
      <c r="H12" s="39"/>
      <c r="I12" s="39"/>
      <c r="J12" s="39"/>
      <c r="K12" s="39"/>
      <c r="L12" s="45"/>
      <c r="M12" s="45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 t="str">
        <f>'Agents'' Final Roster 0823-0829'!Z12</f>
        <v>CSV2</v>
      </c>
      <c r="AA12" s="39"/>
      <c r="AB12" s="39"/>
      <c r="AC12" s="39"/>
      <c r="AD12" s="39"/>
      <c r="AE12" s="39"/>
      <c r="AF12" s="39"/>
      <c r="AG12" s="39"/>
      <c r="AH12" s="39"/>
      <c r="AI12" s="39"/>
      <c r="AJ12" s="46"/>
      <c r="AK12" s="46"/>
      <c r="AL12" s="47"/>
      <c r="AM12" s="52"/>
      <c r="AN12" s="53"/>
      <c r="AO12" s="50"/>
      <c r="AP12" s="57"/>
    </row>
    <row r="13" spans="1:42" ht="15" customHeight="1" x14ac:dyDescent="0.25">
      <c r="A13" s="69" t="str">
        <f>'Agents'' Final Roster 0823-0829'!A13</f>
        <v>Campero Juarez Maria Guadalupe</v>
      </c>
      <c r="B13" s="70" t="str">
        <f>'Agents'' Final Roster 0823-0829'!B13</f>
        <v>Arias Juan José</v>
      </c>
      <c r="C13" s="70" t="str">
        <f>'Agents'' Final Roster 0823-0829'!C13</f>
        <v>Nunez</v>
      </c>
      <c r="D13" s="70" t="str">
        <f>'Agents'' Final Roster 0823-0829'!D13</f>
        <v>Marcelo Nahuel</v>
      </c>
      <c r="E13" s="70"/>
      <c r="F13" s="70"/>
      <c r="G13" s="70"/>
      <c r="H13" s="70"/>
      <c r="I13" s="70"/>
      <c r="J13" s="70"/>
      <c r="K13" s="70"/>
      <c r="L13" s="45"/>
      <c r="M13" s="45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 t="str">
        <f>'Agents'' Final Roster 0823-0829'!Z13</f>
        <v>VIP</v>
      </c>
      <c r="AA13" s="39"/>
      <c r="AB13" s="39"/>
      <c r="AC13" s="39"/>
      <c r="AD13" s="39"/>
      <c r="AE13" s="39"/>
      <c r="AF13" s="39"/>
      <c r="AG13" s="39"/>
      <c r="AH13" s="39"/>
      <c r="AI13" s="39"/>
      <c r="AJ13" s="46"/>
      <c r="AK13" s="46"/>
      <c r="AL13" s="47"/>
      <c r="AM13" s="52"/>
      <c r="AN13" s="53"/>
      <c r="AO13" s="50"/>
      <c r="AP13" s="57"/>
    </row>
    <row r="14" spans="1:42" ht="15" customHeight="1" x14ac:dyDescent="0.25">
      <c r="A14" s="44" t="str">
        <f>'Agents'' Final Roster 0823-0829'!A14</f>
        <v>Campero Juarez Maria Guadalupe</v>
      </c>
      <c r="B14" s="39" t="str">
        <f>'Agents'' Final Roster 0823-0829'!B14</f>
        <v>Arias Juan José</v>
      </c>
      <c r="C14" s="39" t="str">
        <f>'Agents'' Final Roster 0823-0829'!C14</f>
        <v>Ortiz</v>
      </c>
      <c r="D14" s="39" t="str">
        <f>'Agents'' Final Roster 0823-0829'!D14</f>
        <v>Silvina Gabriela</v>
      </c>
      <c r="E14" s="39"/>
      <c r="F14" s="39"/>
      <c r="G14" s="39"/>
      <c r="H14" s="39"/>
      <c r="I14" s="39"/>
      <c r="J14" s="39"/>
      <c r="K14" s="39"/>
      <c r="L14" s="45"/>
      <c r="M14" s="45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 t="str">
        <f>'Agents'' Final Roster 0823-0829'!Z14</f>
        <v>CSV3</v>
      </c>
      <c r="AA14" s="39"/>
      <c r="AB14" s="39"/>
      <c r="AC14" s="39"/>
      <c r="AD14" s="39"/>
      <c r="AE14" s="39"/>
      <c r="AF14" s="39"/>
      <c r="AG14" s="39"/>
      <c r="AH14" s="39"/>
      <c r="AI14" s="39"/>
      <c r="AJ14" s="46"/>
      <c r="AK14" s="46"/>
      <c r="AL14" s="47"/>
      <c r="AM14" s="52"/>
      <c r="AN14" s="53"/>
      <c r="AO14" s="50"/>
      <c r="AP14" s="57"/>
    </row>
    <row r="15" spans="1:42" ht="15" customHeight="1" x14ac:dyDescent="0.25">
      <c r="A15" s="44" t="str">
        <f>'Agents'' Final Roster 0823-0829'!A15</f>
        <v>Campero Juarez Maria Guadalupe</v>
      </c>
      <c r="B15" s="39" t="str">
        <f>'Agents'' Final Roster 0823-0829'!B15</f>
        <v>Arias Juan José</v>
      </c>
      <c r="C15" s="39" t="str">
        <f>'Agents'' Final Roster 0823-0829'!C15</f>
        <v>Pockorny</v>
      </c>
      <c r="D15" s="39" t="str">
        <f>'Agents'' Final Roster 0823-0829'!D15</f>
        <v>Tomás Agustín</v>
      </c>
      <c r="E15" s="39"/>
      <c r="F15" s="39"/>
      <c r="G15" s="39"/>
      <c r="H15" s="39"/>
      <c r="I15" s="39"/>
      <c r="J15" s="39"/>
      <c r="K15" s="39"/>
      <c r="L15" s="45"/>
      <c r="M15" s="45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 t="str">
        <f>'Agents'' Final Roster 0823-0829'!Z15</f>
        <v>CSV3</v>
      </c>
      <c r="AA15" s="39"/>
      <c r="AB15" s="39"/>
      <c r="AC15" s="39"/>
      <c r="AD15" s="39"/>
      <c r="AE15" s="39"/>
      <c r="AF15" s="39"/>
      <c r="AG15" s="39"/>
      <c r="AH15" s="39"/>
      <c r="AI15" s="39"/>
      <c r="AJ15" s="46"/>
      <c r="AK15" s="46"/>
      <c r="AL15" s="47"/>
      <c r="AM15" s="52"/>
      <c r="AN15" s="53"/>
      <c r="AO15" s="50"/>
      <c r="AP15" s="57"/>
    </row>
    <row r="16" spans="1:42" ht="15" customHeight="1" x14ac:dyDescent="0.25">
      <c r="A16" s="44" t="str">
        <f>'Agents'' Final Roster 0823-0829'!A16</f>
        <v>Campero Juarez Maria Guadalupe</v>
      </c>
      <c r="B16" s="39" t="str">
        <f>'Agents'' Final Roster 0823-0829'!B16</f>
        <v>Arias Juan José</v>
      </c>
      <c r="C16" s="39" t="str">
        <f>'Agents'' Final Roster 0823-0829'!C16</f>
        <v>Yapura</v>
      </c>
      <c r="D16" s="39" t="str">
        <f>'Agents'' Final Roster 0823-0829'!D16</f>
        <v>Cintia Elena del Valle</v>
      </c>
      <c r="E16" s="39"/>
      <c r="F16" s="39"/>
      <c r="G16" s="39"/>
      <c r="H16" s="39"/>
      <c r="I16" s="39"/>
      <c r="J16" s="39"/>
      <c r="K16" s="39"/>
      <c r="L16" s="45"/>
      <c r="M16" s="45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 t="str">
        <f>'Agents'' Final Roster 0823-0829'!Z16</f>
        <v>VIP</v>
      </c>
      <c r="AA16" s="39"/>
      <c r="AB16" s="39"/>
      <c r="AC16" s="39"/>
      <c r="AD16" s="39"/>
      <c r="AE16" s="39"/>
      <c r="AF16" s="39"/>
      <c r="AG16" s="39"/>
      <c r="AH16" s="39"/>
      <c r="AI16" s="39"/>
      <c r="AJ16" s="46"/>
      <c r="AK16" s="46"/>
      <c r="AL16" s="47"/>
      <c r="AM16" s="52"/>
      <c r="AN16" s="53"/>
      <c r="AO16" s="50"/>
      <c r="AP16" s="57"/>
    </row>
    <row r="17" spans="1:42" ht="15" customHeight="1" x14ac:dyDescent="0.25">
      <c r="A17" s="44" t="str">
        <f>'Agents'' Final Roster 0823-0829'!A17</f>
        <v>Campero Juarez Maria Guadalupe</v>
      </c>
      <c r="B17" s="39" t="str">
        <f>'Agents'' Final Roster 0823-0829'!B17</f>
        <v>Corbera Susana Sofía</v>
      </c>
      <c r="C17" s="39" t="str">
        <f>'Agents'' Final Roster 0823-0829'!C17</f>
        <v>Alonso</v>
      </c>
      <c r="D17" s="39" t="str">
        <f>'Agents'' Final Roster 0823-0829'!D17</f>
        <v>Facundo ismael</v>
      </c>
      <c r="E17" s="39"/>
      <c r="F17" s="39"/>
      <c r="G17" s="39"/>
      <c r="H17" s="39"/>
      <c r="I17" s="39"/>
      <c r="J17" s="39"/>
      <c r="K17" s="39"/>
      <c r="L17" s="45"/>
      <c r="M17" s="45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 t="str">
        <f>'Agents'' Final Roster 0823-0829'!Z17</f>
        <v>CSV2</v>
      </c>
      <c r="AA17" s="39"/>
      <c r="AB17" s="39"/>
      <c r="AC17" s="39"/>
      <c r="AD17" s="39"/>
      <c r="AE17" s="39"/>
      <c r="AF17" s="39"/>
      <c r="AG17" s="39"/>
      <c r="AH17" s="39"/>
      <c r="AI17" s="39"/>
      <c r="AJ17" s="46"/>
      <c r="AK17" s="46"/>
      <c r="AL17" s="47"/>
      <c r="AM17" s="52"/>
      <c r="AN17" s="53"/>
      <c r="AO17" s="50"/>
      <c r="AP17" s="57"/>
    </row>
    <row r="18" spans="1:42" ht="15" customHeight="1" x14ac:dyDescent="0.25">
      <c r="A18" s="44" t="str">
        <f>'Agents'' Final Roster 0823-0829'!A18</f>
        <v>Campero Juarez Maria Guadalupe</v>
      </c>
      <c r="B18" s="39" t="str">
        <f>'Agents'' Final Roster 0823-0829'!B18</f>
        <v>Corbera Susana Sofía</v>
      </c>
      <c r="C18" s="39" t="str">
        <f>'Agents'' Final Roster 0823-0829'!C18</f>
        <v>Alvarez Maziad</v>
      </c>
      <c r="D18" s="39" t="str">
        <f>'Agents'' Final Roster 0823-0829'!D18</f>
        <v>Monica Carolina</v>
      </c>
      <c r="E18" s="39"/>
      <c r="F18" s="39"/>
      <c r="G18" s="39"/>
      <c r="H18" s="39"/>
      <c r="I18" s="39"/>
      <c r="J18" s="39"/>
      <c r="K18" s="39"/>
      <c r="L18" s="45"/>
      <c r="M18" s="45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 t="str">
        <f>'Agents'' Final Roster 0823-0829'!Z18</f>
        <v>CSV2</v>
      </c>
      <c r="AA18" s="39"/>
      <c r="AB18" s="39"/>
      <c r="AC18" s="39"/>
      <c r="AD18" s="39"/>
      <c r="AE18" s="39"/>
      <c r="AF18" s="39"/>
      <c r="AG18" s="39"/>
      <c r="AH18" s="39"/>
      <c r="AI18" s="39"/>
      <c r="AJ18" s="46"/>
      <c r="AK18" s="46"/>
      <c r="AL18" s="47"/>
      <c r="AM18" s="52"/>
      <c r="AN18" s="53"/>
      <c r="AO18" s="50"/>
      <c r="AP18" s="57"/>
    </row>
    <row r="19" spans="1:42" ht="15" customHeight="1" x14ac:dyDescent="0.25">
      <c r="A19" s="44" t="str">
        <f>'Agents'' Final Roster 0823-0829'!A19</f>
        <v>Campero Juarez Maria Guadalupe</v>
      </c>
      <c r="B19" s="39" t="str">
        <f>'Agents'' Final Roster 0823-0829'!B19</f>
        <v>Corbera Susana Sofía</v>
      </c>
      <c r="C19" s="39" t="str">
        <f>'Agents'' Final Roster 0823-0829'!C19</f>
        <v>Azubel</v>
      </c>
      <c r="D19" s="39" t="str">
        <f>'Agents'' Final Roster 0823-0829'!D19</f>
        <v xml:space="preserve">Solange </v>
      </c>
      <c r="E19" s="39"/>
      <c r="F19" s="39"/>
      <c r="G19" s="39"/>
      <c r="H19" s="39"/>
      <c r="I19" s="39"/>
      <c r="J19" s="39"/>
      <c r="K19" s="39"/>
      <c r="L19" s="45"/>
      <c r="M19" s="45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 t="str">
        <f>'Agents'' Final Roster 0823-0829'!Z19</f>
        <v>CSV3</v>
      </c>
      <c r="AA19" s="39"/>
      <c r="AB19" s="39"/>
      <c r="AC19" s="39"/>
      <c r="AD19" s="39"/>
      <c r="AE19" s="39"/>
      <c r="AF19" s="39"/>
      <c r="AG19" s="39"/>
      <c r="AH19" s="39"/>
      <c r="AI19" s="39"/>
      <c r="AJ19" s="46"/>
      <c r="AK19" s="46"/>
      <c r="AL19" s="47"/>
      <c r="AM19" s="52"/>
      <c r="AN19" s="53"/>
      <c r="AO19" s="50"/>
      <c r="AP19" s="57"/>
    </row>
    <row r="20" spans="1:42" ht="15" customHeight="1" x14ac:dyDescent="0.25">
      <c r="A20" s="44" t="str">
        <f>'Agents'' Final Roster 0823-0829'!A20</f>
        <v>Campero Juarez Maria Guadalupe</v>
      </c>
      <c r="B20" s="39" t="str">
        <f>'Agents'' Final Roster 0823-0829'!B20</f>
        <v>Corbera Susana Sofía</v>
      </c>
      <c r="C20" s="39" t="str">
        <f>'Agents'' Final Roster 0823-0829'!C20</f>
        <v>Cantos</v>
      </c>
      <c r="D20" s="39" t="str">
        <f>'Agents'' Final Roster 0823-0829'!D20</f>
        <v xml:space="preserve">Horacio Nicolas </v>
      </c>
      <c r="E20" s="39"/>
      <c r="F20" s="39"/>
      <c r="G20" s="39"/>
      <c r="H20" s="39"/>
      <c r="I20" s="39"/>
      <c r="J20" s="39"/>
      <c r="K20" s="39"/>
      <c r="L20" s="45"/>
      <c r="M20" s="45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 t="str">
        <f>'Agents'' Final Roster 0823-0829'!Z20</f>
        <v>CSV3</v>
      </c>
      <c r="AA20" s="39"/>
      <c r="AB20" s="39"/>
      <c r="AC20" s="39"/>
      <c r="AD20" s="39"/>
      <c r="AE20" s="39"/>
      <c r="AF20" s="39"/>
      <c r="AG20" s="39"/>
      <c r="AH20" s="39"/>
      <c r="AI20" s="39"/>
      <c r="AJ20" s="46"/>
      <c r="AK20" s="46"/>
      <c r="AL20" s="47"/>
      <c r="AM20" s="52"/>
      <c r="AN20" s="53"/>
      <c r="AO20" s="50"/>
      <c r="AP20" s="57"/>
    </row>
    <row r="21" spans="1:42" ht="15" customHeight="1" x14ac:dyDescent="0.25">
      <c r="A21" s="44" t="str">
        <f>'Agents'' Final Roster 0823-0829'!A21</f>
        <v>Campero Juarez Maria Guadalupe</v>
      </c>
      <c r="B21" s="39" t="str">
        <f>'Agents'' Final Roster 0823-0829'!B21</f>
        <v>Corbera Susana Sofía</v>
      </c>
      <c r="C21" s="39" t="str">
        <f>'Agents'' Final Roster 0823-0829'!C21</f>
        <v>Castillo</v>
      </c>
      <c r="D21" s="39" t="str">
        <f>'Agents'' Final Roster 0823-0829'!D21</f>
        <v xml:space="preserve">Angel Alberto </v>
      </c>
      <c r="E21" s="39"/>
      <c r="F21" s="39"/>
      <c r="G21" s="39"/>
      <c r="H21" s="39"/>
      <c r="I21" s="39"/>
      <c r="J21" s="39"/>
      <c r="K21" s="39"/>
      <c r="L21" s="45"/>
      <c r="M21" s="45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 t="str">
        <f>'Agents'' Final Roster 0823-0829'!Z21</f>
        <v>CSV3</v>
      </c>
      <c r="AA21" s="39"/>
      <c r="AB21" s="39"/>
      <c r="AC21" s="39"/>
      <c r="AD21" s="39"/>
      <c r="AE21" s="39"/>
      <c r="AF21" s="39"/>
      <c r="AG21" s="39"/>
      <c r="AH21" s="39"/>
      <c r="AI21" s="39"/>
      <c r="AJ21" s="46"/>
      <c r="AK21" s="46"/>
      <c r="AL21" s="47"/>
      <c r="AM21" s="52"/>
      <c r="AN21" s="53"/>
      <c r="AO21" s="50"/>
      <c r="AP21" s="57"/>
    </row>
    <row r="22" spans="1:42" ht="15" customHeight="1" x14ac:dyDescent="0.25">
      <c r="A22" s="44" t="str">
        <f>'Agents'' Final Roster 0823-0829'!A22</f>
        <v>Campero Juarez Maria Guadalupe</v>
      </c>
      <c r="B22" s="39" t="str">
        <f>'Agents'' Final Roster 0823-0829'!B22</f>
        <v>Corbera Susana Sofía</v>
      </c>
      <c r="C22" s="39" t="str">
        <f>'Agents'' Final Roster 0823-0829'!C22</f>
        <v>Chavarria Bevacqua</v>
      </c>
      <c r="D22" s="39" t="str">
        <f>'Agents'' Final Roster 0823-0829'!D22</f>
        <v>Silvana Carolina</v>
      </c>
      <c r="E22" s="39"/>
      <c r="F22" s="39"/>
      <c r="G22" s="39"/>
      <c r="H22" s="39"/>
      <c r="I22" s="39"/>
      <c r="J22" s="39"/>
      <c r="K22" s="39"/>
      <c r="L22" s="45"/>
      <c r="M22" s="45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 t="str">
        <f>'Agents'' Final Roster 0823-0829'!Z22</f>
        <v>CSV2</v>
      </c>
      <c r="AA22" s="39"/>
      <c r="AB22" s="39"/>
      <c r="AC22" s="39"/>
      <c r="AD22" s="39"/>
      <c r="AE22" s="39"/>
      <c r="AF22" s="39"/>
      <c r="AG22" s="39"/>
      <c r="AH22" s="39"/>
      <c r="AI22" s="39"/>
      <c r="AJ22" s="46"/>
      <c r="AK22" s="46"/>
      <c r="AL22" s="47"/>
      <c r="AM22" s="52"/>
      <c r="AN22" s="53"/>
      <c r="AO22" s="50"/>
      <c r="AP22" s="57"/>
    </row>
    <row r="23" spans="1:42" ht="15" customHeight="1" x14ac:dyDescent="0.25">
      <c r="A23" s="44" t="str">
        <f>'Agents'' Final Roster 0823-0829'!A23</f>
        <v>Campero Juarez Maria Guadalupe</v>
      </c>
      <c r="B23" s="39" t="str">
        <f>'Agents'' Final Roster 0823-0829'!B23</f>
        <v>Corbera Susana Sofía</v>
      </c>
      <c r="C23" s="39" t="str">
        <f>'Agents'' Final Roster 0823-0829'!C23</f>
        <v>Del Pino</v>
      </c>
      <c r="D23" s="39" t="str">
        <f>'Agents'' Final Roster 0823-0829'!D23</f>
        <v>Agustin Alejandro</v>
      </c>
      <c r="E23" s="39"/>
      <c r="F23" s="39"/>
      <c r="G23" s="39"/>
      <c r="H23" s="39"/>
      <c r="I23" s="39"/>
      <c r="J23" s="39"/>
      <c r="K23" s="39"/>
      <c r="L23" s="45"/>
      <c r="M23" s="45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 t="str">
        <f>'Agents'' Final Roster 0823-0829'!Z23</f>
        <v>DVH</v>
      </c>
      <c r="AA23" s="39"/>
      <c r="AB23" s="39"/>
      <c r="AC23" s="39"/>
      <c r="AD23" s="39"/>
      <c r="AE23" s="39"/>
      <c r="AF23" s="39"/>
      <c r="AG23" s="39"/>
      <c r="AH23" s="39"/>
      <c r="AI23" s="39"/>
      <c r="AJ23" s="46"/>
      <c r="AK23" s="46"/>
      <c r="AL23" s="47"/>
      <c r="AM23" s="52"/>
      <c r="AN23" s="53"/>
      <c r="AO23" s="50"/>
      <c r="AP23" s="57"/>
    </row>
    <row r="24" spans="1:42" ht="15" customHeight="1" x14ac:dyDescent="0.25">
      <c r="A24" s="44" t="str">
        <f>'Agents'' Final Roster 0823-0829'!A24</f>
        <v>Campero Juarez Maria Guadalupe</v>
      </c>
      <c r="B24" s="39" t="str">
        <f>'Agents'' Final Roster 0823-0829'!B24</f>
        <v>Corbera Susana Sofía</v>
      </c>
      <c r="C24" s="39" t="str">
        <f>'Agents'' Final Roster 0823-0829'!C24</f>
        <v>Elias</v>
      </c>
      <c r="D24" s="39" t="str">
        <f>'Agents'' Final Roster 0823-0829'!D24</f>
        <v>Mario Jorge</v>
      </c>
      <c r="E24" s="39"/>
      <c r="F24" s="39"/>
      <c r="G24" s="39"/>
      <c r="H24" s="39"/>
      <c r="I24" s="39"/>
      <c r="J24" s="39"/>
      <c r="K24" s="39"/>
      <c r="L24" s="45"/>
      <c r="M24" s="45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 t="str">
        <f>'Agents'' Final Roster 0823-0829'!Z24</f>
        <v>CSV2</v>
      </c>
      <c r="AA24" s="39"/>
      <c r="AB24" s="39"/>
      <c r="AC24" s="39"/>
      <c r="AD24" s="39"/>
      <c r="AE24" s="39"/>
      <c r="AF24" s="39"/>
      <c r="AG24" s="39"/>
      <c r="AH24" s="39"/>
      <c r="AI24" s="39"/>
      <c r="AJ24" s="46"/>
      <c r="AK24" s="46"/>
      <c r="AL24" s="47"/>
      <c r="AM24" s="52"/>
      <c r="AN24" s="53"/>
      <c r="AO24" s="50"/>
      <c r="AP24" s="57"/>
    </row>
    <row r="25" spans="1:42" ht="15" customHeight="1" x14ac:dyDescent="0.25">
      <c r="A25" s="44" t="str">
        <f>'Agents'' Final Roster 0823-0829'!A25</f>
        <v>Campero Juarez Maria Guadalupe</v>
      </c>
      <c r="B25" s="39" t="str">
        <f>'Agents'' Final Roster 0823-0829'!B25</f>
        <v>Corbera Susana Sofía</v>
      </c>
      <c r="C25" s="39" t="str">
        <f>'Agents'' Final Roster 0823-0829'!C25</f>
        <v xml:space="preserve">Garcia </v>
      </c>
      <c r="D25" s="39" t="str">
        <f>'Agents'' Final Roster 0823-0829'!D25</f>
        <v>Guillermo Eduardo</v>
      </c>
      <c r="E25" s="39"/>
      <c r="F25" s="39"/>
      <c r="G25" s="39"/>
      <c r="H25" s="39"/>
      <c r="I25" s="39"/>
      <c r="J25" s="39"/>
      <c r="K25" s="39"/>
      <c r="L25" s="45"/>
      <c r="M25" s="45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 t="str">
        <f>'Agents'' Final Roster 0823-0829'!Z25</f>
        <v>CSV2</v>
      </c>
      <c r="AA25" s="39"/>
      <c r="AB25" s="39"/>
      <c r="AC25" s="39"/>
      <c r="AD25" s="39"/>
      <c r="AE25" s="39"/>
      <c r="AF25" s="39"/>
      <c r="AG25" s="39"/>
      <c r="AH25" s="39"/>
      <c r="AI25" s="39"/>
      <c r="AJ25" s="46"/>
      <c r="AK25" s="46"/>
      <c r="AL25" s="47"/>
      <c r="AM25" s="52"/>
      <c r="AN25" s="53"/>
      <c r="AO25" s="50"/>
      <c r="AP25" s="57"/>
    </row>
    <row r="26" spans="1:42" ht="15" customHeight="1" x14ac:dyDescent="0.25">
      <c r="A26" s="44" t="str">
        <f>'Agents'' Final Roster 0823-0829'!A26</f>
        <v>Campero Juarez Maria Guadalupe</v>
      </c>
      <c r="B26" s="39" t="str">
        <f>'Agents'' Final Roster 0823-0829'!B26</f>
        <v>Corbera Susana Sofía</v>
      </c>
      <c r="C26" s="39" t="str">
        <f>'Agents'' Final Roster 0823-0829'!C26</f>
        <v>Gjugum</v>
      </c>
      <c r="D26" s="39" t="str">
        <f>'Agents'' Final Roster 0823-0829'!D26</f>
        <v>Sofia Denise</v>
      </c>
      <c r="E26" s="39"/>
      <c r="F26" s="39"/>
      <c r="G26" s="39"/>
      <c r="H26" s="39"/>
      <c r="I26" s="39"/>
      <c r="J26" s="39"/>
      <c r="K26" s="39"/>
      <c r="L26" s="45"/>
      <c r="M26" s="45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 t="str">
        <f>'Agents'' Final Roster 0823-0829'!Z26</f>
        <v>CSV3</v>
      </c>
      <c r="AA26" s="39"/>
      <c r="AB26" s="39"/>
      <c r="AC26" s="39"/>
      <c r="AD26" s="39"/>
      <c r="AE26" s="39"/>
      <c r="AF26" s="39"/>
      <c r="AG26" s="39"/>
      <c r="AH26" s="39"/>
      <c r="AI26" s="39"/>
      <c r="AJ26" s="46"/>
      <c r="AK26" s="46"/>
      <c r="AL26" s="47"/>
      <c r="AM26" s="52"/>
      <c r="AN26" s="53"/>
      <c r="AO26" s="50"/>
      <c r="AP26" s="57"/>
    </row>
    <row r="27" spans="1:42" ht="15" customHeight="1" x14ac:dyDescent="0.25">
      <c r="A27" s="69" t="str">
        <f>'Agents'' Final Roster 0823-0829'!A27</f>
        <v>Campero Juarez Maria Guadalupe</v>
      </c>
      <c r="B27" s="70" t="str">
        <f>'Agents'' Final Roster 0823-0829'!B27</f>
        <v>Corbera Susana Sofía</v>
      </c>
      <c r="C27" s="70" t="str">
        <f>'Agents'' Final Roster 0823-0829'!C27</f>
        <v>Laitán Landro</v>
      </c>
      <c r="D27" s="70" t="str">
        <f>'Agents'' Final Roster 0823-0829'!D27</f>
        <v>Gimena María</v>
      </c>
      <c r="E27" s="70"/>
      <c r="F27" s="70"/>
      <c r="G27" s="70"/>
      <c r="H27" s="70"/>
      <c r="I27" s="70"/>
      <c r="J27" s="70"/>
      <c r="K27" s="70"/>
      <c r="L27" s="45"/>
      <c r="M27" s="45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 t="str">
        <f>'Agents'' Final Roster 0823-0829'!Z27</f>
        <v>HD</v>
      </c>
      <c r="AA27" s="39"/>
      <c r="AB27" s="39"/>
      <c r="AC27" s="39"/>
      <c r="AD27" s="39"/>
      <c r="AE27" s="39"/>
      <c r="AF27" s="39"/>
      <c r="AG27" s="39"/>
      <c r="AH27" s="39"/>
      <c r="AI27" s="39"/>
      <c r="AJ27" s="46"/>
      <c r="AK27" s="46"/>
      <c r="AL27" s="47"/>
      <c r="AM27" s="52"/>
      <c r="AN27" s="53"/>
      <c r="AO27" s="50"/>
      <c r="AP27" s="57"/>
    </row>
    <row r="28" spans="1:42" s="5" customFormat="1" ht="15" customHeight="1" x14ac:dyDescent="0.25">
      <c r="A28" s="44" t="str">
        <f>'Agents'' Final Roster 0823-0829'!A28</f>
        <v>Campero Juarez Maria Guadalupe</v>
      </c>
      <c r="B28" s="39" t="str">
        <f>'Agents'' Final Roster 0823-0829'!B28</f>
        <v>Corbera Susana Sofía</v>
      </c>
      <c r="C28" s="39" t="str">
        <f>'Agents'' Final Roster 0823-0829'!C28</f>
        <v>Martinez Teseyra</v>
      </c>
      <c r="D28" s="39" t="str">
        <f>'Agents'' Final Roster 0823-0829'!D28</f>
        <v>Mayra Belen</v>
      </c>
      <c r="E28" s="39"/>
      <c r="F28" s="39"/>
      <c r="G28" s="39"/>
      <c r="H28" s="39"/>
      <c r="I28" s="39"/>
      <c r="J28" s="39"/>
      <c r="K28" s="39"/>
      <c r="L28" s="45"/>
      <c r="M28" s="45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 t="str">
        <f>'Agents'' Final Roster 0823-0829'!Z28</f>
        <v>CSV2</v>
      </c>
      <c r="AA28" s="39"/>
      <c r="AB28" s="39"/>
      <c r="AC28" s="39"/>
      <c r="AD28" s="39"/>
      <c r="AE28" s="39"/>
      <c r="AF28" s="39"/>
      <c r="AG28" s="39"/>
      <c r="AH28" s="39"/>
      <c r="AI28" s="39"/>
      <c r="AJ28" s="46"/>
      <c r="AK28" s="46"/>
      <c r="AL28" s="47"/>
      <c r="AM28" s="52"/>
      <c r="AN28" s="53"/>
      <c r="AO28" s="50"/>
      <c r="AP28" s="57"/>
    </row>
    <row r="29" spans="1:42" s="5" customFormat="1" ht="15" customHeight="1" x14ac:dyDescent="0.25">
      <c r="A29" s="44" t="str">
        <f>'Agents'' Final Roster 0823-0829'!A29</f>
        <v>Campero Juarez Maria Guadalupe</v>
      </c>
      <c r="B29" s="39" t="str">
        <f>'Agents'' Final Roster 0823-0829'!B29</f>
        <v>Corbera Susana Sofía</v>
      </c>
      <c r="C29" s="39" t="str">
        <f>'Agents'' Final Roster 0823-0829'!C29</f>
        <v>Medina</v>
      </c>
      <c r="D29" s="39" t="str">
        <f>'Agents'' Final Roster 0823-0829'!D29</f>
        <v>Leyla Maria</v>
      </c>
      <c r="E29" s="39"/>
      <c r="F29" s="39"/>
      <c r="G29" s="39"/>
      <c r="H29" s="39"/>
      <c r="I29" s="39"/>
      <c r="J29" s="39"/>
      <c r="K29" s="39"/>
      <c r="L29" s="45"/>
      <c r="M29" s="45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 t="str">
        <f>'Agents'' Final Roster 0823-0829'!Z29</f>
        <v>HD</v>
      </c>
      <c r="AA29" s="39"/>
      <c r="AB29" s="39"/>
      <c r="AC29" s="39"/>
      <c r="AD29" s="39"/>
      <c r="AE29" s="39"/>
      <c r="AF29" s="39"/>
      <c r="AG29" s="39"/>
      <c r="AH29" s="39"/>
      <c r="AI29" s="39"/>
      <c r="AJ29" s="46"/>
      <c r="AK29" s="46"/>
      <c r="AL29" s="47"/>
      <c r="AM29" s="52"/>
      <c r="AN29" s="53"/>
      <c r="AO29" s="50"/>
      <c r="AP29" s="57"/>
    </row>
    <row r="30" spans="1:42" s="5" customFormat="1" ht="15" customHeight="1" x14ac:dyDescent="0.25">
      <c r="A30" s="44" t="str">
        <f>'Agents'' Final Roster 0823-0829'!A30</f>
        <v>Campero Juarez Maria Guadalupe</v>
      </c>
      <c r="B30" s="39" t="str">
        <f>'Agents'' Final Roster 0823-0829'!B30</f>
        <v>Corbera Susana Sofía</v>
      </c>
      <c r="C30" s="39" t="str">
        <f>'Agents'' Final Roster 0823-0829'!C30</f>
        <v>Nasif</v>
      </c>
      <c r="D30" s="39" t="str">
        <f>'Agents'' Final Roster 0823-0829'!D30</f>
        <v>Mara Belen</v>
      </c>
      <c r="E30" s="39"/>
      <c r="F30" s="39"/>
      <c r="G30" s="39"/>
      <c r="H30" s="39"/>
      <c r="I30" s="39"/>
      <c r="J30" s="39"/>
      <c r="K30" s="39"/>
      <c r="L30" s="45"/>
      <c r="M30" s="45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 t="str">
        <f>'Agents'' Final Roster 0823-0829'!Z30</f>
        <v>DVH</v>
      </c>
      <c r="AA30" s="39"/>
      <c r="AB30" s="39"/>
      <c r="AC30" s="39"/>
      <c r="AD30" s="39"/>
      <c r="AE30" s="39"/>
      <c r="AF30" s="39"/>
      <c r="AG30" s="39"/>
      <c r="AH30" s="39"/>
      <c r="AI30" s="39"/>
      <c r="AJ30" s="46"/>
      <c r="AK30" s="46"/>
      <c r="AL30" s="47"/>
      <c r="AM30" s="52"/>
      <c r="AN30" s="53"/>
      <c r="AO30" s="50"/>
      <c r="AP30" s="57"/>
    </row>
    <row r="31" spans="1:42" s="5" customFormat="1" ht="15" customHeight="1" x14ac:dyDescent="0.25">
      <c r="A31" s="44" t="str">
        <f>'Agents'' Final Roster 0823-0829'!A31</f>
        <v>Campero Juarez Maria Guadalupe</v>
      </c>
      <c r="B31" s="39" t="str">
        <f>'Agents'' Final Roster 0823-0829'!B31</f>
        <v>Corbera Susana Sofía</v>
      </c>
      <c r="C31" s="39" t="str">
        <f>'Agents'' Final Roster 0823-0829'!C31</f>
        <v>Ricci</v>
      </c>
      <c r="D31" s="39" t="str">
        <f>'Agents'' Final Roster 0823-0829'!D31</f>
        <v>Marcos Jose</v>
      </c>
      <c r="E31" s="39"/>
      <c r="F31" s="39"/>
      <c r="G31" s="39"/>
      <c r="H31" s="39"/>
      <c r="I31" s="39"/>
      <c r="J31" s="39"/>
      <c r="K31" s="39"/>
      <c r="L31" s="45"/>
      <c r="M31" s="45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 t="str">
        <f>'Agents'' Final Roster 0823-0829'!Z31</f>
        <v>CSV3</v>
      </c>
      <c r="AA31" s="39"/>
      <c r="AB31" s="39"/>
      <c r="AC31" s="39"/>
      <c r="AD31" s="39"/>
      <c r="AE31" s="39"/>
      <c r="AF31" s="39"/>
      <c r="AG31" s="39"/>
      <c r="AH31" s="39"/>
      <c r="AI31" s="39"/>
      <c r="AJ31" s="46"/>
      <c r="AK31" s="46"/>
      <c r="AL31" s="47"/>
      <c r="AM31" s="52"/>
      <c r="AN31" s="53"/>
      <c r="AO31" s="50"/>
      <c r="AP31" s="57"/>
    </row>
    <row r="32" spans="1:42" s="5" customFormat="1" ht="15" customHeight="1" x14ac:dyDescent="0.25">
      <c r="A32" s="69" t="str">
        <f>'Agents'' Final Roster 0823-0829'!A32</f>
        <v>Campero Juarez Maria Guadalupe</v>
      </c>
      <c r="B32" s="70" t="str">
        <f>'Agents'' Final Roster 0823-0829'!B32</f>
        <v>Corbera Susana Sofía</v>
      </c>
      <c r="C32" s="70" t="str">
        <f>'Agents'' Final Roster 0823-0829'!C32</f>
        <v>Ruiz Barrionuevo</v>
      </c>
      <c r="D32" s="70" t="str">
        <f>'Agents'' Final Roster 0823-0829'!D32</f>
        <v xml:space="preserve">Isabella Catalina </v>
      </c>
      <c r="E32" s="70"/>
      <c r="F32" s="70"/>
      <c r="G32" s="70"/>
      <c r="H32" s="70"/>
      <c r="I32" s="70"/>
      <c r="J32" s="70"/>
      <c r="K32" s="70"/>
      <c r="L32" s="45"/>
      <c r="M32" s="45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 t="str">
        <f>'Agents'' Final Roster 0823-0829'!Z32</f>
        <v>CSV2</v>
      </c>
      <c r="AA32" s="39"/>
      <c r="AB32" s="39"/>
      <c r="AC32" s="39"/>
      <c r="AD32" s="39"/>
      <c r="AE32" s="39"/>
      <c r="AF32" s="39"/>
      <c r="AG32" s="39"/>
      <c r="AH32" s="39"/>
      <c r="AI32" s="39"/>
      <c r="AJ32" s="46"/>
      <c r="AK32" s="46"/>
      <c r="AL32" s="47"/>
      <c r="AM32" s="52"/>
      <c r="AN32" s="53"/>
      <c r="AO32" s="50"/>
      <c r="AP32" s="57"/>
    </row>
    <row r="33" spans="1:42" s="5" customFormat="1" ht="15" customHeight="1" x14ac:dyDescent="0.25">
      <c r="A33" s="44" t="str">
        <f>'Agents'' Final Roster 0823-0829'!A33</f>
        <v>Campero Juarez Maria Guadalupe</v>
      </c>
      <c r="B33" s="39" t="str">
        <f>'Agents'' Final Roster 0823-0829'!B33</f>
        <v>Criado Esteban</v>
      </c>
      <c r="C33" s="39" t="str">
        <f>'Agents'' Final Roster 0823-0829'!C33</f>
        <v>Amicone</v>
      </c>
      <c r="D33" s="39" t="str">
        <f>'Agents'' Final Roster 0823-0829'!D33</f>
        <v>Julieta</v>
      </c>
      <c r="E33" s="39"/>
      <c r="F33" s="39"/>
      <c r="G33" s="39"/>
      <c r="H33" s="39"/>
      <c r="I33" s="39"/>
      <c r="J33" s="39"/>
      <c r="K33" s="39"/>
      <c r="L33" s="45"/>
      <c r="M33" s="45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 t="str">
        <f>'Agents'' Final Roster 0823-0829'!Z33</f>
        <v>CSV1</v>
      </c>
      <c r="AA33" s="39"/>
      <c r="AB33" s="39"/>
      <c r="AC33" s="39"/>
      <c r="AD33" s="39"/>
      <c r="AE33" s="39"/>
      <c r="AF33" s="39"/>
      <c r="AG33" s="39"/>
      <c r="AH33" s="39"/>
      <c r="AI33" s="39"/>
      <c r="AJ33" s="46"/>
      <c r="AK33" s="46"/>
      <c r="AL33" s="47"/>
      <c r="AM33" s="52"/>
      <c r="AN33" s="53"/>
      <c r="AO33" s="50"/>
      <c r="AP33" s="57"/>
    </row>
    <row r="34" spans="1:42" s="5" customFormat="1" ht="15" customHeight="1" x14ac:dyDescent="0.25">
      <c r="A34" s="44" t="str">
        <f>'Agents'' Final Roster 0823-0829'!A34</f>
        <v>Campero Juarez Maria Guadalupe</v>
      </c>
      <c r="B34" s="39" t="str">
        <f>'Agents'' Final Roster 0823-0829'!B34</f>
        <v>Criado Esteban</v>
      </c>
      <c r="C34" s="39" t="str">
        <f>'Agents'' Final Roster 0823-0829'!C34</f>
        <v>Arias</v>
      </c>
      <c r="D34" s="39" t="str">
        <f>'Agents'' Final Roster 0823-0829'!D34</f>
        <v>Ivan Santiago</v>
      </c>
      <c r="E34" s="39"/>
      <c r="F34" s="39"/>
      <c r="G34" s="39"/>
      <c r="H34" s="39"/>
      <c r="I34" s="39"/>
      <c r="J34" s="39"/>
      <c r="K34" s="39"/>
      <c r="L34" s="45"/>
      <c r="M34" s="45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 t="str">
        <f>'Agents'' Final Roster 0823-0829'!Z34</f>
        <v>DVH</v>
      </c>
      <c r="AA34" s="39"/>
      <c r="AB34" s="39"/>
      <c r="AC34" s="39"/>
      <c r="AD34" s="39"/>
      <c r="AE34" s="39"/>
      <c r="AF34" s="39"/>
      <c r="AG34" s="39"/>
      <c r="AH34" s="39"/>
      <c r="AI34" s="39"/>
      <c r="AJ34" s="46"/>
      <c r="AK34" s="46"/>
      <c r="AL34" s="47"/>
      <c r="AM34" s="52"/>
      <c r="AN34" s="53"/>
      <c r="AO34" s="50"/>
      <c r="AP34" s="57"/>
    </row>
    <row r="35" spans="1:42" s="5" customFormat="1" ht="15" customHeight="1" x14ac:dyDescent="0.25">
      <c r="A35" s="44" t="str">
        <f>'Agents'' Final Roster 0823-0829'!A35</f>
        <v>Campero Juarez Maria Guadalupe</v>
      </c>
      <c r="B35" s="39" t="str">
        <f>'Agents'' Final Roster 0823-0829'!B35</f>
        <v>Criado Esteban</v>
      </c>
      <c r="C35" s="39" t="str">
        <f>'Agents'' Final Roster 0823-0829'!C35</f>
        <v>Bernard</v>
      </c>
      <c r="D35" s="39" t="str">
        <f>'Agents'' Final Roster 0823-0829'!D35</f>
        <v>Mariano</v>
      </c>
      <c r="E35" s="39"/>
      <c r="F35" s="39"/>
      <c r="G35" s="39"/>
      <c r="H35" s="39"/>
      <c r="I35" s="39"/>
      <c r="J35" s="39"/>
      <c r="K35" s="39"/>
      <c r="L35" s="45"/>
      <c r="M35" s="45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 t="str">
        <f>'Agents'' Final Roster 0823-0829'!Z35</f>
        <v>CSV1</v>
      </c>
      <c r="AA35" s="39"/>
      <c r="AB35" s="39"/>
      <c r="AC35" s="39"/>
      <c r="AD35" s="39"/>
      <c r="AE35" s="39"/>
      <c r="AF35" s="39"/>
      <c r="AG35" s="39"/>
      <c r="AH35" s="39"/>
      <c r="AI35" s="39"/>
      <c r="AJ35" s="46"/>
      <c r="AK35" s="46"/>
      <c r="AL35" s="47"/>
      <c r="AM35" s="52"/>
      <c r="AN35" s="53"/>
      <c r="AO35" s="50"/>
      <c r="AP35" s="57"/>
    </row>
    <row r="36" spans="1:42" s="5" customFormat="1" ht="15" customHeight="1" x14ac:dyDescent="0.25">
      <c r="A36" s="44" t="str">
        <f>'Agents'' Final Roster 0823-0829'!A36</f>
        <v>Campero Juarez Maria Guadalupe</v>
      </c>
      <c r="B36" s="39" t="str">
        <f>'Agents'' Final Roster 0823-0829'!B36</f>
        <v>Criado Esteban</v>
      </c>
      <c r="C36" s="39" t="str">
        <f>'Agents'' Final Roster 0823-0829'!C36</f>
        <v>Blacut</v>
      </c>
      <c r="D36" s="39" t="str">
        <f>'Agents'' Final Roster 0823-0829'!D36</f>
        <v>Carolina Concepcion</v>
      </c>
      <c r="E36" s="39"/>
      <c r="F36" s="39"/>
      <c r="G36" s="39"/>
      <c r="H36" s="39"/>
      <c r="I36" s="39"/>
      <c r="J36" s="39"/>
      <c r="K36" s="39"/>
      <c r="L36" s="45"/>
      <c r="M36" s="45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 t="str">
        <f>'Agents'' Final Roster 0823-0829'!Z36</f>
        <v>CSV1</v>
      </c>
      <c r="AA36" s="39"/>
      <c r="AB36" s="39"/>
      <c r="AC36" s="39"/>
      <c r="AD36" s="39"/>
      <c r="AE36" s="39"/>
      <c r="AF36" s="39"/>
      <c r="AG36" s="39"/>
      <c r="AH36" s="39"/>
      <c r="AI36" s="39"/>
      <c r="AJ36" s="46"/>
      <c r="AK36" s="46"/>
      <c r="AL36" s="47"/>
      <c r="AM36" s="52"/>
      <c r="AN36" s="53"/>
      <c r="AO36" s="50"/>
      <c r="AP36" s="57"/>
    </row>
    <row r="37" spans="1:42" s="5" customFormat="1" ht="15" customHeight="1" x14ac:dyDescent="0.25">
      <c r="A37" s="44" t="str">
        <f>'Agents'' Final Roster 0823-0829'!A37</f>
        <v>Campero Juarez Maria Guadalupe</v>
      </c>
      <c r="B37" s="39" t="str">
        <f>'Agents'' Final Roster 0823-0829'!B37</f>
        <v>Criado Esteban</v>
      </c>
      <c r="C37" s="39" t="str">
        <f>'Agents'' Final Roster 0823-0829'!C37</f>
        <v>Chico</v>
      </c>
      <c r="D37" s="39" t="str">
        <f>'Agents'' Final Roster 0823-0829'!D37</f>
        <v>Jessica Liliana</v>
      </c>
      <c r="E37" s="39"/>
      <c r="F37" s="39"/>
      <c r="G37" s="39"/>
      <c r="H37" s="39"/>
      <c r="I37" s="39"/>
      <c r="J37" s="39"/>
      <c r="K37" s="39"/>
      <c r="L37" s="45"/>
      <c r="M37" s="45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 t="str">
        <f>'Agents'' Final Roster 0823-0829'!Z37</f>
        <v>CSV1</v>
      </c>
      <c r="AA37" s="39"/>
      <c r="AB37" s="39"/>
      <c r="AC37" s="39"/>
      <c r="AD37" s="39"/>
      <c r="AE37" s="39"/>
      <c r="AF37" s="39"/>
      <c r="AG37" s="39"/>
      <c r="AH37" s="39"/>
      <c r="AI37" s="39"/>
      <c r="AJ37" s="46"/>
      <c r="AK37" s="46"/>
      <c r="AL37" s="47"/>
      <c r="AM37" s="52"/>
      <c r="AN37" s="53"/>
      <c r="AO37" s="50"/>
      <c r="AP37" s="57"/>
    </row>
    <row r="38" spans="1:42" s="5" customFormat="1" ht="15" customHeight="1" x14ac:dyDescent="0.25">
      <c r="A38" s="44" t="str">
        <f>'Agents'' Final Roster 0823-0829'!A38</f>
        <v>Campero Juarez Maria Guadalupe</v>
      </c>
      <c r="B38" s="39" t="str">
        <f>'Agents'' Final Roster 0823-0829'!B38</f>
        <v>Criado Esteban</v>
      </c>
      <c r="C38" s="39" t="str">
        <f>'Agents'' Final Roster 0823-0829'!C38</f>
        <v>Ferraro</v>
      </c>
      <c r="D38" s="39" t="str">
        <f>'Agents'' Final Roster 0823-0829'!D38</f>
        <v>David Franco Ramón</v>
      </c>
      <c r="E38" s="39"/>
      <c r="F38" s="39"/>
      <c r="G38" s="39"/>
      <c r="H38" s="39"/>
      <c r="I38" s="39"/>
      <c r="J38" s="39"/>
      <c r="K38" s="39"/>
      <c r="L38" s="45"/>
      <c r="M38" s="45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 t="str">
        <f>'Agents'' Final Roster 0823-0829'!Z38</f>
        <v>CSV1</v>
      </c>
      <c r="AA38" s="39"/>
      <c r="AB38" s="39"/>
      <c r="AC38" s="39"/>
      <c r="AD38" s="39"/>
      <c r="AE38" s="39"/>
      <c r="AF38" s="39"/>
      <c r="AG38" s="39"/>
      <c r="AH38" s="39"/>
      <c r="AI38" s="39"/>
      <c r="AJ38" s="46"/>
      <c r="AK38" s="46"/>
      <c r="AL38" s="47"/>
      <c r="AM38" s="52"/>
      <c r="AN38" s="53"/>
      <c r="AO38" s="50"/>
      <c r="AP38" s="57"/>
    </row>
    <row r="39" spans="1:42" s="5" customFormat="1" ht="15" customHeight="1" x14ac:dyDescent="0.25">
      <c r="A39" s="44" t="str">
        <f>'Agents'' Final Roster 0823-0829'!A39</f>
        <v>Campero Juarez Maria Guadalupe</v>
      </c>
      <c r="B39" s="39" t="str">
        <f>'Agents'' Final Roster 0823-0829'!B39</f>
        <v>Criado Esteban</v>
      </c>
      <c r="C39" s="39" t="str">
        <f>'Agents'' Final Roster 0823-0829'!C39</f>
        <v>Jandar</v>
      </c>
      <c r="D39" s="39" t="str">
        <f>'Agents'' Final Roster 0823-0829'!D39</f>
        <v>Fabio Nicolás</v>
      </c>
      <c r="E39" s="39"/>
      <c r="F39" s="39"/>
      <c r="G39" s="39"/>
      <c r="H39" s="39"/>
      <c r="I39" s="39"/>
      <c r="J39" s="39"/>
      <c r="K39" s="39"/>
      <c r="L39" s="45"/>
      <c r="M39" s="45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 t="str">
        <f>'Agents'' Final Roster 0823-0829'!Z39</f>
        <v>CSV1</v>
      </c>
      <c r="AA39" s="39"/>
      <c r="AB39" s="39"/>
      <c r="AC39" s="39"/>
      <c r="AD39" s="39"/>
      <c r="AE39" s="39"/>
      <c r="AF39" s="39"/>
      <c r="AG39" s="39"/>
      <c r="AH39" s="39"/>
      <c r="AI39" s="39"/>
      <c r="AJ39" s="46"/>
      <c r="AK39" s="46"/>
      <c r="AL39" s="47"/>
      <c r="AM39" s="52"/>
      <c r="AN39" s="53"/>
      <c r="AO39" s="50"/>
      <c r="AP39" s="57"/>
    </row>
    <row r="40" spans="1:42" s="5" customFormat="1" ht="15" customHeight="1" x14ac:dyDescent="0.25">
      <c r="A40" s="44" t="str">
        <f>'Agents'' Final Roster 0823-0829'!A40</f>
        <v>Campero Juarez Maria Guadalupe</v>
      </c>
      <c r="B40" s="39" t="str">
        <f>'Agents'' Final Roster 0823-0829'!B40</f>
        <v>Criado Esteban</v>
      </c>
      <c r="C40" s="39" t="str">
        <f>'Agents'' Final Roster 0823-0829'!C40</f>
        <v>Jerez</v>
      </c>
      <c r="D40" s="39" t="str">
        <f>'Agents'' Final Roster 0823-0829'!D40</f>
        <v>María Celeste</v>
      </c>
      <c r="E40" s="39"/>
      <c r="F40" s="39"/>
      <c r="G40" s="39"/>
      <c r="H40" s="39"/>
      <c r="I40" s="39"/>
      <c r="J40" s="39"/>
      <c r="K40" s="39"/>
      <c r="L40" s="45"/>
      <c r="M40" s="45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 t="str">
        <f>'Agents'' Final Roster 0823-0829'!Z40</f>
        <v>DVH</v>
      </c>
      <c r="AA40" s="39"/>
      <c r="AB40" s="39"/>
      <c r="AC40" s="39"/>
      <c r="AD40" s="39"/>
      <c r="AE40" s="39"/>
      <c r="AF40" s="39"/>
      <c r="AG40" s="39"/>
      <c r="AH40" s="39"/>
      <c r="AI40" s="39"/>
      <c r="AJ40" s="46"/>
      <c r="AK40" s="46"/>
      <c r="AL40" s="47"/>
      <c r="AM40" s="52"/>
      <c r="AN40" s="53"/>
      <c r="AO40" s="50"/>
      <c r="AP40" s="57"/>
    </row>
    <row r="41" spans="1:42" s="5" customFormat="1" ht="15" customHeight="1" x14ac:dyDescent="0.25">
      <c r="A41" s="44" t="str">
        <f>'Agents'' Final Roster 0823-0829'!A41</f>
        <v>Campero Juarez Maria Guadalupe</v>
      </c>
      <c r="B41" s="39" t="str">
        <f>'Agents'' Final Roster 0823-0829'!B41</f>
        <v>Criado Esteban</v>
      </c>
      <c r="C41" s="39" t="str">
        <f>'Agents'' Final Roster 0823-0829'!C41</f>
        <v>Juri</v>
      </c>
      <c r="D41" s="39" t="str">
        <f>'Agents'' Final Roster 0823-0829'!D41</f>
        <v>Aida Del Valle</v>
      </c>
      <c r="E41" s="39"/>
      <c r="F41" s="39"/>
      <c r="G41" s="39"/>
      <c r="H41" s="39"/>
      <c r="I41" s="39"/>
      <c r="J41" s="39"/>
      <c r="K41" s="39"/>
      <c r="L41" s="45"/>
      <c r="M41" s="45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 t="str">
        <f>'Agents'' Final Roster 0823-0829'!Z41</f>
        <v>CSV1</v>
      </c>
      <c r="AA41" s="39"/>
      <c r="AB41" s="39"/>
      <c r="AC41" s="39"/>
      <c r="AD41" s="39"/>
      <c r="AE41" s="39"/>
      <c r="AF41" s="39"/>
      <c r="AG41" s="39"/>
      <c r="AH41" s="39"/>
      <c r="AI41" s="39"/>
      <c r="AJ41" s="46"/>
      <c r="AK41" s="46"/>
      <c r="AL41" s="47"/>
      <c r="AM41" s="52"/>
      <c r="AN41" s="53"/>
      <c r="AO41" s="50"/>
      <c r="AP41" s="57"/>
    </row>
    <row r="42" spans="1:42" s="5" customFormat="1" ht="15" customHeight="1" x14ac:dyDescent="0.25">
      <c r="A42" s="44" t="str">
        <f>'Agents'' Final Roster 0823-0829'!A42</f>
        <v>Campero Juarez Maria Guadalupe</v>
      </c>
      <c r="B42" s="39" t="str">
        <f>'Agents'' Final Roster 0823-0829'!B42</f>
        <v>Criado Esteban</v>
      </c>
      <c r="C42" s="39" t="str">
        <f>'Agents'' Final Roster 0823-0829'!C42</f>
        <v>Leal Martinez</v>
      </c>
      <c r="D42" s="39" t="str">
        <f>'Agents'' Final Roster 0823-0829'!D42</f>
        <v>Matias Emanuel</v>
      </c>
      <c r="E42" s="39"/>
      <c r="F42" s="39"/>
      <c r="G42" s="39"/>
      <c r="H42" s="39"/>
      <c r="I42" s="39"/>
      <c r="J42" s="39"/>
      <c r="K42" s="39"/>
      <c r="L42" s="45"/>
      <c r="M42" s="45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 t="str">
        <f>'Agents'' Final Roster 0823-0829'!Z42</f>
        <v>CSV1</v>
      </c>
      <c r="AA42" s="39"/>
      <c r="AB42" s="39"/>
      <c r="AC42" s="39"/>
      <c r="AD42" s="39"/>
      <c r="AE42" s="39"/>
      <c r="AF42" s="39"/>
      <c r="AG42" s="39"/>
      <c r="AH42" s="39"/>
      <c r="AI42" s="39"/>
      <c r="AJ42" s="46"/>
      <c r="AK42" s="46"/>
      <c r="AL42" s="47"/>
      <c r="AM42" s="52"/>
      <c r="AN42" s="53"/>
      <c r="AO42" s="50"/>
      <c r="AP42" s="57"/>
    </row>
    <row r="43" spans="1:42" s="5" customFormat="1" ht="15" customHeight="1" x14ac:dyDescent="0.25">
      <c r="A43" s="44" t="str">
        <f>'Agents'' Final Roster 0823-0829'!A43</f>
        <v>Campero Juarez Maria Guadalupe</v>
      </c>
      <c r="B43" s="39" t="str">
        <f>'Agents'' Final Roster 0823-0829'!B43</f>
        <v>Criado Esteban</v>
      </c>
      <c r="C43" s="39" t="str">
        <f>'Agents'' Final Roster 0823-0829'!C43</f>
        <v>Mansilla</v>
      </c>
      <c r="D43" s="39" t="str">
        <f>'Agents'' Final Roster 0823-0829'!D43</f>
        <v>Karen Nicole</v>
      </c>
      <c r="E43" s="39"/>
      <c r="F43" s="39"/>
      <c r="G43" s="39"/>
      <c r="H43" s="39"/>
      <c r="I43" s="39"/>
      <c r="J43" s="39"/>
      <c r="K43" s="39"/>
      <c r="L43" s="45"/>
      <c r="M43" s="45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 t="str">
        <f>'Agents'' Final Roster 0823-0829'!Z43</f>
        <v>DVH</v>
      </c>
      <c r="AA43" s="39"/>
      <c r="AB43" s="39"/>
      <c r="AC43" s="39"/>
      <c r="AD43" s="39"/>
      <c r="AE43" s="39"/>
      <c r="AF43" s="39"/>
      <c r="AG43" s="39"/>
      <c r="AH43" s="39"/>
      <c r="AI43" s="39"/>
      <c r="AJ43" s="46"/>
      <c r="AK43" s="46"/>
      <c r="AL43" s="47"/>
      <c r="AM43" s="52"/>
      <c r="AN43" s="53"/>
      <c r="AO43" s="50"/>
      <c r="AP43" s="57"/>
    </row>
    <row r="44" spans="1:42" s="5" customFormat="1" ht="15" customHeight="1" x14ac:dyDescent="0.25">
      <c r="A44" s="44" t="str">
        <f>'Agents'' Final Roster 0823-0829'!A44</f>
        <v>Campero Juarez Maria Guadalupe</v>
      </c>
      <c r="B44" s="39" t="str">
        <f>'Agents'' Final Roster 0823-0829'!B44</f>
        <v>Criado Esteban</v>
      </c>
      <c r="C44" s="39" t="str">
        <f>'Agents'' Final Roster 0823-0829'!C44</f>
        <v>Paz</v>
      </c>
      <c r="D44" s="39" t="str">
        <f>'Agents'' Final Roster 0823-0829'!D44</f>
        <v>Enzo Javier</v>
      </c>
      <c r="E44" s="39"/>
      <c r="F44" s="39"/>
      <c r="G44" s="39"/>
      <c r="H44" s="39"/>
      <c r="I44" s="39"/>
      <c r="J44" s="39"/>
      <c r="K44" s="39"/>
      <c r="L44" s="45"/>
      <c r="M44" s="45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 t="str">
        <f>'Agents'' Final Roster 0823-0829'!Z44</f>
        <v>DVH</v>
      </c>
      <c r="AA44" s="39"/>
      <c r="AB44" s="39"/>
      <c r="AC44" s="39"/>
      <c r="AD44" s="39"/>
      <c r="AE44" s="39"/>
      <c r="AF44" s="39"/>
      <c r="AG44" s="39"/>
      <c r="AH44" s="39"/>
      <c r="AI44" s="39"/>
      <c r="AJ44" s="46"/>
      <c r="AK44" s="46"/>
      <c r="AL44" s="47"/>
      <c r="AM44" s="52"/>
      <c r="AN44" s="53"/>
      <c r="AO44" s="50"/>
      <c r="AP44" s="57"/>
    </row>
    <row r="45" spans="1:42" s="5" customFormat="1" ht="15" customHeight="1" x14ac:dyDescent="0.25">
      <c r="A45" s="44" t="str">
        <f>'Agents'' Final Roster 0823-0829'!A45</f>
        <v>Campero Juarez Maria Guadalupe</v>
      </c>
      <c r="B45" s="39" t="str">
        <f>'Agents'' Final Roster 0823-0829'!B45</f>
        <v>Criado Esteban</v>
      </c>
      <c r="C45" s="39" t="str">
        <f>'Agents'' Final Roster 0823-0829'!C45</f>
        <v>Ruiz</v>
      </c>
      <c r="D45" s="39" t="str">
        <f>'Agents'' Final Roster 0823-0829'!D45</f>
        <v>Daniel Antonio</v>
      </c>
      <c r="E45" s="39"/>
      <c r="F45" s="39"/>
      <c r="G45" s="39"/>
      <c r="H45" s="39"/>
      <c r="I45" s="39"/>
      <c r="J45" s="39"/>
      <c r="K45" s="39"/>
      <c r="L45" s="45"/>
      <c r="M45" s="45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 t="str">
        <f>'Agents'' Final Roster 0823-0829'!Z45</f>
        <v>DVH</v>
      </c>
      <c r="AA45" s="39"/>
      <c r="AB45" s="39"/>
      <c r="AC45" s="39"/>
      <c r="AD45" s="39"/>
      <c r="AE45" s="39"/>
      <c r="AF45" s="39"/>
      <c r="AG45" s="39"/>
      <c r="AH45" s="39"/>
      <c r="AI45" s="39"/>
      <c r="AJ45" s="46"/>
      <c r="AK45" s="46"/>
      <c r="AL45" s="47"/>
      <c r="AM45" s="52"/>
      <c r="AN45" s="53"/>
      <c r="AO45" s="50"/>
      <c r="AP45" s="57"/>
    </row>
    <row r="46" spans="1:42" s="5" customFormat="1" ht="15" customHeight="1" x14ac:dyDescent="0.25">
      <c r="A46" s="44" t="str">
        <f>'Agents'' Final Roster 0823-0829'!A46</f>
        <v>Campero Juarez Maria Guadalupe</v>
      </c>
      <c r="B46" s="39" t="str">
        <f>'Agents'' Final Roster 0823-0829'!B46</f>
        <v>Criado Esteban</v>
      </c>
      <c r="C46" s="39" t="str">
        <f>'Agents'' Final Roster 0823-0829'!C46</f>
        <v>Salinas</v>
      </c>
      <c r="D46" s="39" t="str">
        <f>'Agents'' Final Roster 0823-0829'!D46</f>
        <v>Mariana Josefina</v>
      </c>
      <c r="E46" s="39"/>
      <c r="F46" s="39"/>
      <c r="G46" s="39"/>
      <c r="H46" s="39"/>
      <c r="I46" s="39"/>
      <c r="J46" s="39"/>
      <c r="K46" s="39"/>
      <c r="L46" s="45"/>
      <c r="M46" s="45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 t="str">
        <f>'Agents'' Final Roster 0823-0829'!Z46</f>
        <v>Habilitaciones</v>
      </c>
      <c r="AA46" s="39"/>
      <c r="AB46" s="39"/>
      <c r="AC46" s="39"/>
      <c r="AD46" s="39"/>
      <c r="AE46" s="39"/>
      <c r="AF46" s="39"/>
      <c r="AG46" s="39"/>
      <c r="AH46" s="39"/>
      <c r="AI46" s="39"/>
      <c r="AJ46" s="46"/>
      <c r="AK46" s="46"/>
      <c r="AL46" s="47"/>
      <c r="AM46" s="52"/>
      <c r="AN46" s="53"/>
      <c r="AO46" s="50"/>
      <c r="AP46" s="57"/>
    </row>
    <row r="47" spans="1:42" s="5" customFormat="1" ht="15" customHeight="1" x14ac:dyDescent="0.25">
      <c r="A47" s="69" t="str">
        <f>'Agents'' Final Roster 0823-0829'!A47</f>
        <v>Campero Juarez Maria Guadalupe</v>
      </c>
      <c r="B47" s="70" t="str">
        <f>'Agents'' Final Roster 0823-0829'!B47</f>
        <v>Criado Esteban</v>
      </c>
      <c r="C47" s="70" t="str">
        <f>'Agents'' Final Roster 0823-0829'!C47</f>
        <v>Santucho</v>
      </c>
      <c r="D47" s="70" t="str">
        <f>'Agents'' Final Roster 0823-0829'!D47</f>
        <v>María del Rosario</v>
      </c>
      <c r="E47" s="70"/>
      <c r="F47" s="70"/>
      <c r="G47" s="70"/>
      <c r="H47" s="70"/>
      <c r="I47" s="70"/>
      <c r="J47" s="70"/>
      <c r="K47" s="70"/>
      <c r="L47" s="45"/>
      <c r="M47" s="45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 t="str">
        <f>'Agents'' Final Roster 0823-0829'!Z47</f>
        <v>CSV1</v>
      </c>
      <c r="AA47" s="39"/>
      <c r="AB47" s="39"/>
      <c r="AC47" s="39"/>
      <c r="AD47" s="39"/>
      <c r="AE47" s="39"/>
      <c r="AF47" s="39"/>
      <c r="AG47" s="39"/>
      <c r="AH47" s="39"/>
      <c r="AI47" s="39"/>
      <c r="AJ47" s="46"/>
      <c r="AK47" s="46"/>
      <c r="AL47" s="47"/>
      <c r="AM47" s="52"/>
      <c r="AN47" s="53"/>
      <c r="AO47" s="50"/>
      <c r="AP47" s="57"/>
    </row>
    <row r="48" spans="1:42" s="5" customFormat="1" ht="15" customHeight="1" x14ac:dyDescent="0.25">
      <c r="A48" s="69" t="str">
        <f>'Agents'' Final Roster 0823-0829'!A48</f>
        <v>Campero Juarez Maria Guadalupe</v>
      </c>
      <c r="B48" s="70" t="str">
        <f>'Agents'' Final Roster 0823-0829'!B48</f>
        <v>Criado Esteban</v>
      </c>
      <c r="C48" s="70" t="str">
        <f>'Agents'' Final Roster 0823-0829'!C48</f>
        <v>Villagra</v>
      </c>
      <c r="D48" s="70" t="str">
        <f>'Agents'' Final Roster 0823-0829'!D48</f>
        <v xml:space="preserve">Daniela Alejandra </v>
      </c>
      <c r="E48" s="70"/>
      <c r="F48" s="70"/>
      <c r="G48" s="70"/>
      <c r="H48" s="70"/>
      <c r="I48" s="70"/>
      <c r="J48" s="70"/>
      <c r="K48" s="70"/>
      <c r="L48" s="45"/>
      <c r="M48" s="45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 t="str">
        <f>'Agents'' Final Roster 0823-0829'!Z48</f>
        <v>DVH</v>
      </c>
      <c r="AA48" s="39"/>
      <c r="AB48" s="39"/>
      <c r="AC48" s="39"/>
      <c r="AD48" s="39"/>
      <c r="AE48" s="39"/>
      <c r="AF48" s="39"/>
      <c r="AG48" s="39"/>
      <c r="AH48" s="39"/>
      <c r="AI48" s="39"/>
      <c r="AJ48" s="46"/>
      <c r="AK48" s="46"/>
      <c r="AL48" s="47"/>
      <c r="AM48" s="52"/>
      <c r="AN48" s="53"/>
      <c r="AO48" s="50"/>
      <c r="AP48" s="57"/>
    </row>
    <row r="49" spans="1:42" s="5" customFormat="1" ht="15" customHeight="1" x14ac:dyDescent="0.25">
      <c r="A49" s="44" t="str">
        <f>'Agents'' Final Roster 0823-0829'!A49</f>
        <v>Campero Juarez Maria Guadalupe</v>
      </c>
      <c r="B49" s="39" t="str">
        <f>'Agents'' Final Roster 0823-0829'!B49</f>
        <v>Gregoratti Juan Carlos</v>
      </c>
      <c r="C49" s="39" t="str">
        <f>'Agents'' Final Roster 0823-0829'!C49</f>
        <v>Agüero</v>
      </c>
      <c r="D49" s="39" t="str">
        <f>'Agents'' Final Roster 0823-0829'!D49</f>
        <v>Maria Micaela</v>
      </c>
      <c r="E49" s="39"/>
      <c r="F49" s="39"/>
      <c r="G49" s="39"/>
      <c r="H49" s="39"/>
      <c r="I49" s="39"/>
      <c r="J49" s="39"/>
      <c r="K49" s="39"/>
      <c r="L49" s="45"/>
      <c r="M49" s="45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 t="str">
        <f>'Agents'' Final Roster 0823-0829'!Z49</f>
        <v>DVH</v>
      </c>
      <c r="AA49" s="39"/>
      <c r="AB49" s="39"/>
      <c r="AC49" s="39"/>
      <c r="AD49" s="39"/>
      <c r="AE49" s="39"/>
      <c r="AF49" s="39"/>
      <c r="AG49" s="39"/>
      <c r="AH49" s="39"/>
      <c r="AI49" s="39"/>
      <c r="AJ49" s="46"/>
      <c r="AK49" s="46"/>
      <c r="AL49" s="47"/>
      <c r="AM49" s="52"/>
      <c r="AN49" s="53"/>
      <c r="AO49" s="50"/>
      <c r="AP49" s="57"/>
    </row>
    <row r="50" spans="1:42" s="5" customFormat="1" ht="15" customHeight="1" x14ac:dyDescent="0.25">
      <c r="A50" s="69" t="str">
        <f>'Agents'' Final Roster 0823-0829'!A50</f>
        <v>Campero Juarez Maria Guadalupe</v>
      </c>
      <c r="B50" s="70" t="str">
        <f>'Agents'' Final Roster 0823-0829'!B50</f>
        <v>Gregoratti Juan Carlos</v>
      </c>
      <c r="C50" s="70" t="str">
        <f>'Agents'' Final Roster 0823-0829'!C50</f>
        <v xml:space="preserve">Alarcon </v>
      </c>
      <c r="D50" s="70" t="str">
        <f>'Agents'' Final Roster 0823-0829'!D50</f>
        <v>Yanet Micaela</v>
      </c>
      <c r="E50" s="70"/>
      <c r="F50" s="70"/>
      <c r="G50" s="70"/>
      <c r="H50" s="70"/>
      <c r="I50" s="70"/>
      <c r="J50" s="70"/>
      <c r="K50" s="70"/>
      <c r="L50" s="45"/>
      <c r="M50" s="45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 t="str">
        <f>'Agents'' Final Roster 0823-0829'!Z50</f>
        <v>DVH</v>
      </c>
      <c r="AA50" s="39"/>
      <c r="AB50" s="39"/>
      <c r="AC50" s="39"/>
      <c r="AD50" s="39"/>
      <c r="AE50" s="39"/>
      <c r="AF50" s="39"/>
      <c r="AG50" s="39"/>
      <c r="AH50" s="39"/>
      <c r="AI50" s="39"/>
      <c r="AJ50" s="46"/>
      <c r="AK50" s="46"/>
      <c r="AL50" s="47"/>
      <c r="AM50" s="52"/>
      <c r="AN50" s="53"/>
      <c r="AO50" s="50"/>
      <c r="AP50" s="57"/>
    </row>
    <row r="51" spans="1:42" s="5" customFormat="1" ht="15" customHeight="1" x14ac:dyDescent="0.25">
      <c r="A51" s="44" t="str">
        <f>'Agents'' Final Roster 0823-0829'!A51</f>
        <v>Campero Juarez Maria Guadalupe</v>
      </c>
      <c r="B51" s="39" t="str">
        <f>'Agents'' Final Roster 0823-0829'!B51</f>
        <v>Gregoratti Juan Carlos</v>
      </c>
      <c r="C51" s="39" t="str">
        <f>'Agents'' Final Roster 0823-0829'!C51</f>
        <v>Blanco Brandan</v>
      </c>
      <c r="D51" s="39" t="str">
        <f>'Agents'' Final Roster 0823-0829'!D51</f>
        <v>Bianca Abigail</v>
      </c>
      <c r="E51" s="39"/>
      <c r="F51" s="39"/>
      <c r="G51" s="39"/>
      <c r="H51" s="39"/>
      <c r="I51" s="39"/>
      <c r="J51" s="39"/>
      <c r="K51" s="39"/>
      <c r="L51" s="45"/>
      <c r="M51" s="45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 t="str">
        <f>'Agents'' Final Roster 0823-0829'!Z51</f>
        <v>Compras Referidas</v>
      </c>
      <c r="AA51" s="39"/>
      <c r="AB51" s="39"/>
      <c r="AC51" s="39"/>
      <c r="AD51" s="39"/>
      <c r="AE51" s="39"/>
      <c r="AF51" s="39"/>
      <c r="AG51" s="39"/>
      <c r="AH51" s="39"/>
      <c r="AI51" s="39"/>
      <c r="AJ51" s="46"/>
      <c r="AK51" s="46"/>
      <c r="AL51" s="47"/>
      <c r="AM51" s="52"/>
      <c r="AN51" s="53"/>
      <c r="AO51" s="50"/>
      <c r="AP51" s="57"/>
    </row>
    <row r="52" spans="1:42" s="5" customFormat="1" ht="15" customHeight="1" x14ac:dyDescent="0.25">
      <c r="A52" s="44" t="str">
        <f>'Agents'' Final Roster 0823-0829'!A52</f>
        <v>Campero Juarez Maria Guadalupe</v>
      </c>
      <c r="B52" s="39" t="str">
        <f>'Agents'' Final Roster 0823-0829'!B52</f>
        <v>Gregoratti Juan Carlos</v>
      </c>
      <c r="C52" s="39" t="str">
        <f>'Agents'' Final Roster 0823-0829'!C52</f>
        <v>Carrizo</v>
      </c>
      <c r="D52" s="39" t="str">
        <f>'Agents'' Final Roster 0823-0829'!D52</f>
        <v>Ulises Joel</v>
      </c>
      <c r="E52" s="39"/>
      <c r="F52" s="39"/>
      <c r="G52" s="39"/>
      <c r="H52" s="39"/>
      <c r="I52" s="39"/>
      <c r="J52" s="39"/>
      <c r="K52" s="39"/>
      <c r="L52" s="45"/>
      <c r="M52" s="45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 t="str">
        <f>'Agents'' Final Roster 0823-0829'!Z52</f>
        <v>Servicios web</v>
      </c>
      <c r="AA52" s="39"/>
      <c r="AB52" s="39"/>
      <c r="AC52" s="39"/>
      <c r="AD52" s="39"/>
      <c r="AE52" s="39"/>
      <c r="AF52" s="39"/>
      <c r="AG52" s="39"/>
      <c r="AH52" s="39"/>
      <c r="AI52" s="39"/>
      <c r="AJ52" s="46"/>
      <c r="AK52" s="46"/>
      <c r="AL52" s="47"/>
      <c r="AM52" s="52"/>
      <c r="AN52" s="53"/>
      <c r="AO52" s="50"/>
      <c r="AP52" s="57"/>
    </row>
    <row r="53" spans="1:42" s="5" customFormat="1" ht="15" customHeight="1" x14ac:dyDescent="0.25">
      <c r="A53" s="44" t="str">
        <f>'Agents'' Final Roster 0823-0829'!A53</f>
        <v>Campero Juarez Maria Guadalupe</v>
      </c>
      <c r="B53" s="39" t="str">
        <f>'Agents'' Final Roster 0823-0829'!B53</f>
        <v>Gregoratti Juan Carlos</v>
      </c>
      <c r="C53" s="39" t="str">
        <f>'Agents'' Final Roster 0823-0829'!C53</f>
        <v>Escobar</v>
      </c>
      <c r="D53" s="39" t="str">
        <f>'Agents'' Final Roster 0823-0829'!D53</f>
        <v>Carolina del Valle</v>
      </c>
      <c r="E53" s="39"/>
      <c r="F53" s="39"/>
      <c r="G53" s="39"/>
      <c r="H53" s="39"/>
      <c r="I53" s="39"/>
      <c r="J53" s="39"/>
      <c r="K53" s="39"/>
      <c r="L53" s="45"/>
      <c r="M53" s="45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 t="str">
        <f>'Agents'' Final Roster 0823-0829'!Z53</f>
        <v>CSV2</v>
      </c>
      <c r="AA53" s="39"/>
      <c r="AB53" s="39"/>
      <c r="AC53" s="39"/>
      <c r="AD53" s="39"/>
      <c r="AE53" s="39"/>
      <c r="AF53" s="39"/>
      <c r="AG53" s="39"/>
      <c r="AH53" s="39"/>
      <c r="AI53" s="39"/>
      <c r="AJ53" s="46"/>
      <c r="AK53" s="46"/>
      <c r="AL53" s="47"/>
      <c r="AM53" s="52"/>
      <c r="AN53" s="53"/>
      <c r="AO53" s="50"/>
      <c r="AP53" s="57"/>
    </row>
    <row r="54" spans="1:42" s="5" customFormat="1" ht="15" customHeight="1" x14ac:dyDescent="0.25">
      <c r="A54" s="44" t="str">
        <f>'Agents'' Final Roster 0823-0829'!A54</f>
        <v>Campero Juarez Maria Guadalupe</v>
      </c>
      <c r="B54" s="39" t="str">
        <f>'Agents'' Final Roster 0823-0829'!B54</f>
        <v>Gregoratti Juan Carlos</v>
      </c>
      <c r="C54" s="39" t="str">
        <f>'Agents'' Final Roster 0823-0829'!C54</f>
        <v>Garcia Jerez</v>
      </c>
      <c r="D54" s="39" t="str">
        <f>'Agents'' Final Roster 0823-0829'!D54</f>
        <v xml:space="preserve">Matias Agustin </v>
      </c>
      <c r="E54" s="39"/>
      <c r="F54" s="39"/>
      <c r="G54" s="39"/>
      <c r="H54" s="39"/>
      <c r="I54" s="39"/>
      <c r="J54" s="39"/>
      <c r="K54" s="39"/>
      <c r="L54" s="45"/>
      <c r="M54" s="45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 t="str">
        <f>'Agents'' Final Roster 0823-0829'!Z54</f>
        <v>DVH</v>
      </c>
      <c r="AA54" s="39"/>
      <c r="AB54" s="39"/>
      <c r="AC54" s="39"/>
      <c r="AD54" s="39"/>
      <c r="AE54" s="39"/>
      <c r="AF54" s="39"/>
      <c r="AG54" s="39"/>
      <c r="AH54" s="39"/>
      <c r="AI54" s="39"/>
      <c r="AJ54" s="46"/>
      <c r="AK54" s="46"/>
      <c r="AL54" s="47"/>
      <c r="AM54" s="52"/>
      <c r="AN54" s="53"/>
      <c r="AO54" s="50"/>
      <c r="AP54" s="57"/>
    </row>
    <row r="55" spans="1:42" s="5" customFormat="1" ht="15" customHeight="1" x14ac:dyDescent="0.25">
      <c r="A55" s="44" t="str">
        <f>'Agents'' Final Roster 0823-0829'!A55</f>
        <v>Campero Juarez Maria Guadalupe</v>
      </c>
      <c r="B55" s="39" t="str">
        <f>'Agents'' Final Roster 0823-0829'!B55</f>
        <v>Gregoratti Juan Carlos</v>
      </c>
      <c r="C55" s="39" t="str">
        <f>'Agents'' Final Roster 0823-0829'!C55</f>
        <v>Lafuente</v>
      </c>
      <c r="D55" s="39" t="str">
        <f>'Agents'' Final Roster 0823-0829'!D55</f>
        <v>Facundo Edel</v>
      </c>
      <c r="E55" s="39"/>
      <c r="F55" s="39"/>
      <c r="G55" s="39"/>
      <c r="H55" s="39"/>
      <c r="I55" s="39"/>
      <c r="J55" s="39"/>
      <c r="K55" s="39"/>
      <c r="L55" s="45"/>
      <c r="M55" s="45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 t="str">
        <f>'Agents'' Final Roster 0823-0829'!Z55</f>
        <v>DVH</v>
      </c>
      <c r="AA55" s="39"/>
      <c r="AB55" s="39"/>
      <c r="AC55" s="39"/>
      <c r="AD55" s="39"/>
      <c r="AE55" s="39"/>
      <c r="AF55" s="39"/>
      <c r="AG55" s="39"/>
      <c r="AH55" s="39"/>
      <c r="AI55" s="39"/>
      <c r="AJ55" s="46"/>
      <c r="AK55" s="46"/>
      <c r="AL55" s="47"/>
      <c r="AM55" s="52"/>
      <c r="AN55" s="53"/>
      <c r="AO55" s="50"/>
      <c r="AP55" s="57"/>
    </row>
    <row r="56" spans="1:42" s="5" customFormat="1" ht="15" customHeight="1" x14ac:dyDescent="0.25">
      <c r="A56" s="44" t="str">
        <f>'Agents'' Final Roster 0823-0829'!A56</f>
        <v>Campero Juarez Maria Guadalupe</v>
      </c>
      <c r="B56" s="39" t="str">
        <f>'Agents'' Final Roster 0823-0829'!B56</f>
        <v>Gregoratti Juan Carlos</v>
      </c>
      <c r="C56" s="39" t="str">
        <f>'Agents'' Final Roster 0823-0829'!C56</f>
        <v>Lescano</v>
      </c>
      <c r="D56" s="39" t="str">
        <f>'Agents'' Final Roster 0823-0829'!D56</f>
        <v>Daiana Gissel</v>
      </c>
      <c r="E56" s="39"/>
      <c r="F56" s="39"/>
      <c r="G56" s="39"/>
      <c r="H56" s="39"/>
      <c r="I56" s="39"/>
      <c r="J56" s="39"/>
      <c r="K56" s="39"/>
      <c r="L56" s="45"/>
      <c r="M56" s="45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 t="str">
        <f>'Agents'' Final Roster 0823-0829'!Z56</f>
        <v>DVH</v>
      </c>
      <c r="AA56" s="39"/>
      <c r="AB56" s="39"/>
      <c r="AC56" s="39"/>
      <c r="AD56" s="39"/>
      <c r="AE56" s="39"/>
      <c r="AF56" s="39"/>
      <c r="AG56" s="39"/>
      <c r="AH56" s="39"/>
      <c r="AI56" s="39"/>
      <c r="AJ56" s="46"/>
      <c r="AK56" s="46"/>
      <c r="AL56" s="47"/>
      <c r="AM56" s="52"/>
      <c r="AN56" s="53"/>
      <c r="AO56" s="50"/>
      <c r="AP56" s="57"/>
    </row>
    <row r="57" spans="1:42" s="5" customFormat="1" ht="15" customHeight="1" x14ac:dyDescent="0.25">
      <c r="A57" s="44" t="str">
        <f>'Agents'' Final Roster 0823-0829'!A57</f>
        <v>Campero Juarez Maria Guadalupe</v>
      </c>
      <c r="B57" s="39" t="str">
        <f>'Agents'' Final Roster 0823-0829'!B57</f>
        <v>Gregoratti Juan Carlos</v>
      </c>
      <c r="C57" s="39" t="str">
        <f>'Agents'' Final Roster 0823-0829'!C57</f>
        <v>Lizárraga</v>
      </c>
      <c r="D57" s="39" t="str">
        <f>'Agents'' Final Roster 0823-0829'!D57</f>
        <v>Lucas Iván</v>
      </c>
      <c r="E57" s="39"/>
      <c r="F57" s="39"/>
      <c r="G57" s="39"/>
      <c r="H57" s="39"/>
      <c r="I57" s="39"/>
      <c r="J57" s="39"/>
      <c r="K57" s="39"/>
      <c r="L57" s="45"/>
      <c r="M57" s="45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 t="str">
        <f>'Agents'' Final Roster 0823-0829'!Z57</f>
        <v>CSV1</v>
      </c>
      <c r="AA57" s="39"/>
      <c r="AB57" s="39"/>
      <c r="AC57" s="39"/>
      <c r="AD57" s="39"/>
      <c r="AE57" s="39"/>
      <c r="AF57" s="39"/>
      <c r="AG57" s="39"/>
      <c r="AH57" s="39"/>
      <c r="AI57" s="39"/>
      <c r="AJ57" s="46"/>
      <c r="AK57" s="46"/>
      <c r="AL57" s="47"/>
      <c r="AM57" s="52"/>
      <c r="AN57" s="53"/>
      <c r="AO57" s="50"/>
      <c r="AP57" s="57"/>
    </row>
    <row r="58" spans="1:42" s="5" customFormat="1" ht="15" customHeight="1" x14ac:dyDescent="0.25">
      <c r="A58" s="44" t="str">
        <f>'Agents'' Final Roster 0823-0829'!A58</f>
        <v>Campero Juarez Maria Guadalupe</v>
      </c>
      <c r="B58" s="39" t="str">
        <f>'Agents'' Final Roster 0823-0829'!B58</f>
        <v>Gregoratti Juan Carlos</v>
      </c>
      <c r="C58" s="39" t="str">
        <f>'Agents'' Final Roster 0823-0829'!C58</f>
        <v>Ochoa</v>
      </c>
      <c r="D58" s="39" t="str">
        <f>'Agents'' Final Roster 0823-0829'!D58</f>
        <v>Florencia Belen</v>
      </c>
      <c r="E58" s="39"/>
      <c r="F58" s="39"/>
      <c r="G58" s="39"/>
      <c r="H58" s="39"/>
      <c r="I58" s="39"/>
      <c r="J58" s="39"/>
      <c r="K58" s="39"/>
      <c r="L58" s="45"/>
      <c r="M58" s="45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 t="str">
        <f>'Agents'' Final Roster 0823-0829'!Z58</f>
        <v>DVH</v>
      </c>
      <c r="AA58" s="39"/>
      <c r="AB58" s="39"/>
      <c r="AC58" s="39"/>
      <c r="AD58" s="39"/>
      <c r="AE58" s="39"/>
      <c r="AF58" s="39"/>
      <c r="AG58" s="39"/>
      <c r="AH58" s="39"/>
      <c r="AI58" s="39"/>
      <c r="AJ58" s="46"/>
      <c r="AK58" s="46"/>
      <c r="AL58" s="47"/>
      <c r="AM58" s="52"/>
      <c r="AN58" s="53"/>
      <c r="AO58" s="50"/>
      <c r="AP58" s="57"/>
    </row>
    <row r="59" spans="1:42" s="5" customFormat="1" ht="15" customHeight="1" x14ac:dyDescent="0.25">
      <c r="A59" s="44" t="str">
        <f>'Agents'' Final Roster 0823-0829'!A59</f>
        <v>Campero Juarez Maria Guadalupe</v>
      </c>
      <c r="B59" s="39" t="str">
        <f>'Agents'' Final Roster 0823-0829'!B59</f>
        <v>Gregoratti Juan Carlos</v>
      </c>
      <c r="C59" s="39" t="str">
        <f>'Agents'' Final Roster 0823-0829'!C59</f>
        <v>Pachao Medina</v>
      </c>
      <c r="D59" s="39" t="str">
        <f>'Agents'' Final Roster 0823-0829'!D59</f>
        <v>Juan Carlos</v>
      </c>
      <c r="E59" s="39"/>
      <c r="F59" s="39"/>
      <c r="G59" s="39"/>
      <c r="H59" s="39"/>
      <c r="I59" s="39"/>
      <c r="J59" s="39"/>
      <c r="K59" s="39"/>
      <c r="L59" s="45"/>
      <c r="M59" s="45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 t="str">
        <f>'Agents'' Final Roster 0823-0829'!Z59</f>
        <v>DVH</v>
      </c>
      <c r="AA59" s="39"/>
      <c r="AB59" s="39"/>
      <c r="AC59" s="39"/>
      <c r="AD59" s="39"/>
      <c r="AE59" s="39"/>
      <c r="AF59" s="39"/>
      <c r="AG59" s="39"/>
      <c r="AH59" s="39"/>
      <c r="AI59" s="39"/>
      <c r="AJ59" s="46"/>
      <c r="AK59" s="46"/>
      <c r="AL59" s="47"/>
      <c r="AM59" s="52"/>
      <c r="AN59" s="53"/>
      <c r="AO59" s="50"/>
      <c r="AP59" s="57"/>
    </row>
    <row r="60" spans="1:42" s="5" customFormat="1" ht="15" customHeight="1" x14ac:dyDescent="0.25">
      <c r="A60" s="44" t="str">
        <f>'Agents'' Final Roster 0823-0829'!A60</f>
        <v>Ortiz Jose María</v>
      </c>
      <c r="B60" s="39" t="str">
        <f>'Agents'' Final Roster 0823-0829'!B60</f>
        <v>Britos Fernando José</v>
      </c>
      <c r="C60" s="39" t="str">
        <f>'Agents'' Final Roster 0823-0829'!C60</f>
        <v>Robles Marquez</v>
      </c>
      <c r="D60" s="39" t="str">
        <f>'Agents'' Final Roster 0823-0829'!D60</f>
        <v>Emilse Nahir</v>
      </c>
      <c r="E60" s="39"/>
      <c r="F60" s="39"/>
      <c r="G60" s="39"/>
      <c r="H60" s="39"/>
      <c r="I60" s="39"/>
      <c r="J60" s="39"/>
      <c r="K60" s="39"/>
      <c r="L60" s="45"/>
      <c r="M60" s="45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 t="str">
        <f>'Agents'' Final Roster 0823-0829'!Z60</f>
        <v>DVH</v>
      </c>
      <c r="AA60" s="39"/>
      <c r="AB60" s="39"/>
      <c r="AC60" s="39"/>
      <c r="AD60" s="39"/>
      <c r="AE60" s="39"/>
      <c r="AF60" s="39"/>
      <c r="AG60" s="39"/>
      <c r="AH60" s="39"/>
      <c r="AI60" s="39"/>
      <c r="AJ60" s="46"/>
      <c r="AK60" s="46"/>
      <c r="AL60" s="47"/>
      <c r="AM60" s="52"/>
      <c r="AN60" s="53"/>
      <c r="AO60" s="50"/>
      <c r="AP60" s="57"/>
    </row>
    <row r="61" spans="1:42" s="5" customFormat="1" ht="15" customHeight="1" x14ac:dyDescent="0.25">
      <c r="A61" s="44" t="str">
        <f>'Agents'' Final Roster 0823-0829'!A61</f>
        <v>Campero Juarez Maria Guadalupe</v>
      </c>
      <c r="B61" s="39" t="str">
        <f>'Agents'' Final Roster 0823-0829'!B61</f>
        <v>Gregoratti Juan Carlos</v>
      </c>
      <c r="C61" s="39" t="str">
        <f>'Agents'' Final Roster 0823-0829'!C61</f>
        <v>Sanchez</v>
      </c>
      <c r="D61" s="39" t="str">
        <f>'Agents'' Final Roster 0823-0829'!D61</f>
        <v>Juan Jorge Augusto</v>
      </c>
      <c r="E61" s="39"/>
      <c r="F61" s="39"/>
      <c r="G61" s="39"/>
      <c r="H61" s="39"/>
      <c r="I61" s="39"/>
      <c r="J61" s="39"/>
      <c r="K61" s="39"/>
      <c r="L61" s="45"/>
      <c r="M61" s="45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 t="str">
        <f>'Agents'' Final Roster 0823-0829'!Z61</f>
        <v>DVH</v>
      </c>
      <c r="AA61" s="39"/>
      <c r="AB61" s="39"/>
      <c r="AC61" s="39"/>
      <c r="AD61" s="39"/>
      <c r="AE61" s="39"/>
      <c r="AF61" s="39"/>
      <c r="AG61" s="39"/>
      <c r="AH61" s="39"/>
      <c r="AI61" s="39"/>
      <c r="AJ61" s="46"/>
      <c r="AK61" s="46"/>
      <c r="AL61" s="47"/>
      <c r="AM61" s="52"/>
      <c r="AN61" s="53"/>
      <c r="AO61" s="50"/>
      <c r="AP61" s="57"/>
    </row>
    <row r="62" spans="1:42" s="5" customFormat="1" ht="15" customHeight="1" x14ac:dyDescent="0.25">
      <c r="A62" s="44" t="str">
        <f>'Agents'' Final Roster 0823-0829'!A62</f>
        <v>Campero Juarez Maria Guadalupe</v>
      </c>
      <c r="B62" s="39" t="str">
        <f>'Agents'' Final Roster 0823-0829'!B62</f>
        <v>Gregoratti Juan Carlos</v>
      </c>
      <c r="C62" s="39" t="str">
        <f>'Agents'' Final Roster 0823-0829'!C62</f>
        <v>Vitar</v>
      </c>
      <c r="D62" s="39" t="str">
        <f>'Agents'' Final Roster 0823-0829'!D62</f>
        <v>Nuria Mariel</v>
      </c>
      <c r="E62" s="39"/>
      <c r="F62" s="39"/>
      <c r="G62" s="39"/>
      <c r="H62" s="39"/>
      <c r="I62" s="39"/>
      <c r="J62" s="39"/>
      <c r="K62" s="39"/>
      <c r="L62" s="45"/>
      <c r="M62" s="45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 t="str">
        <f>'Agents'' Final Roster 0823-0829'!Z62</f>
        <v>Compras Referidas</v>
      </c>
      <c r="AA62" s="39"/>
      <c r="AB62" s="39"/>
      <c r="AC62" s="39"/>
      <c r="AD62" s="39"/>
      <c r="AE62" s="39"/>
      <c r="AF62" s="39"/>
      <c r="AG62" s="39"/>
      <c r="AH62" s="39"/>
      <c r="AI62" s="39"/>
      <c r="AJ62" s="46"/>
      <c r="AK62" s="46"/>
      <c r="AL62" s="47"/>
      <c r="AM62" s="52"/>
      <c r="AN62" s="53"/>
      <c r="AO62" s="50"/>
      <c r="AP62" s="57"/>
    </row>
    <row r="63" spans="1:42" s="5" customFormat="1" ht="15" customHeight="1" x14ac:dyDescent="0.25">
      <c r="A63" s="44" t="str">
        <f>'Agents'' Final Roster 0823-0829'!A63</f>
        <v>Campero Juarez Maria Guadalupe</v>
      </c>
      <c r="B63" s="39" t="str">
        <f>'Agents'' Final Roster 0823-0829'!B63</f>
        <v>Gregoratti Juan Carlos</v>
      </c>
      <c r="C63" s="39" t="str">
        <f>'Agents'' Final Roster 0823-0829'!C63</f>
        <v>Yapura</v>
      </c>
      <c r="D63" s="39" t="str">
        <f>'Agents'' Final Roster 0823-0829'!D63</f>
        <v>Benito Javier</v>
      </c>
      <c r="E63" s="39"/>
      <c r="F63" s="39"/>
      <c r="G63" s="39"/>
      <c r="H63" s="39"/>
      <c r="I63" s="39"/>
      <c r="J63" s="39"/>
      <c r="K63" s="39"/>
      <c r="L63" s="45"/>
      <c r="M63" s="45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 t="str">
        <f>'Agents'' Final Roster 0823-0829'!Z63</f>
        <v>DVH</v>
      </c>
      <c r="AA63" s="39"/>
      <c r="AB63" s="39"/>
      <c r="AC63" s="39"/>
      <c r="AD63" s="39"/>
      <c r="AE63" s="39"/>
      <c r="AF63" s="39"/>
      <c r="AG63" s="39"/>
      <c r="AH63" s="39"/>
      <c r="AI63" s="39"/>
      <c r="AJ63" s="46"/>
      <c r="AK63" s="46"/>
      <c r="AL63" s="47"/>
      <c r="AM63" s="52"/>
      <c r="AN63" s="53"/>
      <c r="AO63" s="50"/>
      <c r="AP63" s="57"/>
    </row>
    <row r="64" spans="1:42" s="5" customFormat="1" ht="15" customHeight="1" x14ac:dyDescent="0.25">
      <c r="A64" s="44" t="str">
        <f>'Agents'' Final Roster 0823-0829'!A64</f>
        <v>Campero Juarez Maria Guadalupe</v>
      </c>
      <c r="B64" s="39" t="str">
        <f>'Agents'' Final Roster 0823-0829'!B64</f>
        <v>Podazza Villagra Daniel Matias</v>
      </c>
      <c r="C64" s="39" t="str">
        <f>'Agents'' Final Roster 0823-0829'!C64</f>
        <v>Acosta</v>
      </c>
      <c r="D64" s="39" t="str">
        <f>'Agents'' Final Roster 0823-0829'!D64</f>
        <v xml:space="preserve">Ignacio Matias </v>
      </c>
      <c r="E64" s="39"/>
      <c r="F64" s="39"/>
      <c r="G64" s="39"/>
      <c r="H64" s="39"/>
      <c r="I64" s="39"/>
      <c r="J64" s="39"/>
      <c r="K64" s="39"/>
      <c r="L64" s="45"/>
      <c r="M64" s="45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 t="str">
        <f>'Agents'' Final Roster 0823-0829'!Z64</f>
        <v>Servicios web</v>
      </c>
      <c r="AA64" s="39"/>
      <c r="AB64" s="39"/>
      <c r="AC64" s="39"/>
      <c r="AD64" s="39"/>
      <c r="AE64" s="39"/>
      <c r="AF64" s="39"/>
      <c r="AG64" s="39"/>
      <c r="AH64" s="39"/>
      <c r="AI64" s="39"/>
      <c r="AJ64" s="46"/>
      <c r="AK64" s="46"/>
      <c r="AL64" s="47"/>
      <c r="AM64" s="52"/>
      <c r="AN64" s="53"/>
      <c r="AO64" s="50"/>
      <c r="AP64" s="57"/>
    </row>
    <row r="65" spans="1:42" s="5" customFormat="1" ht="15" customHeight="1" x14ac:dyDescent="0.25">
      <c r="A65" s="44" t="str">
        <f>'Agents'' Final Roster 0823-0829'!A65</f>
        <v>Campero Juarez Maria Guadalupe</v>
      </c>
      <c r="B65" s="39" t="str">
        <f>'Agents'' Final Roster 0823-0829'!B65</f>
        <v>Podazza Villagra Daniel Matias</v>
      </c>
      <c r="C65" s="39" t="str">
        <f>'Agents'' Final Roster 0823-0829'!C65</f>
        <v>Albarracin</v>
      </c>
      <c r="D65" s="39" t="str">
        <f>'Agents'' Final Roster 0823-0829'!D65</f>
        <v xml:space="preserve">Heber Wilson </v>
      </c>
      <c r="E65" s="39"/>
      <c r="F65" s="39"/>
      <c r="G65" s="39"/>
      <c r="H65" s="39"/>
      <c r="I65" s="39"/>
      <c r="J65" s="39"/>
      <c r="K65" s="39"/>
      <c r="L65" s="45"/>
      <c r="M65" s="45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 t="str">
        <f>'Agents'' Final Roster 0823-0829'!Z65</f>
        <v>Servicios web</v>
      </c>
      <c r="AA65" s="39"/>
      <c r="AB65" s="39"/>
      <c r="AC65" s="39"/>
      <c r="AD65" s="39"/>
      <c r="AE65" s="39"/>
      <c r="AF65" s="39"/>
      <c r="AG65" s="39"/>
      <c r="AH65" s="39"/>
      <c r="AI65" s="39"/>
      <c r="AJ65" s="46"/>
      <c r="AK65" s="46"/>
      <c r="AL65" s="47"/>
      <c r="AM65" s="52"/>
      <c r="AN65" s="53"/>
      <c r="AO65" s="50"/>
      <c r="AP65" s="57"/>
    </row>
    <row r="66" spans="1:42" s="5" customFormat="1" ht="15" customHeight="1" x14ac:dyDescent="0.25">
      <c r="A66" s="42" t="str">
        <f>'Agents'' Final Roster 0823-0829'!A66</f>
        <v>Campero Juarez Maria Guadalupe</v>
      </c>
      <c r="B66" s="41" t="str">
        <f>'Agents'' Final Roster 0823-0829'!B66</f>
        <v>Podazza Villagra Daniel Matias</v>
      </c>
      <c r="C66" s="41" t="str">
        <f>'Agents'' Final Roster 0823-0829'!C66</f>
        <v>Almaraz</v>
      </c>
      <c r="D66" s="41" t="str">
        <f>'Agents'' Final Roster 0823-0829'!D66</f>
        <v>Julio Cesar</v>
      </c>
      <c r="E66" s="41"/>
      <c r="F66" s="41"/>
      <c r="G66" s="41"/>
      <c r="H66" s="41"/>
      <c r="I66" s="41"/>
      <c r="J66" s="41"/>
      <c r="K66" s="41"/>
      <c r="L66" s="45"/>
      <c r="M66" s="45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 t="str">
        <f>'Agents'' Final Roster 0823-0829'!Z66</f>
        <v>Habilitaciones</v>
      </c>
      <c r="AA66" s="39"/>
      <c r="AB66" s="39"/>
      <c r="AC66" s="39"/>
      <c r="AD66" s="39"/>
      <c r="AE66" s="39"/>
      <c r="AF66" s="39"/>
      <c r="AG66" s="39"/>
      <c r="AH66" s="39"/>
      <c r="AI66" s="39"/>
      <c r="AJ66" s="46"/>
      <c r="AK66" s="46"/>
      <c r="AL66" s="47"/>
      <c r="AM66" s="52"/>
      <c r="AN66" s="53"/>
      <c r="AO66" s="50"/>
      <c r="AP66" s="57"/>
    </row>
    <row r="67" spans="1:42" s="5" customFormat="1" ht="15" customHeight="1" x14ac:dyDescent="0.25">
      <c r="A67" s="44" t="str">
        <f>'Agents'' Final Roster 0823-0829'!A67</f>
        <v>Campero Juarez Maria Guadalupe</v>
      </c>
      <c r="B67" s="39" t="str">
        <f>'Agents'' Final Roster 0823-0829'!B67</f>
        <v>Podazza Villagra Daniel Matias</v>
      </c>
      <c r="C67" s="39" t="str">
        <f>'Agents'' Final Roster 0823-0829'!C67</f>
        <v>Antenucci</v>
      </c>
      <c r="D67" s="39" t="str">
        <f>'Agents'' Final Roster 0823-0829'!D67</f>
        <v>Aldana Belén</v>
      </c>
      <c r="E67" s="39"/>
      <c r="F67" s="39"/>
      <c r="G67" s="39"/>
      <c r="H67" s="39"/>
      <c r="I67" s="39"/>
      <c r="J67" s="39"/>
      <c r="K67" s="39"/>
      <c r="L67" s="45"/>
      <c r="M67" s="45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 t="str">
        <f>'Agents'' Final Roster 0823-0829'!Z67</f>
        <v>TLMK</v>
      </c>
      <c r="AA67" s="39"/>
      <c r="AB67" s="39"/>
      <c r="AC67" s="39"/>
      <c r="AD67" s="39"/>
      <c r="AE67" s="39"/>
      <c r="AF67" s="39"/>
      <c r="AG67" s="39"/>
      <c r="AH67" s="39"/>
      <c r="AI67" s="39"/>
      <c r="AJ67" s="46"/>
      <c r="AK67" s="46"/>
      <c r="AL67" s="47"/>
      <c r="AM67" s="52"/>
      <c r="AN67" s="53"/>
      <c r="AO67" s="50"/>
      <c r="AP67" s="57"/>
    </row>
    <row r="68" spans="1:42" s="5" customFormat="1" ht="15" customHeight="1" x14ac:dyDescent="0.25">
      <c r="A68" s="44" t="str">
        <f>'Agents'' Final Roster 0823-0829'!A68</f>
        <v>Ortiz Jose María</v>
      </c>
      <c r="B68" s="39" t="str">
        <f>'Agents'' Final Roster 0823-0829'!B68</f>
        <v>Brandan Ernesto Alejandro</v>
      </c>
      <c r="C68" s="39" t="str">
        <f>'Agents'' Final Roster 0823-0829'!C68</f>
        <v>Burgos</v>
      </c>
      <c r="D68" s="39" t="str">
        <f>'Agents'' Final Roster 0823-0829'!D68</f>
        <v>Damaris Nahir</v>
      </c>
      <c r="E68" s="39"/>
      <c r="F68" s="39"/>
      <c r="G68" s="39"/>
      <c r="H68" s="39"/>
      <c r="I68" s="39"/>
      <c r="J68" s="39"/>
      <c r="K68" s="39"/>
      <c r="L68" s="45"/>
      <c r="M68" s="45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 t="str">
        <f>'Agents'' Final Roster 0823-0829'!Z68</f>
        <v>CSV2</v>
      </c>
      <c r="AA68" s="39"/>
      <c r="AB68" s="39"/>
      <c r="AC68" s="39"/>
      <c r="AD68" s="39"/>
      <c r="AE68" s="39"/>
      <c r="AF68" s="39"/>
      <c r="AG68" s="39"/>
      <c r="AH68" s="39"/>
      <c r="AI68" s="39"/>
      <c r="AJ68" s="46"/>
      <c r="AK68" s="46"/>
      <c r="AL68" s="47"/>
      <c r="AM68" s="52"/>
      <c r="AN68" s="53"/>
      <c r="AO68" s="50"/>
      <c r="AP68" s="57"/>
    </row>
    <row r="69" spans="1:42" s="5" customFormat="1" ht="15" customHeight="1" x14ac:dyDescent="0.25">
      <c r="A69" s="69" t="str">
        <f>'Agents'' Final Roster 0823-0829'!A69</f>
        <v>Campero Juarez Maria Guadalupe</v>
      </c>
      <c r="B69" s="70" t="str">
        <f>'Agents'' Final Roster 0823-0829'!B69</f>
        <v>Podazza Villagra Daniel Matias</v>
      </c>
      <c r="C69" s="70" t="str">
        <f>'Agents'' Final Roster 0823-0829'!C69</f>
        <v>Bustos</v>
      </c>
      <c r="D69" s="70" t="str">
        <f>'Agents'' Final Roster 0823-0829'!D69</f>
        <v>Cecilia Leonor</v>
      </c>
      <c r="E69" s="70"/>
      <c r="F69" s="70"/>
      <c r="G69" s="70"/>
      <c r="H69" s="70"/>
      <c r="I69" s="70"/>
      <c r="J69" s="70"/>
      <c r="K69" s="70"/>
      <c r="L69" s="45"/>
      <c r="M69" s="45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 t="str">
        <f>'Agents'' Final Roster 0823-0829'!Z69</f>
        <v>Compras Referidas</v>
      </c>
      <c r="AA69" s="39"/>
      <c r="AB69" s="39"/>
      <c r="AC69" s="39"/>
      <c r="AD69" s="39"/>
      <c r="AE69" s="39"/>
      <c r="AF69" s="39"/>
      <c r="AG69" s="39"/>
      <c r="AH69" s="39"/>
      <c r="AI69" s="39"/>
      <c r="AJ69" s="46"/>
      <c r="AK69" s="46"/>
      <c r="AL69" s="47"/>
      <c r="AM69" s="52"/>
      <c r="AN69" s="53"/>
      <c r="AO69" s="50"/>
      <c r="AP69" s="57"/>
    </row>
    <row r="70" spans="1:42" s="5" customFormat="1" ht="15" customHeight="1" x14ac:dyDescent="0.25">
      <c r="A70" s="44" t="str">
        <f>'Agents'' Final Roster 0823-0829'!A70</f>
        <v>Campero Juarez Maria Guadalupe</v>
      </c>
      <c r="B70" s="39" t="str">
        <f>'Agents'' Final Roster 0823-0829'!B70</f>
        <v>Podazza Villagra Daniel Matias</v>
      </c>
      <c r="C70" s="39" t="str">
        <f>'Agents'' Final Roster 0823-0829'!C70</f>
        <v>Ciccarelli</v>
      </c>
      <c r="D70" s="39" t="str">
        <f>'Agents'' Final Roster 0823-0829'!D70</f>
        <v>Marycel Rocio</v>
      </c>
      <c r="E70" s="39"/>
      <c r="F70" s="39"/>
      <c r="G70" s="39"/>
      <c r="H70" s="39"/>
      <c r="I70" s="39"/>
      <c r="J70" s="39"/>
      <c r="K70" s="39"/>
      <c r="L70" s="45"/>
      <c r="M70" s="45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 t="str">
        <f>'Agents'' Final Roster 0823-0829'!Z70</f>
        <v>CSV2</v>
      </c>
      <c r="AA70" s="39"/>
      <c r="AB70" s="39"/>
      <c r="AC70" s="39"/>
      <c r="AD70" s="39"/>
      <c r="AE70" s="39"/>
      <c r="AF70" s="39"/>
      <c r="AG70" s="39"/>
      <c r="AH70" s="39"/>
      <c r="AI70" s="39"/>
      <c r="AJ70" s="46"/>
      <c r="AK70" s="46"/>
      <c r="AL70" s="47"/>
      <c r="AM70" s="52"/>
      <c r="AN70" s="53"/>
      <c r="AO70" s="50"/>
      <c r="AP70" s="57"/>
    </row>
    <row r="71" spans="1:42" s="5" customFormat="1" ht="15" customHeight="1" x14ac:dyDescent="0.25">
      <c r="A71" s="44" t="str">
        <f>'Agents'' Final Roster 0823-0829'!A71</f>
        <v>Campero Juarez Maria Guadalupe</v>
      </c>
      <c r="B71" s="39" t="str">
        <f>'Agents'' Final Roster 0823-0829'!B71</f>
        <v>Podazza Villagra Daniel Matias</v>
      </c>
      <c r="C71" s="39" t="str">
        <f>'Agents'' Final Roster 0823-0829'!C71</f>
        <v>De la Rosa</v>
      </c>
      <c r="D71" s="39" t="str">
        <f>'Agents'' Final Roster 0823-0829'!D71</f>
        <v>Solana</v>
      </c>
      <c r="E71" s="39"/>
      <c r="F71" s="39"/>
      <c r="G71" s="39"/>
      <c r="H71" s="39"/>
      <c r="I71" s="39"/>
      <c r="J71" s="39"/>
      <c r="K71" s="39"/>
      <c r="L71" s="45"/>
      <c r="M71" s="45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 t="str">
        <f>'Agents'' Final Roster 0823-0829'!Z71</f>
        <v>CSV2</v>
      </c>
      <c r="AA71" s="39"/>
      <c r="AB71" s="39"/>
      <c r="AC71" s="39"/>
      <c r="AD71" s="39"/>
      <c r="AE71" s="39"/>
      <c r="AF71" s="39"/>
      <c r="AG71" s="39"/>
      <c r="AH71" s="39"/>
      <c r="AI71" s="39"/>
      <c r="AJ71" s="46"/>
      <c r="AK71" s="46"/>
      <c r="AL71" s="47"/>
      <c r="AM71" s="52"/>
      <c r="AN71" s="53"/>
      <c r="AO71" s="50"/>
      <c r="AP71" s="57"/>
    </row>
    <row r="72" spans="1:42" s="5" customFormat="1" ht="15" customHeight="1" x14ac:dyDescent="0.25">
      <c r="A72" s="44" t="str">
        <f>'Agents'' Final Roster 0823-0829'!A72</f>
        <v>Campero Juarez Maria Guadalupe</v>
      </c>
      <c r="B72" s="39" t="str">
        <f>'Agents'' Final Roster 0823-0829'!B72</f>
        <v>Podazza Villagra Daniel Matias</v>
      </c>
      <c r="C72" s="39" t="str">
        <f>'Agents'' Final Roster 0823-0829'!C72</f>
        <v>Del Rio</v>
      </c>
      <c r="D72" s="39" t="str">
        <f>'Agents'' Final Roster 0823-0829'!D72</f>
        <v>Virginia Natalia</v>
      </c>
      <c r="E72" s="39"/>
      <c r="F72" s="39"/>
      <c r="G72" s="39"/>
      <c r="H72" s="39"/>
      <c r="I72" s="39"/>
      <c r="J72" s="39"/>
      <c r="K72" s="39"/>
      <c r="L72" s="45"/>
      <c r="M72" s="45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 t="str">
        <f>'Agents'' Final Roster 0823-0829'!Z72</f>
        <v>CSV2</v>
      </c>
      <c r="AA72" s="39"/>
      <c r="AB72" s="39"/>
      <c r="AC72" s="39"/>
      <c r="AD72" s="39"/>
      <c r="AE72" s="39"/>
      <c r="AF72" s="39"/>
      <c r="AG72" s="39"/>
      <c r="AH72" s="39"/>
      <c r="AI72" s="39"/>
      <c r="AJ72" s="46"/>
      <c r="AK72" s="46"/>
      <c r="AL72" s="47"/>
      <c r="AM72" s="52"/>
      <c r="AN72" s="53"/>
      <c r="AO72" s="50"/>
      <c r="AP72" s="57"/>
    </row>
    <row r="73" spans="1:42" s="5" customFormat="1" ht="15" customHeight="1" x14ac:dyDescent="0.25">
      <c r="A73" s="44" t="str">
        <f>'Agents'' Final Roster 0823-0829'!A73</f>
        <v>Ortiz Jose María</v>
      </c>
      <c r="B73" s="39" t="str">
        <f>'Agents'' Final Roster 0823-0829'!B73</f>
        <v>Brandan Ernesto Alejandro</v>
      </c>
      <c r="C73" s="39" t="str">
        <f>'Agents'' Final Roster 0823-0829'!C73</f>
        <v>Galindez</v>
      </c>
      <c r="D73" s="39" t="str">
        <f>'Agents'' Final Roster 0823-0829'!D73</f>
        <v>Yuliana Lilia Denis</v>
      </c>
      <c r="E73" s="39"/>
      <c r="F73" s="39"/>
      <c r="G73" s="39"/>
      <c r="H73" s="39"/>
      <c r="I73" s="39"/>
      <c r="J73" s="39"/>
      <c r="K73" s="39"/>
      <c r="L73" s="45"/>
      <c r="M73" s="45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 t="str">
        <f>'Agents'' Final Roster 0823-0829'!Z73</f>
        <v>CSV2</v>
      </c>
      <c r="AA73" s="39"/>
      <c r="AB73" s="39"/>
      <c r="AC73" s="39"/>
      <c r="AD73" s="39"/>
      <c r="AE73" s="39"/>
      <c r="AF73" s="39"/>
      <c r="AG73" s="39"/>
      <c r="AH73" s="39"/>
      <c r="AI73" s="39"/>
      <c r="AJ73" s="46"/>
      <c r="AK73" s="46"/>
      <c r="AL73" s="47"/>
      <c r="AM73" s="52"/>
      <c r="AN73" s="53"/>
      <c r="AO73" s="50"/>
      <c r="AP73" s="57"/>
    </row>
    <row r="74" spans="1:42" s="5" customFormat="1" ht="15" customHeight="1" x14ac:dyDescent="0.25">
      <c r="A74" s="44" t="str">
        <f>'Agents'' Final Roster 0823-0829'!A74</f>
        <v>Campero Juarez Maria Guadalupe</v>
      </c>
      <c r="B74" s="39" t="str">
        <f>'Agents'' Final Roster 0823-0829'!B74</f>
        <v>Podazza Villagra Daniel Matias</v>
      </c>
      <c r="C74" s="39" t="str">
        <f>'Agents'' Final Roster 0823-0829'!C74</f>
        <v>Latina</v>
      </c>
      <c r="D74" s="39" t="str">
        <f>'Agents'' Final Roster 0823-0829'!D74</f>
        <v>Walter Fabian</v>
      </c>
      <c r="E74" s="39"/>
      <c r="F74" s="39"/>
      <c r="G74" s="39"/>
      <c r="H74" s="39"/>
      <c r="I74" s="39"/>
      <c r="J74" s="39"/>
      <c r="K74" s="39"/>
      <c r="L74" s="45"/>
      <c r="M74" s="45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 t="str">
        <f>'Agents'' Final Roster 0823-0829'!Z74</f>
        <v>CSV1</v>
      </c>
      <c r="AA74" s="39"/>
      <c r="AB74" s="39"/>
      <c r="AC74" s="39"/>
      <c r="AD74" s="39"/>
      <c r="AE74" s="39"/>
      <c r="AF74" s="39"/>
      <c r="AG74" s="39"/>
      <c r="AH74" s="39"/>
      <c r="AI74" s="39"/>
      <c r="AJ74" s="46"/>
      <c r="AK74" s="46"/>
      <c r="AL74" s="47"/>
      <c r="AM74" s="52"/>
      <c r="AN74" s="53"/>
      <c r="AO74" s="50"/>
      <c r="AP74" s="57"/>
    </row>
    <row r="75" spans="1:42" s="5" customFormat="1" ht="15" customHeight="1" x14ac:dyDescent="0.25">
      <c r="A75" s="44" t="str">
        <f>'Agents'' Final Roster 0823-0829'!A75</f>
        <v>Campero Juarez Maria Guadalupe</v>
      </c>
      <c r="B75" s="39" t="str">
        <f>'Agents'' Final Roster 0823-0829'!B75</f>
        <v>Podazza Villagra Daniel Matias</v>
      </c>
      <c r="C75" s="39" t="str">
        <f>'Agents'' Final Roster 0823-0829'!C75</f>
        <v>Monteros</v>
      </c>
      <c r="D75" s="39" t="str">
        <f>'Agents'' Final Roster 0823-0829'!D75</f>
        <v>Maximiliano Leopoldo</v>
      </c>
      <c r="E75" s="39"/>
      <c r="F75" s="39"/>
      <c r="G75" s="39"/>
      <c r="H75" s="39"/>
      <c r="I75" s="39"/>
      <c r="J75" s="39"/>
      <c r="K75" s="39"/>
      <c r="L75" s="45"/>
      <c r="M75" s="45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 t="str">
        <f>'Agents'' Final Roster 0823-0829'!Z75</f>
        <v>CSV2</v>
      </c>
      <c r="AA75" s="39"/>
      <c r="AB75" s="39"/>
      <c r="AC75" s="39"/>
      <c r="AD75" s="39"/>
      <c r="AE75" s="39"/>
      <c r="AF75" s="39"/>
      <c r="AG75" s="39"/>
      <c r="AH75" s="39"/>
      <c r="AI75" s="39"/>
      <c r="AJ75" s="46"/>
      <c r="AK75" s="46"/>
      <c r="AL75" s="47"/>
      <c r="AM75" s="52"/>
      <c r="AN75" s="53"/>
      <c r="AO75" s="50"/>
      <c r="AP75" s="57"/>
    </row>
    <row r="76" spans="1:42" s="5" customFormat="1" ht="15" customHeight="1" x14ac:dyDescent="0.25">
      <c r="A76" s="44" t="str">
        <f>'Agents'' Final Roster 0823-0829'!A76</f>
        <v>Campero Juarez Maria Guadalupe</v>
      </c>
      <c r="B76" s="39" t="str">
        <f>'Agents'' Final Roster 0823-0829'!B76</f>
        <v>Podazza Villagra Daniel Matias</v>
      </c>
      <c r="C76" s="39" t="str">
        <f>'Agents'' Final Roster 0823-0829'!C76</f>
        <v>Nieva del Rio</v>
      </c>
      <c r="D76" s="39" t="str">
        <f>'Agents'' Final Roster 0823-0829'!D76</f>
        <v>Micaela Anabel</v>
      </c>
      <c r="E76" s="39"/>
      <c r="F76" s="39"/>
      <c r="G76" s="39"/>
      <c r="H76" s="39"/>
      <c r="I76" s="39"/>
      <c r="J76" s="39"/>
      <c r="K76" s="39"/>
      <c r="L76" s="45"/>
      <c r="M76" s="45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 t="str">
        <f>'Agents'' Final Roster 0823-0829'!Z76</f>
        <v>CSV2</v>
      </c>
      <c r="AA76" s="39"/>
      <c r="AB76" s="39"/>
      <c r="AC76" s="39"/>
      <c r="AD76" s="39"/>
      <c r="AE76" s="39"/>
      <c r="AF76" s="39"/>
      <c r="AG76" s="39"/>
      <c r="AH76" s="39"/>
      <c r="AI76" s="39"/>
      <c r="AJ76" s="46"/>
      <c r="AK76" s="46"/>
      <c r="AL76" s="47"/>
      <c r="AM76" s="52"/>
      <c r="AN76" s="53"/>
      <c r="AO76" s="50"/>
      <c r="AP76" s="57"/>
    </row>
    <row r="77" spans="1:42" s="5" customFormat="1" ht="15" customHeight="1" x14ac:dyDescent="0.25">
      <c r="A77" s="44" t="str">
        <f>'Agents'' Final Roster 0823-0829'!A77</f>
        <v>Campero Juarez Maria Guadalupe</v>
      </c>
      <c r="B77" s="39" t="str">
        <f>'Agents'' Final Roster 0823-0829'!B77</f>
        <v>Podazza Villagra Daniel Matias</v>
      </c>
      <c r="C77" s="39" t="str">
        <f>'Agents'' Final Roster 0823-0829'!C77</f>
        <v>Perez Aguirre</v>
      </c>
      <c r="D77" s="39" t="str">
        <f>'Agents'' Final Roster 0823-0829'!D77</f>
        <v>Luis Alejandro</v>
      </c>
      <c r="E77" s="39"/>
      <c r="F77" s="39"/>
      <c r="G77" s="39"/>
      <c r="H77" s="39"/>
      <c r="I77" s="39"/>
      <c r="J77" s="39"/>
      <c r="K77" s="39"/>
      <c r="L77" s="45"/>
      <c r="M77" s="45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 t="str">
        <f>'Agents'' Final Roster 0823-0829'!Z77</f>
        <v>TLMK</v>
      </c>
      <c r="AA77" s="39"/>
      <c r="AB77" s="39"/>
      <c r="AC77" s="39"/>
      <c r="AD77" s="39"/>
      <c r="AE77" s="39"/>
      <c r="AF77" s="39"/>
      <c r="AG77" s="39"/>
      <c r="AH77" s="39"/>
      <c r="AI77" s="39"/>
      <c r="AJ77" s="46"/>
      <c r="AK77" s="46"/>
      <c r="AL77" s="47"/>
      <c r="AM77" s="52"/>
      <c r="AN77" s="53"/>
      <c r="AO77" s="50"/>
      <c r="AP77" s="57"/>
    </row>
    <row r="78" spans="1:42" s="5" customFormat="1" ht="15" customHeight="1" x14ac:dyDescent="0.25">
      <c r="A78" s="44" t="str">
        <f>'Agents'' Final Roster 0823-0829'!A78</f>
        <v>Campero Juarez Maria Guadalupe</v>
      </c>
      <c r="B78" s="39" t="str">
        <f>'Agents'' Final Roster 0823-0829'!B78</f>
        <v>Podazza Villagra Daniel Matias</v>
      </c>
      <c r="C78" s="39" t="str">
        <f>'Agents'' Final Roster 0823-0829'!C78</f>
        <v>Roibon Mesias</v>
      </c>
      <c r="D78" s="39" t="str">
        <f>'Agents'' Final Roster 0823-0829'!D78</f>
        <v>Tomas</v>
      </c>
      <c r="E78" s="39"/>
      <c r="F78" s="39"/>
      <c r="G78" s="39"/>
      <c r="H78" s="39"/>
      <c r="I78" s="39"/>
      <c r="J78" s="39"/>
      <c r="K78" s="39"/>
      <c r="L78" s="45"/>
      <c r="M78" s="45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 t="str">
        <f>'Agents'' Final Roster 0823-0829'!Z78</f>
        <v>Servicios web</v>
      </c>
      <c r="AA78" s="39"/>
      <c r="AB78" s="39"/>
      <c r="AC78" s="39"/>
      <c r="AD78" s="39"/>
      <c r="AE78" s="39"/>
      <c r="AF78" s="39"/>
      <c r="AG78" s="39"/>
      <c r="AH78" s="39"/>
      <c r="AI78" s="39"/>
      <c r="AJ78" s="46"/>
      <c r="AK78" s="46"/>
      <c r="AL78" s="47"/>
      <c r="AM78" s="52"/>
      <c r="AN78" s="53"/>
      <c r="AO78" s="50"/>
      <c r="AP78" s="57"/>
    </row>
    <row r="79" spans="1:42" s="5" customFormat="1" ht="15" customHeight="1" x14ac:dyDescent="0.25">
      <c r="A79" s="44" t="str">
        <f>'Agents'' Final Roster 0823-0829'!A79</f>
        <v>Campero Juarez Maria Guadalupe</v>
      </c>
      <c r="B79" s="39" t="str">
        <f>'Agents'' Final Roster 0823-0829'!B79</f>
        <v>Podazza Villagra Daniel Matias</v>
      </c>
      <c r="C79" s="39" t="str">
        <f>'Agents'' Final Roster 0823-0829'!C79</f>
        <v>Romano</v>
      </c>
      <c r="D79" s="39" t="str">
        <f>'Agents'' Final Roster 0823-0829'!D79</f>
        <v xml:space="preserve">Juan Pablo </v>
      </c>
      <c r="E79" s="39"/>
      <c r="F79" s="39"/>
      <c r="G79" s="39"/>
      <c r="H79" s="39"/>
      <c r="I79" s="39"/>
      <c r="J79" s="39"/>
      <c r="K79" s="39"/>
      <c r="L79" s="45"/>
      <c r="M79" s="45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 t="str">
        <f>'Agents'' Final Roster 0823-0829'!Z79</f>
        <v>DVH</v>
      </c>
      <c r="AA79" s="39"/>
      <c r="AB79" s="39"/>
      <c r="AC79" s="39"/>
      <c r="AD79" s="39"/>
      <c r="AE79" s="39"/>
      <c r="AF79" s="39"/>
      <c r="AG79" s="39"/>
      <c r="AH79" s="39"/>
      <c r="AI79" s="39"/>
      <c r="AJ79" s="46"/>
      <c r="AK79" s="46"/>
      <c r="AL79" s="47"/>
      <c r="AM79" s="52"/>
      <c r="AN79" s="53"/>
      <c r="AO79" s="50"/>
      <c r="AP79" s="57"/>
    </row>
    <row r="80" spans="1:42" s="5" customFormat="1" ht="15" customHeight="1" x14ac:dyDescent="0.25">
      <c r="A80" s="44" t="str">
        <f>'Agents'' Final Roster 0823-0829'!A80</f>
        <v>Campero Juarez Maria Guadalupe</v>
      </c>
      <c r="B80" s="39" t="str">
        <f>'Agents'' Final Roster 0823-0829'!B80</f>
        <v>Podazza Villagra Daniel Matias</v>
      </c>
      <c r="C80" s="39" t="str">
        <f>'Agents'' Final Roster 0823-0829'!C80</f>
        <v>Romero</v>
      </c>
      <c r="D80" s="39" t="str">
        <f>'Agents'' Final Roster 0823-0829'!D80</f>
        <v>Romina Ailen</v>
      </c>
      <c r="E80" s="39"/>
      <c r="F80" s="39"/>
      <c r="G80" s="39"/>
      <c r="H80" s="39"/>
      <c r="I80" s="39"/>
      <c r="J80" s="39"/>
      <c r="K80" s="39"/>
      <c r="L80" s="45"/>
      <c r="M80" s="45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 t="str">
        <f>'Agents'' Final Roster 0823-0829'!Z80</f>
        <v>CSV1</v>
      </c>
      <c r="AA80" s="39"/>
      <c r="AB80" s="39"/>
      <c r="AC80" s="39"/>
      <c r="AD80" s="39"/>
      <c r="AE80" s="39"/>
      <c r="AF80" s="39"/>
      <c r="AG80" s="39"/>
      <c r="AH80" s="39"/>
      <c r="AI80" s="39"/>
      <c r="AJ80" s="46"/>
      <c r="AK80" s="46"/>
      <c r="AL80" s="47"/>
      <c r="AM80" s="52"/>
      <c r="AN80" s="53"/>
      <c r="AO80" s="50"/>
      <c r="AP80" s="57"/>
    </row>
    <row r="81" spans="1:42" s="5" customFormat="1" ht="15" customHeight="1" x14ac:dyDescent="0.25">
      <c r="A81" s="44" t="str">
        <f>'Agents'' Final Roster 0823-0829'!A81</f>
        <v>Campero Juarez Maria Guadalupe</v>
      </c>
      <c r="B81" s="39" t="str">
        <f>'Agents'' Final Roster 0823-0829'!B81</f>
        <v>Podazza Villagra Daniel Matias</v>
      </c>
      <c r="C81" s="39" t="str">
        <f>'Agents'' Final Roster 0823-0829'!C81</f>
        <v>Serrano</v>
      </c>
      <c r="D81" s="39" t="str">
        <f>'Agents'' Final Roster 0823-0829'!D81</f>
        <v>Maria Catalina</v>
      </c>
      <c r="E81" s="39"/>
      <c r="F81" s="39"/>
      <c r="G81" s="39"/>
      <c r="H81" s="39"/>
      <c r="I81" s="39"/>
      <c r="J81" s="39"/>
      <c r="K81" s="39"/>
      <c r="L81" s="45"/>
      <c r="M81" s="45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 t="str">
        <f>'Agents'' Final Roster 0823-0829'!Z81</f>
        <v>DVH</v>
      </c>
      <c r="AA81" s="39"/>
      <c r="AB81" s="39"/>
      <c r="AC81" s="39"/>
      <c r="AD81" s="39"/>
      <c r="AE81" s="39"/>
      <c r="AF81" s="39"/>
      <c r="AG81" s="39"/>
      <c r="AH81" s="39"/>
      <c r="AI81" s="39"/>
      <c r="AJ81" s="46"/>
      <c r="AK81" s="46"/>
      <c r="AL81" s="47"/>
      <c r="AM81" s="52"/>
      <c r="AN81" s="53"/>
      <c r="AO81" s="50"/>
      <c r="AP81" s="57"/>
    </row>
    <row r="82" spans="1:42" s="5" customFormat="1" ht="15" customHeight="1" x14ac:dyDescent="0.25">
      <c r="A82" s="69" t="str">
        <f>'Agents'' Final Roster 0823-0829'!A82</f>
        <v>Ortiz Jose María</v>
      </c>
      <c r="B82" s="70" t="str">
        <f>'Agents'' Final Roster 0823-0829'!B82</f>
        <v>Brandan Ernesto Alejandro</v>
      </c>
      <c r="C82" s="70" t="str">
        <f>'Agents'' Final Roster 0823-0829'!C82</f>
        <v>Argañaráz</v>
      </c>
      <c r="D82" s="70" t="str">
        <f>'Agents'' Final Roster 0823-0829'!D82</f>
        <v>Luciano</v>
      </c>
      <c r="E82" s="70"/>
      <c r="F82" s="70"/>
      <c r="G82" s="70"/>
      <c r="H82" s="70"/>
      <c r="I82" s="70"/>
      <c r="J82" s="70"/>
      <c r="K82" s="70"/>
      <c r="L82" s="45"/>
      <c r="M82" s="45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 t="str">
        <f>'Agents'' Final Roster 0823-0829'!Z82</f>
        <v>CSV3</v>
      </c>
      <c r="AA82" s="39"/>
      <c r="AB82" s="39"/>
      <c r="AC82" s="39"/>
      <c r="AD82" s="39"/>
      <c r="AE82" s="39"/>
      <c r="AF82" s="39"/>
      <c r="AG82" s="39"/>
      <c r="AH82" s="39"/>
      <c r="AI82" s="39"/>
      <c r="AJ82" s="46"/>
      <c r="AK82" s="46"/>
      <c r="AL82" s="47"/>
      <c r="AM82" s="52"/>
      <c r="AN82" s="53"/>
      <c r="AO82" s="50"/>
      <c r="AP82" s="57"/>
    </row>
    <row r="83" spans="1:42" s="5" customFormat="1" ht="15" customHeight="1" x14ac:dyDescent="0.25">
      <c r="A83" s="44" t="str">
        <f>'Agents'' Final Roster 0823-0829'!A83</f>
        <v>Ortiz Jose María</v>
      </c>
      <c r="B83" s="39" t="str">
        <f>'Agents'' Final Roster 0823-0829'!B83</f>
        <v>Brandan Ernesto Alejandro</v>
      </c>
      <c r="C83" s="39" t="str">
        <f>'Agents'' Final Roster 0823-0829'!C83</f>
        <v>Arias</v>
      </c>
      <c r="D83" s="39" t="str">
        <f>'Agents'' Final Roster 0823-0829'!D83</f>
        <v>Daniela Beatriz</v>
      </c>
      <c r="E83" s="39"/>
      <c r="F83" s="39"/>
      <c r="G83" s="39"/>
      <c r="H83" s="39"/>
      <c r="I83" s="39"/>
      <c r="J83" s="39"/>
      <c r="K83" s="39"/>
      <c r="L83" s="45"/>
      <c r="M83" s="45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 t="str">
        <f>'Agents'' Final Roster 0823-0829'!Z83</f>
        <v>VIP</v>
      </c>
      <c r="AA83" s="39"/>
      <c r="AB83" s="39"/>
      <c r="AC83" s="39"/>
      <c r="AD83" s="39"/>
      <c r="AE83" s="39"/>
      <c r="AF83" s="39"/>
      <c r="AG83" s="39"/>
      <c r="AH83" s="39"/>
      <c r="AI83" s="39"/>
      <c r="AJ83" s="46"/>
      <c r="AK83" s="46"/>
      <c r="AL83" s="47"/>
      <c r="AM83" s="52"/>
      <c r="AN83" s="53"/>
      <c r="AO83" s="50"/>
      <c r="AP83" s="57"/>
    </row>
    <row r="84" spans="1:42" s="5" customFormat="1" ht="15" customHeight="1" x14ac:dyDescent="0.25">
      <c r="A84" s="44" t="str">
        <f>'Agents'' Final Roster 0823-0829'!A84</f>
        <v>Ortiz Jose María</v>
      </c>
      <c r="B84" s="39" t="str">
        <f>'Agents'' Final Roster 0823-0829'!B84</f>
        <v>Brandan Ernesto Alejandro</v>
      </c>
      <c r="C84" s="39" t="str">
        <f>'Agents'' Final Roster 0823-0829'!C84</f>
        <v>Campos</v>
      </c>
      <c r="D84" s="39" t="str">
        <f>'Agents'' Final Roster 0823-0829'!D84</f>
        <v>Rodrigo Federico</v>
      </c>
      <c r="E84" s="39"/>
      <c r="F84" s="39"/>
      <c r="G84" s="39"/>
      <c r="H84" s="39"/>
      <c r="I84" s="39"/>
      <c r="J84" s="39"/>
      <c r="K84" s="39"/>
      <c r="L84" s="45"/>
      <c r="M84" s="45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 t="str">
        <f>'Agents'' Final Roster 0823-0829'!Z84</f>
        <v>CSV3</v>
      </c>
      <c r="AA84" s="39"/>
      <c r="AB84" s="39"/>
      <c r="AC84" s="39"/>
      <c r="AD84" s="39"/>
      <c r="AE84" s="39"/>
      <c r="AF84" s="39"/>
      <c r="AG84" s="39"/>
      <c r="AH84" s="39"/>
      <c r="AI84" s="39"/>
      <c r="AJ84" s="46"/>
      <c r="AK84" s="46"/>
      <c r="AL84" s="47"/>
      <c r="AM84" s="52"/>
      <c r="AN84" s="53"/>
      <c r="AO84" s="50"/>
      <c r="AP84" s="57"/>
    </row>
    <row r="85" spans="1:42" s="5" customFormat="1" ht="15" customHeight="1" x14ac:dyDescent="0.25">
      <c r="A85" s="44" t="str">
        <f>'Agents'' Final Roster 0823-0829'!A85</f>
        <v>Ortiz Jose María</v>
      </c>
      <c r="B85" s="39" t="str">
        <f>'Agents'' Final Roster 0823-0829'!B85</f>
        <v>Brandan Ernesto Alejandro</v>
      </c>
      <c r="C85" s="39" t="str">
        <f>'Agents'' Final Roster 0823-0829'!C85</f>
        <v>Delgado</v>
      </c>
      <c r="D85" s="39" t="str">
        <f>'Agents'' Final Roster 0823-0829'!D85</f>
        <v>Jessica Elizabeth</v>
      </c>
      <c r="E85" s="39"/>
      <c r="F85" s="39"/>
      <c r="G85" s="39"/>
      <c r="H85" s="39"/>
      <c r="I85" s="39"/>
      <c r="J85" s="39"/>
      <c r="K85" s="39"/>
      <c r="L85" s="45"/>
      <c r="M85" s="45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 t="str">
        <f>'Agents'' Final Roster 0823-0829'!Z85</f>
        <v>CSV2</v>
      </c>
      <c r="AA85" s="39"/>
      <c r="AB85" s="39"/>
      <c r="AC85" s="39"/>
      <c r="AD85" s="39"/>
      <c r="AE85" s="39"/>
      <c r="AF85" s="39"/>
      <c r="AG85" s="39"/>
      <c r="AH85" s="39"/>
      <c r="AI85" s="39"/>
      <c r="AJ85" s="46"/>
      <c r="AK85" s="46"/>
      <c r="AL85" s="47"/>
      <c r="AM85" s="52"/>
      <c r="AN85" s="53"/>
      <c r="AO85" s="50"/>
      <c r="AP85" s="57"/>
    </row>
    <row r="86" spans="1:42" s="5" customFormat="1" ht="15" customHeight="1" x14ac:dyDescent="0.25">
      <c r="A86" s="44" t="str">
        <f>'Agents'' Final Roster 0823-0829'!A86</f>
        <v>Ortiz Jose María</v>
      </c>
      <c r="B86" s="39" t="str">
        <f>'Agents'' Final Roster 0823-0829'!B86</f>
        <v>Brandan Ernesto Alejandro</v>
      </c>
      <c r="C86" s="39" t="str">
        <f>'Agents'' Final Roster 0823-0829'!C86</f>
        <v>Fernandez</v>
      </c>
      <c r="D86" s="39" t="str">
        <f>'Agents'' Final Roster 0823-0829'!D86</f>
        <v xml:space="preserve">Carolina del Valle </v>
      </c>
      <c r="E86" s="39"/>
      <c r="F86" s="39"/>
      <c r="G86" s="39"/>
      <c r="H86" s="39"/>
      <c r="I86" s="39"/>
      <c r="J86" s="39"/>
      <c r="K86" s="39"/>
      <c r="L86" s="45"/>
      <c r="M86" s="45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 t="str">
        <f>'Agents'' Final Roster 0823-0829'!Z86</f>
        <v>CSV2</v>
      </c>
      <c r="AA86" s="39"/>
      <c r="AB86" s="39"/>
      <c r="AC86" s="39"/>
      <c r="AD86" s="39"/>
      <c r="AE86" s="39"/>
      <c r="AF86" s="39"/>
      <c r="AG86" s="39"/>
      <c r="AH86" s="39"/>
      <c r="AI86" s="39"/>
      <c r="AJ86" s="46"/>
      <c r="AK86" s="46"/>
      <c r="AL86" s="47"/>
      <c r="AM86" s="52"/>
      <c r="AN86" s="53"/>
      <c r="AO86" s="50"/>
      <c r="AP86" s="57"/>
    </row>
    <row r="87" spans="1:42" s="5" customFormat="1" ht="15" customHeight="1" x14ac:dyDescent="0.25">
      <c r="A87" s="69" t="str">
        <f>'Agents'' Final Roster 0823-0829'!A87</f>
        <v>Ortiz Jose María</v>
      </c>
      <c r="B87" s="70" t="str">
        <f>'Agents'' Final Roster 0823-0829'!B87</f>
        <v>Brandan Ernesto Alejandro</v>
      </c>
      <c r="C87" s="70" t="str">
        <f>'Agents'' Final Roster 0823-0829'!C87</f>
        <v>Galarce</v>
      </c>
      <c r="D87" s="70" t="str">
        <f>'Agents'' Final Roster 0823-0829'!D87</f>
        <v>Diego Jose</v>
      </c>
      <c r="E87" s="70"/>
      <c r="F87" s="70"/>
      <c r="G87" s="70"/>
      <c r="H87" s="70"/>
      <c r="I87" s="70"/>
      <c r="J87" s="70"/>
      <c r="K87" s="70"/>
      <c r="L87" s="45"/>
      <c r="M87" s="45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 t="str">
        <f>'Agents'' Final Roster 0823-0829'!Z87</f>
        <v>CSV2</v>
      </c>
      <c r="AA87" s="39"/>
      <c r="AB87" s="39"/>
      <c r="AC87" s="39"/>
      <c r="AD87" s="39"/>
      <c r="AE87" s="39"/>
      <c r="AF87" s="39"/>
      <c r="AG87" s="39"/>
      <c r="AH87" s="39"/>
      <c r="AI87" s="39"/>
      <c r="AJ87" s="46"/>
      <c r="AK87" s="46"/>
      <c r="AL87" s="47"/>
      <c r="AM87" s="52"/>
      <c r="AN87" s="53"/>
      <c r="AO87" s="50"/>
      <c r="AP87" s="57"/>
    </row>
    <row r="88" spans="1:42" s="5" customFormat="1" ht="15" customHeight="1" x14ac:dyDescent="0.25">
      <c r="A88" s="44" t="str">
        <f>'Agents'' Final Roster 0823-0829'!A88</f>
        <v>Campero Juarez Maria Guadalupe</v>
      </c>
      <c r="B88" s="39" t="str">
        <f>'Agents'' Final Roster 0823-0829'!B88</f>
        <v>Corbera Susana Sofía</v>
      </c>
      <c r="C88" s="39" t="str">
        <f>'Agents'' Final Roster 0823-0829'!C88</f>
        <v>Guzman</v>
      </c>
      <c r="D88" s="39" t="str">
        <f>'Agents'' Final Roster 0823-0829'!D88</f>
        <v>Nahuel Maximiliano</v>
      </c>
      <c r="E88" s="39"/>
      <c r="F88" s="39"/>
      <c r="G88" s="39"/>
      <c r="H88" s="39"/>
      <c r="I88" s="39"/>
      <c r="J88" s="39"/>
      <c r="K88" s="39"/>
      <c r="L88" s="45"/>
      <c r="M88" s="45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 t="str">
        <f>'Agents'' Final Roster 0823-0829'!Z88</f>
        <v>CSV2</v>
      </c>
      <c r="AA88" s="39"/>
      <c r="AB88" s="39"/>
      <c r="AC88" s="39"/>
      <c r="AD88" s="39"/>
      <c r="AE88" s="39"/>
      <c r="AF88" s="39"/>
      <c r="AG88" s="39"/>
      <c r="AH88" s="39"/>
      <c r="AI88" s="39"/>
      <c r="AJ88" s="46"/>
      <c r="AK88" s="46"/>
      <c r="AL88" s="47"/>
      <c r="AM88" s="52"/>
      <c r="AN88" s="53"/>
      <c r="AO88" s="50"/>
      <c r="AP88" s="57"/>
    </row>
    <row r="89" spans="1:42" s="5" customFormat="1" ht="15" customHeight="1" x14ac:dyDescent="0.25">
      <c r="A89" s="44" t="str">
        <f>'Agents'' Final Roster 0823-0829'!A89</f>
        <v>Ortiz Jose María</v>
      </c>
      <c r="B89" s="39" t="str">
        <f>'Agents'' Final Roster 0823-0829'!B89</f>
        <v>Brandan Ernesto Alejandro</v>
      </c>
      <c r="C89" s="39" t="str">
        <f>'Agents'' Final Roster 0823-0829'!C89</f>
        <v>Lopez</v>
      </c>
      <c r="D89" s="39" t="str">
        <f>'Agents'' Final Roster 0823-0829'!D89</f>
        <v>Ana Valentina</v>
      </c>
      <c r="E89" s="39"/>
      <c r="F89" s="39"/>
      <c r="G89" s="39"/>
      <c r="H89" s="39"/>
      <c r="I89" s="39"/>
      <c r="J89" s="39"/>
      <c r="K89" s="39"/>
      <c r="L89" s="45"/>
      <c r="M89" s="45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 t="str">
        <f>'Agents'' Final Roster 0823-0829'!Z89</f>
        <v>CSV2</v>
      </c>
      <c r="AA89" s="39"/>
      <c r="AB89" s="39"/>
      <c r="AC89" s="39"/>
      <c r="AD89" s="39"/>
      <c r="AE89" s="39"/>
      <c r="AF89" s="39"/>
      <c r="AG89" s="39"/>
      <c r="AH89" s="39"/>
      <c r="AI89" s="39"/>
      <c r="AJ89" s="46"/>
      <c r="AK89" s="46"/>
      <c r="AL89" s="47"/>
      <c r="AM89" s="52"/>
      <c r="AN89" s="53"/>
      <c r="AO89" s="50"/>
      <c r="AP89" s="57"/>
    </row>
    <row r="90" spans="1:42" s="5" customFormat="1" ht="15" customHeight="1" x14ac:dyDescent="0.25">
      <c r="A90" s="44" t="str">
        <f>'Agents'' Final Roster 0823-0829'!A90</f>
        <v>Ortiz Jose María</v>
      </c>
      <c r="B90" s="39" t="str">
        <f>'Agents'' Final Roster 0823-0829'!B90</f>
        <v>Brandan Ernesto Alejandro</v>
      </c>
      <c r="C90" s="39" t="str">
        <f>'Agents'' Final Roster 0823-0829'!C90</f>
        <v xml:space="preserve">Loto </v>
      </c>
      <c r="D90" s="39" t="str">
        <f>'Agents'' Final Roster 0823-0829'!D90</f>
        <v>Fernanda</v>
      </c>
      <c r="E90" s="39"/>
      <c r="F90" s="39"/>
      <c r="G90" s="39"/>
      <c r="H90" s="39"/>
      <c r="I90" s="39"/>
      <c r="J90" s="39"/>
      <c r="K90" s="39"/>
      <c r="L90" s="45"/>
      <c r="M90" s="45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 t="str">
        <f>'Agents'' Final Roster 0823-0829'!Z90</f>
        <v>CSV2</v>
      </c>
      <c r="AA90" s="39"/>
      <c r="AB90" s="39"/>
      <c r="AC90" s="39"/>
      <c r="AD90" s="39"/>
      <c r="AE90" s="39"/>
      <c r="AF90" s="39"/>
      <c r="AG90" s="39"/>
      <c r="AH90" s="39"/>
      <c r="AI90" s="39"/>
      <c r="AJ90" s="46"/>
      <c r="AK90" s="46"/>
      <c r="AL90" s="47"/>
      <c r="AM90" s="52"/>
      <c r="AN90" s="53"/>
      <c r="AO90" s="50"/>
      <c r="AP90" s="57"/>
    </row>
    <row r="91" spans="1:42" s="5" customFormat="1" ht="15" customHeight="1" x14ac:dyDescent="0.25">
      <c r="A91" s="44" t="str">
        <f>'Agents'' Final Roster 0823-0829'!A91</f>
        <v>Ortiz Jose María</v>
      </c>
      <c r="B91" s="39" t="str">
        <f>'Agents'' Final Roster 0823-0829'!B91</f>
        <v>Brandan Ernesto Alejandro</v>
      </c>
      <c r="C91" s="39" t="str">
        <f>'Agents'' Final Roster 0823-0829'!C91</f>
        <v>Luna</v>
      </c>
      <c r="D91" s="39" t="str">
        <f>'Agents'' Final Roster 0823-0829'!D91</f>
        <v>Maria De Los Angeles</v>
      </c>
      <c r="E91" s="39"/>
      <c r="F91" s="39"/>
      <c r="G91" s="39"/>
      <c r="H91" s="39"/>
      <c r="I91" s="39"/>
      <c r="J91" s="39"/>
      <c r="K91" s="39"/>
      <c r="L91" s="45"/>
      <c r="M91" s="45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 t="str">
        <f>'Agents'' Final Roster 0823-0829'!Z91</f>
        <v>CSV2</v>
      </c>
      <c r="AA91" s="39"/>
      <c r="AB91" s="39"/>
      <c r="AC91" s="39"/>
      <c r="AD91" s="39"/>
      <c r="AE91" s="39"/>
      <c r="AF91" s="39"/>
      <c r="AG91" s="39"/>
      <c r="AH91" s="39"/>
      <c r="AI91" s="39"/>
      <c r="AJ91" s="46"/>
      <c r="AK91" s="46"/>
      <c r="AL91" s="47"/>
      <c r="AM91" s="52"/>
      <c r="AN91" s="53"/>
      <c r="AO91" s="50"/>
      <c r="AP91" s="57"/>
    </row>
    <row r="92" spans="1:42" s="5" customFormat="1" ht="15" customHeight="1" x14ac:dyDescent="0.25">
      <c r="A92" s="69" t="str">
        <f>'Agents'' Final Roster 0823-0829'!A92</f>
        <v>Ortiz Jose María</v>
      </c>
      <c r="B92" s="70" t="str">
        <f>'Agents'' Final Roster 0823-0829'!B92</f>
        <v>Brandan Ernesto Alejandro</v>
      </c>
      <c r="C92" s="70" t="str">
        <f>'Agents'' Final Roster 0823-0829'!C92</f>
        <v>Mansilla</v>
      </c>
      <c r="D92" s="70" t="str">
        <f>'Agents'' Final Roster 0823-0829'!D92</f>
        <v>Micaela Belen</v>
      </c>
      <c r="E92" s="70"/>
      <c r="F92" s="70"/>
      <c r="G92" s="70"/>
      <c r="H92" s="70"/>
      <c r="I92" s="70"/>
      <c r="J92" s="70"/>
      <c r="K92" s="70"/>
      <c r="L92" s="45"/>
      <c r="M92" s="45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 t="str">
        <f>'Agents'' Final Roster 0823-0829'!Z92</f>
        <v>CSV3</v>
      </c>
      <c r="AA92" s="39"/>
      <c r="AB92" s="39"/>
      <c r="AC92" s="39"/>
      <c r="AD92" s="39"/>
      <c r="AE92" s="39"/>
      <c r="AF92" s="39"/>
      <c r="AG92" s="39"/>
      <c r="AH92" s="39"/>
      <c r="AI92" s="39"/>
      <c r="AJ92" s="46"/>
      <c r="AK92" s="46"/>
      <c r="AL92" s="47"/>
      <c r="AM92" s="52"/>
      <c r="AN92" s="53"/>
      <c r="AO92" s="50"/>
      <c r="AP92" s="57"/>
    </row>
    <row r="93" spans="1:42" s="5" customFormat="1" ht="15" customHeight="1" x14ac:dyDescent="0.25">
      <c r="A93" s="44" t="str">
        <f>'Agents'' Final Roster 0823-0829'!A93</f>
        <v>Ortiz Jose María</v>
      </c>
      <c r="B93" s="39" t="str">
        <f>'Agents'' Final Roster 0823-0829'!B93</f>
        <v>Brandan Ernesto Alejandro</v>
      </c>
      <c r="C93" s="39" t="str">
        <f>'Agents'' Final Roster 0823-0829'!C93</f>
        <v>Martinez</v>
      </c>
      <c r="D93" s="39" t="str">
        <f>'Agents'' Final Roster 0823-0829'!D93</f>
        <v>Lorena Macarena</v>
      </c>
      <c r="E93" s="39"/>
      <c r="F93" s="39"/>
      <c r="G93" s="39"/>
      <c r="H93" s="39"/>
      <c r="I93" s="39"/>
      <c r="J93" s="39"/>
      <c r="K93" s="39"/>
      <c r="L93" s="45"/>
      <c r="M93" s="45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 t="str">
        <f>'Agents'' Final Roster 0823-0829'!Z93</f>
        <v>VIP</v>
      </c>
      <c r="AA93" s="39"/>
      <c r="AB93" s="39"/>
      <c r="AC93" s="39"/>
      <c r="AD93" s="39"/>
      <c r="AE93" s="39"/>
      <c r="AF93" s="39"/>
      <c r="AG93" s="39"/>
      <c r="AH93" s="39"/>
      <c r="AI93" s="39"/>
      <c r="AJ93" s="46"/>
      <c r="AK93" s="46"/>
      <c r="AL93" s="47"/>
      <c r="AM93" s="52"/>
      <c r="AN93" s="53"/>
      <c r="AO93" s="50"/>
      <c r="AP93" s="57"/>
    </row>
    <row r="94" spans="1:42" s="5" customFormat="1" ht="15" customHeight="1" x14ac:dyDescent="0.25">
      <c r="A94" s="44" t="str">
        <f>'Agents'' Final Roster 0823-0829'!A94</f>
        <v>Ortiz Jose María</v>
      </c>
      <c r="B94" s="39" t="str">
        <f>'Agents'' Final Roster 0823-0829'!B94</f>
        <v>Brandan Ernesto Alejandro</v>
      </c>
      <c r="C94" s="39" t="str">
        <f>'Agents'' Final Roster 0823-0829'!C94</f>
        <v>Morales</v>
      </c>
      <c r="D94" s="39" t="str">
        <f>'Agents'' Final Roster 0823-0829'!D94</f>
        <v>Lucas Santiago</v>
      </c>
      <c r="E94" s="39"/>
      <c r="F94" s="39"/>
      <c r="G94" s="39"/>
      <c r="H94" s="39"/>
      <c r="I94" s="39"/>
      <c r="J94" s="39"/>
      <c r="K94" s="39"/>
      <c r="L94" s="45"/>
      <c r="M94" s="45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 t="str">
        <f>'Agents'' Final Roster 0823-0829'!Z94</f>
        <v>HD</v>
      </c>
      <c r="AA94" s="39"/>
      <c r="AB94" s="39"/>
      <c r="AC94" s="39"/>
      <c r="AD94" s="39"/>
      <c r="AE94" s="39"/>
      <c r="AF94" s="39"/>
      <c r="AG94" s="39"/>
      <c r="AH94" s="39"/>
      <c r="AI94" s="39"/>
      <c r="AJ94" s="46"/>
      <c r="AK94" s="46"/>
      <c r="AL94" s="47"/>
      <c r="AM94" s="52"/>
      <c r="AN94" s="53"/>
      <c r="AO94" s="50"/>
      <c r="AP94" s="57"/>
    </row>
    <row r="95" spans="1:42" s="5" customFormat="1" ht="15" customHeight="1" x14ac:dyDescent="0.25">
      <c r="A95" s="44" t="str">
        <f>'Agents'' Final Roster 0823-0829'!A95</f>
        <v>Ortiz Jose María</v>
      </c>
      <c r="B95" s="39" t="str">
        <f>'Agents'' Final Roster 0823-0829'!B95</f>
        <v>Brandan Ernesto Alejandro</v>
      </c>
      <c r="C95" s="39" t="str">
        <f>'Agents'' Final Roster 0823-0829'!C95</f>
        <v>Nuñez</v>
      </c>
      <c r="D95" s="39" t="str">
        <f>'Agents'' Final Roster 0823-0829'!D95</f>
        <v>Roxana Marcela</v>
      </c>
      <c r="E95" s="39"/>
      <c r="F95" s="39"/>
      <c r="G95" s="39"/>
      <c r="H95" s="39"/>
      <c r="I95" s="39"/>
      <c r="J95" s="39"/>
      <c r="K95" s="39"/>
      <c r="L95" s="45"/>
      <c r="M95" s="45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 t="str">
        <f>'Agents'' Final Roster 0823-0829'!Z95</f>
        <v>DVH</v>
      </c>
      <c r="AA95" s="39"/>
      <c r="AB95" s="39"/>
      <c r="AC95" s="39"/>
      <c r="AD95" s="39"/>
      <c r="AE95" s="39"/>
      <c r="AF95" s="39"/>
      <c r="AG95" s="39"/>
      <c r="AH95" s="39"/>
      <c r="AI95" s="39"/>
      <c r="AJ95" s="46"/>
      <c r="AK95" s="46"/>
      <c r="AL95" s="47"/>
      <c r="AM95" s="52"/>
      <c r="AN95" s="53"/>
      <c r="AO95" s="50"/>
      <c r="AP95" s="57"/>
    </row>
    <row r="96" spans="1:42" s="5" customFormat="1" ht="15" customHeight="1" x14ac:dyDescent="0.25">
      <c r="A96" s="44" t="str">
        <f>'Agents'' Final Roster 0823-0829'!A96</f>
        <v>Ortiz Jose María</v>
      </c>
      <c r="B96" s="39" t="str">
        <f>'Agents'' Final Roster 0823-0829'!B96</f>
        <v>Brandan Ernesto Alejandro</v>
      </c>
      <c r="C96" s="39" t="str">
        <f>'Agents'' Final Roster 0823-0829'!C96</f>
        <v>Palavecino</v>
      </c>
      <c r="D96" s="39" t="str">
        <f>'Agents'' Final Roster 0823-0829'!D96</f>
        <v>Marta Erika del Valle</v>
      </c>
      <c r="E96" s="39"/>
      <c r="F96" s="39"/>
      <c r="G96" s="39"/>
      <c r="H96" s="39"/>
      <c r="I96" s="39"/>
      <c r="J96" s="39"/>
      <c r="K96" s="39"/>
      <c r="L96" s="45"/>
      <c r="M96" s="45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 t="str">
        <f>'Agents'' Final Roster 0823-0829'!Z96</f>
        <v>VIP</v>
      </c>
      <c r="AA96" s="39"/>
      <c r="AB96" s="39"/>
      <c r="AC96" s="39"/>
      <c r="AD96" s="39"/>
      <c r="AE96" s="39"/>
      <c r="AF96" s="39"/>
      <c r="AG96" s="39"/>
      <c r="AH96" s="39"/>
      <c r="AI96" s="39"/>
      <c r="AJ96" s="46"/>
      <c r="AK96" s="46"/>
      <c r="AL96" s="47"/>
      <c r="AM96" s="52"/>
      <c r="AN96" s="53"/>
      <c r="AO96" s="50"/>
      <c r="AP96" s="57"/>
    </row>
    <row r="97" spans="1:42" s="5" customFormat="1" ht="15" customHeight="1" x14ac:dyDescent="0.25">
      <c r="A97" s="44" t="str">
        <f>'Agents'' Final Roster 0823-0829'!A97</f>
        <v>Ortiz Jose María</v>
      </c>
      <c r="B97" s="39" t="str">
        <f>'Agents'' Final Roster 0823-0829'!B97</f>
        <v>Brandan Ernesto Alejandro</v>
      </c>
      <c r="C97" s="39" t="str">
        <f>'Agents'' Final Roster 0823-0829'!C97</f>
        <v>Rivadeneira</v>
      </c>
      <c r="D97" s="39" t="str">
        <f>'Agents'' Final Roster 0823-0829'!D97</f>
        <v>Maira Belén</v>
      </c>
      <c r="E97" s="39"/>
      <c r="F97" s="39"/>
      <c r="G97" s="39"/>
      <c r="H97" s="39"/>
      <c r="I97" s="39"/>
      <c r="J97" s="39"/>
      <c r="K97" s="39"/>
      <c r="L97" s="45"/>
      <c r="M97" s="45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 t="str">
        <f>'Agents'' Final Roster 0823-0829'!Z97</f>
        <v>CSV2</v>
      </c>
      <c r="AA97" s="39"/>
      <c r="AB97" s="39"/>
      <c r="AC97" s="39"/>
      <c r="AD97" s="39"/>
      <c r="AE97" s="39"/>
      <c r="AF97" s="39"/>
      <c r="AG97" s="39"/>
      <c r="AH97" s="39"/>
      <c r="AI97" s="39"/>
      <c r="AJ97" s="46"/>
      <c r="AK97" s="46"/>
      <c r="AL97" s="47"/>
      <c r="AM97" s="52"/>
      <c r="AN97" s="53"/>
      <c r="AO97" s="50"/>
      <c r="AP97" s="57"/>
    </row>
    <row r="98" spans="1:42" s="5" customFormat="1" ht="15" customHeight="1" x14ac:dyDescent="0.25">
      <c r="A98" s="44" t="str">
        <f>'Agents'' Final Roster 0823-0829'!A98</f>
        <v>Ortiz Jose María</v>
      </c>
      <c r="B98" s="39" t="str">
        <f>'Agents'' Final Roster 0823-0829'!B98</f>
        <v>Brandan Ernesto Alejandro</v>
      </c>
      <c r="C98" s="39" t="str">
        <f>'Agents'' Final Roster 0823-0829'!C98</f>
        <v>Rodriguez Ciccio</v>
      </c>
      <c r="D98" s="39" t="str">
        <f>'Agents'' Final Roster 0823-0829'!D98</f>
        <v>Nicolas Exequiel</v>
      </c>
      <c r="E98" s="39"/>
      <c r="F98" s="39"/>
      <c r="G98" s="39"/>
      <c r="H98" s="39"/>
      <c r="I98" s="39"/>
      <c r="J98" s="39"/>
      <c r="K98" s="39"/>
      <c r="L98" s="45"/>
      <c r="M98" s="45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 t="str">
        <f>'Agents'' Final Roster 0823-0829'!Z98</f>
        <v>VIP</v>
      </c>
      <c r="AA98" s="39"/>
      <c r="AB98" s="39"/>
      <c r="AC98" s="39"/>
      <c r="AD98" s="39"/>
      <c r="AE98" s="39"/>
      <c r="AF98" s="39"/>
      <c r="AG98" s="39"/>
      <c r="AH98" s="39"/>
      <c r="AI98" s="39"/>
      <c r="AJ98" s="46"/>
      <c r="AK98" s="46"/>
      <c r="AL98" s="47"/>
      <c r="AM98" s="52"/>
      <c r="AN98" s="53"/>
      <c r="AO98" s="50"/>
      <c r="AP98" s="57"/>
    </row>
    <row r="99" spans="1:42" s="5" customFormat="1" ht="15" customHeight="1" x14ac:dyDescent="0.25">
      <c r="A99" s="44" t="str">
        <f>'Agents'' Final Roster 0823-0829'!A99</f>
        <v>Ortiz Jose María</v>
      </c>
      <c r="B99" s="39" t="str">
        <f>'Agents'' Final Roster 0823-0829'!B99</f>
        <v>Brandan Ernesto Alejandro</v>
      </c>
      <c r="C99" s="39" t="str">
        <f>'Agents'' Final Roster 0823-0829'!C99</f>
        <v>Salas</v>
      </c>
      <c r="D99" s="39" t="str">
        <f>'Agents'' Final Roster 0823-0829'!D99</f>
        <v>Melina del Carmen</v>
      </c>
      <c r="E99" s="39"/>
      <c r="F99" s="39"/>
      <c r="G99" s="39"/>
      <c r="H99" s="39"/>
      <c r="I99" s="39"/>
      <c r="J99" s="39"/>
      <c r="K99" s="39"/>
      <c r="L99" s="45"/>
      <c r="M99" s="45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 t="str">
        <f>'Agents'' Final Roster 0823-0829'!Z99</f>
        <v>CSV2</v>
      </c>
      <c r="AA99" s="39"/>
      <c r="AB99" s="39"/>
      <c r="AC99" s="39"/>
      <c r="AD99" s="39"/>
      <c r="AE99" s="39"/>
      <c r="AF99" s="39"/>
      <c r="AG99" s="39"/>
      <c r="AH99" s="39"/>
      <c r="AI99" s="39"/>
      <c r="AJ99" s="46"/>
      <c r="AK99" s="46"/>
      <c r="AL99" s="47"/>
      <c r="AM99" s="52"/>
      <c r="AN99" s="53"/>
      <c r="AO99" s="50"/>
      <c r="AP99" s="57"/>
    </row>
    <row r="100" spans="1:42" s="5" customFormat="1" ht="15" customHeight="1" x14ac:dyDescent="0.25">
      <c r="A100" s="44" t="str">
        <f>'Agents'' Final Roster 0823-0829'!A100</f>
        <v>Ortiz Jose María</v>
      </c>
      <c r="B100" s="39" t="str">
        <f>'Agents'' Final Roster 0823-0829'!B100</f>
        <v>Brandan Ernesto Alejandro</v>
      </c>
      <c r="C100" s="39" t="str">
        <f>'Agents'' Final Roster 0823-0829'!C100</f>
        <v>Santucho</v>
      </c>
      <c r="D100" s="39" t="str">
        <f>'Agents'' Final Roster 0823-0829'!D100</f>
        <v>Ramon Eduardo</v>
      </c>
      <c r="E100" s="39"/>
      <c r="F100" s="39"/>
      <c r="G100" s="39"/>
      <c r="H100" s="39"/>
      <c r="I100" s="39"/>
      <c r="J100" s="39"/>
      <c r="K100" s="39"/>
      <c r="L100" s="45"/>
      <c r="M100" s="45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 t="str">
        <f>'Agents'' Final Roster 0823-0829'!Z100</f>
        <v>VIP</v>
      </c>
      <c r="AA100" s="39"/>
      <c r="AB100" s="39"/>
      <c r="AC100" s="39"/>
      <c r="AD100" s="39"/>
      <c r="AE100" s="39"/>
      <c r="AF100" s="39"/>
      <c r="AG100" s="39"/>
      <c r="AH100" s="39"/>
      <c r="AI100" s="39"/>
      <c r="AJ100" s="46"/>
      <c r="AK100" s="46"/>
      <c r="AL100" s="47"/>
      <c r="AM100" s="52"/>
      <c r="AN100" s="53"/>
      <c r="AO100" s="50"/>
      <c r="AP100" s="57"/>
    </row>
    <row r="101" spans="1:42" s="5" customFormat="1" ht="15" customHeight="1" x14ac:dyDescent="0.25">
      <c r="A101" s="69" t="str">
        <f>'Agents'' Final Roster 0823-0829'!A101</f>
        <v>Ortiz Jose María</v>
      </c>
      <c r="B101" s="70" t="str">
        <f>'Agents'' Final Roster 0823-0829'!B101</f>
        <v>Brandan Ernesto Alejandro</v>
      </c>
      <c r="C101" s="70" t="str">
        <f>'Agents'' Final Roster 0823-0829'!C101</f>
        <v>Vargas</v>
      </c>
      <c r="D101" s="70" t="str">
        <f>'Agents'' Final Roster 0823-0829'!D101</f>
        <v>Ivan Xavier</v>
      </c>
      <c r="E101" s="70"/>
      <c r="F101" s="70"/>
      <c r="G101" s="70"/>
      <c r="H101" s="70"/>
      <c r="I101" s="70"/>
      <c r="J101" s="70"/>
      <c r="K101" s="70"/>
      <c r="L101" s="45"/>
      <c r="M101" s="45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 t="str">
        <f>'Agents'' Final Roster 0823-0829'!Z101</f>
        <v>DVH</v>
      </c>
      <c r="AA101" s="39"/>
      <c r="AB101" s="39"/>
      <c r="AC101" s="39"/>
      <c r="AD101" s="39"/>
      <c r="AE101" s="39"/>
      <c r="AF101" s="39"/>
      <c r="AG101" s="39"/>
      <c r="AH101" s="39"/>
      <c r="AI101" s="39"/>
      <c r="AJ101" s="46"/>
      <c r="AK101" s="46"/>
      <c r="AL101" s="47"/>
      <c r="AM101" s="52"/>
      <c r="AN101" s="53"/>
      <c r="AO101" s="50"/>
      <c r="AP101" s="57"/>
    </row>
    <row r="102" spans="1:42" s="5" customFormat="1" ht="15" customHeight="1" x14ac:dyDescent="0.25">
      <c r="A102" s="44" t="str">
        <f>'Agents'' Final Roster 0823-0829'!A102</f>
        <v>Ortiz Jose María</v>
      </c>
      <c r="B102" s="39" t="str">
        <f>'Agents'' Final Roster 0823-0829'!B102</f>
        <v>Britos Fernando José</v>
      </c>
      <c r="C102" s="39" t="str">
        <f>'Agents'' Final Roster 0823-0829'!C102</f>
        <v>Alcaraz</v>
      </c>
      <c r="D102" s="39" t="str">
        <f>'Agents'' Final Roster 0823-0829'!D102</f>
        <v>Maria Gabriela</v>
      </c>
      <c r="E102" s="39"/>
      <c r="F102" s="39"/>
      <c r="G102" s="39"/>
      <c r="H102" s="39"/>
      <c r="I102" s="39"/>
      <c r="J102" s="39"/>
      <c r="K102" s="39"/>
      <c r="L102" s="45"/>
      <c r="M102" s="45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 t="str">
        <f>'Agents'' Final Roster 0823-0829'!Z102</f>
        <v>Habilitaciones</v>
      </c>
      <c r="AA102" s="39"/>
      <c r="AB102" s="39"/>
      <c r="AC102" s="39"/>
      <c r="AD102" s="39"/>
      <c r="AE102" s="39"/>
      <c r="AF102" s="39"/>
      <c r="AG102" s="39"/>
      <c r="AH102" s="39"/>
      <c r="AI102" s="39"/>
      <c r="AJ102" s="46"/>
      <c r="AK102" s="46"/>
      <c r="AL102" s="47"/>
      <c r="AM102" s="52"/>
      <c r="AN102" s="53"/>
      <c r="AO102" s="50"/>
      <c r="AP102" s="57"/>
    </row>
    <row r="103" spans="1:42" s="5" customFormat="1" ht="15" customHeight="1" x14ac:dyDescent="0.25">
      <c r="A103" s="44" t="str">
        <f>'Agents'' Final Roster 0823-0829'!A103</f>
        <v>Ortiz Jose María</v>
      </c>
      <c r="B103" s="39" t="str">
        <f>'Agents'' Final Roster 0823-0829'!B103</f>
        <v>Britos Fernando José</v>
      </c>
      <c r="C103" s="39" t="str">
        <f>'Agents'' Final Roster 0823-0829'!C103</f>
        <v>Almada</v>
      </c>
      <c r="D103" s="39" t="str">
        <f>'Agents'' Final Roster 0823-0829'!D103</f>
        <v>Nancy Alejandra</v>
      </c>
      <c r="E103" s="39"/>
      <c r="F103" s="39"/>
      <c r="G103" s="39"/>
      <c r="H103" s="39"/>
      <c r="I103" s="39"/>
      <c r="J103" s="39"/>
      <c r="K103" s="39"/>
      <c r="L103" s="45"/>
      <c r="M103" s="45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 t="str">
        <f>'Agents'' Final Roster 0823-0829'!Z103</f>
        <v>DVH</v>
      </c>
      <c r="AA103" s="39"/>
      <c r="AB103" s="39"/>
      <c r="AC103" s="39"/>
      <c r="AD103" s="39"/>
      <c r="AE103" s="39"/>
      <c r="AF103" s="39"/>
      <c r="AG103" s="39"/>
      <c r="AH103" s="39"/>
      <c r="AI103" s="39"/>
      <c r="AJ103" s="46"/>
      <c r="AK103" s="46"/>
      <c r="AL103" s="47"/>
      <c r="AM103" s="52"/>
      <c r="AN103" s="53"/>
      <c r="AO103" s="50"/>
      <c r="AP103" s="57"/>
    </row>
    <row r="104" spans="1:42" s="5" customFormat="1" ht="15" customHeight="1" x14ac:dyDescent="0.25">
      <c r="A104" s="44" t="str">
        <f>'Agents'' Final Roster 0823-0829'!A104</f>
        <v>Ortiz Jose María</v>
      </c>
      <c r="B104" s="39" t="str">
        <f>'Agents'' Final Roster 0823-0829'!B104</f>
        <v>Esquivel Pavan Pamela Sol</v>
      </c>
      <c r="C104" s="39" t="str">
        <f>'Agents'' Final Roster 0823-0829'!C104</f>
        <v>Angulo</v>
      </c>
      <c r="D104" s="39" t="str">
        <f>'Agents'' Final Roster 0823-0829'!D104</f>
        <v>Luciano Nicolas</v>
      </c>
      <c r="E104" s="39"/>
      <c r="F104" s="39"/>
      <c r="G104" s="39"/>
      <c r="H104" s="39"/>
      <c r="I104" s="39"/>
      <c r="J104" s="39"/>
      <c r="K104" s="39"/>
      <c r="L104" s="45"/>
      <c r="M104" s="45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 t="str">
        <f>'Agents'' Final Roster 0823-0829'!Z104</f>
        <v>Compras Referidas</v>
      </c>
      <c r="AA104" s="39"/>
      <c r="AB104" s="39"/>
      <c r="AC104" s="39"/>
      <c r="AD104" s="39"/>
      <c r="AE104" s="39"/>
      <c r="AF104" s="39"/>
      <c r="AG104" s="39"/>
      <c r="AH104" s="39"/>
      <c r="AI104" s="39"/>
      <c r="AJ104" s="46"/>
      <c r="AK104" s="46"/>
      <c r="AL104" s="47"/>
      <c r="AM104" s="52"/>
      <c r="AN104" s="53"/>
      <c r="AO104" s="50"/>
      <c r="AP104" s="57"/>
    </row>
    <row r="105" spans="1:42" s="5" customFormat="1" ht="15" customHeight="1" x14ac:dyDescent="0.25">
      <c r="A105" s="44" t="str">
        <f>'Agents'' Final Roster 0823-0829'!A105</f>
        <v>Ortiz Jose María</v>
      </c>
      <c r="B105" s="39" t="str">
        <f>'Agents'' Final Roster 0823-0829'!B105</f>
        <v>Britos Fernando José</v>
      </c>
      <c r="C105" s="39" t="str">
        <f>'Agents'' Final Roster 0823-0829'!C105</f>
        <v>Arias</v>
      </c>
      <c r="D105" s="39" t="str">
        <f>'Agents'' Final Roster 0823-0829'!D105</f>
        <v>Alvaro Rodrigo</v>
      </c>
      <c r="E105" s="39"/>
      <c r="F105" s="39"/>
      <c r="G105" s="39"/>
      <c r="H105" s="39"/>
      <c r="I105" s="39"/>
      <c r="J105" s="39"/>
      <c r="K105" s="39"/>
      <c r="L105" s="45"/>
      <c r="M105" s="45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 t="str">
        <f>'Agents'' Final Roster 0823-0829'!Z105</f>
        <v>Servicios web</v>
      </c>
      <c r="AA105" s="39"/>
      <c r="AB105" s="39"/>
      <c r="AC105" s="39"/>
      <c r="AD105" s="39"/>
      <c r="AE105" s="39"/>
      <c r="AF105" s="39"/>
      <c r="AG105" s="39"/>
      <c r="AH105" s="39"/>
      <c r="AI105" s="39"/>
      <c r="AJ105" s="46"/>
      <c r="AK105" s="46"/>
      <c r="AL105" s="47"/>
      <c r="AM105" s="52"/>
      <c r="AN105" s="53"/>
      <c r="AO105" s="50"/>
      <c r="AP105" s="57"/>
    </row>
    <row r="106" spans="1:42" s="5" customFormat="1" ht="15" customHeight="1" x14ac:dyDescent="0.25">
      <c r="A106" s="69" t="str">
        <f>'Agents'' Final Roster 0823-0829'!A106</f>
        <v>Ortiz Jose María</v>
      </c>
      <c r="B106" s="70" t="str">
        <f>'Agents'' Final Roster 0823-0829'!B106</f>
        <v>Britos Fernando José</v>
      </c>
      <c r="C106" s="70" t="str">
        <f>'Agents'' Final Roster 0823-0829'!C106</f>
        <v>Boffa</v>
      </c>
      <c r="D106" s="70" t="str">
        <f>'Agents'' Final Roster 0823-0829'!D106</f>
        <v>Maria de Los Angeles</v>
      </c>
      <c r="E106" s="70"/>
      <c r="F106" s="70"/>
      <c r="G106" s="70"/>
      <c r="H106" s="70"/>
      <c r="I106" s="70"/>
      <c r="J106" s="70"/>
      <c r="K106" s="70"/>
      <c r="L106" s="45"/>
      <c r="M106" s="45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 t="str">
        <f>'Agents'' Final Roster 0823-0829'!Z106</f>
        <v>Servicios web</v>
      </c>
      <c r="AA106" s="39"/>
      <c r="AB106" s="39"/>
      <c r="AC106" s="39"/>
      <c r="AD106" s="39"/>
      <c r="AE106" s="39"/>
      <c r="AF106" s="39"/>
      <c r="AG106" s="39"/>
      <c r="AH106" s="39"/>
      <c r="AI106" s="39"/>
      <c r="AJ106" s="46"/>
      <c r="AK106" s="46"/>
      <c r="AL106" s="47"/>
      <c r="AM106" s="52"/>
      <c r="AN106" s="53"/>
      <c r="AO106" s="50"/>
      <c r="AP106" s="57"/>
    </row>
    <row r="107" spans="1:42" s="5" customFormat="1" ht="15" customHeight="1" x14ac:dyDescent="0.25">
      <c r="A107" s="69" t="str">
        <f>'Agents'' Final Roster 0823-0829'!A107</f>
        <v>Ortiz Jose María</v>
      </c>
      <c r="B107" s="70" t="str">
        <f>'Agents'' Final Roster 0823-0829'!B107</f>
        <v>Britos Fernando José</v>
      </c>
      <c r="C107" s="70" t="str">
        <f>'Agents'' Final Roster 0823-0829'!C107</f>
        <v>Cerdeira</v>
      </c>
      <c r="D107" s="70" t="str">
        <f>'Agents'' Final Roster 0823-0829'!D107</f>
        <v>Rosana Valeria</v>
      </c>
      <c r="E107" s="70"/>
      <c r="F107" s="70"/>
      <c r="G107" s="70"/>
      <c r="H107" s="70"/>
      <c r="I107" s="70"/>
      <c r="J107" s="70"/>
      <c r="K107" s="70"/>
      <c r="L107" s="45"/>
      <c r="M107" s="45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 t="str">
        <f>'Agents'' Final Roster 0823-0829'!Z107</f>
        <v>CSV1</v>
      </c>
      <c r="AA107" s="39"/>
      <c r="AB107" s="39"/>
      <c r="AC107" s="39"/>
      <c r="AD107" s="39"/>
      <c r="AE107" s="39"/>
      <c r="AF107" s="39"/>
      <c r="AG107" s="39"/>
      <c r="AH107" s="39"/>
      <c r="AI107" s="39"/>
      <c r="AJ107" s="46"/>
      <c r="AK107" s="46"/>
      <c r="AL107" s="47"/>
      <c r="AM107" s="52"/>
      <c r="AN107" s="53"/>
      <c r="AO107" s="50"/>
      <c r="AP107" s="57"/>
    </row>
    <row r="108" spans="1:42" s="5" customFormat="1" ht="15" customHeight="1" x14ac:dyDescent="0.25">
      <c r="A108" s="44" t="str">
        <f>'Agents'' Final Roster 0823-0829'!A108</f>
        <v>Ortiz Jose María</v>
      </c>
      <c r="B108" s="39" t="str">
        <f>'Agents'' Final Roster 0823-0829'!B108</f>
        <v>Britos Fernando José</v>
      </c>
      <c r="C108" s="39" t="str">
        <f>'Agents'' Final Roster 0823-0829'!C108</f>
        <v>Cortes Jozami</v>
      </c>
      <c r="D108" s="39" t="str">
        <f>'Agents'' Final Roster 0823-0829'!D108</f>
        <v>Ana Sofia</v>
      </c>
      <c r="E108" s="39"/>
      <c r="F108" s="39"/>
      <c r="G108" s="39"/>
      <c r="H108" s="39"/>
      <c r="I108" s="39"/>
      <c r="J108" s="39"/>
      <c r="K108" s="39"/>
      <c r="L108" s="45"/>
      <c r="M108" s="45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 t="str">
        <f>'Agents'' Final Roster 0823-0829'!Z108</f>
        <v>Servicios web</v>
      </c>
      <c r="AA108" s="39"/>
      <c r="AB108" s="39"/>
      <c r="AC108" s="39"/>
      <c r="AD108" s="39"/>
      <c r="AE108" s="39"/>
      <c r="AF108" s="39"/>
      <c r="AG108" s="39"/>
      <c r="AH108" s="39"/>
      <c r="AI108" s="39"/>
      <c r="AJ108" s="46"/>
      <c r="AK108" s="46"/>
      <c r="AL108" s="47"/>
      <c r="AM108" s="52"/>
      <c r="AN108" s="53"/>
      <c r="AO108" s="50"/>
      <c r="AP108" s="57"/>
    </row>
    <row r="109" spans="1:42" s="5" customFormat="1" ht="15" customHeight="1" x14ac:dyDescent="0.25">
      <c r="A109" s="42" t="str">
        <f>'Agents'' Final Roster 0823-0829'!A109</f>
        <v>Ortiz Jose María</v>
      </c>
      <c r="B109" s="41" t="str">
        <f>'Agents'' Final Roster 0823-0829'!B109</f>
        <v>Britos Fernando José</v>
      </c>
      <c r="C109" s="41" t="str">
        <f>'Agents'' Final Roster 0823-0829'!C109</f>
        <v>Delgado</v>
      </c>
      <c r="D109" s="41" t="str">
        <f>'Agents'' Final Roster 0823-0829'!D109</f>
        <v>Maria Celeste</v>
      </c>
      <c r="E109" s="41"/>
      <c r="F109" s="41"/>
      <c r="G109" s="41"/>
      <c r="H109" s="41"/>
      <c r="I109" s="41"/>
      <c r="J109" s="41"/>
      <c r="K109" s="41"/>
      <c r="L109" s="45"/>
      <c r="M109" s="45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 t="str">
        <f>'Agents'' Final Roster 0823-0829'!Z109</f>
        <v>DVH</v>
      </c>
      <c r="AA109" s="39"/>
      <c r="AB109" s="39"/>
      <c r="AC109" s="39"/>
      <c r="AD109" s="39"/>
      <c r="AE109" s="39"/>
      <c r="AF109" s="39"/>
      <c r="AG109" s="39"/>
      <c r="AH109" s="39"/>
      <c r="AI109" s="39"/>
      <c r="AJ109" s="46"/>
      <c r="AK109" s="46"/>
      <c r="AL109" s="47"/>
      <c r="AM109" s="52"/>
      <c r="AN109" s="53"/>
      <c r="AO109" s="50"/>
      <c r="AP109" s="57"/>
    </row>
    <row r="110" spans="1:42" s="5" customFormat="1" ht="15" customHeight="1" x14ac:dyDescent="0.25">
      <c r="A110" s="44" t="str">
        <f>'Agents'' Final Roster 0823-0829'!A110</f>
        <v>Ortiz Jose María</v>
      </c>
      <c r="B110" s="39" t="str">
        <f>'Agents'' Final Roster 0823-0829'!B110</f>
        <v>Britos Fernando José</v>
      </c>
      <c r="C110" s="39" t="str">
        <f>'Agents'' Final Roster 0823-0829'!C110</f>
        <v>Dilodovico</v>
      </c>
      <c r="D110" s="39" t="str">
        <f>'Agents'' Final Roster 0823-0829'!D110</f>
        <v>Maria Florencia</v>
      </c>
      <c r="E110" s="39"/>
      <c r="F110" s="39"/>
      <c r="G110" s="39"/>
      <c r="H110" s="39"/>
      <c r="I110" s="39"/>
      <c r="J110" s="39"/>
      <c r="K110" s="39"/>
      <c r="L110" s="45"/>
      <c r="M110" s="45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 t="str">
        <f>'Agents'' Final Roster 0823-0829'!Z110</f>
        <v>CSV1</v>
      </c>
      <c r="AA110" s="39"/>
      <c r="AB110" s="39"/>
      <c r="AC110" s="39"/>
      <c r="AD110" s="39"/>
      <c r="AE110" s="39"/>
      <c r="AF110" s="39"/>
      <c r="AG110" s="39"/>
      <c r="AH110" s="39"/>
      <c r="AI110" s="39"/>
      <c r="AJ110" s="46"/>
      <c r="AK110" s="46"/>
      <c r="AL110" s="47"/>
      <c r="AM110" s="52"/>
      <c r="AN110" s="53"/>
      <c r="AO110" s="50"/>
      <c r="AP110" s="57"/>
    </row>
    <row r="111" spans="1:42" s="5" customFormat="1" ht="15" customHeight="1" x14ac:dyDescent="0.25">
      <c r="A111" s="44" t="str">
        <f>'Agents'' Final Roster 0823-0829'!A111</f>
        <v>Ortiz Jose María</v>
      </c>
      <c r="B111" s="39" t="str">
        <f>'Agents'' Final Roster 0823-0829'!B111</f>
        <v>Britos Fernando José</v>
      </c>
      <c r="C111" s="39" t="str">
        <f>'Agents'' Final Roster 0823-0829'!C111</f>
        <v>Infante Marcello</v>
      </c>
      <c r="D111" s="39" t="str">
        <f>'Agents'' Final Roster 0823-0829'!D111</f>
        <v>Christian Sebastian</v>
      </c>
      <c r="E111" s="39"/>
      <c r="F111" s="39"/>
      <c r="G111" s="39"/>
      <c r="H111" s="39"/>
      <c r="I111" s="39"/>
      <c r="J111" s="39"/>
      <c r="K111" s="39"/>
      <c r="L111" s="45"/>
      <c r="M111" s="45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 t="str">
        <f>'Agents'' Final Roster 0823-0829'!Z111</f>
        <v>Compras Referidas</v>
      </c>
      <c r="AA111" s="39"/>
      <c r="AB111" s="39"/>
      <c r="AC111" s="39"/>
      <c r="AD111" s="39"/>
      <c r="AE111" s="39"/>
      <c r="AF111" s="39"/>
      <c r="AG111" s="39"/>
      <c r="AH111" s="39"/>
      <c r="AI111" s="39"/>
      <c r="AJ111" s="46"/>
      <c r="AK111" s="46"/>
      <c r="AL111" s="47"/>
      <c r="AM111" s="52"/>
      <c r="AN111" s="53"/>
      <c r="AO111" s="50"/>
      <c r="AP111" s="57"/>
    </row>
    <row r="112" spans="1:42" s="5" customFormat="1" ht="15" customHeight="1" x14ac:dyDescent="0.25">
      <c r="A112" s="44" t="str">
        <f>'Agents'' Final Roster 0823-0829'!A112</f>
        <v>Campero Juarez Maria Guadalupe</v>
      </c>
      <c r="B112" s="39" t="str">
        <f>'Agents'' Final Roster 0823-0829'!B112</f>
        <v>Podazza Villagra Daniel Matias</v>
      </c>
      <c r="C112" s="39" t="str">
        <f>'Agents'' Final Roster 0823-0829'!C112</f>
        <v>Jorge</v>
      </c>
      <c r="D112" s="39" t="str">
        <f>'Agents'' Final Roster 0823-0829'!D112</f>
        <v>German Omar</v>
      </c>
      <c r="E112" s="39"/>
      <c r="F112" s="39"/>
      <c r="G112" s="39"/>
      <c r="H112" s="39"/>
      <c r="I112" s="39"/>
      <c r="J112" s="39"/>
      <c r="K112" s="39"/>
      <c r="L112" s="45"/>
      <c r="M112" s="45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 t="str">
        <f>'Agents'' Final Roster 0823-0829'!Z112</f>
        <v>Servicios web</v>
      </c>
      <c r="AA112" s="39"/>
      <c r="AB112" s="39"/>
      <c r="AC112" s="39"/>
      <c r="AD112" s="39"/>
      <c r="AE112" s="39"/>
      <c r="AF112" s="39"/>
      <c r="AG112" s="39"/>
      <c r="AH112" s="39"/>
      <c r="AI112" s="39"/>
      <c r="AJ112" s="46"/>
      <c r="AK112" s="46"/>
      <c r="AL112" s="47"/>
      <c r="AM112" s="52"/>
      <c r="AN112" s="53"/>
      <c r="AO112" s="50"/>
      <c r="AP112" s="57"/>
    </row>
    <row r="113" spans="1:42" s="5" customFormat="1" ht="15" customHeight="1" x14ac:dyDescent="0.25">
      <c r="A113" s="69" t="str">
        <f>'Agents'' Final Roster 0823-0829'!A113</f>
        <v>Ortiz Jose María</v>
      </c>
      <c r="B113" s="70" t="str">
        <f>'Agents'' Final Roster 0823-0829'!B113</f>
        <v>Britos Fernando José</v>
      </c>
      <c r="C113" s="70" t="str">
        <f>'Agents'' Final Roster 0823-0829'!C113</f>
        <v>Juarez</v>
      </c>
      <c r="D113" s="70" t="str">
        <f>'Agents'' Final Roster 0823-0829'!D113</f>
        <v>Patricia Isabel</v>
      </c>
      <c r="E113" s="70"/>
      <c r="F113" s="70"/>
      <c r="G113" s="70"/>
      <c r="H113" s="70"/>
      <c r="I113" s="70"/>
      <c r="J113" s="70"/>
      <c r="K113" s="70"/>
      <c r="L113" s="45"/>
      <c r="M113" s="45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 t="str">
        <f>'Agents'' Final Roster 0823-0829'!Z113</f>
        <v>CSV1</v>
      </c>
      <c r="AA113" s="39"/>
      <c r="AB113" s="39"/>
      <c r="AC113" s="39"/>
      <c r="AD113" s="39"/>
      <c r="AE113" s="39"/>
      <c r="AF113" s="39"/>
      <c r="AG113" s="39"/>
      <c r="AH113" s="39"/>
      <c r="AI113" s="39"/>
      <c r="AJ113" s="46"/>
      <c r="AK113" s="46"/>
      <c r="AL113" s="47"/>
      <c r="AM113" s="52"/>
      <c r="AN113" s="53"/>
      <c r="AO113" s="50"/>
      <c r="AP113" s="57"/>
    </row>
    <row r="114" spans="1:42" s="5" customFormat="1" ht="15" customHeight="1" x14ac:dyDescent="0.25">
      <c r="A114" s="44" t="str">
        <f>'Agents'' Final Roster 0823-0829'!A114</f>
        <v>Ortiz Jose María</v>
      </c>
      <c r="B114" s="39" t="str">
        <f>'Agents'' Final Roster 0823-0829'!B114</f>
        <v>Britos Fernando José</v>
      </c>
      <c r="C114" s="39" t="str">
        <f>'Agents'' Final Roster 0823-0829'!C114</f>
        <v>Merlo</v>
      </c>
      <c r="D114" s="39" t="str">
        <f>'Agents'' Final Roster 0823-0829'!D114</f>
        <v>Rocio Agustina</v>
      </c>
      <c r="E114" s="39"/>
      <c r="F114" s="39"/>
      <c r="G114" s="39"/>
      <c r="H114" s="39"/>
      <c r="I114" s="39"/>
      <c r="J114" s="39"/>
      <c r="K114" s="39"/>
      <c r="L114" s="45"/>
      <c r="M114" s="45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 t="str">
        <f>'Agents'' Final Roster 0823-0829'!Z114</f>
        <v>DVH</v>
      </c>
      <c r="AA114" s="39"/>
      <c r="AB114" s="39"/>
      <c r="AC114" s="39"/>
      <c r="AD114" s="39"/>
      <c r="AE114" s="39"/>
      <c r="AF114" s="39"/>
      <c r="AG114" s="39"/>
      <c r="AH114" s="39"/>
      <c r="AI114" s="39"/>
      <c r="AJ114" s="46"/>
      <c r="AK114" s="46"/>
      <c r="AL114" s="47"/>
      <c r="AM114" s="52"/>
      <c r="AN114" s="53"/>
      <c r="AO114" s="50"/>
      <c r="AP114" s="57"/>
    </row>
    <row r="115" spans="1:42" s="5" customFormat="1" ht="15" customHeight="1" x14ac:dyDescent="0.25">
      <c r="A115" s="44" t="str">
        <f>'Agents'' Final Roster 0823-0829'!A115</f>
        <v>Ortiz Jose María</v>
      </c>
      <c r="B115" s="39" t="str">
        <f>'Agents'' Final Roster 0823-0829'!B115</f>
        <v>Britos Fernando José</v>
      </c>
      <c r="C115" s="39" t="str">
        <f>'Agents'' Final Roster 0823-0829'!C115</f>
        <v>Moreira</v>
      </c>
      <c r="D115" s="39" t="str">
        <f>'Agents'' Final Roster 0823-0829'!D115</f>
        <v>Fernando Ezequiel</v>
      </c>
      <c r="E115" s="39"/>
      <c r="F115" s="39"/>
      <c r="G115" s="39"/>
      <c r="H115" s="39"/>
      <c r="I115" s="39"/>
      <c r="J115" s="39"/>
      <c r="K115" s="39"/>
      <c r="L115" s="45"/>
      <c r="M115" s="45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 t="str">
        <f>'Agents'' Final Roster 0823-0829'!Z115</f>
        <v>DVH</v>
      </c>
      <c r="AA115" s="39"/>
      <c r="AB115" s="39"/>
      <c r="AC115" s="39"/>
      <c r="AD115" s="39"/>
      <c r="AE115" s="39"/>
      <c r="AF115" s="39"/>
      <c r="AG115" s="39"/>
      <c r="AH115" s="39"/>
      <c r="AI115" s="39"/>
      <c r="AJ115" s="46"/>
      <c r="AK115" s="46"/>
      <c r="AL115" s="47"/>
      <c r="AM115" s="52"/>
      <c r="AN115" s="53"/>
      <c r="AO115" s="50"/>
      <c r="AP115" s="57"/>
    </row>
    <row r="116" spans="1:42" s="5" customFormat="1" ht="15" customHeight="1" x14ac:dyDescent="0.25">
      <c r="A116" s="83" t="str">
        <f>'Agents'' Final Roster 0823-0829'!A116</f>
        <v>Ortiz Jose María</v>
      </c>
      <c r="B116" s="84" t="str">
        <f>'Agents'' Final Roster 0823-0829'!B116</f>
        <v>Britos Fernando José</v>
      </c>
      <c r="C116" s="84" t="str">
        <f>'Agents'' Final Roster 0823-0829'!C116</f>
        <v>Rodriguez</v>
      </c>
      <c r="D116" s="84" t="str">
        <f>'Agents'' Final Roster 0823-0829'!D116</f>
        <v xml:space="preserve">Maria Florencia </v>
      </c>
      <c r="E116" s="84"/>
      <c r="F116" s="84"/>
      <c r="G116" s="84"/>
      <c r="H116" s="84"/>
      <c r="I116" s="84"/>
      <c r="J116" s="84"/>
      <c r="K116" s="84"/>
      <c r="L116" s="45"/>
      <c r="M116" s="45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 t="str">
        <f>'Agents'' Final Roster 0823-0829'!Z116</f>
        <v>DVH</v>
      </c>
      <c r="AA116" s="39"/>
      <c r="AB116" s="39"/>
      <c r="AC116" s="39"/>
      <c r="AD116" s="39"/>
      <c r="AE116" s="39"/>
      <c r="AF116" s="39"/>
      <c r="AG116" s="39"/>
      <c r="AH116" s="39"/>
      <c r="AI116" s="39"/>
      <c r="AJ116" s="46"/>
      <c r="AK116" s="46"/>
      <c r="AL116" s="47"/>
      <c r="AM116" s="52"/>
      <c r="AN116" s="53"/>
      <c r="AO116" s="50"/>
      <c r="AP116" s="57"/>
    </row>
    <row r="117" spans="1:42" s="5" customFormat="1" ht="15" customHeight="1" x14ac:dyDescent="0.25">
      <c r="A117" s="83" t="str">
        <f>'Agents'' Final Roster 0823-0829'!A117</f>
        <v>Ortiz Jose María</v>
      </c>
      <c r="B117" s="84" t="str">
        <f>'Agents'' Final Roster 0823-0829'!B117</f>
        <v>Britos Fernando José</v>
      </c>
      <c r="C117" s="84" t="str">
        <f>'Agents'' Final Roster 0823-0829'!C117</f>
        <v>Vidal</v>
      </c>
      <c r="D117" s="84" t="str">
        <f>'Agents'' Final Roster 0823-0829'!D117</f>
        <v>Maria Elisa</v>
      </c>
      <c r="E117" s="84"/>
      <c r="F117" s="84"/>
      <c r="G117" s="84"/>
      <c r="H117" s="84"/>
      <c r="I117" s="84"/>
      <c r="J117" s="84"/>
      <c r="K117" s="84"/>
      <c r="L117" s="45"/>
      <c r="M117" s="45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 t="str">
        <f>'Agents'' Final Roster 0823-0829'!Z117</f>
        <v>TLMK</v>
      </c>
      <c r="AA117" s="39"/>
      <c r="AB117" s="39"/>
      <c r="AC117" s="39"/>
      <c r="AD117" s="39"/>
      <c r="AE117" s="39"/>
      <c r="AF117" s="39"/>
      <c r="AG117" s="39"/>
      <c r="AH117" s="39"/>
      <c r="AI117" s="39"/>
      <c r="AJ117" s="46"/>
      <c r="AK117" s="46"/>
      <c r="AL117" s="47"/>
      <c r="AM117" s="52"/>
      <c r="AN117" s="53"/>
      <c r="AO117" s="50"/>
      <c r="AP117" s="57"/>
    </row>
    <row r="118" spans="1:42" s="5" customFormat="1" ht="15" customHeight="1" x14ac:dyDescent="0.25">
      <c r="A118" s="83" t="str">
        <f>'Agents'' Final Roster 0823-0829'!A118</f>
        <v>Ortiz Jose María</v>
      </c>
      <c r="B118" s="84" t="str">
        <f>'Agents'' Final Roster 0823-0829'!B118</f>
        <v>Britos Fernando José</v>
      </c>
      <c r="C118" s="84" t="str">
        <f>'Agents'' Final Roster 0823-0829'!C118</f>
        <v>Vizcarra</v>
      </c>
      <c r="D118" s="84" t="str">
        <f>'Agents'' Final Roster 0823-0829'!D118</f>
        <v>Ayelén Magalí del Valle</v>
      </c>
      <c r="E118" s="84"/>
      <c r="F118" s="84"/>
      <c r="G118" s="84"/>
      <c r="H118" s="84"/>
      <c r="I118" s="84"/>
      <c r="J118" s="84"/>
      <c r="K118" s="84"/>
      <c r="L118" s="45"/>
      <c r="M118" s="45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 t="str">
        <f>'Agents'' Final Roster 0823-0829'!Z118</f>
        <v>TLMK</v>
      </c>
      <c r="AA118" s="39"/>
      <c r="AB118" s="39"/>
      <c r="AC118" s="39"/>
      <c r="AD118" s="39"/>
      <c r="AE118" s="39"/>
      <c r="AF118" s="39"/>
      <c r="AG118" s="39"/>
      <c r="AH118" s="39"/>
      <c r="AI118" s="39"/>
      <c r="AJ118" s="46"/>
      <c r="AK118" s="46"/>
      <c r="AL118" s="47"/>
      <c r="AM118" s="52"/>
      <c r="AN118" s="53"/>
      <c r="AO118" s="50"/>
      <c r="AP118" s="57"/>
    </row>
    <row r="119" spans="1:42" s="5" customFormat="1" ht="15" customHeight="1" x14ac:dyDescent="0.25">
      <c r="A119" s="83" t="str">
        <f>'Agents'' Final Roster 0823-0829'!A119</f>
        <v>Ortiz Jose María</v>
      </c>
      <c r="B119" s="84" t="str">
        <f>'Agents'' Final Roster 0823-0829'!B119</f>
        <v>Diaz Jesica Luciana</v>
      </c>
      <c r="C119" s="84" t="str">
        <f>'Agents'' Final Roster 0823-0829'!C119</f>
        <v>Barros</v>
      </c>
      <c r="D119" s="84" t="str">
        <f>'Agents'' Final Roster 0823-0829'!D119</f>
        <v>Juan Carlos</v>
      </c>
      <c r="E119" s="84"/>
      <c r="F119" s="84"/>
      <c r="G119" s="84"/>
      <c r="H119" s="84"/>
      <c r="I119" s="84"/>
      <c r="J119" s="84"/>
      <c r="K119" s="84"/>
      <c r="L119" s="45"/>
      <c r="M119" s="45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 t="str">
        <f>'Agents'' Final Roster 0823-0829'!Z119</f>
        <v>CSV3</v>
      </c>
      <c r="AA119" s="39"/>
      <c r="AB119" s="39"/>
      <c r="AC119" s="39"/>
      <c r="AD119" s="39"/>
      <c r="AE119" s="39"/>
      <c r="AF119" s="39"/>
      <c r="AG119" s="39"/>
      <c r="AH119" s="39"/>
      <c r="AI119" s="39"/>
      <c r="AJ119" s="46"/>
      <c r="AK119" s="46"/>
      <c r="AL119" s="47"/>
      <c r="AM119" s="52"/>
      <c r="AN119" s="53"/>
      <c r="AO119" s="50"/>
      <c r="AP119" s="57"/>
    </row>
    <row r="120" spans="1:42" s="5" customFormat="1" ht="15" customHeight="1" x14ac:dyDescent="0.25">
      <c r="A120" s="83" t="str">
        <f>'Agents'' Final Roster 0823-0829'!A120</f>
        <v>Ortiz Jose María</v>
      </c>
      <c r="B120" s="84" t="str">
        <f>'Agents'' Final Roster 0823-0829'!B120</f>
        <v>Diaz Jesica Luciana</v>
      </c>
      <c r="C120" s="84" t="str">
        <f>'Agents'' Final Roster 0823-0829'!C120</f>
        <v>Bulacio Pereyra</v>
      </c>
      <c r="D120" s="84" t="str">
        <f>'Agents'' Final Roster 0823-0829'!D120</f>
        <v>Leandro Emiliano</v>
      </c>
      <c r="E120" s="84"/>
      <c r="F120" s="84"/>
      <c r="G120" s="84"/>
      <c r="H120" s="84"/>
      <c r="I120" s="84"/>
      <c r="J120" s="84"/>
      <c r="K120" s="84"/>
      <c r="L120" s="45"/>
      <c r="M120" s="45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 t="str">
        <f>'Agents'' Final Roster 0823-0829'!Z120</f>
        <v>CSV2</v>
      </c>
      <c r="AA120" s="39"/>
      <c r="AB120" s="39"/>
      <c r="AC120" s="39"/>
      <c r="AD120" s="39"/>
      <c r="AE120" s="39"/>
      <c r="AF120" s="39"/>
      <c r="AG120" s="39"/>
      <c r="AH120" s="39"/>
      <c r="AI120" s="39"/>
      <c r="AJ120" s="46"/>
      <c r="AK120" s="46"/>
      <c r="AL120" s="47"/>
      <c r="AM120" s="52"/>
      <c r="AN120" s="53"/>
      <c r="AO120" s="50"/>
      <c r="AP120" s="57"/>
    </row>
    <row r="121" spans="1:42" s="5" customFormat="1" ht="15" customHeight="1" x14ac:dyDescent="0.25">
      <c r="A121" s="83" t="str">
        <f>'Agents'' Final Roster 0823-0829'!A121</f>
        <v>Ortiz Jose María</v>
      </c>
      <c r="B121" s="84" t="str">
        <f>'Agents'' Final Roster 0823-0829'!B121</f>
        <v>Diaz Jesica Luciana</v>
      </c>
      <c r="C121" s="84" t="str">
        <f>'Agents'' Final Roster 0823-0829'!C121</f>
        <v>Campos</v>
      </c>
      <c r="D121" s="84" t="str">
        <f>'Agents'' Final Roster 0823-0829'!D121</f>
        <v>Maria Belen</v>
      </c>
      <c r="E121" s="84"/>
      <c r="F121" s="84"/>
      <c r="G121" s="84"/>
      <c r="H121" s="84"/>
      <c r="I121" s="84"/>
      <c r="J121" s="84"/>
      <c r="K121" s="84"/>
      <c r="L121" s="45"/>
      <c r="M121" s="45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 t="str">
        <f>'Agents'' Final Roster 0823-0829'!Z121</f>
        <v>CSV2</v>
      </c>
      <c r="AA121" s="39"/>
      <c r="AB121" s="39"/>
      <c r="AC121" s="39"/>
      <c r="AD121" s="39"/>
      <c r="AE121" s="39"/>
      <c r="AF121" s="39"/>
      <c r="AG121" s="39"/>
      <c r="AH121" s="39"/>
      <c r="AI121" s="39"/>
      <c r="AJ121" s="46"/>
      <c r="AK121" s="46"/>
      <c r="AL121" s="47"/>
      <c r="AM121" s="52"/>
      <c r="AN121" s="53"/>
      <c r="AO121" s="50"/>
      <c r="AP121" s="57"/>
    </row>
    <row r="122" spans="1:42" s="5" customFormat="1" ht="15" customHeight="1" x14ac:dyDescent="0.25">
      <c r="A122" s="83" t="str">
        <f>'Agents'' Final Roster 0823-0829'!A122</f>
        <v>Ortiz Jose María</v>
      </c>
      <c r="B122" s="84" t="str">
        <f>'Agents'' Final Roster 0823-0829'!B122</f>
        <v>Diaz Jesica Luciana</v>
      </c>
      <c r="C122" s="84" t="str">
        <f>'Agents'' Final Roster 0823-0829'!C122</f>
        <v>Delgado</v>
      </c>
      <c r="D122" s="84" t="str">
        <f>'Agents'' Final Roster 0823-0829'!D122</f>
        <v>Daiana Melina</v>
      </c>
      <c r="E122" s="84"/>
      <c r="F122" s="84"/>
      <c r="G122" s="84"/>
      <c r="H122" s="84"/>
      <c r="I122" s="84"/>
      <c r="J122" s="84"/>
      <c r="K122" s="84"/>
      <c r="L122" s="45"/>
      <c r="M122" s="45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 t="str">
        <f>'Agents'' Final Roster 0823-0829'!Z122</f>
        <v>Compras Referidas</v>
      </c>
      <c r="AA122" s="39"/>
      <c r="AB122" s="39"/>
      <c r="AC122" s="39"/>
      <c r="AD122" s="39"/>
      <c r="AE122" s="39"/>
      <c r="AF122" s="39"/>
      <c r="AG122" s="39"/>
      <c r="AH122" s="39"/>
      <c r="AI122" s="39"/>
      <c r="AJ122" s="46"/>
      <c r="AK122" s="46"/>
      <c r="AL122" s="47"/>
      <c r="AM122" s="52"/>
      <c r="AN122" s="53"/>
      <c r="AO122" s="50"/>
      <c r="AP122" s="57"/>
    </row>
    <row r="123" spans="1:42" s="5" customFormat="1" ht="15" customHeight="1" x14ac:dyDescent="0.25">
      <c r="A123" s="83" t="str">
        <f>'Agents'' Final Roster 0823-0829'!A123</f>
        <v>Ortiz Jose María</v>
      </c>
      <c r="B123" s="84" t="str">
        <f>'Agents'' Final Roster 0823-0829'!B123</f>
        <v>Diaz Jesica Luciana</v>
      </c>
      <c r="C123" s="84" t="str">
        <f>'Agents'' Final Roster 0823-0829'!C123</f>
        <v xml:space="preserve">Felipe </v>
      </c>
      <c r="D123" s="84" t="str">
        <f>'Agents'' Final Roster 0823-0829'!D123</f>
        <v>Erika Tamara</v>
      </c>
      <c r="E123" s="84"/>
      <c r="F123" s="84"/>
      <c r="G123" s="84"/>
      <c r="H123" s="84"/>
      <c r="I123" s="84"/>
      <c r="J123" s="84"/>
      <c r="K123" s="84"/>
      <c r="L123" s="45"/>
      <c r="M123" s="45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 t="str">
        <f>'Agents'' Final Roster 0823-0829'!Z123</f>
        <v>CSV2</v>
      </c>
      <c r="AA123" s="39"/>
      <c r="AB123" s="39"/>
      <c r="AC123" s="39"/>
      <c r="AD123" s="39"/>
      <c r="AE123" s="39"/>
      <c r="AF123" s="39"/>
      <c r="AG123" s="39"/>
      <c r="AH123" s="39"/>
      <c r="AI123" s="39"/>
      <c r="AJ123" s="46"/>
      <c r="AK123" s="46"/>
      <c r="AL123" s="47"/>
      <c r="AM123" s="52"/>
      <c r="AN123" s="53"/>
      <c r="AO123" s="50"/>
      <c r="AP123" s="57"/>
    </row>
    <row r="124" spans="1:42" s="5" customFormat="1" ht="15" customHeight="1" x14ac:dyDescent="0.25">
      <c r="A124" s="83" t="str">
        <f>'Agents'' Final Roster 0823-0829'!A124</f>
        <v>Ortiz Jose María</v>
      </c>
      <c r="B124" s="84" t="str">
        <f>'Agents'' Final Roster 0823-0829'!B124</f>
        <v>Diaz Jesica Luciana</v>
      </c>
      <c r="C124" s="84" t="str">
        <f>'Agents'' Final Roster 0823-0829'!C124</f>
        <v xml:space="preserve">Isa Massa </v>
      </c>
      <c r="D124" s="84" t="str">
        <f>'Agents'' Final Roster 0823-0829'!D124</f>
        <v>Leila Gabriela</v>
      </c>
      <c r="E124" s="84"/>
      <c r="F124" s="84"/>
      <c r="G124" s="84"/>
      <c r="H124" s="84"/>
      <c r="I124" s="84"/>
      <c r="J124" s="84"/>
      <c r="K124" s="84"/>
      <c r="L124" s="45"/>
      <c r="M124" s="45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 t="str">
        <f>'Agents'' Final Roster 0823-0829'!Z124</f>
        <v>Compras Referidas</v>
      </c>
      <c r="AA124" s="39"/>
      <c r="AB124" s="39"/>
      <c r="AC124" s="39"/>
      <c r="AD124" s="39"/>
      <c r="AE124" s="39"/>
      <c r="AF124" s="39"/>
      <c r="AG124" s="39"/>
      <c r="AH124" s="39"/>
      <c r="AI124" s="39"/>
      <c r="AJ124" s="46"/>
      <c r="AK124" s="46"/>
      <c r="AL124" s="47"/>
      <c r="AM124" s="52"/>
      <c r="AN124" s="53"/>
      <c r="AO124" s="50"/>
      <c r="AP124" s="57"/>
    </row>
    <row r="125" spans="1:42" s="5" customFormat="1" ht="15" customHeight="1" x14ac:dyDescent="0.25">
      <c r="A125" s="83" t="str">
        <f>'Agents'' Final Roster 0823-0829'!A125</f>
        <v>Ortiz Jose María</v>
      </c>
      <c r="B125" s="84" t="str">
        <f>'Agents'' Final Roster 0823-0829'!B125</f>
        <v>Diaz Jesica Luciana</v>
      </c>
      <c r="C125" s="84" t="str">
        <f>'Agents'' Final Roster 0823-0829'!C125</f>
        <v>Jeréz</v>
      </c>
      <c r="D125" s="84" t="str">
        <f>'Agents'' Final Roster 0823-0829'!D125</f>
        <v>Eliana Del Milagro</v>
      </c>
      <c r="E125" s="84"/>
      <c r="F125" s="84"/>
      <c r="G125" s="84"/>
      <c r="H125" s="84"/>
      <c r="I125" s="84"/>
      <c r="J125" s="84"/>
      <c r="K125" s="84"/>
      <c r="L125" s="45"/>
      <c r="M125" s="45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 t="str">
        <f>'Agents'' Final Roster 0823-0829'!Z125</f>
        <v>HD</v>
      </c>
      <c r="AA125" s="39"/>
      <c r="AB125" s="39"/>
      <c r="AC125" s="39"/>
      <c r="AD125" s="39"/>
      <c r="AE125" s="39"/>
      <c r="AF125" s="39"/>
      <c r="AG125" s="39"/>
      <c r="AH125" s="39"/>
      <c r="AI125" s="39"/>
      <c r="AJ125" s="46"/>
      <c r="AK125" s="46"/>
      <c r="AL125" s="47"/>
      <c r="AM125" s="52"/>
      <c r="AN125" s="53"/>
      <c r="AO125" s="50"/>
      <c r="AP125" s="57"/>
    </row>
    <row r="126" spans="1:42" s="5" customFormat="1" ht="15" customHeight="1" x14ac:dyDescent="0.25">
      <c r="A126" s="83" t="str">
        <f>'Agents'' Final Roster 0823-0829'!A126</f>
        <v>Ortiz Jose María</v>
      </c>
      <c r="B126" s="84" t="str">
        <f>'Agents'' Final Roster 0823-0829'!B126</f>
        <v>Diaz Jesica Luciana</v>
      </c>
      <c r="C126" s="84" t="str">
        <f>'Agents'' Final Roster 0823-0829'!C126</f>
        <v>Lopez</v>
      </c>
      <c r="D126" s="84" t="str">
        <f>'Agents'' Final Roster 0823-0829'!D126</f>
        <v>Ruth Micaela</v>
      </c>
      <c r="E126" s="84"/>
      <c r="F126" s="84"/>
      <c r="G126" s="84"/>
      <c r="H126" s="84"/>
      <c r="I126" s="84"/>
      <c r="J126" s="84"/>
      <c r="K126" s="84"/>
      <c r="L126" s="45"/>
      <c r="M126" s="45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 t="str">
        <f>'Agents'' Final Roster 0823-0829'!Z126</f>
        <v>CSV3</v>
      </c>
      <c r="AA126" s="39"/>
      <c r="AB126" s="39"/>
      <c r="AC126" s="39"/>
      <c r="AD126" s="39"/>
      <c r="AE126" s="39"/>
      <c r="AF126" s="39"/>
      <c r="AG126" s="39"/>
      <c r="AH126" s="39"/>
      <c r="AI126" s="39"/>
      <c r="AJ126" s="46"/>
      <c r="AK126" s="46"/>
      <c r="AL126" s="47"/>
      <c r="AM126" s="52"/>
      <c r="AN126" s="53"/>
      <c r="AO126" s="50"/>
      <c r="AP126" s="57"/>
    </row>
    <row r="127" spans="1:42" s="5" customFormat="1" ht="15" customHeight="1" x14ac:dyDescent="0.25">
      <c r="A127" s="83" t="str">
        <f>'Agents'' Final Roster 0823-0829'!A127</f>
        <v>Ortiz Jose María</v>
      </c>
      <c r="B127" s="84" t="str">
        <f>'Agents'' Final Roster 0823-0829'!B127</f>
        <v>Diaz Jesica Luciana</v>
      </c>
      <c r="C127" s="84" t="str">
        <f>'Agents'' Final Roster 0823-0829'!C127</f>
        <v>Luna</v>
      </c>
      <c r="D127" s="84" t="str">
        <f>'Agents'' Final Roster 0823-0829'!D127</f>
        <v>Veronica Alejandra</v>
      </c>
      <c r="E127" s="84"/>
      <c r="F127" s="84"/>
      <c r="G127" s="84"/>
      <c r="H127" s="84"/>
      <c r="I127" s="84"/>
      <c r="J127" s="84"/>
      <c r="K127" s="84"/>
      <c r="L127" s="45"/>
      <c r="M127" s="45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 t="str">
        <f>'Agents'' Final Roster 0823-0829'!Z127</f>
        <v>CSV2</v>
      </c>
      <c r="AA127" s="39"/>
      <c r="AB127" s="39"/>
      <c r="AC127" s="39"/>
      <c r="AD127" s="39"/>
      <c r="AE127" s="39"/>
      <c r="AF127" s="39"/>
      <c r="AG127" s="39"/>
      <c r="AH127" s="39"/>
      <c r="AI127" s="39"/>
      <c r="AJ127" s="46"/>
      <c r="AK127" s="46"/>
      <c r="AL127" s="47"/>
      <c r="AM127" s="52"/>
      <c r="AN127" s="53"/>
      <c r="AO127" s="50"/>
      <c r="AP127" s="57"/>
    </row>
    <row r="128" spans="1:42" s="5" customFormat="1" ht="15" customHeight="1" x14ac:dyDescent="0.25">
      <c r="A128" s="83" t="str">
        <f>'Agents'' Final Roster 0823-0829'!A128</f>
        <v>Ortiz Jose María</v>
      </c>
      <c r="B128" s="84" t="str">
        <f>'Agents'' Final Roster 0823-0829'!B128</f>
        <v>Diaz Jesica Luciana</v>
      </c>
      <c r="C128" s="84" t="str">
        <f>'Agents'' Final Roster 0823-0829'!C128</f>
        <v>Malinar</v>
      </c>
      <c r="D128" s="84" t="str">
        <f>'Agents'' Final Roster 0823-0829'!D128</f>
        <v>Lorena</v>
      </c>
      <c r="E128" s="84"/>
      <c r="F128" s="84"/>
      <c r="G128" s="84"/>
      <c r="H128" s="84"/>
      <c r="I128" s="84"/>
      <c r="J128" s="84"/>
      <c r="K128" s="84"/>
      <c r="L128" s="45"/>
      <c r="M128" s="45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 t="str">
        <f>'Agents'' Final Roster 0823-0829'!Z128</f>
        <v>CSV2</v>
      </c>
      <c r="AA128" s="39"/>
      <c r="AB128" s="39"/>
      <c r="AC128" s="39"/>
      <c r="AD128" s="39"/>
      <c r="AE128" s="39"/>
      <c r="AF128" s="39"/>
      <c r="AG128" s="39"/>
      <c r="AH128" s="39"/>
      <c r="AI128" s="39"/>
      <c r="AJ128" s="46"/>
      <c r="AK128" s="46"/>
      <c r="AL128" s="47"/>
      <c r="AM128" s="52"/>
      <c r="AN128" s="53"/>
      <c r="AO128" s="50"/>
      <c r="AP128" s="57"/>
    </row>
    <row r="129" spans="1:42" s="5" customFormat="1" ht="15" customHeight="1" x14ac:dyDescent="0.25">
      <c r="A129" s="83" t="str">
        <f>'Agents'' Final Roster 0823-0829'!A129</f>
        <v>Ortiz Jose María</v>
      </c>
      <c r="B129" s="84" t="str">
        <f>'Agents'' Final Roster 0823-0829'!B129</f>
        <v>Diaz Jesica Luciana</v>
      </c>
      <c r="C129" s="84" t="str">
        <f>'Agents'' Final Roster 0823-0829'!C129</f>
        <v xml:space="preserve">Molina </v>
      </c>
      <c r="D129" s="84" t="str">
        <f>'Agents'' Final Roster 0823-0829'!D129</f>
        <v>María Jimena</v>
      </c>
      <c r="E129" s="84"/>
      <c r="F129" s="84"/>
      <c r="G129" s="84"/>
      <c r="H129" s="84"/>
      <c r="I129" s="84"/>
      <c r="J129" s="84"/>
      <c r="K129" s="84"/>
      <c r="L129" s="45"/>
      <c r="M129" s="45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 t="str">
        <f>'Agents'' Final Roster 0823-0829'!Z129</f>
        <v>Compras Referidas</v>
      </c>
      <c r="AA129" s="39"/>
      <c r="AB129" s="39"/>
      <c r="AC129" s="39"/>
      <c r="AD129" s="39"/>
      <c r="AE129" s="39"/>
      <c r="AF129" s="39"/>
      <c r="AG129" s="39"/>
      <c r="AH129" s="39"/>
      <c r="AI129" s="39"/>
      <c r="AJ129" s="46"/>
      <c r="AK129" s="46"/>
      <c r="AL129" s="47"/>
      <c r="AM129" s="52"/>
      <c r="AN129" s="53"/>
      <c r="AO129" s="50"/>
      <c r="AP129" s="57"/>
    </row>
    <row r="130" spans="1:42" s="5" customFormat="1" ht="15" customHeight="1" x14ac:dyDescent="0.25">
      <c r="A130" s="83" t="str">
        <f>'Agents'' Final Roster 0823-0829'!A130</f>
        <v>Ortiz Jose María</v>
      </c>
      <c r="B130" s="84" t="str">
        <f>'Agents'' Final Roster 0823-0829'!B130</f>
        <v>Diaz Jesica Luciana</v>
      </c>
      <c r="C130" s="84" t="str">
        <f>'Agents'' Final Roster 0823-0829'!C130</f>
        <v>Morales Casen</v>
      </c>
      <c r="D130" s="84" t="str">
        <f>'Agents'' Final Roster 0823-0829'!D130</f>
        <v>Zaida Yamile</v>
      </c>
      <c r="E130" s="84"/>
      <c r="F130" s="84"/>
      <c r="G130" s="84"/>
      <c r="H130" s="84"/>
      <c r="I130" s="84"/>
      <c r="J130" s="84"/>
      <c r="K130" s="84"/>
      <c r="L130" s="45"/>
      <c r="M130" s="45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 t="str">
        <f>'Agents'' Final Roster 0823-0829'!Z130</f>
        <v>CSV2</v>
      </c>
      <c r="AA130" s="39"/>
      <c r="AB130" s="39"/>
      <c r="AC130" s="39"/>
      <c r="AD130" s="39"/>
      <c r="AE130" s="39"/>
      <c r="AF130" s="39"/>
      <c r="AG130" s="39"/>
      <c r="AH130" s="39"/>
      <c r="AI130" s="39"/>
      <c r="AJ130" s="46"/>
      <c r="AK130" s="46"/>
      <c r="AL130" s="47"/>
      <c r="AM130" s="52"/>
      <c r="AN130" s="53"/>
      <c r="AO130" s="50"/>
      <c r="AP130" s="57"/>
    </row>
    <row r="131" spans="1:42" s="5" customFormat="1" ht="15" customHeight="1" x14ac:dyDescent="0.25">
      <c r="A131" s="44" t="str">
        <f>'Agents'' Final Roster 0823-0829'!A131</f>
        <v>Ortiz Jose María</v>
      </c>
      <c r="B131" s="39" t="str">
        <f>'Agents'' Final Roster 0823-0829'!B131</f>
        <v>Diaz Jesica Luciana</v>
      </c>
      <c r="C131" s="39" t="str">
        <f>'Agents'' Final Roster 0823-0829'!C131</f>
        <v>Pacheco</v>
      </c>
      <c r="D131" s="39" t="str">
        <f>'Agents'' Final Roster 0823-0829'!D131</f>
        <v>Milagro Belen</v>
      </c>
      <c r="E131" s="39"/>
      <c r="F131" s="39"/>
      <c r="G131" s="39"/>
      <c r="H131" s="39"/>
      <c r="I131" s="39"/>
      <c r="J131" s="39"/>
      <c r="K131" s="39"/>
      <c r="L131" s="45"/>
      <c r="M131" s="45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 t="str">
        <f>'Agents'' Final Roster 0823-0829'!Z131</f>
        <v>CSV2</v>
      </c>
      <c r="AA131" s="39"/>
      <c r="AB131" s="39"/>
      <c r="AC131" s="39"/>
      <c r="AD131" s="39"/>
      <c r="AE131" s="39"/>
      <c r="AF131" s="39"/>
      <c r="AG131" s="39"/>
      <c r="AH131" s="39"/>
      <c r="AI131" s="39"/>
      <c r="AJ131" s="46"/>
      <c r="AK131" s="46"/>
      <c r="AL131" s="47"/>
      <c r="AM131" s="52"/>
      <c r="AN131" s="53"/>
      <c r="AO131" s="50"/>
      <c r="AP131" s="57"/>
    </row>
    <row r="132" spans="1:42" s="5" customFormat="1" ht="15" customHeight="1" x14ac:dyDescent="0.25">
      <c r="A132" s="44" t="str">
        <f>'Agents'' Final Roster 0823-0829'!A132</f>
        <v>Ortiz Jose María</v>
      </c>
      <c r="B132" s="39" t="str">
        <f>'Agents'' Final Roster 0823-0829'!B132</f>
        <v>Diaz Jesica Luciana</v>
      </c>
      <c r="C132" s="39" t="str">
        <f>'Agents'' Final Roster 0823-0829'!C132</f>
        <v>Pavón</v>
      </c>
      <c r="D132" s="39" t="str">
        <f>'Agents'' Final Roster 0823-0829'!D132</f>
        <v>Marcos Fidel</v>
      </c>
      <c r="E132" s="39"/>
      <c r="F132" s="39"/>
      <c r="G132" s="39"/>
      <c r="H132" s="39"/>
      <c r="I132" s="39"/>
      <c r="J132" s="39"/>
      <c r="K132" s="39"/>
      <c r="L132" s="45"/>
      <c r="M132" s="45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 t="str">
        <f>'Agents'' Final Roster 0823-0829'!Z132</f>
        <v>CSV3</v>
      </c>
      <c r="AA132" s="39"/>
      <c r="AB132" s="39"/>
      <c r="AC132" s="39"/>
      <c r="AD132" s="39"/>
      <c r="AE132" s="39"/>
      <c r="AF132" s="39"/>
      <c r="AG132" s="39"/>
      <c r="AH132" s="39"/>
      <c r="AI132" s="39"/>
      <c r="AJ132" s="46"/>
      <c r="AK132" s="46"/>
      <c r="AL132" s="47"/>
      <c r="AM132" s="52"/>
      <c r="AN132" s="53"/>
      <c r="AO132" s="50"/>
      <c r="AP132" s="57"/>
    </row>
    <row r="133" spans="1:42" s="5" customFormat="1" ht="15" customHeight="1" x14ac:dyDescent="0.25">
      <c r="A133" s="44" t="str">
        <f>'Agents'' Final Roster 0823-0829'!A133</f>
        <v>Ortiz Jose María</v>
      </c>
      <c r="B133" s="39" t="str">
        <f>'Agents'' Final Roster 0823-0829'!B133</f>
        <v>Diaz Jesica Luciana</v>
      </c>
      <c r="C133" s="39" t="str">
        <f>'Agents'' Final Roster 0823-0829'!C133</f>
        <v>Ponce</v>
      </c>
      <c r="D133" s="39" t="str">
        <f>'Agents'' Final Roster 0823-0829'!D133</f>
        <v>Lucia Emilia</v>
      </c>
      <c r="E133" s="39"/>
      <c r="F133" s="39"/>
      <c r="G133" s="39"/>
      <c r="H133" s="39"/>
      <c r="I133" s="39"/>
      <c r="J133" s="39"/>
      <c r="K133" s="39"/>
      <c r="L133" s="45"/>
      <c r="M133" s="45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 t="str">
        <f>'Agents'' Final Roster 0823-0829'!Z133</f>
        <v>CSV3</v>
      </c>
      <c r="AA133" s="39"/>
      <c r="AB133" s="39"/>
      <c r="AC133" s="39"/>
      <c r="AD133" s="39"/>
      <c r="AE133" s="39"/>
      <c r="AF133" s="39"/>
      <c r="AG133" s="39"/>
      <c r="AH133" s="39"/>
      <c r="AI133" s="39"/>
      <c r="AJ133" s="46"/>
      <c r="AK133" s="46"/>
      <c r="AL133" s="47"/>
      <c r="AM133" s="52"/>
      <c r="AN133" s="53"/>
      <c r="AO133" s="50"/>
      <c r="AP133" s="57"/>
    </row>
    <row r="134" spans="1:42" s="5" customFormat="1" ht="15" customHeight="1" x14ac:dyDescent="0.25">
      <c r="A134" s="44" t="str">
        <f>'Agents'' Final Roster 0823-0829'!A134</f>
        <v>Ortiz Jose María</v>
      </c>
      <c r="B134" s="39" t="str">
        <f>'Agents'' Final Roster 0823-0829'!B134</f>
        <v>Diaz Jesica Luciana</v>
      </c>
      <c r="C134" s="39" t="str">
        <f>'Agents'' Final Roster 0823-0829'!C134</f>
        <v xml:space="preserve">Reyna </v>
      </c>
      <c r="D134" s="39" t="str">
        <f>'Agents'' Final Roster 0823-0829'!D134</f>
        <v>Edith Macarena</v>
      </c>
      <c r="E134" s="39"/>
      <c r="F134" s="39"/>
      <c r="G134" s="39"/>
      <c r="H134" s="39"/>
      <c r="I134" s="39"/>
      <c r="J134" s="39"/>
      <c r="K134" s="39"/>
      <c r="L134" s="45"/>
      <c r="M134" s="45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 t="str">
        <f>'Agents'' Final Roster 0823-0829'!Z134</f>
        <v>DVH</v>
      </c>
      <c r="AA134" s="39"/>
      <c r="AB134" s="39"/>
      <c r="AC134" s="39"/>
      <c r="AD134" s="39"/>
      <c r="AE134" s="39"/>
      <c r="AF134" s="39"/>
      <c r="AG134" s="39"/>
      <c r="AH134" s="39"/>
      <c r="AI134" s="39"/>
      <c r="AJ134" s="46"/>
      <c r="AK134" s="46"/>
      <c r="AL134" s="47"/>
      <c r="AM134" s="52"/>
      <c r="AN134" s="53"/>
      <c r="AO134" s="50"/>
      <c r="AP134" s="57"/>
    </row>
    <row r="135" spans="1:42" s="5" customFormat="1" ht="15" customHeight="1" x14ac:dyDescent="0.25">
      <c r="A135" s="44" t="str">
        <f>'Agents'' Final Roster 0823-0829'!A135</f>
        <v>Ortiz Jose María</v>
      </c>
      <c r="B135" s="39" t="str">
        <f>'Agents'' Final Roster 0823-0829'!B135</f>
        <v>Diaz Jesica Luciana</v>
      </c>
      <c r="C135" s="39" t="str">
        <f>'Agents'' Final Roster 0823-0829'!C135</f>
        <v>Serra</v>
      </c>
      <c r="D135" s="39" t="str">
        <f>'Agents'' Final Roster 0823-0829'!D135</f>
        <v xml:space="preserve">Tamara </v>
      </c>
      <c r="E135" s="39"/>
      <c r="F135" s="39"/>
      <c r="G135" s="39"/>
      <c r="H135" s="39"/>
      <c r="I135" s="39"/>
      <c r="J135" s="39"/>
      <c r="K135" s="39"/>
      <c r="L135" s="45"/>
      <c r="M135" s="45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 t="str">
        <f>'Agents'' Final Roster 0823-0829'!Z135</f>
        <v>CSV2</v>
      </c>
      <c r="AA135" s="39"/>
      <c r="AB135" s="39"/>
      <c r="AC135" s="39"/>
      <c r="AD135" s="39"/>
      <c r="AE135" s="39"/>
      <c r="AF135" s="39"/>
      <c r="AG135" s="39"/>
      <c r="AH135" s="39"/>
      <c r="AI135" s="39"/>
      <c r="AJ135" s="46"/>
      <c r="AK135" s="46"/>
      <c r="AL135" s="47"/>
      <c r="AM135" s="52"/>
      <c r="AN135" s="53"/>
      <c r="AO135" s="50"/>
      <c r="AP135" s="57"/>
    </row>
    <row r="136" spans="1:42" s="5" customFormat="1" ht="15" customHeight="1" x14ac:dyDescent="0.25">
      <c r="A136" s="44" t="str">
        <f>'Agents'' Final Roster 0823-0829'!A136</f>
        <v>Ortiz Jose María</v>
      </c>
      <c r="B136" s="39" t="str">
        <f>'Agents'' Final Roster 0823-0829'!B136</f>
        <v>Diaz Jesica Luciana</v>
      </c>
      <c r="C136" s="39" t="str">
        <f>'Agents'' Final Roster 0823-0829'!C136</f>
        <v>Silva</v>
      </c>
      <c r="D136" s="39" t="str">
        <f>'Agents'' Final Roster 0823-0829'!D136</f>
        <v>Franco Gabriel</v>
      </c>
      <c r="E136" s="39"/>
      <c r="F136" s="39"/>
      <c r="G136" s="39"/>
      <c r="H136" s="39"/>
      <c r="I136" s="39"/>
      <c r="J136" s="39"/>
      <c r="K136" s="39"/>
      <c r="L136" s="45"/>
      <c r="M136" s="45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 t="str">
        <f>'Agents'' Final Roster 0823-0829'!Z136</f>
        <v>CSV2</v>
      </c>
      <c r="AA136" s="39"/>
      <c r="AB136" s="39"/>
      <c r="AC136" s="39"/>
      <c r="AD136" s="39"/>
      <c r="AE136" s="39"/>
      <c r="AF136" s="39"/>
      <c r="AG136" s="39"/>
      <c r="AH136" s="39"/>
      <c r="AI136" s="39"/>
      <c r="AJ136" s="46"/>
      <c r="AK136" s="46"/>
      <c r="AL136" s="47"/>
      <c r="AM136" s="52"/>
      <c r="AN136" s="53"/>
      <c r="AO136" s="50"/>
      <c r="AP136" s="57"/>
    </row>
    <row r="137" spans="1:42" s="5" customFormat="1" ht="15" customHeight="1" x14ac:dyDescent="0.25">
      <c r="A137" s="44" t="str">
        <f>'Agents'' Final Roster 0823-0829'!A137</f>
        <v>Ortiz Jose María</v>
      </c>
      <c r="B137" s="39" t="str">
        <f>'Agents'' Final Roster 0823-0829'!B137</f>
        <v>Diaz Jesica Luciana</v>
      </c>
      <c r="C137" s="39" t="str">
        <f>'Agents'' Final Roster 0823-0829'!C137</f>
        <v>Suarez</v>
      </c>
      <c r="D137" s="39" t="str">
        <f>'Agents'' Final Roster 0823-0829'!D137</f>
        <v>Maria Florencia</v>
      </c>
      <c r="E137" s="39"/>
      <c r="F137" s="39"/>
      <c r="G137" s="39"/>
      <c r="H137" s="39"/>
      <c r="I137" s="39"/>
      <c r="J137" s="39"/>
      <c r="K137" s="39"/>
      <c r="L137" s="45"/>
      <c r="M137" s="45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 t="str">
        <f>'Agents'' Final Roster 0823-0829'!Z137</f>
        <v>CSV2</v>
      </c>
      <c r="AA137" s="39"/>
      <c r="AB137" s="39"/>
      <c r="AC137" s="39"/>
      <c r="AD137" s="39"/>
      <c r="AE137" s="39"/>
      <c r="AF137" s="39"/>
      <c r="AG137" s="39"/>
      <c r="AH137" s="39"/>
      <c r="AI137" s="39"/>
      <c r="AJ137" s="46"/>
      <c r="AK137" s="46"/>
      <c r="AL137" s="47"/>
      <c r="AM137" s="52"/>
      <c r="AN137" s="53"/>
      <c r="AO137" s="50"/>
      <c r="AP137" s="57"/>
    </row>
    <row r="138" spans="1:42" s="5" customFormat="1" ht="15" customHeight="1" x14ac:dyDescent="0.25">
      <c r="A138" s="44" t="str">
        <f>'Agents'' Final Roster 0823-0829'!A138</f>
        <v>Ortiz Jose María</v>
      </c>
      <c r="B138" s="39" t="str">
        <f>'Agents'' Final Roster 0823-0829'!B138</f>
        <v>Diaz Jesica Luciana</v>
      </c>
      <c r="C138" s="39" t="str">
        <f>'Agents'' Final Roster 0823-0829'!C138</f>
        <v>Valverde</v>
      </c>
      <c r="D138" s="39" t="str">
        <f>'Agents'' Final Roster 0823-0829'!D138</f>
        <v>Lourdes Oriana</v>
      </c>
      <c r="E138" s="39"/>
      <c r="F138" s="39"/>
      <c r="G138" s="39"/>
      <c r="H138" s="39"/>
      <c r="I138" s="39"/>
      <c r="J138" s="39"/>
      <c r="K138" s="39"/>
      <c r="L138" s="45"/>
      <c r="M138" s="45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 t="str">
        <f>'Agents'' Final Roster 0823-0829'!Z138</f>
        <v>CSV2</v>
      </c>
      <c r="AA138" s="39"/>
      <c r="AB138" s="39"/>
      <c r="AC138" s="39"/>
      <c r="AD138" s="39"/>
      <c r="AE138" s="39"/>
      <c r="AF138" s="39"/>
      <c r="AG138" s="39"/>
      <c r="AH138" s="39"/>
      <c r="AI138" s="39"/>
      <c r="AJ138" s="46"/>
      <c r="AK138" s="46"/>
      <c r="AL138" s="47"/>
      <c r="AM138" s="52"/>
      <c r="AN138" s="53"/>
      <c r="AO138" s="50"/>
      <c r="AP138" s="57"/>
    </row>
    <row r="139" spans="1:42" s="5" customFormat="1" ht="15" customHeight="1" x14ac:dyDescent="0.25">
      <c r="A139" s="69" t="str">
        <f>'Agents'' Final Roster 0823-0829'!A139</f>
        <v>Ortiz Jose María</v>
      </c>
      <c r="B139" s="70" t="str">
        <f>'Agents'' Final Roster 0823-0829'!B139</f>
        <v>Esquivel Pavan Pamela Sol</v>
      </c>
      <c r="C139" s="70" t="str">
        <f>'Agents'' Final Roster 0823-0829'!C139</f>
        <v>Acosta</v>
      </c>
      <c r="D139" s="70" t="str">
        <f>'Agents'' Final Roster 0823-0829'!D139</f>
        <v>Joaquin Nicolas</v>
      </c>
      <c r="E139" s="70"/>
      <c r="F139" s="70"/>
      <c r="G139" s="70"/>
      <c r="H139" s="70"/>
      <c r="I139" s="70"/>
      <c r="J139" s="70"/>
      <c r="K139" s="70"/>
      <c r="L139" s="45"/>
      <c r="M139" s="45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 t="str">
        <f>'Agents'' Final Roster 0823-0829'!Z139</f>
        <v>Habilitaciones</v>
      </c>
      <c r="AA139" s="39"/>
      <c r="AB139" s="39"/>
      <c r="AC139" s="39"/>
      <c r="AD139" s="39"/>
      <c r="AE139" s="39"/>
      <c r="AF139" s="39"/>
      <c r="AG139" s="39"/>
      <c r="AH139" s="39"/>
      <c r="AI139" s="39"/>
      <c r="AJ139" s="46"/>
      <c r="AK139" s="46"/>
      <c r="AL139" s="47"/>
      <c r="AM139" s="52"/>
      <c r="AN139" s="53"/>
      <c r="AO139" s="50"/>
      <c r="AP139" s="57"/>
    </row>
    <row r="140" spans="1:42" s="5" customFormat="1" ht="15" customHeight="1" x14ac:dyDescent="0.25">
      <c r="A140" s="44" t="str">
        <f>'Agents'' Final Roster 0823-0829'!A140</f>
        <v>Ortiz Jose María</v>
      </c>
      <c r="B140" s="39" t="str">
        <f>'Agents'' Final Roster 0823-0829'!B140</f>
        <v>Esquivel Pavan Pamela Sol</v>
      </c>
      <c r="C140" s="39" t="str">
        <f>'Agents'' Final Roster 0823-0829'!C140</f>
        <v>Alderete</v>
      </c>
      <c r="D140" s="39" t="str">
        <f>'Agents'' Final Roster 0823-0829'!D140</f>
        <v>Mayra Luciana</v>
      </c>
      <c r="E140" s="39"/>
      <c r="F140" s="39"/>
      <c r="G140" s="39"/>
      <c r="H140" s="39"/>
      <c r="I140" s="39"/>
      <c r="J140" s="39"/>
      <c r="K140" s="39"/>
      <c r="L140" s="45"/>
      <c r="M140" s="45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 t="str">
        <f>'Agents'' Final Roster 0823-0829'!Z140</f>
        <v>CSV1</v>
      </c>
      <c r="AA140" s="39"/>
      <c r="AB140" s="39"/>
      <c r="AC140" s="39"/>
      <c r="AD140" s="39"/>
      <c r="AE140" s="39"/>
      <c r="AF140" s="39"/>
      <c r="AG140" s="39"/>
      <c r="AH140" s="39"/>
      <c r="AI140" s="39"/>
      <c r="AJ140" s="46"/>
      <c r="AK140" s="46"/>
      <c r="AL140" s="47"/>
      <c r="AM140" s="52"/>
      <c r="AN140" s="53"/>
      <c r="AO140" s="50"/>
      <c r="AP140" s="57"/>
    </row>
    <row r="141" spans="1:42" s="5" customFormat="1" ht="15" customHeight="1" x14ac:dyDescent="0.25">
      <c r="A141" s="44" t="str">
        <f>'Agents'' Final Roster 0823-0829'!A141</f>
        <v>Ortiz Jose María</v>
      </c>
      <c r="B141" s="39" t="str">
        <f>'Agents'' Final Roster 0823-0829'!B141</f>
        <v>Esquivel Pavan Pamela Sol</v>
      </c>
      <c r="C141" s="39" t="str">
        <f>'Agents'' Final Roster 0823-0829'!C141</f>
        <v>Barrionuevo</v>
      </c>
      <c r="D141" s="39" t="str">
        <f>'Agents'' Final Roster 0823-0829'!D141</f>
        <v>Natalia Elizabeth</v>
      </c>
      <c r="E141" s="39"/>
      <c r="F141" s="39"/>
      <c r="G141" s="39"/>
      <c r="H141" s="39"/>
      <c r="I141" s="39"/>
      <c r="J141" s="39"/>
      <c r="K141" s="39"/>
      <c r="L141" s="45"/>
      <c r="M141" s="45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 t="str">
        <f>'Agents'' Final Roster 0823-0829'!Z141</f>
        <v>Servicios web</v>
      </c>
      <c r="AA141" s="39"/>
      <c r="AB141" s="39"/>
      <c r="AC141" s="39"/>
      <c r="AD141" s="39"/>
      <c r="AE141" s="39"/>
      <c r="AF141" s="39"/>
      <c r="AG141" s="39"/>
      <c r="AH141" s="39"/>
      <c r="AI141" s="39"/>
      <c r="AJ141" s="46"/>
      <c r="AK141" s="46"/>
      <c r="AL141" s="47"/>
      <c r="AM141" s="52"/>
      <c r="AN141" s="53"/>
      <c r="AO141" s="50"/>
      <c r="AP141" s="57"/>
    </row>
    <row r="142" spans="1:42" s="5" customFormat="1" ht="15" customHeight="1" x14ac:dyDescent="0.25">
      <c r="A142" s="44" t="str">
        <f>'Agents'' Final Roster 0823-0829'!A142</f>
        <v>Ortiz Jose María</v>
      </c>
      <c r="B142" s="39" t="str">
        <f>'Agents'' Final Roster 0823-0829'!B142</f>
        <v>Esquivel Pavan Pamela Sol</v>
      </c>
      <c r="C142" s="39" t="str">
        <f>'Agents'' Final Roster 0823-0829'!C142</f>
        <v>Barros Fernandez</v>
      </c>
      <c r="D142" s="39" t="str">
        <f>'Agents'' Final Roster 0823-0829'!D142</f>
        <v>Maria Luciana</v>
      </c>
      <c r="E142" s="39"/>
      <c r="F142" s="39"/>
      <c r="G142" s="39"/>
      <c r="H142" s="39"/>
      <c r="I142" s="39"/>
      <c r="J142" s="39"/>
      <c r="K142" s="39"/>
      <c r="L142" s="45"/>
      <c r="M142" s="45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 t="str">
        <f>'Agents'' Final Roster 0823-0829'!Z142</f>
        <v>Servicios web</v>
      </c>
      <c r="AA142" s="39"/>
      <c r="AB142" s="39"/>
      <c r="AC142" s="39"/>
      <c r="AD142" s="39"/>
      <c r="AE142" s="39"/>
      <c r="AF142" s="39"/>
      <c r="AG142" s="39"/>
      <c r="AH142" s="39"/>
      <c r="AI142" s="39"/>
      <c r="AJ142" s="46"/>
      <c r="AK142" s="46"/>
      <c r="AL142" s="47"/>
      <c r="AM142" s="52"/>
      <c r="AN142" s="53"/>
      <c r="AO142" s="50"/>
      <c r="AP142" s="57"/>
    </row>
    <row r="143" spans="1:42" s="5" customFormat="1" ht="15" customHeight="1" x14ac:dyDescent="0.25">
      <c r="A143" s="44" t="str">
        <f>'Agents'' Final Roster 0823-0829'!A143</f>
        <v>Ortiz Jose María</v>
      </c>
      <c r="B143" s="39" t="str">
        <f>'Agents'' Final Roster 0823-0829'!B143</f>
        <v>Esquivel Pavan Pamela Sol</v>
      </c>
      <c r="C143" s="39" t="str">
        <f>'Agents'' Final Roster 0823-0829'!C143</f>
        <v>Bonadelli</v>
      </c>
      <c r="D143" s="39" t="str">
        <f>'Agents'' Final Roster 0823-0829'!D143</f>
        <v>Angel Fabian</v>
      </c>
      <c r="E143" s="39"/>
      <c r="F143" s="39"/>
      <c r="G143" s="39"/>
      <c r="H143" s="39"/>
      <c r="I143" s="39"/>
      <c r="J143" s="39"/>
      <c r="K143" s="39"/>
      <c r="L143" s="45"/>
      <c r="M143" s="45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 t="str">
        <f>'Agents'' Final Roster 0823-0829'!Z143</f>
        <v>Servicios web</v>
      </c>
      <c r="AA143" s="39"/>
      <c r="AB143" s="39"/>
      <c r="AC143" s="39"/>
      <c r="AD143" s="39"/>
      <c r="AE143" s="39"/>
      <c r="AF143" s="39"/>
      <c r="AG143" s="39"/>
      <c r="AH143" s="39"/>
      <c r="AI143" s="39"/>
      <c r="AJ143" s="46"/>
      <c r="AK143" s="46"/>
      <c r="AL143" s="47"/>
      <c r="AM143" s="52"/>
      <c r="AN143" s="53"/>
      <c r="AO143" s="50"/>
      <c r="AP143" s="57"/>
    </row>
    <row r="144" spans="1:42" s="5" customFormat="1" ht="15" customHeight="1" x14ac:dyDescent="0.25">
      <c r="A144" s="44" t="str">
        <f>'Agents'' Final Roster 0823-0829'!A144</f>
        <v>Ortiz Jose María</v>
      </c>
      <c r="B144" s="39" t="str">
        <f>'Agents'' Final Roster 0823-0829'!B144</f>
        <v>Esquivel Pavan Pamela Sol</v>
      </c>
      <c r="C144" s="39" t="str">
        <f>'Agents'' Final Roster 0823-0829'!C144</f>
        <v>Correa</v>
      </c>
      <c r="D144" s="39" t="str">
        <f>'Agents'' Final Roster 0823-0829'!D144</f>
        <v>David Maximiliano</v>
      </c>
      <c r="E144" s="39"/>
      <c r="F144" s="39"/>
      <c r="G144" s="39"/>
      <c r="H144" s="39"/>
      <c r="I144" s="39"/>
      <c r="J144" s="39"/>
      <c r="K144" s="39"/>
      <c r="L144" s="45"/>
      <c r="M144" s="45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 t="str">
        <f>'Agents'' Final Roster 0823-0829'!Z144</f>
        <v>DVH</v>
      </c>
      <c r="AA144" s="39"/>
      <c r="AB144" s="39"/>
      <c r="AC144" s="39"/>
      <c r="AD144" s="39"/>
      <c r="AE144" s="39"/>
      <c r="AF144" s="39"/>
      <c r="AG144" s="39"/>
      <c r="AH144" s="39"/>
      <c r="AI144" s="39"/>
      <c r="AJ144" s="46"/>
      <c r="AK144" s="46"/>
      <c r="AL144" s="47"/>
      <c r="AM144" s="52"/>
      <c r="AN144" s="53"/>
      <c r="AO144" s="50"/>
      <c r="AP144" s="57"/>
    </row>
    <row r="145" spans="1:42" s="5" customFormat="1" ht="15" customHeight="1" x14ac:dyDescent="0.25">
      <c r="A145" s="42" t="str">
        <f>'Agents'' Final Roster 0823-0829'!A145</f>
        <v>Ortiz Jose María</v>
      </c>
      <c r="B145" s="41" t="str">
        <f>'Agents'' Final Roster 0823-0829'!B145</f>
        <v>Esquivel Pavan Pamela Sol</v>
      </c>
      <c r="C145" s="41" t="str">
        <f>'Agents'' Final Roster 0823-0829'!C145</f>
        <v>Guevara</v>
      </c>
      <c r="D145" s="41" t="str">
        <f>'Agents'' Final Roster 0823-0829'!D145</f>
        <v>Carlos Augusto</v>
      </c>
      <c r="E145" s="41"/>
      <c r="F145" s="41"/>
      <c r="G145" s="41"/>
      <c r="H145" s="41"/>
      <c r="I145" s="41"/>
      <c r="J145" s="41"/>
      <c r="K145" s="41"/>
      <c r="L145" s="45"/>
      <c r="M145" s="45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 t="str">
        <f>'Agents'' Final Roster 0823-0829'!Z145</f>
        <v>CSV2</v>
      </c>
      <c r="AA145" s="39"/>
      <c r="AB145" s="39"/>
      <c r="AC145" s="39"/>
      <c r="AD145" s="39"/>
      <c r="AE145" s="39"/>
      <c r="AF145" s="39"/>
      <c r="AG145" s="39"/>
      <c r="AH145" s="39"/>
      <c r="AI145" s="39"/>
      <c r="AJ145" s="46"/>
      <c r="AK145" s="46"/>
      <c r="AL145" s="47"/>
      <c r="AM145" s="52"/>
      <c r="AN145" s="53"/>
      <c r="AO145" s="50"/>
      <c r="AP145" s="57"/>
    </row>
    <row r="146" spans="1:42" s="5" customFormat="1" ht="15" customHeight="1" x14ac:dyDescent="0.25">
      <c r="A146" s="44" t="str">
        <f>'Agents'' Final Roster 0823-0829'!A146</f>
        <v>Ortiz Jose María</v>
      </c>
      <c r="B146" s="39" t="str">
        <f>'Agents'' Final Roster 0823-0829'!B146</f>
        <v>Esquivel Pavan Pamela Sol</v>
      </c>
      <c r="C146" s="39" t="str">
        <f>'Agents'' Final Roster 0823-0829'!C146</f>
        <v>Jerez</v>
      </c>
      <c r="D146" s="39" t="str">
        <f>'Agents'' Final Roster 0823-0829'!D146</f>
        <v xml:space="preserve">Rodrigo Facundo </v>
      </c>
      <c r="E146" s="39"/>
      <c r="F146" s="39"/>
      <c r="G146" s="39"/>
      <c r="H146" s="39"/>
      <c r="I146" s="39"/>
      <c r="J146" s="39"/>
      <c r="K146" s="39"/>
      <c r="L146" s="45"/>
      <c r="M146" s="45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 t="str">
        <f>'Agents'' Final Roster 0823-0829'!Z146</f>
        <v>CSV1</v>
      </c>
      <c r="AA146" s="39"/>
      <c r="AB146" s="39"/>
      <c r="AC146" s="39"/>
      <c r="AD146" s="39"/>
      <c r="AE146" s="39"/>
      <c r="AF146" s="39"/>
      <c r="AG146" s="39"/>
      <c r="AH146" s="39"/>
      <c r="AI146" s="39"/>
      <c r="AJ146" s="46"/>
      <c r="AK146" s="46"/>
      <c r="AL146" s="47"/>
      <c r="AM146" s="52"/>
      <c r="AN146" s="53"/>
      <c r="AO146" s="50"/>
      <c r="AP146" s="57"/>
    </row>
    <row r="147" spans="1:42" s="5" customFormat="1" ht="15" customHeight="1" x14ac:dyDescent="0.25">
      <c r="A147" s="44" t="str">
        <f>'Agents'' Final Roster 0823-0829'!A147</f>
        <v>Ortiz Jose María</v>
      </c>
      <c r="B147" s="39" t="str">
        <f>'Agents'' Final Roster 0823-0829'!B147</f>
        <v>Esquivel Pavan Pamela Sol</v>
      </c>
      <c r="C147" s="39" t="str">
        <f>'Agents'' Final Roster 0823-0829'!C147</f>
        <v>Lazarte</v>
      </c>
      <c r="D147" s="39" t="str">
        <f>'Agents'' Final Roster 0823-0829'!D147</f>
        <v>Carlos Enrique</v>
      </c>
      <c r="E147" s="39"/>
      <c r="F147" s="39"/>
      <c r="G147" s="39"/>
      <c r="H147" s="39"/>
      <c r="I147" s="39"/>
      <c r="J147" s="39"/>
      <c r="K147" s="39"/>
      <c r="L147" s="45"/>
      <c r="M147" s="45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 t="str">
        <f>'Agents'' Final Roster 0823-0829'!Z147</f>
        <v>DVH</v>
      </c>
      <c r="AA147" s="39"/>
      <c r="AB147" s="39"/>
      <c r="AC147" s="39"/>
      <c r="AD147" s="39"/>
      <c r="AE147" s="39"/>
      <c r="AF147" s="39"/>
      <c r="AG147" s="39"/>
      <c r="AH147" s="39"/>
      <c r="AI147" s="39"/>
      <c r="AJ147" s="46"/>
      <c r="AK147" s="46"/>
      <c r="AL147" s="47"/>
      <c r="AM147" s="52"/>
      <c r="AN147" s="53"/>
      <c r="AO147" s="50"/>
      <c r="AP147" s="57"/>
    </row>
    <row r="148" spans="1:42" s="5" customFormat="1" ht="15" customHeight="1" x14ac:dyDescent="0.25">
      <c r="A148" s="44" t="str">
        <f>'Agents'' Final Roster 0823-0829'!A148</f>
        <v>Ortiz Jose María</v>
      </c>
      <c r="B148" s="39" t="str">
        <f>'Agents'' Final Roster 0823-0829'!B148</f>
        <v>Esquivel Pavan Pamela Sol</v>
      </c>
      <c r="C148" s="39" t="str">
        <f>'Agents'' Final Roster 0823-0829'!C148</f>
        <v>Lopez</v>
      </c>
      <c r="D148" s="39" t="str">
        <f>'Agents'' Final Roster 0823-0829'!D148</f>
        <v>Franco Daniel</v>
      </c>
      <c r="E148" s="39"/>
      <c r="F148" s="39"/>
      <c r="G148" s="39"/>
      <c r="H148" s="39"/>
      <c r="I148" s="39"/>
      <c r="J148" s="39"/>
      <c r="K148" s="39"/>
      <c r="L148" s="45"/>
      <c r="M148" s="45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 t="str">
        <f>'Agents'' Final Roster 0823-0829'!Z148</f>
        <v>Servicios web</v>
      </c>
      <c r="AA148" s="39"/>
      <c r="AB148" s="39"/>
      <c r="AC148" s="39"/>
      <c r="AD148" s="39"/>
      <c r="AE148" s="39"/>
      <c r="AF148" s="39"/>
      <c r="AG148" s="39"/>
      <c r="AH148" s="39"/>
      <c r="AI148" s="39"/>
      <c r="AJ148" s="46"/>
      <c r="AK148" s="46"/>
      <c r="AL148" s="47"/>
      <c r="AM148" s="52"/>
      <c r="AN148" s="53"/>
      <c r="AO148" s="50"/>
      <c r="AP148" s="57"/>
    </row>
    <row r="149" spans="1:42" s="5" customFormat="1" ht="15" customHeight="1" x14ac:dyDescent="0.25">
      <c r="A149" s="44" t="str">
        <f>'Agents'' Final Roster 0823-0829'!A149</f>
        <v>Ortiz Jose María</v>
      </c>
      <c r="B149" s="39" t="str">
        <f>'Agents'' Final Roster 0823-0829'!B149</f>
        <v>Esquivel Pavan Pamela Sol</v>
      </c>
      <c r="C149" s="39" t="str">
        <f>'Agents'' Final Roster 0823-0829'!C149</f>
        <v>Mendez</v>
      </c>
      <c r="D149" s="39" t="str">
        <f>'Agents'' Final Roster 0823-0829'!D149</f>
        <v>Maria Laura</v>
      </c>
      <c r="E149" s="39"/>
      <c r="F149" s="39"/>
      <c r="G149" s="39"/>
      <c r="H149" s="39"/>
      <c r="I149" s="39"/>
      <c r="J149" s="39"/>
      <c r="K149" s="39"/>
      <c r="L149" s="45"/>
      <c r="M149" s="45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 t="str">
        <f>'Agents'' Final Roster 0823-0829'!Z149</f>
        <v>CSV1</v>
      </c>
      <c r="AA149" s="39"/>
      <c r="AB149" s="39"/>
      <c r="AC149" s="39"/>
      <c r="AD149" s="39"/>
      <c r="AE149" s="39"/>
      <c r="AF149" s="39"/>
      <c r="AG149" s="39"/>
      <c r="AH149" s="39"/>
      <c r="AI149" s="39"/>
      <c r="AJ149" s="46"/>
      <c r="AK149" s="46"/>
      <c r="AL149" s="47"/>
      <c r="AM149" s="52"/>
      <c r="AN149" s="53"/>
      <c r="AO149" s="50"/>
      <c r="AP149" s="57"/>
    </row>
    <row r="150" spans="1:42" x14ac:dyDescent="0.25">
      <c r="A150" s="44" t="str">
        <f>'Agents'' Final Roster 0823-0829'!A150</f>
        <v>Ortiz Jose María</v>
      </c>
      <c r="B150" s="39" t="str">
        <f>'Agents'' Final Roster 0823-0829'!B150</f>
        <v>Esquivel Pavan Pamela Sol</v>
      </c>
      <c r="C150" s="39" t="str">
        <f>'Agents'' Final Roster 0823-0829'!C150</f>
        <v>Moreno</v>
      </c>
      <c r="D150" s="39" t="str">
        <f>'Agents'' Final Roster 0823-0829'!D150</f>
        <v>Fatima Rocio Belen</v>
      </c>
      <c r="E150" s="39"/>
      <c r="F150" s="39"/>
      <c r="G150" s="39"/>
      <c r="H150" s="39"/>
      <c r="I150" s="39"/>
      <c r="J150" s="39"/>
      <c r="K150" s="39"/>
      <c r="L150" s="45"/>
      <c r="M150" s="45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 t="str">
        <f>'Agents'' Final Roster 0823-0829'!Z150</f>
        <v>CSV1</v>
      </c>
      <c r="AA150" s="39"/>
      <c r="AB150" s="39"/>
      <c r="AC150" s="39"/>
      <c r="AD150" s="39"/>
      <c r="AE150" s="39"/>
      <c r="AF150" s="39"/>
      <c r="AG150" s="39"/>
      <c r="AH150" s="39"/>
      <c r="AI150" s="39"/>
      <c r="AJ150" s="46"/>
      <c r="AK150" s="46"/>
      <c r="AL150" s="47"/>
      <c r="AM150" s="52"/>
      <c r="AN150" s="53"/>
      <c r="AO150" s="50"/>
    </row>
    <row r="151" spans="1:42" x14ac:dyDescent="0.25">
      <c r="A151" s="69" t="str">
        <f>'Agents'' Final Roster 0823-0829'!A151</f>
        <v>Ortiz Jose María</v>
      </c>
      <c r="B151" s="70" t="str">
        <f>'Agents'' Final Roster 0823-0829'!B151</f>
        <v>Esquivel Pavan Pamela Sol</v>
      </c>
      <c r="C151" s="70" t="str">
        <f>'Agents'' Final Roster 0823-0829'!C151</f>
        <v>Navarro</v>
      </c>
      <c r="D151" s="70" t="str">
        <f>'Agents'' Final Roster 0823-0829'!D151</f>
        <v xml:space="preserve">Luciano Gustavo </v>
      </c>
      <c r="E151" s="70"/>
      <c r="F151" s="70"/>
      <c r="G151" s="70"/>
      <c r="H151" s="70"/>
      <c r="I151" s="70"/>
      <c r="J151" s="70"/>
      <c r="K151" s="70"/>
      <c r="L151" s="45"/>
      <c r="M151" s="45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 t="str">
        <f>'Agents'' Final Roster 0823-0829'!Z151</f>
        <v>CSV2</v>
      </c>
      <c r="AA151" s="39"/>
      <c r="AB151" s="39"/>
      <c r="AC151" s="39"/>
      <c r="AD151" s="39"/>
      <c r="AE151" s="39"/>
      <c r="AF151" s="39"/>
      <c r="AG151" s="39"/>
      <c r="AH151" s="39"/>
      <c r="AI151" s="39"/>
      <c r="AJ151" s="46"/>
      <c r="AK151" s="46"/>
      <c r="AL151" s="47"/>
      <c r="AM151" s="52"/>
      <c r="AN151" s="53"/>
      <c r="AO151" s="50"/>
    </row>
    <row r="152" spans="1:42" x14ac:dyDescent="0.25">
      <c r="A152" s="44" t="str">
        <f>'Agents'' Final Roster 0823-0829'!A152</f>
        <v>Ortiz Jose María</v>
      </c>
      <c r="B152" s="39" t="str">
        <f>'Agents'' Final Roster 0823-0829'!B152</f>
        <v>Esquivel Pavan Pamela Sol</v>
      </c>
      <c r="C152" s="39" t="str">
        <f>'Agents'' Final Roster 0823-0829'!C152</f>
        <v>Perez</v>
      </c>
      <c r="D152" s="39" t="str">
        <f>'Agents'' Final Roster 0823-0829'!D152</f>
        <v>Maria Jose</v>
      </c>
      <c r="E152" s="39"/>
      <c r="F152" s="39"/>
      <c r="G152" s="39"/>
      <c r="H152" s="39"/>
      <c r="I152" s="39"/>
      <c r="J152" s="39"/>
      <c r="K152" s="39"/>
      <c r="L152" s="45"/>
      <c r="M152" s="45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 t="str">
        <f>'Agents'' Final Roster 0823-0829'!Z152</f>
        <v>CSV1</v>
      </c>
      <c r="AA152" s="39"/>
      <c r="AB152" s="39"/>
      <c r="AC152" s="39"/>
      <c r="AD152" s="39"/>
      <c r="AE152" s="39"/>
      <c r="AF152" s="39"/>
      <c r="AG152" s="39"/>
      <c r="AH152" s="39"/>
      <c r="AI152" s="39"/>
      <c r="AJ152" s="46"/>
      <c r="AK152" s="46"/>
      <c r="AL152" s="47"/>
      <c r="AM152" s="52"/>
      <c r="AN152" s="53"/>
      <c r="AO152" s="50"/>
    </row>
    <row r="153" spans="1:42" x14ac:dyDescent="0.25">
      <c r="A153" s="44" t="str">
        <f>'Agents'' Final Roster 0823-0829'!A153</f>
        <v>Ortiz Jose María</v>
      </c>
      <c r="B153" s="39" t="str">
        <f>'Agents'' Final Roster 0823-0829'!B153</f>
        <v>Esquivel Pavan Pamela Sol</v>
      </c>
      <c r="C153" s="39" t="str">
        <f>'Agents'' Final Roster 0823-0829'!C153</f>
        <v>Reinoso Cisnero</v>
      </c>
      <c r="D153" s="39" t="str">
        <f>'Agents'' Final Roster 0823-0829'!D153</f>
        <v>Gaspar</v>
      </c>
      <c r="E153" s="39"/>
      <c r="F153" s="39"/>
      <c r="G153" s="39"/>
      <c r="H153" s="39"/>
      <c r="I153" s="39"/>
      <c r="J153" s="39"/>
      <c r="K153" s="39"/>
      <c r="L153" s="45"/>
      <c r="M153" s="45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 t="str">
        <f>'Agents'' Final Roster 0823-0829'!Z153</f>
        <v>Servicios web</v>
      </c>
      <c r="AA153" s="39"/>
      <c r="AB153" s="39"/>
      <c r="AC153" s="39"/>
      <c r="AD153" s="39"/>
      <c r="AE153" s="39"/>
      <c r="AF153" s="39"/>
      <c r="AG153" s="39"/>
      <c r="AH153" s="39"/>
      <c r="AI153" s="39"/>
      <c r="AJ153" s="46"/>
      <c r="AK153" s="46"/>
      <c r="AL153" s="47"/>
      <c r="AM153" s="52"/>
      <c r="AN153" s="53"/>
      <c r="AO153" s="50"/>
    </row>
    <row r="154" spans="1:42" x14ac:dyDescent="0.25">
      <c r="A154" s="44" t="str">
        <f>'Agents'' Final Roster 0823-0829'!A154</f>
        <v>Ortiz Jose María</v>
      </c>
      <c r="B154" s="39" t="str">
        <f>'Agents'' Final Roster 0823-0829'!B154</f>
        <v>Esquivel Pavan Pamela Sol</v>
      </c>
      <c r="C154" s="39" t="str">
        <f>'Agents'' Final Roster 0823-0829'!C154</f>
        <v>Rodriguez</v>
      </c>
      <c r="D154" s="39" t="str">
        <f>'Agents'' Final Roster 0823-0829'!D154</f>
        <v>Alejandra Isabel</v>
      </c>
      <c r="E154" s="39"/>
      <c r="F154" s="39"/>
      <c r="G154" s="39"/>
      <c r="H154" s="39"/>
      <c r="I154" s="39"/>
      <c r="J154" s="39"/>
      <c r="K154" s="39"/>
      <c r="L154" s="45"/>
      <c r="M154" s="45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 t="str">
        <f>'Agents'' Final Roster 0823-0829'!Z154</f>
        <v>Compras Referidas</v>
      </c>
      <c r="AA154" s="39"/>
      <c r="AB154" s="39"/>
      <c r="AC154" s="39"/>
      <c r="AD154" s="39"/>
      <c r="AE154" s="39"/>
      <c r="AF154" s="39"/>
      <c r="AG154" s="39"/>
      <c r="AH154" s="39"/>
      <c r="AI154" s="39"/>
      <c r="AJ154" s="46"/>
      <c r="AK154" s="46"/>
      <c r="AL154" s="47"/>
      <c r="AM154" s="52"/>
      <c r="AN154" s="53"/>
      <c r="AO154" s="50"/>
    </row>
    <row r="155" spans="1:42" x14ac:dyDescent="0.25">
      <c r="A155" s="44" t="str">
        <f>'Agents'' Final Roster 0823-0829'!A155</f>
        <v>Ortiz Jose María</v>
      </c>
      <c r="B155" s="39" t="str">
        <f>'Agents'' Final Roster 0823-0829'!B155</f>
        <v>Esquivel Pavan Pamela Sol</v>
      </c>
      <c r="C155" s="39" t="str">
        <f>'Agents'' Final Roster 0823-0829'!C155</f>
        <v>Rossi</v>
      </c>
      <c r="D155" s="39" t="str">
        <f>'Agents'' Final Roster 0823-0829'!D155</f>
        <v>Griselda Analia</v>
      </c>
      <c r="E155" s="39"/>
      <c r="F155" s="39"/>
      <c r="G155" s="39"/>
      <c r="H155" s="39"/>
      <c r="I155" s="39"/>
      <c r="J155" s="39"/>
      <c r="K155" s="39"/>
      <c r="L155" s="45"/>
      <c r="M155" s="45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 t="str">
        <f>'Agents'' Final Roster 0823-0829'!Z155</f>
        <v>DVH</v>
      </c>
      <c r="AA155" s="39"/>
      <c r="AB155" s="39"/>
      <c r="AC155" s="39"/>
      <c r="AD155" s="39"/>
      <c r="AE155" s="39"/>
      <c r="AF155" s="39"/>
      <c r="AG155" s="39"/>
      <c r="AH155" s="39"/>
      <c r="AI155" s="39"/>
      <c r="AJ155" s="46"/>
      <c r="AK155" s="46"/>
      <c r="AL155" s="47"/>
      <c r="AM155" s="52"/>
      <c r="AN155" s="53"/>
      <c r="AO155" s="50"/>
    </row>
    <row r="156" spans="1:42" x14ac:dyDescent="0.25">
      <c r="A156" s="44" t="str">
        <f>'Agents'' Final Roster 0823-0829'!A156</f>
        <v>Ortiz Jose María</v>
      </c>
      <c r="B156" s="39" t="str">
        <f>'Agents'' Final Roster 0823-0829'!B156</f>
        <v>Esquivel Pavan Pamela Sol</v>
      </c>
      <c r="C156" s="39" t="str">
        <f>'Agents'' Final Roster 0823-0829'!C156</f>
        <v>Rotondo</v>
      </c>
      <c r="D156" s="39" t="str">
        <f>'Agents'' Final Roster 0823-0829'!D156</f>
        <v>Eliana Romina</v>
      </c>
      <c r="E156" s="39"/>
      <c r="F156" s="39"/>
      <c r="G156" s="39"/>
      <c r="H156" s="39"/>
      <c r="I156" s="39"/>
      <c r="J156" s="39"/>
      <c r="K156" s="39"/>
      <c r="L156" s="45"/>
      <c r="M156" s="45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 t="str">
        <f>'Agents'' Final Roster 0823-0829'!Z156</f>
        <v>CSV1</v>
      </c>
      <c r="AA156" s="39"/>
      <c r="AB156" s="39"/>
      <c r="AC156" s="39"/>
      <c r="AD156" s="39"/>
      <c r="AE156" s="39"/>
      <c r="AF156" s="39"/>
      <c r="AG156" s="39"/>
      <c r="AH156" s="39"/>
      <c r="AI156" s="39"/>
      <c r="AJ156" s="46"/>
      <c r="AK156" s="46"/>
      <c r="AL156" s="47"/>
      <c r="AM156" s="52"/>
      <c r="AN156" s="53"/>
      <c r="AO156" s="50"/>
    </row>
    <row r="157" spans="1:42" x14ac:dyDescent="0.25">
      <c r="A157" s="44" t="str">
        <f>'Agents'' Final Roster 0823-0829'!A157</f>
        <v>Ortiz Jose María</v>
      </c>
      <c r="B157" s="39" t="str">
        <f>'Agents'' Final Roster 0823-0829'!B157</f>
        <v>Esquivel Pavan Pamela Sol</v>
      </c>
      <c r="C157" s="39" t="str">
        <f>'Agents'' Final Roster 0823-0829'!C157</f>
        <v>Soria</v>
      </c>
      <c r="D157" s="39" t="str">
        <f>'Agents'' Final Roster 0823-0829'!D157</f>
        <v>Agustín Said</v>
      </c>
      <c r="E157" s="39"/>
      <c r="F157" s="39"/>
      <c r="G157" s="39"/>
      <c r="H157" s="39"/>
      <c r="I157" s="39"/>
      <c r="J157" s="39"/>
      <c r="K157" s="39"/>
      <c r="L157" s="45"/>
      <c r="M157" s="45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 t="str">
        <f>'Agents'' Final Roster 0823-0829'!Z157</f>
        <v>DVH</v>
      </c>
      <c r="AA157" s="39"/>
      <c r="AB157" s="39"/>
      <c r="AC157" s="39"/>
      <c r="AD157" s="39"/>
      <c r="AE157" s="39"/>
      <c r="AF157" s="39"/>
      <c r="AG157" s="39"/>
      <c r="AH157" s="39"/>
      <c r="AI157" s="39"/>
      <c r="AJ157" s="46"/>
      <c r="AK157" s="46"/>
      <c r="AL157" s="47"/>
      <c r="AM157" s="52"/>
      <c r="AN157" s="53"/>
      <c r="AO157" s="50"/>
    </row>
    <row r="158" spans="1:42" x14ac:dyDescent="0.25">
      <c r="A158" s="44" t="str">
        <f>'Agents'' Final Roster 0823-0829'!A158</f>
        <v>Ortiz Jose María</v>
      </c>
      <c r="B158" s="39" t="str">
        <f>'Agents'' Final Roster 0823-0829'!B158</f>
        <v>Esquivel Pavan Pamela Sol</v>
      </c>
      <c r="C158" s="39" t="str">
        <f>'Agents'' Final Roster 0823-0829'!C158</f>
        <v>Torres Mariotti</v>
      </c>
      <c r="D158" s="39" t="str">
        <f>'Agents'' Final Roster 0823-0829'!D158</f>
        <v>Rocio Alejandra</v>
      </c>
      <c r="E158" s="39"/>
      <c r="F158" s="39"/>
      <c r="G158" s="39"/>
      <c r="H158" s="39"/>
      <c r="I158" s="39"/>
      <c r="J158" s="39"/>
      <c r="K158" s="39"/>
      <c r="L158" s="45"/>
      <c r="M158" s="45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 t="str">
        <f>'Agents'' Final Roster 0823-0829'!Z158</f>
        <v>CSV2</v>
      </c>
      <c r="AA158" s="39"/>
      <c r="AB158" s="39"/>
      <c r="AC158" s="39"/>
      <c r="AD158" s="39"/>
      <c r="AE158" s="39"/>
      <c r="AF158" s="39"/>
      <c r="AG158" s="39"/>
      <c r="AH158" s="39"/>
      <c r="AI158" s="39"/>
      <c r="AJ158" s="46"/>
      <c r="AK158" s="46"/>
      <c r="AL158" s="47"/>
      <c r="AM158" s="52"/>
      <c r="AN158" s="53"/>
      <c r="AO158" s="50"/>
    </row>
    <row r="159" spans="1:42" x14ac:dyDescent="0.25">
      <c r="A159" s="44" t="str">
        <f>'Agents'' Final Roster 0823-0829'!A159</f>
        <v>Ortiz Jose María</v>
      </c>
      <c r="B159" s="39" t="str">
        <f>'Agents'' Final Roster 0823-0829'!B159</f>
        <v>Gerez Andrea Soledad</v>
      </c>
      <c r="C159" s="39" t="str">
        <f>'Agents'' Final Roster 0823-0829'!C159</f>
        <v>Carabajal</v>
      </c>
      <c r="D159" s="39" t="str">
        <f>'Agents'' Final Roster 0823-0829'!D159</f>
        <v>Paula</v>
      </c>
      <c r="E159" s="39"/>
      <c r="F159" s="39"/>
      <c r="G159" s="39"/>
      <c r="H159" s="39"/>
      <c r="I159" s="39"/>
      <c r="J159" s="39"/>
      <c r="K159" s="39"/>
      <c r="L159" s="45"/>
      <c r="M159" s="45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 t="str">
        <f>'Agents'' Final Roster 0823-0829'!Z159</f>
        <v>TLMK</v>
      </c>
      <c r="AA159" s="39"/>
      <c r="AB159" s="39"/>
      <c r="AC159" s="39"/>
      <c r="AD159" s="39"/>
      <c r="AE159" s="39"/>
      <c r="AF159" s="39"/>
      <c r="AG159" s="39"/>
      <c r="AH159" s="39"/>
      <c r="AI159" s="39"/>
      <c r="AJ159" s="46"/>
      <c r="AK159" s="46"/>
      <c r="AL159" s="47"/>
      <c r="AM159" s="52"/>
      <c r="AN159" s="53"/>
      <c r="AO159" s="50"/>
    </row>
    <row r="160" spans="1:42" x14ac:dyDescent="0.25">
      <c r="A160" s="44" t="str">
        <f>'Agents'' Final Roster 0823-0829'!A160</f>
        <v>Ortiz Jose María</v>
      </c>
      <c r="B160" s="39" t="str">
        <f>'Agents'' Final Roster 0823-0829'!B160</f>
        <v>Gerez Andrea Soledad</v>
      </c>
      <c r="C160" s="39" t="str">
        <f>'Agents'' Final Roster 0823-0829'!C160</f>
        <v>Concha</v>
      </c>
      <c r="D160" s="39" t="str">
        <f>'Agents'' Final Roster 0823-0829'!D160</f>
        <v>Maria de las Mercedes</v>
      </c>
      <c r="E160" s="39"/>
      <c r="F160" s="39"/>
      <c r="G160" s="39"/>
      <c r="H160" s="39"/>
      <c r="I160" s="39"/>
      <c r="J160" s="39"/>
      <c r="K160" s="39"/>
      <c r="L160" s="45"/>
      <c r="M160" s="45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 t="str">
        <f>'Agents'' Final Roster 0823-0829'!Z160</f>
        <v>DVH</v>
      </c>
      <c r="AA160" s="39"/>
      <c r="AB160" s="39"/>
      <c r="AC160" s="39"/>
      <c r="AD160" s="39"/>
      <c r="AE160" s="39"/>
      <c r="AF160" s="39"/>
      <c r="AG160" s="39"/>
      <c r="AH160" s="39"/>
      <c r="AI160" s="39"/>
      <c r="AJ160" s="46"/>
      <c r="AK160" s="46"/>
      <c r="AL160" s="47"/>
      <c r="AM160" s="52"/>
      <c r="AN160" s="53"/>
      <c r="AO160" s="50"/>
    </row>
    <row r="161" spans="1:41" x14ac:dyDescent="0.25">
      <c r="A161" s="44" t="str">
        <f>'Agents'' Final Roster 0823-0829'!A161</f>
        <v>Ortiz Jose María</v>
      </c>
      <c r="B161" s="39" t="str">
        <f>'Agents'' Final Roster 0823-0829'!B161</f>
        <v>Gerez Andrea Soledad</v>
      </c>
      <c r="C161" s="39" t="str">
        <f>'Agents'' Final Roster 0823-0829'!C161</f>
        <v>Corbera</v>
      </c>
      <c r="D161" s="39" t="str">
        <f>'Agents'' Final Roster 0823-0829'!D161</f>
        <v>Ana Florencia</v>
      </c>
      <c r="E161" s="39"/>
      <c r="F161" s="39"/>
      <c r="G161" s="39"/>
      <c r="H161" s="39"/>
      <c r="I161" s="39"/>
      <c r="J161" s="39"/>
      <c r="K161" s="39"/>
      <c r="L161" s="45"/>
      <c r="M161" s="45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 t="str">
        <f>'Agents'' Final Roster 0823-0829'!Z161</f>
        <v>Servicios web</v>
      </c>
      <c r="AA161" s="39"/>
      <c r="AB161" s="39"/>
      <c r="AC161" s="39"/>
      <c r="AD161" s="39"/>
      <c r="AE161" s="39"/>
      <c r="AF161" s="39"/>
      <c r="AG161" s="39"/>
      <c r="AH161" s="39"/>
      <c r="AI161" s="39"/>
      <c r="AJ161" s="46"/>
      <c r="AK161" s="46"/>
      <c r="AL161" s="47"/>
      <c r="AM161" s="52"/>
      <c r="AN161" s="53"/>
      <c r="AO161" s="50"/>
    </row>
    <row r="162" spans="1:41" x14ac:dyDescent="0.25">
      <c r="A162" s="44" t="str">
        <f>'Agents'' Final Roster 0823-0829'!A162</f>
        <v>Ortiz Jose María</v>
      </c>
      <c r="B162" s="39" t="str">
        <f>'Agents'' Final Roster 0823-0829'!B162</f>
        <v>Gerez Andrea Soledad</v>
      </c>
      <c r="C162" s="39" t="str">
        <f>'Agents'' Final Roster 0823-0829'!C162</f>
        <v>Décima</v>
      </c>
      <c r="D162" s="39" t="str">
        <f>'Agents'' Final Roster 0823-0829'!D162</f>
        <v>Alejo Nicolas</v>
      </c>
      <c r="E162" s="39"/>
      <c r="F162" s="39"/>
      <c r="G162" s="39"/>
      <c r="H162" s="39"/>
      <c r="I162" s="39"/>
      <c r="J162" s="39"/>
      <c r="K162" s="39"/>
      <c r="L162" s="45"/>
      <c r="M162" s="45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 t="str">
        <f>'Agents'' Final Roster 0823-0829'!Z162</f>
        <v>DVH</v>
      </c>
      <c r="AA162" s="39"/>
      <c r="AB162" s="39"/>
      <c r="AC162" s="39"/>
      <c r="AD162" s="39"/>
      <c r="AE162" s="39"/>
      <c r="AF162" s="39"/>
      <c r="AG162" s="39"/>
      <c r="AH162" s="39"/>
      <c r="AI162" s="39"/>
      <c r="AJ162" s="46"/>
      <c r="AK162" s="46"/>
      <c r="AL162" s="47"/>
      <c r="AM162" s="52"/>
      <c r="AN162" s="53"/>
      <c r="AO162" s="50"/>
    </row>
    <row r="163" spans="1:41" x14ac:dyDescent="0.25">
      <c r="A163" s="69" t="str">
        <f>'Agents'' Final Roster 0823-0829'!A163</f>
        <v>Ortiz Jose María</v>
      </c>
      <c r="B163" s="70" t="str">
        <f>'Agents'' Final Roster 0823-0829'!B163</f>
        <v>Gerez Andrea Soledad</v>
      </c>
      <c r="C163" s="70" t="str">
        <f>'Agents'' Final Roster 0823-0829'!C163</f>
        <v>Del Valle</v>
      </c>
      <c r="D163" s="70" t="str">
        <f>'Agents'' Final Roster 0823-0829'!D163</f>
        <v>Silvina</v>
      </c>
      <c r="E163" s="70"/>
      <c r="F163" s="70"/>
      <c r="G163" s="70"/>
      <c r="H163" s="70"/>
      <c r="I163" s="70"/>
      <c r="J163" s="70"/>
      <c r="K163" s="70"/>
      <c r="L163" s="45"/>
      <c r="M163" s="45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 t="str">
        <f>'Agents'' Final Roster 0823-0829'!Z163</f>
        <v>Servicios web</v>
      </c>
      <c r="AA163" s="39"/>
      <c r="AB163" s="39"/>
      <c r="AC163" s="39"/>
      <c r="AD163" s="39"/>
      <c r="AE163" s="39"/>
      <c r="AF163" s="39"/>
      <c r="AG163" s="39"/>
      <c r="AH163" s="39"/>
      <c r="AI163" s="39"/>
      <c r="AJ163" s="46"/>
      <c r="AK163" s="46"/>
      <c r="AL163" s="47"/>
      <c r="AM163" s="52"/>
      <c r="AN163" s="53"/>
      <c r="AO163" s="50"/>
    </row>
    <row r="164" spans="1:41" x14ac:dyDescent="0.25">
      <c r="A164" s="69" t="str">
        <f>'Agents'' Final Roster 0823-0829'!A164</f>
        <v>Ortiz Jose María</v>
      </c>
      <c r="B164" s="70" t="str">
        <f>'Agents'' Final Roster 0823-0829'!B164</f>
        <v>Gerez Andrea Soledad</v>
      </c>
      <c r="C164" s="70" t="str">
        <f>'Agents'' Final Roster 0823-0829'!C164</f>
        <v>Gonzalez</v>
      </c>
      <c r="D164" s="70" t="str">
        <f>'Agents'' Final Roster 0823-0829'!D164</f>
        <v>Sofia Anahi</v>
      </c>
      <c r="E164" s="70"/>
      <c r="F164" s="70"/>
      <c r="G164" s="70"/>
      <c r="H164" s="70"/>
      <c r="I164" s="70"/>
      <c r="J164" s="70"/>
      <c r="K164" s="70"/>
      <c r="L164" s="45"/>
      <c r="M164" s="45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 t="str">
        <f>'Agents'' Final Roster 0823-0829'!Z164</f>
        <v>CSV2</v>
      </c>
      <c r="AA164" s="39"/>
      <c r="AB164" s="39"/>
      <c r="AC164" s="39"/>
      <c r="AD164" s="39"/>
      <c r="AE164" s="39"/>
      <c r="AF164" s="39"/>
      <c r="AG164" s="39"/>
      <c r="AH164" s="39"/>
      <c r="AI164" s="39"/>
      <c r="AJ164" s="46"/>
      <c r="AK164" s="46"/>
      <c r="AL164" s="47"/>
      <c r="AM164" s="52"/>
      <c r="AN164" s="53"/>
      <c r="AO164" s="50"/>
    </row>
    <row r="165" spans="1:41" x14ac:dyDescent="0.25">
      <c r="A165" s="44" t="str">
        <f>'Agents'' Final Roster 0823-0829'!A165</f>
        <v>Ortiz Jose María</v>
      </c>
      <c r="B165" s="39" t="str">
        <f>'Agents'' Final Roster 0823-0829'!B165</f>
        <v>Gerez Andrea Soledad</v>
      </c>
      <c r="C165" s="39" t="str">
        <f>'Agents'' Final Roster 0823-0829'!C165</f>
        <v xml:space="preserve">Lopez </v>
      </c>
      <c r="D165" s="39" t="str">
        <f>'Agents'' Final Roster 0823-0829'!D165</f>
        <v xml:space="preserve">Rosa Mariana </v>
      </c>
      <c r="E165" s="39"/>
      <c r="F165" s="39"/>
      <c r="G165" s="39"/>
      <c r="H165" s="39"/>
      <c r="I165" s="39"/>
      <c r="J165" s="39"/>
      <c r="K165" s="39"/>
      <c r="L165" s="45"/>
      <c r="M165" s="45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 t="str">
        <f>'Agents'' Final Roster 0823-0829'!Z165</f>
        <v>DVH</v>
      </c>
      <c r="AA165" s="39"/>
      <c r="AB165" s="39"/>
      <c r="AC165" s="39"/>
      <c r="AD165" s="39"/>
      <c r="AE165" s="39"/>
      <c r="AF165" s="39"/>
      <c r="AG165" s="39"/>
      <c r="AH165" s="39"/>
      <c r="AI165" s="39"/>
      <c r="AJ165" s="46"/>
      <c r="AK165" s="46"/>
      <c r="AL165" s="47"/>
      <c r="AM165" s="52"/>
      <c r="AN165" s="53"/>
      <c r="AO165" s="50"/>
    </row>
    <row r="166" spans="1:41" x14ac:dyDescent="0.25">
      <c r="A166" s="44" t="str">
        <f>'Agents'' Final Roster 0823-0829'!A166</f>
        <v>Ortiz Jose María</v>
      </c>
      <c r="B166" s="39" t="str">
        <f>'Agents'' Final Roster 0823-0829'!B166</f>
        <v>Gerez Andrea Soledad</v>
      </c>
      <c r="C166" s="39" t="str">
        <f>'Agents'' Final Roster 0823-0829'!C166</f>
        <v>Lugones Agüero</v>
      </c>
      <c r="D166" s="39" t="str">
        <f>'Agents'' Final Roster 0823-0829'!D166</f>
        <v>Alejo Ezequiel</v>
      </c>
      <c r="E166" s="39"/>
      <c r="F166" s="39"/>
      <c r="G166" s="39"/>
      <c r="H166" s="39"/>
      <c r="I166" s="39"/>
      <c r="J166" s="39"/>
      <c r="K166" s="39"/>
      <c r="L166" s="45"/>
      <c r="M166" s="45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 t="str">
        <f>'Agents'' Final Roster 0823-0829'!Z166</f>
        <v>DVH</v>
      </c>
      <c r="AA166" s="39"/>
      <c r="AB166" s="39"/>
      <c r="AC166" s="39"/>
      <c r="AD166" s="39"/>
      <c r="AE166" s="39"/>
      <c r="AF166" s="39"/>
      <c r="AG166" s="39"/>
      <c r="AH166" s="39"/>
      <c r="AI166" s="39"/>
      <c r="AJ166" s="46"/>
      <c r="AK166" s="46"/>
      <c r="AL166" s="47"/>
      <c r="AM166" s="52"/>
      <c r="AN166" s="53"/>
      <c r="AO166" s="50"/>
    </row>
    <row r="167" spans="1:41" x14ac:dyDescent="0.25">
      <c r="A167" s="44" t="str">
        <f>'Agents'' Final Roster 0823-0829'!A167</f>
        <v>Ortiz Jose María</v>
      </c>
      <c r="B167" s="39" t="str">
        <f>'Agents'' Final Roster 0823-0829'!B167</f>
        <v>Gerez Andrea Soledad</v>
      </c>
      <c r="C167" s="39" t="str">
        <f>'Agents'' Final Roster 0823-0829'!C167</f>
        <v>Marín</v>
      </c>
      <c r="D167" s="39" t="str">
        <f>'Agents'' Final Roster 0823-0829'!D167</f>
        <v>Melisa Betsabé</v>
      </c>
      <c r="E167" s="39"/>
      <c r="F167" s="39"/>
      <c r="G167" s="39"/>
      <c r="H167" s="39"/>
      <c r="I167" s="39"/>
      <c r="J167" s="39"/>
      <c r="K167" s="39"/>
      <c r="L167" s="45"/>
      <c r="M167" s="45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 t="str">
        <f>'Agents'' Final Roster 0823-0829'!Z167</f>
        <v>CSV2</v>
      </c>
      <c r="AA167" s="39"/>
      <c r="AB167" s="39"/>
      <c r="AC167" s="39"/>
      <c r="AD167" s="39"/>
      <c r="AE167" s="39"/>
      <c r="AF167" s="39"/>
      <c r="AG167" s="39"/>
      <c r="AH167" s="39"/>
      <c r="AI167" s="39"/>
      <c r="AJ167" s="46"/>
      <c r="AK167" s="46"/>
      <c r="AL167" s="47"/>
      <c r="AM167" s="52"/>
      <c r="AN167" s="53"/>
      <c r="AO167" s="50"/>
    </row>
    <row r="168" spans="1:41" x14ac:dyDescent="0.25">
      <c r="A168" s="44" t="str">
        <f>'Agents'' Final Roster 0823-0829'!A168</f>
        <v>Ortiz Jose María</v>
      </c>
      <c r="B168" s="39" t="str">
        <f>'Agents'' Final Roster 0823-0829'!B168</f>
        <v>Gerez Andrea Soledad</v>
      </c>
      <c r="C168" s="39" t="str">
        <f>'Agents'' Final Roster 0823-0829'!C168</f>
        <v>Moreno</v>
      </c>
      <c r="D168" s="39" t="str">
        <f>'Agents'' Final Roster 0823-0829'!D168</f>
        <v>Damaris</v>
      </c>
      <c r="E168" s="39"/>
      <c r="F168" s="39"/>
      <c r="G168" s="39"/>
      <c r="H168" s="39"/>
      <c r="I168" s="39"/>
      <c r="J168" s="39"/>
      <c r="K168" s="39"/>
      <c r="L168" s="45"/>
      <c r="M168" s="45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 t="str">
        <f>'Agents'' Final Roster 0823-0829'!Z168</f>
        <v>CSV2</v>
      </c>
      <c r="AA168" s="39"/>
      <c r="AB168" s="39"/>
      <c r="AC168" s="39"/>
      <c r="AD168" s="39"/>
      <c r="AE168" s="39"/>
      <c r="AF168" s="39"/>
      <c r="AG168" s="39"/>
      <c r="AH168" s="39"/>
      <c r="AI168" s="39"/>
      <c r="AJ168" s="46"/>
      <c r="AK168" s="46"/>
      <c r="AL168" s="47"/>
      <c r="AM168" s="52"/>
      <c r="AN168" s="53"/>
      <c r="AO168" s="50"/>
    </row>
    <row r="169" spans="1:41" x14ac:dyDescent="0.25">
      <c r="A169" s="44" t="str">
        <f>'Agents'' Final Roster 0823-0829'!A169</f>
        <v>Ortiz Jose María</v>
      </c>
      <c r="B169" s="39" t="str">
        <f>'Agents'' Final Roster 0823-0829'!B169</f>
        <v>Gerez Andrea Soledad</v>
      </c>
      <c r="C169" s="39" t="str">
        <f>'Agents'' Final Roster 0823-0829'!C169</f>
        <v>Ocaranza</v>
      </c>
      <c r="D169" s="39" t="str">
        <f>'Agents'' Final Roster 0823-0829'!D169</f>
        <v xml:space="preserve">Jonathan Franco </v>
      </c>
      <c r="E169" s="39"/>
      <c r="F169" s="39"/>
      <c r="G169" s="39"/>
      <c r="H169" s="39"/>
      <c r="I169" s="39"/>
      <c r="J169" s="39"/>
      <c r="K169" s="39"/>
      <c r="L169" s="45"/>
      <c r="M169" s="45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 t="str">
        <f>'Agents'' Final Roster 0823-0829'!Z169</f>
        <v>DVH</v>
      </c>
      <c r="AA169" s="39"/>
      <c r="AB169" s="39"/>
      <c r="AC169" s="39"/>
      <c r="AD169" s="39"/>
      <c r="AE169" s="39"/>
      <c r="AF169" s="39"/>
      <c r="AG169" s="39"/>
      <c r="AH169" s="39"/>
      <c r="AI169" s="39"/>
      <c r="AJ169" s="46"/>
      <c r="AK169" s="46"/>
      <c r="AL169" s="47"/>
      <c r="AM169" s="52"/>
      <c r="AN169" s="53"/>
      <c r="AO169" s="50"/>
    </row>
    <row r="170" spans="1:41" x14ac:dyDescent="0.25">
      <c r="A170" s="44" t="str">
        <f>'Agents'' Final Roster 0823-0829'!A170</f>
        <v>Ortiz Jose María</v>
      </c>
      <c r="B170" s="39" t="str">
        <f>'Agents'' Final Roster 0823-0829'!B170</f>
        <v>Gerez Andrea Soledad</v>
      </c>
      <c r="C170" s="39" t="str">
        <f>'Agents'' Final Roster 0823-0829'!C170</f>
        <v>Sanchez</v>
      </c>
      <c r="D170" s="39" t="str">
        <f>'Agents'' Final Roster 0823-0829'!D170</f>
        <v>Maria Florencia</v>
      </c>
      <c r="E170" s="39"/>
      <c r="F170" s="39"/>
      <c r="G170" s="39"/>
      <c r="H170" s="39"/>
      <c r="I170" s="39"/>
      <c r="J170" s="39"/>
      <c r="K170" s="39"/>
      <c r="L170" s="45"/>
      <c r="M170" s="45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 t="str">
        <f>'Agents'' Final Roster 0823-0829'!Z170</f>
        <v>DVH</v>
      </c>
      <c r="AA170" s="39"/>
      <c r="AB170" s="39"/>
      <c r="AC170" s="39"/>
      <c r="AD170" s="39"/>
      <c r="AE170" s="39"/>
      <c r="AF170" s="39"/>
      <c r="AG170" s="39"/>
      <c r="AH170" s="39"/>
      <c r="AI170" s="39"/>
      <c r="AJ170" s="46"/>
      <c r="AK170" s="46"/>
      <c r="AL170" s="47"/>
      <c r="AM170" s="52"/>
      <c r="AN170" s="53"/>
      <c r="AO170" s="50"/>
    </row>
    <row r="171" spans="1:41" x14ac:dyDescent="0.25">
      <c r="A171" s="44" t="str">
        <f>'Agents'' Final Roster 0823-0829'!A171</f>
        <v>Ortiz Jose María</v>
      </c>
      <c r="B171" s="39" t="str">
        <f>'Agents'' Final Roster 0823-0829'!B171</f>
        <v>Gerez Andrea Soledad</v>
      </c>
      <c r="C171" s="39" t="str">
        <f>'Agents'' Final Roster 0823-0829'!C171</f>
        <v>Suarez</v>
      </c>
      <c r="D171" s="39" t="str">
        <f>'Agents'' Final Roster 0823-0829'!D171</f>
        <v>Alicia Veronica</v>
      </c>
      <c r="E171" s="39"/>
      <c r="F171" s="39"/>
      <c r="G171" s="39"/>
      <c r="H171" s="39"/>
      <c r="I171" s="39"/>
      <c r="J171" s="39"/>
      <c r="K171" s="39"/>
      <c r="L171" s="45"/>
      <c r="M171" s="45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 t="str">
        <f>'Agents'' Final Roster 0823-0829'!Z171</f>
        <v>CSV1</v>
      </c>
      <c r="AA171" s="39"/>
      <c r="AB171" s="39"/>
      <c r="AC171" s="39"/>
      <c r="AD171" s="39"/>
      <c r="AE171" s="39"/>
      <c r="AF171" s="39"/>
      <c r="AG171" s="39"/>
      <c r="AH171" s="39"/>
      <c r="AI171" s="39"/>
      <c r="AJ171" s="46"/>
      <c r="AK171" s="46"/>
      <c r="AL171" s="47"/>
      <c r="AM171" s="52"/>
      <c r="AN171" s="53"/>
      <c r="AO171" s="50"/>
    </row>
    <row r="172" spans="1:41" x14ac:dyDescent="0.25">
      <c r="A172" s="44" t="str">
        <f>'Agents'' Final Roster 0823-0829'!A172</f>
        <v>Ortiz Jose María</v>
      </c>
      <c r="B172" s="39" t="str">
        <f>'Agents'' Final Roster 0823-0829'!B172</f>
        <v>Gerez Andrea Soledad</v>
      </c>
      <c r="C172" s="39" t="str">
        <f>'Agents'' Final Roster 0823-0829'!C172</f>
        <v>Suarez Yapura</v>
      </c>
      <c r="D172" s="39" t="str">
        <f>'Agents'' Final Roster 0823-0829'!D172</f>
        <v>Agostina</v>
      </c>
      <c r="E172" s="39"/>
      <c r="F172" s="39"/>
      <c r="G172" s="39"/>
      <c r="H172" s="39"/>
      <c r="I172" s="39"/>
      <c r="J172" s="39"/>
      <c r="K172" s="39"/>
      <c r="L172" s="45"/>
      <c r="M172" s="45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 t="str">
        <f>'Agents'' Final Roster 0823-0829'!Z172</f>
        <v>DVH</v>
      </c>
      <c r="AA172" s="39"/>
      <c r="AB172" s="39"/>
      <c r="AC172" s="39"/>
      <c r="AD172" s="39"/>
      <c r="AE172" s="39"/>
      <c r="AF172" s="39"/>
      <c r="AG172" s="39"/>
      <c r="AH172" s="39"/>
      <c r="AI172" s="39"/>
      <c r="AJ172" s="46"/>
      <c r="AK172" s="46"/>
      <c r="AL172" s="47"/>
      <c r="AM172" s="52"/>
      <c r="AN172" s="53"/>
      <c r="AO172" s="50"/>
    </row>
    <row r="173" spans="1:41" x14ac:dyDescent="0.25">
      <c r="A173" s="69" t="str">
        <f>'Agents'' Final Roster 0823-0829'!A173</f>
        <v>Ortiz Jose María</v>
      </c>
      <c r="B173" s="70" t="str">
        <f>'Agents'' Final Roster 0823-0829'!B173</f>
        <v>Gerez Andrea Soledad</v>
      </c>
      <c r="C173" s="70" t="str">
        <f>'Agents'' Final Roster 0823-0829'!C173</f>
        <v>Tula</v>
      </c>
      <c r="D173" s="70" t="str">
        <f>'Agents'' Final Roster 0823-0829'!D173</f>
        <v>Luciana Belen</v>
      </c>
      <c r="E173" s="70"/>
      <c r="F173" s="70"/>
      <c r="G173" s="70"/>
      <c r="H173" s="70"/>
      <c r="I173" s="70"/>
      <c r="J173" s="70"/>
      <c r="K173" s="39"/>
      <c r="L173" s="45"/>
      <c r="M173" s="45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 t="str">
        <f>'Agents'' Final Roster 0823-0829'!Z173</f>
        <v>DVH</v>
      </c>
      <c r="AA173" s="39"/>
      <c r="AB173" s="39"/>
      <c r="AC173" s="39"/>
      <c r="AD173" s="39"/>
      <c r="AE173" s="39"/>
      <c r="AF173" s="39"/>
      <c r="AG173" s="39"/>
      <c r="AH173" s="39"/>
      <c r="AI173" s="39"/>
      <c r="AJ173" s="46"/>
      <c r="AK173" s="46"/>
      <c r="AL173" s="47"/>
      <c r="AM173" s="52"/>
      <c r="AN173" s="53"/>
      <c r="AO173" s="50"/>
    </row>
    <row r="174" spans="1:41" x14ac:dyDescent="0.25">
      <c r="A174" s="44" t="str">
        <f>'Agents'' Final Roster 0823-0829'!A174</f>
        <v>Ortiz Jose María</v>
      </c>
      <c r="B174" s="39" t="str">
        <f>'Agents'' Final Roster 0823-0829'!B174</f>
        <v>Gerez Andrea Soledad</v>
      </c>
      <c r="C174" s="39" t="str">
        <f>'Agents'' Final Roster 0823-0829'!C174</f>
        <v>Visuara</v>
      </c>
      <c r="D174" s="39" t="str">
        <f>'Agents'' Final Roster 0823-0829'!D174</f>
        <v>Alberto Nicolas Emanuel</v>
      </c>
      <c r="E174" s="39"/>
      <c r="F174" s="39"/>
      <c r="G174" s="39"/>
      <c r="H174" s="39"/>
      <c r="I174" s="39"/>
      <c r="J174" s="39"/>
      <c r="K174" s="39"/>
      <c r="L174" s="45"/>
      <c r="M174" s="45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 t="str">
        <f>'Agents'' Final Roster 0823-0829'!Z174</f>
        <v>CSV1</v>
      </c>
      <c r="AA174" s="39"/>
      <c r="AB174" s="39"/>
      <c r="AC174" s="39"/>
      <c r="AD174" s="39"/>
      <c r="AE174" s="39"/>
      <c r="AF174" s="39"/>
      <c r="AG174" s="39"/>
      <c r="AH174" s="39"/>
      <c r="AI174" s="39"/>
      <c r="AJ174" s="46"/>
      <c r="AK174" s="46"/>
      <c r="AL174" s="47"/>
      <c r="AM174" s="52"/>
      <c r="AN174" s="53"/>
      <c r="AO174" s="50"/>
    </row>
    <row r="175" spans="1:41" x14ac:dyDescent="0.25">
      <c r="A175" s="44" t="str">
        <f>'Agents'' Final Roster 0823-0829'!A175</f>
        <v>Ortiz Jose María</v>
      </c>
      <c r="B175" s="39" t="str">
        <f>'Agents'' Final Roster 0823-0829'!B175</f>
        <v>Gerez Andrea Soledad</v>
      </c>
      <c r="C175" s="39" t="str">
        <f>'Agents'' Final Roster 0823-0829'!C175</f>
        <v>Vizgarra</v>
      </c>
      <c r="D175" s="39" t="str">
        <f>'Agents'' Final Roster 0823-0829'!D175</f>
        <v>Valentina Ercilia</v>
      </c>
      <c r="E175" s="39"/>
      <c r="F175" s="39"/>
      <c r="G175" s="39"/>
      <c r="H175" s="39"/>
      <c r="I175" s="39"/>
      <c r="J175" s="39"/>
      <c r="K175" s="39"/>
      <c r="L175" s="45"/>
      <c r="M175" s="45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 t="str">
        <f>'Agents'' Final Roster 0823-0829'!Z175</f>
        <v>CSV2</v>
      </c>
      <c r="AA175" s="39"/>
      <c r="AB175" s="39"/>
      <c r="AC175" s="39"/>
      <c r="AD175" s="39"/>
      <c r="AE175" s="39"/>
      <c r="AF175" s="39"/>
      <c r="AG175" s="39"/>
      <c r="AH175" s="39"/>
      <c r="AI175" s="39"/>
      <c r="AJ175" s="46"/>
      <c r="AK175" s="46"/>
      <c r="AL175" s="47"/>
      <c r="AM175" s="52"/>
      <c r="AN175" s="53"/>
      <c r="AO175" s="50"/>
    </row>
    <row r="176" spans="1:41" x14ac:dyDescent="0.25">
      <c r="A176" s="44" t="str">
        <f>'Agents'' Final Roster 0823-0829'!A176</f>
        <v>Ortiz Jose María</v>
      </c>
      <c r="B176" s="39" t="str">
        <f>'Agents'' Final Roster 0823-0829'!B176</f>
        <v>Gerez Andrea Soledad</v>
      </c>
      <c r="C176" s="39" t="str">
        <f>'Agents'' Final Roster 0823-0829'!C176</f>
        <v>Zerrizuela</v>
      </c>
      <c r="D176" s="39" t="str">
        <f>'Agents'' Final Roster 0823-0829'!D176</f>
        <v>Mariana Agostina</v>
      </c>
      <c r="E176" s="39"/>
      <c r="F176" s="39"/>
      <c r="G176" s="39"/>
      <c r="H176" s="39"/>
      <c r="I176" s="39"/>
      <c r="J176" s="39"/>
      <c r="K176" s="39"/>
      <c r="L176" s="45"/>
      <c r="M176" s="45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 t="str">
        <f>'Agents'' Final Roster 0823-0829'!Z176</f>
        <v>CSV1</v>
      </c>
      <c r="AA176" s="39"/>
      <c r="AB176" s="39"/>
      <c r="AC176" s="39"/>
      <c r="AD176" s="39"/>
      <c r="AE176" s="39"/>
      <c r="AF176" s="39"/>
      <c r="AG176" s="39"/>
      <c r="AH176" s="39"/>
      <c r="AI176" s="39"/>
      <c r="AJ176" s="46"/>
      <c r="AK176" s="46"/>
      <c r="AL176" s="47"/>
      <c r="AM176" s="52"/>
      <c r="AN176" s="53"/>
      <c r="AO176" s="50"/>
    </row>
    <row r="177" spans="1:41" x14ac:dyDescent="0.25">
      <c r="A177" s="42" t="str">
        <f>'Agents'' Final Roster 0823-0829'!A177</f>
        <v>Ortiz Jose María</v>
      </c>
      <c r="B177" s="41" t="str">
        <f>'Agents'' Final Roster 0823-0829'!B177</f>
        <v>Gerez Andrea Soledad</v>
      </c>
      <c r="C177" s="41" t="str">
        <f>'Agents'' Final Roster 0823-0829'!C177</f>
        <v>Zottoli</v>
      </c>
      <c r="D177" s="41" t="str">
        <f>'Agents'' Final Roster 0823-0829'!D177</f>
        <v>Gonzalo</v>
      </c>
      <c r="E177" s="41"/>
      <c r="F177" s="41"/>
      <c r="G177" s="41"/>
      <c r="H177" s="41"/>
      <c r="I177" s="41"/>
      <c r="J177" s="41"/>
      <c r="K177" s="41"/>
      <c r="L177" s="45"/>
      <c r="M177" s="45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 t="str">
        <f>'Agents'' Final Roster 0823-0829'!Z177</f>
        <v>CSV1</v>
      </c>
      <c r="AA177" s="39"/>
      <c r="AB177" s="39"/>
      <c r="AC177" s="39"/>
      <c r="AD177" s="39"/>
      <c r="AE177" s="39"/>
      <c r="AF177" s="39"/>
      <c r="AG177" s="39"/>
      <c r="AH177" s="39"/>
      <c r="AI177" s="39"/>
      <c r="AJ177" s="46"/>
      <c r="AK177" s="46"/>
      <c r="AL177" s="46"/>
      <c r="AM177" s="52"/>
      <c r="AN177" s="53"/>
      <c r="AO177" s="50"/>
    </row>
    <row r="178" spans="1:41" x14ac:dyDescent="0.25">
      <c r="A178" s="44" t="str">
        <f>'Agents'' Final Roster 0823-0829'!A178</f>
        <v>Perez Zitzke Agustina</v>
      </c>
      <c r="B178" s="39" t="str">
        <f>'Agents'' Final Roster 0823-0829'!B178</f>
        <v>Palomino Juan Pablo</v>
      </c>
      <c r="C178" s="39" t="str">
        <f>'Agents'' Final Roster 0823-0829'!C178</f>
        <v>Almaraz</v>
      </c>
      <c r="D178" s="39" t="str">
        <f>'Agents'' Final Roster 0823-0829'!D178</f>
        <v>Leonela María del Valle</v>
      </c>
      <c r="E178" s="39"/>
      <c r="F178" s="39"/>
      <c r="G178" s="39"/>
      <c r="H178" s="39"/>
      <c r="I178" s="39"/>
      <c r="J178" s="39"/>
      <c r="K178" s="39"/>
      <c r="L178" s="45"/>
      <c r="M178" s="45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 t="str">
        <f>'Agents'' Final Roster 0823-0829'!Z178</f>
        <v>CSV1</v>
      </c>
      <c r="AA178" s="39"/>
      <c r="AB178" s="39"/>
      <c r="AC178" s="39"/>
      <c r="AD178" s="39"/>
      <c r="AE178" s="39"/>
      <c r="AF178" s="39"/>
      <c r="AG178" s="39"/>
      <c r="AH178" s="39"/>
      <c r="AI178" s="39"/>
      <c r="AJ178" s="46"/>
      <c r="AK178" s="46"/>
      <c r="AL178" s="47"/>
      <c r="AM178" s="52"/>
      <c r="AN178" s="53"/>
      <c r="AO178" s="50"/>
    </row>
    <row r="179" spans="1:41" x14ac:dyDescent="0.25">
      <c r="A179" s="44" t="str">
        <f>'Agents'' Final Roster 0823-0829'!A179</f>
        <v>Perez Zitzke Agustina</v>
      </c>
      <c r="B179" s="39" t="str">
        <f>'Agents'' Final Roster 0823-0829'!B179</f>
        <v>Palomino Juan Pablo</v>
      </c>
      <c r="C179" s="39" t="str">
        <f>'Agents'' Final Roster 0823-0829'!C179</f>
        <v>Martinez Lorenzo</v>
      </c>
      <c r="D179" s="39" t="str">
        <f>'Agents'' Final Roster 0823-0829'!D179</f>
        <v>Nayla Ayelen</v>
      </c>
      <c r="E179" s="39"/>
      <c r="F179" s="39"/>
      <c r="G179" s="39"/>
      <c r="H179" s="39"/>
      <c r="I179" s="39"/>
      <c r="J179" s="39"/>
      <c r="K179" s="39"/>
      <c r="L179" s="45"/>
      <c r="M179" s="45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 t="str">
        <f>'Agents'' Final Roster 0823-0829'!Z179</f>
        <v>CSV1</v>
      </c>
      <c r="AA179" s="39"/>
      <c r="AB179" s="39"/>
      <c r="AC179" s="39"/>
      <c r="AD179" s="39"/>
      <c r="AE179" s="39"/>
      <c r="AF179" s="39"/>
      <c r="AG179" s="39"/>
      <c r="AH179" s="39"/>
      <c r="AI179" s="39"/>
      <c r="AJ179" s="46"/>
      <c r="AK179" s="46"/>
      <c r="AL179" s="47"/>
      <c r="AM179" s="52"/>
      <c r="AN179" s="53"/>
      <c r="AO179" s="50"/>
    </row>
    <row r="180" spans="1:41" x14ac:dyDescent="0.25">
      <c r="A180" s="44" t="str">
        <f>'Agents'' Final Roster 0823-0829'!A180</f>
        <v>Perez Zitzke Agustina</v>
      </c>
      <c r="B180" s="39" t="str">
        <f>'Agents'' Final Roster 0823-0829'!B180</f>
        <v>Villa Aleman Alejandro Roberto</v>
      </c>
      <c r="C180" s="39" t="str">
        <f>'Agents'' Final Roster 0823-0829'!C180</f>
        <v>Emeterio Toscano</v>
      </c>
      <c r="D180" s="39" t="str">
        <f>'Agents'' Final Roster 0823-0829'!D180</f>
        <v>Anabela</v>
      </c>
      <c r="E180" s="39"/>
      <c r="F180" s="39"/>
      <c r="G180" s="39"/>
      <c r="H180" s="39"/>
      <c r="I180" s="39"/>
      <c r="J180" s="39"/>
      <c r="K180" s="39"/>
      <c r="L180" s="45"/>
      <c r="M180" s="45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 t="str">
        <f>'Agents'' Final Roster 0823-0829'!Z180</f>
        <v>CSV2</v>
      </c>
      <c r="AA180" s="39"/>
      <c r="AB180" s="39"/>
      <c r="AC180" s="39"/>
      <c r="AD180" s="39"/>
      <c r="AE180" s="39"/>
      <c r="AF180" s="39"/>
      <c r="AG180" s="39"/>
      <c r="AH180" s="39"/>
      <c r="AI180" s="39"/>
      <c r="AJ180" s="46"/>
      <c r="AK180" s="46"/>
      <c r="AL180" s="47"/>
      <c r="AM180" s="52"/>
      <c r="AN180" s="53"/>
      <c r="AO180" s="50"/>
    </row>
    <row r="181" spans="1:41" x14ac:dyDescent="0.25">
      <c r="A181" s="44" t="str">
        <f>'Agents'' Final Roster 0823-0829'!A181</f>
        <v>Perez Zitzke Agustina</v>
      </c>
      <c r="B181" s="39" t="str">
        <f>'Agents'' Final Roster 0823-0829'!B181</f>
        <v>Villa Aleman Alejandro Roberto</v>
      </c>
      <c r="C181" s="39" t="str">
        <f>'Agents'' Final Roster 0823-0829'!C181</f>
        <v>Gonzalez</v>
      </c>
      <c r="D181" s="39" t="str">
        <f>'Agents'' Final Roster 0823-0829'!D181</f>
        <v>Cristian Daniel Antonio</v>
      </c>
      <c r="E181" s="39"/>
      <c r="F181" s="39"/>
      <c r="G181" s="39"/>
      <c r="H181" s="39"/>
      <c r="I181" s="39"/>
      <c r="J181" s="39"/>
      <c r="K181" s="39"/>
      <c r="L181" s="45"/>
      <c r="M181" s="45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 t="str">
        <f>'Agents'' Final Roster 0823-0829'!Z181</f>
        <v>CSV2</v>
      </c>
      <c r="AA181" s="39"/>
      <c r="AB181" s="39"/>
      <c r="AC181" s="39"/>
      <c r="AD181" s="39"/>
      <c r="AE181" s="39"/>
      <c r="AF181" s="39"/>
      <c r="AG181" s="39"/>
      <c r="AH181" s="39"/>
      <c r="AI181" s="39"/>
      <c r="AJ181" s="46"/>
      <c r="AK181" s="46"/>
      <c r="AL181" s="47"/>
      <c r="AM181" s="52"/>
      <c r="AN181" s="53"/>
      <c r="AO181" s="50"/>
    </row>
    <row r="182" spans="1:41" x14ac:dyDescent="0.25">
      <c r="A182" s="44" t="str">
        <f>'Agents'' Final Roster 0823-0829'!A182</f>
        <v>Ortiz Jose María</v>
      </c>
      <c r="B182" s="39" t="str">
        <f>'Agents'' Final Roster 0823-0829'!B182</f>
        <v>Silva Gabriel Alberto</v>
      </c>
      <c r="C182" s="39" t="str">
        <f>'Agents'' Final Roster 0823-0829'!C182</f>
        <v>Orellana</v>
      </c>
      <c r="D182" s="39" t="str">
        <f>'Agents'' Final Roster 0823-0829'!D182</f>
        <v>Maria Cecilia</v>
      </c>
      <c r="E182" s="39"/>
      <c r="F182" s="39"/>
      <c r="G182" s="39"/>
      <c r="H182" s="39"/>
      <c r="I182" s="39"/>
      <c r="J182" s="39"/>
      <c r="K182" s="39"/>
      <c r="L182" s="45"/>
      <c r="M182" s="45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 t="str">
        <f>'Agents'' Final Roster 0823-0829'!Z182</f>
        <v>DVH</v>
      </c>
      <c r="AA182" s="39"/>
      <c r="AB182" s="39"/>
      <c r="AC182" s="39"/>
      <c r="AD182" s="39"/>
      <c r="AE182" s="39"/>
      <c r="AF182" s="39"/>
      <c r="AG182" s="39"/>
      <c r="AH182" s="39"/>
      <c r="AI182" s="39"/>
      <c r="AJ182" s="46"/>
      <c r="AK182" s="46"/>
      <c r="AL182" s="47"/>
      <c r="AM182" s="52"/>
      <c r="AN182" s="53"/>
      <c r="AO182" s="50"/>
    </row>
    <row r="183" spans="1:41" x14ac:dyDescent="0.25">
      <c r="A183" s="44" t="str">
        <f>'Agents'' Final Roster 0823-0829'!A183</f>
        <v>Perez Zitzke Agustina</v>
      </c>
      <c r="B183" s="39" t="str">
        <f>'Agents'' Final Roster 0823-0829'!B183</f>
        <v>Villa Aleman Alejandro Roberto</v>
      </c>
      <c r="C183" s="39" t="str">
        <f>'Agents'' Final Roster 0823-0829'!C183</f>
        <v>Rojas</v>
      </c>
      <c r="D183" s="39" t="str">
        <f>'Agents'' Final Roster 0823-0829'!D183</f>
        <v>Maria Belen</v>
      </c>
      <c r="E183" s="39"/>
      <c r="F183" s="39"/>
      <c r="G183" s="39"/>
      <c r="H183" s="39"/>
      <c r="I183" s="39"/>
      <c r="J183" s="39"/>
      <c r="K183" s="39"/>
      <c r="L183" s="45"/>
      <c r="M183" s="45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 t="str">
        <f>'Agents'' Final Roster 0823-0829'!Z183</f>
        <v>CSV1</v>
      </c>
      <c r="AA183" s="39"/>
      <c r="AB183" s="39"/>
      <c r="AC183" s="39"/>
      <c r="AD183" s="39"/>
      <c r="AE183" s="39"/>
      <c r="AF183" s="39"/>
      <c r="AG183" s="39"/>
      <c r="AH183" s="39"/>
      <c r="AI183" s="39"/>
      <c r="AJ183" s="46"/>
      <c r="AK183" s="46"/>
      <c r="AL183" s="47"/>
      <c r="AM183" s="52"/>
      <c r="AN183" s="53"/>
      <c r="AO183" s="50"/>
    </row>
    <row r="184" spans="1:41" x14ac:dyDescent="0.25">
      <c r="A184" s="44" t="str">
        <f>'Agents'' Final Roster 0823-0829'!A184</f>
        <v>Perez Zitzke Agustina</v>
      </c>
      <c r="B184" s="39" t="str">
        <f>'Agents'' Final Roster 0823-0829'!B184</f>
        <v>Villa Aleman Alejandro Roberto</v>
      </c>
      <c r="C184" s="39" t="str">
        <f>'Agents'' Final Roster 0823-0829'!C184</f>
        <v>Teves</v>
      </c>
      <c r="D184" s="39" t="str">
        <f>'Agents'' Final Roster 0823-0829'!D184</f>
        <v>Emiliano Gabriel</v>
      </c>
      <c r="E184" s="39"/>
      <c r="F184" s="39"/>
      <c r="G184" s="39"/>
      <c r="H184" s="39"/>
      <c r="I184" s="39"/>
      <c r="J184" s="39"/>
      <c r="K184" s="39"/>
      <c r="L184" s="45"/>
      <c r="M184" s="45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 t="str">
        <f>'Agents'' Final Roster 0823-0829'!Z184</f>
        <v>DVH</v>
      </c>
      <c r="AA184" s="39"/>
      <c r="AB184" s="39"/>
      <c r="AC184" s="39"/>
      <c r="AD184" s="39"/>
      <c r="AE184" s="39"/>
      <c r="AF184" s="39"/>
      <c r="AG184" s="39"/>
      <c r="AH184" s="39"/>
      <c r="AI184" s="39"/>
      <c r="AJ184" s="46"/>
      <c r="AK184" s="46"/>
      <c r="AL184" s="47"/>
      <c r="AM184" s="52"/>
      <c r="AN184" s="53"/>
      <c r="AO184" s="50"/>
    </row>
    <row r="185" spans="1:41" x14ac:dyDescent="0.25">
      <c r="A185" s="44" t="e">
        <f>'Agents'' Final Roster 0823-0829'!#REF!</f>
        <v>#REF!</v>
      </c>
      <c r="B185" s="39" t="e">
        <f>'Agents'' Final Roster 0823-0829'!#REF!</f>
        <v>#REF!</v>
      </c>
      <c r="C185" s="39" t="e">
        <f>'Agents'' Final Roster 0823-0829'!#REF!</f>
        <v>#REF!</v>
      </c>
      <c r="D185" s="39" t="e">
        <f>'Agents'' Final Roster 0823-0829'!#REF!</f>
        <v>#REF!</v>
      </c>
      <c r="E185" s="39"/>
      <c r="F185" s="39"/>
      <c r="G185" s="39"/>
      <c r="H185" s="39"/>
      <c r="I185" s="39"/>
      <c r="J185" s="39"/>
      <c r="K185" s="39"/>
      <c r="L185" s="45"/>
      <c r="M185" s="45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 t="e">
        <f>'Agents'' Final Roster 0823-0829'!#REF!</f>
        <v>#REF!</v>
      </c>
      <c r="AA185" s="39"/>
      <c r="AB185" s="39"/>
      <c r="AC185" s="39"/>
      <c r="AD185" s="39"/>
      <c r="AE185" s="39"/>
      <c r="AF185" s="39"/>
      <c r="AG185" s="39"/>
      <c r="AH185" s="39"/>
      <c r="AI185" s="39"/>
      <c r="AJ185" s="46"/>
      <c r="AK185" s="46"/>
      <c r="AL185" s="47"/>
      <c r="AM185" s="52"/>
      <c r="AN185" s="53"/>
      <c r="AO185" s="50"/>
    </row>
    <row r="186" spans="1:41" x14ac:dyDescent="0.25">
      <c r="A186" s="69" t="e">
        <f>'Agents'' Final Roster 0823-0829'!#REF!</f>
        <v>#REF!</v>
      </c>
      <c r="B186" s="70" t="e">
        <f>'Agents'' Final Roster 0823-0829'!#REF!</f>
        <v>#REF!</v>
      </c>
      <c r="C186" s="70" t="e">
        <f>'Agents'' Final Roster 0823-0829'!#REF!</f>
        <v>#REF!</v>
      </c>
      <c r="D186" s="70" t="e">
        <f>'Agents'' Final Roster 0823-0829'!#REF!</f>
        <v>#REF!</v>
      </c>
      <c r="E186" s="70"/>
      <c r="F186" s="70"/>
      <c r="G186" s="70"/>
      <c r="H186" s="70"/>
      <c r="I186" s="70"/>
      <c r="J186" s="70"/>
      <c r="K186" s="39"/>
      <c r="L186" s="45"/>
      <c r="M186" s="45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 t="e">
        <f>'Agents'' Final Roster 0823-0829'!#REF!</f>
        <v>#REF!</v>
      </c>
      <c r="AA186" s="39"/>
      <c r="AB186" s="39"/>
      <c r="AC186" s="39"/>
      <c r="AD186" s="39"/>
      <c r="AE186" s="39"/>
      <c r="AF186" s="39"/>
      <c r="AG186" s="39"/>
      <c r="AH186" s="39"/>
      <c r="AI186" s="39"/>
      <c r="AJ186" s="46"/>
      <c r="AK186" s="46"/>
      <c r="AL186" s="47"/>
      <c r="AM186" s="52"/>
      <c r="AN186" s="53"/>
      <c r="AO186" s="50"/>
    </row>
    <row r="187" spans="1:41" x14ac:dyDescent="0.25">
      <c r="A187" s="44" t="e">
        <f>'Agents'' Final Roster 0823-0829'!#REF!</f>
        <v>#REF!</v>
      </c>
      <c r="B187" s="39" t="e">
        <f>'Agents'' Final Roster 0823-0829'!#REF!</f>
        <v>#REF!</v>
      </c>
      <c r="C187" s="39" t="e">
        <f>'Agents'' Final Roster 0823-0829'!#REF!</f>
        <v>#REF!</v>
      </c>
      <c r="D187" s="39" t="e">
        <f>'Agents'' Final Roster 0823-0829'!#REF!</f>
        <v>#REF!</v>
      </c>
      <c r="E187" s="39"/>
      <c r="F187" s="39"/>
      <c r="G187" s="39"/>
      <c r="H187" s="39"/>
      <c r="I187" s="39"/>
      <c r="J187" s="39"/>
      <c r="K187" s="39"/>
      <c r="L187" s="45"/>
      <c r="M187" s="45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 t="e">
        <f>'Agents'' Final Roster 0823-0829'!#REF!</f>
        <v>#REF!</v>
      </c>
      <c r="AA187" s="39"/>
      <c r="AB187" s="39"/>
      <c r="AC187" s="39"/>
      <c r="AD187" s="39"/>
      <c r="AE187" s="39"/>
      <c r="AF187" s="39"/>
      <c r="AG187" s="39"/>
      <c r="AH187" s="39"/>
      <c r="AI187" s="39"/>
      <c r="AJ187" s="46"/>
      <c r="AK187" s="46"/>
      <c r="AL187" s="47"/>
      <c r="AM187" s="52"/>
      <c r="AN187" s="53"/>
      <c r="AO187" s="50"/>
    </row>
    <row r="188" spans="1:41" x14ac:dyDescent="0.25">
      <c r="A188" s="69" t="e">
        <f>'Agents'' Final Roster 0823-0829'!#REF!</f>
        <v>#REF!</v>
      </c>
      <c r="B188" s="70" t="e">
        <f>'Agents'' Final Roster 0823-0829'!#REF!</f>
        <v>#REF!</v>
      </c>
      <c r="C188" s="70" t="e">
        <f>'Agents'' Final Roster 0823-0829'!#REF!</f>
        <v>#REF!</v>
      </c>
      <c r="D188" s="70" t="e">
        <f>'Agents'' Final Roster 0823-0829'!#REF!</f>
        <v>#REF!</v>
      </c>
      <c r="E188" s="70"/>
      <c r="F188" s="70"/>
      <c r="G188" s="70"/>
      <c r="H188" s="70"/>
      <c r="I188" s="70"/>
      <c r="J188" s="70"/>
      <c r="K188" s="39"/>
      <c r="L188" s="45"/>
      <c r="M188" s="45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 t="e">
        <f>'Agents'' Final Roster 0823-0829'!#REF!</f>
        <v>#REF!</v>
      </c>
      <c r="AA188" s="39"/>
      <c r="AB188" s="39"/>
      <c r="AC188" s="39"/>
      <c r="AD188" s="39"/>
      <c r="AE188" s="39"/>
      <c r="AF188" s="39"/>
      <c r="AG188" s="39"/>
      <c r="AH188" s="39"/>
      <c r="AI188" s="39"/>
      <c r="AJ188" s="46"/>
      <c r="AK188" s="46"/>
      <c r="AL188" s="47"/>
      <c r="AM188" s="52"/>
      <c r="AN188" s="53"/>
      <c r="AO188" s="50"/>
    </row>
    <row r="189" spans="1:41" x14ac:dyDescent="0.25">
      <c r="A189" s="42" t="e">
        <f>'Agents'' Final Roster 0823-0829'!#REF!</f>
        <v>#REF!</v>
      </c>
      <c r="B189" s="41" t="e">
        <f>'Agents'' Final Roster 0823-0829'!#REF!</f>
        <v>#REF!</v>
      </c>
      <c r="C189" s="41" t="e">
        <f>'Agents'' Final Roster 0823-0829'!#REF!</f>
        <v>#REF!</v>
      </c>
      <c r="D189" s="41" t="e">
        <f>'Agents'' Final Roster 0823-0829'!#REF!</f>
        <v>#REF!</v>
      </c>
      <c r="E189" s="41"/>
      <c r="F189" s="41"/>
      <c r="G189" s="41"/>
      <c r="H189" s="41"/>
      <c r="I189" s="41"/>
      <c r="J189" s="41"/>
      <c r="K189" s="41"/>
      <c r="L189" s="45"/>
      <c r="M189" s="45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 t="e">
        <f>'Agents'' Final Roster 0823-0829'!#REF!</f>
        <v>#REF!</v>
      </c>
      <c r="AA189" s="39"/>
      <c r="AB189" s="39"/>
      <c r="AC189" s="39"/>
      <c r="AD189" s="39"/>
      <c r="AE189" s="39"/>
      <c r="AF189" s="39"/>
      <c r="AG189" s="39"/>
      <c r="AH189" s="39"/>
      <c r="AI189" s="39"/>
      <c r="AJ189" s="46"/>
      <c r="AK189" s="46"/>
      <c r="AL189" s="47"/>
      <c r="AM189" s="52"/>
      <c r="AN189" s="53"/>
      <c r="AO189" s="50"/>
    </row>
    <row r="190" spans="1:41" x14ac:dyDescent="0.25">
      <c r="A190" s="42" t="e">
        <f>'Agents'' Final Roster 0823-0829'!#REF!</f>
        <v>#REF!</v>
      </c>
      <c r="B190" s="41" t="e">
        <f>'Agents'' Final Roster 0823-0829'!#REF!</f>
        <v>#REF!</v>
      </c>
      <c r="C190" s="41" t="e">
        <f>'Agents'' Final Roster 0823-0829'!#REF!</f>
        <v>#REF!</v>
      </c>
      <c r="D190" s="41" t="e">
        <f>'Agents'' Final Roster 0823-0829'!#REF!</f>
        <v>#REF!</v>
      </c>
      <c r="E190" s="41"/>
      <c r="F190" s="41"/>
      <c r="G190" s="41"/>
      <c r="H190" s="41"/>
      <c r="I190" s="41"/>
      <c r="J190" s="41"/>
      <c r="K190" s="41"/>
      <c r="L190" s="45"/>
      <c r="M190" s="45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 t="e">
        <f>'Agents'' Final Roster 0823-0829'!#REF!</f>
        <v>#REF!</v>
      </c>
      <c r="AA190" s="39"/>
      <c r="AB190" s="39"/>
      <c r="AC190" s="39"/>
      <c r="AD190" s="39"/>
      <c r="AE190" s="39"/>
      <c r="AF190" s="39"/>
      <c r="AG190" s="39"/>
      <c r="AH190" s="39"/>
      <c r="AI190" s="39"/>
      <c r="AJ190" s="46"/>
      <c r="AK190" s="46"/>
      <c r="AL190" s="47"/>
      <c r="AM190" s="52"/>
      <c r="AN190" s="53"/>
      <c r="AO190" s="50"/>
    </row>
    <row r="191" spans="1:41" x14ac:dyDescent="0.25">
      <c r="A191" s="44" t="e">
        <f>'Agents'' Final Roster 0823-0829'!#REF!</f>
        <v>#REF!</v>
      </c>
      <c r="B191" s="39" t="e">
        <f>'Agents'' Final Roster 0823-0829'!#REF!</f>
        <v>#REF!</v>
      </c>
      <c r="C191" s="39" t="e">
        <f>'Agents'' Final Roster 0823-0829'!#REF!</f>
        <v>#REF!</v>
      </c>
      <c r="D191" s="39" t="e">
        <f>'Agents'' Final Roster 0823-0829'!#REF!</f>
        <v>#REF!</v>
      </c>
      <c r="E191" s="39"/>
      <c r="F191" s="39"/>
      <c r="G191" s="39"/>
      <c r="H191" s="39"/>
      <c r="I191" s="39"/>
      <c r="J191" s="39"/>
      <c r="K191" s="39"/>
      <c r="L191" s="45"/>
      <c r="M191" s="45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 t="e">
        <f>'Agents'' Final Roster 0823-0829'!#REF!</f>
        <v>#REF!</v>
      </c>
      <c r="AA191" s="39"/>
      <c r="AB191" s="39"/>
      <c r="AC191" s="39"/>
      <c r="AD191" s="39"/>
      <c r="AE191" s="39"/>
      <c r="AF191" s="39"/>
      <c r="AG191" s="39"/>
      <c r="AH191" s="39"/>
      <c r="AI191" s="39"/>
      <c r="AJ191" s="46"/>
      <c r="AK191" s="46"/>
      <c r="AL191" s="46"/>
      <c r="AM191" s="52"/>
      <c r="AN191" s="53"/>
      <c r="AO191" s="50"/>
    </row>
    <row r="192" spans="1:41" x14ac:dyDescent="0.25">
      <c r="A192" s="44" t="e">
        <f>'Agents'' Final Roster 0823-0829'!#REF!</f>
        <v>#REF!</v>
      </c>
      <c r="B192" s="39" t="e">
        <f>'Agents'' Final Roster 0823-0829'!#REF!</f>
        <v>#REF!</v>
      </c>
      <c r="C192" s="39" t="e">
        <f>'Agents'' Final Roster 0823-0829'!#REF!</f>
        <v>#REF!</v>
      </c>
      <c r="D192" s="39" t="e">
        <f>'Agents'' Final Roster 0823-0829'!#REF!</f>
        <v>#REF!</v>
      </c>
      <c r="E192" s="39"/>
      <c r="F192" s="39"/>
      <c r="G192" s="39"/>
      <c r="H192" s="39"/>
      <c r="I192" s="39"/>
      <c r="J192" s="39"/>
      <c r="K192" s="39"/>
      <c r="L192" s="45"/>
      <c r="M192" s="45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 t="e">
        <f>'Agents'' Final Roster 0823-0829'!#REF!</f>
        <v>#REF!</v>
      </c>
      <c r="AA192" s="39"/>
      <c r="AB192" s="39"/>
      <c r="AC192" s="39"/>
      <c r="AD192" s="39"/>
      <c r="AE192" s="39"/>
      <c r="AF192" s="39"/>
      <c r="AG192" s="39"/>
      <c r="AH192" s="39"/>
      <c r="AI192" s="39"/>
      <c r="AJ192" s="46"/>
      <c r="AK192" s="46"/>
      <c r="AL192" s="47"/>
      <c r="AM192" s="52"/>
      <c r="AN192" s="53"/>
      <c r="AO192" s="50"/>
    </row>
    <row r="193" spans="1:41" x14ac:dyDescent="0.25">
      <c r="A193" s="42" t="e">
        <f>'Agents'' Final Roster 0823-0829'!#REF!</f>
        <v>#REF!</v>
      </c>
      <c r="B193" s="41" t="e">
        <f>'Agents'' Final Roster 0823-0829'!#REF!</f>
        <v>#REF!</v>
      </c>
      <c r="C193" s="41" t="e">
        <f>'Agents'' Final Roster 0823-0829'!#REF!</f>
        <v>#REF!</v>
      </c>
      <c r="D193" s="41" t="e">
        <f>'Agents'' Final Roster 0823-0829'!#REF!</f>
        <v>#REF!</v>
      </c>
      <c r="E193" s="41"/>
      <c r="F193" s="41"/>
      <c r="G193" s="41"/>
      <c r="H193" s="41"/>
      <c r="I193" s="41"/>
      <c r="J193" s="41"/>
      <c r="K193" s="41"/>
      <c r="L193" s="45"/>
      <c r="M193" s="45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 t="e">
        <f>'Agents'' Final Roster 0823-0829'!#REF!</f>
        <v>#REF!</v>
      </c>
      <c r="AA193" s="39"/>
      <c r="AB193" s="39"/>
      <c r="AC193" s="39"/>
      <c r="AD193" s="39"/>
      <c r="AE193" s="39"/>
      <c r="AF193" s="39"/>
      <c r="AG193" s="39"/>
      <c r="AH193" s="39"/>
      <c r="AI193" s="39"/>
      <c r="AJ193" s="46"/>
      <c r="AK193" s="46"/>
      <c r="AL193" s="47"/>
      <c r="AM193" s="52"/>
      <c r="AN193" s="53"/>
      <c r="AO193" s="50"/>
    </row>
    <row r="194" spans="1:41" x14ac:dyDescent="0.25">
      <c r="A194" s="44" t="e">
        <f>'Agents'' Final Roster 0823-0829'!#REF!</f>
        <v>#REF!</v>
      </c>
      <c r="B194" s="39" t="e">
        <f>'Agents'' Final Roster 0823-0829'!#REF!</f>
        <v>#REF!</v>
      </c>
      <c r="C194" s="39" t="e">
        <f>'Agents'' Final Roster 0823-0829'!#REF!</f>
        <v>#REF!</v>
      </c>
      <c r="D194" s="39" t="e">
        <f>'Agents'' Final Roster 0823-0829'!#REF!</f>
        <v>#REF!</v>
      </c>
      <c r="E194" s="39"/>
      <c r="F194" s="39"/>
      <c r="G194" s="39"/>
      <c r="H194" s="39"/>
      <c r="I194" s="39"/>
      <c r="J194" s="39"/>
      <c r="K194" s="39"/>
      <c r="L194" s="45"/>
      <c r="M194" s="45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 t="e">
        <f>'Agents'' Final Roster 0823-0829'!#REF!</f>
        <v>#REF!</v>
      </c>
      <c r="AA194" s="39"/>
      <c r="AB194" s="39"/>
      <c r="AC194" s="39"/>
      <c r="AD194" s="39"/>
      <c r="AE194" s="39"/>
      <c r="AF194" s="39"/>
      <c r="AG194" s="39"/>
      <c r="AH194" s="39"/>
      <c r="AI194" s="39"/>
      <c r="AJ194" s="46"/>
      <c r="AK194" s="46"/>
      <c r="AL194" s="47"/>
      <c r="AM194" s="52"/>
      <c r="AN194" s="53"/>
      <c r="AO194" s="50"/>
    </row>
    <row r="195" spans="1:41" x14ac:dyDescent="0.25">
      <c r="A195" s="44" t="e">
        <f>'Agents'' Final Roster 0823-0829'!#REF!</f>
        <v>#REF!</v>
      </c>
      <c r="B195" s="39" t="e">
        <f>'Agents'' Final Roster 0823-0829'!#REF!</f>
        <v>#REF!</v>
      </c>
      <c r="C195" s="39" t="e">
        <f>'Agents'' Final Roster 0823-0829'!#REF!</f>
        <v>#REF!</v>
      </c>
      <c r="D195" s="39" t="e">
        <f>'Agents'' Final Roster 0823-0829'!#REF!</f>
        <v>#REF!</v>
      </c>
      <c r="E195" s="39"/>
      <c r="F195" s="39"/>
      <c r="G195" s="39"/>
      <c r="H195" s="39"/>
      <c r="I195" s="39"/>
      <c r="J195" s="39"/>
      <c r="K195" s="39"/>
      <c r="L195" s="45"/>
      <c r="M195" s="45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 t="e">
        <f>'Agents'' Final Roster 0823-0829'!#REF!</f>
        <v>#REF!</v>
      </c>
      <c r="AA195" s="39"/>
      <c r="AB195" s="39"/>
      <c r="AC195" s="39"/>
      <c r="AD195" s="39"/>
      <c r="AE195" s="39"/>
      <c r="AF195" s="39"/>
      <c r="AG195" s="39"/>
      <c r="AH195" s="39"/>
      <c r="AI195" s="39"/>
      <c r="AJ195" s="46"/>
      <c r="AK195" s="46"/>
      <c r="AL195" s="47"/>
      <c r="AM195" s="52"/>
      <c r="AN195" s="53"/>
      <c r="AO195" s="50"/>
    </row>
    <row r="196" spans="1:41" x14ac:dyDescent="0.25">
      <c r="A196" s="42" t="e">
        <f>'Agents'' Final Roster 0823-0829'!#REF!</f>
        <v>#REF!</v>
      </c>
      <c r="B196" s="41" t="e">
        <f>'Agents'' Final Roster 0823-0829'!#REF!</f>
        <v>#REF!</v>
      </c>
      <c r="C196" s="41" t="e">
        <f>'Agents'' Final Roster 0823-0829'!#REF!</f>
        <v>#REF!</v>
      </c>
      <c r="D196" s="41" t="e">
        <f>'Agents'' Final Roster 0823-0829'!#REF!</f>
        <v>#REF!</v>
      </c>
      <c r="E196" s="41"/>
      <c r="F196" s="41"/>
      <c r="G196" s="41"/>
      <c r="H196" s="41"/>
      <c r="I196" s="41"/>
      <c r="J196" s="41"/>
      <c r="K196" s="41"/>
      <c r="L196" s="45"/>
      <c r="M196" s="45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 t="e">
        <f>'Agents'' Final Roster 0823-0829'!#REF!</f>
        <v>#REF!</v>
      </c>
      <c r="AA196" s="39"/>
      <c r="AB196" s="39"/>
      <c r="AC196" s="39"/>
      <c r="AD196" s="39"/>
      <c r="AE196" s="39"/>
      <c r="AF196" s="39"/>
      <c r="AG196" s="39"/>
      <c r="AH196" s="39"/>
      <c r="AI196" s="39"/>
      <c r="AJ196" s="46"/>
      <c r="AK196" s="46"/>
      <c r="AL196" s="47"/>
      <c r="AM196" s="52"/>
      <c r="AN196" s="53"/>
      <c r="AO196" s="50"/>
    </row>
    <row r="197" spans="1:41" x14ac:dyDescent="0.25">
      <c r="A197" s="44" t="e">
        <f>'Agents'' Final Roster 0823-0829'!#REF!</f>
        <v>#REF!</v>
      </c>
      <c r="B197" s="39" t="e">
        <f>'Agents'' Final Roster 0823-0829'!#REF!</f>
        <v>#REF!</v>
      </c>
      <c r="C197" s="39" t="e">
        <f>'Agents'' Final Roster 0823-0829'!#REF!</f>
        <v>#REF!</v>
      </c>
      <c r="D197" s="39" t="e">
        <f>'Agents'' Final Roster 0823-0829'!#REF!</f>
        <v>#REF!</v>
      </c>
      <c r="E197" s="39"/>
      <c r="F197" s="39"/>
      <c r="G197" s="39"/>
      <c r="H197" s="39"/>
      <c r="I197" s="39"/>
      <c r="J197" s="39"/>
      <c r="K197" s="39"/>
      <c r="L197" s="45"/>
      <c r="M197" s="45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 t="e">
        <f>'Agents'' Final Roster 0823-0829'!#REF!</f>
        <v>#REF!</v>
      </c>
      <c r="AA197" s="39"/>
      <c r="AB197" s="39"/>
      <c r="AC197" s="39"/>
      <c r="AD197" s="39"/>
      <c r="AE197" s="39"/>
      <c r="AF197" s="39"/>
      <c r="AG197" s="39"/>
      <c r="AH197" s="39"/>
      <c r="AI197" s="39"/>
      <c r="AJ197" s="46"/>
      <c r="AK197" s="46"/>
      <c r="AL197" s="47"/>
      <c r="AM197" s="52"/>
      <c r="AN197" s="53"/>
      <c r="AO197" s="50"/>
    </row>
    <row r="198" spans="1:41" x14ac:dyDescent="0.25">
      <c r="A198" s="44" t="e">
        <f>'Agents'' Final Roster 0823-0829'!#REF!</f>
        <v>#REF!</v>
      </c>
      <c r="B198" s="39" t="e">
        <f>'Agents'' Final Roster 0823-0829'!#REF!</f>
        <v>#REF!</v>
      </c>
      <c r="C198" s="39" t="e">
        <f>'Agents'' Final Roster 0823-0829'!#REF!</f>
        <v>#REF!</v>
      </c>
      <c r="D198" s="39" t="e">
        <f>'Agents'' Final Roster 0823-0829'!#REF!</f>
        <v>#REF!</v>
      </c>
      <c r="E198" s="39"/>
      <c r="F198" s="39"/>
      <c r="G198" s="39"/>
      <c r="H198" s="39"/>
      <c r="I198" s="39"/>
      <c r="J198" s="39"/>
      <c r="K198" s="39"/>
      <c r="L198" s="45"/>
      <c r="M198" s="45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 t="e">
        <f>'Agents'' Final Roster 0823-0829'!#REF!</f>
        <v>#REF!</v>
      </c>
      <c r="AA198" s="39"/>
      <c r="AB198" s="39"/>
      <c r="AC198" s="39"/>
      <c r="AD198" s="39"/>
      <c r="AE198" s="39"/>
      <c r="AF198" s="39"/>
      <c r="AG198" s="39"/>
      <c r="AH198" s="39"/>
      <c r="AI198" s="39"/>
      <c r="AJ198" s="46"/>
      <c r="AK198" s="46"/>
      <c r="AL198" s="47"/>
      <c r="AM198" s="52"/>
      <c r="AN198" s="53"/>
      <c r="AO198" s="50"/>
    </row>
    <row r="199" spans="1:41" x14ac:dyDescent="0.25">
      <c r="A199" s="44" t="e">
        <f>'Agents'' Final Roster 0823-0829'!#REF!</f>
        <v>#REF!</v>
      </c>
      <c r="B199" s="39" t="e">
        <f>'Agents'' Final Roster 0823-0829'!#REF!</f>
        <v>#REF!</v>
      </c>
      <c r="C199" s="39" t="e">
        <f>'Agents'' Final Roster 0823-0829'!#REF!</f>
        <v>#REF!</v>
      </c>
      <c r="D199" s="39" t="e">
        <f>'Agents'' Final Roster 0823-0829'!#REF!</f>
        <v>#REF!</v>
      </c>
      <c r="E199" s="39"/>
      <c r="F199" s="39"/>
      <c r="G199" s="39"/>
      <c r="H199" s="39"/>
      <c r="I199" s="39"/>
      <c r="J199" s="39"/>
      <c r="K199" s="39"/>
      <c r="L199" s="45"/>
      <c r="M199" s="45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 t="e">
        <f>'Agents'' Final Roster 0823-0829'!#REF!</f>
        <v>#REF!</v>
      </c>
      <c r="AA199" s="39"/>
      <c r="AB199" s="39"/>
      <c r="AC199" s="39"/>
      <c r="AD199" s="39"/>
      <c r="AE199" s="39"/>
      <c r="AF199" s="39"/>
      <c r="AG199" s="39"/>
      <c r="AH199" s="39"/>
      <c r="AI199" s="39"/>
      <c r="AJ199" s="46"/>
      <c r="AK199" s="46"/>
      <c r="AL199" s="47"/>
      <c r="AM199" s="52"/>
      <c r="AN199" s="53"/>
      <c r="AO199" s="50"/>
    </row>
    <row r="200" spans="1:41" x14ac:dyDescent="0.25">
      <c r="A200" s="44" t="e">
        <f>'Agents'' Final Roster 0823-0829'!#REF!</f>
        <v>#REF!</v>
      </c>
      <c r="B200" s="39" t="e">
        <f>'Agents'' Final Roster 0823-0829'!#REF!</f>
        <v>#REF!</v>
      </c>
      <c r="C200" s="39" t="e">
        <f>'Agents'' Final Roster 0823-0829'!#REF!</f>
        <v>#REF!</v>
      </c>
      <c r="D200" s="39" t="e">
        <f>'Agents'' Final Roster 0823-0829'!#REF!</f>
        <v>#REF!</v>
      </c>
      <c r="E200" s="39"/>
      <c r="F200" s="39"/>
      <c r="G200" s="39"/>
      <c r="H200" s="39"/>
      <c r="I200" s="39"/>
      <c r="J200" s="39"/>
      <c r="K200" s="39"/>
      <c r="L200" s="45"/>
      <c r="M200" s="45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 t="e">
        <f>'Agents'' Final Roster 0823-0829'!#REF!</f>
        <v>#REF!</v>
      </c>
      <c r="AA200" s="39"/>
      <c r="AB200" s="39"/>
      <c r="AC200" s="39"/>
      <c r="AD200" s="39"/>
      <c r="AE200" s="39"/>
      <c r="AF200" s="39"/>
      <c r="AG200" s="39"/>
      <c r="AH200" s="39"/>
      <c r="AI200" s="39"/>
      <c r="AJ200" s="46"/>
      <c r="AK200" s="46"/>
      <c r="AL200" s="47"/>
      <c r="AM200" s="52"/>
      <c r="AN200" s="53"/>
      <c r="AO200" s="50"/>
    </row>
    <row r="201" spans="1:41" x14ac:dyDescent="0.25">
      <c r="A201" s="42" t="e">
        <f>'Agents'' Final Roster 0823-0829'!#REF!</f>
        <v>#REF!</v>
      </c>
      <c r="B201" s="41" t="e">
        <f>'Agents'' Final Roster 0823-0829'!#REF!</f>
        <v>#REF!</v>
      </c>
      <c r="C201" s="41" t="e">
        <f>'Agents'' Final Roster 0823-0829'!#REF!</f>
        <v>#REF!</v>
      </c>
      <c r="D201" s="41" t="e">
        <f>'Agents'' Final Roster 0823-0829'!#REF!</f>
        <v>#REF!</v>
      </c>
      <c r="E201" s="41"/>
      <c r="F201" s="41"/>
      <c r="G201" s="41"/>
      <c r="H201" s="41"/>
      <c r="I201" s="41"/>
      <c r="J201" s="41"/>
      <c r="K201" s="41"/>
      <c r="L201" s="45"/>
      <c r="M201" s="45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 t="e">
        <f>'Agents'' Final Roster 0823-0829'!#REF!</f>
        <v>#REF!</v>
      </c>
      <c r="AA201" s="39"/>
      <c r="AB201" s="39"/>
      <c r="AC201" s="39"/>
      <c r="AD201" s="39"/>
      <c r="AE201" s="39"/>
      <c r="AF201" s="39"/>
      <c r="AG201" s="39"/>
      <c r="AH201" s="39"/>
      <c r="AI201" s="39"/>
      <c r="AJ201" s="46"/>
      <c r="AK201" s="46"/>
      <c r="AL201" s="47"/>
      <c r="AM201" s="52"/>
      <c r="AN201" s="53"/>
      <c r="AO201" s="50"/>
    </row>
    <row r="202" spans="1:41" x14ac:dyDescent="0.25">
      <c r="A202" s="42" t="e">
        <f>'Agents'' Final Roster 0823-0829'!#REF!</f>
        <v>#REF!</v>
      </c>
      <c r="B202" s="41" t="e">
        <f>'Agents'' Final Roster 0823-0829'!#REF!</f>
        <v>#REF!</v>
      </c>
      <c r="C202" s="41" t="e">
        <f>'Agents'' Final Roster 0823-0829'!#REF!</f>
        <v>#REF!</v>
      </c>
      <c r="D202" s="41" t="e">
        <f>'Agents'' Final Roster 0823-0829'!#REF!</f>
        <v>#REF!</v>
      </c>
      <c r="E202" s="41"/>
      <c r="F202" s="41"/>
      <c r="G202" s="41"/>
      <c r="H202" s="41"/>
      <c r="I202" s="41"/>
      <c r="J202" s="41"/>
      <c r="K202" s="41"/>
      <c r="L202" s="45"/>
      <c r="M202" s="45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 t="e">
        <f>'Agents'' Final Roster 0823-0829'!#REF!</f>
        <v>#REF!</v>
      </c>
      <c r="AA202" s="39"/>
      <c r="AB202" s="39"/>
      <c r="AC202" s="39"/>
      <c r="AD202" s="39"/>
      <c r="AE202" s="39"/>
      <c r="AF202" s="39"/>
      <c r="AG202" s="39"/>
      <c r="AH202" s="39"/>
      <c r="AI202" s="39"/>
      <c r="AJ202" s="46"/>
      <c r="AK202" s="46"/>
      <c r="AL202" s="47"/>
      <c r="AM202" s="52"/>
      <c r="AN202" s="53"/>
      <c r="AO202" s="50"/>
    </row>
    <row r="203" spans="1:41" x14ac:dyDescent="0.25">
      <c r="A203" s="44" t="e">
        <f>'Agents'' Final Roster 0823-0829'!#REF!</f>
        <v>#REF!</v>
      </c>
      <c r="B203" s="39" t="e">
        <f>'Agents'' Final Roster 0823-0829'!#REF!</f>
        <v>#REF!</v>
      </c>
      <c r="C203" s="39" t="e">
        <f>'Agents'' Final Roster 0823-0829'!#REF!</f>
        <v>#REF!</v>
      </c>
      <c r="D203" s="39" t="e">
        <f>'Agents'' Final Roster 0823-0829'!#REF!</f>
        <v>#REF!</v>
      </c>
      <c r="E203" s="39"/>
      <c r="F203" s="39"/>
      <c r="G203" s="39"/>
      <c r="H203" s="39"/>
      <c r="I203" s="39"/>
      <c r="J203" s="39"/>
      <c r="K203" s="39"/>
      <c r="L203" s="45"/>
      <c r="M203" s="45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 t="e">
        <f>'Agents'' Final Roster 0823-0829'!#REF!</f>
        <v>#REF!</v>
      </c>
      <c r="AA203" s="39"/>
      <c r="AB203" s="39"/>
      <c r="AC203" s="39"/>
      <c r="AD203" s="39"/>
      <c r="AE203" s="39"/>
      <c r="AF203" s="39"/>
      <c r="AG203" s="39"/>
      <c r="AH203" s="39"/>
      <c r="AI203" s="39"/>
      <c r="AJ203" s="46"/>
      <c r="AK203" s="46"/>
      <c r="AL203" s="47"/>
      <c r="AM203" s="52"/>
      <c r="AN203" s="53"/>
      <c r="AO203" s="50"/>
    </row>
    <row r="204" spans="1:41" x14ac:dyDescent="0.25">
      <c r="A204" s="44" t="e">
        <f>'Agents'' Final Roster 0823-0829'!#REF!</f>
        <v>#REF!</v>
      </c>
      <c r="B204" s="39" t="e">
        <f>'Agents'' Final Roster 0823-0829'!#REF!</f>
        <v>#REF!</v>
      </c>
      <c r="C204" s="39" t="e">
        <f>'Agents'' Final Roster 0823-0829'!#REF!</f>
        <v>#REF!</v>
      </c>
      <c r="D204" s="39" t="e">
        <f>'Agents'' Final Roster 0823-0829'!#REF!</f>
        <v>#REF!</v>
      </c>
      <c r="E204" s="39"/>
      <c r="F204" s="39"/>
      <c r="G204" s="39"/>
      <c r="H204" s="39"/>
      <c r="I204" s="39"/>
      <c r="J204" s="39"/>
      <c r="K204" s="39"/>
      <c r="L204" s="45"/>
      <c r="M204" s="45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 t="e">
        <f>'Agents'' Final Roster 0823-0829'!#REF!</f>
        <v>#REF!</v>
      </c>
      <c r="AA204" s="39"/>
      <c r="AB204" s="39"/>
      <c r="AC204" s="39"/>
      <c r="AD204" s="39"/>
      <c r="AE204" s="39"/>
      <c r="AF204" s="39"/>
      <c r="AG204" s="39"/>
      <c r="AH204" s="39"/>
      <c r="AI204" s="39"/>
      <c r="AJ204" s="46"/>
      <c r="AK204" s="46"/>
      <c r="AL204" s="47"/>
      <c r="AM204" s="52"/>
      <c r="AN204" s="53"/>
      <c r="AO204" s="50"/>
    </row>
    <row r="205" spans="1:41" x14ac:dyDescent="0.25">
      <c r="A205" s="44" t="e">
        <f>'Agents'' Final Roster 0823-0829'!#REF!</f>
        <v>#REF!</v>
      </c>
      <c r="B205" s="39" t="e">
        <f>'Agents'' Final Roster 0823-0829'!#REF!</f>
        <v>#REF!</v>
      </c>
      <c r="C205" s="39" t="e">
        <f>'Agents'' Final Roster 0823-0829'!#REF!</f>
        <v>#REF!</v>
      </c>
      <c r="D205" s="39" t="e">
        <f>'Agents'' Final Roster 0823-0829'!#REF!</f>
        <v>#REF!</v>
      </c>
      <c r="E205" s="39"/>
      <c r="F205" s="39"/>
      <c r="G205" s="39"/>
      <c r="H205" s="39"/>
      <c r="I205" s="39"/>
      <c r="J205" s="41"/>
      <c r="K205" s="41"/>
      <c r="L205" s="45"/>
      <c r="M205" s="45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 t="e">
        <f>'Agents'' Final Roster 0823-0829'!#REF!</f>
        <v>#REF!</v>
      </c>
      <c r="AA205" s="39"/>
      <c r="AB205" s="39"/>
      <c r="AC205" s="39"/>
      <c r="AD205" s="39"/>
      <c r="AE205" s="39"/>
      <c r="AF205" s="39"/>
      <c r="AG205" s="39"/>
      <c r="AH205" s="39"/>
      <c r="AI205" s="39"/>
      <c r="AJ205" s="46"/>
      <c r="AK205" s="46"/>
      <c r="AL205" s="47"/>
      <c r="AM205" s="52"/>
      <c r="AN205" s="53"/>
      <c r="AO205" s="50"/>
    </row>
    <row r="206" spans="1:41" x14ac:dyDescent="0.25">
      <c r="A206" s="44" t="e">
        <f>'Agents'' Final Roster 0823-0829'!#REF!</f>
        <v>#REF!</v>
      </c>
      <c r="B206" s="39" t="e">
        <f>'Agents'' Final Roster 0823-0829'!#REF!</f>
        <v>#REF!</v>
      </c>
      <c r="C206" s="39" t="e">
        <f>'Agents'' Final Roster 0823-0829'!#REF!</f>
        <v>#REF!</v>
      </c>
      <c r="D206" s="39" t="e">
        <f>'Agents'' Final Roster 0823-0829'!#REF!</f>
        <v>#REF!</v>
      </c>
      <c r="E206" s="39"/>
      <c r="F206" s="39"/>
      <c r="G206" s="39"/>
      <c r="H206" s="39"/>
      <c r="I206" s="39"/>
      <c r="J206" s="39"/>
      <c r="K206" s="39"/>
      <c r="L206" s="45"/>
      <c r="M206" s="45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 t="e">
        <f>'Agents'' Final Roster 0823-0829'!#REF!</f>
        <v>#REF!</v>
      </c>
      <c r="AA206" s="39"/>
      <c r="AB206" s="39"/>
      <c r="AC206" s="39"/>
      <c r="AD206" s="39"/>
      <c r="AE206" s="39"/>
      <c r="AF206" s="39"/>
      <c r="AG206" s="39"/>
      <c r="AH206" s="39"/>
      <c r="AI206" s="39"/>
      <c r="AJ206" s="46"/>
      <c r="AK206" s="46"/>
      <c r="AL206" s="47"/>
      <c r="AM206" s="52"/>
      <c r="AN206" s="53"/>
      <c r="AO206" s="50"/>
    </row>
    <row r="207" spans="1:41" x14ac:dyDescent="0.25">
      <c r="A207" s="42" t="e">
        <f>'Agents'' Final Roster 0823-0829'!#REF!</f>
        <v>#REF!</v>
      </c>
      <c r="B207" s="41" t="e">
        <f>'Agents'' Final Roster 0823-0829'!#REF!</f>
        <v>#REF!</v>
      </c>
      <c r="C207" s="41" t="e">
        <f>'Agents'' Final Roster 0823-0829'!#REF!</f>
        <v>#REF!</v>
      </c>
      <c r="D207" s="41" t="e">
        <f>'Agents'' Final Roster 0823-0829'!#REF!</f>
        <v>#REF!</v>
      </c>
      <c r="E207" s="41"/>
      <c r="F207" s="41"/>
      <c r="G207" s="41"/>
      <c r="H207" s="41"/>
      <c r="I207" s="41"/>
      <c r="J207" s="41"/>
      <c r="K207" s="41"/>
      <c r="L207" s="45"/>
      <c r="M207" s="45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 t="e">
        <f>'Agents'' Final Roster 0823-0829'!#REF!</f>
        <v>#REF!</v>
      </c>
      <c r="AA207" s="39"/>
      <c r="AB207" s="39"/>
      <c r="AC207" s="39"/>
      <c r="AD207" s="39"/>
      <c r="AE207" s="39"/>
      <c r="AF207" s="39"/>
      <c r="AG207" s="39"/>
      <c r="AH207" s="39"/>
      <c r="AI207" s="39"/>
      <c r="AJ207" s="46"/>
      <c r="AK207" s="46"/>
      <c r="AL207" s="47"/>
      <c r="AM207" s="52"/>
      <c r="AN207" s="53"/>
      <c r="AO207" s="50"/>
    </row>
    <row r="208" spans="1:41" x14ac:dyDescent="0.25">
      <c r="A208" s="83" t="e">
        <f>'Agents'' Final Roster 0823-0829'!#REF!</f>
        <v>#REF!</v>
      </c>
      <c r="B208" s="84" t="e">
        <f>'Agents'' Final Roster 0823-0829'!#REF!</f>
        <v>#REF!</v>
      </c>
      <c r="C208" s="84" t="e">
        <f>'Agents'' Final Roster 0823-0829'!#REF!</f>
        <v>#REF!</v>
      </c>
      <c r="D208" s="84" t="e">
        <f>'Agents'' Final Roster 0823-0829'!#REF!</f>
        <v>#REF!</v>
      </c>
      <c r="E208" s="84"/>
      <c r="F208" s="84"/>
      <c r="G208" s="84"/>
      <c r="H208" s="84"/>
      <c r="I208" s="84"/>
      <c r="J208" s="84"/>
      <c r="K208" s="84"/>
      <c r="L208" s="45"/>
      <c r="M208" s="45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 t="e">
        <f>'Agents'' Final Roster 0823-0829'!#REF!</f>
        <v>#REF!</v>
      </c>
      <c r="AA208" s="39"/>
      <c r="AB208" s="39"/>
      <c r="AC208" s="39"/>
      <c r="AD208" s="39"/>
      <c r="AE208" s="39"/>
      <c r="AF208" s="39"/>
      <c r="AG208" s="39"/>
      <c r="AH208" s="39"/>
      <c r="AI208" s="39"/>
      <c r="AJ208" s="46"/>
      <c r="AK208" s="46"/>
      <c r="AL208" s="47"/>
      <c r="AM208" s="52"/>
      <c r="AN208" s="53"/>
      <c r="AO208" s="50"/>
    </row>
    <row r="209" spans="1:41" x14ac:dyDescent="0.25">
      <c r="A209" s="83" t="e">
        <f>'Agents'' Final Roster 0823-0829'!#REF!</f>
        <v>#REF!</v>
      </c>
      <c r="B209" s="84" t="e">
        <f>'Agents'' Final Roster 0823-0829'!#REF!</f>
        <v>#REF!</v>
      </c>
      <c r="C209" s="84" t="e">
        <f>'Agents'' Final Roster 0823-0829'!#REF!</f>
        <v>#REF!</v>
      </c>
      <c r="D209" s="84" t="e">
        <f>'Agents'' Final Roster 0823-0829'!#REF!</f>
        <v>#REF!</v>
      </c>
      <c r="E209" s="41"/>
      <c r="F209" s="41"/>
      <c r="G209" s="41"/>
      <c r="H209" s="41"/>
      <c r="I209" s="41"/>
      <c r="J209" s="41"/>
      <c r="K209" s="41"/>
      <c r="L209" s="45"/>
      <c r="M209" s="45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 t="e">
        <f>'Agents'' Final Roster 0823-0829'!#REF!</f>
        <v>#REF!</v>
      </c>
      <c r="AA209" s="39"/>
      <c r="AB209" s="39"/>
      <c r="AC209" s="39"/>
      <c r="AD209" s="39"/>
      <c r="AE209" s="39"/>
      <c r="AF209" s="39"/>
      <c r="AG209" s="39"/>
      <c r="AH209" s="39"/>
      <c r="AI209" s="39"/>
      <c r="AJ209" s="46"/>
      <c r="AK209" s="46"/>
      <c r="AL209" s="47"/>
      <c r="AM209" s="52"/>
      <c r="AN209" s="53"/>
      <c r="AO209" s="50"/>
    </row>
    <row r="210" spans="1:41" x14ac:dyDescent="0.25">
      <c r="A210" s="83" t="e">
        <f>'Agents'' Final Roster 0823-0829'!#REF!</f>
        <v>#REF!</v>
      </c>
      <c r="B210" s="84" t="e">
        <f>'Agents'' Final Roster 0823-0829'!#REF!</f>
        <v>#REF!</v>
      </c>
      <c r="C210" s="84" t="e">
        <f>'Agents'' Final Roster 0823-0829'!#REF!</f>
        <v>#REF!</v>
      </c>
      <c r="D210" s="84" t="e">
        <f>'Agents'' Final Roster 0823-0829'!#REF!</f>
        <v>#REF!</v>
      </c>
      <c r="E210" s="70"/>
      <c r="F210" s="70"/>
      <c r="G210" s="70"/>
      <c r="H210" s="70"/>
      <c r="I210" s="70"/>
      <c r="J210" s="70"/>
      <c r="K210" s="39"/>
      <c r="L210" s="45"/>
      <c r="M210" s="45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 t="e">
        <f>'Agents'' Final Roster 0823-0829'!#REF!</f>
        <v>#REF!</v>
      </c>
      <c r="AA210" s="39"/>
      <c r="AB210" s="39"/>
      <c r="AC210" s="39"/>
      <c r="AD210" s="39"/>
      <c r="AE210" s="39"/>
      <c r="AF210" s="39"/>
      <c r="AG210" s="39"/>
      <c r="AH210" s="39"/>
      <c r="AI210" s="39"/>
      <c r="AJ210" s="46"/>
      <c r="AK210" s="46"/>
      <c r="AL210" s="47"/>
      <c r="AM210" s="52"/>
      <c r="AN210" s="53"/>
      <c r="AO210" s="50"/>
    </row>
    <row r="211" spans="1:41" x14ac:dyDescent="0.25">
      <c r="A211" s="83" t="e">
        <f>'Agents'' Final Roster 0823-0829'!#REF!</f>
        <v>#REF!</v>
      </c>
      <c r="B211" s="84" t="e">
        <f>'Agents'' Final Roster 0823-0829'!#REF!</f>
        <v>#REF!</v>
      </c>
      <c r="C211" s="84" t="e">
        <f>'Agents'' Final Roster 0823-0829'!#REF!</f>
        <v>#REF!</v>
      </c>
      <c r="D211" s="84" t="e">
        <f>'Agents'' Final Roster 0823-0829'!#REF!</f>
        <v>#REF!</v>
      </c>
      <c r="E211" s="70"/>
      <c r="F211" s="70"/>
      <c r="G211" s="70"/>
      <c r="H211" s="70"/>
      <c r="I211" s="70"/>
      <c r="J211" s="70"/>
      <c r="K211" s="39"/>
      <c r="L211" s="45"/>
      <c r="M211" s="45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 t="e">
        <f>'Agents'' Final Roster 0823-0829'!#REF!</f>
        <v>#REF!</v>
      </c>
      <c r="AA211" s="39"/>
      <c r="AB211" s="39"/>
      <c r="AC211" s="39"/>
      <c r="AD211" s="39"/>
      <c r="AE211" s="39"/>
      <c r="AF211" s="39"/>
      <c r="AG211" s="39"/>
      <c r="AH211" s="39"/>
      <c r="AI211" s="39"/>
      <c r="AJ211" s="46"/>
      <c r="AK211" s="46"/>
      <c r="AL211" s="47"/>
      <c r="AM211" s="52"/>
      <c r="AN211" s="53"/>
      <c r="AO211" s="50"/>
    </row>
    <row r="212" spans="1:41" x14ac:dyDescent="0.25">
      <c r="A212" s="83" t="e">
        <f>'Agents'' Final Roster 0823-0829'!#REF!</f>
        <v>#REF!</v>
      </c>
      <c r="B212" s="84" t="e">
        <f>'Agents'' Final Roster 0823-0829'!#REF!</f>
        <v>#REF!</v>
      </c>
      <c r="C212" s="84" t="e">
        <f>'Agents'' Final Roster 0823-0829'!#REF!</f>
        <v>#REF!</v>
      </c>
      <c r="D212" s="84" t="e">
        <f>'Agents'' Final Roster 0823-0829'!#REF!</f>
        <v>#REF!</v>
      </c>
      <c r="E212" s="39"/>
      <c r="F212" s="39"/>
      <c r="G212" s="39"/>
      <c r="H212" s="39"/>
      <c r="I212" s="39"/>
      <c r="J212" s="39"/>
      <c r="K212" s="39"/>
      <c r="L212" s="45"/>
      <c r="M212" s="45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 t="e">
        <f>'Agents'' Final Roster 0823-0829'!#REF!</f>
        <v>#REF!</v>
      </c>
      <c r="AA212" s="39"/>
      <c r="AB212" s="39"/>
      <c r="AC212" s="39"/>
      <c r="AD212" s="39"/>
      <c r="AE212" s="39"/>
      <c r="AF212" s="39"/>
      <c r="AG212" s="39"/>
      <c r="AH212" s="39"/>
      <c r="AI212" s="39"/>
      <c r="AJ212" s="46"/>
      <c r="AK212" s="46"/>
      <c r="AL212" s="47"/>
      <c r="AM212" s="52"/>
      <c r="AN212" s="53"/>
      <c r="AO212" s="50"/>
    </row>
    <row r="213" spans="1:41" x14ac:dyDescent="0.25">
      <c r="A213" s="83" t="e">
        <f>'Agents'' Final Roster 0823-0829'!#REF!</f>
        <v>#REF!</v>
      </c>
      <c r="B213" s="84" t="e">
        <f>'Agents'' Final Roster 0823-0829'!#REF!</f>
        <v>#REF!</v>
      </c>
      <c r="C213" s="84" t="e">
        <f>'Agents'' Final Roster 0823-0829'!#REF!</f>
        <v>#REF!</v>
      </c>
      <c r="D213" s="84" t="e">
        <f>'Agents'' Final Roster 0823-0829'!#REF!</f>
        <v>#REF!</v>
      </c>
      <c r="E213" s="84"/>
      <c r="F213" s="84"/>
      <c r="G213" s="84"/>
      <c r="H213" s="84"/>
      <c r="I213" s="84"/>
      <c r="J213" s="84"/>
      <c r="K213" s="84"/>
      <c r="L213" s="45"/>
      <c r="M213" s="45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 t="e">
        <f>'Agents'' Final Roster 0823-0829'!#REF!</f>
        <v>#REF!</v>
      </c>
      <c r="AA213" s="39"/>
      <c r="AB213" s="39"/>
      <c r="AC213" s="39"/>
      <c r="AD213" s="39"/>
      <c r="AE213" s="39"/>
      <c r="AF213" s="39"/>
      <c r="AG213" s="39"/>
      <c r="AH213" s="39"/>
      <c r="AI213" s="39"/>
      <c r="AJ213" s="46"/>
      <c r="AK213" s="46"/>
      <c r="AL213" s="47"/>
      <c r="AM213" s="52"/>
      <c r="AN213" s="53"/>
      <c r="AO213" s="50"/>
    </row>
    <row r="214" spans="1:41" x14ac:dyDescent="0.25">
      <c r="A214" s="83" t="e">
        <f>'Agents'' Final Roster 0823-0829'!#REF!</f>
        <v>#REF!</v>
      </c>
      <c r="B214" s="84" t="e">
        <f>'Agents'' Final Roster 0823-0829'!#REF!</f>
        <v>#REF!</v>
      </c>
      <c r="C214" s="84" t="e">
        <f>'Agents'' Final Roster 0823-0829'!#REF!</f>
        <v>#REF!</v>
      </c>
      <c r="D214" s="84" t="e">
        <f>'Agents'' Final Roster 0823-0829'!#REF!</f>
        <v>#REF!</v>
      </c>
      <c r="E214" s="70"/>
      <c r="F214" s="70"/>
      <c r="G214" s="70"/>
      <c r="H214" s="70"/>
      <c r="I214" s="70"/>
      <c r="J214" s="70"/>
      <c r="K214" s="70"/>
      <c r="L214" s="45"/>
      <c r="M214" s="45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 t="e">
        <f>'Agents'' Final Roster 0823-0829'!#REF!</f>
        <v>#REF!</v>
      </c>
      <c r="AA214" s="39"/>
      <c r="AB214" s="39"/>
      <c r="AC214" s="39"/>
      <c r="AD214" s="39"/>
      <c r="AE214" s="39"/>
      <c r="AF214" s="39"/>
      <c r="AG214" s="39"/>
      <c r="AH214" s="39"/>
      <c r="AI214" s="39"/>
      <c r="AJ214" s="46"/>
      <c r="AK214" s="46"/>
      <c r="AL214" s="47"/>
      <c r="AM214" s="52"/>
      <c r="AN214" s="53"/>
      <c r="AO214" s="50"/>
    </row>
    <row r="215" spans="1:41" x14ac:dyDescent="0.25">
      <c r="A215" s="83" t="e">
        <f>'Agents'' Final Roster 0823-0829'!#REF!</f>
        <v>#REF!</v>
      </c>
      <c r="B215" s="84" t="e">
        <f>'Agents'' Final Roster 0823-0829'!#REF!</f>
        <v>#REF!</v>
      </c>
      <c r="C215" s="84" t="e">
        <f>'Agents'' Final Roster 0823-0829'!#REF!</f>
        <v>#REF!</v>
      </c>
      <c r="D215" s="84" t="e">
        <f>'Agents'' Final Roster 0823-0829'!#REF!</f>
        <v>#REF!</v>
      </c>
      <c r="E215" s="84"/>
      <c r="F215" s="84"/>
      <c r="G215" s="84"/>
      <c r="H215" s="84"/>
      <c r="I215" s="84"/>
      <c r="J215" s="84"/>
      <c r="K215" s="84"/>
      <c r="L215" s="45"/>
      <c r="M215" s="45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 t="e">
        <f>'Agents'' Final Roster 0823-0829'!#REF!</f>
        <v>#REF!</v>
      </c>
      <c r="AA215" s="39"/>
      <c r="AB215" s="39"/>
      <c r="AC215" s="39"/>
      <c r="AD215" s="39"/>
      <c r="AE215" s="39"/>
      <c r="AF215" s="39"/>
      <c r="AG215" s="39"/>
      <c r="AH215" s="39"/>
      <c r="AI215" s="39"/>
      <c r="AJ215" s="46"/>
      <c r="AK215" s="46"/>
      <c r="AL215" s="46"/>
      <c r="AM215" s="52"/>
      <c r="AN215" s="53"/>
      <c r="AO215" s="50"/>
    </row>
    <row r="216" spans="1:41" x14ac:dyDescent="0.25">
      <c r="A216" s="83" t="e">
        <f>'Agents'' Final Roster 0823-0829'!#REF!</f>
        <v>#REF!</v>
      </c>
      <c r="B216" s="84" t="e">
        <f>'Agents'' Final Roster 0823-0829'!#REF!</f>
        <v>#REF!</v>
      </c>
      <c r="C216" s="84" t="e">
        <f>'Agents'' Final Roster 0823-0829'!#REF!</f>
        <v>#REF!</v>
      </c>
      <c r="D216" s="84" t="e">
        <f>'Agents'' Final Roster 0823-0829'!#REF!</f>
        <v>#REF!</v>
      </c>
      <c r="E216" s="39"/>
      <c r="F216" s="39"/>
      <c r="G216" s="39"/>
      <c r="H216" s="39"/>
      <c r="I216" s="39"/>
      <c r="J216" s="39"/>
      <c r="K216" s="39"/>
      <c r="L216" s="45"/>
      <c r="M216" s="45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 t="e">
        <f>'Agents'' Final Roster 0823-0829'!#REF!</f>
        <v>#REF!</v>
      </c>
      <c r="AA216" s="39"/>
      <c r="AB216" s="39"/>
      <c r="AC216" s="39"/>
      <c r="AD216" s="39"/>
      <c r="AE216" s="39"/>
      <c r="AF216" s="39"/>
      <c r="AG216" s="39"/>
      <c r="AH216" s="39"/>
      <c r="AI216" s="39"/>
      <c r="AJ216" s="46"/>
      <c r="AK216" s="46"/>
      <c r="AL216" s="47"/>
      <c r="AM216" s="52"/>
      <c r="AN216" s="53"/>
      <c r="AO216" s="50"/>
    </row>
    <row r="217" spans="1:41" x14ac:dyDescent="0.25">
      <c r="A217" s="83" t="e">
        <f>'Agents'' Final Roster 0823-0829'!#REF!</f>
        <v>#REF!</v>
      </c>
      <c r="B217" s="84" t="e">
        <f>'Agents'' Final Roster 0823-0829'!#REF!</f>
        <v>#REF!</v>
      </c>
      <c r="C217" s="84" t="e">
        <f>'Agents'' Final Roster 0823-0829'!#REF!</f>
        <v>#REF!</v>
      </c>
      <c r="D217" s="84" t="e">
        <f>'Agents'' Final Roster 0823-0829'!#REF!</f>
        <v>#REF!</v>
      </c>
      <c r="E217" s="39"/>
      <c r="F217" s="39"/>
      <c r="G217" s="39"/>
      <c r="H217" s="39"/>
      <c r="I217" s="39"/>
      <c r="J217" s="39"/>
      <c r="K217" s="39"/>
      <c r="L217" s="45"/>
      <c r="M217" s="45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 t="e">
        <f>'Agents'' Final Roster 0823-0829'!#REF!</f>
        <v>#REF!</v>
      </c>
      <c r="AA217" s="39"/>
      <c r="AB217" s="39"/>
      <c r="AC217" s="39"/>
      <c r="AD217" s="39"/>
      <c r="AE217" s="39"/>
      <c r="AF217" s="39"/>
      <c r="AG217" s="39"/>
      <c r="AH217" s="39"/>
      <c r="AI217" s="39"/>
      <c r="AJ217" s="46"/>
      <c r="AK217" s="46"/>
      <c r="AL217" s="47"/>
      <c r="AM217" s="52"/>
      <c r="AN217" s="53"/>
      <c r="AO217" s="50"/>
    </row>
    <row r="218" spans="1:41" x14ac:dyDescent="0.25">
      <c r="A218" s="83" t="e">
        <f>'Agents'' Final Roster 0823-0829'!#REF!</f>
        <v>#REF!</v>
      </c>
      <c r="B218" s="84" t="e">
        <f>'Agents'' Final Roster 0823-0829'!#REF!</f>
        <v>#REF!</v>
      </c>
      <c r="C218" s="84" t="e">
        <f>'Agents'' Final Roster 0823-0829'!#REF!</f>
        <v>#REF!</v>
      </c>
      <c r="D218" s="84" t="e">
        <f>'Agents'' Final Roster 0823-0829'!#REF!</f>
        <v>#REF!</v>
      </c>
      <c r="E218" s="39"/>
      <c r="F218" s="39"/>
      <c r="G218" s="39"/>
      <c r="H218" s="39"/>
      <c r="I218" s="39"/>
      <c r="J218" s="39"/>
      <c r="K218" s="39"/>
      <c r="L218" s="45"/>
      <c r="M218" s="45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 t="e">
        <f>'Agents'' Final Roster 0823-0829'!#REF!</f>
        <v>#REF!</v>
      </c>
      <c r="AA218" s="39"/>
      <c r="AB218" s="39"/>
      <c r="AC218" s="39"/>
      <c r="AD218" s="39"/>
      <c r="AE218" s="39"/>
      <c r="AF218" s="39"/>
      <c r="AG218" s="39"/>
      <c r="AH218" s="39"/>
      <c r="AI218" s="39"/>
      <c r="AJ218" s="46"/>
      <c r="AK218" s="46"/>
      <c r="AL218" s="47"/>
      <c r="AM218" s="52"/>
      <c r="AN218" s="53"/>
      <c r="AO218" s="50"/>
    </row>
    <row r="219" spans="1:41" x14ac:dyDescent="0.25">
      <c r="A219" s="83" t="e">
        <f>'Agents'' Final Roster 0823-0829'!#REF!</f>
        <v>#REF!</v>
      </c>
      <c r="B219" s="84" t="e">
        <f>'Agents'' Final Roster 0823-0829'!#REF!</f>
        <v>#REF!</v>
      </c>
      <c r="C219" s="84" t="e">
        <f>'Agents'' Final Roster 0823-0829'!#REF!</f>
        <v>#REF!</v>
      </c>
      <c r="D219" s="84" t="e">
        <f>'Agents'' Final Roster 0823-0829'!#REF!</f>
        <v>#REF!</v>
      </c>
      <c r="E219" s="84"/>
      <c r="F219" s="84"/>
      <c r="G219" s="84"/>
      <c r="H219" s="84"/>
      <c r="I219" s="84"/>
      <c r="J219" s="84"/>
      <c r="K219" s="84"/>
      <c r="L219" s="45"/>
      <c r="M219" s="45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 t="e">
        <f>'Agents'' Final Roster 0823-0829'!#REF!</f>
        <v>#REF!</v>
      </c>
      <c r="AA219" s="39"/>
      <c r="AB219" s="39"/>
      <c r="AC219" s="39"/>
      <c r="AD219" s="39"/>
      <c r="AE219" s="39"/>
      <c r="AF219" s="39"/>
      <c r="AG219" s="39"/>
      <c r="AH219" s="39"/>
      <c r="AI219" s="39"/>
      <c r="AJ219" s="46"/>
      <c r="AK219" s="46"/>
      <c r="AL219" s="47"/>
      <c r="AM219" s="52"/>
      <c r="AN219" s="53"/>
      <c r="AO219" s="50"/>
    </row>
    <row r="220" spans="1:41" x14ac:dyDescent="0.25">
      <c r="A220" s="83" t="e">
        <f>'Agents'' Final Roster 0823-0829'!#REF!</f>
        <v>#REF!</v>
      </c>
      <c r="B220" s="84" t="e">
        <f>'Agents'' Final Roster 0823-0829'!#REF!</f>
        <v>#REF!</v>
      </c>
      <c r="C220" s="84" t="e">
        <f>'Agents'' Final Roster 0823-0829'!#REF!</f>
        <v>#REF!</v>
      </c>
      <c r="D220" s="84" t="e">
        <f>'Agents'' Final Roster 0823-0829'!#REF!</f>
        <v>#REF!</v>
      </c>
      <c r="E220" s="70"/>
      <c r="F220" s="70"/>
      <c r="G220" s="70"/>
      <c r="H220" s="70"/>
      <c r="I220" s="70"/>
      <c r="J220" s="70"/>
      <c r="K220" s="70"/>
      <c r="L220" s="45"/>
      <c r="M220" s="45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 t="e">
        <f>'Agents'' Final Roster 0823-0829'!#REF!</f>
        <v>#REF!</v>
      </c>
      <c r="AA220" s="39"/>
      <c r="AB220" s="39"/>
      <c r="AC220" s="39"/>
      <c r="AD220" s="39"/>
      <c r="AE220" s="39"/>
      <c r="AF220" s="39"/>
      <c r="AG220" s="39"/>
      <c r="AH220" s="39"/>
      <c r="AI220" s="39"/>
      <c r="AJ220" s="46"/>
      <c r="AK220" s="46"/>
      <c r="AL220" s="47"/>
      <c r="AM220" s="52"/>
      <c r="AN220" s="53"/>
      <c r="AO220" s="50"/>
    </row>
    <row r="221" spans="1:41" x14ac:dyDescent="0.25">
      <c r="A221" s="83" t="e">
        <f>'Agents'' Final Roster 0823-0829'!#REF!</f>
        <v>#REF!</v>
      </c>
      <c r="B221" s="84" t="e">
        <f>'Agents'' Final Roster 0823-0829'!#REF!</f>
        <v>#REF!</v>
      </c>
      <c r="C221" s="84" t="e">
        <f>'Agents'' Final Roster 0823-0829'!#REF!</f>
        <v>#REF!</v>
      </c>
      <c r="D221" s="84" t="e">
        <f>'Agents'' Final Roster 0823-0829'!#REF!</f>
        <v>#REF!</v>
      </c>
      <c r="E221" s="39"/>
      <c r="F221" s="39"/>
      <c r="G221" s="39"/>
      <c r="H221" s="39"/>
      <c r="I221" s="39"/>
      <c r="J221" s="39"/>
      <c r="K221" s="39"/>
      <c r="L221" s="45"/>
      <c r="M221" s="45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 t="e">
        <f>'Agents'' Final Roster 0823-0829'!#REF!</f>
        <v>#REF!</v>
      </c>
      <c r="AA221" s="39"/>
      <c r="AB221" s="39"/>
      <c r="AC221" s="39"/>
      <c r="AD221" s="39"/>
      <c r="AE221" s="39"/>
      <c r="AF221" s="39"/>
      <c r="AG221" s="39"/>
      <c r="AH221" s="39"/>
      <c r="AI221" s="39"/>
      <c r="AJ221" s="46"/>
      <c r="AK221" s="46"/>
      <c r="AL221" s="47"/>
      <c r="AM221" s="52"/>
      <c r="AN221" s="53"/>
      <c r="AO221" s="50"/>
    </row>
    <row r="222" spans="1:41" x14ac:dyDescent="0.25">
      <c r="A222" s="83" t="e">
        <f>'Agents'' Final Roster 0823-0829'!#REF!</f>
        <v>#REF!</v>
      </c>
      <c r="B222" s="84" t="e">
        <f>'Agents'' Final Roster 0823-0829'!#REF!</f>
        <v>#REF!</v>
      </c>
      <c r="C222" s="84" t="e">
        <f>'Agents'' Final Roster 0823-0829'!#REF!</f>
        <v>#REF!</v>
      </c>
      <c r="D222" s="84" t="e">
        <f>'Agents'' Final Roster 0823-0829'!#REF!</f>
        <v>#REF!</v>
      </c>
      <c r="E222" s="84"/>
      <c r="F222" s="84"/>
      <c r="G222" s="84"/>
      <c r="H222" s="84"/>
      <c r="I222" s="84"/>
      <c r="J222" s="84"/>
      <c r="K222" s="84"/>
      <c r="L222" s="45"/>
      <c r="M222" s="45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 t="e">
        <f>'Agents'' Final Roster 0823-0829'!#REF!</f>
        <v>#REF!</v>
      </c>
      <c r="AA222" s="39"/>
      <c r="AB222" s="39"/>
      <c r="AC222" s="39"/>
      <c r="AD222" s="39"/>
      <c r="AE222" s="39"/>
      <c r="AF222" s="39"/>
      <c r="AG222" s="39"/>
      <c r="AH222" s="39"/>
      <c r="AI222" s="39"/>
      <c r="AJ222" s="46"/>
      <c r="AK222" s="46"/>
      <c r="AL222" s="47"/>
      <c r="AM222" s="52"/>
      <c r="AN222" s="53"/>
      <c r="AO222" s="50"/>
    </row>
    <row r="223" spans="1:41" x14ac:dyDescent="0.25">
      <c r="A223" s="83" t="e">
        <f>'Agents'' Final Roster 0823-0829'!#REF!</f>
        <v>#REF!</v>
      </c>
      <c r="B223" s="84" t="e">
        <f>'Agents'' Final Roster 0823-0829'!#REF!</f>
        <v>#REF!</v>
      </c>
      <c r="C223" s="84" t="e">
        <f>'Agents'' Final Roster 0823-0829'!#REF!</f>
        <v>#REF!</v>
      </c>
      <c r="D223" s="84" t="e">
        <f>'Agents'' Final Roster 0823-0829'!#REF!</f>
        <v>#REF!</v>
      </c>
      <c r="E223" s="84"/>
      <c r="F223" s="84"/>
      <c r="G223" s="84"/>
      <c r="H223" s="84"/>
      <c r="I223" s="84"/>
      <c r="J223" s="84"/>
      <c r="K223" s="84"/>
      <c r="L223" s="45"/>
      <c r="M223" s="45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 t="e">
        <f>'Agents'' Final Roster 0823-0829'!#REF!</f>
        <v>#REF!</v>
      </c>
      <c r="AA223" s="39"/>
      <c r="AB223" s="39"/>
      <c r="AC223" s="39"/>
      <c r="AD223" s="39"/>
      <c r="AE223" s="39"/>
      <c r="AF223" s="39"/>
      <c r="AG223" s="39"/>
      <c r="AH223" s="39"/>
      <c r="AI223" s="39"/>
      <c r="AJ223" s="46"/>
      <c r="AK223" s="46"/>
      <c r="AL223" s="47"/>
      <c r="AM223" s="52"/>
      <c r="AN223" s="53"/>
      <c r="AO223" s="50"/>
    </row>
    <row r="224" spans="1:41" x14ac:dyDescent="0.25">
      <c r="A224" s="83" t="e">
        <f>'Agents'' Final Roster 0823-0829'!#REF!</f>
        <v>#REF!</v>
      </c>
      <c r="B224" s="84" t="e">
        <f>'Agents'' Final Roster 0823-0829'!#REF!</f>
        <v>#REF!</v>
      </c>
      <c r="C224" s="84" t="e">
        <f>'Agents'' Final Roster 0823-0829'!#REF!</f>
        <v>#REF!</v>
      </c>
      <c r="D224" s="84" t="e">
        <f>'Agents'' Final Roster 0823-0829'!#REF!</f>
        <v>#REF!</v>
      </c>
      <c r="E224" s="39"/>
      <c r="F224" s="39"/>
      <c r="G224" s="39"/>
      <c r="H224" s="39"/>
      <c r="I224" s="39"/>
      <c r="J224" s="39"/>
      <c r="K224" s="39"/>
      <c r="L224" s="45"/>
      <c r="M224" s="45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 t="e">
        <f>'Agents'' Final Roster 0823-0829'!#REF!</f>
        <v>#REF!</v>
      </c>
      <c r="AA224" s="39"/>
      <c r="AB224" s="39"/>
      <c r="AC224" s="39"/>
      <c r="AD224" s="39"/>
      <c r="AE224" s="39"/>
      <c r="AF224" s="39"/>
      <c r="AG224" s="39"/>
      <c r="AH224" s="39"/>
      <c r="AI224" s="39"/>
      <c r="AJ224" s="46"/>
      <c r="AK224" s="46"/>
      <c r="AL224" s="47"/>
      <c r="AM224" s="52"/>
      <c r="AN224" s="53"/>
      <c r="AO224" s="50"/>
    </row>
    <row r="225" spans="1:41" x14ac:dyDescent="0.25">
      <c r="A225" s="83" t="e">
        <f>'Agents'' Final Roster 0823-0829'!#REF!</f>
        <v>#REF!</v>
      </c>
      <c r="B225" s="84" t="e">
        <f>'Agents'' Final Roster 0823-0829'!#REF!</f>
        <v>#REF!</v>
      </c>
      <c r="C225" s="84" t="e">
        <f>'Agents'' Final Roster 0823-0829'!#REF!</f>
        <v>#REF!</v>
      </c>
      <c r="D225" s="84" t="e">
        <f>'Agents'' Final Roster 0823-0829'!#REF!</f>
        <v>#REF!</v>
      </c>
      <c r="E225" s="84"/>
      <c r="F225" s="84"/>
      <c r="G225" s="84"/>
      <c r="H225" s="84"/>
      <c r="I225" s="84"/>
      <c r="J225" s="84"/>
      <c r="K225" s="84"/>
      <c r="L225" s="45"/>
      <c r="M225" s="45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 t="e">
        <f>'Agents'' Final Roster 0823-0829'!#REF!</f>
        <v>#REF!</v>
      </c>
      <c r="AA225" s="39"/>
      <c r="AB225" s="39"/>
      <c r="AC225" s="39"/>
      <c r="AD225" s="39"/>
      <c r="AE225" s="39"/>
      <c r="AF225" s="39"/>
      <c r="AG225" s="39"/>
      <c r="AH225" s="39"/>
      <c r="AI225" s="39"/>
      <c r="AJ225" s="46"/>
      <c r="AK225" s="46"/>
      <c r="AL225" s="47"/>
      <c r="AM225" s="52"/>
      <c r="AN225" s="53"/>
      <c r="AO225" s="50"/>
    </row>
    <row r="226" spans="1:41" x14ac:dyDescent="0.25">
      <c r="A226" s="83" t="e">
        <f>'Agents'' Final Roster 0823-0829'!#REF!</f>
        <v>#REF!</v>
      </c>
      <c r="B226" s="84" t="e">
        <f>'Agents'' Final Roster 0823-0829'!#REF!</f>
        <v>#REF!</v>
      </c>
      <c r="C226" s="84" t="e">
        <f>'Agents'' Final Roster 0823-0829'!#REF!</f>
        <v>#REF!</v>
      </c>
      <c r="D226" s="84" t="e">
        <f>'Agents'' Final Roster 0823-0829'!#REF!</f>
        <v>#REF!</v>
      </c>
      <c r="E226" s="84"/>
      <c r="F226" s="84"/>
      <c r="G226" s="84"/>
      <c r="H226" s="84"/>
      <c r="I226" s="84"/>
      <c r="J226" s="84"/>
      <c r="K226" s="84"/>
      <c r="L226" s="45"/>
      <c r="M226" s="45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 t="e">
        <f>'Agents'' Final Roster 0823-0829'!#REF!</f>
        <v>#REF!</v>
      </c>
      <c r="AA226" s="39"/>
      <c r="AB226" s="39"/>
      <c r="AC226" s="39"/>
      <c r="AD226" s="39"/>
      <c r="AE226" s="39"/>
      <c r="AF226" s="39"/>
      <c r="AG226" s="39"/>
      <c r="AH226" s="39"/>
      <c r="AI226" s="39"/>
      <c r="AJ226" s="46"/>
      <c r="AK226" s="46"/>
      <c r="AL226" s="47"/>
      <c r="AM226" s="52"/>
      <c r="AN226" s="53"/>
      <c r="AO226" s="50"/>
    </row>
    <row r="227" spans="1:41" x14ac:dyDescent="0.25">
      <c r="A227" s="83" t="e">
        <f>'Agents'' Final Roster 0823-0829'!#REF!</f>
        <v>#REF!</v>
      </c>
      <c r="B227" s="84" t="e">
        <f>'Agents'' Final Roster 0823-0829'!#REF!</f>
        <v>#REF!</v>
      </c>
      <c r="C227" s="84" t="e">
        <f>'Agents'' Final Roster 0823-0829'!#REF!</f>
        <v>#REF!</v>
      </c>
      <c r="D227" s="84" t="e">
        <f>'Agents'' Final Roster 0823-0829'!#REF!</f>
        <v>#REF!</v>
      </c>
      <c r="E227" s="84"/>
      <c r="F227" s="84"/>
      <c r="G227" s="84"/>
      <c r="H227" s="84"/>
      <c r="I227" s="84"/>
      <c r="J227" s="84"/>
      <c r="K227" s="84"/>
      <c r="L227" s="45"/>
      <c r="M227" s="45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 t="e">
        <f>'Agents'' Final Roster 0823-0829'!#REF!</f>
        <v>#REF!</v>
      </c>
      <c r="AA227" s="39"/>
      <c r="AB227" s="39"/>
      <c r="AC227" s="39"/>
      <c r="AD227" s="39"/>
      <c r="AE227" s="39"/>
      <c r="AF227" s="39"/>
      <c r="AG227" s="39"/>
      <c r="AH227" s="39"/>
      <c r="AI227" s="39"/>
      <c r="AJ227" s="46"/>
      <c r="AK227" s="46"/>
      <c r="AL227" s="47"/>
      <c r="AM227" s="52"/>
      <c r="AN227" s="53"/>
      <c r="AO227" s="50"/>
    </row>
    <row r="228" spans="1:41" x14ac:dyDescent="0.25">
      <c r="A228" s="83" t="e">
        <f>'Agents'' Final Roster 0823-0829'!#REF!</f>
        <v>#REF!</v>
      </c>
      <c r="B228" s="84" t="e">
        <f>'Agents'' Final Roster 0823-0829'!#REF!</f>
        <v>#REF!</v>
      </c>
      <c r="C228" s="84" t="e">
        <f>'Agents'' Final Roster 0823-0829'!#REF!</f>
        <v>#REF!</v>
      </c>
      <c r="D228" s="84" t="e">
        <f>'Agents'' Final Roster 0823-0829'!#REF!</f>
        <v>#REF!</v>
      </c>
      <c r="E228" s="84"/>
      <c r="F228" s="84"/>
      <c r="G228" s="84"/>
      <c r="H228" s="84"/>
      <c r="I228" s="84"/>
      <c r="J228" s="84"/>
      <c r="K228" s="84"/>
      <c r="L228" s="45"/>
      <c r="M228" s="45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 t="e">
        <f>'Agents'' Final Roster 0823-0829'!#REF!</f>
        <v>#REF!</v>
      </c>
      <c r="AA228" s="39"/>
      <c r="AB228" s="39"/>
      <c r="AC228" s="39"/>
      <c r="AD228" s="39"/>
      <c r="AE228" s="39"/>
      <c r="AF228" s="39"/>
      <c r="AG228" s="39"/>
      <c r="AH228" s="39"/>
      <c r="AI228" s="39"/>
      <c r="AJ228" s="46"/>
      <c r="AK228" s="46"/>
      <c r="AL228" s="47"/>
      <c r="AM228" s="52"/>
      <c r="AN228" s="53"/>
      <c r="AO228" s="50"/>
    </row>
    <row r="229" spans="1:41" x14ac:dyDescent="0.25">
      <c r="A229" s="83" t="e">
        <f>'Agents'' Final Roster 0823-0829'!#REF!</f>
        <v>#REF!</v>
      </c>
      <c r="B229" s="84" t="e">
        <f>'Agents'' Final Roster 0823-0829'!#REF!</f>
        <v>#REF!</v>
      </c>
      <c r="C229" s="84" t="e">
        <f>'Agents'' Final Roster 0823-0829'!#REF!</f>
        <v>#REF!</v>
      </c>
      <c r="D229" s="84" t="e">
        <f>'Agents'' Final Roster 0823-0829'!#REF!</f>
        <v>#REF!</v>
      </c>
      <c r="E229" s="84"/>
      <c r="F229" s="84"/>
      <c r="G229" s="84"/>
      <c r="H229" s="84"/>
      <c r="I229" s="84"/>
      <c r="J229" s="84"/>
      <c r="K229" s="84"/>
      <c r="L229" s="45"/>
      <c r="M229" s="45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 t="e">
        <f>'Agents'' Final Roster 0823-0829'!#REF!</f>
        <v>#REF!</v>
      </c>
      <c r="AA229" s="39"/>
      <c r="AB229" s="39"/>
      <c r="AC229" s="39"/>
      <c r="AD229" s="39"/>
      <c r="AE229" s="39"/>
      <c r="AF229" s="39"/>
      <c r="AG229" s="39"/>
      <c r="AH229" s="39"/>
      <c r="AI229" s="39"/>
      <c r="AJ229" s="46"/>
      <c r="AK229" s="46"/>
      <c r="AL229" s="47"/>
      <c r="AM229" s="52"/>
      <c r="AN229" s="53"/>
      <c r="AO229" s="50"/>
    </row>
    <row r="230" spans="1:41" x14ac:dyDescent="0.25">
      <c r="A230" s="83" t="e">
        <f>'Agents'' Final Roster 0823-0829'!#REF!</f>
        <v>#REF!</v>
      </c>
      <c r="B230" s="84" t="e">
        <f>'Agents'' Final Roster 0823-0829'!#REF!</f>
        <v>#REF!</v>
      </c>
      <c r="C230" s="84" t="e">
        <f>'Agents'' Final Roster 0823-0829'!#REF!</f>
        <v>#REF!</v>
      </c>
      <c r="D230" s="84" t="e">
        <f>'Agents'' Final Roster 0823-0829'!#REF!</f>
        <v>#REF!</v>
      </c>
      <c r="E230" s="84"/>
      <c r="F230" s="84"/>
      <c r="G230" s="84"/>
      <c r="H230" s="84"/>
      <c r="I230" s="84"/>
      <c r="J230" s="84"/>
      <c r="K230" s="84"/>
      <c r="L230" s="45"/>
      <c r="M230" s="45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 t="e">
        <f>'Agents'' Final Roster 0823-0829'!#REF!</f>
        <v>#REF!</v>
      </c>
      <c r="AA230" s="39"/>
      <c r="AB230" s="39"/>
      <c r="AC230" s="39"/>
      <c r="AD230" s="39"/>
      <c r="AE230" s="39"/>
      <c r="AF230" s="39"/>
      <c r="AG230" s="39"/>
      <c r="AH230" s="39"/>
      <c r="AI230" s="39"/>
      <c r="AJ230" s="46"/>
      <c r="AK230" s="46"/>
      <c r="AL230" s="47"/>
      <c r="AM230" s="52"/>
      <c r="AN230" s="53"/>
      <c r="AO230" s="50"/>
    </row>
    <row r="231" spans="1:41" x14ac:dyDescent="0.25">
      <c r="A231" s="83" t="e">
        <f>'Agents'' Final Roster 0823-0829'!#REF!</f>
        <v>#REF!</v>
      </c>
      <c r="B231" s="84" t="e">
        <f>'Agents'' Final Roster 0823-0829'!#REF!</f>
        <v>#REF!</v>
      </c>
      <c r="C231" s="84" t="e">
        <f>'Agents'' Final Roster 0823-0829'!#REF!</f>
        <v>#REF!</v>
      </c>
      <c r="D231" s="84" t="e">
        <f>'Agents'' Final Roster 0823-0829'!#REF!</f>
        <v>#REF!</v>
      </c>
      <c r="E231" s="84"/>
      <c r="F231" s="84"/>
      <c r="G231" s="84"/>
      <c r="H231" s="84"/>
      <c r="I231" s="84"/>
      <c r="J231" s="84"/>
      <c r="K231" s="84"/>
      <c r="L231" s="45"/>
      <c r="M231" s="45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 t="e">
        <f>'Agents'' Final Roster 0823-0829'!#REF!</f>
        <v>#REF!</v>
      </c>
      <c r="AA231" s="39"/>
      <c r="AB231" s="39"/>
      <c r="AC231" s="39"/>
      <c r="AD231" s="39"/>
      <c r="AE231" s="39"/>
      <c r="AF231" s="39"/>
      <c r="AG231" s="39"/>
      <c r="AH231" s="39"/>
      <c r="AI231" s="39"/>
      <c r="AJ231" s="46"/>
      <c r="AK231" s="46"/>
      <c r="AL231" s="47"/>
      <c r="AM231" s="52"/>
      <c r="AN231" s="53"/>
      <c r="AO231" s="50"/>
    </row>
    <row r="232" spans="1:41" x14ac:dyDescent="0.25">
      <c r="A232" s="83" t="e">
        <f>'Agents'' Final Roster 0823-0829'!#REF!</f>
        <v>#REF!</v>
      </c>
      <c r="B232" s="84" t="e">
        <f>'Agents'' Final Roster 0823-0829'!#REF!</f>
        <v>#REF!</v>
      </c>
      <c r="C232" s="84" t="e">
        <f>'Agents'' Final Roster 0823-0829'!#REF!</f>
        <v>#REF!</v>
      </c>
      <c r="D232" s="84" t="e">
        <f>'Agents'' Final Roster 0823-0829'!#REF!</f>
        <v>#REF!</v>
      </c>
      <c r="E232" s="84"/>
      <c r="F232" s="84"/>
      <c r="G232" s="84"/>
      <c r="H232" s="84"/>
      <c r="I232" s="84"/>
      <c r="J232" s="84"/>
      <c r="K232" s="84"/>
      <c r="L232" s="45"/>
      <c r="M232" s="45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 t="e">
        <f>'Agents'' Final Roster 0823-0829'!#REF!</f>
        <v>#REF!</v>
      </c>
      <c r="AA232" s="39"/>
      <c r="AB232" s="39"/>
      <c r="AC232" s="39"/>
      <c r="AD232" s="39"/>
      <c r="AE232" s="39"/>
      <c r="AF232" s="39"/>
      <c r="AG232" s="39"/>
      <c r="AH232" s="39"/>
      <c r="AI232" s="39"/>
      <c r="AJ232" s="46"/>
      <c r="AK232" s="46"/>
      <c r="AL232" s="47"/>
      <c r="AM232" s="52"/>
      <c r="AN232" s="53"/>
      <c r="AO232" s="50"/>
    </row>
    <row r="233" spans="1:41" x14ac:dyDescent="0.25">
      <c r="A233" s="83" t="e">
        <f>'Agents'' Final Roster 0823-0829'!#REF!</f>
        <v>#REF!</v>
      </c>
      <c r="B233" s="84" t="e">
        <f>'Agents'' Final Roster 0823-0829'!#REF!</f>
        <v>#REF!</v>
      </c>
      <c r="C233" s="84" t="e">
        <f>'Agents'' Final Roster 0823-0829'!#REF!</f>
        <v>#REF!</v>
      </c>
      <c r="D233" s="84" t="e">
        <f>'Agents'' Final Roster 0823-0829'!#REF!</f>
        <v>#REF!</v>
      </c>
      <c r="E233" s="84"/>
      <c r="F233" s="84"/>
      <c r="G233" s="84"/>
      <c r="H233" s="84"/>
      <c r="I233" s="84"/>
      <c r="J233" s="84"/>
      <c r="K233" s="84"/>
      <c r="L233" s="45"/>
      <c r="M233" s="45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 t="e">
        <f>'Agents'' Final Roster 0823-0829'!#REF!</f>
        <v>#REF!</v>
      </c>
      <c r="AA233" s="39"/>
      <c r="AB233" s="39"/>
      <c r="AC233" s="39"/>
      <c r="AD233" s="39"/>
      <c r="AE233" s="39"/>
      <c r="AF233" s="39"/>
      <c r="AG233" s="39"/>
      <c r="AH233" s="39"/>
      <c r="AI233" s="39"/>
      <c r="AJ233" s="46"/>
      <c r="AK233" s="46"/>
      <c r="AL233" s="47"/>
      <c r="AM233" s="52"/>
      <c r="AN233" s="53"/>
      <c r="AO233" s="50"/>
    </row>
    <row r="234" spans="1:41" x14ac:dyDescent="0.25">
      <c r="A234" s="83" t="e">
        <f>'Agents'' Final Roster 0823-0829'!#REF!</f>
        <v>#REF!</v>
      </c>
      <c r="B234" s="84" t="e">
        <f>'Agents'' Final Roster 0823-0829'!#REF!</f>
        <v>#REF!</v>
      </c>
      <c r="C234" s="84" t="e">
        <f>'Agents'' Final Roster 0823-0829'!#REF!</f>
        <v>#REF!</v>
      </c>
      <c r="D234" s="84" t="e">
        <f>'Agents'' Final Roster 0823-0829'!#REF!</f>
        <v>#REF!</v>
      </c>
      <c r="E234" s="41"/>
      <c r="F234" s="41"/>
      <c r="G234" s="41"/>
      <c r="H234" s="41"/>
      <c r="I234" s="41"/>
      <c r="J234" s="41"/>
      <c r="K234" s="41"/>
      <c r="L234" s="45"/>
      <c r="M234" s="45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 t="e">
        <f>'Agents'' Final Roster 0823-0829'!#REF!</f>
        <v>#REF!</v>
      </c>
      <c r="AA234" s="39"/>
      <c r="AB234" s="39"/>
      <c r="AC234" s="39"/>
      <c r="AD234" s="39"/>
      <c r="AE234" s="39"/>
      <c r="AF234" s="39"/>
      <c r="AG234" s="39"/>
      <c r="AH234" s="39"/>
      <c r="AI234" s="39"/>
      <c r="AJ234" s="46"/>
      <c r="AK234" s="46"/>
      <c r="AL234" s="47"/>
      <c r="AM234" s="52"/>
      <c r="AN234" s="53"/>
      <c r="AO234" s="50"/>
    </row>
    <row r="235" spans="1:41" x14ac:dyDescent="0.25">
      <c r="A235" s="83" t="e">
        <f>'Agents'' Final Roster 0823-0829'!#REF!</f>
        <v>#REF!</v>
      </c>
      <c r="B235" s="84" t="e">
        <f>'Agents'' Final Roster 0823-0829'!#REF!</f>
        <v>#REF!</v>
      </c>
      <c r="C235" s="84" t="e">
        <f>'Agents'' Final Roster 0823-0829'!#REF!</f>
        <v>#REF!</v>
      </c>
      <c r="D235" s="84" t="e">
        <f>'Agents'' Final Roster 0823-0829'!#REF!</f>
        <v>#REF!</v>
      </c>
      <c r="E235" s="84"/>
      <c r="F235" s="84"/>
      <c r="G235" s="84"/>
      <c r="H235" s="84"/>
      <c r="I235" s="84"/>
      <c r="J235" s="84"/>
      <c r="K235" s="84"/>
      <c r="L235" s="45"/>
      <c r="M235" s="45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 t="e">
        <f>'Agents'' Final Roster 0823-0829'!#REF!</f>
        <v>#REF!</v>
      </c>
      <c r="AA235" s="39"/>
      <c r="AB235" s="39"/>
      <c r="AC235" s="39"/>
      <c r="AD235" s="39"/>
      <c r="AE235" s="39"/>
      <c r="AF235" s="39"/>
      <c r="AG235" s="39"/>
      <c r="AH235" s="39"/>
      <c r="AI235" s="39"/>
      <c r="AJ235" s="46"/>
      <c r="AK235" s="46"/>
      <c r="AL235" s="47"/>
      <c r="AM235" s="52"/>
      <c r="AN235" s="53"/>
      <c r="AO235" s="50"/>
    </row>
    <row r="236" spans="1:41" x14ac:dyDescent="0.25">
      <c r="A236" s="83" t="e">
        <f>'Agents'' Final Roster 0823-0829'!#REF!</f>
        <v>#REF!</v>
      </c>
      <c r="B236" s="84" t="e">
        <f>'Agents'' Final Roster 0823-0829'!#REF!</f>
        <v>#REF!</v>
      </c>
      <c r="C236" s="84" t="e">
        <f>'Agents'' Final Roster 0823-0829'!#REF!</f>
        <v>#REF!</v>
      </c>
      <c r="D236" s="84" t="e">
        <f>'Agents'' Final Roster 0823-0829'!#REF!</f>
        <v>#REF!</v>
      </c>
      <c r="E236" s="84"/>
      <c r="F236" s="84"/>
      <c r="G236" s="84"/>
      <c r="H236" s="84"/>
      <c r="I236" s="84"/>
      <c r="J236" s="84"/>
      <c r="K236" s="84"/>
      <c r="L236" s="45"/>
      <c r="M236" s="45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 t="e">
        <f>'Agents'' Final Roster 0823-0829'!#REF!</f>
        <v>#REF!</v>
      </c>
      <c r="AA236" s="39"/>
      <c r="AB236" s="39"/>
      <c r="AC236" s="39"/>
      <c r="AD236" s="39"/>
      <c r="AE236" s="39"/>
      <c r="AF236" s="39"/>
      <c r="AG236" s="39"/>
      <c r="AH236" s="39"/>
      <c r="AI236" s="39"/>
      <c r="AJ236" s="46"/>
      <c r="AK236" s="46"/>
      <c r="AL236" s="47"/>
      <c r="AM236" s="52"/>
      <c r="AN236" s="53"/>
      <c r="AO236" s="50"/>
    </row>
    <row r="237" spans="1:41" x14ac:dyDescent="0.25">
      <c r="A237" s="83" t="e">
        <f>'Agents'' Final Roster 0823-0829'!#REF!</f>
        <v>#REF!</v>
      </c>
      <c r="B237" s="84" t="e">
        <f>'Agents'' Final Roster 0823-0829'!#REF!</f>
        <v>#REF!</v>
      </c>
      <c r="C237" s="84" t="e">
        <f>'Agents'' Final Roster 0823-0829'!#REF!</f>
        <v>#REF!</v>
      </c>
      <c r="D237" s="84" t="e">
        <f>'Agents'' Final Roster 0823-0829'!#REF!</f>
        <v>#REF!</v>
      </c>
      <c r="E237" s="84"/>
      <c r="F237" s="84"/>
      <c r="G237" s="84"/>
      <c r="H237" s="84"/>
      <c r="I237" s="84"/>
      <c r="J237" s="84"/>
      <c r="K237" s="84"/>
      <c r="L237" s="45"/>
      <c r="M237" s="45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 t="e">
        <f>'Agents'' Final Roster 0823-0829'!#REF!</f>
        <v>#REF!</v>
      </c>
      <c r="AA237" s="39"/>
      <c r="AB237" s="39"/>
      <c r="AC237" s="39"/>
      <c r="AD237" s="39"/>
      <c r="AE237" s="39"/>
      <c r="AF237" s="39"/>
      <c r="AG237" s="39"/>
      <c r="AH237" s="39"/>
      <c r="AI237" s="39"/>
      <c r="AJ237" s="46"/>
      <c r="AK237" s="46"/>
      <c r="AL237" s="47"/>
      <c r="AM237" s="52"/>
      <c r="AN237" s="53"/>
      <c r="AO237" s="50"/>
    </row>
    <row r="238" spans="1:41" x14ac:dyDescent="0.25">
      <c r="A238" s="83" t="e">
        <f>'Agents'' Final Roster 0823-0829'!#REF!</f>
        <v>#REF!</v>
      </c>
      <c r="B238" s="84" t="e">
        <f>'Agents'' Final Roster 0823-0829'!#REF!</f>
        <v>#REF!</v>
      </c>
      <c r="C238" s="84" t="e">
        <f>'Agents'' Final Roster 0823-0829'!#REF!</f>
        <v>#REF!</v>
      </c>
      <c r="D238" s="84" t="e">
        <f>'Agents'' Final Roster 0823-0829'!#REF!</f>
        <v>#REF!</v>
      </c>
      <c r="E238" s="84"/>
      <c r="F238" s="84"/>
      <c r="G238" s="84"/>
      <c r="H238" s="84"/>
      <c r="I238" s="84"/>
      <c r="J238" s="84"/>
      <c r="K238" s="84"/>
      <c r="L238" s="45"/>
      <c r="M238" s="45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 t="e">
        <f>'Agents'' Final Roster 0823-0829'!#REF!</f>
        <v>#REF!</v>
      </c>
      <c r="AA238" s="39"/>
      <c r="AB238" s="39"/>
      <c r="AC238" s="39"/>
      <c r="AD238" s="39"/>
      <c r="AE238" s="39"/>
      <c r="AF238" s="39"/>
      <c r="AG238" s="39"/>
      <c r="AH238" s="39"/>
      <c r="AI238" s="39"/>
      <c r="AJ238" s="46"/>
      <c r="AK238" s="46"/>
      <c r="AL238" s="47"/>
      <c r="AM238" s="52"/>
      <c r="AN238" s="53"/>
      <c r="AO238" s="50"/>
    </row>
    <row r="239" spans="1:41" x14ac:dyDescent="0.25">
      <c r="A239" s="83" t="e">
        <f>'Agents'' Final Roster 0823-0829'!#REF!</f>
        <v>#REF!</v>
      </c>
      <c r="B239" s="84" t="e">
        <f>'Agents'' Final Roster 0823-0829'!#REF!</f>
        <v>#REF!</v>
      </c>
      <c r="C239" s="84" t="e">
        <f>'Agents'' Final Roster 0823-0829'!#REF!</f>
        <v>#REF!</v>
      </c>
      <c r="D239" s="84" t="e">
        <f>'Agents'' Final Roster 0823-0829'!#REF!</f>
        <v>#REF!</v>
      </c>
      <c r="E239" s="84"/>
      <c r="F239" s="84"/>
      <c r="G239" s="84"/>
      <c r="H239" s="84"/>
      <c r="I239" s="84"/>
      <c r="J239" s="84"/>
      <c r="K239" s="84"/>
      <c r="L239" s="45"/>
      <c r="M239" s="45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 t="e">
        <f>'Agents'' Final Roster 0823-0829'!#REF!</f>
        <v>#REF!</v>
      </c>
      <c r="AA239" s="39"/>
      <c r="AB239" s="39"/>
      <c r="AC239" s="39"/>
      <c r="AD239" s="39"/>
      <c r="AE239" s="39"/>
      <c r="AF239" s="39"/>
      <c r="AG239" s="39"/>
      <c r="AH239" s="39"/>
      <c r="AI239" s="39"/>
      <c r="AJ239" s="46"/>
      <c r="AK239" s="46"/>
      <c r="AL239" s="47"/>
      <c r="AM239" s="52"/>
      <c r="AN239" s="53"/>
      <c r="AO239" s="50"/>
    </row>
    <row r="240" spans="1:41" x14ac:dyDescent="0.25">
      <c r="A240" s="83" t="str">
        <f>'Agents'' Final Roster 0823-0829'!A185</f>
        <v>Campero Juarez Maria Guadalupe</v>
      </c>
      <c r="B240" s="84" t="str">
        <f>'Agents'' Final Roster 0823-0829'!B185</f>
        <v>Arias Juan José</v>
      </c>
      <c r="C240" s="84" t="str">
        <f>'Agents'' Final Roster 0823-0829'!C185</f>
        <v>Ale</v>
      </c>
      <c r="D240" s="84" t="str">
        <f>'Agents'' Final Roster 0823-0829'!D185</f>
        <v xml:space="preserve"> Rocío Agustina</v>
      </c>
      <c r="E240" s="84"/>
      <c r="F240" s="84"/>
      <c r="G240" s="84"/>
      <c r="H240" s="84"/>
      <c r="I240" s="84"/>
      <c r="J240" s="84"/>
      <c r="K240" s="84"/>
      <c r="L240" s="45"/>
      <c r="M240" s="45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 t="str">
        <f>'Agents'' Final Roster 0823-0829'!Z185</f>
        <v>Servicios web</v>
      </c>
      <c r="AA240" s="39"/>
      <c r="AB240" s="39"/>
      <c r="AC240" s="39"/>
      <c r="AD240" s="39"/>
      <c r="AE240" s="39"/>
      <c r="AF240" s="39"/>
      <c r="AG240" s="39"/>
      <c r="AH240" s="39"/>
      <c r="AI240" s="39"/>
      <c r="AJ240" s="46"/>
      <c r="AK240" s="46"/>
      <c r="AL240" s="47"/>
      <c r="AM240" s="52"/>
      <c r="AN240" s="53"/>
      <c r="AO240" s="50"/>
    </row>
    <row r="241" spans="1:41" x14ac:dyDescent="0.25">
      <c r="A241" s="83" t="str">
        <f>'Agents'' Final Roster 0823-0829'!A186</f>
        <v>Campero Juarez Maria Guadalupe</v>
      </c>
      <c r="B241" s="84" t="str">
        <f>'Agents'' Final Roster 0823-0829'!B186</f>
        <v>Arias Juan José</v>
      </c>
      <c r="C241" s="84" t="str">
        <f>'Agents'' Final Roster 0823-0829'!C186</f>
        <v>Aragón</v>
      </c>
      <c r="D241" s="84" t="str">
        <f>'Agents'' Final Roster 0823-0829'!D186</f>
        <v>Maria Celeste</v>
      </c>
      <c r="E241" s="84"/>
      <c r="F241" s="84"/>
      <c r="G241" s="84"/>
      <c r="H241" s="84"/>
      <c r="I241" s="84"/>
      <c r="J241" s="84"/>
      <c r="K241" s="84"/>
      <c r="L241" s="45"/>
      <c r="M241" s="45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 t="str">
        <f>'Agents'' Final Roster 0823-0829'!Z186</f>
        <v>Compras Referidas</v>
      </c>
      <c r="AA241" s="39"/>
      <c r="AB241" s="39"/>
      <c r="AC241" s="39"/>
      <c r="AD241" s="39"/>
      <c r="AE241" s="39"/>
      <c r="AF241" s="39"/>
      <c r="AG241" s="39"/>
      <c r="AH241" s="39"/>
      <c r="AI241" s="39"/>
      <c r="AJ241" s="46"/>
      <c r="AK241" s="46"/>
      <c r="AL241" s="47"/>
      <c r="AM241" s="52"/>
      <c r="AN241" s="53"/>
      <c r="AO241" s="50"/>
    </row>
    <row r="242" spans="1:41" x14ac:dyDescent="0.25">
      <c r="A242" s="89" t="str">
        <f>'Agents'' Final Roster 0823-0829'!A187</f>
        <v>Campero Juarez Maria Guadalupe</v>
      </c>
      <c r="B242" s="84" t="str">
        <f>'Agents'' Final Roster 0823-0829'!B187</f>
        <v>Arias Juan José</v>
      </c>
      <c r="C242" s="90" t="str">
        <f>'Agents'' Final Roster 0823-0829'!C187</f>
        <v>Cejas</v>
      </c>
      <c r="D242" s="90" t="str">
        <f>'Agents'' Final Roster 0823-0829'!D187</f>
        <v>Ignacio Martin</v>
      </c>
      <c r="E242" s="90"/>
      <c r="F242" s="90"/>
      <c r="G242" s="90"/>
      <c r="H242" s="90"/>
      <c r="I242" s="90"/>
      <c r="J242" s="90"/>
      <c r="K242" s="90"/>
      <c r="L242" s="77"/>
      <c r="M242" s="77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 t="str">
        <f>'Agents'' Final Roster 0823-0829'!Z187</f>
        <v>Compras Referidas</v>
      </c>
      <c r="AA242" s="76"/>
      <c r="AB242" s="76"/>
      <c r="AC242" s="76"/>
      <c r="AD242" s="76"/>
      <c r="AE242" s="76"/>
      <c r="AF242" s="76"/>
      <c r="AG242" s="76"/>
      <c r="AH242" s="76"/>
      <c r="AI242" s="76"/>
      <c r="AJ242" s="78"/>
      <c r="AK242" s="78"/>
      <c r="AL242" s="79"/>
      <c r="AM242" s="80"/>
      <c r="AN242" s="81"/>
      <c r="AO242" s="82"/>
    </row>
    <row r="243" spans="1:41" x14ac:dyDescent="0.25">
      <c r="A243" s="83" t="str">
        <f>'Agents'' Final Roster 0823-0829'!A188</f>
        <v>Campero Juarez Maria Guadalupe</v>
      </c>
      <c r="B243" s="84" t="str">
        <f>'Agents'' Final Roster 0823-0829'!B188</f>
        <v>Arias Juan José</v>
      </c>
      <c r="C243" s="84" t="str">
        <f>'Agents'' Final Roster 0823-0829'!C188</f>
        <v>Quiroga</v>
      </c>
      <c r="D243" s="84" t="str">
        <f>'Agents'' Final Roster 0823-0829'!D188</f>
        <v xml:space="preserve"> Marianella Stefania</v>
      </c>
      <c r="E243" s="84"/>
      <c r="F243" s="84"/>
      <c r="G243" s="84"/>
      <c r="H243" s="84"/>
      <c r="I243" s="84"/>
      <c r="J243" s="84"/>
      <c r="K243" s="84"/>
      <c r="L243" s="45"/>
      <c r="M243" s="45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 t="str">
        <f>'Agents'' Final Roster 0823-0829'!Z188</f>
        <v>Servicios web</v>
      </c>
      <c r="AA243" s="39"/>
      <c r="AB243" s="39"/>
      <c r="AC243" s="39"/>
      <c r="AD243" s="39"/>
      <c r="AE243" s="39"/>
      <c r="AF243" s="39"/>
      <c r="AG243" s="39"/>
      <c r="AH243" s="39"/>
      <c r="AI243" s="39"/>
      <c r="AJ243" s="46"/>
      <c r="AK243" s="46"/>
      <c r="AL243" s="47"/>
      <c r="AM243" s="52"/>
      <c r="AN243" s="53"/>
      <c r="AO243" s="50"/>
    </row>
    <row r="244" spans="1:41" x14ac:dyDescent="0.25">
      <c r="A244" s="83" t="str">
        <f>'Agents'' Final Roster 0823-0829'!A189</f>
        <v>Campero Juarez Maria Guadalupe</v>
      </c>
      <c r="B244" s="84" t="str">
        <f>'Agents'' Final Roster 0823-0829'!B189</f>
        <v>Corbera Susana Sofía</v>
      </c>
      <c r="C244" s="84" t="str">
        <f>'Agents'' Final Roster 0823-0829'!C189</f>
        <v>Pomo</v>
      </c>
      <c r="D244" s="84" t="str">
        <f>'Agents'' Final Roster 0823-0829'!D189</f>
        <v xml:space="preserve"> Daniel Nicolas</v>
      </c>
      <c r="E244" s="70"/>
      <c r="F244" s="70"/>
      <c r="G244" s="70"/>
      <c r="H244" s="70"/>
      <c r="I244" s="70"/>
      <c r="J244" s="70"/>
      <c r="K244" s="70"/>
      <c r="L244" s="45"/>
      <c r="M244" s="45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 t="str">
        <f>'Agents'' Final Roster 0823-0829'!Z189</f>
        <v>Compras Referidas</v>
      </c>
      <c r="AA244" s="39"/>
      <c r="AB244" s="39"/>
      <c r="AC244" s="39"/>
      <c r="AD244" s="39"/>
      <c r="AE244" s="39"/>
      <c r="AF244" s="39"/>
      <c r="AG244" s="39"/>
      <c r="AH244" s="39"/>
      <c r="AI244" s="39"/>
      <c r="AJ244" s="46"/>
      <c r="AK244" s="46"/>
      <c r="AL244" s="47"/>
      <c r="AM244" s="52"/>
      <c r="AN244" s="53"/>
      <c r="AO244" s="50"/>
    </row>
    <row r="245" spans="1:41" x14ac:dyDescent="0.25">
      <c r="A245" s="83" t="str">
        <f>'Agents'' Final Roster 0823-0829'!A190</f>
        <v>Campero Juarez Maria Guadalupe</v>
      </c>
      <c r="B245" s="84" t="str">
        <f>'Agents'' Final Roster 0823-0829'!B190</f>
        <v>Corbera Susana Sofía</v>
      </c>
      <c r="C245" s="84" t="str">
        <f>'Agents'' Final Roster 0823-0829'!C190</f>
        <v>Soto</v>
      </c>
      <c r="D245" s="84" t="str">
        <f>'Agents'' Final Roster 0823-0829'!D190</f>
        <v>Fatima Belen</v>
      </c>
      <c r="E245" s="84"/>
      <c r="F245" s="84"/>
      <c r="G245" s="84"/>
      <c r="H245" s="84"/>
      <c r="I245" s="84"/>
      <c r="J245" s="84"/>
      <c r="K245" s="84"/>
      <c r="L245" s="45"/>
      <c r="M245" s="45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 t="str">
        <f>'Agents'' Final Roster 0823-0829'!Z190</f>
        <v>CSV2</v>
      </c>
      <c r="AA245" s="39"/>
      <c r="AB245" s="39"/>
      <c r="AC245" s="39"/>
      <c r="AD245" s="39"/>
      <c r="AE245" s="39"/>
      <c r="AF245" s="39"/>
      <c r="AG245" s="39"/>
      <c r="AH245" s="39"/>
      <c r="AI245" s="39"/>
      <c r="AJ245" s="46"/>
      <c r="AK245" s="46"/>
      <c r="AL245" s="47"/>
      <c r="AM245" s="52"/>
      <c r="AN245" s="53"/>
      <c r="AO245" s="50"/>
    </row>
    <row r="246" spans="1:41" x14ac:dyDescent="0.25">
      <c r="A246" s="83" t="str">
        <f>'Agents'' Final Roster 0823-0829'!A191</f>
        <v>Campero Juarez Maria Guadalupe</v>
      </c>
      <c r="B246" s="84" t="str">
        <f>'Agents'' Final Roster 0823-0829'!B191</f>
        <v>Criado Esteban</v>
      </c>
      <c r="C246" s="84" t="str">
        <f>'Agents'' Final Roster 0823-0829'!C191</f>
        <v>Formoselle</v>
      </c>
      <c r="D246" s="84" t="str">
        <f>'Agents'' Final Roster 0823-0829'!D191</f>
        <v>Ivana Veronica</v>
      </c>
      <c r="E246" s="84"/>
      <c r="F246" s="84"/>
      <c r="G246" s="84"/>
      <c r="H246" s="84"/>
      <c r="I246" s="84"/>
      <c r="J246" s="84"/>
      <c r="K246" s="84"/>
      <c r="L246" s="45"/>
      <c r="M246" s="45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 t="str">
        <f>'Agents'' Final Roster 0823-0829'!Z191</f>
        <v>Servicios web</v>
      </c>
      <c r="AA246" s="39"/>
      <c r="AB246" s="39"/>
      <c r="AC246" s="39"/>
      <c r="AD246" s="39"/>
      <c r="AE246" s="39"/>
      <c r="AF246" s="39"/>
      <c r="AG246" s="39"/>
      <c r="AH246" s="39"/>
      <c r="AI246" s="39"/>
      <c r="AJ246" s="46"/>
      <c r="AK246" s="46"/>
      <c r="AL246" s="47"/>
      <c r="AM246" s="52"/>
      <c r="AN246" s="53"/>
      <c r="AO246" s="50"/>
    </row>
    <row r="247" spans="1:41" x14ac:dyDescent="0.25">
      <c r="A247" s="83" t="str">
        <f>'Agents'' Final Roster 0823-0829'!A192</f>
        <v>Campero Juarez Maria Guadalupe</v>
      </c>
      <c r="B247" s="84" t="str">
        <f>'Agents'' Final Roster 0823-0829'!B192</f>
        <v>Criado Esteban</v>
      </c>
      <c r="C247" s="84" t="str">
        <f>'Agents'' Final Roster 0823-0829'!C192</f>
        <v>Giolito</v>
      </c>
      <c r="D247" s="84" t="str">
        <f>'Agents'' Final Roster 0823-0829'!D192</f>
        <v>Maira Elizabeth</v>
      </c>
      <c r="E247" s="84"/>
      <c r="F247" s="84"/>
      <c r="G247" s="84"/>
      <c r="H247" s="84"/>
      <c r="I247" s="84"/>
      <c r="J247" s="84"/>
      <c r="K247" s="84"/>
      <c r="L247" s="45"/>
      <c r="M247" s="45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 t="str">
        <f>'Agents'' Final Roster 0823-0829'!Z192</f>
        <v>DVH</v>
      </c>
      <c r="AA247" s="39"/>
      <c r="AB247" s="39"/>
      <c r="AC247" s="39"/>
      <c r="AD247" s="39"/>
      <c r="AE247" s="39"/>
      <c r="AF247" s="39"/>
      <c r="AG247" s="39"/>
      <c r="AH247" s="39"/>
      <c r="AI247" s="39"/>
      <c r="AJ247" s="46"/>
      <c r="AK247" s="46"/>
      <c r="AL247" s="47"/>
      <c r="AM247" s="52"/>
      <c r="AN247" s="53"/>
      <c r="AO247" s="50"/>
    </row>
    <row r="248" spans="1:41" x14ac:dyDescent="0.25">
      <c r="A248" s="83" t="str">
        <f>'Agents'' Final Roster 0823-0829'!A193</f>
        <v>Campero Juarez Maria Guadalupe</v>
      </c>
      <c r="B248" s="84" t="str">
        <f>'Agents'' Final Roster 0823-0829'!B193</f>
        <v>Criado Esteban</v>
      </c>
      <c r="C248" s="84" t="str">
        <f>'Agents'' Final Roster 0823-0829'!C193</f>
        <v>López</v>
      </c>
      <c r="D248" s="84" t="str">
        <f>'Agents'' Final Roster 0823-0829'!D193</f>
        <v xml:space="preserve"> Matias Gonzalo</v>
      </c>
      <c r="E248" s="84"/>
      <c r="F248" s="84"/>
      <c r="G248" s="84"/>
      <c r="H248" s="84"/>
      <c r="I248" s="84"/>
      <c r="J248" s="84"/>
      <c r="K248" s="84"/>
      <c r="L248" s="45"/>
      <c r="M248" s="45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 t="str">
        <f>'Agents'' Final Roster 0823-0829'!Z193</f>
        <v>Compras Referidas</v>
      </c>
      <c r="AA248" s="39"/>
      <c r="AB248" s="39"/>
      <c r="AC248" s="39"/>
      <c r="AD248" s="39"/>
      <c r="AE248" s="39"/>
      <c r="AF248" s="39"/>
      <c r="AG248" s="39"/>
      <c r="AH248" s="39"/>
      <c r="AI248" s="39"/>
      <c r="AJ248" s="46"/>
      <c r="AK248" s="46"/>
      <c r="AL248" s="47"/>
      <c r="AM248" s="52"/>
      <c r="AN248" s="53"/>
      <c r="AO248" s="50"/>
    </row>
    <row r="249" spans="1:41" x14ac:dyDescent="0.25">
      <c r="A249" s="83" t="str">
        <f>'Agents'' Final Roster 0823-0829'!A194</f>
        <v>Campero Juarez Maria Guadalupe</v>
      </c>
      <c r="B249" s="84" t="str">
        <f>'Agents'' Final Roster 0823-0829'!B194</f>
        <v>Criado Esteban</v>
      </c>
      <c r="C249" s="84" t="str">
        <f>'Agents'' Final Roster 0823-0829'!C194</f>
        <v>Palavecino</v>
      </c>
      <c r="D249" s="84" t="str">
        <f>'Agents'' Final Roster 0823-0829'!D194</f>
        <v xml:space="preserve"> Pablo Mauricio</v>
      </c>
      <c r="E249" s="70"/>
      <c r="F249" s="70"/>
      <c r="G249" s="70"/>
      <c r="H249" s="70"/>
      <c r="I249" s="70"/>
      <c r="J249" s="70"/>
      <c r="K249" s="70"/>
      <c r="L249" s="45"/>
      <c r="M249" s="45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 t="str">
        <f>'Agents'' Final Roster 0823-0829'!Z194</f>
        <v>Compras Referidas</v>
      </c>
      <c r="AA249" s="39"/>
      <c r="AB249" s="39"/>
      <c r="AC249" s="39"/>
      <c r="AD249" s="39"/>
      <c r="AE249" s="39"/>
      <c r="AF249" s="39"/>
      <c r="AG249" s="39"/>
      <c r="AH249" s="39"/>
      <c r="AI249" s="39"/>
      <c r="AJ249" s="46"/>
      <c r="AK249" s="46"/>
      <c r="AL249" s="47"/>
      <c r="AM249" s="52"/>
      <c r="AN249" s="53"/>
      <c r="AO249" s="50"/>
    </row>
    <row r="250" spans="1:41" x14ac:dyDescent="0.25">
      <c r="A250" s="83" t="str">
        <f>'Agents'' Final Roster 0823-0829'!A195</f>
        <v>Perez Zitzke Agustina</v>
      </c>
      <c r="B250" s="84" t="str">
        <f>'Agents'' Final Roster 0823-0829'!B195</f>
        <v>Vazquez Valladares Eduardo Alejandro</v>
      </c>
      <c r="C250" s="84" t="str">
        <f>'Agents'' Final Roster 0823-0829'!C195</f>
        <v>Coronel</v>
      </c>
      <c r="D250" s="84" t="str">
        <f>'Agents'' Final Roster 0823-0829'!D195</f>
        <v xml:space="preserve"> José Benjamín</v>
      </c>
      <c r="E250" s="84"/>
      <c r="F250" s="84"/>
      <c r="G250" s="84"/>
      <c r="H250" s="84"/>
      <c r="I250" s="84"/>
      <c r="J250" s="84"/>
      <c r="K250" s="84"/>
      <c r="L250" s="45"/>
      <c r="M250" s="45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 t="str">
        <f>'Agents'' Final Roster 0823-0829'!Z195</f>
        <v>Servicios web</v>
      </c>
      <c r="AA250" s="39"/>
      <c r="AB250" s="39"/>
      <c r="AC250" s="39"/>
      <c r="AD250" s="39"/>
      <c r="AE250" s="39"/>
      <c r="AF250" s="39"/>
      <c r="AG250" s="39"/>
      <c r="AH250" s="39"/>
      <c r="AI250" s="39"/>
      <c r="AJ250" s="46"/>
      <c r="AK250" s="46"/>
      <c r="AL250" s="47"/>
      <c r="AM250" s="52"/>
      <c r="AN250" s="53"/>
      <c r="AO250" s="50"/>
    </row>
    <row r="251" spans="1:41" x14ac:dyDescent="0.25">
      <c r="A251" s="83" t="str">
        <f>'Agents'' Final Roster 0823-0829'!A196</f>
        <v>Campero Juarez Maria Guadalupe</v>
      </c>
      <c r="B251" s="84" t="str">
        <f>'Agents'' Final Roster 0823-0829'!B196</f>
        <v>Gregoratti Juan Carlos</v>
      </c>
      <c r="C251" s="84" t="str">
        <f>'Agents'' Final Roster 0823-0829'!C196</f>
        <v>Ferroni</v>
      </c>
      <c r="D251" s="84" t="str">
        <f>'Agents'' Final Roster 0823-0829'!D196</f>
        <v>Carlos Agustin</v>
      </c>
      <c r="E251" s="84"/>
      <c r="F251" s="84"/>
      <c r="G251" s="84"/>
      <c r="H251" s="84"/>
      <c r="I251" s="84"/>
      <c r="J251" s="84"/>
      <c r="K251" s="84"/>
      <c r="L251" s="45"/>
      <c r="M251" s="45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 t="str">
        <f>'Agents'' Final Roster 0823-0829'!Z196</f>
        <v>Compras Referidas</v>
      </c>
      <c r="AA251" s="39"/>
      <c r="AB251" s="39"/>
      <c r="AC251" s="39"/>
      <c r="AD251" s="39"/>
      <c r="AE251" s="39"/>
      <c r="AF251" s="39"/>
      <c r="AG251" s="39"/>
      <c r="AH251" s="39"/>
      <c r="AI251" s="39"/>
      <c r="AJ251" s="46"/>
      <c r="AK251" s="46"/>
      <c r="AL251" s="47"/>
      <c r="AM251" s="52"/>
      <c r="AN251" s="53"/>
      <c r="AO251" s="50"/>
    </row>
    <row r="252" spans="1:41" x14ac:dyDescent="0.25">
      <c r="A252" s="83" t="str">
        <f>'Agents'' Final Roster 0823-0829'!A197</f>
        <v>Campero Juarez Maria Guadalupe</v>
      </c>
      <c r="B252" s="84" t="str">
        <f>'Agents'' Final Roster 0823-0829'!B197</f>
        <v>Gregoratti Juan Carlos</v>
      </c>
      <c r="C252" s="84" t="str">
        <f>'Agents'' Final Roster 0823-0829'!C197</f>
        <v>Figueroa</v>
      </c>
      <c r="D252" s="84" t="str">
        <f>'Agents'' Final Roster 0823-0829'!D197</f>
        <v>Aranda María</v>
      </c>
      <c r="E252" s="84"/>
      <c r="F252" s="84"/>
      <c r="G252" s="84"/>
      <c r="H252" s="84"/>
      <c r="I252" s="84"/>
      <c r="J252" s="84"/>
      <c r="K252" s="84"/>
      <c r="L252" s="45"/>
      <c r="M252" s="45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 t="str">
        <f>'Agents'' Final Roster 0823-0829'!Z197</f>
        <v>Servicios web</v>
      </c>
      <c r="AA252" s="39"/>
      <c r="AB252" s="39"/>
      <c r="AC252" s="39"/>
      <c r="AD252" s="39"/>
      <c r="AE252" s="39"/>
      <c r="AF252" s="39"/>
      <c r="AG252" s="39"/>
      <c r="AH252" s="39"/>
      <c r="AI252" s="39"/>
      <c r="AJ252" s="46"/>
      <c r="AK252" s="46"/>
      <c r="AL252" s="47"/>
      <c r="AM252" s="52"/>
      <c r="AN252" s="53"/>
      <c r="AO252" s="50"/>
    </row>
    <row r="253" spans="1:41" x14ac:dyDescent="0.25">
      <c r="A253" s="83" t="str">
        <f>'Agents'' Final Roster 0823-0829'!A198</f>
        <v>Campero Juarez Maria Guadalupe</v>
      </c>
      <c r="B253" s="84" t="str">
        <f>'Agents'' Final Roster 0823-0829'!B198</f>
        <v>Gregoratti Juan Carlos</v>
      </c>
      <c r="C253" s="84" t="str">
        <f>'Agents'' Final Roster 0823-0829'!C198</f>
        <v>Quiroga Castro</v>
      </c>
      <c r="D253" s="84" t="str">
        <f>'Agents'' Final Roster 0823-0829'!D198</f>
        <v>Franco Nicolas</v>
      </c>
      <c r="E253" s="84"/>
      <c r="F253" s="84"/>
      <c r="G253" s="84"/>
      <c r="H253" s="84"/>
      <c r="I253" s="84"/>
      <c r="J253" s="84"/>
      <c r="K253" s="84"/>
      <c r="L253" s="45"/>
      <c r="M253" s="45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 t="str">
        <f>'Agents'' Final Roster 0823-0829'!Z198</f>
        <v>DVH</v>
      </c>
      <c r="AA253" s="39"/>
      <c r="AB253" s="39"/>
      <c r="AC253" s="39"/>
      <c r="AD253" s="39"/>
      <c r="AE253" s="39"/>
      <c r="AF253" s="39"/>
      <c r="AG253" s="39"/>
      <c r="AH253" s="39"/>
      <c r="AI253" s="39"/>
      <c r="AJ253" s="46"/>
      <c r="AK253" s="46"/>
      <c r="AL253" s="47"/>
      <c r="AM253" s="52"/>
      <c r="AN253" s="53"/>
      <c r="AO253" s="50"/>
    </row>
    <row r="254" spans="1:41" hidden="1" x14ac:dyDescent="0.25">
      <c r="A254" s="83" t="str">
        <f>'Agents'' Final Roster 0823-0829'!A199</f>
        <v>Perez Zitzke Agustina</v>
      </c>
      <c r="B254" s="84" t="str">
        <f>'Agents'' Final Roster 0823-0829'!B199</f>
        <v>Grimaldi Agustina Sofía</v>
      </c>
      <c r="C254" s="84" t="str">
        <f>'Agents'' Final Roster 0823-0829'!C199</f>
        <v>Ale</v>
      </c>
      <c r="D254" s="84" t="str">
        <f>'Agents'' Final Roster 0823-0829'!D199</f>
        <v>Micaela Estefania</v>
      </c>
      <c r="E254" s="84"/>
      <c r="F254" s="84"/>
      <c r="G254" s="84"/>
      <c r="H254" s="84"/>
      <c r="I254" s="84"/>
      <c r="J254" s="84"/>
      <c r="K254" s="84"/>
      <c r="L254" s="45"/>
      <c r="M254" s="45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 t="str">
        <f>'Agents'' Final Roster 0823-0829'!Z199</f>
        <v>DVH</v>
      </c>
      <c r="AA254" s="39"/>
      <c r="AB254" s="39"/>
      <c r="AC254" s="39"/>
      <c r="AD254" s="39"/>
      <c r="AE254" s="39"/>
      <c r="AF254" s="39"/>
      <c r="AG254" s="39"/>
      <c r="AH254" s="39"/>
      <c r="AI254" s="39"/>
      <c r="AJ254" s="46"/>
      <c r="AK254" s="46"/>
      <c r="AL254" s="47"/>
      <c r="AM254" s="52"/>
      <c r="AN254" s="53"/>
      <c r="AO254" s="50"/>
    </row>
    <row r="255" spans="1:41" x14ac:dyDescent="0.25">
      <c r="A255" s="83" t="str">
        <f>'Agents'' Final Roster 0823-0829'!A200</f>
        <v>Perez Zitzke Agustina</v>
      </c>
      <c r="B255" s="84" t="str">
        <f>'Agents'' Final Roster 0823-0829'!B200</f>
        <v>Grimaldi Agustina Sofía</v>
      </c>
      <c r="C255" s="84" t="str">
        <f>'Agents'' Final Roster 0823-0829'!C200</f>
        <v>Avellaneda</v>
      </c>
      <c r="D255" s="84" t="str">
        <f>'Agents'' Final Roster 0823-0829'!D200</f>
        <v>Nicolás Alfredo</v>
      </c>
      <c r="E255" s="84"/>
      <c r="F255" s="84"/>
      <c r="G255" s="84"/>
      <c r="H255" s="84"/>
      <c r="I255" s="84"/>
      <c r="J255" s="84"/>
      <c r="K255" s="84"/>
      <c r="L255" s="45"/>
      <c r="M255" s="45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 t="str">
        <f>'Agents'' Final Roster 0823-0829'!Z200</f>
        <v>Compras Referidas</v>
      </c>
      <c r="AA255" s="39"/>
      <c r="AB255" s="39"/>
      <c r="AC255" s="39"/>
      <c r="AD255" s="39"/>
      <c r="AE255" s="39"/>
      <c r="AF255" s="39"/>
      <c r="AG255" s="39"/>
      <c r="AH255" s="39"/>
      <c r="AI255" s="39"/>
      <c r="AJ255" s="46"/>
      <c r="AK255" s="46"/>
      <c r="AL255" s="47"/>
      <c r="AM255" s="52"/>
      <c r="AN255" s="53"/>
      <c r="AO255" s="50"/>
    </row>
    <row r="256" spans="1:41" x14ac:dyDescent="0.25">
      <c r="A256" s="83" t="str">
        <f>'Agents'' Final Roster 0823-0829'!A201</f>
        <v>Perez Zitzke Agustina</v>
      </c>
      <c r="B256" s="84" t="str">
        <f>'Agents'' Final Roster 0823-0829'!B201</f>
        <v>Grimaldi Agustina Sofía</v>
      </c>
      <c r="C256" s="84" t="str">
        <f>'Agents'' Final Roster 0823-0829'!C201</f>
        <v>Courel</v>
      </c>
      <c r="D256" s="84" t="str">
        <f>'Agents'' Final Roster 0823-0829'!D201</f>
        <v>Axel Nahuel</v>
      </c>
      <c r="E256" s="84"/>
      <c r="F256" s="84"/>
      <c r="G256" s="84"/>
      <c r="H256" s="84"/>
      <c r="I256" s="84"/>
      <c r="J256" s="84"/>
      <c r="K256" s="84"/>
      <c r="L256" s="45"/>
      <c r="M256" s="45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 t="str">
        <f>'Agents'' Final Roster 0823-0829'!Z201</f>
        <v>Servicios web</v>
      </c>
      <c r="AA256" s="39"/>
      <c r="AB256" s="39"/>
      <c r="AC256" s="39"/>
      <c r="AD256" s="39"/>
      <c r="AE256" s="39"/>
      <c r="AF256" s="39"/>
      <c r="AG256" s="39"/>
      <c r="AH256" s="39"/>
      <c r="AI256" s="39"/>
      <c r="AJ256" s="46"/>
      <c r="AK256" s="46"/>
      <c r="AL256" s="47"/>
      <c r="AM256" s="52"/>
      <c r="AN256" s="53"/>
      <c r="AO256" s="50"/>
    </row>
    <row r="257" spans="1:41" x14ac:dyDescent="0.25">
      <c r="A257" s="83" t="str">
        <f>'Agents'' Final Roster 0823-0829'!A202</f>
        <v>Perez Zitzke Agustina</v>
      </c>
      <c r="B257" s="84" t="str">
        <f>'Agents'' Final Roster 0823-0829'!B202</f>
        <v>Grimaldi Agustina Sofía</v>
      </c>
      <c r="C257" s="84" t="str">
        <f>'Agents'' Final Roster 0823-0829'!C202</f>
        <v>Gamero Albornoz</v>
      </c>
      <c r="D257" s="84" t="str">
        <f>'Agents'' Final Roster 0823-0829'!D202</f>
        <v>Romina</v>
      </c>
      <c r="E257" s="84"/>
      <c r="F257" s="84"/>
      <c r="G257" s="84"/>
      <c r="H257" s="84"/>
      <c r="I257" s="84"/>
      <c r="J257" s="84"/>
      <c r="K257" s="84"/>
      <c r="L257" s="45"/>
      <c r="M257" s="45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 t="str">
        <f>'Agents'' Final Roster 0823-0829'!Z202</f>
        <v>Servicios web</v>
      </c>
      <c r="AA257" s="39"/>
      <c r="AB257" s="39"/>
      <c r="AC257" s="39"/>
      <c r="AD257" s="39"/>
      <c r="AE257" s="39"/>
      <c r="AF257" s="39"/>
      <c r="AG257" s="39"/>
      <c r="AH257" s="39"/>
      <c r="AI257" s="39"/>
      <c r="AJ257" s="46"/>
      <c r="AK257" s="46"/>
      <c r="AL257" s="47"/>
      <c r="AM257" s="52"/>
      <c r="AN257" s="53"/>
      <c r="AO257" s="50"/>
    </row>
    <row r="258" spans="1:41" x14ac:dyDescent="0.25">
      <c r="A258" s="83" t="str">
        <f>'Agents'' Final Roster 0823-0829'!A203</f>
        <v>Perez Zitzke Agustina</v>
      </c>
      <c r="B258" s="84" t="str">
        <f>'Agents'' Final Roster 0823-0829'!B203</f>
        <v>Grimaldi Agustina Sofía</v>
      </c>
      <c r="C258" s="84" t="str">
        <f>'Agents'' Final Roster 0823-0829'!C203</f>
        <v>Gomez Toledo</v>
      </c>
      <c r="D258" s="84" t="str">
        <f>'Agents'' Final Roster 0823-0829'!D203</f>
        <v>Marianela Lujan</v>
      </c>
      <c r="E258" s="84"/>
      <c r="F258" s="84"/>
      <c r="G258" s="84"/>
      <c r="H258" s="84"/>
      <c r="I258" s="84"/>
      <c r="J258" s="84"/>
      <c r="K258" s="84"/>
      <c r="L258" s="45"/>
      <c r="M258" s="45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 t="str">
        <f>'Agents'' Final Roster 0823-0829'!Z203</f>
        <v>DVH</v>
      </c>
      <c r="AA258" s="39"/>
      <c r="AB258" s="39"/>
      <c r="AC258" s="39"/>
      <c r="AD258" s="39"/>
      <c r="AE258" s="39"/>
      <c r="AF258" s="39"/>
      <c r="AG258" s="39"/>
      <c r="AH258" s="39"/>
      <c r="AI258" s="39"/>
      <c r="AJ258" s="46"/>
      <c r="AK258" s="46"/>
      <c r="AL258" s="47"/>
      <c r="AM258" s="52"/>
      <c r="AN258" s="53"/>
      <c r="AO258" s="50"/>
    </row>
    <row r="259" spans="1:41" x14ac:dyDescent="0.25">
      <c r="A259" s="83" t="str">
        <f>'Agents'' Final Roster 0823-0829'!A204</f>
        <v>Perez Zitzke Agustina</v>
      </c>
      <c r="B259" s="84" t="str">
        <f>'Agents'' Final Roster 0823-0829'!B204</f>
        <v>Grimaldi Agustina Sofía</v>
      </c>
      <c r="C259" s="84" t="str">
        <f>'Agents'' Final Roster 0823-0829'!C204</f>
        <v>Juarez</v>
      </c>
      <c r="D259" s="84" t="str">
        <f>'Agents'' Final Roster 0823-0829'!D204</f>
        <v>Luciano Matias</v>
      </c>
      <c r="E259" s="84"/>
      <c r="F259" s="84"/>
      <c r="G259" s="84"/>
      <c r="H259" s="84"/>
      <c r="I259" s="84"/>
      <c r="J259" s="84"/>
      <c r="K259" s="84"/>
      <c r="L259" s="45"/>
      <c r="M259" s="45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 t="str">
        <f>'Agents'' Final Roster 0823-0829'!Z204</f>
        <v>Servicios web</v>
      </c>
      <c r="AA259" s="39"/>
      <c r="AB259" s="39"/>
      <c r="AC259" s="39"/>
      <c r="AD259" s="39"/>
      <c r="AE259" s="39"/>
      <c r="AF259" s="39"/>
      <c r="AG259" s="39"/>
      <c r="AH259" s="39"/>
      <c r="AI259" s="39"/>
      <c r="AJ259" s="46"/>
      <c r="AK259" s="46"/>
      <c r="AL259" s="47"/>
      <c r="AM259" s="52"/>
      <c r="AN259" s="53"/>
      <c r="AO259" s="50"/>
    </row>
    <row r="260" spans="1:41" x14ac:dyDescent="0.25">
      <c r="A260" s="44" t="str">
        <f>'Agents'' Final Roster 0823-0829'!A205</f>
        <v>Perez Zitzke Agustina</v>
      </c>
      <c r="B260" s="39" t="str">
        <f>'Agents'' Final Roster 0823-0829'!B205</f>
        <v>Grimaldi Agustina Sofía</v>
      </c>
      <c r="C260" s="39" t="str">
        <f>'Agents'' Final Roster 0823-0829'!C205</f>
        <v>Juarez</v>
      </c>
      <c r="D260" s="39" t="str">
        <f>'Agents'' Final Roster 0823-0829'!D205</f>
        <v>Ana Sofia</v>
      </c>
      <c r="E260" s="39"/>
      <c r="F260" s="39"/>
      <c r="G260" s="39"/>
      <c r="H260" s="39"/>
      <c r="I260" s="39"/>
      <c r="J260" s="39"/>
      <c r="K260" s="39"/>
      <c r="L260" s="45"/>
      <c r="M260" s="45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 t="str">
        <f>'Agents'' Final Roster 0823-0829'!Z205</f>
        <v>Servicios web</v>
      </c>
      <c r="AA260" s="39"/>
      <c r="AB260" s="39"/>
      <c r="AC260" s="39"/>
      <c r="AD260" s="39"/>
      <c r="AE260" s="39"/>
      <c r="AF260" s="39"/>
      <c r="AG260" s="39"/>
      <c r="AH260" s="39"/>
      <c r="AI260" s="39"/>
      <c r="AJ260" s="46"/>
      <c r="AK260" s="46"/>
      <c r="AL260" s="47"/>
      <c r="AM260" s="52"/>
      <c r="AN260" s="53"/>
      <c r="AO260" s="50"/>
    </row>
    <row r="261" spans="1:41" x14ac:dyDescent="0.25">
      <c r="A261" s="44" t="str">
        <f>'Agents'' Final Roster 0823-0829'!A206</f>
        <v>Perez Zitzke Agustina</v>
      </c>
      <c r="B261" s="39" t="str">
        <f>'Agents'' Final Roster 0823-0829'!B206</f>
        <v>Grimaldi Agustina Sofía</v>
      </c>
      <c r="C261" s="39" t="str">
        <f>'Agents'' Final Roster 0823-0829'!C206</f>
        <v>Mariani</v>
      </c>
      <c r="D261" s="39" t="str">
        <f>'Agents'' Final Roster 0823-0829'!D206</f>
        <v>Maria Cecilia</v>
      </c>
      <c r="E261" s="39"/>
      <c r="F261" s="39"/>
      <c r="G261" s="39"/>
      <c r="H261" s="39"/>
      <c r="I261" s="39"/>
      <c r="J261" s="39"/>
      <c r="K261" s="39"/>
      <c r="L261" s="45"/>
      <c r="M261" s="45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 t="str">
        <f>'Agents'' Final Roster 0823-0829'!Z206</f>
        <v>DVH</v>
      </c>
      <c r="AA261" s="39"/>
      <c r="AB261" s="39"/>
      <c r="AC261" s="39"/>
      <c r="AD261" s="39"/>
      <c r="AE261" s="39"/>
      <c r="AF261" s="39"/>
      <c r="AG261" s="39"/>
      <c r="AH261" s="39"/>
      <c r="AI261" s="39"/>
      <c r="AJ261" s="46"/>
      <c r="AK261" s="46"/>
      <c r="AL261" s="47"/>
      <c r="AM261" s="52"/>
      <c r="AN261" s="53"/>
      <c r="AO261" s="50"/>
    </row>
    <row r="262" spans="1:41" x14ac:dyDescent="0.25">
      <c r="A262" s="44" t="str">
        <f>'Agents'' Final Roster 0823-0829'!A207</f>
        <v>Perez Zitzke Agustina</v>
      </c>
      <c r="B262" s="39" t="str">
        <f>'Agents'' Final Roster 0823-0829'!B207</f>
        <v>Grimaldi Agustina Sofía</v>
      </c>
      <c r="C262" s="39" t="str">
        <f>'Agents'' Final Roster 0823-0829'!C207</f>
        <v>Mendez</v>
      </c>
      <c r="D262" s="39" t="str">
        <f>'Agents'' Final Roster 0823-0829'!D207</f>
        <v>Leandro Dario</v>
      </c>
      <c r="E262" s="39"/>
      <c r="F262" s="39"/>
      <c r="G262" s="39"/>
      <c r="H262" s="39"/>
      <c r="I262" s="39"/>
      <c r="J262" s="39"/>
      <c r="K262" s="39"/>
      <c r="L262" s="45"/>
      <c r="M262" s="45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 t="str">
        <f>'Agents'' Final Roster 0823-0829'!Z207</f>
        <v>Servicios web</v>
      </c>
      <c r="AA262" s="39"/>
      <c r="AB262" s="39"/>
      <c r="AC262" s="39"/>
      <c r="AD262" s="39"/>
      <c r="AE262" s="39"/>
      <c r="AF262" s="39"/>
      <c r="AG262" s="39"/>
      <c r="AH262" s="39"/>
      <c r="AI262" s="39"/>
      <c r="AJ262" s="46"/>
      <c r="AK262" s="46"/>
      <c r="AL262" s="47"/>
      <c r="AM262" s="52"/>
      <c r="AN262" s="53"/>
      <c r="AO262" s="50"/>
    </row>
    <row r="263" spans="1:41" x14ac:dyDescent="0.25">
      <c r="A263" s="44" t="str">
        <f>'Agents'' Final Roster 0823-0829'!A208</f>
        <v>Perez Zitzke Agustina</v>
      </c>
      <c r="B263" s="39" t="str">
        <f>'Agents'' Final Roster 0823-0829'!B208</f>
        <v>Grimaldi Agustina Sofía</v>
      </c>
      <c r="C263" s="39" t="str">
        <f>'Agents'' Final Roster 0823-0829'!C208</f>
        <v>Monges</v>
      </c>
      <c r="D263" s="39" t="str">
        <f>'Agents'' Final Roster 0823-0829'!D208</f>
        <v>Elina Teresa</v>
      </c>
      <c r="E263" s="39"/>
      <c r="F263" s="39"/>
      <c r="G263" s="39"/>
      <c r="H263" s="39"/>
      <c r="I263" s="39"/>
      <c r="J263" s="39"/>
      <c r="K263" s="39"/>
      <c r="L263" s="45"/>
      <c r="M263" s="45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 t="str">
        <f>'Agents'' Final Roster 0823-0829'!Z208</f>
        <v>Servicios web</v>
      </c>
      <c r="AA263" s="39"/>
      <c r="AB263" s="39"/>
      <c r="AC263" s="39"/>
      <c r="AD263" s="39"/>
      <c r="AE263" s="39"/>
      <c r="AF263" s="39"/>
      <c r="AG263" s="39"/>
      <c r="AH263" s="39"/>
      <c r="AI263" s="39"/>
      <c r="AJ263" s="46"/>
      <c r="AK263" s="46"/>
      <c r="AL263" s="47"/>
      <c r="AM263" s="52"/>
      <c r="AN263" s="53"/>
      <c r="AO263" s="50"/>
    </row>
    <row r="264" spans="1:41" x14ac:dyDescent="0.25">
      <c r="A264" s="44" t="str">
        <f>'Agents'' Final Roster 0823-0829'!A209</f>
        <v>Perez Zitzke Agustina</v>
      </c>
      <c r="B264" s="39" t="str">
        <f>'Agents'' Final Roster 0823-0829'!B209</f>
        <v>Grimaldi Agustina Sofía</v>
      </c>
      <c r="C264" s="39" t="str">
        <f>'Agents'' Final Roster 0823-0829'!C209</f>
        <v>Olivera</v>
      </c>
      <c r="D264" s="39" t="str">
        <f>'Agents'' Final Roster 0823-0829'!D209</f>
        <v>Irene Marcia</v>
      </c>
      <c r="E264" s="39"/>
      <c r="F264" s="39"/>
      <c r="G264" s="39"/>
      <c r="H264" s="39"/>
      <c r="I264" s="39"/>
      <c r="J264" s="39"/>
      <c r="K264" s="39"/>
      <c r="L264" s="45"/>
      <c r="M264" s="45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 t="str">
        <f>'Agents'' Final Roster 0823-0829'!Z209</f>
        <v>CSV1</v>
      </c>
      <c r="AA264" s="39"/>
      <c r="AB264" s="39"/>
      <c r="AC264" s="39"/>
      <c r="AD264" s="39"/>
      <c r="AE264" s="39"/>
      <c r="AF264" s="39"/>
      <c r="AG264" s="39"/>
      <c r="AH264" s="39"/>
      <c r="AI264" s="39"/>
      <c r="AJ264" s="46"/>
      <c r="AK264" s="46"/>
      <c r="AL264" s="47"/>
      <c r="AM264" s="52"/>
      <c r="AN264" s="53"/>
      <c r="AO264" s="50"/>
    </row>
    <row r="265" spans="1:41" x14ac:dyDescent="0.25">
      <c r="A265" s="44" t="str">
        <f>'Agents'' Final Roster 0823-0829'!A210</f>
        <v>Perez Zitzke Agustina</v>
      </c>
      <c r="B265" s="39" t="str">
        <f>'Agents'' Final Roster 0823-0829'!B210</f>
        <v>Grimaldi Agustina Sofía</v>
      </c>
      <c r="C265" s="39" t="str">
        <f>'Agents'' Final Roster 0823-0829'!C210</f>
        <v>Porello</v>
      </c>
      <c r="D265" s="39" t="str">
        <f>'Agents'' Final Roster 0823-0829'!D210</f>
        <v>Maria Belén</v>
      </c>
      <c r="E265" s="39"/>
      <c r="F265" s="39"/>
      <c r="G265" s="39"/>
      <c r="H265" s="39"/>
      <c r="I265" s="39"/>
      <c r="J265" s="39"/>
      <c r="K265" s="39"/>
      <c r="L265" s="45"/>
      <c r="M265" s="45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 t="str">
        <f>'Agents'' Final Roster 0823-0829'!Z210</f>
        <v>Compras Referidas</v>
      </c>
      <c r="AA265" s="39"/>
      <c r="AB265" s="39"/>
      <c r="AC265" s="39"/>
      <c r="AD265" s="39"/>
      <c r="AE265" s="39"/>
      <c r="AF265" s="39"/>
      <c r="AG265" s="39"/>
      <c r="AH265" s="39"/>
      <c r="AI265" s="39"/>
      <c r="AJ265" s="46"/>
      <c r="AK265" s="46"/>
      <c r="AL265" s="47"/>
      <c r="AM265" s="52"/>
      <c r="AN265" s="53"/>
      <c r="AO265" s="50"/>
    </row>
    <row r="266" spans="1:41" x14ac:dyDescent="0.25">
      <c r="A266" s="44" t="str">
        <f>'Agents'' Final Roster 0823-0829'!A211</f>
        <v>Perez Zitzke Agustina</v>
      </c>
      <c r="B266" s="39" t="str">
        <f>'Agents'' Final Roster 0823-0829'!B211</f>
        <v>Grimaldi Agustina Sofía</v>
      </c>
      <c r="C266" s="39" t="str">
        <f>'Agents'' Final Roster 0823-0829'!C211</f>
        <v>Ricci</v>
      </c>
      <c r="D266" s="39" t="str">
        <f>'Agents'' Final Roster 0823-0829'!D211</f>
        <v>Rocio del Valle</v>
      </c>
      <c r="E266" s="39"/>
      <c r="F266" s="39"/>
      <c r="G266" s="39"/>
      <c r="H266" s="39"/>
      <c r="I266" s="39"/>
      <c r="J266" s="39"/>
      <c r="K266" s="39"/>
      <c r="L266" s="45"/>
      <c r="M266" s="45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 t="str">
        <f>'Agents'' Final Roster 0823-0829'!Z211</f>
        <v>DVH</v>
      </c>
      <c r="AA266" s="39"/>
      <c r="AB266" s="39"/>
      <c r="AC266" s="39"/>
      <c r="AD266" s="39"/>
      <c r="AE266" s="39"/>
      <c r="AF266" s="39"/>
      <c r="AG266" s="39"/>
      <c r="AH266" s="39"/>
      <c r="AI266" s="39"/>
      <c r="AJ266" s="46"/>
      <c r="AK266" s="46"/>
      <c r="AL266" s="47"/>
      <c r="AM266" s="52"/>
      <c r="AN266" s="53"/>
      <c r="AO266" s="50"/>
    </row>
    <row r="267" spans="1:41" x14ac:dyDescent="0.25">
      <c r="A267" s="44" t="str">
        <f>'Agents'' Final Roster 0823-0829'!A212</f>
        <v>Perez Zitzke Agustina</v>
      </c>
      <c r="B267" s="39" t="str">
        <f>'Agents'' Final Roster 0823-0829'!B212</f>
        <v>Grimaldi Agustina Sofía</v>
      </c>
      <c r="C267" s="39" t="str">
        <f>'Agents'' Final Roster 0823-0829'!C212</f>
        <v>Sosa</v>
      </c>
      <c r="D267" s="39" t="str">
        <f>'Agents'' Final Roster 0823-0829'!D212</f>
        <v>Maria Lucia</v>
      </c>
      <c r="E267" s="39"/>
      <c r="F267" s="39"/>
      <c r="G267" s="39"/>
      <c r="H267" s="39"/>
      <c r="I267" s="39"/>
      <c r="J267" s="39"/>
      <c r="K267" s="39"/>
      <c r="L267" s="45"/>
      <c r="M267" s="45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 t="str">
        <f>'Agents'' Final Roster 0823-0829'!Z212</f>
        <v>Compras Referidas</v>
      </c>
      <c r="AA267" s="39"/>
      <c r="AB267" s="39"/>
      <c r="AC267" s="39"/>
      <c r="AD267" s="39"/>
      <c r="AE267" s="39"/>
      <c r="AF267" s="39"/>
      <c r="AG267" s="39"/>
      <c r="AH267" s="39"/>
      <c r="AI267" s="39"/>
      <c r="AJ267" s="46"/>
      <c r="AK267" s="46"/>
      <c r="AL267" s="47"/>
      <c r="AM267" s="52"/>
      <c r="AN267" s="53"/>
      <c r="AO267" s="50"/>
    </row>
    <row r="268" spans="1:41" x14ac:dyDescent="0.25">
      <c r="A268" s="44" t="str">
        <f>'Agents'' Final Roster 0823-0829'!A213</f>
        <v>Perez Zitzke Agustina</v>
      </c>
      <c r="B268" s="39" t="str">
        <f>'Agents'' Final Roster 0823-0829'!B213</f>
        <v>Grimaldi Agustina Sofía</v>
      </c>
      <c r="C268" s="39" t="str">
        <f>'Agents'' Final Roster 0823-0829'!C213</f>
        <v>Uncos</v>
      </c>
      <c r="D268" s="39" t="str">
        <f>'Agents'' Final Roster 0823-0829'!D213</f>
        <v>Cristian Carlos</v>
      </c>
      <c r="E268" s="39"/>
      <c r="F268" s="39"/>
      <c r="G268" s="39"/>
      <c r="H268" s="39"/>
      <c r="I268" s="39"/>
      <c r="J268" s="39"/>
      <c r="K268" s="39"/>
      <c r="L268" s="45"/>
      <c r="M268" s="45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 t="str">
        <f>'Agents'' Final Roster 0823-0829'!Z213</f>
        <v>Compras Referidas</v>
      </c>
      <c r="AA268" s="39"/>
      <c r="AB268" s="39"/>
      <c r="AC268" s="39"/>
      <c r="AD268" s="39"/>
      <c r="AE268" s="39"/>
      <c r="AF268" s="39"/>
      <c r="AG268" s="39"/>
      <c r="AH268" s="39"/>
      <c r="AI268" s="39"/>
      <c r="AJ268" s="46"/>
      <c r="AK268" s="46"/>
      <c r="AL268" s="47"/>
      <c r="AM268" s="52"/>
      <c r="AN268" s="53"/>
      <c r="AO268" s="50"/>
    </row>
    <row r="269" spans="1:41" x14ac:dyDescent="0.25">
      <c r="A269" s="44" t="str">
        <f>'Agents'' Final Roster 0823-0829'!A214</f>
        <v>Perez Zitzke Agustina</v>
      </c>
      <c r="B269" s="39" t="str">
        <f>'Agents'' Final Roster 0823-0829'!B214</f>
        <v>Grimaldi Agustina Sofía</v>
      </c>
      <c r="C269" s="39" t="str">
        <f>'Agents'' Final Roster 0823-0829'!C214</f>
        <v>Villa</v>
      </c>
      <c r="D269" s="39" t="str">
        <f>'Agents'' Final Roster 0823-0829'!D214</f>
        <v>Luciana Pamela</v>
      </c>
      <c r="E269" s="39"/>
      <c r="F269" s="39"/>
      <c r="G269" s="39"/>
      <c r="H269" s="39"/>
      <c r="I269" s="39"/>
      <c r="J269" s="39"/>
      <c r="K269" s="39"/>
      <c r="L269" s="45"/>
      <c r="M269" s="45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 t="str">
        <f>'Agents'' Final Roster 0823-0829'!Z214</f>
        <v>DVH</v>
      </c>
      <c r="AA269" s="39"/>
      <c r="AB269" s="39"/>
      <c r="AC269" s="39"/>
      <c r="AD269" s="39"/>
      <c r="AE269" s="39"/>
      <c r="AF269" s="39"/>
      <c r="AG269" s="39"/>
      <c r="AH269" s="39"/>
      <c r="AI269" s="39"/>
      <c r="AJ269" s="46"/>
      <c r="AK269" s="46"/>
      <c r="AL269" s="47"/>
      <c r="AM269" s="52"/>
      <c r="AN269" s="53"/>
      <c r="AO269" s="50"/>
    </row>
    <row r="270" spans="1:41" x14ac:dyDescent="0.25">
      <c r="A270" s="44" t="str">
        <f>'Agents'' Final Roster 0823-0829'!A215</f>
        <v>Perez Zitzke Agustina</v>
      </c>
      <c r="B270" s="39" t="str">
        <f>'Agents'' Final Roster 0823-0829'!B215</f>
        <v>Grimaldi Agustina Sofía</v>
      </c>
      <c r="C270" s="39" t="str">
        <f>'Agents'' Final Roster 0823-0829'!C215</f>
        <v>Zamorano Ortiz</v>
      </c>
      <c r="D270" s="39" t="str">
        <f>'Agents'' Final Roster 0823-0829'!D215</f>
        <v>Gabriel Martin</v>
      </c>
      <c r="E270" s="39"/>
      <c r="F270" s="39"/>
      <c r="G270" s="39"/>
      <c r="H270" s="39"/>
      <c r="I270" s="39"/>
      <c r="J270" s="39"/>
      <c r="K270" s="39"/>
      <c r="L270" s="45"/>
      <c r="M270" s="45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 t="str">
        <f>'Agents'' Final Roster 0823-0829'!Z215</f>
        <v>Compras Referidas</v>
      </c>
      <c r="AA270" s="39"/>
      <c r="AB270" s="39"/>
      <c r="AC270" s="39"/>
      <c r="AD270" s="39"/>
      <c r="AE270" s="39"/>
      <c r="AF270" s="39"/>
      <c r="AG270" s="39"/>
      <c r="AH270" s="39"/>
      <c r="AI270" s="39"/>
      <c r="AJ270" s="46"/>
      <c r="AK270" s="46"/>
      <c r="AL270" s="47"/>
      <c r="AM270" s="52"/>
      <c r="AN270" s="53"/>
      <c r="AO270" s="50"/>
    </row>
    <row r="271" spans="1:41" x14ac:dyDescent="0.25">
      <c r="A271" s="69" t="str">
        <f>'Agents'' Final Roster 0823-0829'!A216</f>
        <v>Perez Zitzke Agustina</v>
      </c>
      <c r="B271" s="70" t="str">
        <f>'Agents'' Final Roster 0823-0829'!B216</f>
        <v>Palomino Juan Pablo</v>
      </c>
      <c r="C271" s="70" t="str">
        <f>'Agents'' Final Roster 0823-0829'!C216</f>
        <v>Agüero</v>
      </c>
      <c r="D271" s="70" t="str">
        <f>'Agents'' Final Roster 0823-0829'!D216</f>
        <v>Fatima Noemi</v>
      </c>
      <c r="E271" s="70"/>
      <c r="F271" s="70"/>
      <c r="G271" s="70"/>
      <c r="H271" s="70"/>
      <c r="I271" s="70"/>
      <c r="J271" s="70"/>
      <c r="K271" s="70"/>
      <c r="L271" s="45"/>
      <c r="M271" s="45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 t="str">
        <f>'Agents'' Final Roster 0823-0829'!Z216</f>
        <v>CSV1</v>
      </c>
      <c r="AA271" s="39"/>
      <c r="AB271" s="39"/>
      <c r="AC271" s="39"/>
      <c r="AD271" s="39"/>
      <c r="AE271" s="39"/>
      <c r="AF271" s="39"/>
      <c r="AG271" s="39"/>
      <c r="AH271" s="39"/>
      <c r="AI271" s="39"/>
      <c r="AJ271" s="46"/>
      <c r="AK271" s="46"/>
      <c r="AL271" s="47"/>
      <c r="AM271" s="52"/>
      <c r="AN271" s="53"/>
      <c r="AO271" s="50"/>
    </row>
    <row r="272" spans="1:41" x14ac:dyDescent="0.25">
      <c r="A272" s="44" t="str">
        <f>'Agents'' Final Roster 0823-0829'!A217</f>
        <v>Perez Zitzke Agustina</v>
      </c>
      <c r="B272" s="39" t="str">
        <f>'Agents'' Final Roster 0823-0829'!B217</f>
        <v>Palomino Juan Pablo</v>
      </c>
      <c r="C272" s="39" t="str">
        <f>'Agents'' Final Roster 0823-0829'!C217</f>
        <v>Aguero Peralta</v>
      </c>
      <c r="D272" s="39" t="str">
        <f>'Agents'' Final Roster 0823-0829'!D217</f>
        <v>Edith Alejandra Mabel</v>
      </c>
      <c r="E272" s="39"/>
      <c r="F272" s="39"/>
      <c r="G272" s="39"/>
      <c r="H272" s="39"/>
      <c r="I272" s="39"/>
      <c r="J272" s="39"/>
      <c r="K272" s="39"/>
      <c r="L272" s="45"/>
      <c r="M272" s="45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 t="str">
        <f>'Agents'' Final Roster 0823-0829'!Z217</f>
        <v>DVH</v>
      </c>
      <c r="AA272" s="39"/>
      <c r="AB272" s="39"/>
      <c r="AC272" s="39"/>
      <c r="AD272" s="39"/>
      <c r="AE272" s="39"/>
      <c r="AF272" s="39"/>
      <c r="AG272" s="39"/>
      <c r="AH272" s="39"/>
      <c r="AI272" s="39"/>
      <c r="AJ272" s="46"/>
      <c r="AK272" s="46"/>
      <c r="AL272" s="47"/>
      <c r="AM272" s="52"/>
      <c r="AN272" s="53"/>
      <c r="AO272" s="50"/>
    </row>
    <row r="273" spans="1:41" x14ac:dyDescent="0.25">
      <c r="A273" s="44" t="str">
        <f>'Agents'' Final Roster 0823-0829'!A218</f>
        <v>Perez Zitzke Agustina</v>
      </c>
      <c r="B273" s="39" t="str">
        <f>'Agents'' Final Roster 0823-0829'!B218</f>
        <v>Palomino Juan Pablo</v>
      </c>
      <c r="C273" s="39" t="str">
        <f>'Agents'' Final Roster 0823-0829'!C218</f>
        <v>Castillo</v>
      </c>
      <c r="D273" s="39" t="str">
        <f>'Agents'' Final Roster 0823-0829'!D218</f>
        <v>Ana Elizabeth</v>
      </c>
      <c r="E273" s="39"/>
      <c r="F273" s="39"/>
      <c r="G273" s="39"/>
      <c r="H273" s="39"/>
      <c r="I273" s="39"/>
      <c r="J273" s="39"/>
      <c r="K273" s="39"/>
      <c r="L273" s="45"/>
      <c r="M273" s="45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 t="str">
        <f>'Agents'' Final Roster 0823-0829'!Z218</f>
        <v>Servicios web</v>
      </c>
      <c r="AA273" s="39"/>
      <c r="AB273" s="39"/>
      <c r="AC273" s="39"/>
      <c r="AD273" s="39"/>
      <c r="AE273" s="39"/>
      <c r="AF273" s="39"/>
      <c r="AG273" s="39"/>
      <c r="AH273" s="39"/>
      <c r="AI273" s="39"/>
      <c r="AJ273" s="46"/>
      <c r="AK273" s="46"/>
      <c r="AL273" s="47"/>
      <c r="AM273" s="52"/>
      <c r="AN273" s="53"/>
      <c r="AO273" s="50"/>
    </row>
    <row r="274" spans="1:41" x14ac:dyDescent="0.25">
      <c r="A274" s="44" t="str">
        <f>'Agents'' Final Roster 0823-0829'!A219</f>
        <v>Perez Zitzke Agustina</v>
      </c>
      <c r="B274" s="39" t="str">
        <f>'Agents'' Final Roster 0823-0829'!B219</f>
        <v>Palomino Juan Pablo</v>
      </c>
      <c r="C274" s="39" t="str">
        <f>'Agents'' Final Roster 0823-0829'!C219</f>
        <v>Ezquer Texeira</v>
      </c>
      <c r="D274" s="39" t="str">
        <f>'Agents'' Final Roster 0823-0829'!D219</f>
        <v>Mariana del Rosario</v>
      </c>
      <c r="E274" s="39"/>
      <c r="F274" s="39"/>
      <c r="G274" s="39"/>
      <c r="H274" s="39"/>
      <c r="I274" s="39"/>
      <c r="J274" s="39"/>
      <c r="K274" s="39"/>
      <c r="L274" s="45"/>
      <c r="M274" s="45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 t="str">
        <f>'Agents'' Final Roster 0823-0829'!Z219</f>
        <v>DVH</v>
      </c>
      <c r="AA274" s="39"/>
      <c r="AB274" s="39"/>
      <c r="AC274" s="39"/>
      <c r="AD274" s="39"/>
      <c r="AE274" s="39"/>
      <c r="AF274" s="39"/>
      <c r="AG274" s="39"/>
      <c r="AH274" s="39"/>
      <c r="AI274" s="39"/>
      <c r="AJ274" s="46"/>
      <c r="AK274" s="46"/>
      <c r="AL274" s="47"/>
      <c r="AM274" s="52"/>
      <c r="AN274" s="53"/>
      <c r="AO274" s="50"/>
    </row>
    <row r="275" spans="1:41" x14ac:dyDescent="0.25">
      <c r="A275" s="44" t="str">
        <f>'Agents'' Final Roster 0823-0829'!A220</f>
        <v>Perez Zitzke Agustina</v>
      </c>
      <c r="B275" s="39" t="str">
        <f>'Agents'' Final Roster 0823-0829'!B220</f>
        <v>Palomino Juan Pablo</v>
      </c>
      <c r="C275" s="39" t="str">
        <f>'Agents'' Final Roster 0823-0829'!C220</f>
        <v>Garcia</v>
      </c>
      <c r="D275" s="39" t="str">
        <f>'Agents'' Final Roster 0823-0829'!D220</f>
        <v>Francisco Antonio</v>
      </c>
      <c r="E275" s="39"/>
      <c r="F275" s="39"/>
      <c r="G275" s="39"/>
      <c r="H275" s="39"/>
      <c r="I275" s="39"/>
      <c r="J275" s="39"/>
      <c r="K275" s="39"/>
      <c r="L275" s="45"/>
      <c r="M275" s="45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 t="str">
        <f>'Agents'' Final Roster 0823-0829'!Z220</f>
        <v>DVH</v>
      </c>
      <c r="AA275" s="39"/>
      <c r="AB275" s="39"/>
      <c r="AC275" s="39"/>
      <c r="AD275" s="91"/>
      <c r="AE275" s="39"/>
      <c r="AF275" s="39"/>
      <c r="AG275" s="39"/>
      <c r="AH275" s="39"/>
      <c r="AI275" s="39"/>
      <c r="AJ275" s="46"/>
      <c r="AK275" s="46"/>
      <c r="AL275" s="47"/>
      <c r="AM275" s="52"/>
      <c r="AN275" s="53"/>
      <c r="AO275" s="50"/>
    </row>
    <row r="276" spans="1:41" x14ac:dyDescent="0.25">
      <c r="A276" s="42" t="str">
        <f>'Agents'' Final Roster 0823-0829'!A221</f>
        <v>Perez Zitzke Agustina</v>
      </c>
      <c r="B276" s="41" t="str">
        <f>'Agents'' Final Roster 0823-0829'!B221</f>
        <v>Palomino Juan Pablo</v>
      </c>
      <c r="C276" s="41" t="str">
        <f>'Agents'' Final Roster 0823-0829'!C221</f>
        <v>Gomez</v>
      </c>
      <c r="D276" s="41" t="str">
        <f>'Agents'' Final Roster 0823-0829'!D221</f>
        <v>Silvana Elizabeth</v>
      </c>
      <c r="E276" s="41"/>
      <c r="F276" s="41"/>
      <c r="G276" s="41"/>
      <c r="H276" s="41"/>
      <c r="I276" s="41"/>
      <c r="J276" s="41"/>
      <c r="K276" s="41"/>
      <c r="L276" s="45"/>
      <c r="M276" s="45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 t="str">
        <f>'Agents'' Final Roster 0823-0829'!Z221</f>
        <v>CSV1</v>
      </c>
      <c r="AA276" s="39"/>
      <c r="AB276" s="39"/>
      <c r="AC276" s="39"/>
      <c r="AD276" s="91"/>
      <c r="AE276" s="39"/>
      <c r="AF276" s="39"/>
      <c r="AG276" s="39"/>
      <c r="AH276" s="39"/>
      <c r="AI276" s="39"/>
      <c r="AJ276" s="46"/>
      <c r="AK276" s="46"/>
      <c r="AL276" s="47"/>
      <c r="AM276" s="52"/>
      <c r="AN276" s="53"/>
      <c r="AO276" s="50"/>
    </row>
    <row r="277" spans="1:41" x14ac:dyDescent="0.25">
      <c r="A277" s="44" t="str">
        <f>'Agents'' Final Roster 0823-0829'!A222</f>
        <v>Perez Zitzke Agustina</v>
      </c>
      <c r="B277" s="39" t="str">
        <f>'Agents'' Final Roster 0823-0829'!B222</f>
        <v>Palomino Juan Pablo</v>
      </c>
      <c r="C277" s="39" t="str">
        <f>'Agents'' Final Roster 0823-0829'!C222</f>
        <v>Mereles Zerda</v>
      </c>
      <c r="D277" s="39" t="str">
        <f>'Agents'' Final Roster 0823-0829'!D222</f>
        <v>Ana Carolina</v>
      </c>
      <c r="E277" s="39"/>
      <c r="F277" s="39"/>
      <c r="G277" s="39"/>
      <c r="H277" s="39"/>
      <c r="I277" s="39"/>
      <c r="J277" s="39"/>
      <c r="K277" s="39"/>
      <c r="L277" s="45"/>
      <c r="M277" s="45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 t="str">
        <f>'Agents'' Final Roster 0823-0829'!Z222</f>
        <v>DVH</v>
      </c>
      <c r="AA277" s="39"/>
      <c r="AB277" s="39"/>
      <c r="AC277" s="39"/>
      <c r="AD277" s="91"/>
      <c r="AE277" s="39"/>
      <c r="AF277" s="39"/>
      <c r="AG277" s="39"/>
      <c r="AH277" s="39"/>
      <c r="AI277" s="39"/>
      <c r="AJ277" s="46"/>
      <c r="AK277" s="46"/>
      <c r="AL277" s="47"/>
      <c r="AM277" s="52"/>
      <c r="AN277" s="53"/>
      <c r="AO277" s="50"/>
    </row>
    <row r="278" spans="1:41" x14ac:dyDescent="0.25">
      <c r="A278" s="69" t="str">
        <f>'Agents'' Final Roster 0823-0829'!A223</f>
        <v>Perez Zitzke Agustina</v>
      </c>
      <c r="B278" s="70" t="str">
        <f>'Agents'' Final Roster 0823-0829'!B223</f>
        <v>Palomino Juan Pablo</v>
      </c>
      <c r="C278" s="70" t="str">
        <f>'Agents'' Final Roster 0823-0829'!C223</f>
        <v>Pacheco</v>
      </c>
      <c r="D278" s="70" t="str">
        <f>'Agents'' Final Roster 0823-0829'!D223</f>
        <v>Miguel Alfredo</v>
      </c>
      <c r="E278" s="70"/>
      <c r="F278" s="70"/>
      <c r="G278" s="70"/>
      <c r="H278" s="70"/>
      <c r="I278" s="70"/>
      <c r="J278" s="70"/>
      <c r="K278" s="70"/>
      <c r="L278" s="45"/>
      <c r="M278" s="45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 t="str">
        <f>'Agents'' Final Roster 0823-0829'!Z223</f>
        <v>Servicios web</v>
      </c>
      <c r="AA278" s="39"/>
      <c r="AB278" s="39"/>
      <c r="AC278" s="39"/>
      <c r="AD278" s="91"/>
      <c r="AE278" s="39"/>
      <c r="AF278" s="39"/>
      <c r="AG278" s="39"/>
      <c r="AH278" s="39"/>
      <c r="AI278" s="39"/>
      <c r="AJ278" s="46"/>
      <c r="AK278" s="46"/>
      <c r="AL278" s="47"/>
      <c r="AM278" s="52"/>
      <c r="AN278" s="53"/>
      <c r="AO278" s="50"/>
    </row>
    <row r="279" spans="1:41" x14ac:dyDescent="0.25">
      <c r="A279" s="44" t="str">
        <f>'Agents'' Final Roster 0823-0829'!A224</f>
        <v>Perez Zitzke Agustina</v>
      </c>
      <c r="B279" s="39" t="str">
        <f>'Agents'' Final Roster 0823-0829'!B224</f>
        <v>Palomino Juan Pablo</v>
      </c>
      <c r="C279" s="39" t="str">
        <f>'Agents'' Final Roster 0823-0829'!C224</f>
        <v>Parraga</v>
      </c>
      <c r="D279" s="39" t="str">
        <f>'Agents'' Final Roster 0823-0829'!D224</f>
        <v>Guillermo Nicolas</v>
      </c>
      <c r="E279" s="39"/>
      <c r="F279" s="39"/>
      <c r="G279" s="39"/>
      <c r="H279" s="39"/>
      <c r="I279" s="39"/>
      <c r="J279" s="39"/>
      <c r="K279" s="39"/>
      <c r="L279" s="45"/>
      <c r="M279" s="45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 t="str">
        <f>'Agents'' Final Roster 0823-0829'!Z224</f>
        <v>CSV1</v>
      </c>
      <c r="AA279" s="39"/>
      <c r="AB279" s="39"/>
      <c r="AC279" s="39"/>
      <c r="AD279" s="91"/>
      <c r="AE279" s="39"/>
      <c r="AF279" s="39"/>
      <c r="AG279" s="39"/>
      <c r="AH279" s="39"/>
      <c r="AI279" s="39"/>
      <c r="AJ279" s="46"/>
      <c r="AK279" s="46"/>
      <c r="AL279" s="47"/>
      <c r="AM279" s="52"/>
      <c r="AN279" s="53"/>
      <c r="AO279" s="50"/>
    </row>
    <row r="280" spans="1:41" x14ac:dyDescent="0.25">
      <c r="A280" s="44" t="str">
        <f>'Agents'' Final Roster 0823-0829'!A225</f>
        <v>Perez Zitzke Agustina</v>
      </c>
      <c r="B280" s="39" t="str">
        <f>'Agents'' Final Roster 0823-0829'!B225</f>
        <v>Palomino Juan Pablo</v>
      </c>
      <c r="C280" s="39" t="str">
        <f>'Agents'' Final Roster 0823-0829'!C225</f>
        <v>Ramirez Zorrilla</v>
      </c>
      <c r="D280" s="39" t="str">
        <f>'Agents'' Final Roster 0823-0829'!D225</f>
        <v>Maria Fernanda</v>
      </c>
      <c r="E280" s="39"/>
      <c r="F280" s="39"/>
      <c r="G280" s="39"/>
      <c r="H280" s="39"/>
      <c r="I280" s="39"/>
      <c r="J280" s="39"/>
      <c r="K280" s="39"/>
      <c r="L280" s="45"/>
      <c r="M280" s="45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 t="str">
        <f>'Agents'' Final Roster 0823-0829'!Z225</f>
        <v>CSV1</v>
      </c>
      <c r="AA280" s="39"/>
      <c r="AB280" s="39"/>
      <c r="AC280" s="39"/>
      <c r="AD280" s="91"/>
      <c r="AE280" s="39"/>
      <c r="AF280" s="39"/>
      <c r="AG280" s="39"/>
      <c r="AH280" s="39"/>
      <c r="AI280" s="39"/>
      <c r="AJ280" s="46"/>
      <c r="AK280" s="46"/>
      <c r="AL280" s="47"/>
      <c r="AM280" s="52"/>
      <c r="AN280" s="53"/>
      <c r="AO280" s="50"/>
    </row>
    <row r="281" spans="1:41" x14ac:dyDescent="0.25">
      <c r="A281" s="44" t="str">
        <f>'Agents'' Final Roster 0823-0829'!A226</f>
        <v>Perez Zitzke Agustina</v>
      </c>
      <c r="B281" s="39" t="str">
        <f>'Agents'' Final Roster 0823-0829'!B226</f>
        <v>Palomino Juan Pablo</v>
      </c>
      <c r="C281" s="39" t="str">
        <f>'Agents'' Final Roster 0823-0829'!C226</f>
        <v>Rivas</v>
      </c>
      <c r="D281" s="39" t="str">
        <f>'Agents'' Final Roster 0823-0829'!D226</f>
        <v>Yanina Del Valle</v>
      </c>
      <c r="E281" s="39"/>
      <c r="F281" s="39"/>
      <c r="G281" s="39"/>
      <c r="H281" s="39"/>
      <c r="I281" s="39"/>
      <c r="J281" s="39"/>
      <c r="K281" s="39"/>
      <c r="L281" s="45"/>
      <c r="M281" s="45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 t="str">
        <f>'Agents'' Final Roster 0823-0829'!Z226</f>
        <v>CSV1</v>
      </c>
      <c r="AA281" s="39"/>
      <c r="AB281" s="39"/>
      <c r="AC281" s="39"/>
      <c r="AD281" s="91"/>
      <c r="AE281" s="39"/>
      <c r="AF281" s="39"/>
      <c r="AG281" s="39"/>
      <c r="AH281" s="39"/>
      <c r="AI281" s="39"/>
      <c r="AJ281" s="46"/>
      <c r="AK281" s="46"/>
      <c r="AL281" s="47"/>
      <c r="AM281" s="52"/>
      <c r="AN281" s="53"/>
      <c r="AO281" s="50"/>
    </row>
    <row r="282" spans="1:41" x14ac:dyDescent="0.25">
      <c r="A282" s="44" t="str">
        <f>'Agents'' Final Roster 0823-0829'!A227</f>
        <v>Perez Zitzke Agustina</v>
      </c>
      <c r="B282" s="39" t="str">
        <f>'Agents'' Final Roster 0823-0829'!B227</f>
        <v>Palomino Juan Pablo</v>
      </c>
      <c r="C282" s="39" t="str">
        <f>'Agents'' Final Roster 0823-0829'!C227</f>
        <v>Sanchez</v>
      </c>
      <c r="D282" s="39" t="str">
        <f>'Agents'' Final Roster 0823-0829'!D227</f>
        <v>Maria Victoria</v>
      </c>
      <c r="E282" s="39"/>
      <c r="F282" s="39"/>
      <c r="G282" s="39"/>
      <c r="H282" s="39"/>
      <c r="I282" s="39"/>
      <c r="J282" s="39"/>
      <c r="K282" s="39"/>
      <c r="L282" s="45"/>
      <c r="M282" s="45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 t="str">
        <f>'Agents'' Final Roster 0823-0829'!Z227</f>
        <v>DVH</v>
      </c>
      <c r="AA282" s="39"/>
      <c r="AB282" s="39"/>
      <c r="AC282" s="39"/>
      <c r="AD282" s="91"/>
      <c r="AE282" s="39"/>
      <c r="AF282" s="39"/>
      <c r="AG282" s="39"/>
      <c r="AH282" s="39"/>
      <c r="AI282" s="39"/>
      <c r="AJ282" s="46"/>
      <c r="AK282" s="46"/>
      <c r="AL282" s="47"/>
      <c r="AM282" s="52"/>
      <c r="AN282" s="53"/>
      <c r="AO282" s="50"/>
    </row>
    <row r="283" spans="1:41" x14ac:dyDescent="0.25">
      <c r="A283" s="44" t="str">
        <f>'Agents'' Final Roster 0823-0829'!A228</f>
        <v>Perez Zitzke Agustina</v>
      </c>
      <c r="B283" s="39" t="str">
        <f>'Agents'' Final Roster 0823-0829'!B228</f>
        <v>Palomino Juan Pablo</v>
      </c>
      <c r="C283" s="39" t="str">
        <f>'Agents'' Final Roster 0823-0829'!C228</f>
        <v>Sanchez</v>
      </c>
      <c r="D283" s="39" t="str">
        <f>'Agents'' Final Roster 0823-0829'!D228</f>
        <v>Rita Victoria</v>
      </c>
      <c r="E283" s="39"/>
      <c r="F283" s="39"/>
      <c r="G283" s="39"/>
      <c r="H283" s="39"/>
      <c r="I283" s="39"/>
      <c r="J283" s="39"/>
      <c r="K283" s="39"/>
      <c r="L283" s="45"/>
      <c r="M283" s="45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 t="str">
        <f>'Agents'' Final Roster 0823-0829'!Z228</f>
        <v>DVH</v>
      </c>
      <c r="AA283" s="39"/>
      <c r="AB283" s="39"/>
      <c r="AC283" s="39"/>
      <c r="AD283" s="91"/>
      <c r="AE283" s="39"/>
      <c r="AF283" s="39"/>
      <c r="AG283" s="39"/>
      <c r="AH283" s="39"/>
      <c r="AI283" s="39"/>
      <c r="AJ283" s="46"/>
      <c r="AK283" s="46"/>
      <c r="AL283" s="47"/>
      <c r="AM283" s="52"/>
      <c r="AN283" s="53"/>
      <c r="AO283" s="50"/>
    </row>
    <row r="284" spans="1:41" x14ac:dyDescent="0.25">
      <c r="A284" s="44" t="str">
        <f>'Agents'' Final Roster 0823-0829'!A229</f>
        <v>Perez Zitzke Agustina</v>
      </c>
      <c r="B284" s="39" t="str">
        <f>'Agents'' Final Roster 0823-0829'!B229</f>
        <v>Palomino Juan Pablo</v>
      </c>
      <c r="C284" s="39" t="str">
        <f>'Agents'' Final Roster 0823-0829'!C229</f>
        <v>Sanna</v>
      </c>
      <c r="D284" s="39" t="str">
        <f>'Agents'' Final Roster 0823-0829'!D229</f>
        <v>Luis Fernando</v>
      </c>
      <c r="E284" s="39"/>
      <c r="F284" s="39"/>
      <c r="G284" s="39"/>
      <c r="H284" s="39"/>
      <c r="I284" s="39"/>
      <c r="J284" s="39"/>
      <c r="K284" s="39"/>
      <c r="L284" s="45"/>
      <c r="M284" s="45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 t="str">
        <f>'Agents'' Final Roster 0823-0829'!Z229</f>
        <v>CSV1</v>
      </c>
      <c r="AA284" s="39"/>
      <c r="AB284" s="39"/>
      <c r="AC284" s="39"/>
      <c r="AD284" s="91"/>
      <c r="AE284" s="39"/>
      <c r="AF284" s="39"/>
      <c r="AG284" s="39"/>
      <c r="AH284" s="39"/>
      <c r="AI284" s="39"/>
      <c r="AJ284" s="46"/>
      <c r="AK284" s="46"/>
      <c r="AL284" s="47"/>
      <c r="AM284" s="52"/>
      <c r="AN284" s="53"/>
      <c r="AO284" s="50"/>
    </row>
    <row r="285" spans="1:41" x14ac:dyDescent="0.25">
      <c r="A285" s="44" t="str">
        <f>'Agents'' Final Roster 0823-0829'!A230</f>
        <v>Perez Zitzke Agustina</v>
      </c>
      <c r="B285" s="39" t="str">
        <f>'Agents'' Final Roster 0823-0829'!B230</f>
        <v>Palomino Juan Pablo</v>
      </c>
      <c r="C285" s="39" t="str">
        <f>'Agents'' Final Roster 0823-0829'!C230</f>
        <v>Soria Juarez</v>
      </c>
      <c r="D285" s="39" t="str">
        <f>'Agents'' Final Roster 0823-0829'!D230</f>
        <v>Eugenia Soledad</v>
      </c>
      <c r="E285" s="39"/>
      <c r="F285" s="39"/>
      <c r="G285" s="39"/>
      <c r="H285" s="39"/>
      <c r="I285" s="39"/>
      <c r="J285" s="39"/>
      <c r="K285" s="39"/>
      <c r="L285" s="45"/>
      <c r="M285" s="45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 t="str">
        <f>'Agents'' Final Roster 0823-0829'!Z230</f>
        <v>CSV1</v>
      </c>
      <c r="AA285" s="39"/>
      <c r="AB285" s="39"/>
      <c r="AC285" s="39"/>
      <c r="AD285" s="91"/>
      <c r="AE285" s="71"/>
      <c r="AF285" s="39"/>
      <c r="AG285" s="39"/>
      <c r="AH285" s="39"/>
      <c r="AI285" s="39"/>
      <c r="AJ285" s="72"/>
      <c r="AK285" s="72"/>
      <c r="AL285" s="73"/>
      <c r="AM285" s="52"/>
      <c r="AN285" s="53"/>
      <c r="AO285" s="50"/>
    </row>
    <row r="286" spans="1:41" x14ac:dyDescent="0.25">
      <c r="A286" s="44" t="str">
        <f>'Agents'' Final Roster 0823-0829'!A231</f>
        <v>Perez Zitzke Agustina</v>
      </c>
      <c r="B286" s="39" t="str">
        <f>'Agents'' Final Roster 0823-0829'!B231</f>
        <v>Palomino Juan Pablo</v>
      </c>
      <c r="C286" s="39" t="str">
        <f>'Agents'' Final Roster 0823-0829'!C231</f>
        <v>Teseyra</v>
      </c>
      <c r="D286" s="39" t="str">
        <f>'Agents'' Final Roster 0823-0829'!D231</f>
        <v>Maria Estefania</v>
      </c>
      <c r="E286" s="39"/>
      <c r="F286" s="39"/>
      <c r="G286" s="39"/>
      <c r="H286" s="39"/>
      <c r="I286" s="39"/>
      <c r="J286" s="39"/>
      <c r="K286" s="39"/>
      <c r="L286" s="45"/>
      <c r="M286" s="45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 t="str">
        <f>'Agents'' Final Roster 0823-0829'!Z231</f>
        <v>Habilitaciones</v>
      </c>
      <c r="AA286" s="39"/>
      <c r="AB286" s="39"/>
      <c r="AC286" s="39"/>
      <c r="AD286" s="91"/>
      <c r="AE286" s="71"/>
      <c r="AF286" s="39"/>
      <c r="AG286" s="71"/>
      <c r="AH286" s="39"/>
      <c r="AI286" s="39"/>
      <c r="AJ286" s="72"/>
      <c r="AK286" s="72"/>
      <c r="AL286" s="73"/>
      <c r="AM286" s="52"/>
      <c r="AN286" s="53"/>
      <c r="AO286" s="50"/>
    </row>
    <row r="287" spans="1:41" x14ac:dyDescent="0.25">
      <c r="A287" s="44" t="str">
        <f>'Agents'' Final Roster 0823-0829'!A232</f>
        <v>Perez Zitzke Agustina</v>
      </c>
      <c r="B287" s="39" t="str">
        <f>'Agents'' Final Roster 0823-0829'!B232</f>
        <v>Palomino Juan Pablo</v>
      </c>
      <c r="C287" s="39" t="str">
        <f>'Agents'' Final Roster 0823-0829'!C232</f>
        <v>Vizcarra</v>
      </c>
      <c r="D287" s="39" t="str">
        <f>'Agents'' Final Roster 0823-0829'!D232</f>
        <v>Katerina Soledad</v>
      </c>
      <c r="E287" s="39"/>
      <c r="F287" s="39"/>
      <c r="G287" s="39"/>
      <c r="H287" s="39"/>
      <c r="I287" s="39"/>
      <c r="J287" s="39"/>
      <c r="K287" s="39"/>
      <c r="L287" s="45"/>
      <c r="M287" s="45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 t="str">
        <f>'Agents'' Final Roster 0823-0829'!Z232</f>
        <v>CSV1</v>
      </c>
      <c r="AA287" s="39"/>
      <c r="AB287" s="39"/>
      <c r="AC287" s="39"/>
      <c r="AD287" s="91"/>
      <c r="AE287" s="39"/>
      <c r="AF287" s="39"/>
      <c r="AG287" s="39"/>
      <c r="AH287" s="39"/>
      <c r="AI287" s="39"/>
      <c r="AJ287" s="46"/>
      <c r="AK287" s="46"/>
      <c r="AL287" s="47"/>
      <c r="AM287" s="52"/>
      <c r="AN287" s="53"/>
      <c r="AO287" s="50"/>
    </row>
    <row r="288" spans="1:41" x14ac:dyDescent="0.25">
      <c r="A288" s="44" t="str">
        <f>'Agents'' Final Roster 0823-0829'!A233</f>
        <v>Campero Juarez Maria Guadalupe</v>
      </c>
      <c r="B288" s="39" t="str">
        <f>'Agents'' Final Roster 0823-0829'!B233</f>
        <v>Podazza Villagra Daniel Matias</v>
      </c>
      <c r="C288" s="39" t="str">
        <f>'Agents'' Final Roster 0823-0829'!C233</f>
        <v>Caro</v>
      </c>
      <c r="D288" s="39" t="str">
        <f>'Agents'' Final Roster 0823-0829'!D233</f>
        <v>Carolina Analia</v>
      </c>
      <c r="E288" s="39"/>
      <c r="F288" s="39"/>
      <c r="G288" s="39"/>
      <c r="H288" s="39"/>
      <c r="I288" s="39"/>
      <c r="J288" s="39"/>
      <c r="K288" s="39"/>
      <c r="L288" s="45"/>
      <c r="M288" s="45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 t="str">
        <f>'Agents'' Final Roster 0823-0829'!Z233</f>
        <v>CSV1</v>
      </c>
      <c r="AA288" s="39"/>
      <c r="AB288" s="39"/>
      <c r="AC288" s="39"/>
      <c r="AD288" s="91"/>
      <c r="AE288" s="39"/>
      <c r="AF288" s="39"/>
      <c r="AG288" s="39"/>
      <c r="AH288" s="39"/>
      <c r="AI288" s="39"/>
      <c r="AJ288" s="46"/>
      <c r="AK288" s="46"/>
      <c r="AL288" s="47"/>
      <c r="AM288" s="52"/>
      <c r="AN288" s="53"/>
      <c r="AO288" s="50"/>
    </row>
    <row r="289" spans="1:41" x14ac:dyDescent="0.25">
      <c r="A289" s="44" t="str">
        <f>'Agents'' Final Roster 0823-0829'!A234</f>
        <v>Campero Juarez Maria Guadalupe</v>
      </c>
      <c r="B289" s="39" t="str">
        <f>'Agents'' Final Roster 0823-0829'!B234</f>
        <v>Podazza Villagra Daniel Matias</v>
      </c>
      <c r="C289" s="39" t="str">
        <f>'Agents'' Final Roster 0823-0829'!C234</f>
        <v>Ríos Yeser</v>
      </c>
      <c r="D289" s="39" t="str">
        <f>'Agents'' Final Roster 0823-0829'!D234</f>
        <v xml:space="preserve"> María Florencia</v>
      </c>
      <c r="E289" s="39"/>
      <c r="F289" s="39"/>
      <c r="G289" s="39"/>
      <c r="H289" s="39"/>
      <c r="I289" s="39"/>
      <c r="J289" s="39"/>
      <c r="K289" s="39"/>
      <c r="L289" s="45"/>
      <c r="M289" s="45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 t="str">
        <f>'Agents'' Final Roster 0823-0829'!Z234</f>
        <v>Compras Referidas</v>
      </c>
      <c r="AA289" s="39"/>
      <c r="AB289" s="39"/>
      <c r="AC289" s="39"/>
      <c r="AD289" s="91"/>
      <c r="AE289" s="39"/>
      <c r="AF289" s="39"/>
      <c r="AG289" s="39"/>
      <c r="AH289" s="39"/>
      <c r="AI289" s="39"/>
      <c r="AJ289" s="46"/>
      <c r="AK289" s="46"/>
      <c r="AL289" s="47"/>
      <c r="AM289" s="52"/>
      <c r="AN289" s="53"/>
      <c r="AO289" s="50"/>
    </row>
    <row r="290" spans="1:41" x14ac:dyDescent="0.25">
      <c r="A290" s="44" t="str">
        <f>'Agents'' Final Roster 0823-0829'!A235</f>
        <v>Perez Zitzke Agustina</v>
      </c>
      <c r="B290" s="39" t="str">
        <f>'Agents'' Final Roster 0823-0829'!B235</f>
        <v>Ramallo Jose Emanuel</v>
      </c>
      <c r="C290" s="39" t="str">
        <f>'Agents'' Final Roster 0823-0829'!C235</f>
        <v>Antoni</v>
      </c>
      <c r="D290" s="39" t="str">
        <f>'Agents'' Final Roster 0823-0829'!D235</f>
        <v>Pablo Sebastian</v>
      </c>
      <c r="E290" s="39"/>
      <c r="F290" s="39"/>
      <c r="G290" s="39"/>
      <c r="H290" s="39"/>
      <c r="I290" s="39"/>
      <c r="J290" s="39"/>
      <c r="K290" s="39"/>
      <c r="L290" s="45"/>
      <c r="M290" s="45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 t="str">
        <f>'Agents'' Final Roster 0823-0829'!Z235</f>
        <v>CSV1</v>
      </c>
      <c r="AA290" s="39"/>
      <c r="AB290" s="39"/>
      <c r="AC290" s="39"/>
      <c r="AD290" s="91"/>
      <c r="AE290" s="39"/>
      <c r="AF290" s="39"/>
      <c r="AG290" s="39"/>
      <c r="AH290" s="39"/>
      <c r="AI290" s="39"/>
      <c r="AJ290" s="46"/>
      <c r="AK290" s="46"/>
      <c r="AL290" s="47"/>
      <c r="AM290" s="52"/>
      <c r="AN290" s="53"/>
      <c r="AO290" s="50"/>
    </row>
    <row r="291" spans="1:41" x14ac:dyDescent="0.25">
      <c r="A291" s="44" t="str">
        <f>'Agents'' Final Roster 0823-0829'!A236</f>
        <v>Perez Zitzke Agustina</v>
      </c>
      <c r="B291" s="39" t="str">
        <f>'Agents'' Final Roster 0823-0829'!B236</f>
        <v>Ramallo Jose Emanuel</v>
      </c>
      <c r="C291" s="39" t="str">
        <f>'Agents'' Final Roster 0823-0829'!C236</f>
        <v>Avellaneda</v>
      </c>
      <c r="D291" s="39" t="str">
        <f>'Agents'' Final Roster 0823-0829'!D236</f>
        <v>Juan Jose</v>
      </c>
      <c r="E291" s="39"/>
      <c r="F291" s="39"/>
      <c r="G291" s="39"/>
      <c r="H291" s="39"/>
      <c r="I291" s="39"/>
      <c r="J291" s="39"/>
      <c r="K291" s="39"/>
      <c r="L291" s="45"/>
      <c r="M291" s="45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 t="str">
        <f>'Agents'' Final Roster 0823-0829'!Z236</f>
        <v>Servicios web</v>
      </c>
      <c r="AA291" s="39"/>
      <c r="AB291" s="39"/>
      <c r="AC291" s="39"/>
      <c r="AD291" s="91"/>
      <c r="AE291" s="39"/>
      <c r="AF291" s="39"/>
      <c r="AG291" s="39"/>
      <c r="AH291" s="39"/>
      <c r="AI291" s="39"/>
      <c r="AJ291" s="46"/>
      <c r="AK291" s="46"/>
      <c r="AL291" s="47"/>
      <c r="AM291" s="52"/>
      <c r="AN291" s="53"/>
      <c r="AO291" s="50"/>
    </row>
    <row r="292" spans="1:41" x14ac:dyDescent="0.25">
      <c r="A292" s="44" t="str">
        <f>'Agents'' Final Roster 0823-0829'!A237</f>
        <v>Perez Zitzke Agustina</v>
      </c>
      <c r="B292" s="39" t="str">
        <f>'Agents'' Final Roster 0823-0829'!B237</f>
        <v>Ramallo Jose Emanuel</v>
      </c>
      <c r="C292" s="39" t="str">
        <f>'Agents'' Final Roster 0823-0829'!C237</f>
        <v>Bazan</v>
      </c>
      <c r="D292" s="39" t="str">
        <f>'Agents'' Final Roster 0823-0829'!D237</f>
        <v>Melina Soledad</v>
      </c>
      <c r="E292" s="39"/>
      <c r="F292" s="39"/>
      <c r="G292" s="39"/>
      <c r="H292" s="39"/>
      <c r="I292" s="39"/>
      <c r="J292" s="39"/>
      <c r="K292" s="39"/>
      <c r="L292" s="45"/>
      <c r="M292" s="45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 t="str">
        <f>'Agents'' Final Roster 0823-0829'!Z237</f>
        <v>DVH</v>
      </c>
      <c r="AA292" s="39"/>
      <c r="AB292" s="39"/>
      <c r="AC292" s="39"/>
      <c r="AD292" s="39"/>
      <c r="AE292" s="39"/>
      <c r="AF292" s="39"/>
      <c r="AG292" s="39"/>
      <c r="AH292" s="39"/>
      <c r="AI292" s="39"/>
      <c r="AJ292" s="46"/>
      <c r="AK292" s="46"/>
      <c r="AL292" s="47"/>
      <c r="AM292" s="52"/>
      <c r="AN292" s="53"/>
      <c r="AO292" s="50"/>
    </row>
    <row r="293" spans="1:41" x14ac:dyDescent="0.25">
      <c r="A293" s="69" t="str">
        <f>'Agents'' Final Roster 0823-0829'!A238</f>
        <v>Perez Zitzke Agustina</v>
      </c>
      <c r="B293" s="70" t="str">
        <f>'Agents'' Final Roster 0823-0829'!B238</f>
        <v>Ramallo Jose Emanuel</v>
      </c>
      <c r="C293" s="70" t="str">
        <f>'Agents'' Final Roster 0823-0829'!C238</f>
        <v>Bravo</v>
      </c>
      <c r="D293" s="70" t="str">
        <f>'Agents'' Final Roster 0823-0829'!D238</f>
        <v>Agustin Gonzalo</v>
      </c>
      <c r="E293" s="70"/>
      <c r="F293" s="70"/>
      <c r="G293" s="70"/>
      <c r="H293" s="70"/>
      <c r="I293" s="70"/>
      <c r="J293" s="70"/>
      <c r="K293" s="70"/>
      <c r="L293" s="45"/>
      <c r="M293" s="45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 t="str">
        <f>'Agents'' Final Roster 0823-0829'!Z238</f>
        <v>Compras Referidas</v>
      </c>
      <c r="AA293" s="39"/>
      <c r="AB293" s="39"/>
      <c r="AC293" s="39"/>
      <c r="AD293" s="39"/>
      <c r="AE293" s="39"/>
      <c r="AF293" s="39"/>
      <c r="AG293" s="39"/>
      <c r="AH293" s="39"/>
      <c r="AI293" s="39"/>
      <c r="AJ293" s="46"/>
      <c r="AK293" s="46"/>
      <c r="AL293" s="47"/>
      <c r="AM293" s="52"/>
      <c r="AN293" s="53"/>
      <c r="AO293" s="50"/>
    </row>
    <row r="294" spans="1:41" x14ac:dyDescent="0.25">
      <c r="A294" s="44" t="str">
        <f>'Agents'' Final Roster 0823-0829'!A239</f>
        <v>Perez Zitzke Agustina</v>
      </c>
      <c r="B294" s="39" t="str">
        <f>'Agents'' Final Roster 0823-0829'!B239</f>
        <v>Ramallo Jose Emanuel</v>
      </c>
      <c r="C294" s="39" t="str">
        <f>'Agents'' Final Roster 0823-0829'!C239</f>
        <v>Caamaño</v>
      </c>
      <c r="D294" s="39" t="str">
        <f>'Agents'' Final Roster 0823-0829'!D239</f>
        <v>Emmanuel David</v>
      </c>
      <c r="E294" s="39"/>
      <c r="F294" s="39"/>
      <c r="G294" s="39"/>
      <c r="H294" s="39"/>
      <c r="I294" s="39"/>
      <c r="J294" s="39"/>
      <c r="K294" s="39"/>
      <c r="L294" s="45"/>
      <c r="M294" s="45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 t="str">
        <f>'Agents'' Final Roster 0823-0829'!Z239</f>
        <v>CSV2</v>
      </c>
      <c r="AA294" s="39"/>
      <c r="AB294" s="39"/>
      <c r="AC294" s="39"/>
      <c r="AD294" s="39"/>
      <c r="AE294" s="39"/>
      <c r="AF294" s="39"/>
      <c r="AG294" s="39"/>
      <c r="AH294" s="39"/>
      <c r="AI294" s="39"/>
      <c r="AJ294" s="46"/>
      <c r="AK294" s="46"/>
      <c r="AL294" s="47"/>
      <c r="AM294" s="52"/>
      <c r="AN294" s="53"/>
      <c r="AO294" s="50"/>
    </row>
    <row r="295" spans="1:41" x14ac:dyDescent="0.25">
      <c r="A295" s="44" t="str">
        <f>'Agents'' Final Roster 0823-0829'!A240</f>
        <v>Perez Zitzke Agustina</v>
      </c>
      <c r="B295" s="39" t="str">
        <f>'Agents'' Final Roster 0823-0829'!B240</f>
        <v>Ramallo Jose Emanuel</v>
      </c>
      <c r="C295" s="39" t="str">
        <f>'Agents'' Final Roster 0823-0829'!C240</f>
        <v>Cáceres</v>
      </c>
      <c r="D295" s="39" t="str">
        <f>'Agents'' Final Roster 0823-0829'!D240</f>
        <v>Jose Maximo</v>
      </c>
      <c r="E295" s="39"/>
      <c r="F295" s="39"/>
      <c r="G295" s="39"/>
      <c r="H295" s="39"/>
      <c r="I295" s="39"/>
      <c r="J295" s="39"/>
      <c r="K295" s="39"/>
      <c r="L295" s="45"/>
      <c r="M295" s="45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 t="str">
        <f>'Agents'' Final Roster 0823-0829'!Z240</f>
        <v>Compras Referidas</v>
      </c>
      <c r="AA295" s="39"/>
      <c r="AB295" s="39"/>
      <c r="AC295" s="39"/>
      <c r="AD295" s="39"/>
      <c r="AE295" s="39"/>
      <c r="AF295" s="39"/>
      <c r="AG295" s="39"/>
      <c r="AH295" s="39"/>
      <c r="AI295" s="39"/>
      <c r="AJ295" s="46"/>
      <c r="AK295" s="46"/>
      <c r="AL295" s="47"/>
      <c r="AM295" s="52"/>
      <c r="AN295" s="53"/>
      <c r="AO295" s="50"/>
    </row>
    <row r="296" spans="1:41" x14ac:dyDescent="0.25">
      <c r="A296" s="69" t="str">
        <f>'Agents'' Final Roster 0823-0829'!A241</f>
        <v>Perez Zitzke Agustina</v>
      </c>
      <c r="B296" s="70" t="str">
        <f>'Agents'' Final Roster 0823-0829'!B241</f>
        <v>Ramallo Jose Emanuel</v>
      </c>
      <c r="C296" s="70" t="str">
        <f>'Agents'' Final Roster 0823-0829'!C241</f>
        <v>Carmona</v>
      </c>
      <c r="D296" s="70" t="str">
        <f>'Agents'' Final Roster 0823-0829'!D241</f>
        <v>Camila Belen</v>
      </c>
      <c r="E296" s="70"/>
      <c r="F296" s="70"/>
      <c r="G296" s="70"/>
      <c r="H296" s="70"/>
      <c r="I296" s="70"/>
      <c r="J296" s="70"/>
      <c r="K296" s="70"/>
      <c r="L296" s="45"/>
      <c r="M296" s="45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 t="str">
        <f>'Agents'' Final Roster 0823-0829'!Z241</f>
        <v>TLMK</v>
      </c>
      <c r="AA296" s="39"/>
      <c r="AB296" s="39"/>
      <c r="AC296" s="39"/>
      <c r="AD296" s="39"/>
      <c r="AE296" s="39"/>
      <c r="AF296" s="39"/>
      <c r="AG296" s="39"/>
      <c r="AH296" s="39"/>
      <c r="AI296" s="39"/>
      <c r="AJ296" s="46"/>
      <c r="AK296" s="46"/>
      <c r="AL296" s="47"/>
      <c r="AM296" s="52"/>
      <c r="AN296" s="53"/>
      <c r="AO296" s="50"/>
    </row>
    <row r="297" spans="1:41" x14ac:dyDescent="0.25">
      <c r="A297" s="44" t="str">
        <f>'Agents'' Final Roster 0823-0829'!A242</f>
        <v>Perez Zitzke Agustina</v>
      </c>
      <c r="B297" s="39" t="str">
        <f>'Agents'' Final Roster 0823-0829'!B242</f>
        <v>Ramallo Jose Emanuel</v>
      </c>
      <c r="C297" s="39" t="str">
        <f>'Agents'' Final Roster 0823-0829'!C242</f>
        <v>Dominguez</v>
      </c>
      <c r="D297" s="39" t="str">
        <f>'Agents'' Final Roster 0823-0829'!D242</f>
        <v>Julian Ernesto</v>
      </c>
      <c r="E297" s="39"/>
      <c r="F297" s="39"/>
      <c r="G297" s="39"/>
      <c r="H297" s="39"/>
      <c r="I297" s="39"/>
      <c r="J297" s="39"/>
      <c r="K297" s="39"/>
      <c r="L297" s="45"/>
      <c r="M297" s="45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 t="str">
        <f>'Agents'' Final Roster 0823-0829'!Z242</f>
        <v>CSV1</v>
      </c>
      <c r="AA297" s="39"/>
      <c r="AB297" s="39"/>
      <c r="AC297" s="39"/>
      <c r="AD297" s="39"/>
      <c r="AE297" s="39"/>
      <c r="AF297" s="39"/>
      <c r="AG297" s="39"/>
      <c r="AH297" s="39"/>
      <c r="AI297" s="39"/>
      <c r="AJ297" s="46"/>
      <c r="AK297" s="46"/>
      <c r="AL297" s="47"/>
      <c r="AM297" s="52"/>
      <c r="AN297" s="53"/>
      <c r="AO297" s="50"/>
    </row>
    <row r="298" spans="1:41" x14ac:dyDescent="0.25">
      <c r="A298" s="44" t="str">
        <f>'Agents'' Final Roster 0823-0829'!A243</f>
        <v>Perez Zitzke Agustina</v>
      </c>
      <c r="B298" s="39" t="str">
        <f>'Agents'' Final Roster 0823-0829'!B243</f>
        <v>Ramallo Jose Emanuel</v>
      </c>
      <c r="C298" s="39" t="str">
        <f>'Agents'' Final Roster 0823-0829'!C243</f>
        <v>Fernandez</v>
      </c>
      <c r="D298" s="39" t="str">
        <f>'Agents'' Final Roster 0823-0829'!D243</f>
        <v>Luciana Anahi</v>
      </c>
      <c r="E298" s="39"/>
      <c r="F298" s="39"/>
      <c r="G298" s="39"/>
      <c r="H298" s="39"/>
      <c r="I298" s="39"/>
      <c r="J298" s="39"/>
      <c r="K298" s="39"/>
      <c r="L298" s="45"/>
      <c r="M298" s="45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 t="str">
        <f>'Agents'' Final Roster 0823-0829'!Z243</f>
        <v>Habilitaciones</v>
      </c>
      <c r="AA298" s="39"/>
      <c r="AB298" s="39"/>
      <c r="AC298" s="39"/>
      <c r="AD298" s="39"/>
      <c r="AE298" s="39"/>
      <c r="AF298" s="39"/>
      <c r="AG298" s="39"/>
      <c r="AH298" s="39"/>
      <c r="AI298" s="39"/>
      <c r="AJ298" s="46"/>
      <c r="AK298" s="46"/>
      <c r="AL298" s="47"/>
      <c r="AM298" s="52"/>
      <c r="AN298" s="53"/>
      <c r="AO298" s="50"/>
    </row>
    <row r="299" spans="1:41" x14ac:dyDescent="0.25">
      <c r="A299" s="44" t="str">
        <f>'Agents'' Final Roster 0823-0829'!A244</f>
        <v>Perez Zitzke Agustina</v>
      </c>
      <c r="B299" s="39" t="str">
        <f>'Agents'' Final Roster 0823-0829'!B244</f>
        <v>Ramallo Jose Emanuel</v>
      </c>
      <c r="C299" s="39" t="str">
        <f>'Agents'' Final Roster 0823-0829'!C244</f>
        <v>Gomez</v>
      </c>
      <c r="D299" s="39" t="str">
        <f>'Agents'' Final Roster 0823-0829'!D244</f>
        <v>Maria Emilia</v>
      </c>
      <c r="E299" s="39"/>
      <c r="F299" s="39"/>
      <c r="G299" s="39"/>
      <c r="H299" s="39"/>
      <c r="I299" s="39"/>
      <c r="J299" s="39"/>
      <c r="K299" s="39"/>
      <c r="L299" s="45"/>
      <c r="M299" s="45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 t="str">
        <f>'Agents'' Final Roster 0823-0829'!Z244</f>
        <v>DVH</v>
      </c>
      <c r="AA299" s="39"/>
      <c r="AB299" s="39"/>
      <c r="AC299" s="39"/>
      <c r="AD299" s="39"/>
      <c r="AE299" s="39"/>
      <c r="AF299" s="39"/>
      <c r="AG299" s="39"/>
      <c r="AH299" s="39"/>
      <c r="AI299" s="39"/>
      <c r="AJ299" s="46"/>
      <c r="AK299" s="46"/>
      <c r="AL299" s="47"/>
      <c r="AM299" s="52"/>
      <c r="AN299" s="53"/>
      <c r="AO299" s="50"/>
    </row>
    <row r="300" spans="1:41" x14ac:dyDescent="0.25">
      <c r="A300" s="44" t="str">
        <f>'Agents'' Final Roster 0823-0829'!A245</f>
        <v>Perez Zitzke Agustina</v>
      </c>
      <c r="B300" s="39" t="str">
        <f>'Agents'' Final Roster 0823-0829'!B245</f>
        <v>Ramallo Jose Emanuel</v>
      </c>
      <c r="C300" s="39" t="str">
        <f>'Agents'' Final Roster 0823-0829'!C245</f>
        <v>Gonzalez</v>
      </c>
      <c r="D300" s="39" t="str">
        <f>'Agents'' Final Roster 0823-0829'!D245</f>
        <v>Elizabeth de los Angeles</v>
      </c>
      <c r="E300" s="39"/>
      <c r="F300" s="39"/>
      <c r="G300" s="39"/>
      <c r="H300" s="39"/>
      <c r="I300" s="39"/>
      <c r="J300" s="39"/>
      <c r="K300" s="39"/>
      <c r="L300" s="45"/>
      <c r="M300" s="45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 t="str">
        <f>'Agents'' Final Roster 0823-0829'!Z245</f>
        <v>TLMK</v>
      </c>
      <c r="AA300" s="39"/>
      <c r="AB300" s="39"/>
      <c r="AC300" s="39"/>
      <c r="AD300" s="39"/>
      <c r="AE300" s="39"/>
      <c r="AF300" s="39"/>
      <c r="AG300" s="39"/>
      <c r="AH300" s="39"/>
      <c r="AI300" s="39"/>
      <c r="AJ300" s="46"/>
      <c r="AK300" s="46"/>
      <c r="AL300" s="47"/>
      <c r="AM300" s="52"/>
      <c r="AN300" s="53"/>
      <c r="AO300" s="50"/>
    </row>
    <row r="301" spans="1:41" x14ac:dyDescent="0.25">
      <c r="A301" s="69" t="str">
        <f>'Agents'' Final Roster 0823-0829'!A246</f>
        <v>Perez Zitzke Agustina</v>
      </c>
      <c r="B301" s="70" t="str">
        <f>'Agents'' Final Roster 0823-0829'!B246</f>
        <v>Ramallo Jose Emanuel</v>
      </c>
      <c r="C301" s="70" t="str">
        <f>'Agents'' Final Roster 0823-0829'!C246</f>
        <v>González</v>
      </c>
      <c r="D301" s="70" t="str">
        <f>'Agents'' Final Roster 0823-0829'!D246</f>
        <v>Enzo Javier</v>
      </c>
      <c r="E301" s="70"/>
      <c r="F301" s="70"/>
      <c r="G301" s="70"/>
      <c r="H301" s="70"/>
      <c r="I301" s="70"/>
      <c r="J301" s="70"/>
      <c r="K301" s="70"/>
      <c r="L301" s="45"/>
      <c r="M301" s="45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 t="str">
        <f>'Agents'' Final Roster 0823-0829'!Z246</f>
        <v>CSV1</v>
      </c>
      <c r="AA301" s="39"/>
      <c r="AB301" s="39"/>
      <c r="AC301" s="39"/>
      <c r="AD301" s="39"/>
      <c r="AE301" s="39"/>
      <c r="AF301" s="39"/>
      <c r="AG301" s="39"/>
      <c r="AH301" s="39"/>
      <c r="AI301" s="39"/>
      <c r="AJ301" s="46"/>
      <c r="AK301" s="46"/>
      <c r="AL301" s="47"/>
      <c r="AM301" s="52"/>
      <c r="AN301" s="53"/>
      <c r="AO301" s="50"/>
    </row>
    <row r="302" spans="1:41" x14ac:dyDescent="0.25">
      <c r="A302" s="44" t="str">
        <f>'Agents'' Final Roster 0823-0829'!A247</f>
        <v>Perez Zitzke Agustina</v>
      </c>
      <c r="B302" s="39" t="str">
        <f>'Agents'' Final Roster 0823-0829'!B247</f>
        <v>Ramallo Jose Emanuel</v>
      </c>
      <c r="C302" s="39" t="str">
        <f>'Agents'' Final Roster 0823-0829'!C247</f>
        <v>Guerra</v>
      </c>
      <c r="D302" s="39" t="str">
        <f>'Agents'' Final Roster 0823-0829'!D247</f>
        <v>Héctor Gonzalo</v>
      </c>
      <c r="E302" s="39"/>
      <c r="F302" s="39"/>
      <c r="G302" s="39"/>
      <c r="H302" s="39"/>
      <c r="I302" s="39"/>
      <c r="J302" s="39"/>
      <c r="K302" s="39"/>
      <c r="L302" s="45"/>
      <c r="M302" s="45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 t="str">
        <f>'Agents'' Final Roster 0823-0829'!Z247</f>
        <v>CSV1</v>
      </c>
      <c r="AA302" s="39"/>
      <c r="AB302" s="39"/>
      <c r="AC302" s="39"/>
      <c r="AD302" s="39"/>
      <c r="AE302" s="39"/>
      <c r="AF302" s="39"/>
      <c r="AG302" s="39"/>
      <c r="AH302" s="39"/>
      <c r="AI302" s="39"/>
      <c r="AJ302" s="46"/>
      <c r="AK302" s="46"/>
      <c r="AL302" s="47"/>
      <c r="AM302" s="52"/>
      <c r="AN302" s="53"/>
      <c r="AO302" s="50"/>
    </row>
    <row r="303" spans="1:41" x14ac:dyDescent="0.25">
      <c r="A303" s="44" t="str">
        <f>'Agents'' Final Roster 0823-0829'!A248</f>
        <v>Perez Zitzke Agustina</v>
      </c>
      <c r="B303" s="39" t="str">
        <f>'Agents'' Final Roster 0823-0829'!B248</f>
        <v>Ramallo Jose Emanuel</v>
      </c>
      <c r="C303" s="39" t="str">
        <f>'Agents'' Final Roster 0823-0829'!C248</f>
        <v>Juarez Fernandez</v>
      </c>
      <c r="D303" s="39" t="str">
        <f>'Agents'' Final Roster 0823-0829'!D248</f>
        <v>Juan Gabriel</v>
      </c>
      <c r="E303" s="39"/>
      <c r="F303" s="39"/>
      <c r="G303" s="39"/>
      <c r="H303" s="39"/>
      <c r="I303" s="39"/>
      <c r="J303" s="39"/>
      <c r="K303" s="39"/>
      <c r="L303" s="45"/>
      <c r="M303" s="45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 t="str">
        <f>'Agents'' Final Roster 0823-0829'!Z248</f>
        <v>CSV1</v>
      </c>
      <c r="AA303" s="39"/>
      <c r="AB303" s="39"/>
      <c r="AC303" s="39"/>
      <c r="AD303" s="39"/>
      <c r="AE303" s="39"/>
      <c r="AF303" s="39"/>
      <c r="AG303" s="39"/>
      <c r="AH303" s="39"/>
      <c r="AI303" s="39"/>
      <c r="AJ303" s="46"/>
      <c r="AK303" s="46"/>
      <c r="AL303" s="47"/>
      <c r="AM303" s="52"/>
      <c r="AN303" s="53"/>
      <c r="AO303" s="50"/>
    </row>
    <row r="304" spans="1:41" x14ac:dyDescent="0.25">
      <c r="A304" s="69" t="str">
        <f>'Agents'' Final Roster 0823-0829'!A249</f>
        <v>Perez Zitzke Agustina</v>
      </c>
      <c r="B304" s="70" t="str">
        <f>'Agents'' Final Roster 0823-0829'!B249</f>
        <v>Ramallo Jose Emanuel</v>
      </c>
      <c r="C304" s="70" t="str">
        <f>'Agents'' Final Roster 0823-0829'!C249</f>
        <v>Moya</v>
      </c>
      <c r="D304" s="70" t="str">
        <f>'Agents'' Final Roster 0823-0829'!D249</f>
        <v>Nadia Florencia</v>
      </c>
      <c r="E304" s="70"/>
      <c r="F304" s="70"/>
      <c r="G304" s="70"/>
      <c r="H304" s="70"/>
      <c r="I304" s="70"/>
      <c r="J304" s="70"/>
      <c r="K304" s="70"/>
      <c r="L304" s="45"/>
      <c r="M304" s="45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 t="str">
        <f>'Agents'' Final Roster 0823-0829'!Z249</f>
        <v>CSV1</v>
      </c>
      <c r="AA304" s="39"/>
      <c r="AB304" s="39"/>
      <c r="AC304" s="39"/>
      <c r="AD304" s="39"/>
      <c r="AE304" s="39"/>
      <c r="AF304" s="39"/>
      <c r="AG304" s="39"/>
      <c r="AH304" s="39"/>
      <c r="AI304" s="39"/>
      <c r="AJ304" s="46"/>
      <c r="AK304" s="46"/>
      <c r="AL304" s="47"/>
      <c r="AM304" s="52"/>
      <c r="AN304" s="53"/>
      <c r="AO304" s="50"/>
    </row>
    <row r="305" spans="1:41" x14ac:dyDescent="0.25">
      <c r="A305" s="69" t="str">
        <f>'Agents'' Final Roster 0823-0829'!A250</f>
        <v>Perez Zitzke Agustina</v>
      </c>
      <c r="B305" s="70" t="str">
        <f>'Agents'' Final Roster 0823-0829'!B250</f>
        <v>Ramallo Jose Emanuel</v>
      </c>
      <c r="C305" s="70" t="str">
        <f>'Agents'' Final Roster 0823-0829'!C250</f>
        <v>Perez Flores</v>
      </c>
      <c r="D305" s="70" t="str">
        <f>'Agents'' Final Roster 0823-0829'!D250</f>
        <v>Leandro Nahuel</v>
      </c>
      <c r="E305" s="70"/>
      <c r="F305" s="70"/>
      <c r="G305" s="70"/>
      <c r="H305" s="70"/>
      <c r="I305" s="70"/>
      <c r="J305" s="70"/>
      <c r="K305" s="70"/>
      <c r="L305" s="45"/>
      <c r="M305" s="45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 t="str">
        <f>'Agents'' Final Roster 0823-0829'!Z250</f>
        <v>Servicios web</v>
      </c>
      <c r="AA305" s="39"/>
      <c r="AB305" s="39"/>
      <c r="AC305" s="39"/>
      <c r="AD305" s="39"/>
      <c r="AE305" s="39"/>
      <c r="AF305" s="39"/>
      <c r="AG305" s="39"/>
      <c r="AH305" s="39"/>
      <c r="AI305" s="39"/>
      <c r="AJ305" s="46"/>
      <c r="AK305" s="46"/>
      <c r="AL305" s="47"/>
      <c r="AM305" s="52"/>
      <c r="AN305" s="53"/>
      <c r="AO305" s="50"/>
    </row>
    <row r="306" spans="1:41" x14ac:dyDescent="0.25">
      <c r="A306" s="44" t="str">
        <f>'Agents'' Final Roster 0823-0829'!A251</f>
        <v>Perez Zitzke Agustina</v>
      </c>
      <c r="B306" s="39" t="str">
        <f>'Agents'' Final Roster 0823-0829'!B251</f>
        <v>Ramallo Jose Emanuel</v>
      </c>
      <c r="C306" s="39" t="str">
        <f>'Agents'' Final Roster 0823-0829'!C251</f>
        <v>Prado</v>
      </c>
      <c r="D306" s="39" t="str">
        <f>'Agents'' Final Roster 0823-0829'!D251</f>
        <v>Maria de los Angeles</v>
      </c>
      <c r="E306" s="39"/>
      <c r="F306" s="39"/>
      <c r="G306" s="39"/>
      <c r="H306" s="39"/>
      <c r="I306" s="39"/>
      <c r="J306" s="39"/>
      <c r="K306" s="39"/>
      <c r="L306" s="45"/>
      <c r="M306" s="45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 t="str">
        <f>'Agents'' Final Roster 0823-0829'!Z251</f>
        <v>Compras Referidas</v>
      </c>
      <c r="AA306" s="39"/>
      <c r="AB306" s="39"/>
      <c r="AC306" s="39"/>
      <c r="AD306" s="39"/>
      <c r="AE306" s="39"/>
      <c r="AF306" s="39"/>
      <c r="AG306" s="39"/>
      <c r="AH306" s="39"/>
      <c r="AI306" s="39"/>
      <c r="AJ306" s="46"/>
      <c r="AK306" s="46"/>
      <c r="AL306" s="47"/>
      <c r="AM306" s="52"/>
      <c r="AN306" s="53"/>
      <c r="AO306" s="50"/>
    </row>
    <row r="307" spans="1:41" x14ac:dyDescent="0.25">
      <c r="A307" s="44" t="e">
        <f>'Agents'' Final Roster 0823-0829'!#REF!</f>
        <v>#REF!</v>
      </c>
      <c r="B307" s="39" t="e">
        <f>'Agents'' Final Roster 0823-0829'!#REF!</f>
        <v>#REF!</v>
      </c>
      <c r="C307" s="39" t="e">
        <f>'Agents'' Final Roster 0823-0829'!#REF!</f>
        <v>#REF!</v>
      </c>
      <c r="D307" s="39" t="e">
        <f>'Agents'' Final Roster 0823-0829'!#REF!</f>
        <v>#REF!</v>
      </c>
      <c r="E307" s="39"/>
      <c r="F307" s="39"/>
      <c r="G307" s="39"/>
      <c r="H307" s="39"/>
      <c r="I307" s="39"/>
      <c r="J307" s="39"/>
      <c r="K307" s="39"/>
      <c r="L307" s="45"/>
      <c r="M307" s="45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 t="e">
        <f>'Agents'' Final Roster 0823-0829'!#REF!</f>
        <v>#REF!</v>
      </c>
      <c r="AA307" s="39"/>
      <c r="AB307" s="39"/>
      <c r="AC307" s="39"/>
      <c r="AD307" s="39"/>
      <c r="AE307" s="39"/>
      <c r="AF307" s="39"/>
      <c r="AG307" s="39"/>
      <c r="AH307" s="39"/>
      <c r="AI307" s="39"/>
      <c r="AJ307" s="46"/>
      <c r="AK307" s="46"/>
      <c r="AL307" s="47"/>
      <c r="AM307" s="52"/>
      <c r="AN307" s="53"/>
      <c r="AO307" s="50"/>
    </row>
    <row r="308" spans="1:41" x14ac:dyDescent="0.25">
      <c r="A308" s="44" t="e">
        <f>'Agents'' Final Roster 0823-0829'!#REF!</f>
        <v>#REF!</v>
      </c>
      <c r="B308" s="39" t="e">
        <f>'Agents'' Final Roster 0823-0829'!#REF!</f>
        <v>#REF!</v>
      </c>
      <c r="C308" s="39" t="e">
        <f>'Agents'' Final Roster 0823-0829'!#REF!</f>
        <v>#REF!</v>
      </c>
      <c r="D308" s="39" t="e">
        <f>'Agents'' Final Roster 0823-0829'!#REF!</f>
        <v>#REF!</v>
      </c>
      <c r="E308" s="39"/>
      <c r="F308" s="39"/>
      <c r="G308" s="39"/>
      <c r="H308" s="39"/>
      <c r="I308" s="39"/>
      <c r="J308" s="39"/>
      <c r="K308" s="39"/>
      <c r="L308" s="45"/>
      <c r="M308" s="45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 t="e">
        <f>'Agents'' Final Roster 0823-0829'!#REF!</f>
        <v>#REF!</v>
      </c>
      <c r="AA308" s="39"/>
      <c r="AB308" s="39"/>
      <c r="AC308" s="39"/>
      <c r="AD308" s="39"/>
      <c r="AE308" s="39"/>
      <c r="AF308" s="39"/>
      <c r="AG308" s="39"/>
      <c r="AH308" s="39"/>
      <c r="AI308" s="39"/>
      <c r="AJ308" s="46"/>
      <c r="AK308" s="46"/>
      <c r="AL308" s="47"/>
      <c r="AM308" s="52"/>
      <c r="AN308" s="53"/>
      <c r="AO308" s="50"/>
    </row>
    <row r="309" spans="1:41" x14ac:dyDescent="0.25">
      <c r="A309" s="44" t="str">
        <f>'Agents'' Final Roster 0823-0829'!A252</f>
        <v>Perez Zitzke Agustina</v>
      </c>
      <c r="B309" s="39" t="str">
        <f>'Agents'' Final Roster 0823-0829'!B252</f>
        <v>Ramallo Jose Emanuel</v>
      </c>
      <c r="C309" s="39" t="str">
        <f>'Agents'' Final Roster 0823-0829'!C252</f>
        <v>Sevilla</v>
      </c>
      <c r="D309" s="39" t="str">
        <f>'Agents'' Final Roster 0823-0829'!D252</f>
        <v>Lourdes Florencia</v>
      </c>
      <c r="E309" s="39"/>
      <c r="F309" s="39"/>
      <c r="G309" s="39"/>
      <c r="H309" s="39"/>
      <c r="I309" s="39"/>
      <c r="J309" s="39"/>
      <c r="K309" s="39"/>
      <c r="L309" s="45"/>
      <c r="M309" s="45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 t="str">
        <f>'Agents'' Final Roster 0823-0829'!Z252</f>
        <v>CSV1</v>
      </c>
      <c r="AA309" s="39"/>
      <c r="AB309" s="39"/>
      <c r="AC309" s="39"/>
      <c r="AD309" s="39"/>
      <c r="AE309" s="39"/>
      <c r="AF309" s="39"/>
      <c r="AG309" s="39"/>
      <c r="AH309" s="39"/>
      <c r="AI309" s="39"/>
      <c r="AJ309" s="46"/>
      <c r="AK309" s="46"/>
      <c r="AL309" s="47"/>
      <c r="AM309" s="52"/>
      <c r="AN309" s="53"/>
      <c r="AO309" s="50"/>
    </row>
    <row r="310" spans="1:41" ht="15.75" thickBot="1" x14ac:dyDescent="0.3">
      <c r="A310" s="92" t="str">
        <f>'Agents'' Final Roster 0823-0829'!A253</f>
        <v>Perez Zitzke Agustina</v>
      </c>
      <c r="B310" s="58" t="str">
        <f>'Agents'' Final Roster 0823-0829'!B253</f>
        <v>Vazquez Valladares Eduardo Alejandro</v>
      </c>
      <c r="C310" s="58" t="str">
        <f>'Agents'' Final Roster 0823-0829'!C253</f>
        <v>Torres</v>
      </c>
      <c r="D310" s="58" t="str">
        <f>'Agents'' Final Roster 0823-0829'!D253</f>
        <v>Maria Jose</v>
      </c>
      <c r="E310" s="58"/>
      <c r="F310" s="58"/>
      <c r="G310" s="58"/>
      <c r="H310" s="58"/>
      <c r="I310" s="58"/>
      <c r="J310" s="58"/>
      <c r="K310" s="58"/>
      <c r="L310" s="59"/>
      <c r="M310" s="59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 t="str">
        <f>'Agents'' Final Roster 0823-0829'!Z253</f>
        <v>Compras Referidas</v>
      </c>
      <c r="AA310" s="58"/>
      <c r="AB310" s="58"/>
      <c r="AC310" s="58"/>
      <c r="AD310" s="58"/>
      <c r="AE310" s="58"/>
      <c r="AF310" s="58"/>
      <c r="AG310" s="58"/>
      <c r="AH310" s="58"/>
      <c r="AI310" s="58"/>
      <c r="AJ310" s="74"/>
      <c r="AK310" s="74"/>
      <c r="AL310" s="75"/>
      <c r="AM310" s="60"/>
      <c r="AN310" s="61"/>
      <c r="AO310" s="62"/>
    </row>
    <row r="311" spans="1:41" customFormat="1" x14ac:dyDescent="0.25">
      <c r="A311" t="str">
        <f>'Agents'' Final Roster 0823-0829'!A254</f>
        <v>Perez Zitzke Agustina</v>
      </c>
      <c r="B311" t="str">
        <f>'Agents'' Final Roster 0823-0829'!B254</f>
        <v>Ramallo Jose Emanuel</v>
      </c>
      <c r="C311" t="str">
        <f>'Agents'' Final Roster 0823-0829'!C254</f>
        <v>Valenzuela</v>
      </c>
      <c r="D311" t="str">
        <f>'Agents'' Final Roster 0823-0829'!D254</f>
        <v>Gonzalo Rene</v>
      </c>
      <c r="Z311" t="str">
        <f>'Agents'' Final Roster 0823-0829'!Z254</f>
        <v>DVH</v>
      </c>
    </row>
    <row r="312" spans="1:41" customFormat="1" x14ac:dyDescent="0.25">
      <c r="A312" t="str">
        <f>'Agents'' Final Roster 0823-0829'!A255</f>
        <v>Perez Zitzke Agustina</v>
      </c>
      <c r="B312" t="str">
        <f>'Agents'' Final Roster 0823-0829'!B255</f>
        <v>Vazquez Valladares Eduardo Alejandro</v>
      </c>
      <c r="C312" t="str">
        <f>'Agents'' Final Roster 0823-0829'!C255</f>
        <v>Acosta</v>
      </c>
      <c r="D312" t="str">
        <f>'Agents'' Final Roster 0823-0829'!D255</f>
        <v xml:space="preserve">Gaston Exequiel </v>
      </c>
      <c r="Z312" t="str">
        <f>'Agents'' Final Roster 0823-0829'!Z255</f>
        <v>DVH</v>
      </c>
    </row>
    <row r="313" spans="1:41" customFormat="1" x14ac:dyDescent="0.25">
      <c r="A313" t="str">
        <f>'Agents'' Final Roster 0823-0829'!A256</f>
        <v>Perez Zitzke Agustina</v>
      </c>
      <c r="B313" t="str">
        <f>'Agents'' Final Roster 0823-0829'!B256</f>
        <v>Vazquez Valladares Eduardo Alejandro</v>
      </c>
      <c r="C313" t="str">
        <f>'Agents'' Final Roster 0823-0829'!C256</f>
        <v>Alvarez</v>
      </c>
      <c r="D313" t="str">
        <f>'Agents'' Final Roster 0823-0829'!D256</f>
        <v xml:space="preserve">Alejandra Liliana </v>
      </c>
      <c r="Z313" t="str">
        <f>'Agents'' Final Roster 0823-0829'!Z256</f>
        <v>Servicios web</v>
      </c>
    </row>
    <row r="314" spans="1:41" customFormat="1" x14ac:dyDescent="0.25">
      <c r="A314" t="str">
        <f>'Agents'' Final Roster 0823-0829'!A257</f>
        <v>Perez Zitzke Agustina</v>
      </c>
      <c r="B314" t="str">
        <f>'Agents'' Final Roster 0823-0829'!B257</f>
        <v>Vazquez Valladares Eduardo Alejandro</v>
      </c>
      <c r="C314" t="str">
        <f>'Agents'' Final Roster 0823-0829'!C257</f>
        <v>Alvarez</v>
      </c>
      <c r="D314" t="str">
        <f>'Agents'' Final Roster 0823-0829'!D257</f>
        <v>Lucas Gabriel</v>
      </c>
      <c r="Z314" t="str">
        <f>'Agents'' Final Roster 0823-0829'!Z257</f>
        <v>DVH</v>
      </c>
    </row>
    <row r="315" spans="1:41" customFormat="1" x14ac:dyDescent="0.25">
      <c r="A315" t="str">
        <f>'Agents'' Final Roster 0823-0829'!A258</f>
        <v>Perez Zitzke Agustina</v>
      </c>
      <c r="B315" t="str">
        <f>'Agents'' Final Roster 0823-0829'!B258</f>
        <v>Vazquez Valladares Eduardo Alejandro</v>
      </c>
      <c r="C315" t="str">
        <f>'Agents'' Final Roster 0823-0829'!C258</f>
        <v>Artaza</v>
      </c>
      <c r="D315" t="str">
        <f>'Agents'' Final Roster 0823-0829'!D258</f>
        <v xml:space="preserve"> Milagro Ileana Maribel</v>
      </c>
      <c r="Z315" t="str">
        <f>'Agents'' Final Roster 0823-0829'!Z258</f>
        <v>Servicios web</v>
      </c>
    </row>
    <row r="316" spans="1:41" customFormat="1" x14ac:dyDescent="0.25">
      <c r="A316" t="str">
        <f>'Agents'' Final Roster 0823-0829'!A259</f>
        <v>Perez Zitzke Agustina</v>
      </c>
      <c r="B316" t="str">
        <f>'Agents'' Final Roster 0823-0829'!B259</f>
        <v>Vazquez Valladares Eduardo Alejandro</v>
      </c>
      <c r="C316" t="str">
        <f>'Agents'' Final Roster 0823-0829'!C259</f>
        <v>Caballero</v>
      </c>
      <c r="D316" t="str">
        <f>'Agents'' Final Roster 0823-0829'!D259</f>
        <v>Matias Nahuel</v>
      </c>
      <c r="Z316" t="str">
        <f>'Agents'' Final Roster 0823-0829'!Z259</f>
        <v>CSV2</v>
      </c>
    </row>
    <row r="317" spans="1:41" customFormat="1" x14ac:dyDescent="0.25">
      <c r="A317" t="str">
        <f>'Agents'' Final Roster 0823-0829'!A260</f>
        <v>Perez Zitzke Agustina</v>
      </c>
      <c r="B317" t="str">
        <f>'Agents'' Final Roster 0823-0829'!B260</f>
        <v>Vazquez Valladares Eduardo Alejandro</v>
      </c>
      <c r="C317" t="str">
        <f>'Agents'' Final Roster 0823-0829'!C260</f>
        <v>Castro del Sastre</v>
      </c>
      <c r="D317" t="str">
        <f>'Agents'' Final Roster 0823-0829'!D260</f>
        <v>Camila Belén</v>
      </c>
      <c r="Z317" t="str">
        <f>'Agents'' Final Roster 0823-0829'!Z260</f>
        <v>CSV1</v>
      </c>
    </row>
    <row r="318" spans="1:41" customFormat="1" x14ac:dyDescent="0.25">
      <c r="A318" t="str">
        <f>'Agents'' Final Roster 0823-0829'!A261</f>
        <v>Perez Zitzke Agustina</v>
      </c>
      <c r="B318" t="str">
        <f>'Agents'' Final Roster 0823-0829'!B261</f>
        <v>Vazquez Valladares Eduardo Alejandro</v>
      </c>
      <c r="C318" t="str">
        <f>'Agents'' Final Roster 0823-0829'!C261</f>
        <v xml:space="preserve">Cipolla </v>
      </c>
      <c r="D318" t="str">
        <f>'Agents'' Final Roster 0823-0829'!D261</f>
        <v>Naim</v>
      </c>
      <c r="Z318" t="str">
        <f>'Agents'' Final Roster 0823-0829'!Z261</f>
        <v>VIP</v>
      </c>
    </row>
    <row r="319" spans="1:41" customFormat="1" x14ac:dyDescent="0.25">
      <c r="A319" t="str">
        <f>'Agents'' Final Roster 0823-0829'!A262</f>
        <v>Perez Zitzke Agustina</v>
      </c>
      <c r="B319" t="str">
        <f>'Agents'' Final Roster 0823-0829'!B262</f>
        <v>Vazquez Valladares Eduardo Alejandro</v>
      </c>
      <c r="C319" t="str">
        <f>'Agents'' Final Roster 0823-0829'!C262</f>
        <v>Correa</v>
      </c>
      <c r="D319" t="str">
        <f>'Agents'' Final Roster 0823-0829'!D262</f>
        <v>Ana Gabriela</v>
      </c>
      <c r="Z319" t="str">
        <f>'Agents'' Final Roster 0823-0829'!Z262</f>
        <v>Servicios web</v>
      </c>
    </row>
    <row r="320" spans="1:41" customFormat="1" x14ac:dyDescent="0.25">
      <c r="A320" t="str">
        <f>'Agents'' Final Roster 0823-0829'!A263</f>
        <v>Perez Zitzke Agustina</v>
      </c>
      <c r="B320" t="str">
        <f>'Agents'' Final Roster 0823-0829'!B263</f>
        <v>Vazquez Valladares Eduardo Alejandro</v>
      </c>
      <c r="C320" t="str">
        <f>'Agents'' Final Roster 0823-0829'!C263</f>
        <v>Delgado</v>
      </c>
      <c r="D320" t="str">
        <f>'Agents'' Final Roster 0823-0829'!D263</f>
        <v>Alejandra Noemi</v>
      </c>
      <c r="Z320" t="str">
        <f>'Agents'' Final Roster 0823-0829'!Z263</f>
        <v>Servicios web</v>
      </c>
    </row>
    <row r="321" spans="1:26" x14ac:dyDescent="0.25">
      <c r="A321" s="5" t="str">
        <f>'Agents'' Final Roster 0823-0829'!A264</f>
        <v>Perez Zitzke Agustina</v>
      </c>
      <c r="B321" s="5" t="str">
        <f>'Agents'' Final Roster 0823-0829'!B264</f>
        <v>Vazquez Valladares Eduardo Alejandro</v>
      </c>
      <c r="C321" s="5" t="str">
        <f>'Agents'' Final Roster 0823-0829'!C264</f>
        <v>Delgado</v>
      </c>
      <c r="D321" s="5" t="str">
        <f>'Agents'' Final Roster 0823-0829'!D264</f>
        <v>Solana Abigail</v>
      </c>
      <c r="Z321" s="5" t="str">
        <f>'Agents'' Final Roster 0823-0829'!Z264</f>
        <v>Servicios web</v>
      </c>
    </row>
    <row r="322" spans="1:26" x14ac:dyDescent="0.25">
      <c r="A322" s="5" t="str">
        <f>'Agents'' Final Roster 0823-0829'!A265</f>
        <v>Perez Zitzke Agustina</v>
      </c>
      <c r="B322" s="5" t="str">
        <f>'Agents'' Final Roster 0823-0829'!B265</f>
        <v>Vazquez Valladares Eduardo Alejandro</v>
      </c>
      <c r="C322" s="5" t="str">
        <f>'Agents'' Final Roster 0823-0829'!C265</f>
        <v>Gómez</v>
      </c>
      <c r="D322" s="5" t="str">
        <f>'Agents'' Final Roster 0823-0829'!D265</f>
        <v xml:space="preserve">Jonás </v>
      </c>
      <c r="Z322" s="5" t="str">
        <f>'Agents'' Final Roster 0823-0829'!Z265</f>
        <v>CSV2</v>
      </c>
    </row>
    <row r="323" spans="1:26" x14ac:dyDescent="0.25">
      <c r="A323" s="5" t="str">
        <f>'Agents'' Final Roster 0823-0829'!A266</f>
        <v>Perez Zitzke Agustina</v>
      </c>
      <c r="B323" s="5" t="str">
        <f>'Agents'' Final Roster 0823-0829'!B266</f>
        <v>Vazquez Valladares Eduardo Alejandro</v>
      </c>
      <c r="C323" s="5" t="str">
        <f>'Agents'' Final Roster 0823-0829'!C266</f>
        <v>Ocampo</v>
      </c>
      <c r="D323" s="5" t="str">
        <f>'Agents'' Final Roster 0823-0829'!D266</f>
        <v>Franco Vicente</v>
      </c>
      <c r="Z323" s="5" t="str">
        <f>'Agents'' Final Roster 0823-0829'!Z266</f>
        <v>CSV1</v>
      </c>
    </row>
    <row r="324" spans="1:26" x14ac:dyDescent="0.25">
      <c r="A324" s="5" t="str">
        <f>'Agents'' Final Roster 0823-0829'!A267</f>
        <v>Perez Zitzke Agustina</v>
      </c>
      <c r="B324" s="5" t="str">
        <f>'Agents'' Final Roster 0823-0829'!B267</f>
        <v>Vazquez Valladares Eduardo Alejandro</v>
      </c>
      <c r="C324" s="5" t="str">
        <f>'Agents'' Final Roster 0823-0829'!C267</f>
        <v>Pavone</v>
      </c>
      <c r="D324" s="5" t="str">
        <f>'Agents'' Final Roster 0823-0829'!D267</f>
        <v>David Emanuel</v>
      </c>
      <c r="Z324" s="5" t="str">
        <f>'Agents'' Final Roster 0823-0829'!Z267</f>
        <v>CSV2</v>
      </c>
    </row>
    <row r="325" spans="1:26" x14ac:dyDescent="0.25">
      <c r="A325" s="5" t="str">
        <f>'Agents'' Final Roster 0823-0829'!A268</f>
        <v>Perez Zitzke Agustina</v>
      </c>
      <c r="B325" s="5" t="str">
        <f>'Agents'' Final Roster 0823-0829'!B268</f>
        <v>Vazquez Valladares Eduardo Alejandro</v>
      </c>
      <c r="C325" s="5" t="str">
        <f>'Agents'' Final Roster 0823-0829'!C268</f>
        <v>Ruiz</v>
      </c>
      <c r="D325" s="5" t="str">
        <f>'Agents'' Final Roster 0823-0829'!D268</f>
        <v>Jimena Alejandra</v>
      </c>
      <c r="Z325" s="5" t="str">
        <f>'Agents'' Final Roster 0823-0829'!Z268</f>
        <v>CSV2</v>
      </c>
    </row>
    <row r="326" spans="1:26" x14ac:dyDescent="0.25">
      <c r="A326" s="5" t="str">
        <f>'Agents'' Final Roster 0823-0829'!A269</f>
        <v>Perez Zitzke Agustina</v>
      </c>
      <c r="B326" s="5" t="str">
        <f>'Agents'' Final Roster 0823-0829'!B269</f>
        <v>Villa Aleman Alejandro Roberto</v>
      </c>
      <c r="C326" s="5" t="str">
        <f>'Agents'' Final Roster 0823-0829'!C269</f>
        <v>Alcorta</v>
      </c>
      <c r="D326" s="5" t="str">
        <f>'Agents'' Final Roster 0823-0829'!D269</f>
        <v>Carla Andrea</v>
      </c>
      <c r="Z326" s="5" t="str">
        <f>'Agents'' Final Roster 0823-0829'!Z269</f>
        <v>CSV2</v>
      </c>
    </row>
    <row r="327" spans="1:26" x14ac:dyDescent="0.25">
      <c r="A327" s="5" t="str">
        <f>'Agents'' Final Roster 0823-0829'!A270</f>
        <v>Perez Zitzke Agustina</v>
      </c>
      <c r="B327" s="5" t="str">
        <f>'Agents'' Final Roster 0823-0829'!B270</f>
        <v>Villa Aleman Alejandro Roberto</v>
      </c>
      <c r="C327" s="5" t="str">
        <f>'Agents'' Final Roster 0823-0829'!C270</f>
        <v>Blac Sleiman</v>
      </c>
      <c r="D327" s="5" t="str">
        <f>'Agents'' Final Roster 0823-0829'!D270</f>
        <v>David Exequiel</v>
      </c>
      <c r="Z327" s="5" t="str">
        <f>'Agents'' Final Roster 0823-0829'!Z270</f>
        <v>Compras Referidas</v>
      </c>
    </row>
    <row r="328" spans="1:26" x14ac:dyDescent="0.25">
      <c r="A328" s="5" t="str">
        <f>'Agents'' Final Roster 0823-0829'!A271</f>
        <v>Perez Zitzke Agustina</v>
      </c>
      <c r="B328" s="5" t="str">
        <f>'Agents'' Final Roster 0823-0829'!B271</f>
        <v>Villa Aleman Alejandro Roberto</v>
      </c>
      <c r="C328" s="5" t="str">
        <f>'Agents'' Final Roster 0823-0829'!C271</f>
        <v>Carrasco Paiva</v>
      </c>
      <c r="D328" s="5" t="str">
        <f>'Agents'' Final Roster 0823-0829'!D271</f>
        <v>Jhonny Daniel</v>
      </c>
      <c r="Z328" s="5" t="str">
        <f>'Agents'' Final Roster 0823-0829'!Z271</f>
        <v>CSV1</v>
      </c>
    </row>
    <row r="329" spans="1:26" x14ac:dyDescent="0.25">
      <c r="A329" s="5" t="str">
        <f>'Agents'' Final Roster 0823-0829'!A272</f>
        <v>Perez Zitzke Agustina</v>
      </c>
      <c r="B329" s="5" t="str">
        <f>'Agents'' Final Roster 0823-0829'!B272</f>
        <v>Villa Aleman Alejandro Roberto</v>
      </c>
      <c r="C329" s="5" t="str">
        <f>'Agents'' Final Roster 0823-0829'!C272</f>
        <v>Casella Lorca</v>
      </c>
      <c r="D329" s="5" t="str">
        <f>'Agents'' Final Roster 0823-0829'!D272</f>
        <v>Gianfranco</v>
      </c>
      <c r="Z329" s="5" t="str">
        <f>'Agents'' Final Roster 0823-0829'!Z272</f>
        <v>CSV1</v>
      </c>
    </row>
    <row r="330" spans="1:26" x14ac:dyDescent="0.25">
      <c r="A330" s="5" t="str">
        <f>'Agents'' Final Roster 0823-0829'!A273</f>
        <v>Perez Zitzke Agustina</v>
      </c>
      <c r="B330" s="5" t="str">
        <f>'Agents'' Final Roster 0823-0829'!B273</f>
        <v>Villa Aleman Alejandro Roberto</v>
      </c>
      <c r="C330" s="5" t="str">
        <f>'Agents'' Final Roster 0823-0829'!C273</f>
        <v>Castro</v>
      </c>
      <c r="D330" s="5" t="str">
        <f>'Agents'' Final Roster 0823-0829'!D273</f>
        <v xml:space="preserve">Diego Nicolas </v>
      </c>
      <c r="Z330" s="5" t="str">
        <f>'Agents'' Final Roster 0823-0829'!Z273</f>
        <v>CSV1</v>
      </c>
    </row>
    <row r="331" spans="1:26" x14ac:dyDescent="0.25">
      <c r="A331" s="5" t="str">
        <f>'Agents'' Final Roster 0823-0829'!A274</f>
        <v>Perez Zitzke Agustina</v>
      </c>
      <c r="B331" s="5" t="str">
        <f>'Agents'' Final Roster 0823-0829'!B274</f>
        <v>Villa Aleman Alejandro Roberto</v>
      </c>
      <c r="C331" s="5" t="str">
        <f>'Agents'' Final Roster 0823-0829'!C274</f>
        <v>Cuello</v>
      </c>
      <c r="D331" s="5" t="str">
        <f>'Agents'' Final Roster 0823-0829'!D274</f>
        <v>Paula Mariana</v>
      </c>
      <c r="Z331" s="5" t="str">
        <f>'Agents'' Final Roster 0823-0829'!Z274</f>
        <v>Servicios web</v>
      </c>
    </row>
    <row r="332" spans="1:26" x14ac:dyDescent="0.25">
      <c r="A332" s="5" t="str">
        <f>'Agents'' Final Roster 0823-0829'!A275</f>
        <v>Perez Zitzke Agustina</v>
      </c>
      <c r="B332" s="5" t="str">
        <f>'Agents'' Final Roster 0823-0829'!B275</f>
        <v>Villa Aleman Alejandro Roberto</v>
      </c>
      <c r="C332" s="5" t="str">
        <f>'Agents'' Final Roster 0823-0829'!C275</f>
        <v>Fernandez Lafuente</v>
      </c>
      <c r="D332" s="5" t="str">
        <f>'Agents'' Final Roster 0823-0829'!D275</f>
        <v>Eliana</v>
      </c>
      <c r="Z332" s="5" t="str">
        <f>'Agents'' Final Roster 0823-0829'!Z275</f>
        <v>CSV2</v>
      </c>
    </row>
    <row r="333" spans="1:26" x14ac:dyDescent="0.25">
      <c r="A333" s="5" t="str">
        <f>'Agents'' Final Roster 0823-0829'!A276</f>
        <v>Perez Zitzke Agustina</v>
      </c>
      <c r="B333" s="5" t="str">
        <f>'Agents'' Final Roster 0823-0829'!B276</f>
        <v>Villa Aleman Alejandro Roberto</v>
      </c>
      <c r="C333" s="5" t="str">
        <f>'Agents'' Final Roster 0823-0829'!C276</f>
        <v>Guerra</v>
      </c>
      <c r="D333" s="5" t="str">
        <f>'Agents'' Final Roster 0823-0829'!D276</f>
        <v>Carlos Martin</v>
      </c>
      <c r="Z333" s="5" t="str">
        <f>'Agents'' Final Roster 0823-0829'!Z276</f>
        <v>CSV1</v>
      </c>
    </row>
    <row r="334" spans="1:26" x14ac:dyDescent="0.25">
      <c r="A334" s="5" t="str">
        <f>'Agents'' Final Roster 0823-0829'!A277</f>
        <v>Perez Zitzke Agustina</v>
      </c>
      <c r="B334" s="5" t="str">
        <f>'Agents'' Final Roster 0823-0829'!B277</f>
        <v>Villa Aleman Alejandro Roberto</v>
      </c>
      <c r="C334" s="5" t="str">
        <f>'Agents'' Final Roster 0823-0829'!C277</f>
        <v>Medina</v>
      </c>
      <c r="D334" s="5" t="str">
        <f>'Agents'' Final Roster 0823-0829'!D277</f>
        <v>Olga Tamara</v>
      </c>
      <c r="Z334" s="5" t="str">
        <f>'Agents'' Final Roster 0823-0829'!Z277</f>
        <v>CSV1</v>
      </c>
    </row>
    <row r="335" spans="1:26" x14ac:dyDescent="0.25">
      <c r="A335" s="5" t="str">
        <f>'Agents'' Final Roster 0823-0829'!A278</f>
        <v>Perez Zitzke Agustina</v>
      </c>
      <c r="B335" s="5" t="str">
        <f>'Agents'' Final Roster 0823-0829'!B278</f>
        <v>Villa Aleman Alejandro Roberto</v>
      </c>
      <c r="C335" s="5" t="str">
        <f>'Agents'' Final Roster 0823-0829'!C278</f>
        <v>Navarro</v>
      </c>
      <c r="D335" s="5" t="str">
        <f>'Agents'' Final Roster 0823-0829'!D278</f>
        <v>Florencia Yudith</v>
      </c>
      <c r="Z335" s="5" t="str">
        <f>'Agents'' Final Roster 0823-0829'!Z278</f>
        <v>DVH</v>
      </c>
    </row>
    <row r="336" spans="1:26" x14ac:dyDescent="0.25">
      <c r="A336" s="5" t="str">
        <f>'Agents'' Final Roster 0823-0829'!A279</f>
        <v>Perez Zitzke Agustina</v>
      </c>
      <c r="B336" s="5" t="str">
        <f>'Agents'' Final Roster 0823-0829'!B279</f>
        <v>Villa Aleman Alejandro Roberto</v>
      </c>
      <c r="C336" s="5" t="str">
        <f>'Agents'' Final Roster 0823-0829'!C279</f>
        <v>Palavecino</v>
      </c>
      <c r="D336" s="5" t="str">
        <f>'Agents'' Final Roster 0823-0829'!D279</f>
        <v>Maria Laura</v>
      </c>
      <c r="Z336" s="5" t="str">
        <f>'Agents'' Final Roster 0823-0829'!Z279</f>
        <v>CSV1</v>
      </c>
    </row>
    <row r="337" spans="1:26" x14ac:dyDescent="0.25">
      <c r="A337" s="5" t="e">
        <f>'Agents'' Final Roster 0823-0829'!#REF!</f>
        <v>#REF!</v>
      </c>
      <c r="B337" s="5" t="e">
        <f>'Agents'' Final Roster 0823-0829'!#REF!</f>
        <v>#REF!</v>
      </c>
      <c r="C337" s="5" t="e">
        <f>'Agents'' Final Roster 0823-0829'!#REF!</f>
        <v>#REF!</v>
      </c>
      <c r="D337" s="5" t="e">
        <f>'Agents'' Final Roster 0823-0829'!#REF!</f>
        <v>#REF!</v>
      </c>
      <c r="Z337" s="5" t="e">
        <f>'Agents'' Final Roster 0823-0829'!#REF!</f>
        <v>#REF!</v>
      </c>
    </row>
    <row r="338" spans="1:26" x14ac:dyDescent="0.25">
      <c r="A338" s="5" t="e">
        <f>'Agents'' Final Roster 0823-0829'!#REF!</f>
        <v>#REF!</v>
      </c>
      <c r="B338" s="5" t="e">
        <f>'Agents'' Final Roster 0823-0829'!#REF!</f>
        <v>#REF!</v>
      </c>
      <c r="C338" s="5" t="e">
        <f>'Agents'' Final Roster 0823-0829'!#REF!</f>
        <v>#REF!</v>
      </c>
      <c r="D338" s="5" t="e">
        <f>'Agents'' Final Roster 0823-0829'!#REF!</f>
        <v>#REF!</v>
      </c>
      <c r="Z338" s="5" t="e">
        <f>'Agents'' Final Roster 0823-0829'!#REF!</f>
        <v>#REF!</v>
      </c>
    </row>
    <row r="339" spans="1:26" x14ac:dyDescent="0.25">
      <c r="A339" s="5" t="e">
        <f>'Agents'' Final Roster 0823-0829'!#REF!</f>
        <v>#REF!</v>
      </c>
      <c r="B339" s="5" t="e">
        <f>'Agents'' Final Roster 0823-0829'!#REF!</f>
        <v>#REF!</v>
      </c>
      <c r="C339" s="5" t="e">
        <f>'Agents'' Final Roster 0823-0829'!#REF!</f>
        <v>#REF!</v>
      </c>
      <c r="D339" s="5" t="e">
        <f>'Agents'' Final Roster 0823-0829'!#REF!</f>
        <v>#REF!</v>
      </c>
      <c r="Z339" s="5" t="e">
        <f>'Agents'' Final Roster 0823-0829'!#REF!</f>
        <v>#REF!</v>
      </c>
    </row>
    <row r="340" spans="1:26" x14ac:dyDescent="0.25">
      <c r="A340" s="5" t="e">
        <f>'Agents'' Final Roster 0823-0829'!#REF!</f>
        <v>#REF!</v>
      </c>
      <c r="B340" s="5" t="e">
        <f>'Agents'' Final Roster 0823-0829'!#REF!</f>
        <v>#REF!</v>
      </c>
      <c r="C340" s="5" t="e">
        <f>'Agents'' Final Roster 0823-0829'!#REF!</f>
        <v>#REF!</v>
      </c>
      <c r="D340" s="5" t="e">
        <f>'Agents'' Final Roster 0823-0829'!#REF!</f>
        <v>#REF!</v>
      </c>
      <c r="Z340" s="5" t="e">
        <f>'Agents'' Final Roster 0823-0829'!#REF!</f>
        <v>#REF!</v>
      </c>
    </row>
    <row r="341" spans="1:26" x14ac:dyDescent="0.25">
      <c r="A341" s="5" t="e">
        <f>'Agents'' Final Roster 0823-0829'!#REF!</f>
        <v>#REF!</v>
      </c>
      <c r="B341" s="5" t="e">
        <f>'Agents'' Final Roster 0823-0829'!#REF!</f>
        <v>#REF!</v>
      </c>
      <c r="C341" s="5" t="e">
        <f>'Agents'' Final Roster 0823-0829'!#REF!</f>
        <v>#REF!</v>
      </c>
      <c r="D341" s="5" t="e">
        <f>'Agents'' Final Roster 0823-0829'!#REF!</f>
        <v>#REF!</v>
      </c>
      <c r="Z341" s="5" t="e">
        <f>'Agents'' Final Roster 0823-0829'!#REF!</f>
        <v>#REF!</v>
      </c>
    </row>
    <row r="342" spans="1:26" x14ac:dyDescent="0.25">
      <c r="A342" s="5" t="e">
        <f>'Agents'' Final Roster 0823-0829'!#REF!</f>
        <v>#REF!</v>
      </c>
      <c r="B342" s="5" t="e">
        <f>'Agents'' Final Roster 0823-0829'!#REF!</f>
        <v>#REF!</v>
      </c>
      <c r="C342" s="5" t="e">
        <f>'Agents'' Final Roster 0823-0829'!#REF!</f>
        <v>#REF!</v>
      </c>
      <c r="D342" s="5" t="e">
        <f>'Agents'' Final Roster 0823-0829'!#REF!</f>
        <v>#REF!</v>
      </c>
      <c r="Z342" s="5" t="e">
        <f>'Agents'' Final Roster 0823-0829'!#REF!</f>
        <v>#REF!</v>
      </c>
    </row>
    <row r="343" spans="1:26" x14ac:dyDescent="0.25">
      <c r="A343" s="5" t="e">
        <f>'Agents'' Final Roster 0823-0829'!#REF!</f>
        <v>#REF!</v>
      </c>
      <c r="B343" s="5" t="e">
        <f>'Agents'' Final Roster 0823-0829'!#REF!</f>
        <v>#REF!</v>
      </c>
      <c r="C343" s="5" t="e">
        <f>'Agents'' Final Roster 0823-0829'!#REF!</f>
        <v>#REF!</v>
      </c>
      <c r="D343" s="5" t="e">
        <f>'Agents'' Final Roster 0823-0829'!#REF!</f>
        <v>#REF!</v>
      </c>
      <c r="Z343" s="5" t="e">
        <f>'Agents'' Final Roster 0823-0829'!#REF!</f>
        <v>#REF!</v>
      </c>
    </row>
    <row r="344" spans="1:26" x14ac:dyDescent="0.25">
      <c r="A344" s="5" t="str">
        <f>'Agents'' Final Roster 0823-0829'!A280</f>
        <v>Perez Zitzke Agustina</v>
      </c>
      <c r="B344" s="5" t="str">
        <f>'Agents'' Final Roster 0823-0829'!B280</f>
        <v>Villa Aleman Alejandro Roberto</v>
      </c>
      <c r="C344" s="5" t="str">
        <f>'Agents'' Final Roster 0823-0829'!C280</f>
        <v>Parrado Quiroga</v>
      </c>
      <c r="D344" s="5" t="str">
        <f>'Agents'' Final Roster 0823-0829'!D280</f>
        <v>Gimena Marisol</v>
      </c>
      <c r="Z344" s="5" t="str">
        <f>'Agents'' Final Roster 0823-0829'!Z280</f>
        <v>Servicios web</v>
      </c>
    </row>
    <row r="345" spans="1:26" x14ac:dyDescent="0.25">
      <c r="A345" s="5" t="e">
        <f>'Agents'' Final Roster 0823-0829'!#REF!</f>
        <v>#REF!</v>
      </c>
      <c r="B345" s="5" t="e">
        <f>'Agents'' Final Roster 0823-0829'!#REF!</f>
        <v>#REF!</v>
      </c>
      <c r="C345" s="5" t="e">
        <f>'Agents'' Final Roster 0823-0829'!#REF!</f>
        <v>#REF!</v>
      </c>
      <c r="D345" s="5" t="e">
        <f>'Agents'' Final Roster 0823-0829'!#REF!</f>
        <v>#REF!</v>
      </c>
      <c r="Z345" s="5" t="e">
        <f>'Agents'' Final Roster 0823-0829'!#REF!</f>
        <v>#REF!</v>
      </c>
    </row>
    <row r="346" spans="1:26" x14ac:dyDescent="0.25">
      <c r="A346" s="5" t="e">
        <f>'Agents'' Final Roster 0823-0829'!#REF!</f>
        <v>#REF!</v>
      </c>
      <c r="B346" s="5" t="e">
        <f>'Agents'' Final Roster 0823-0829'!#REF!</f>
        <v>#REF!</v>
      </c>
      <c r="C346" s="5" t="e">
        <f>'Agents'' Final Roster 0823-0829'!#REF!</f>
        <v>#REF!</v>
      </c>
      <c r="D346" s="5" t="e">
        <f>'Agents'' Final Roster 0823-0829'!#REF!</f>
        <v>#REF!</v>
      </c>
      <c r="Z346" s="5" t="e">
        <f>'Agents'' Final Roster 0823-0829'!#REF!</f>
        <v>#REF!</v>
      </c>
    </row>
    <row r="347" spans="1:26" x14ac:dyDescent="0.25">
      <c r="A347" s="5" t="e">
        <f>'Agents'' Final Roster 0823-0829'!#REF!</f>
        <v>#REF!</v>
      </c>
      <c r="B347" s="5" t="e">
        <f>'Agents'' Final Roster 0823-0829'!#REF!</f>
        <v>#REF!</v>
      </c>
      <c r="C347" s="5" t="e">
        <f>'Agents'' Final Roster 0823-0829'!#REF!</f>
        <v>#REF!</v>
      </c>
      <c r="D347" s="5" t="e">
        <f>'Agents'' Final Roster 0823-0829'!#REF!</f>
        <v>#REF!</v>
      </c>
      <c r="Z347" s="5" t="e">
        <f>'Agents'' Final Roster 0823-0829'!#REF!</f>
        <v>#REF!</v>
      </c>
    </row>
    <row r="348" spans="1:26" x14ac:dyDescent="0.25">
      <c r="A348" s="5" t="e">
        <f>'Agents'' Final Roster 0823-0829'!#REF!</f>
        <v>#REF!</v>
      </c>
      <c r="B348" s="5" t="e">
        <f>'Agents'' Final Roster 0823-0829'!#REF!</f>
        <v>#REF!</v>
      </c>
      <c r="C348" s="5" t="e">
        <f>'Agents'' Final Roster 0823-0829'!#REF!</f>
        <v>#REF!</v>
      </c>
      <c r="D348" s="5" t="e">
        <f>'Agents'' Final Roster 0823-0829'!#REF!</f>
        <v>#REF!</v>
      </c>
      <c r="Z348" s="5" t="e">
        <f>'Agents'' Final Roster 0823-0829'!#REF!</f>
        <v>#REF!</v>
      </c>
    </row>
    <row r="349" spans="1:26" x14ac:dyDescent="0.25">
      <c r="A349" s="5" t="e">
        <f>'Agents'' Final Roster 0823-0829'!#REF!</f>
        <v>#REF!</v>
      </c>
      <c r="B349" s="5" t="e">
        <f>'Agents'' Final Roster 0823-0829'!#REF!</f>
        <v>#REF!</v>
      </c>
      <c r="C349" s="5" t="e">
        <f>'Agents'' Final Roster 0823-0829'!#REF!</f>
        <v>#REF!</v>
      </c>
      <c r="D349" s="5" t="e">
        <f>'Agents'' Final Roster 0823-0829'!#REF!</f>
        <v>#REF!</v>
      </c>
      <c r="Z349" s="5" t="e">
        <f>'Agents'' Final Roster 0823-0829'!#REF!</f>
        <v>#REF!</v>
      </c>
    </row>
    <row r="350" spans="1:26" x14ac:dyDescent="0.25">
      <c r="A350" s="5" t="str">
        <f>'Agents'' Final Roster 0823-0829'!A281</f>
        <v>Perez Zitzke Agustina</v>
      </c>
      <c r="B350" s="5" t="str">
        <f>'Agents'' Final Roster 0823-0829'!B281</f>
        <v>Villa Aleman Alejandro Roberto</v>
      </c>
      <c r="C350" s="5" t="str">
        <f>'Agents'' Final Roster 0823-0829'!C281</f>
        <v>Salas</v>
      </c>
      <c r="D350" s="5" t="str">
        <f>'Agents'' Final Roster 0823-0829'!D281</f>
        <v>Romina Mercedes</v>
      </c>
      <c r="Z350" s="5" t="str">
        <f>'Agents'' Final Roster 0823-0829'!Z281</f>
        <v>CSV1</v>
      </c>
    </row>
    <row r="351" spans="1:26" x14ac:dyDescent="0.25">
      <c r="A351" s="5" t="str">
        <f>'Agents'' Final Roster 0823-0829'!A282</f>
        <v>Perez Zitzke Agustina</v>
      </c>
      <c r="B351" s="5" t="str">
        <f>'Agents'' Final Roster 0823-0829'!B282</f>
        <v>Villa Aleman Alejandro Roberto</v>
      </c>
      <c r="C351" s="5" t="str">
        <f>'Agents'' Final Roster 0823-0829'!C282</f>
        <v>Sánchez</v>
      </c>
      <c r="D351" s="5" t="str">
        <f>'Agents'' Final Roster 0823-0829'!D282</f>
        <v>Pedro Alejandro</v>
      </c>
      <c r="Z351" s="5" t="str">
        <f>'Agents'' Final Roster 0823-0829'!Z282</f>
        <v>CSV1</v>
      </c>
    </row>
    <row r="352" spans="1:26" x14ac:dyDescent="0.25">
      <c r="A352" s="5" t="str">
        <f>'Agents'' Final Roster 0823-0829'!A283</f>
        <v>Perez Zitzke Agustina</v>
      </c>
      <c r="B352" s="5" t="str">
        <f>'Agents'' Final Roster 0823-0829'!B283</f>
        <v>Ramallo Jose Emanuel</v>
      </c>
      <c r="C352" s="5" t="str">
        <f>'Agents'' Final Roster 0823-0829'!C283</f>
        <v>Soto</v>
      </c>
      <c r="D352" s="5" t="str">
        <f>'Agents'' Final Roster 0823-0829'!D283</f>
        <v>Eric Emanuel</v>
      </c>
      <c r="Z352" s="5" t="str">
        <f>'Agents'' Final Roster 0823-0829'!Z283</f>
        <v>CSV1</v>
      </c>
    </row>
    <row r="353" spans="1:26" x14ac:dyDescent="0.25">
      <c r="A353" s="5" t="str">
        <f>'Agents'' Final Roster 0823-0829'!A284</f>
        <v>Perez Zitzke Agustina</v>
      </c>
      <c r="B353" s="5" t="str">
        <f>'Agents'' Final Roster 0823-0829'!B284</f>
        <v>Villa Aleman Alejandro Roberto</v>
      </c>
      <c r="C353" s="5" t="str">
        <f>'Agents'' Final Roster 0823-0829'!C284</f>
        <v>Trionfini</v>
      </c>
      <c r="D353" s="5" t="str">
        <f>'Agents'' Final Roster 0823-0829'!D284</f>
        <v>Monica Luciana</v>
      </c>
      <c r="Z353" s="5" t="str">
        <f>'Agents'' Final Roster 0823-0829'!Z284</f>
        <v>DVH</v>
      </c>
    </row>
    <row r="354" spans="1:26" x14ac:dyDescent="0.25">
      <c r="A354" s="5" t="str">
        <f>'Agents'' Final Roster 0823-0829'!A285</f>
        <v>Ortiz Jose María</v>
      </c>
      <c r="B354" s="5" t="str">
        <f>'Agents'' Final Roster 0823-0829'!B285</f>
        <v>Silva Gabriel Alberto</v>
      </c>
      <c r="C354" s="5" t="str">
        <f>'Agents'' Final Roster 0823-0829'!C285</f>
        <v>Ballesteros</v>
      </c>
      <c r="D354" s="5" t="str">
        <f>'Agents'' Final Roster 0823-0829'!D285</f>
        <v>Gabriela Elizabeth</v>
      </c>
      <c r="Z354" s="5" t="str">
        <f>'Agents'' Final Roster 0823-0829'!Z285</f>
        <v>DVH</v>
      </c>
    </row>
    <row r="355" spans="1:26" x14ac:dyDescent="0.25">
      <c r="A355" s="5" t="str">
        <f>'Agents'' Final Roster 0823-0829'!A286</f>
        <v>Ortiz Jose María</v>
      </c>
      <c r="B355" s="5" t="str">
        <f>'Agents'' Final Roster 0823-0829'!B286</f>
        <v>Silva Gabriel Alberto</v>
      </c>
      <c r="C355" s="5" t="str">
        <f>'Agents'' Final Roster 0823-0829'!C286</f>
        <v>Figueroa</v>
      </c>
      <c r="D355" s="5" t="str">
        <f>'Agents'' Final Roster 0823-0829'!D286</f>
        <v>Paula Cristina</v>
      </c>
      <c r="Z355" s="5" t="str">
        <f>'Agents'' Final Roster 0823-0829'!Z286</f>
        <v>DVH</v>
      </c>
    </row>
    <row r="356" spans="1:26" x14ac:dyDescent="0.25">
      <c r="A356" s="5" t="e">
        <f>'Agents'' Final Roster 0823-0829'!#REF!</f>
        <v>#REF!</v>
      </c>
      <c r="B356" s="5" t="e">
        <f>'Agents'' Final Roster 0823-0829'!#REF!</f>
        <v>#REF!</v>
      </c>
      <c r="C356" s="5" t="e">
        <f>'Agents'' Final Roster 0823-0829'!#REF!</f>
        <v>#REF!</v>
      </c>
      <c r="D356" s="5" t="e">
        <f>'Agents'' Final Roster 0823-0829'!#REF!</f>
        <v>#REF!</v>
      </c>
      <c r="Z356" s="5" t="e">
        <f>'Agents'' Final Roster 0823-0829'!#REF!</f>
        <v>#REF!</v>
      </c>
    </row>
    <row r="357" spans="1:26" x14ac:dyDescent="0.25">
      <c r="A357" s="5" t="e">
        <f>'Agents'' Final Roster 0823-0829'!#REF!</f>
        <v>#REF!</v>
      </c>
      <c r="B357" s="5" t="e">
        <f>'Agents'' Final Roster 0823-0829'!#REF!</f>
        <v>#REF!</v>
      </c>
      <c r="C357" s="5" t="e">
        <f>'Agents'' Final Roster 0823-0829'!#REF!</f>
        <v>#REF!</v>
      </c>
      <c r="D357" s="5" t="e">
        <f>'Agents'' Final Roster 0823-0829'!#REF!</f>
        <v>#REF!</v>
      </c>
      <c r="Z357" s="5" t="e">
        <f>'Agents'' Final Roster 0823-0829'!#REF!</f>
        <v>#REF!</v>
      </c>
    </row>
    <row r="358" spans="1:26" x14ac:dyDescent="0.25">
      <c r="A358" s="5" t="e">
        <f>'Agents'' Final Roster 0823-0829'!#REF!</f>
        <v>#REF!</v>
      </c>
      <c r="B358" s="5" t="e">
        <f>'Agents'' Final Roster 0823-0829'!#REF!</f>
        <v>#REF!</v>
      </c>
      <c r="C358" s="5" t="e">
        <f>'Agents'' Final Roster 0823-0829'!#REF!</f>
        <v>#REF!</v>
      </c>
      <c r="D358" s="5" t="e">
        <f>'Agents'' Final Roster 0823-0829'!#REF!</f>
        <v>#REF!</v>
      </c>
      <c r="Z358" s="5" t="e">
        <f>'Agents'' Final Roster 0823-0829'!#REF!</f>
        <v>#REF!</v>
      </c>
    </row>
    <row r="359" spans="1:26" x14ac:dyDescent="0.25">
      <c r="A359" s="5" t="str">
        <f>'Agents'' Final Roster 0823-0829'!A287</f>
        <v>Ortiz Jose María</v>
      </c>
      <c r="B359" s="5" t="str">
        <f>'Agents'' Final Roster 0823-0829'!B287</f>
        <v>Silva Gabriel Alberto</v>
      </c>
      <c r="C359" s="5" t="str">
        <f>'Agents'' Final Roster 0823-0829'!C287</f>
        <v>Pacheco</v>
      </c>
      <c r="D359" s="5" t="str">
        <f>'Agents'' Final Roster 0823-0829'!D287</f>
        <v>Florencia Agostina</v>
      </c>
      <c r="Z359" s="5" t="str">
        <f>'Agents'' Final Roster 0823-0829'!Z287</f>
        <v>DVH</v>
      </c>
    </row>
    <row r="360" spans="1:26" x14ac:dyDescent="0.25">
      <c r="A360" s="5" t="str">
        <f>'Agents'' Final Roster 0823-0829'!A288</f>
        <v>Ortiz Jose María</v>
      </c>
      <c r="B360" s="5" t="str">
        <f>'Agents'' Final Roster 0823-0829'!B288</f>
        <v>Silva Gabriel Alberto</v>
      </c>
      <c r="C360" s="5" t="str">
        <f>'Agents'' Final Roster 0823-0829'!C288</f>
        <v>Aramayo</v>
      </c>
      <c r="D360" s="5" t="str">
        <f>'Agents'' Final Roster 0823-0829'!D288</f>
        <v>Fihama Loreley</v>
      </c>
      <c r="Z360" s="5" t="str">
        <f>'Agents'' Final Roster 0823-0829'!Z288</f>
        <v>DVH</v>
      </c>
    </row>
    <row r="361" spans="1:26" x14ac:dyDescent="0.25">
      <c r="A361" s="5" t="str">
        <f>'Agents'' Final Roster 0823-0829'!A289</f>
        <v>Ortiz Jose María</v>
      </c>
      <c r="B361" s="5" t="str">
        <f>'Agents'' Final Roster 0823-0829'!B289</f>
        <v>Silva Gabriel Alberto</v>
      </c>
      <c r="C361" s="5" t="str">
        <f>'Agents'' Final Roster 0823-0829'!C289</f>
        <v>Rayó</v>
      </c>
      <c r="D361" s="5" t="str">
        <f>'Agents'' Final Roster 0823-0829'!D289</f>
        <v>Rodrigo Exequiel</v>
      </c>
      <c r="Z361" s="5" t="str">
        <f>'Agents'' Final Roster 0823-0829'!Z289</f>
        <v>DVH</v>
      </c>
    </row>
    <row r="362" spans="1:26" x14ac:dyDescent="0.25">
      <c r="A362" s="5" t="str">
        <f>'Agents'' Final Roster 0823-0829'!A290</f>
        <v>Campero Juarez Maria Guadalupe</v>
      </c>
      <c r="B362" s="5" t="str">
        <f>'Agents'' Final Roster 0823-0829'!B290</f>
        <v>Bachur Karim</v>
      </c>
      <c r="C362" s="5" t="str">
        <f>'Agents'' Final Roster 0823-0829'!C290</f>
        <v>Mercado</v>
      </c>
      <c r="D362" s="5" t="str">
        <f>'Agents'' Final Roster 0823-0829'!D290</f>
        <v>Mikaela Sabrina</v>
      </c>
      <c r="Z362" s="5" t="str">
        <f>'Agents'' Final Roster 0823-0829'!Z290</f>
        <v>DVH</v>
      </c>
    </row>
    <row r="363" spans="1:26" x14ac:dyDescent="0.25">
      <c r="A363" s="5" t="str">
        <f>'Agents'' Final Roster 0823-0829'!A291</f>
        <v>Campero Juarez Maria Guadalupe</v>
      </c>
      <c r="B363" s="5" t="str">
        <f>'Agents'' Final Roster 0823-0829'!B291</f>
        <v>Bachur Karim</v>
      </c>
      <c r="C363" s="5" t="str">
        <f>'Agents'' Final Roster 0823-0829'!C291</f>
        <v>Terriaca Lemme</v>
      </c>
      <c r="D363" s="5" t="str">
        <f>'Agents'' Final Roster 0823-0829'!D291</f>
        <v>Flavia Solaina</v>
      </c>
      <c r="Z363" s="5" t="str">
        <f>'Agents'' Final Roster 0823-0829'!Z291</f>
        <v>DVH</v>
      </c>
    </row>
    <row r="364" spans="1:26" x14ac:dyDescent="0.25">
      <c r="A364" s="5" t="str">
        <f>'Agents'' Final Roster 0823-0829'!A292</f>
        <v>Campero Juarez Maria Guadalupe</v>
      </c>
      <c r="B364" s="5" t="str">
        <f>'Agents'' Final Roster 0823-0829'!B292</f>
        <v>Bachur Karim</v>
      </c>
      <c r="C364" s="5" t="str">
        <f>'Agents'' Final Roster 0823-0829'!C292</f>
        <v>Ucciardello</v>
      </c>
      <c r="D364" s="5" t="str">
        <f>'Agents'' Final Roster 0823-0829'!D292</f>
        <v>Luciana Daniza</v>
      </c>
      <c r="Z364" s="5" t="str">
        <f>'Agents'' Final Roster 0823-0829'!Z292</f>
        <v>DVH</v>
      </c>
    </row>
    <row r="365" spans="1:26" x14ac:dyDescent="0.25">
      <c r="A365" s="5" t="str">
        <f>'Agents'' Final Roster 0823-0829'!A293</f>
        <v>Campero Juarez Maria Guadalupe</v>
      </c>
      <c r="B365" s="5" t="str">
        <f>'Agents'' Final Roster 0823-0829'!B293</f>
        <v>Bachur Karim</v>
      </c>
      <c r="C365" s="5" t="str">
        <f>'Agents'' Final Roster 0823-0829'!C293</f>
        <v>Dilascio</v>
      </c>
      <c r="D365" s="5" t="str">
        <f>'Agents'' Final Roster 0823-0829'!D293</f>
        <v>Miguel Angel</v>
      </c>
      <c r="Z365" s="5" t="str">
        <f>'Agents'' Final Roster 0823-0829'!Z293</f>
        <v>DVH</v>
      </c>
    </row>
    <row r="366" spans="1:26" x14ac:dyDescent="0.25">
      <c r="A366" s="5" t="str">
        <f>'Agents'' Final Roster 0823-0829'!A294</f>
        <v>Campero Juarez Maria Guadalupe</v>
      </c>
      <c r="B366" s="5" t="str">
        <f>'Agents'' Final Roster 0823-0829'!B294</f>
        <v>Bachur Karim</v>
      </c>
      <c r="C366" s="5" t="str">
        <f>'Agents'' Final Roster 0823-0829'!C294</f>
        <v>Rodríguez</v>
      </c>
      <c r="D366" s="5" t="str">
        <f>'Agents'' Final Roster 0823-0829'!D294</f>
        <v>Brenda Agostina</v>
      </c>
      <c r="Z366" s="5" t="str">
        <f>'Agents'' Final Roster 0823-0829'!Z294</f>
        <v>DVH</v>
      </c>
    </row>
    <row r="367" spans="1:26" x14ac:dyDescent="0.25">
      <c r="A367" s="5" t="str">
        <f>'Agents'' Final Roster 0823-0829'!A295</f>
        <v>Campero Juarez Maria Guadalupe</v>
      </c>
      <c r="B367" s="5" t="str">
        <f>'Agents'' Final Roster 0823-0829'!B295</f>
        <v>Bachur Karim</v>
      </c>
      <c r="C367" s="5" t="str">
        <f>'Agents'' Final Roster 0823-0829'!C295</f>
        <v>Montaldo</v>
      </c>
      <c r="D367" s="5" t="str">
        <f>'Agents'' Final Roster 0823-0829'!D295</f>
        <v>Sol Agustina</v>
      </c>
      <c r="Z367" s="5" t="str">
        <f>'Agents'' Final Roster 0823-0829'!Z295</f>
        <v>DVH</v>
      </c>
    </row>
    <row r="368" spans="1:26" x14ac:dyDescent="0.25">
      <c r="A368" s="5" t="str">
        <f>'Agents'' Final Roster 0823-0829'!A296</f>
        <v>Campero Juarez Maria Guadalupe</v>
      </c>
      <c r="B368" s="5" t="str">
        <f>'Agents'' Final Roster 0823-0829'!B296</f>
        <v>Bachur Karim</v>
      </c>
      <c r="C368" s="5" t="str">
        <f>'Agents'' Final Roster 0823-0829'!C296</f>
        <v>Yanelli</v>
      </c>
      <c r="D368" s="5" t="str">
        <f>'Agents'' Final Roster 0823-0829'!D296</f>
        <v>Aníbal Hector Francisco</v>
      </c>
      <c r="Z368" s="5" t="str">
        <f>'Agents'' Final Roster 0823-0829'!Z296</f>
        <v>DVH</v>
      </c>
    </row>
    <row r="369" spans="1:26" x14ac:dyDescent="0.25">
      <c r="A369" s="5" t="str">
        <f>'Agents'' Final Roster 0823-0829'!A297</f>
        <v>Campero Juarez Maria Guadalupe</v>
      </c>
      <c r="B369" s="5" t="str">
        <f>'Agents'' Final Roster 0823-0829'!B297</f>
        <v>Bachur Karim</v>
      </c>
      <c r="C369" s="5" t="str">
        <f>'Agents'' Final Roster 0823-0829'!C297</f>
        <v>Pascual</v>
      </c>
      <c r="D369" s="5" t="str">
        <f>'Agents'' Final Roster 0823-0829'!D297</f>
        <v>Silvio Daniel</v>
      </c>
      <c r="Z369" s="5" t="str">
        <f>'Agents'' Final Roster 0823-0829'!Z297</f>
        <v>DVH</v>
      </c>
    </row>
    <row r="370" spans="1:26" x14ac:dyDescent="0.25">
      <c r="A370" s="5" t="str">
        <f>'Agents'' Final Roster 0823-0829'!A298</f>
        <v>Campero Juarez Maria Guadalupe</v>
      </c>
      <c r="B370" s="5" t="str">
        <f>'Agents'' Final Roster 0823-0829'!B298</f>
        <v>Bachur Karim</v>
      </c>
      <c r="C370" s="5" t="str">
        <f>'Agents'' Final Roster 0823-0829'!C298</f>
        <v>Contreras</v>
      </c>
      <c r="D370" s="5" t="str">
        <f>'Agents'' Final Roster 0823-0829'!D298</f>
        <v>Fernando Gonzalo</v>
      </c>
      <c r="Z370" s="5" t="str">
        <f>'Agents'' Final Roster 0823-0829'!Z298</f>
        <v>DVH</v>
      </c>
    </row>
    <row r="371" spans="1:26" x14ac:dyDescent="0.25">
      <c r="A371" s="5" t="str">
        <f>'Agents'' Final Roster 0823-0829'!A299</f>
        <v>Campero Juarez Maria Guadalupe</v>
      </c>
      <c r="B371" s="5" t="str">
        <f>'Agents'' Final Roster 0823-0829'!B299</f>
        <v>Bachur Karim</v>
      </c>
      <c r="C371" s="5" t="str">
        <f>'Agents'' Final Roster 0823-0829'!C299</f>
        <v>Navarro</v>
      </c>
      <c r="D371" s="5" t="str">
        <f>'Agents'' Final Roster 0823-0829'!D299</f>
        <v>Luciana Antonella</v>
      </c>
      <c r="Z371" s="5" t="str">
        <f>'Agents'' Final Roster 0823-0829'!Z299</f>
        <v>DVH</v>
      </c>
    </row>
    <row r="372" spans="1:26" x14ac:dyDescent="0.25">
      <c r="A372" s="5" t="str">
        <f>'Agents'' Final Roster 0823-0829'!A300</f>
        <v>Campero Juarez Maria Guadalupe</v>
      </c>
      <c r="B372" s="5" t="str">
        <f>'Agents'' Final Roster 0823-0829'!B300</f>
        <v>Bachur Karim</v>
      </c>
      <c r="C372" s="5" t="str">
        <f>'Agents'' Final Roster 0823-0829'!C300</f>
        <v>Albornoz</v>
      </c>
      <c r="D372" s="5" t="str">
        <f>'Agents'' Final Roster 0823-0829'!D300</f>
        <v>Luciana de los Angeles</v>
      </c>
      <c r="Z372" s="5" t="str">
        <f>'Agents'' Final Roster 0823-0829'!Z300</f>
        <v>DVH</v>
      </c>
    </row>
    <row r="373" spans="1:26" x14ac:dyDescent="0.25">
      <c r="A373" s="5" t="str">
        <f>'Agents'' Final Roster 0823-0829'!A301</f>
        <v>Ortiz Jose María</v>
      </c>
      <c r="B373" s="5" t="str">
        <f>'Agents'' Final Roster 0823-0829'!B301</f>
        <v>Silva Gabriel Alberto</v>
      </c>
      <c r="C373" s="5" t="str">
        <f>'Agents'' Final Roster 0823-0829'!C301</f>
        <v>Asen Ruiz</v>
      </c>
      <c r="D373" s="5" t="str">
        <f>'Agents'' Final Roster 0823-0829'!D301</f>
        <v>Mirta Anahí</v>
      </c>
      <c r="Z373" s="5" t="str">
        <f>'Agents'' Final Roster 0823-0829'!Z301</f>
        <v>DVH</v>
      </c>
    </row>
    <row r="374" spans="1:26" x14ac:dyDescent="0.25">
      <c r="A374" s="5" t="str">
        <f>'Agents'' Final Roster 0823-0829'!A302</f>
        <v>Campero Juarez Maria Guadalupe</v>
      </c>
      <c r="B374" s="5" t="str">
        <f>'Agents'' Final Roster 0823-0829'!B302</f>
        <v>Bachur Karim</v>
      </c>
      <c r="C374" s="5" t="str">
        <f>'Agents'' Final Roster 0823-0829'!C302</f>
        <v>Avellaneda</v>
      </c>
      <c r="D374" s="5" t="str">
        <f>'Agents'' Final Roster 0823-0829'!D302</f>
        <v>Rocío Mariel</v>
      </c>
      <c r="Z374" s="5" t="str">
        <f>'Agents'' Final Roster 0823-0829'!Z302</f>
        <v>DVH</v>
      </c>
    </row>
    <row r="375" spans="1:26" x14ac:dyDescent="0.25">
      <c r="A375" s="5" t="str">
        <f>'Agents'' Final Roster 0823-0829'!A303</f>
        <v>Campero Juarez Maria Guadalupe</v>
      </c>
      <c r="B375" s="5" t="str">
        <f>'Agents'' Final Roster 0823-0829'!B303</f>
        <v>Bachur Karim</v>
      </c>
      <c r="C375" s="5" t="str">
        <f>'Agents'' Final Roster 0823-0829'!C303</f>
        <v>Baez Silberstein</v>
      </c>
      <c r="D375" s="5" t="str">
        <f>'Agents'' Final Roster 0823-0829'!D303</f>
        <v>Santiago</v>
      </c>
      <c r="Z375" s="5" t="str">
        <f>'Agents'' Final Roster 0823-0829'!Z303</f>
        <v>DVH</v>
      </c>
    </row>
    <row r="376" spans="1:26" x14ac:dyDescent="0.25">
      <c r="A376" s="5" t="str">
        <f>'Agents'' Final Roster 0823-0829'!A304</f>
        <v>Campero Juarez Maria Guadalupe</v>
      </c>
      <c r="B376" s="5" t="str">
        <f>'Agents'' Final Roster 0823-0829'!B304</f>
        <v>Bachur Karim</v>
      </c>
      <c r="C376" s="5" t="str">
        <f>'Agents'' Final Roster 0823-0829'!C304</f>
        <v>Coria</v>
      </c>
      <c r="D376" s="5" t="str">
        <f>'Agents'' Final Roster 0823-0829'!D304</f>
        <v>Ana</v>
      </c>
      <c r="Z376" s="5" t="str">
        <f>'Agents'' Final Roster 0823-0829'!Z304</f>
        <v>DVH</v>
      </c>
    </row>
    <row r="377" spans="1:26" x14ac:dyDescent="0.25">
      <c r="A377" s="5" t="str">
        <f>'Agents'' Final Roster 0823-0829'!A305</f>
        <v>Ortiz Jose María</v>
      </c>
      <c r="B377" s="5" t="str">
        <f>'Agents'' Final Roster 0823-0829'!B305</f>
        <v>Silva Gabriel Alberto</v>
      </c>
      <c r="C377" s="5" t="str">
        <f>'Agents'' Final Roster 0823-0829'!C305</f>
        <v>Flores</v>
      </c>
      <c r="D377" s="5" t="str">
        <f>'Agents'' Final Roster 0823-0829'!D305</f>
        <v>Ana Cecilia</v>
      </c>
      <c r="Z377" s="5" t="str">
        <f>'Agents'' Final Roster 0823-0829'!Z305</f>
        <v>DVH</v>
      </c>
    </row>
    <row r="378" spans="1:26" x14ac:dyDescent="0.25">
      <c r="A378" s="5" t="str">
        <f>'Agents'' Final Roster 0823-0829'!A306</f>
        <v>Campero Juarez Maria Guadalupe</v>
      </c>
      <c r="B378" s="5" t="str">
        <f>'Agents'' Final Roster 0823-0829'!B306</f>
        <v>Mendoza Norma Mercedes</v>
      </c>
      <c r="C378" s="5" t="str">
        <f>'Agents'' Final Roster 0823-0829'!C306</f>
        <v>Garcia Bulacio</v>
      </c>
      <c r="D378" s="5" t="str">
        <f>'Agents'' Final Roster 0823-0829'!D306</f>
        <v>Luciano</v>
      </c>
      <c r="Z378" s="5" t="str">
        <f>'Agents'' Final Roster 0823-0829'!Z306</f>
        <v>DVH</v>
      </c>
    </row>
    <row r="379" spans="1:26" x14ac:dyDescent="0.25">
      <c r="A379" s="5" t="str">
        <f>'Agents'' Final Roster 0823-0829'!A307</f>
        <v>Campero Juarez Maria Guadalupe</v>
      </c>
      <c r="B379" s="5" t="str">
        <f>'Agents'' Final Roster 0823-0829'!B307</f>
        <v>Mendoza Norma Mercedes</v>
      </c>
      <c r="C379" s="5" t="str">
        <f>'Agents'' Final Roster 0823-0829'!C307</f>
        <v>Gomez</v>
      </c>
      <c r="D379" s="5" t="str">
        <f>'Agents'' Final Roster 0823-0829'!D307</f>
        <v>Lourdes María</v>
      </c>
      <c r="Z379" s="5" t="str">
        <f>'Agents'' Final Roster 0823-0829'!Z307</f>
        <v>DVH</v>
      </c>
    </row>
    <row r="380" spans="1:26" x14ac:dyDescent="0.25">
      <c r="A380" s="5" t="str">
        <f>'Agents'' Final Roster 0823-0829'!A308</f>
        <v>Campero Juarez Maria Guadalupe</v>
      </c>
      <c r="B380" s="5" t="str">
        <f>'Agents'' Final Roster 0823-0829'!B308</f>
        <v>Mendoza Norma Mercedes</v>
      </c>
      <c r="C380" s="5" t="str">
        <f>'Agents'' Final Roster 0823-0829'!C308</f>
        <v>Gonzalez Conidares</v>
      </c>
      <c r="D380" s="5" t="str">
        <f>'Agents'' Final Roster 0823-0829'!D308</f>
        <v>Enzo Micael</v>
      </c>
      <c r="Z380" s="5" t="str">
        <f>'Agents'' Final Roster 0823-0829'!Z308</f>
        <v>DVH</v>
      </c>
    </row>
    <row r="381" spans="1:26" x14ac:dyDescent="0.25">
      <c r="A381" s="5" t="str">
        <f>'Agents'' Final Roster 0823-0829'!A309</f>
        <v>Campero Juarez Maria Guadalupe</v>
      </c>
      <c r="B381" s="5" t="str">
        <f>'Agents'' Final Roster 0823-0829'!B309</f>
        <v>Mendoza Norma Mercedes</v>
      </c>
      <c r="C381" s="5" t="str">
        <f>'Agents'' Final Roster 0823-0829'!C309</f>
        <v>González Jiménez</v>
      </c>
      <c r="D381" s="5" t="str">
        <f>'Agents'' Final Roster 0823-0829'!D309</f>
        <v>Jorge Iván</v>
      </c>
      <c r="Z381" s="5" t="str">
        <f>'Agents'' Final Roster 0823-0829'!Z309</f>
        <v>DVH</v>
      </c>
    </row>
    <row r="382" spans="1:26" x14ac:dyDescent="0.25">
      <c r="A382" s="5" t="str">
        <f>'Agents'' Final Roster 0823-0829'!A310</f>
        <v>Ortiz Jose María</v>
      </c>
      <c r="B382" s="5" t="str">
        <f>'Agents'' Final Roster 0823-0829'!B310</f>
        <v>Silva Gabriel Alberto</v>
      </c>
      <c r="C382" s="5" t="str">
        <f>'Agents'' Final Roster 0823-0829'!C310</f>
        <v>Guitiérrez</v>
      </c>
      <c r="D382" s="5" t="str">
        <f>'Agents'' Final Roster 0823-0829'!D310</f>
        <v>Emmanuel Maximiliano</v>
      </c>
      <c r="Z382" s="5" t="str">
        <f>'Agents'' Final Roster 0823-0829'!Z310</f>
        <v>DVH</v>
      </c>
    </row>
    <row r="383" spans="1:26" x14ac:dyDescent="0.25">
      <c r="A383" s="5" t="str">
        <f>'Agents'' Final Roster 0823-0829'!A311</f>
        <v>Campero Juarez Maria Guadalupe</v>
      </c>
      <c r="B383" s="5" t="str">
        <f>'Agents'' Final Roster 0823-0829'!B311</f>
        <v>Mendoza Norma Mercedes</v>
      </c>
      <c r="C383" s="5" t="str">
        <f>'Agents'' Final Roster 0823-0829'!C311</f>
        <v>Ibañez</v>
      </c>
      <c r="D383" s="5" t="str">
        <f>'Agents'' Final Roster 0823-0829'!D311</f>
        <v>Jeremias Raul</v>
      </c>
      <c r="Z383" s="5" t="str">
        <f>'Agents'' Final Roster 0823-0829'!Z311</f>
        <v>DVH</v>
      </c>
    </row>
    <row r="384" spans="1:26" x14ac:dyDescent="0.25">
      <c r="A384" s="5" t="str">
        <f>'Agents'' Final Roster 0823-0829'!A312</f>
        <v>Ortiz Jose María</v>
      </c>
      <c r="B384" s="5" t="str">
        <f>'Agents'' Final Roster 0823-0829'!B312</f>
        <v>Silva Gabriel Alberto</v>
      </c>
      <c r="C384" s="5" t="str">
        <f>'Agents'' Final Roster 0823-0829'!C312</f>
        <v>Lazarte</v>
      </c>
      <c r="D384" s="5" t="str">
        <f>'Agents'' Final Roster 0823-0829'!D312</f>
        <v>María Ines</v>
      </c>
      <c r="Z384" s="5" t="str">
        <f>'Agents'' Final Roster 0823-0829'!Z312</f>
        <v>DVH</v>
      </c>
    </row>
    <row r="385" spans="1:26" x14ac:dyDescent="0.25">
      <c r="A385" s="5" t="str">
        <f>'Agents'' Final Roster 0823-0829'!A313</f>
        <v>Campero Juarez Maria Guadalupe</v>
      </c>
      <c r="B385" s="5" t="str">
        <f>'Agents'' Final Roster 0823-0829'!B313</f>
        <v>Mendoza Norma Mercedes</v>
      </c>
      <c r="C385" s="5" t="str">
        <f>'Agents'' Final Roster 0823-0829'!C313</f>
        <v>Ledesma</v>
      </c>
      <c r="D385" s="5" t="str">
        <f>'Agents'' Final Roster 0823-0829'!D313</f>
        <v>Maria Florencia</v>
      </c>
      <c r="Z385" s="5" t="str">
        <f>'Agents'' Final Roster 0823-0829'!Z313</f>
        <v>DVH</v>
      </c>
    </row>
    <row r="386" spans="1:26" x14ac:dyDescent="0.25">
      <c r="A386" s="5" t="str">
        <f>'Agents'' Final Roster 0823-0829'!A314</f>
        <v>Campero Juarez Maria Guadalupe</v>
      </c>
      <c r="B386" s="5" t="str">
        <f>'Agents'' Final Roster 0823-0829'!B314</f>
        <v>Mendoza Norma Mercedes</v>
      </c>
      <c r="C386" s="5" t="str">
        <f>'Agents'' Final Roster 0823-0829'!C314</f>
        <v>Lobo</v>
      </c>
      <c r="D386" s="5" t="str">
        <f>'Agents'' Final Roster 0823-0829'!D314</f>
        <v>Miguel</v>
      </c>
      <c r="Z386" s="5" t="str">
        <f>'Agents'' Final Roster 0823-0829'!Z314</f>
        <v>DVH</v>
      </c>
    </row>
    <row r="387" spans="1:26" x14ac:dyDescent="0.25">
      <c r="A387" s="5" t="str">
        <f>'Agents'' Final Roster 0823-0829'!A315</f>
        <v>Perez Zitzke Agustina</v>
      </c>
      <c r="B387" s="5" t="str">
        <f>'Agents'' Final Roster 0823-0829'!B315</f>
        <v xml:space="preserve">Albornoz Miguel </v>
      </c>
      <c r="C387" s="5" t="str">
        <f>'Agents'' Final Roster 0823-0829'!C315</f>
        <v>Lucero</v>
      </c>
      <c r="D387" s="5" t="str">
        <f>'Agents'' Final Roster 0823-0829'!D315</f>
        <v>Noelia</v>
      </c>
      <c r="Z387" s="5" t="str">
        <f>'Agents'' Final Roster 0823-0829'!Z315</f>
        <v>DVH</v>
      </c>
    </row>
    <row r="388" spans="1:26" x14ac:dyDescent="0.25">
      <c r="A388" s="5" t="str">
        <f>'Agents'' Final Roster 0823-0829'!A316</f>
        <v>Campero Juarez Maria Guadalupe</v>
      </c>
      <c r="B388" s="5" t="str">
        <f>'Agents'' Final Roster 0823-0829'!B316</f>
        <v>Mendoza Norma Mercedes</v>
      </c>
      <c r="C388" s="5" t="str">
        <f>'Agents'' Final Roster 0823-0829'!C316</f>
        <v>Martinez</v>
      </c>
      <c r="D388" s="5" t="str">
        <f>'Agents'' Final Roster 0823-0829'!D316</f>
        <v>Yahir Jesus</v>
      </c>
      <c r="Z388" s="5" t="str">
        <f>'Agents'' Final Roster 0823-0829'!Z316</f>
        <v>DVH</v>
      </c>
    </row>
    <row r="389" spans="1:26" x14ac:dyDescent="0.25">
      <c r="A389" s="5" t="str">
        <f>'Agents'' Final Roster 0823-0829'!A317</f>
        <v>Campero Juarez Maria Guadalupe</v>
      </c>
      <c r="B389" s="5" t="str">
        <f>'Agents'' Final Roster 0823-0829'!B317</f>
        <v>Mendoza Norma Mercedes</v>
      </c>
      <c r="C389" s="5" t="str">
        <f>'Agents'' Final Roster 0823-0829'!C317</f>
        <v>Martinez Iturbe</v>
      </c>
      <c r="D389" s="5" t="str">
        <f>'Agents'' Final Roster 0823-0829'!D317</f>
        <v>Santiago Isaac</v>
      </c>
      <c r="Z389" s="5" t="str">
        <f>'Agents'' Final Roster 0823-0829'!Z317</f>
        <v>DVH</v>
      </c>
    </row>
    <row r="390" spans="1:26" x14ac:dyDescent="0.25">
      <c r="A390" s="5" t="str">
        <f>'Agents'' Final Roster 0823-0829'!A318</f>
        <v>Perez Zitzke Agustina</v>
      </c>
      <c r="B390" s="5" t="str">
        <f>'Agents'' Final Roster 0823-0829'!B318</f>
        <v xml:space="preserve">Albornoz Miguel </v>
      </c>
      <c r="C390" s="5" t="str">
        <f>'Agents'' Final Roster 0823-0829'!C318</f>
        <v>Medina</v>
      </c>
      <c r="D390" s="5" t="str">
        <f>'Agents'' Final Roster 0823-0829'!D318</f>
        <v>Maria del Valle</v>
      </c>
      <c r="Z390" s="5" t="str">
        <f>'Agents'' Final Roster 0823-0829'!Z318</f>
        <v>DVH</v>
      </c>
    </row>
    <row r="391" spans="1:26" x14ac:dyDescent="0.25">
      <c r="A391" s="5" t="str">
        <f>'Agents'' Final Roster 0823-0829'!A319</f>
        <v>Perez Zitzke Agustina</v>
      </c>
      <c r="B391" s="5" t="str">
        <f>'Agents'' Final Roster 0823-0829'!B319</f>
        <v xml:space="preserve">Albornoz Miguel </v>
      </c>
      <c r="C391" s="5" t="str">
        <f>'Agents'' Final Roster 0823-0829'!C319</f>
        <v>Mendoza</v>
      </c>
      <c r="D391" s="5" t="str">
        <f>'Agents'' Final Roster 0823-0829'!D319</f>
        <v>Rocío Camila</v>
      </c>
      <c r="Z391" s="5" t="str">
        <f>'Agents'' Final Roster 0823-0829'!Z319</f>
        <v>DVH</v>
      </c>
    </row>
    <row r="392" spans="1:26" x14ac:dyDescent="0.25">
      <c r="A392" s="5" t="str">
        <f>'Agents'' Final Roster 0823-0829'!A320</f>
        <v>Campero Juarez Maria Guadalupe</v>
      </c>
      <c r="B392" s="5" t="str">
        <f>'Agents'' Final Roster 0823-0829'!B320</f>
        <v>Mendoza Norma Mercedes</v>
      </c>
      <c r="C392" s="5" t="str">
        <f>'Agents'' Final Roster 0823-0829'!C320</f>
        <v>Montenegro Mansilla</v>
      </c>
      <c r="D392" s="5" t="str">
        <f>'Agents'' Final Roster 0823-0829'!D320</f>
        <v>Milagros</v>
      </c>
      <c r="Z392" s="5" t="str">
        <f>'Agents'' Final Roster 0823-0829'!Z320</f>
        <v>DVH</v>
      </c>
    </row>
    <row r="393" spans="1:26" x14ac:dyDescent="0.25">
      <c r="A393" s="5" t="str">
        <f>'Agents'' Final Roster 0823-0829'!A321</f>
        <v>Perez Zitzke Agustina</v>
      </c>
      <c r="B393" s="5" t="str">
        <f>'Agents'' Final Roster 0823-0829'!B321</f>
        <v xml:space="preserve">Albornoz Miguel </v>
      </c>
      <c r="C393" s="5" t="str">
        <f>'Agents'' Final Roster 0823-0829'!C321</f>
        <v>Peñaloza</v>
      </c>
      <c r="D393" s="5" t="str">
        <f>'Agents'' Final Roster 0823-0829'!D321</f>
        <v>María Romina</v>
      </c>
      <c r="Z393" s="5" t="str">
        <f>'Agents'' Final Roster 0823-0829'!Z321</f>
        <v>DVH</v>
      </c>
    </row>
    <row r="394" spans="1:26" x14ac:dyDescent="0.25">
      <c r="A394" s="5" t="str">
        <f>'Agents'' Final Roster 0823-0829'!A322</f>
        <v>Campero Juarez Maria Guadalupe</v>
      </c>
      <c r="B394" s="5" t="str">
        <f>'Agents'' Final Roster 0823-0829'!B322</f>
        <v>Mendoza Norma Mercedes</v>
      </c>
      <c r="C394" s="5" t="str">
        <f>'Agents'' Final Roster 0823-0829'!C322</f>
        <v>Pons Amún</v>
      </c>
      <c r="D394" s="5" t="str">
        <f>'Agents'' Final Roster 0823-0829'!D322</f>
        <v>Solana Agostina</v>
      </c>
      <c r="Z394" s="5" t="str">
        <f>'Agents'' Final Roster 0823-0829'!Z322</f>
        <v>DVH</v>
      </c>
    </row>
    <row r="395" spans="1:26" x14ac:dyDescent="0.25">
      <c r="A395" s="5" t="str">
        <f>'Agents'' Final Roster 0823-0829'!A323</f>
        <v>Perez Zitzke Agustina</v>
      </c>
      <c r="B395" s="5" t="str">
        <f>'Agents'' Final Roster 0823-0829'!B323</f>
        <v xml:space="preserve">Albornoz Miguel </v>
      </c>
      <c r="C395" s="5" t="str">
        <f>'Agents'' Final Roster 0823-0829'!C323</f>
        <v>Ribotis</v>
      </c>
      <c r="D395" s="5" t="str">
        <f>'Agents'' Final Roster 0823-0829'!D323</f>
        <v>Julieta</v>
      </c>
      <c r="Z395" s="5" t="str">
        <f>'Agents'' Final Roster 0823-0829'!Z323</f>
        <v>DVH</v>
      </c>
    </row>
    <row r="396" spans="1:26" x14ac:dyDescent="0.25">
      <c r="A396" s="5" t="str">
        <f>'Agents'' Final Roster 0823-0829'!A324</f>
        <v>Perez Zitzke Agustina</v>
      </c>
      <c r="B396" s="5" t="str">
        <f>'Agents'' Final Roster 0823-0829'!B324</f>
        <v xml:space="preserve">Albornoz Miguel </v>
      </c>
      <c r="C396" s="5" t="str">
        <f>'Agents'' Final Roster 0823-0829'!C324</f>
        <v>Risso</v>
      </c>
      <c r="D396" s="5" t="str">
        <f>'Agents'' Final Roster 0823-0829'!D324</f>
        <v>Florencia Marisel</v>
      </c>
      <c r="Z396" s="5" t="str">
        <f>'Agents'' Final Roster 0823-0829'!Z324</f>
        <v>DVH</v>
      </c>
    </row>
    <row r="397" spans="1:26" x14ac:dyDescent="0.25">
      <c r="A397" s="5" t="str">
        <f>'Agents'' Final Roster 0823-0829'!A325</f>
        <v>Perez Zitzke Agustina</v>
      </c>
      <c r="B397" s="5" t="str">
        <f>'Agents'' Final Roster 0823-0829'!B325</f>
        <v xml:space="preserve">Albornoz Miguel </v>
      </c>
      <c r="C397" s="5" t="str">
        <f>'Agents'' Final Roster 0823-0829'!C325</f>
        <v>Romero</v>
      </c>
      <c r="D397" s="5" t="str">
        <f>'Agents'' Final Roster 0823-0829'!D325</f>
        <v>Florecia Raquel</v>
      </c>
      <c r="Z397" s="5" t="str">
        <f>'Agents'' Final Roster 0823-0829'!Z325</f>
        <v>DVH</v>
      </c>
    </row>
    <row r="398" spans="1:26" x14ac:dyDescent="0.25">
      <c r="A398" s="5" t="str">
        <f>'Agents'' Final Roster 0823-0829'!A326</f>
        <v>Campero Juarez Maria Guadalupe</v>
      </c>
      <c r="B398" s="5" t="str">
        <f>'Agents'' Final Roster 0823-0829'!B326</f>
        <v>Mendoza Norma Mercedes</v>
      </c>
      <c r="C398" s="5" t="str">
        <f>'Agents'' Final Roster 0823-0829'!C326</f>
        <v>Saavedra</v>
      </c>
      <c r="D398" s="5" t="str">
        <f>'Agents'' Final Roster 0823-0829'!D326</f>
        <v>Virginia Valeria</v>
      </c>
      <c r="Z398" s="5" t="str">
        <f>'Agents'' Final Roster 0823-0829'!Z326</f>
        <v>DVH</v>
      </c>
    </row>
    <row r="399" spans="1:26" x14ac:dyDescent="0.25">
      <c r="A399" s="5" t="str">
        <f>'Agents'' Final Roster 0823-0829'!A327</f>
        <v>Campero Juarez Maria Guadalupe</v>
      </c>
      <c r="B399" s="5" t="str">
        <f>'Agents'' Final Roster 0823-0829'!B327</f>
        <v>Mendoza Norma Mercedes</v>
      </c>
      <c r="C399" s="5" t="str">
        <f>'Agents'' Final Roster 0823-0829'!C327</f>
        <v>Sánchez</v>
      </c>
      <c r="D399" s="5" t="str">
        <f>'Agents'' Final Roster 0823-0829'!D327</f>
        <v>Victor Orlando</v>
      </c>
      <c r="Z399" s="5" t="str">
        <f>'Agents'' Final Roster 0823-0829'!Z327</f>
        <v>DVH</v>
      </c>
    </row>
    <row r="400" spans="1:26" x14ac:dyDescent="0.25">
      <c r="A400" s="5" t="str">
        <f>'Agents'' Final Roster 0823-0829'!A328</f>
        <v>Perez Zitzke Agustina</v>
      </c>
      <c r="B400" s="5" t="str">
        <f>'Agents'' Final Roster 0823-0829'!B328</f>
        <v xml:space="preserve">Albornoz Miguel </v>
      </c>
      <c r="C400" s="5" t="str">
        <f>'Agents'' Final Roster 0823-0829'!C328</f>
        <v>Santucho</v>
      </c>
      <c r="D400" s="5" t="str">
        <f>'Agents'' Final Roster 0823-0829'!D328</f>
        <v>María Soledad</v>
      </c>
      <c r="Z400" s="5" t="str">
        <f>'Agents'' Final Roster 0823-0829'!Z328</f>
        <v>DVH</v>
      </c>
    </row>
    <row r="401" spans="1:26" x14ac:dyDescent="0.25">
      <c r="A401" s="5" t="str">
        <f>'Agents'' Final Roster 0823-0829'!A329</f>
        <v>Perez Zitzke Agustina</v>
      </c>
      <c r="B401" s="5" t="str">
        <f>'Agents'' Final Roster 0823-0829'!B329</f>
        <v xml:space="preserve">Albornoz Miguel </v>
      </c>
      <c r="C401" s="5" t="str">
        <f>'Agents'' Final Roster 0823-0829'!C329</f>
        <v>Villalba</v>
      </c>
      <c r="D401" s="5" t="str">
        <f>'Agents'' Final Roster 0823-0829'!D329</f>
        <v>Rocío Micaela</v>
      </c>
      <c r="Z401" s="5" t="str">
        <f>'Agents'' Final Roster 0823-0829'!Z329</f>
        <v>DVH</v>
      </c>
    </row>
    <row r="402" spans="1:26" x14ac:dyDescent="0.25">
      <c r="A402" s="5" t="e">
        <f>'Agents'' Final Roster 0823-0829'!#REF!</f>
        <v>#REF!</v>
      </c>
      <c r="B402" s="5" t="e">
        <f>'Agents'' Final Roster 0823-0829'!#REF!</f>
        <v>#REF!</v>
      </c>
      <c r="C402" s="5" t="e">
        <f>'Agents'' Final Roster 0823-0829'!#REF!</f>
        <v>#REF!</v>
      </c>
      <c r="D402" s="5" t="e">
        <f>'Agents'' Final Roster 0823-0829'!#REF!</f>
        <v>#REF!</v>
      </c>
      <c r="Z402" s="5" t="e">
        <f>'Agents'' Final Roster 0823-0829'!#REF!</f>
        <v>#REF!</v>
      </c>
    </row>
    <row r="403" spans="1:26" x14ac:dyDescent="0.25">
      <c r="A403" s="5" t="e">
        <f>'Agents'' Final Roster 0823-0829'!#REF!</f>
        <v>#REF!</v>
      </c>
      <c r="B403" s="5" t="e">
        <f>'Agents'' Final Roster 0823-0829'!#REF!</f>
        <v>#REF!</v>
      </c>
      <c r="C403" s="5" t="e">
        <f>'Agents'' Final Roster 0823-0829'!#REF!</f>
        <v>#REF!</v>
      </c>
      <c r="D403" s="5" t="e">
        <f>'Agents'' Final Roster 0823-0829'!#REF!</f>
        <v>#REF!</v>
      </c>
      <c r="Z403" s="5" t="e">
        <f>'Agents'' Final Roster 0823-0829'!#REF!</f>
        <v>#REF!</v>
      </c>
    </row>
    <row r="404" spans="1:26" x14ac:dyDescent="0.25">
      <c r="A404" s="5" t="e">
        <f>'Agents'' Final Roster 0823-0829'!#REF!</f>
        <v>#REF!</v>
      </c>
      <c r="B404" s="5" t="e">
        <f>'Agents'' Final Roster 0823-0829'!#REF!</f>
        <v>#REF!</v>
      </c>
      <c r="C404" s="5" t="e">
        <f>'Agents'' Final Roster 0823-0829'!#REF!</f>
        <v>#REF!</v>
      </c>
      <c r="D404" s="5" t="e">
        <f>'Agents'' Final Roster 0823-0829'!#REF!</f>
        <v>#REF!</v>
      </c>
      <c r="Z404" s="5" t="e">
        <f>'Agents'' Final Roster 0823-0829'!#REF!</f>
        <v>#REF!</v>
      </c>
    </row>
    <row r="405" spans="1:26" x14ac:dyDescent="0.25">
      <c r="A405" s="5" t="e">
        <f>'Agents'' Final Roster 0823-0829'!#REF!</f>
        <v>#REF!</v>
      </c>
      <c r="B405" s="5" t="e">
        <f>'Agents'' Final Roster 0823-0829'!#REF!</f>
        <v>#REF!</v>
      </c>
      <c r="C405" s="5" t="e">
        <f>'Agents'' Final Roster 0823-0829'!#REF!</f>
        <v>#REF!</v>
      </c>
      <c r="D405" s="5" t="e">
        <f>'Agents'' Final Roster 0823-0829'!#REF!</f>
        <v>#REF!</v>
      </c>
      <c r="Z405" s="5" t="e">
        <f>'Agents'' Final Roster 0823-0829'!#REF!</f>
        <v>#REF!</v>
      </c>
    </row>
    <row r="406" spans="1:26" x14ac:dyDescent="0.25">
      <c r="A406" s="5">
        <f>'Agents'' Final Roster 0823-0829'!A330</f>
        <v>0</v>
      </c>
      <c r="B406" s="5">
        <f>'Agents'' Final Roster 0823-0829'!B330</f>
        <v>0</v>
      </c>
      <c r="C406" s="5">
        <f>'Agents'' Final Roster 0823-0829'!C330</f>
        <v>0</v>
      </c>
      <c r="D406" s="5">
        <f>'Agents'' Final Roster 0823-0829'!D330</f>
        <v>0</v>
      </c>
      <c r="Z406" s="5">
        <f>'Agents'' Final Roster 0823-0829'!Z330</f>
        <v>0</v>
      </c>
    </row>
    <row r="407" spans="1:26" x14ac:dyDescent="0.25">
      <c r="A407" s="5">
        <f>'Agents'' Final Roster 0823-0829'!A331</f>
        <v>0</v>
      </c>
      <c r="B407" s="5">
        <f>'Agents'' Final Roster 0823-0829'!B331</f>
        <v>0</v>
      </c>
      <c r="C407" s="5">
        <f>'Agents'' Final Roster 0823-0829'!C331</f>
        <v>0</v>
      </c>
      <c r="D407" s="5">
        <f>'Agents'' Final Roster 0823-0829'!D331</f>
        <v>0</v>
      </c>
      <c r="Z407" s="5">
        <f>'Agents'' Final Roster 0823-0829'!Z331</f>
        <v>0</v>
      </c>
    </row>
    <row r="408" spans="1:26" x14ac:dyDescent="0.25">
      <c r="A408" s="5">
        <f>'Agents'' Final Roster 0823-0829'!A332</f>
        <v>0</v>
      </c>
      <c r="B408" s="5">
        <f>'Agents'' Final Roster 0823-0829'!B332</f>
        <v>0</v>
      </c>
      <c r="C408" s="5">
        <f>'Agents'' Final Roster 0823-0829'!C332</f>
        <v>0</v>
      </c>
      <c r="D408" s="5">
        <f>'Agents'' Final Roster 0823-0829'!D332</f>
        <v>0</v>
      </c>
      <c r="Z408" s="5">
        <f>'Agents'' Final Roster 0823-0829'!Z332</f>
        <v>0</v>
      </c>
    </row>
    <row r="409" spans="1:26" x14ac:dyDescent="0.25">
      <c r="A409" s="5">
        <f>'Agents'' Final Roster 0823-0829'!A333</f>
        <v>0</v>
      </c>
      <c r="B409" s="5">
        <f>'Agents'' Final Roster 0823-0829'!B333</f>
        <v>0</v>
      </c>
      <c r="C409" s="5">
        <f>'Agents'' Final Roster 0823-0829'!C333</f>
        <v>0</v>
      </c>
      <c r="D409" s="5">
        <f>'Agents'' Final Roster 0823-0829'!D333</f>
        <v>0</v>
      </c>
      <c r="Z409" s="5">
        <f>'Agents'' Final Roster 0823-0829'!Z333</f>
        <v>0</v>
      </c>
    </row>
    <row r="410" spans="1:26" x14ac:dyDescent="0.25">
      <c r="A410" s="5">
        <f>'Agents'' Final Roster 0823-0829'!A334</f>
        <v>0</v>
      </c>
      <c r="B410" s="5">
        <f>'Agents'' Final Roster 0823-0829'!B334</f>
        <v>0</v>
      </c>
      <c r="C410" s="5">
        <f>'Agents'' Final Roster 0823-0829'!C334</f>
        <v>0</v>
      </c>
      <c r="D410" s="5">
        <f>'Agents'' Final Roster 0823-0829'!D334</f>
        <v>0</v>
      </c>
      <c r="Z410" s="5">
        <f>'Agents'' Final Roster 0823-0829'!Z334</f>
        <v>0</v>
      </c>
    </row>
    <row r="411" spans="1:26" x14ac:dyDescent="0.25">
      <c r="A411" s="5">
        <f>'Agents'' Final Roster 0823-0829'!A335</f>
        <v>0</v>
      </c>
      <c r="B411" s="5">
        <f>'Agents'' Final Roster 0823-0829'!B335</f>
        <v>0</v>
      </c>
      <c r="C411" s="5">
        <f>'Agents'' Final Roster 0823-0829'!C335</f>
        <v>0</v>
      </c>
      <c r="D411" s="5">
        <f>'Agents'' Final Roster 0823-0829'!D335</f>
        <v>0</v>
      </c>
      <c r="Z411" s="5">
        <f>'Agents'' Final Roster 0823-0829'!Z335</f>
        <v>0</v>
      </c>
    </row>
    <row r="412" spans="1:26" x14ac:dyDescent="0.25">
      <c r="A412" s="5">
        <f>'Agents'' Final Roster 0823-0829'!A336</f>
        <v>0</v>
      </c>
      <c r="B412" s="5">
        <f>'Agents'' Final Roster 0823-0829'!B336</f>
        <v>0</v>
      </c>
      <c r="C412" s="5">
        <f>'Agents'' Final Roster 0823-0829'!C336</f>
        <v>0</v>
      </c>
      <c r="D412" s="5">
        <f>'Agents'' Final Roster 0823-0829'!D336</f>
        <v>0</v>
      </c>
      <c r="Z412" s="5">
        <f>'Agents'' Final Roster 0823-0829'!Z336</f>
        <v>0</v>
      </c>
    </row>
    <row r="413" spans="1:26" x14ac:dyDescent="0.25">
      <c r="A413" s="5">
        <f>'Agents'' Final Roster 0823-0829'!A337</f>
        <v>0</v>
      </c>
      <c r="B413" s="5">
        <f>'Agents'' Final Roster 0823-0829'!B337</f>
        <v>0</v>
      </c>
      <c r="C413" s="5">
        <f>'Agents'' Final Roster 0823-0829'!C337</f>
        <v>0</v>
      </c>
      <c r="D413" s="5">
        <f>'Agents'' Final Roster 0823-0829'!D337</f>
        <v>0</v>
      </c>
      <c r="Z413" s="5">
        <f>'Agents'' Final Roster 0823-0829'!Z337</f>
        <v>0</v>
      </c>
    </row>
    <row r="414" spans="1:26" x14ac:dyDescent="0.25">
      <c r="A414" s="5">
        <f>'Agents'' Final Roster 0823-0829'!A338</f>
        <v>0</v>
      </c>
      <c r="B414" s="5">
        <f>'Agents'' Final Roster 0823-0829'!B338</f>
        <v>0</v>
      </c>
      <c r="C414" s="5">
        <f>'Agents'' Final Roster 0823-0829'!C338</f>
        <v>0</v>
      </c>
      <c r="D414" s="5">
        <f>'Agents'' Final Roster 0823-0829'!D338</f>
        <v>0</v>
      </c>
      <c r="Z414" s="5">
        <f>'Agents'' Final Roster 0823-0829'!Z338</f>
        <v>0</v>
      </c>
    </row>
    <row r="415" spans="1:26" x14ac:dyDescent="0.25">
      <c r="A415" s="5">
        <f>'Agents'' Final Roster 0823-0829'!A339</f>
        <v>0</v>
      </c>
      <c r="B415" s="5">
        <f>'Agents'' Final Roster 0823-0829'!B339</f>
        <v>0</v>
      </c>
      <c r="C415" s="5">
        <f>'Agents'' Final Roster 0823-0829'!C339</f>
        <v>0</v>
      </c>
      <c r="D415" s="5">
        <f>'Agents'' Final Roster 0823-0829'!D339</f>
        <v>0</v>
      </c>
      <c r="Z415" s="5">
        <f>'Agents'' Final Roster 0823-0829'!Z339</f>
        <v>0</v>
      </c>
    </row>
    <row r="416" spans="1:26" x14ac:dyDescent="0.25">
      <c r="A416" s="5">
        <f>'Agents'' Final Roster 0823-0829'!A340</f>
        <v>0</v>
      </c>
      <c r="B416" s="5">
        <f>'Agents'' Final Roster 0823-0829'!B340</f>
        <v>0</v>
      </c>
      <c r="C416" s="5">
        <f>'Agents'' Final Roster 0823-0829'!C340</f>
        <v>0</v>
      </c>
      <c r="D416" s="5">
        <f>'Agents'' Final Roster 0823-0829'!D340</f>
        <v>0</v>
      </c>
      <c r="Z416" s="5">
        <f>'Agents'' Final Roster 0823-0829'!Z340</f>
        <v>0</v>
      </c>
    </row>
    <row r="417" spans="1:26" x14ac:dyDescent="0.25">
      <c r="A417" s="5">
        <f>'Agents'' Final Roster 0823-0829'!A341</f>
        <v>0</v>
      </c>
      <c r="B417" s="5">
        <f>'Agents'' Final Roster 0823-0829'!B341</f>
        <v>0</v>
      </c>
      <c r="C417" s="5">
        <f>'Agents'' Final Roster 0823-0829'!C341</f>
        <v>0</v>
      </c>
      <c r="D417" s="5">
        <f>'Agents'' Final Roster 0823-0829'!D341</f>
        <v>0</v>
      </c>
      <c r="Z417" s="5">
        <f>'Agents'' Final Roster 0823-0829'!Z341</f>
        <v>0</v>
      </c>
    </row>
    <row r="418" spans="1:26" x14ac:dyDescent="0.25">
      <c r="A418" s="5">
        <f>'Agents'' Final Roster 0823-0829'!A342</f>
        <v>0</v>
      </c>
      <c r="B418" s="5">
        <f>'Agents'' Final Roster 0823-0829'!B342</f>
        <v>0</v>
      </c>
      <c r="C418" s="5">
        <f>'Agents'' Final Roster 0823-0829'!C342</f>
        <v>0</v>
      </c>
      <c r="D418" s="5">
        <f>'Agents'' Final Roster 0823-0829'!D342</f>
        <v>0</v>
      </c>
      <c r="Z418" s="5">
        <f>'Agents'' Final Roster 0823-0829'!Z342</f>
        <v>0</v>
      </c>
    </row>
    <row r="419" spans="1:26" x14ac:dyDescent="0.25">
      <c r="A419" s="5">
        <f>'Agents'' Final Roster 0823-0829'!A343</f>
        <v>0</v>
      </c>
      <c r="B419" s="5">
        <f>'Agents'' Final Roster 0823-0829'!B343</f>
        <v>0</v>
      </c>
      <c r="C419" s="5">
        <f>'Agents'' Final Roster 0823-0829'!C343</f>
        <v>0</v>
      </c>
      <c r="D419" s="5">
        <f>'Agents'' Final Roster 0823-0829'!D343</f>
        <v>0</v>
      </c>
      <c r="Z419" s="5">
        <f>'Agents'' Final Roster 0823-0829'!Z343</f>
        <v>0</v>
      </c>
    </row>
    <row r="420" spans="1:26" x14ac:dyDescent="0.25">
      <c r="A420" s="5">
        <f>'Agents'' Final Roster 0823-0829'!A344</f>
        <v>0</v>
      </c>
      <c r="B420" s="5">
        <f>'Agents'' Final Roster 0823-0829'!B344</f>
        <v>0</v>
      </c>
      <c r="C420" s="5">
        <f>'Agents'' Final Roster 0823-0829'!C344</f>
        <v>0</v>
      </c>
      <c r="D420" s="5">
        <f>'Agents'' Final Roster 0823-0829'!D344</f>
        <v>0</v>
      </c>
      <c r="Z420" s="5">
        <f>'Agents'' Final Roster 0823-0829'!Z344</f>
        <v>0</v>
      </c>
    </row>
    <row r="421" spans="1:26" x14ac:dyDescent="0.25">
      <c r="A421" s="5">
        <f>'Agents'' Final Roster 0823-0829'!A345</f>
        <v>0</v>
      </c>
      <c r="B421" s="5">
        <f>'Agents'' Final Roster 0823-0829'!B345</f>
        <v>0</v>
      </c>
      <c r="C421" s="5">
        <f>'Agents'' Final Roster 0823-0829'!C345</f>
        <v>0</v>
      </c>
      <c r="D421" s="5">
        <f>'Agents'' Final Roster 0823-0829'!D345</f>
        <v>0</v>
      </c>
      <c r="Z421" s="5">
        <f>'Agents'' Final Roster 0823-0829'!Z345</f>
        <v>0</v>
      </c>
    </row>
    <row r="422" spans="1:26" x14ac:dyDescent="0.25">
      <c r="A422" s="5">
        <f>'Agents'' Final Roster 0823-0829'!A346</f>
        <v>0</v>
      </c>
      <c r="B422" s="5">
        <f>'Agents'' Final Roster 0823-0829'!B346</f>
        <v>0</v>
      </c>
      <c r="C422" s="5">
        <f>'Agents'' Final Roster 0823-0829'!C346</f>
        <v>0</v>
      </c>
      <c r="D422" s="5">
        <f>'Agents'' Final Roster 0823-0829'!D346</f>
        <v>0</v>
      </c>
      <c r="Z422" s="5">
        <f>'Agents'' Final Roster 0823-0829'!Z346</f>
        <v>0</v>
      </c>
    </row>
    <row r="423" spans="1:26" x14ac:dyDescent="0.25">
      <c r="A423" s="5">
        <f>'Agents'' Final Roster 0823-0829'!A347</f>
        <v>0</v>
      </c>
      <c r="B423" s="5">
        <f>'Agents'' Final Roster 0823-0829'!B347</f>
        <v>0</v>
      </c>
      <c r="C423" s="5">
        <f>'Agents'' Final Roster 0823-0829'!C347</f>
        <v>0</v>
      </c>
      <c r="D423" s="5">
        <f>'Agents'' Final Roster 0823-0829'!D347</f>
        <v>0</v>
      </c>
      <c r="Z423" s="5">
        <f>'Agents'' Final Roster 0823-0829'!Z347</f>
        <v>0</v>
      </c>
    </row>
    <row r="424" spans="1:26" x14ac:dyDescent="0.25">
      <c r="A424" s="5">
        <f>'Agents'' Final Roster 0823-0829'!A348</f>
        <v>0</v>
      </c>
      <c r="B424" s="5">
        <f>'Agents'' Final Roster 0823-0829'!B348</f>
        <v>0</v>
      </c>
      <c r="C424" s="5">
        <f>'Agents'' Final Roster 0823-0829'!C348</f>
        <v>0</v>
      </c>
      <c r="D424" s="5">
        <f>'Agents'' Final Roster 0823-0829'!D348</f>
        <v>0</v>
      </c>
      <c r="Z424" s="5">
        <f>'Agents'' Final Roster 0823-0829'!Z348</f>
        <v>0</v>
      </c>
    </row>
    <row r="425" spans="1:26" x14ac:dyDescent="0.25">
      <c r="A425" s="5">
        <f>'Agents'' Final Roster 0823-0829'!A349</f>
        <v>0</v>
      </c>
      <c r="B425" s="5">
        <f>'Agents'' Final Roster 0823-0829'!B349</f>
        <v>0</v>
      </c>
      <c r="C425" s="5">
        <f>'Agents'' Final Roster 0823-0829'!C349</f>
        <v>0</v>
      </c>
      <c r="D425" s="5">
        <f>'Agents'' Final Roster 0823-0829'!D349</f>
        <v>0</v>
      </c>
      <c r="Z425" s="5">
        <f>'Agents'' Final Roster 0823-0829'!Z349</f>
        <v>0</v>
      </c>
    </row>
    <row r="426" spans="1:26" x14ac:dyDescent="0.25">
      <c r="A426" s="5">
        <f>'Agents'' Final Roster 0823-0829'!A350</f>
        <v>0</v>
      </c>
      <c r="B426" s="5">
        <f>'Agents'' Final Roster 0823-0829'!B350</f>
        <v>0</v>
      </c>
      <c r="C426" s="5">
        <f>'Agents'' Final Roster 0823-0829'!C350</f>
        <v>0</v>
      </c>
      <c r="D426" s="5">
        <f>'Agents'' Final Roster 0823-0829'!D350</f>
        <v>0</v>
      </c>
      <c r="Z426" s="5">
        <f>'Agents'' Final Roster 0823-0829'!Z350</f>
        <v>0</v>
      </c>
    </row>
    <row r="427" spans="1:26" x14ac:dyDescent="0.25">
      <c r="A427" s="5">
        <f>'Agents'' Final Roster 0823-0829'!A351</f>
        <v>0</v>
      </c>
      <c r="B427" s="5">
        <f>'Agents'' Final Roster 0823-0829'!B351</f>
        <v>0</v>
      </c>
      <c r="C427" s="5">
        <f>'Agents'' Final Roster 0823-0829'!C351</f>
        <v>0</v>
      </c>
      <c r="D427" s="5">
        <f>'Agents'' Final Roster 0823-0829'!D351</f>
        <v>0</v>
      </c>
      <c r="Z427" s="5">
        <f>'Agents'' Final Roster 0823-0829'!Z351</f>
        <v>0</v>
      </c>
    </row>
    <row r="428" spans="1:26" x14ac:dyDescent="0.25">
      <c r="A428" s="5">
        <f>'Agents'' Final Roster 0823-0829'!A352</f>
        <v>0</v>
      </c>
      <c r="B428" s="5">
        <f>'Agents'' Final Roster 0823-0829'!B352</f>
        <v>0</v>
      </c>
      <c r="C428" s="5">
        <f>'Agents'' Final Roster 0823-0829'!C352</f>
        <v>0</v>
      </c>
      <c r="D428" s="5">
        <f>'Agents'' Final Roster 0823-0829'!D352</f>
        <v>0</v>
      </c>
      <c r="Z428" s="5">
        <f>'Agents'' Final Roster 0823-0829'!Z352</f>
        <v>0</v>
      </c>
    </row>
    <row r="429" spans="1:26" x14ac:dyDescent="0.25">
      <c r="A429" s="5">
        <f>'Agents'' Final Roster 0823-0829'!A353</f>
        <v>0</v>
      </c>
      <c r="B429" s="5">
        <f>'Agents'' Final Roster 0823-0829'!B353</f>
        <v>0</v>
      </c>
      <c r="C429" s="5">
        <f>'Agents'' Final Roster 0823-0829'!C353</f>
        <v>0</v>
      </c>
      <c r="D429" s="5">
        <f>'Agents'' Final Roster 0823-0829'!D353</f>
        <v>0</v>
      </c>
      <c r="Z429" s="5">
        <f>'Agents'' Final Roster 0823-0829'!Z353</f>
        <v>0</v>
      </c>
    </row>
    <row r="430" spans="1:26" x14ac:dyDescent="0.25">
      <c r="A430" s="5">
        <f>'Agents'' Final Roster 0823-0829'!A354</f>
        <v>0</v>
      </c>
      <c r="B430" s="5">
        <f>'Agents'' Final Roster 0823-0829'!B354</f>
        <v>0</v>
      </c>
      <c r="C430" s="5">
        <f>'Agents'' Final Roster 0823-0829'!C354</f>
        <v>0</v>
      </c>
      <c r="D430" s="5">
        <f>'Agents'' Final Roster 0823-0829'!D354</f>
        <v>0</v>
      </c>
      <c r="Z430" s="5">
        <f>'Agents'' Final Roster 0823-0829'!Z354</f>
        <v>0</v>
      </c>
    </row>
    <row r="431" spans="1:26" x14ac:dyDescent="0.25">
      <c r="A431" s="5">
        <f>'Agents'' Final Roster 0823-0829'!A355</f>
        <v>0</v>
      </c>
      <c r="B431" s="5">
        <f>'Agents'' Final Roster 0823-0829'!B355</f>
        <v>0</v>
      </c>
      <c r="C431" s="5">
        <f>'Agents'' Final Roster 0823-0829'!C355</f>
        <v>0</v>
      </c>
      <c r="D431" s="5">
        <f>'Agents'' Final Roster 0823-0829'!D355</f>
        <v>0</v>
      </c>
      <c r="Z431" s="5">
        <f>'Agents'' Final Roster 0823-0829'!Z355</f>
        <v>0</v>
      </c>
    </row>
    <row r="432" spans="1:26" x14ac:dyDescent="0.25">
      <c r="A432" s="5">
        <f>'Agents'' Final Roster 0823-0829'!A356</f>
        <v>0</v>
      </c>
      <c r="B432" s="5">
        <f>'Agents'' Final Roster 0823-0829'!B356</f>
        <v>0</v>
      </c>
      <c r="C432" s="5">
        <f>'Agents'' Final Roster 0823-0829'!C356</f>
        <v>0</v>
      </c>
      <c r="D432" s="5">
        <f>'Agents'' Final Roster 0823-0829'!D356</f>
        <v>0</v>
      </c>
      <c r="Z432" s="5">
        <f>'Agents'' Final Roster 0823-0829'!Z356</f>
        <v>0</v>
      </c>
    </row>
    <row r="433" spans="1:26" x14ac:dyDescent="0.25">
      <c r="A433" s="5">
        <f>'Agents'' Final Roster 0823-0829'!A357</f>
        <v>0</v>
      </c>
      <c r="B433" s="5">
        <f>'Agents'' Final Roster 0823-0829'!B357</f>
        <v>0</v>
      </c>
      <c r="C433" s="5">
        <f>'Agents'' Final Roster 0823-0829'!C357</f>
        <v>0</v>
      </c>
      <c r="D433" s="5">
        <f>'Agents'' Final Roster 0823-0829'!D357</f>
        <v>0</v>
      </c>
      <c r="Z433" s="5">
        <f>'Agents'' Final Roster 0823-0829'!Z357</f>
        <v>0</v>
      </c>
    </row>
    <row r="434" spans="1:26" x14ac:dyDescent="0.25">
      <c r="A434" s="5">
        <f>'Agents'' Final Roster 0823-0829'!A358</f>
        <v>0</v>
      </c>
      <c r="B434" s="5">
        <f>'Agents'' Final Roster 0823-0829'!B358</f>
        <v>0</v>
      </c>
      <c r="C434" s="5">
        <f>'Agents'' Final Roster 0823-0829'!C358</f>
        <v>0</v>
      </c>
      <c r="D434" s="5">
        <f>'Agents'' Final Roster 0823-0829'!D358</f>
        <v>0</v>
      </c>
      <c r="Z434" s="5">
        <f>'Agents'' Final Roster 0823-0829'!Z358</f>
        <v>0</v>
      </c>
    </row>
    <row r="435" spans="1:26" x14ac:dyDescent="0.25">
      <c r="A435" s="5">
        <f>'Agents'' Final Roster 0823-0829'!A359</f>
        <v>0</v>
      </c>
      <c r="B435" s="5">
        <f>'Agents'' Final Roster 0823-0829'!B359</f>
        <v>0</v>
      </c>
      <c r="C435" s="5">
        <f>'Agents'' Final Roster 0823-0829'!C359</f>
        <v>0</v>
      </c>
      <c r="D435" s="5">
        <f>'Agents'' Final Roster 0823-0829'!D359</f>
        <v>0</v>
      </c>
      <c r="Z435" s="5">
        <f>'Agents'' Final Roster 0823-0829'!Z359</f>
        <v>0</v>
      </c>
    </row>
    <row r="436" spans="1:26" x14ac:dyDescent="0.25">
      <c r="A436" s="5">
        <f>'Agents'' Final Roster 0823-0829'!A360</f>
        <v>0</v>
      </c>
      <c r="B436" s="5">
        <f>'Agents'' Final Roster 0823-0829'!B360</f>
        <v>0</v>
      </c>
      <c r="C436" s="5">
        <f>'Agents'' Final Roster 0823-0829'!C360</f>
        <v>0</v>
      </c>
      <c r="D436" s="5">
        <f>'Agents'' Final Roster 0823-0829'!D360</f>
        <v>0</v>
      </c>
      <c r="Z436" s="5">
        <f>'Agents'' Final Roster 0823-0829'!Z360</f>
        <v>0</v>
      </c>
    </row>
    <row r="437" spans="1:26" x14ac:dyDescent="0.25">
      <c r="A437" s="5">
        <f>'Agents'' Final Roster 0823-0829'!A361</f>
        <v>0</v>
      </c>
      <c r="B437" s="5">
        <f>'Agents'' Final Roster 0823-0829'!B361</f>
        <v>0</v>
      </c>
      <c r="C437" s="5">
        <f>'Agents'' Final Roster 0823-0829'!C361</f>
        <v>0</v>
      </c>
      <c r="D437" s="5">
        <f>'Agents'' Final Roster 0823-0829'!D361</f>
        <v>0</v>
      </c>
      <c r="Z437" s="5">
        <f>'Agents'' Final Roster 0823-0829'!Z361</f>
        <v>0</v>
      </c>
    </row>
    <row r="438" spans="1:26" x14ac:dyDescent="0.25">
      <c r="A438" s="5">
        <f>'Agents'' Final Roster 0823-0829'!A362</f>
        <v>0</v>
      </c>
      <c r="B438" s="5">
        <f>'Agents'' Final Roster 0823-0829'!B362</f>
        <v>0</v>
      </c>
      <c r="C438" s="5">
        <f>'Agents'' Final Roster 0823-0829'!C362</f>
        <v>0</v>
      </c>
      <c r="D438" s="5">
        <f>'Agents'' Final Roster 0823-0829'!D362</f>
        <v>0</v>
      </c>
      <c r="Z438" s="5">
        <f>'Agents'' Final Roster 0823-0829'!Z362</f>
        <v>0</v>
      </c>
    </row>
    <row r="439" spans="1:26" x14ac:dyDescent="0.25">
      <c r="A439" s="5">
        <f>'Agents'' Final Roster 0823-0829'!A363</f>
        <v>0</v>
      </c>
      <c r="B439" s="5">
        <f>'Agents'' Final Roster 0823-0829'!B363</f>
        <v>0</v>
      </c>
      <c r="C439" s="5">
        <f>'Agents'' Final Roster 0823-0829'!C363</f>
        <v>0</v>
      </c>
      <c r="D439" s="5">
        <f>'Agents'' Final Roster 0823-0829'!D363</f>
        <v>0</v>
      </c>
      <c r="Z439" s="5">
        <f>'Agents'' Final Roster 0823-0829'!Z363</f>
        <v>0</v>
      </c>
    </row>
    <row r="440" spans="1:26" x14ac:dyDescent="0.25">
      <c r="A440" s="5">
        <f>'Agents'' Final Roster 0823-0829'!A364</f>
        <v>0</v>
      </c>
      <c r="B440" s="5">
        <f>'Agents'' Final Roster 0823-0829'!B364</f>
        <v>0</v>
      </c>
      <c r="C440" s="5">
        <f>'Agents'' Final Roster 0823-0829'!C364</f>
        <v>0</v>
      </c>
      <c r="D440" s="5">
        <f>'Agents'' Final Roster 0823-0829'!D364</f>
        <v>0</v>
      </c>
      <c r="Z440" s="5">
        <f>'Agents'' Final Roster 0823-0829'!Z364</f>
        <v>0</v>
      </c>
    </row>
    <row r="441" spans="1:26" x14ac:dyDescent="0.25">
      <c r="A441" s="5">
        <f>'Agents'' Final Roster 0823-0829'!A365</f>
        <v>0</v>
      </c>
      <c r="B441" s="5">
        <f>'Agents'' Final Roster 0823-0829'!B365</f>
        <v>0</v>
      </c>
      <c r="C441" s="5">
        <f>'Agents'' Final Roster 0823-0829'!C365</f>
        <v>0</v>
      </c>
      <c r="D441" s="5">
        <f>'Agents'' Final Roster 0823-0829'!D365</f>
        <v>0</v>
      </c>
      <c r="Z441" s="5">
        <f>'Agents'' Final Roster 0823-0829'!Z365</f>
        <v>0</v>
      </c>
    </row>
    <row r="442" spans="1:26" x14ac:dyDescent="0.25">
      <c r="A442" s="5">
        <f>'Agents'' Final Roster 0823-0829'!A366</f>
        <v>0</v>
      </c>
      <c r="B442" s="5">
        <f>'Agents'' Final Roster 0823-0829'!B366</f>
        <v>0</v>
      </c>
      <c r="C442" s="5">
        <f>'Agents'' Final Roster 0823-0829'!C366</f>
        <v>0</v>
      </c>
      <c r="D442" s="5">
        <f>'Agents'' Final Roster 0823-0829'!D366</f>
        <v>0</v>
      </c>
      <c r="Z442" s="5">
        <f>'Agents'' Final Roster 0823-0829'!Z366</f>
        <v>0</v>
      </c>
    </row>
    <row r="443" spans="1:26" x14ac:dyDescent="0.25">
      <c r="A443" s="5">
        <f>'Agents'' Final Roster 0823-0829'!A367</f>
        <v>0</v>
      </c>
      <c r="B443" s="5">
        <f>'Agents'' Final Roster 0823-0829'!B367</f>
        <v>0</v>
      </c>
      <c r="C443" s="5">
        <f>'Agents'' Final Roster 0823-0829'!C367</f>
        <v>0</v>
      </c>
      <c r="D443" s="5">
        <f>'Agents'' Final Roster 0823-0829'!D367</f>
        <v>0</v>
      </c>
      <c r="Z443" s="5">
        <f>'Agents'' Final Roster 0823-0829'!Z367</f>
        <v>0</v>
      </c>
    </row>
    <row r="444" spans="1:26" x14ac:dyDescent="0.25">
      <c r="A444" s="5">
        <f>'Agents'' Final Roster 0823-0829'!A368</f>
        <v>0</v>
      </c>
      <c r="B444" s="5">
        <f>'Agents'' Final Roster 0823-0829'!B368</f>
        <v>0</v>
      </c>
      <c r="C444" s="5">
        <f>'Agents'' Final Roster 0823-0829'!C368</f>
        <v>0</v>
      </c>
      <c r="D444" s="5">
        <f>'Agents'' Final Roster 0823-0829'!D368</f>
        <v>0</v>
      </c>
      <c r="Z444" s="5">
        <f>'Agents'' Final Roster 0823-0829'!Z368</f>
        <v>0</v>
      </c>
    </row>
    <row r="445" spans="1:26" x14ac:dyDescent="0.25">
      <c r="A445" s="5">
        <f>'Agents'' Final Roster 0823-0829'!A369</f>
        <v>0</v>
      </c>
      <c r="B445" s="5">
        <f>'Agents'' Final Roster 0823-0829'!B369</f>
        <v>0</v>
      </c>
      <c r="C445" s="5">
        <f>'Agents'' Final Roster 0823-0829'!C369</f>
        <v>0</v>
      </c>
      <c r="D445" s="5">
        <f>'Agents'' Final Roster 0823-0829'!D369</f>
        <v>0</v>
      </c>
      <c r="Z445" s="5">
        <f>'Agents'' Final Roster 0823-0829'!Z369</f>
        <v>0</v>
      </c>
    </row>
    <row r="446" spans="1:26" x14ac:dyDescent="0.25">
      <c r="A446" s="5">
        <f>'Agents'' Final Roster 0823-0829'!A370</f>
        <v>0</v>
      </c>
      <c r="B446" s="5">
        <f>'Agents'' Final Roster 0823-0829'!B370</f>
        <v>0</v>
      </c>
      <c r="C446" s="5">
        <f>'Agents'' Final Roster 0823-0829'!C370</f>
        <v>0</v>
      </c>
      <c r="D446" s="5">
        <f>'Agents'' Final Roster 0823-0829'!D370</f>
        <v>0</v>
      </c>
      <c r="Z446" s="5">
        <f>'Agents'' Final Roster 0823-0829'!Z370</f>
        <v>0</v>
      </c>
    </row>
    <row r="447" spans="1:26" x14ac:dyDescent="0.25">
      <c r="A447" s="5">
        <f>'Agents'' Final Roster 0823-0829'!A371</f>
        <v>0</v>
      </c>
      <c r="B447" s="5">
        <f>'Agents'' Final Roster 0823-0829'!B371</f>
        <v>0</v>
      </c>
      <c r="C447" s="5">
        <f>'Agents'' Final Roster 0823-0829'!C371</f>
        <v>0</v>
      </c>
      <c r="D447" s="5">
        <f>'Agents'' Final Roster 0823-0829'!D371</f>
        <v>0</v>
      </c>
      <c r="Z447" s="5">
        <f>'Agents'' Final Roster 0823-0829'!Z371</f>
        <v>0</v>
      </c>
    </row>
    <row r="448" spans="1:26" x14ac:dyDescent="0.25">
      <c r="A448" s="5">
        <f>'Agents'' Final Roster 0823-0829'!A372</f>
        <v>0</v>
      </c>
      <c r="B448" s="5">
        <f>'Agents'' Final Roster 0823-0829'!B372</f>
        <v>0</v>
      </c>
      <c r="C448" s="5">
        <f>'Agents'' Final Roster 0823-0829'!C372</f>
        <v>0</v>
      </c>
      <c r="D448" s="5">
        <f>'Agents'' Final Roster 0823-0829'!D372</f>
        <v>0</v>
      </c>
      <c r="Z448" s="5">
        <f>'Agents'' Final Roster 0823-0829'!Z372</f>
        <v>0</v>
      </c>
    </row>
    <row r="449" spans="1:26" x14ac:dyDescent="0.25">
      <c r="A449" s="5">
        <f>'Agents'' Final Roster 0823-0829'!A373</f>
        <v>0</v>
      </c>
      <c r="B449" s="5">
        <f>'Agents'' Final Roster 0823-0829'!B373</f>
        <v>0</v>
      </c>
      <c r="C449" s="5">
        <f>'Agents'' Final Roster 0823-0829'!C373</f>
        <v>0</v>
      </c>
      <c r="D449" s="5">
        <f>'Agents'' Final Roster 0823-0829'!D373</f>
        <v>0</v>
      </c>
      <c r="Z449" s="5">
        <f>'Agents'' Final Roster 0823-0829'!Z373</f>
        <v>0</v>
      </c>
    </row>
    <row r="450" spans="1:26" x14ac:dyDescent="0.25">
      <c r="A450" s="5">
        <f>'Agents'' Final Roster 0823-0829'!A374</f>
        <v>0</v>
      </c>
      <c r="B450" s="5">
        <f>'Agents'' Final Roster 0823-0829'!B374</f>
        <v>0</v>
      </c>
      <c r="C450" s="5">
        <f>'Agents'' Final Roster 0823-0829'!C374</f>
        <v>0</v>
      </c>
      <c r="D450" s="5">
        <f>'Agents'' Final Roster 0823-0829'!D374</f>
        <v>0</v>
      </c>
      <c r="Z450" s="5">
        <f>'Agents'' Final Roster 0823-0829'!Z374</f>
        <v>0</v>
      </c>
    </row>
    <row r="451" spans="1:26" x14ac:dyDescent="0.25">
      <c r="A451" s="5">
        <f>'Agents'' Final Roster 0823-0829'!A375</f>
        <v>0</v>
      </c>
      <c r="B451" s="5">
        <f>'Agents'' Final Roster 0823-0829'!B375</f>
        <v>0</v>
      </c>
      <c r="C451" s="5">
        <f>'Agents'' Final Roster 0823-0829'!C375</f>
        <v>0</v>
      </c>
      <c r="D451" s="5">
        <f>'Agents'' Final Roster 0823-0829'!D375</f>
        <v>0</v>
      </c>
      <c r="Z451" s="5">
        <f>'Agents'' Final Roster 0823-0829'!Z375</f>
        <v>0</v>
      </c>
    </row>
    <row r="452" spans="1:26" x14ac:dyDescent="0.25">
      <c r="A452" s="5">
        <f>'Agents'' Final Roster 0823-0829'!A376</f>
        <v>0</v>
      </c>
      <c r="B452" s="5">
        <f>'Agents'' Final Roster 0823-0829'!B376</f>
        <v>0</v>
      </c>
      <c r="C452" s="5">
        <f>'Agents'' Final Roster 0823-0829'!C376</f>
        <v>0</v>
      </c>
      <c r="D452" s="5">
        <f>'Agents'' Final Roster 0823-0829'!D376</f>
        <v>0</v>
      </c>
      <c r="Z452" s="5">
        <f>'Agents'' Final Roster 0823-0829'!Z376</f>
        <v>0</v>
      </c>
    </row>
    <row r="453" spans="1:26" x14ac:dyDescent="0.25">
      <c r="A453" s="5">
        <f>'Agents'' Final Roster 0823-0829'!A377</f>
        <v>0</v>
      </c>
      <c r="B453" s="5">
        <f>'Agents'' Final Roster 0823-0829'!B377</f>
        <v>0</v>
      </c>
      <c r="C453" s="5">
        <f>'Agents'' Final Roster 0823-0829'!C377</f>
        <v>0</v>
      </c>
      <c r="D453" s="5">
        <f>'Agents'' Final Roster 0823-0829'!D377</f>
        <v>0</v>
      </c>
      <c r="Z453" s="5">
        <f>'Agents'' Final Roster 0823-0829'!Z377</f>
        <v>0</v>
      </c>
    </row>
    <row r="454" spans="1:26" x14ac:dyDescent="0.25">
      <c r="A454" s="5">
        <f>'Agents'' Final Roster 0823-0829'!A378</f>
        <v>0</v>
      </c>
      <c r="B454" s="5">
        <f>'Agents'' Final Roster 0823-0829'!B378</f>
        <v>0</v>
      </c>
      <c r="C454" s="5">
        <f>'Agents'' Final Roster 0823-0829'!C378</f>
        <v>0</v>
      </c>
      <c r="D454" s="5">
        <f>'Agents'' Final Roster 0823-0829'!D378</f>
        <v>0</v>
      </c>
      <c r="Z454" s="5">
        <f>'Agents'' Final Roster 0823-0829'!Z378</f>
        <v>0</v>
      </c>
    </row>
    <row r="455" spans="1:26" x14ac:dyDescent="0.25">
      <c r="A455" s="5">
        <f>'Agents'' Final Roster 0823-0829'!A379</f>
        <v>0</v>
      </c>
      <c r="B455" s="5">
        <f>'Agents'' Final Roster 0823-0829'!B379</f>
        <v>0</v>
      </c>
      <c r="C455" s="5">
        <f>'Agents'' Final Roster 0823-0829'!C379</f>
        <v>0</v>
      </c>
      <c r="D455" s="5">
        <f>'Agents'' Final Roster 0823-0829'!D379</f>
        <v>0</v>
      </c>
      <c r="Z455" s="5">
        <f>'Agents'' Final Roster 0823-0829'!Z379</f>
        <v>0</v>
      </c>
    </row>
    <row r="456" spans="1:26" x14ac:dyDescent="0.25">
      <c r="A456" s="5">
        <f>'Agents'' Final Roster 0823-0829'!A380</f>
        <v>0</v>
      </c>
      <c r="B456" s="5">
        <f>'Agents'' Final Roster 0823-0829'!B380</f>
        <v>0</v>
      </c>
      <c r="C456" s="5">
        <f>'Agents'' Final Roster 0823-0829'!C380</f>
        <v>0</v>
      </c>
      <c r="D456" s="5">
        <f>'Agents'' Final Roster 0823-0829'!D380</f>
        <v>0</v>
      </c>
      <c r="Z456" s="5">
        <f>'Agents'' Final Roster 0823-0829'!Z380</f>
        <v>0</v>
      </c>
    </row>
    <row r="457" spans="1:26" x14ac:dyDescent="0.25">
      <c r="A457" s="5">
        <f>'Agents'' Final Roster 0823-0829'!A381</f>
        <v>0</v>
      </c>
      <c r="B457" s="5">
        <f>'Agents'' Final Roster 0823-0829'!B381</f>
        <v>0</v>
      </c>
      <c r="C457" s="5">
        <f>'Agents'' Final Roster 0823-0829'!C381</f>
        <v>0</v>
      </c>
      <c r="D457" s="5">
        <f>'Agents'' Final Roster 0823-0829'!D381</f>
        <v>0</v>
      </c>
      <c r="Z457" s="5">
        <f>'Agents'' Final Roster 0823-0829'!Z381</f>
        <v>0</v>
      </c>
    </row>
    <row r="458" spans="1:26" x14ac:dyDescent="0.25">
      <c r="A458" s="5">
        <f>'Agents'' Final Roster 0823-0829'!A382</f>
        <v>0</v>
      </c>
      <c r="B458" s="5">
        <f>'Agents'' Final Roster 0823-0829'!B382</f>
        <v>0</v>
      </c>
      <c r="C458" s="5">
        <f>'Agents'' Final Roster 0823-0829'!C382</f>
        <v>0</v>
      </c>
      <c r="D458" s="5">
        <f>'Agents'' Final Roster 0823-0829'!D382</f>
        <v>0</v>
      </c>
      <c r="Z458" s="5">
        <f>'Agents'' Final Roster 0823-0829'!Z382</f>
        <v>0</v>
      </c>
    </row>
    <row r="459" spans="1:26" x14ac:dyDescent="0.25">
      <c r="A459" s="5">
        <f>'Agents'' Final Roster 0823-0829'!A383</f>
        <v>0</v>
      </c>
      <c r="B459" s="5">
        <f>'Agents'' Final Roster 0823-0829'!B383</f>
        <v>0</v>
      </c>
      <c r="C459" s="5">
        <f>'Agents'' Final Roster 0823-0829'!C383</f>
        <v>0</v>
      </c>
      <c r="D459" s="5">
        <f>'Agents'' Final Roster 0823-0829'!D383</f>
        <v>0</v>
      </c>
      <c r="Z459" s="5">
        <f>'Agents'' Final Roster 0823-0829'!Z383</f>
        <v>0</v>
      </c>
    </row>
    <row r="460" spans="1:26" x14ac:dyDescent="0.25">
      <c r="A460" s="5">
        <f>'Agents'' Final Roster 0823-0829'!A384</f>
        <v>0</v>
      </c>
      <c r="B460" s="5">
        <f>'Agents'' Final Roster 0823-0829'!B384</f>
        <v>0</v>
      </c>
      <c r="C460" s="5">
        <f>'Agents'' Final Roster 0823-0829'!C384</f>
        <v>0</v>
      </c>
      <c r="D460" s="5">
        <f>'Agents'' Final Roster 0823-0829'!D384</f>
        <v>0</v>
      </c>
      <c r="Z460" s="5">
        <f>'Agents'' Final Roster 0823-0829'!Z384</f>
        <v>0</v>
      </c>
    </row>
    <row r="461" spans="1:26" x14ac:dyDescent="0.25">
      <c r="A461" s="5">
        <f>'Agents'' Final Roster 0823-0829'!A385</f>
        <v>0</v>
      </c>
      <c r="B461" s="5">
        <f>'Agents'' Final Roster 0823-0829'!B385</f>
        <v>0</v>
      </c>
      <c r="C461" s="5">
        <f>'Agents'' Final Roster 0823-0829'!C385</f>
        <v>0</v>
      </c>
      <c r="D461" s="5">
        <f>'Agents'' Final Roster 0823-0829'!D385</f>
        <v>0</v>
      </c>
      <c r="Z461" s="5">
        <f>'Agents'' Final Roster 0823-0829'!Z385</f>
        <v>0</v>
      </c>
    </row>
    <row r="462" spans="1:26" x14ac:dyDescent="0.25">
      <c r="A462" s="5">
        <f>'Agents'' Final Roster 0823-0829'!A386</f>
        <v>0</v>
      </c>
      <c r="B462" s="5">
        <f>'Agents'' Final Roster 0823-0829'!B386</f>
        <v>0</v>
      </c>
      <c r="C462" s="5">
        <f>'Agents'' Final Roster 0823-0829'!C386</f>
        <v>0</v>
      </c>
      <c r="D462" s="5">
        <f>'Agents'' Final Roster 0823-0829'!D386</f>
        <v>0</v>
      </c>
      <c r="Z462" s="5">
        <f>'Agents'' Final Roster 0823-0829'!Z386</f>
        <v>0</v>
      </c>
    </row>
    <row r="463" spans="1:26" x14ac:dyDescent="0.25">
      <c r="A463" s="5">
        <f>'Agents'' Final Roster 0823-0829'!A387</f>
        <v>0</v>
      </c>
      <c r="B463" s="5">
        <f>'Agents'' Final Roster 0823-0829'!B387</f>
        <v>0</v>
      </c>
      <c r="C463" s="5">
        <f>'Agents'' Final Roster 0823-0829'!C387</f>
        <v>0</v>
      </c>
      <c r="D463" s="5">
        <f>'Agents'' Final Roster 0823-0829'!D387</f>
        <v>0</v>
      </c>
      <c r="Z463" s="5">
        <f>'Agents'' Final Roster 0823-0829'!Z387</f>
        <v>0</v>
      </c>
    </row>
    <row r="464" spans="1:26" x14ac:dyDescent="0.25">
      <c r="A464" s="5">
        <f>'Agents'' Final Roster 0823-0829'!A388</f>
        <v>0</v>
      </c>
      <c r="B464" s="5">
        <f>'Agents'' Final Roster 0823-0829'!B388</f>
        <v>0</v>
      </c>
      <c r="C464" s="5">
        <f>'Agents'' Final Roster 0823-0829'!C388</f>
        <v>0</v>
      </c>
      <c r="D464" s="5">
        <f>'Agents'' Final Roster 0823-0829'!D388</f>
        <v>0</v>
      </c>
      <c r="Z464" s="5">
        <f>'Agents'' Final Roster 0823-0829'!Z388</f>
        <v>0</v>
      </c>
    </row>
    <row r="465" spans="1:26" x14ac:dyDescent="0.25">
      <c r="A465" s="5">
        <f>'Agents'' Final Roster 0823-0829'!A389</f>
        <v>0</v>
      </c>
      <c r="B465" s="5">
        <f>'Agents'' Final Roster 0823-0829'!B389</f>
        <v>0</v>
      </c>
      <c r="C465" s="5">
        <f>'Agents'' Final Roster 0823-0829'!C389</f>
        <v>0</v>
      </c>
      <c r="D465" s="5">
        <f>'Agents'' Final Roster 0823-0829'!D389</f>
        <v>0</v>
      </c>
      <c r="Z465" s="5">
        <f>'Agents'' Final Roster 0823-0829'!Z389</f>
        <v>0</v>
      </c>
    </row>
    <row r="466" spans="1:26" x14ac:dyDescent="0.25">
      <c r="A466" s="5">
        <f>'Agents'' Final Roster 0823-0829'!A390</f>
        <v>0</v>
      </c>
      <c r="B466" s="5">
        <f>'Agents'' Final Roster 0823-0829'!B390</f>
        <v>0</v>
      </c>
      <c r="C466" s="5">
        <f>'Agents'' Final Roster 0823-0829'!C390</f>
        <v>0</v>
      </c>
      <c r="D466" s="5">
        <f>'Agents'' Final Roster 0823-0829'!D390</f>
        <v>0</v>
      </c>
      <c r="Z466" s="5">
        <f>'Agents'' Final Roster 0823-0829'!Z390</f>
        <v>0</v>
      </c>
    </row>
    <row r="467" spans="1:26" x14ac:dyDescent="0.25">
      <c r="A467" s="5">
        <f>'Agents'' Final Roster 0823-0829'!A391</f>
        <v>0</v>
      </c>
      <c r="B467" s="5">
        <f>'Agents'' Final Roster 0823-0829'!B391</f>
        <v>0</v>
      </c>
      <c r="C467" s="5">
        <f>'Agents'' Final Roster 0823-0829'!C391</f>
        <v>0</v>
      </c>
      <c r="D467" s="5">
        <f>'Agents'' Final Roster 0823-0829'!D391</f>
        <v>0</v>
      </c>
      <c r="Z467" s="5">
        <f>'Agents'' Final Roster 0823-0829'!Z391</f>
        <v>0</v>
      </c>
    </row>
    <row r="468" spans="1:26" x14ac:dyDescent="0.25">
      <c r="A468" s="5">
        <f>'Agents'' Final Roster 0823-0829'!A392</f>
        <v>0</v>
      </c>
      <c r="B468" s="5">
        <f>'Agents'' Final Roster 0823-0829'!B392</f>
        <v>0</v>
      </c>
      <c r="C468" s="5">
        <f>'Agents'' Final Roster 0823-0829'!C392</f>
        <v>0</v>
      </c>
      <c r="D468" s="5">
        <f>'Agents'' Final Roster 0823-0829'!D392</f>
        <v>0</v>
      </c>
      <c r="Z468" s="5">
        <f>'Agents'' Final Roster 0823-0829'!Z392</f>
        <v>0</v>
      </c>
    </row>
    <row r="469" spans="1:26" x14ac:dyDescent="0.25">
      <c r="A469" s="5">
        <f>'Agents'' Final Roster 0823-0829'!A393</f>
        <v>0</v>
      </c>
      <c r="B469" s="5">
        <f>'Agents'' Final Roster 0823-0829'!B393</f>
        <v>0</v>
      </c>
      <c r="C469" s="5">
        <f>'Agents'' Final Roster 0823-0829'!C393</f>
        <v>0</v>
      </c>
      <c r="D469" s="5">
        <f>'Agents'' Final Roster 0823-0829'!D393</f>
        <v>0</v>
      </c>
      <c r="Z469" s="5">
        <f>'Agents'' Final Roster 0823-0829'!Z393</f>
        <v>0</v>
      </c>
    </row>
    <row r="470" spans="1:26" x14ac:dyDescent="0.25">
      <c r="A470" s="5">
        <f>'Agents'' Final Roster 0823-0829'!A394</f>
        <v>0</v>
      </c>
      <c r="B470" s="5">
        <f>'Agents'' Final Roster 0823-0829'!B394</f>
        <v>0</v>
      </c>
      <c r="C470" s="5">
        <f>'Agents'' Final Roster 0823-0829'!C394</f>
        <v>0</v>
      </c>
      <c r="D470" s="5">
        <f>'Agents'' Final Roster 0823-0829'!D394</f>
        <v>0</v>
      </c>
      <c r="Z470" s="5">
        <f>'Agents'' Final Roster 0823-0829'!Z394</f>
        <v>0</v>
      </c>
    </row>
    <row r="471" spans="1:26" x14ac:dyDescent="0.25">
      <c r="A471" s="5">
        <f>'Agents'' Final Roster 0823-0829'!A395</f>
        <v>0</v>
      </c>
      <c r="B471" s="5">
        <f>'Agents'' Final Roster 0823-0829'!B395</f>
        <v>0</v>
      </c>
      <c r="C471" s="5">
        <f>'Agents'' Final Roster 0823-0829'!C395</f>
        <v>0</v>
      </c>
      <c r="D471" s="5">
        <f>'Agents'' Final Roster 0823-0829'!D395</f>
        <v>0</v>
      </c>
      <c r="Z471" s="5">
        <f>'Agents'' Final Roster 0823-0829'!Z395</f>
        <v>0</v>
      </c>
    </row>
    <row r="472" spans="1:26" x14ac:dyDescent="0.25">
      <c r="A472" s="5">
        <f>'Agents'' Final Roster 0823-0829'!A396</f>
        <v>0</v>
      </c>
      <c r="B472" s="5">
        <f>'Agents'' Final Roster 0823-0829'!B396</f>
        <v>0</v>
      </c>
      <c r="C472" s="5">
        <f>'Agents'' Final Roster 0823-0829'!C396</f>
        <v>0</v>
      </c>
      <c r="D472" s="5">
        <f>'Agents'' Final Roster 0823-0829'!D396</f>
        <v>0</v>
      </c>
      <c r="Z472" s="5">
        <f>'Agents'' Final Roster 0823-0829'!Z396</f>
        <v>0</v>
      </c>
    </row>
    <row r="473" spans="1:26" x14ac:dyDescent="0.25">
      <c r="A473" s="5">
        <f>'Agents'' Final Roster 0823-0829'!A397</f>
        <v>0</v>
      </c>
      <c r="B473" s="5">
        <f>'Agents'' Final Roster 0823-0829'!B397</f>
        <v>0</v>
      </c>
      <c r="C473" s="5">
        <f>'Agents'' Final Roster 0823-0829'!C397</f>
        <v>0</v>
      </c>
      <c r="D473" s="5">
        <f>'Agents'' Final Roster 0823-0829'!D397</f>
        <v>0</v>
      </c>
      <c r="Z473" s="5">
        <f>'Agents'' Final Roster 0823-0829'!Z397</f>
        <v>0</v>
      </c>
    </row>
    <row r="474" spans="1:26" x14ac:dyDescent="0.25">
      <c r="A474" s="5">
        <f>'Agents'' Final Roster 0823-0829'!A398</f>
        <v>0</v>
      </c>
      <c r="B474" s="5">
        <f>'Agents'' Final Roster 0823-0829'!B398</f>
        <v>0</v>
      </c>
      <c r="C474" s="5">
        <f>'Agents'' Final Roster 0823-0829'!C398</f>
        <v>0</v>
      </c>
      <c r="D474" s="5">
        <f>'Agents'' Final Roster 0823-0829'!D398</f>
        <v>0</v>
      </c>
      <c r="Z474" s="5">
        <f>'Agents'' Final Roster 0823-0829'!Z398</f>
        <v>0</v>
      </c>
    </row>
    <row r="475" spans="1:26" x14ac:dyDescent="0.25">
      <c r="A475" s="5">
        <f>'Agents'' Final Roster 0823-0829'!A399</f>
        <v>0</v>
      </c>
      <c r="B475" s="5">
        <f>'Agents'' Final Roster 0823-0829'!B399</f>
        <v>0</v>
      </c>
      <c r="C475" s="5">
        <f>'Agents'' Final Roster 0823-0829'!C399</f>
        <v>0</v>
      </c>
      <c r="D475" s="5">
        <f>'Agents'' Final Roster 0823-0829'!D399</f>
        <v>0</v>
      </c>
      <c r="Z475" s="5">
        <f>'Agents'' Final Roster 0823-0829'!Z399</f>
        <v>0</v>
      </c>
    </row>
    <row r="476" spans="1:26" x14ac:dyDescent="0.25">
      <c r="A476" s="5">
        <f>'Agents'' Final Roster 0823-0829'!A400</f>
        <v>0</v>
      </c>
      <c r="B476" s="5">
        <f>'Agents'' Final Roster 0823-0829'!B400</f>
        <v>0</v>
      </c>
      <c r="C476" s="5">
        <f>'Agents'' Final Roster 0823-0829'!C400</f>
        <v>0</v>
      </c>
      <c r="D476" s="5">
        <f>'Agents'' Final Roster 0823-0829'!D400</f>
        <v>0</v>
      </c>
      <c r="Z476" s="5">
        <f>'Agents'' Final Roster 0823-0829'!Z400</f>
        <v>0</v>
      </c>
    </row>
    <row r="477" spans="1:26" x14ac:dyDescent="0.25">
      <c r="A477" s="5">
        <f>'Agents'' Final Roster 0823-0829'!A401</f>
        <v>0</v>
      </c>
      <c r="B477" s="5">
        <f>'Agents'' Final Roster 0823-0829'!B401</f>
        <v>0</v>
      </c>
      <c r="C477" s="5">
        <f>'Agents'' Final Roster 0823-0829'!C401</f>
        <v>0</v>
      </c>
      <c r="D477" s="5">
        <f>'Agents'' Final Roster 0823-0829'!D401</f>
        <v>0</v>
      </c>
      <c r="Z477" s="5">
        <f>'Agents'' Final Roster 0823-0829'!Z401</f>
        <v>0</v>
      </c>
    </row>
    <row r="478" spans="1:26" x14ac:dyDescent="0.25">
      <c r="A478" s="5">
        <f>'Agents'' Final Roster 0823-0829'!A402</f>
        <v>0</v>
      </c>
      <c r="B478" s="5">
        <f>'Agents'' Final Roster 0823-0829'!B402</f>
        <v>0</v>
      </c>
      <c r="C478" s="5">
        <f>'Agents'' Final Roster 0823-0829'!C402</f>
        <v>0</v>
      </c>
      <c r="D478" s="5">
        <f>'Agents'' Final Roster 0823-0829'!D402</f>
        <v>0</v>
      </c>
      <c r="Z478" s="5">
        <f>'Agents'' Final Roster 0823-0829'!Z402</f>
        <v>0</v>
      </c>
    </row>
    <row r="479" spans="1:26" x14ac:dyDescent="0.25">
      <c r="A479" s="5">
        <f>'Agents'' Final Roster 0823-0829'!A403</f>
        <v>0</v>
      </c>
      <c r="B479" s="5">
        <f>'Agents'' Final Roster 0823-0829'!B403</f>
        <v>0</v>
      </c>
      <c r="C479" s="5">
        <f>'Agents'' Final Roster 0823-0829'!C403</f>
        <v>0</v>
      </c>
      <c r="D479" s="5">
        <f>'Agents'' Final Roster 0823-0829'!D403</f>
        <v>0</v>
      </c>
      <c r="Z479" s="5">
        <f>'Agents'' Final Roster 0823-0829'!Z403</f>
        <v>0</v>
      </c>
    </row>
    <row r="480" spans="1:26" x14ac:dyDescent="0.25">
      <c r="A480" s="5">
        <f>'Agents'' Final Roster 0823-0829'!A404</f>
        <v>0</v>
      </c>
      <c r="B480" s="5">
        <f>'Agents'' Final Roster 0823-0829'!B404</f>
        <v>0</v>
      </c>
      <c r="C480" s="5">
        <f>'Agents'' Final Roster 0823-0829'!C404</f>
        <v>0</v>
      </c>
      <c r="D480" s="5">
        <f>'Agents'' Final Roster 0823-0829'!D404</f>
        <v>0</v>
      </c>
      <c r="Z480" s="5">
        <f>'Agents'' Final Roster 0823-0829'!Z404</f>
        <v>0</v>
      </c>
    </row>
    <row r="481" spans="1:26" x14ac:dyDescent="0.25">
      <c r="A481" s="5">
        <f>'Agents'' Final Roster 0823-0829'!A405</f>
        <v>0</v>
      </c>
      <c r="B481" s="5">
        <f>'Agents'' Final Roster 0823-0829'!B405</f>
        <v>0</v>
      </c>
      <c r="C481" s="5">
        <f>'Agents'' Final Roster 0823-0829'!C405</f>
        <v>0</v>
      </c>
      <c r="D481" s="5">
        <f>'Agents'' Final Roster 0823-0829'!D405</f>
        <v>0</v>
      </c>
      <c r="Z481" s="5">
        <f>'Agents'' Final Roster 0823-0829'!Z405</f>
        <v>0</v>
      </c>
    </row>
    <row r="482" spans="1:26" x14ac:dyDescent="0.25">
      <c r="A482" s="5">
        <f>'Agents'' Final Roster 0823-0829'!A406</f>
        <v>0</v>
      </c>
      <c r="B482" s="5">
        <f>'Agents'' Final Roster 0823-0829'!B406</f>
        <v>0</v>
      </c>
      <c r="C482" s="5">
        <f>'Agents'' Final Roster 0823-0829'!C406</f>
        <v>0</v>
      </c>
      <c r="D482" s="5">
        <f>'Agents'' Final Roster 0823-0829'!D406</f>
        <v>0</v>
      </c>
      <c r="Z482" s="5">
        <f>'Agents'' Final Roster 0823-0829'!Z406</f>
        <v>0</v>
      </c>
    </row>
    <row r="483" spans="1:26" x14ac:dyDescent="0.25">
      <c r="A483" s="5">
        <f>'Agents'' Final Roster 0823-0829'!A407</f>
        <v>0</v>
      </c>
      <c r="B483" s="5">
        <f>'Agents'' Final Roster 0823-0829'!B407</f>
        <v>0</v>
      </c>
      <c r="C483" s="5">
        <f>'Agents'' Final Roster 0823-0829'!C407</f>
        <v>0</v>
      </c>
      <c r="D483" s="5">
        <f>'Agents'' Final Roster 0823-0829'!D407</f>
        <v>0</v>
      </c>
      <c r="Z483" s="5">
        <f>'Agents'' Final Roster 0823-0829'!Z407</f>
        <v>0</v>
      </c>
    </row>
    <row r="484" spans="1:26" x14ac:dyDescent="0.25">
      <c r="A484" s="5">
        <f>'Agents'' Final Roster 0823-0829'!A408</f>
        <v>0</v>
      </c>
      <c r="B484" s="5">
        <f>'Agents'' Final Roster 0823-0829'!B408</f>
        <v>0</v>
      </c>
      <c r="C484" s="5">
        <f>'Agents'' Final Roster 0823-0829'!C408</f>
        <v>0</v>
      </c>
      <c r="D484" s="5">
        <f>'Agents'' Final Roster 0823-0829'!D408</f>
        <v>0</v>
      </c>
      <c r="Z484" s="5">
        <f>'Agents'' Final Roster 0823-0829'!Z408</f>
        <v>0</v>
      </c>
    </row>
    <row r="485" spans="1:26" x14ac:dyDescent="0.25">
      <c r="A485" s="5">
        <f>'Agents'' Final Roster 0823-0829'!A409</f>
        <v>0</v>
      </c>
      <c r="B485" s="5">
        <f>'Agents'' Final Roster 0823-0829'!B409</f>
        <v>0</v>
      </c>
      <c r="C485" s="5">
        <f>'Agents'' Final Roster 0823-0829'!C409</f>
        <v>0</v>
      </c>
      <c r="D485" s="5">
        <f>'Agents'' Final Roster 0823-0829'!D409</f>
        <v>0</v>
      </c>
      <c r="Z485" s="5">
        <f>'Agents'' Final Roster 0823-0829'!Z409</f>
        <v>0</v>
      </c>
    </row>
    <row r="486" spans="1:26" x14ac:dyDescent="0.25">
      <c r="A486" s="5">
        <f>'Agents'' Final Roster 0823-0829'!A410</f>
        <v>0</v>
      </c>
      <c r="B486" s="5">
        <f>'Agents'' Final Roster 0823-0829'!B410</f>
        <v>0</v>
      </c>
      <c r="C486" s="5">
        <f>'Agents'' Final Roster 0823-0829'!C410</f>
        <v>0</v>
      </c>
      <c r="D486" s="5">
        <f>'Agents'' Final Roster 0823-0829'!D410</f>
        <v>0</v>
      </c>
      <c r="Z486" s="5">
        <f>'Agents'' Final Roster 0823-0829'!Z410</f>
        <v>0</v>
      </c>
    </row>
    <row r="487" spans="1:26" x14ac:dyDescent="0.25">
      <c r="A487" s="5">
        <f>'Agents'' Final Roster 0823-0829'!A411</f>
        <v>0</v>
      </c>
      <c r="B487" s="5">
        <f>'Agents'' Final Roster 0823-0829'!B411</f>
        <v>0</v>
      </c>
      <c r="C487" s="5">
        <f>'Agents'' Final Roster 0823-0829'!C411</f>
        <v>0</v>
      </c>
      <c r="D487" s="5">
        <f>'Agents'' Final Roster 0823-0829'!D411</f>
        <v>0</v>
      </c>
      <c r="Z487" s="5">
        <f>'Agents'' Final Roster 0823-0829'!Z411</f>
        <v>0</v>
      </c>
    </row>
    <row r="488" spans="1:26" x14ac:dyDescent="0.25">
      <c r="A488" s="5">
        <f>'Agents'' Final Roster 0823-0829'!A412</f>
        <v>0</v>
      </c>
      <c r="B488" s="5">
        <f>'Agents'' Final Roster 0823-0829'!B412</f>
        <v>0</v>
      </c>
      <c r="C488" s="5">
        <f>'Agents'' Final Roster 0823-0829'!C412</f>
        <v>0</v>
      </c>
      <c r="D488" s="5">
        <f>'Agents'' Final Roster 0823-0829'!D412</f>
        <v>0</v>
      </c>
      <c r="Z488" s="5">
        <f>'Agents'' Final Roster 0823-0829'!Z412</f>
        <v>0</v>
      </c>
    </row>
    <row r="489" spans="1:26" x14ac:dyDescent="0.25">
      <c r="A489" s="5">
        <f>'Agents'' Final Roster 0823-0829'!A413</f>
        <v>0</v>
      </c>
      <c r="B489" s="5">
        <f>'Agents'' Final Roster 0823-0829'!B413</f>
        <v>0</v>
      </c>
      <c r="C489" s="5">
        <f>'Agents'' Final Roster 0823-0829'!C413</f>
        <v>0</v>
      </c>
      <c r="D489" s="5">
        <f>'Agents'' Final Roster 0823-0829'!D413</f>
        <v>0</v>
      </c>
      <c r="Z489" s="5">
        <f>'Agents'' Final Roster 0823-0829'!Z413</f>
        <v>0</v>
      </c>
    </row>
    <row r="490" spans="1:26" x14ac:dyDescent="0.25">
      <c r="A490" s="5">
        <f>'Agents'' Final Roster 0823-0829'!A414</f>
        <v>0</v>
      </c>
      <c r="B490" s="5">
        <f>'Agents'' Final Roster 0823-0829'!B414</f>
        <v>0</v>
      </c>
      <c r="C490" s="5">
        <f>'Agents'' Final Roster 0823-0829'!C414</f>
        <v>0</v>
      </c>
      <c r="D490" s="5">
        <f>'Agents'' Final Roster 0823-0829'!D414</f>
        <v>0</v>
      </c>
      <c r="Z490" s="5">
        <f>'Agents'' Final Roster 0823-0829'!Z414</f>
        <v>0</v>
      </c>
    </row>
    <row r="491" spans="1:26" x14ac:dyDescent="0.25">
      <c r="A491" s="5">
        <f>'Agents'' Final Roster 0823-0829'!A415</f>
        <v>0</v>
      </c>
      <c r="B491" s="5">
        <f>'Agents'' Final Roster 0823-0829'!B415</f>
        <v>0</v>
      </c>
      <c r="C491" s="5">
        <f>'Agents'' Final Roster 0823-0829'!C415</f>
        <v>0</v>
      </c>
      <c r="D491" s="5">
        <f>'Agents'' Final Roster 0823-0829'!D415</f>
        <v>0</v>
      </c>
      <c r="Z491" s="5">
        <f>'Agents'' Final Roster 0823-0829'!Z415</f>
        <v>0</v>
      </c>
    </row>
    <row r="492" spans="1:26" x14ac:dyDescent="0.25">
      <c r="A492" s="5">
        <f>'Agents'' Final Roster 0823-0829'!A416</f>
        <v>0</v>
      </c>
      <c r="B492" s="5">
        <f>'Agents'' Final Roster 0823-0829'!B416</f>
        <v>0</v>
      </c>
      <c r="C492" s="5">
        <f>'Agents'' Final Roster 0823-0829'!C416</f>
        <v>0</v>
      </c>
      <c r="D492" s="5">
        <f>'Agents'' Final Roster 0823-0829'!D416</f>
        <v>0</v>
      </c>
      <c r="Z492" s="5">
        <f>'Agents'' Final Roster 0823-0829'!Z416</f>
        <v>0</v>
      </c>
    </row>
    <row r="493" spans="1:26" x14ac:dyDescent="0.25">
      <c r="A493" s="5">
        <f>'Agents'' Final Roster 0823-0829'!A417</f>
        <v>0</v>
      </c>
      <c r="B493" s="5">
        <f>'Agents'' Final Roster 0823-0829'!B417</f>
        <v>0</v>
      </c>
      <c r="C493" s="5">
        <f>'Agents'' Final Roster 0823-0829'!C417</f>
        <v>0</v>
      </c>
      <c r="D493" s="5">
        <f>'Agents'' Final Roster 0823-0829'!D417</f>
        <v>0</v>
      </c>
      <c r="Z493" s="5">
        <f>'Agents'' Final Roster 0823-0829'!Z417</f>
        <v>0</v>
      </c>
    </row>
    <row r="494" spans="1:26" x14ac:dyDescent="0.25">
      <c r="A494" s="5">
        <f>'Agents'' Final Roster 0823-0829'!A418</f>
        <v>0</v>
      </c>
      <c r="B494" s="5">
        <f>'Agents'' Final Roster 0823-0829'!B418</f>
        <v>0</v>
      </c>
      <c r="C494" s="5">
        <f>'Agents'' Final Roster 0823-0829'!C418</f>
        <v>0</v>
      </c>
      <c r="D494" s="5">
        <f>'Agents'' Final Roster 0823-0829'!D418</f>
        <v>0</v>
      </c>
      <c r="Z494" s="5">
        <f>'Agents'' Final Roster 0823-0829'!Z418</f>
        <v>0</v>
      </c>
    </row>
    <row r="495" spans="1:26" x14ac:dyDescent="0.25">
      <c r="A495" s="5">
        <f>'Agents'' Final Roster 0823-0829'!A419</f>
        <v>0</v>
      </c>
      <c r="B495" s="5">
        <f>'Agents'' Final Roster 0823-0829'!B419</f>
        <v>0</v>
      </c>
      <c r="C495" s="5">
        <f>'Agents'' Final Roster 0823-0829'!C419</f>
        <v>0</v>
      </c>
      <c r="D495" s="5">
        <f>'Agents'' Final Roster 0823-0829'!D419</f>
        <v>0</v>
      </c>
      <c r="Z495" s="5">
        <f>'Agents'' Final Roster 0823-0829'!Z419</f>
        <v>0</v>
      </c>
    </row>
    <row r="496" spans="1:26" x14ac:dyDescent="0.25">
      <c r="A496" s="5">
        <f>'Agents'' Final Roster 0823-0829'!A420</f>
        <v>0</v>
      </c>
      <c r="B496" s="5">
        <f>'Agents'' Final Roster 0823-0829'!B420</f>
        <v>0</v>
      </c>
      <c r="C496" s="5">
        <f>'Agents'' Final Roster 0823-0829'!C420</f>
        <v>0</v>
      </c>
      <c r="D496" s="5">
        <f>'Agents'' Final Roster 0823-0829'!D420</f>
        <v>0</v>
      </c>
      <c r="Z496" s="5">
        <f>'Agents'' Final Roster 0823-0829'!Z420</f>
        <v>0</v>
      </c>
    </row>
    <row r="497" spans="1:26" x14ac:dyDescent="0.25">
      <c r="A497" s="5">
        <f>'Agents'' Final Roster 0823-0829'!A421</f>
        <v>0</v>
      </c>
      <c r="B497" s="5">
        <f>'Agents'' Final Roster 0823-0829'!B421</f>
        <v>0</v>
      </c>
      <c r="C497" s="5">
        <f>'Agents'' Final Roster 0823-0829'!C421</f>
        <v>0</v>
      </c>
      <c r="D497" s="5">
        <f>'Agents'' Final Roster 0823-0829'!D421</f>
        <v>0</v>
      </c>
      <c r="Z497" s="5">
        <f>'Agents'' Final Roster 0823-0829'!Z421</f>
        <v>0</v>
      </c>
    </row>
    <row r="498" spans="1:26" x14ac:dyDescent="0.25">
      <c r="A498" s="5">
        <f>'Agents'' Final Roster 0823-0829'!A422</f>
        <v>0</v>
      </c>
      <c r="B498" s="5">
        <f>'Agents'' Final Roster 0823-0829'!B422</f>
        <v>0</v>
      </c>
      <c r="C498" s="5">
        <f>'Agents'' Final Roster 0823-0829'!C422</f>
        <v>0</v>
      </c>
      <c r="D498" s="5">
        <f>'Agents'' Final Roster 0823-0829'!D422</f>
        <v>0</v>
      </c>
      <c r="Z498" s="5">
        <f>'Agents'' Final Roster 0823-0829'!Z422</f>
        <v>0</v>
      </c>
    </row>
    <row r="499" spans="1:26" x14ac:dyDescent="0.25">
      <c r="A499" s="5">
        <f>'Agents'' Final Roster 0823-0829'!A423</f>
        <v>0</v>
      </c>
      <c r="B499" s="5">
        <f>'Agents'' Final Roster 0823-0829'!B423</f>
        <v>0</v>
      </c>
      <c r="C499" s="5">
        <f>'Agents'' Final Roster 0823-0829'!C423</f>
        <v>0</v>
      </c>
      <c r="D499" s="5">
        <f>'Agents'' Final Roster 0823-0829'!D423</f>
        <v>0</v>
      </c>
      <c r="Z499" s="5">
        <f>'Agents'' Final Roster 0823-0829'!Z423</f>
        <v>0</v>
      </c>
    </row>
    <row r="500" spans="1:26" x14ac:dyDescent="0.25">
      <c r="A500" s="5">
        <f>'Agents'' Final Roster 0823-0829'!A424</f>
        <v>0</v>
      </c>
      <c r="B500" s="5">
        <f>'Agents'' Final Roster 0823-0829'!B424</f>
        <v>0</v>
      </c>
      <c r="C500" s="5">
        <f>'Agents'' Final Roster 0823-0829'!C424</f>
        <v>0</v>
      </c>
      <c r="D500" s="5">
        <f>'Agents'' Final Roster 0823-0829'!D424</f>
        <v>0</v>
      </c>
      <c r="Z500" s="5">
        <f>'Agents'' Final Roster 0823-0829'!Z424</f>
        <v>0</v>
      </c>
    </row>
    <row r="501" spans="1:26" x14ac:dyDescent="0.25">
      <c r="A501" s="5">
        <f>'Agents'' Final Roster 0823-0829'!A425</f>
        <v>0</v>
      </c>
      <c r="B501" s="5">
        <f>'Agents'' Final Roster 0823-0829'!B425</f>
        <v>0</v>
      </c>
      <c r="C501" s="5">
        <f>'Agents'' Final Roster 0823-0829'!C425</f>
        <v>0</v>
      </c>
      <c r="D501" s="5">
        <f>'Agents'' Final Roster 0823-0829'!D425</f>
        <v>0</v>
      </c>
      <c r="Z501" s="5">
        <f>'Agents'' Final Roster 0823-0829'!Z425</f>
        <v>0</v>
      </c>
    </row>
    <row r="502" spans="1:26" x14ac:dyDescent="0.25">
      <c r="A502" s="5">
        <f>'Agents'' Final Roster 0823-0829'!A426</f>
        <v>0</v>
      </c>
      <c r="B502" s="5">
        <f>'Agents'' Final Roster 0823-0829'!B426</f>
        <v>0</v>
      </c>
      <c r="C502" s="5">
        <f>'Agents'' Final Roster 0823-0829'!C426</f>
        <v>0</v>
      </c>
      <c r="D502" s="5">
        <f>'Agents'' Final Roster 0823-0829'!D426</f>
        <v>0</v>
      </c>
      <c r="Z502" s="5">
        <f>'Agents'' Final Roster 0823-0829'!Z426</f>
        <v>0</v>
      </c>
    </row>
    <row r="503" spans="1:26" x14ac:dyDescent="0.25">
      <c r="A503" s="5">
        <f>'Agents'' Final Roster 0823-0829'!A427</f>
        <v>0</v>
      </c>
      <c r="B503" s="5">
        <f>'Agents'' Final Roster 0823-0829'!B427</f>
        <v>0</v>
      </c>
      <c r="C503" s="5">
        <f>'Agents'' Final Roster 0823-0829'!C427</f>
        <v>0</v>
      </c>
      <c r="D503" s="5">
        <f>'Agents'' Final Roster 0823-0829'!D427</f>
        <v>0</v>
      </c>
      <c r="Z503" s="5">
        <f>'Agents'' Final Roster 0823-0829'!Z427</f>
        <v>0</v>
      </c>
    </row>
    <row r="504" spans="1:26" x14ac:dyDescent="0.25">
      <c r="A504" s="5">
        <f>'Agents'' Final Roster 0823-0829'!A428</f>
        <v>0</v>
      </c>
      <c r="B504" s="5">
        <f>'Agents'' Final Roster 0823-0829'!B428</f>
        <v>0</v>
      </c>
      <c r="C504" s="5">
        <f>'Agents'' Final Roster 0823-0829'!C428</f>
        <v>0</v>
      </c>
      <c r="D504" s="5">
        <f>'Agents'' Final Roster 0823-0829'!D428</f>
        <v>0</v>
      </c>
      <c r="Z504" s="5">
        <f>'Agents'' Final Roster 0823-0829'!Z428</f>
        <v>0</v>
      </c>
    </row>
    <row r="505" spans="1:26" x14ac:dyDescent="0.25">
      <c r="A505" s="5">
        <f>'Agents'' Final Roster 0823-0829'!A429</f>
        <v>0</v>
      </c>
      <c r="B505" s="5">
        <f>'Agents'' Final Roster 0823-0829'!B429</f>
        <v>0</v>
      </c>
      <c r="C505" s="5">
        <f>'Agents'' Final Roster 0823-0829'!C429</f>
        <v>0</v>
      </c>
      <c r="D505" s="5">
        <f>'Agents'' Final Roster 0823-0829'!D429</f>
        <v>0</v>
      </c>
      <c r="Z505" s="5">
        <f>'Agents'' Final Roster 0823-0829'!Z429</f>
        <v>0</v>
      </c>
    </row>
    <row r="506" spans="1:26" x14ac:dyDescent="0.25">
      <c r="A506" s="5">
        <f>'Agents'' Final Roster 0823-0829'!A430</f>
        <v>0</v>
      </c>
      <c r="B506" s="5">
        <f>'Agents'' Final Roster 0823-0829'!B430</f>
        <v>0</v>
      </c>
      <c r="C506" s="5">
        <f>'Agents'' Final Roster 0823-0829'!C430</f>
        <v>0</v>
      </c>
      <c r="D506" s="5">
        <f>'Agents'' Final Roster 0823-0829'!D430</f>
        <v>0</v>
      </c>
      <c r="Z506" s="5">
        <f>'Agents'' Final Roster 0823-0829'!Z430</f>
        <v>0</v>
      </c>
    </row>
    <row r="507" spans="1:26" x14ac:dyDescent="0.25">
      <c r="A507" s="5">
        <f>'Agents'' Final Roster 0823-0829'!A431</f>
        <v>0</v>
      </c>
      <c r="B507" s="5">
        <f>'Agents'' Final Roster 0823-0829'!B431</f>
        <v>0</v>
      </c>
      <c r="C507" s="5">
        <f>'Agents'' Final Roster 0823-0829'!C431</f>
        <v>0</v>
      </c>
      <c r="D507" s="5">
        <f>'Agents'' Final Roster 0823-0829'!D431</f>
        <v>0</v>
      </c>
      <c r="Z507" s="5">
        <f>'Agents'' Final Roster 0823-0829'!Z431</f>
        <v>0</v>
      </c>
    </row>
    <row r="508" spans="1:26" x14ac:dyDescent="0.25">
      <c r="A508" s="5">
        <f>'Agents'' Final Roster 0823-0829'!A432</f>
        <v>0</v>
      </c>
      <c r="B508" s="5">
        <f>'Agents'' Final Roster 0823-0829'!B432</f>
        <v>0</v>
      </c>
      <c r="C508" s="5">
        <f>'Agents'' Final Roster 0823-0829'!C432</f>
        <v>0</v>
      </c>
      <c r="D508" s="5">
        <f>'Agents'' Final Roster 0823-0829'!D432</f>
        <v>0</v>
      </c>
      <c r="Z508" s="5">
        <f>'Agents'' Final Roster 0823-0829'!Z432</f>
        <v>0</v>
      </c>
    </row>
    <row r="509" spans="1:26" x14ac:dyDescent="0.25">
      <c r="A509" s="5">
        <f>'Agents'' Final Roster 0823-0829'!A433</f>
        <v>0</v>
      </c>
      <c r="B509" s="5">
        <f>'Agents'' Final Roster 0823-0829'!B433</f>
        <v>0</v>
      </c>
      <c r="C509" s="5">
        <f>'Agents'' Final Roster 0823-0829'!C433</f>
        <v>0</v>
      </c>
      <c r="D509" s="5">
        <f>'Agents'' Final Roster 0823-0829'!D433</f>
        <v>0</v>
      </c>
      <c r="Z509" s="5">
        <f>'Agents'' Final Roster 0823-0829'!Z433</f>
        <v>0</v>
      </c>
    </row>
    <row r="510" spans="1:26" x14ac:dyDescent="0.25">
      <c r="A510" s="5">
        <f>'Agents'' Final Roster 0823-0829'!A434</f>
        <v>0</v>
      </c>
      <c r="B510" s="5">
        <f>'Agents'' Final Roster 0823-0829'!B434</f>
        <v>0</v>
      </c>
      <c r="C510" s="5">
        <f>'Agents'' Final Roster 0823-0829'!C434</f>
        <v>0</v>
      </c>
      <c r="D510" s="5">
        <f>'Agents'' Final Roster 0823-0829'!D434</f>
        <v>0</v>
      </c>
      <c r="Z510" s="5">
        <f>'Agents'' Final Roster 0823-0829'!Z434</f>
        <v>0</v>
      </c>
    </row>
    <row r="511" spans="1:26" x14ac:dyDescent="0.25">
      <c r="A511" s="5">
        <f>'Agents'' Final Roster 0823-0829'!A435</f>
        <v>0</v>
      </c>
      <c r="B511" s="5">
        <f>'Agents'' Final Roster 0823-0829'!B435</f>
        <v>0</v>
      </c>
      <c r="C511" s="5">
        <f>'Agents'' Final Roster 0823-0829'!C435</f>
        <v>0</v>
      </c>
      <c r="D511" s="5">
        <f>'Agents'' Final Roster 0823-0829'!D435</f>
        <v>0</v>
      </c>
      <c r="Z511" s="5">
        <f>'Agents'' Final Roster 0823-0829'!Z435</f>
        <v>0</v>
      </c>
    </row>
    <row r="512" spans="1:26" x14ac:dyDescent="0.25">
      <c r="A512" s="5">
        <f>'Agents'' Final Roster 0823-0829'!A436</f>
        <v>0</v>
      </c>
      <c r="B512" s="5">
        <f>'Agents'' Final Roster 0823-0829'!B436</f>
        <v>0</v>
      </c>
      <c r="C512" s="5">
        <f>'Agents'' Final Roster 0823-0829'!C436</f>
        <v>0</v>
      </c>
      <c r="D512" s="5">
        <f>'Agents'' Final Roster 0823-0829'!D436</f>
        <v>0</v>
      </c>
      <c r="Z512" s="5">
        <f>'Agents'' Final Roster 0823-0829'!Z436</f>
        <v>0</v>
      </c>
    </row>
    <row r="513" spans="1:26" x14ac:dyDescent="0.25">
      <c r="A513" s="5">
        <f>'Agents'' Final Roster 0823-0829'!A437</f>
        <v>0</v>
      </c>
      <c r="B513" s="5">
        <f>'Agents'' Final Roster 0823-0829'!B437</f>
        <v>0</v>
      </c>
      <c r="C513" s="5">
        <f>'Agents'' Final Roster 0823-0829'!C437</f>
        <v>0</v>
      </c>
      <c r="D513" s="5">
        <f>'Agents'' Final Roster 0823-0829'!D437</f>
        <v>0</v>
      </c>
      <c r="Z513" s="5">
        <f>'Agents'' Final Roster 0823-0829'!Z437</f>
        <v>0</v>
      </c>
    </row>
    <row r="514" spans="1:26" x14ac:dyDescent="0.25">
      <c r="A514" s="5">
        <f>'Agents'' Final Roster 0823-0829'!A438</f>
        <v>0</v>
      </c>
      <c r="B514" s="5">
        <f>'Agents'' Final Roster 0823-0829'!B438</f>
        <v>0</v>
      </c>
      <c r="C514" s="5">
        <f>'Agents'' Final Roster 0823-0829'!C438</f>
        <v>0</v>
      </c>
      <c r="D514" s="5">
        <f>'Agents'' Final Roster 0823-0829'!D438</f>
        <v>0</v>
      </c>
      <c r="Z514" s="5">
        <f>'Agents'' Final Roster 0823-0829'!Z438</f>
        <v>0</v>
      </c>
    </row>
    <row r="515" spans="1:26" x14ac:dyDescent="0.25">
      <c r="A515" s="5">
        <f>'Agents'' Final Roster 0823-0829'!A439</f>
        <v>0</v>
      </c>
      <c r="B515" s="5">
        <f>'Agents'' Final Roster 0823-0829'!B439</f>
        <v>0</v>
      </c>
      <c r="C515" s="5">
        <f>'Agents'' Final Roster 0823-0829'!C439</f>
        <v>0</v>
      </c>
      <c r="D515" s="5">
        <f>'Agents'' Final Roster 0823-0829'!D439</f>
        <v>0</v>
      </c>
      <c r="Z515" s="5">
        <f>'Agents'' Final Roster 0823-0829'!Z439</f>
        <v>0</v>
      </c>
    </row>
    <row r="516" spans="1:26" x14ac:dyDescent="0.25">
      <c r="A516" s="5">
        <f>'Agents'' Final Roster 0823-0829'!A440</f>
        <v>0</v>
      </c>
      <c r="B516" s="5">
        <f>'Agents'' Final Roster 0823-0829'!B440</f>
        <v>0</v>
      </c>
      <c r="C516" s="5">
        <f>'Agents'' Final Roster 0823-0829'!C440</f>
        <v>0</v>
      </c>
      <c r="D516" s="5">
        <f>'Agents'' Final Roster 0823-0829'!D440</f>
        <v>0</v>
      </c>
      <c r="Z516" s="5">
        <f>'Agents'' Final Roster 0823-0829'!Z440</f>
        <v>0</v>
      </c>
    </row>
    <row r="517" spans="1:26" x14ac:dyDescent="0.25">
      <c r="A517" s="5">
        <f>'Agents'' Final Roster 0823-0829'!A441</f>
        <v>0</v>
      </c>
      <c r="B517" s="5">
        <f>'Agents'' Final Roster 0823-0829'!B441</f>
        <v>0</v>
      </c>
      <c r="C517" s="5">
        <f>'Agents'' Final Roster 0823-0829'!C441</f>
        <v>0</v>
      </c>
      <c r="D517" s="5">
        <f>'Agents'' Final Roster 0823-0829'!D441</f>
        <v>0</v>
      </c>
      <c r="Z517" s="5">
        <f>'Agents'' Final Roster 0823-0829'!Z441</f>
        <v>0</v>
      </c>
    </row>
    <row r="518" spans="1:26" x14ac:dyDescent="0.25">
      <c r="A518" s="5">
        <f>'Agents'' Final Roster 0823-0829'!A442</f>
        <v>0</v>
      </c>
      <c r="B518" s="5">
        <f>'Agents'' Final Roster 0823-0829'!B442</f>
        <v>0</v>
      </c>
      <c r="C518" s="5">
        <f>'Agents'' Final Roster 0823-0829'!C442</f>
        <v>0</v>
      </c>
      <c r="D518" s="5">
        <f>'Agents'' Final Roster 0823-0829'!D442</f>
        <v>0</v>
      </c>
      <c r="Z518" s="5">
        <f>'Agents'' Final Roster 0823-0829'!Z442</f>
        <v>0</v>
      </c>
    </row>
    <row r="519" spans="1:26" x14ac:dyDescent="0.25">
      <c r="A519" s="5">
        <f>'Agents'' Final Roster 0823-0829'!A443</f>
        <v>0</v>
      </c>
      <c r="B519" s="5">
        <f>'Agents'' Final Roster 0823-0829'!B443</f>
        <v>0</v>
      </c>
      <c r="C519" s="5">
        <f>'Agents'' Final Roster 0823-0829'!C443</f>
        <v>0</v>
      </c>
      <c r="D519" s="5">
        <f>'Agents'' Final Roster 0823-0829'!D443</f>
        <v>0</v>
      </c>
      <c r="Z519" s="5">
        <f>'Agents'' Final Roster 0823-0829'!Z443</f>
        <v>0</v>
      </c>
    </row>
    <row r="520" spans="1:26" x14ac:dyDescent="0.25">
      <c r="A520" s="5">
        <f>'Agents'' Final Roster 0823-0829'!A444</f>
        <v>0</v>
      </c>
      <c r="B520" s="5">
        <f>'Agents'' Final Roster 0823-0829'!B444</f>
        <v>0</v>
      </c>
      <c r="C520" s="5">
        <f>'Agents'' Final Roster 0823-0829'!C444</f>
        <v>0</v>
      </c>
      <c r="D520" s="5">
        <f>'Agents'' Final Roster 0823-0829'!D444</f>
        <v>0</v>
      </c>
      <c r="Z520" s="5">
        <f>'Agents'' Final Roster 0823-0829'!Z444</f>
        <v>0</v>
      </c>
    </row>
    <row r="521" spans="1:26" x14ac:dyDescent="0.25">
      <c r="A521" s="5">
        <f>'Agents'' Final Roster 0823-0829'!A445</f>
        <v>0</v>
      </c>
      <c r="B521" s="5">
        <f>'Agents'' Final Roster 0823-0829'!B445</f>
        <v>0</v>
      </c>
      <c r="C521" s="5">
        <f>'Agents'' Final Roster 0823-0829'!C445</f>
        <v>0</v>
      </c>
      <c r="D521" s="5">
        <f>'Agents'' Final Roster 0823-0829'!D445</f>
        <v>0</v>
      </c>
      <c r="Z521" s="5">
        <f>'Agents'' Final Roster 0823-0829'!Z445</f>
        <v>0</v>
      </c>
    </row>
    <row r="522" spans="1:26" x14ac:dyDescent="0.25">
      <c r="A522" s="5">
        <f>'Agents'' Final Roster 0823-0829'!A446</f>
        <v>0</v>
      </c>
      <c r="B522" s="5">
        <f>'Agents'' Final Roster 0823-0829'!B446</f>
        <v>0</v>
      </c>
      <c r="C522" s="5">
        <f>'Agents'' Final Roster 0823-0829'!C446</f>
        <v>0</v>
      </c>
      <c r="D522" s="5">
        <f>'Agents'' Final Roster 0823-0829'!D446</f>
        <v>0</v>
      </c>
      <c r="Z522" s="5">
        <f>'Agents'' Final Roster 0823-0829'!Z446</f>
        <v>0</v>
      </c>
    </row>
    <row r="523" spans="1:26" x14ac:dyDescent="0.25">
      <c r="A523" s="5">
        <f>'Agents'' Final Roster 0823-0829'!A447</f>
        <v>0</v>
      </c>
      <c r="B523" s="5">
        <f>'Agents'' Final Roster 0823-0829'!B447</f>
        <v>0</v>
      </c>
      <c r="C523" s="5">
        <f>'Agents'' Final Roster 0823-0829'!C447</f>
        <v>0</v>
      </c>
      <c r="D523" s="5">
        <f>'Agents'' Final Roster 0823-0829'!D447</f>
        <v>0</v>
      </c>
      <c r="Z523" s="5">
        <f>'Agents'' Final Roster 0823-0829'!Z447</f>
        <v>0</v>
      </c>
    </row>
    <row r="524" spans="1:26" x14ac:dyDescent="0.25">
      <c r="A524" s="5">
        <f>'Agents'' Final Roster 0823-0829'!A448</f>
        <v>0</v>
      </c>
      <c r="B524" s="5">
        <f>'Agents'' Final Roster 0823-0829'!B448</f>
        <v>0</v>
      </c>
      <c r="C524" s="5">
        <f>'Agents'' Final Roster 0823-0829'!C448</f>
        <v>0</v>
      </c>
      <c r="D524" s="5">
        <f>'Agents'' Final Roster 0823-0829'!D448</f>
        <v>0</v>
      </c>
      <c r="Z524" s="5">
        <f>'Agents'' Final Roster 0823-0829'!Z448</f>
        <v>0</v>
      </c>
    </row>
    <row r="525" spans="1:26" x14ac:dyDescent="0.25">
      <c r="A525" s="5">
        <f>'Agents'' Final Roster 0823-0829'!A449</f>
        <v>0</v>
      </c>
      <c r="B525" s="5">
        <f>'Agents'' Final Roster 0823-0829'!B449</f>
        <v>0</v>
      </c>
      <c r="C525" s="5">
        <f>'Agents'' Final Roster 0823-0829'!C449</f>
        <v>0</v>
      </c>
      <c r="D525" s="5">
        <f>'Agents'' Final Roster 0823-0829'!D449</f>
        <v>0</v>
      </c>
      <c r="Z525" s="5">
        <f>'Agents'' Final Roster 0823-0829'!Z449</f>
        <v>0</v>
      </c>
    </row>
    <row r="526" spans="1:26" x14ac:dyDescent="0.25">
      <c r="A526" s="5">
        <f>'Agents'' Final Roster 0823-0829'!A450</f>
        <v>0</v>
      </c>
      <c r="B526" s="5">
        <f>'Agents'' Final Roster 0823-0829'!B450</f>
        <v>0</v>
      </c>
      <c r="C526" s="5">
        <f>'Agents'' Final Roster 0823-0829'!C450</f>
        <v>0</v>
      </c>
      <c r="D526" s="5">
        <f>'Agents'' Final Roster 0823-0829'!D450</f>
        <v>0</v>
      </c>
      <c r="Z526" s="5">
        <f>'Agents'' Final Roster 0823-0829'!Z450</f>
        <v>0</v>
      </c>
    </row>
    <row r="527" spans="1:26" x14ac:dyDescent="0.25">
      <c r="A527" s="5">
        <f>'Agents'' Final Roster 0823-0829'!A451</f>
        <v>0</v>
      </c>
      <c r="B527" s="5">
        <f>'Agents'' Final Roster 0823-0829'!B451</f>
        <v>0</v>
      </c>
      <c r="C527" s="5">
        <f>'Agents'' Final Roster 0823-0829'!C451</f>
        <v>0</v>
      </c>
      <c r="D527" s="5">
        <f>'Agents'' Final Roster 0823-0829'!D451</f>
        <v>0</v>
      </c>
      <c r="Z527" s="5">
        <f>'Agents'' Final Roster 0823-0829'!Z451</f>
        <v>0</v>
      </c>
    </row>
    <row r="528" spans="1:26" x14ac:dyDescent="0.25">
      <c r="A528" s="5">
        <f>'Agents'' Final Roster 0823-0829'!A452</f>
        <v>0</v>
      </c>
      <c r="B528" s="5">
        <f>'Agents'' Final Roster 0823-0829'!B452</f>
        <v>0</v>
      </c>
      <c r="C528" s="5">
        <f>'Agents'' Final Roster 0823-0829'!C452</f>
        <v>0</v>
      </c>
      <c r="D528" s="5">
        <f>'Agents'' Final Roster 0823-0829'!D452</f>
        <v>0</v>
      </c>
      <c r="Z528" s="5">
        <f>'Agents'' Final Roster 0823-0829'!Z452</f>
        <v>0</v>
      </c>
    </row>
    <row r="529" spans="1:26" x14ac:dyDescent="0.25">
      <c r="A529" s="5">
        <f>'Agents'' Final Roster 0823-0829'!A453</f>
        <v>0</v>
      </c>
      <c r="B529" s="5">
        <f>'Agents'' Final Roster 0823-0829'!B453</f>
        <v>0</v>
      </c>
      <c r="C529" s="5">
        <f>'Agents'' Final Roster 0823-0829'!C453</f>
        <v>0</v>
      </c>
      <c r="D529" s="5">
        <f>'Agents'' Final Roster 0823-0829'!D453</f>
        <v>0</v>
      </c>
      <c r="Z529" s="5">
        <f>'Agents'' Final Roster 0823-0829'!Z453</f>
        <v>0</v>
      </c>
    </row>
    <row r="530" spans="1:26" x14ac:dyDescent="0.25">
      <c r="A530" s="5">
        <f>'Agents'' Final Roster 0823-0829'!A454</f>
        <v>0</v>
      </c>
      <c r="B530" s="5">
        <f>'Agents'' Final Roster 0823-0829'!B454</f>
        <v>0</v>
      </c>
      <c r="C530" s="5">
        <f>'Agents'' Final Roster 0823-0829'!C454</f>
        <v>0</v>
      </c>
      <c r="D530" s="5">
        <f>'Agents'' Final Roster 0823-0829'!D454</f>
        <v>0</v>
      </c>
      <c r="Z530" s="5">
        <f>'Agents'' Final Roster 0823-0829'!Z454</f>
        <v>0</v>
      </c>
    </row>
    <row r="531" spans="1:26" x14ac:dyDescent="0.25">
      <c r="A531" s="5">
        <f>'Agents'' Final Roster 0823-0829'!A455</f>
        <v>0</v>
      </c>
      <c r="B531" s="5">
        <f>'Agents'' Final Roster 0823-0829'!B455</f>
        <v>0</v>
      </c>
      <c r="C531" s="5">
        <f>'Agents'' Final Roster 0823-0829'!C455</f>
        <v>0</v>
      </c>
      <c r="D531" s="5">
        <f>'Agents'' Final Roster 0823-0829'!D455</f>
        <v>0</v>
      </c>
      <c r="Z531" s="5">
        <f>'Agents'' Final Roster 0823-0829'!Z455</f>
        <v>0</v>
      </c>
    </row>
    <row r="532" spans="1:26" x14ac:dyDescent="0.25">
      <c r="A532" s="5">
        <f>'Agents'' Final Roster 0823-0829'!A456</f>
        <v>0</v>
      </c>
      <c r="B532" s="5">
        <f>'Agents'' Final Roster 0823-0829'!B456</f>
        <v>0</v>
      </c>
      <c r="C532" s="5">
        <f>'Agents'' Final Roster 0823-0829'!C456</f>
        <v>0</v>
      </c>
      <c r="D532" s="5">
        <f>'Agents'' Final Roster 0823-0829'!D456</f>
        <v>0</v>
      </c>
      <c r="Z532" s="5">
        <f>'Agents'' Final Roster 0823-0829'!Z456</f>
        <v>0</v>
      </c>
    </row>
    <row r="533" spans="1:26" x14ac:dyDescent="0.25">
      <c r="A533" s="5">
        <f>'Agents'' Final Roster 0823-0829'!A457</f>
        <v>0</v>
      </c>
      <c r="B533" s="5">
        <f>'Agents'' Final Roster 0823-0829'!B457</f>
        <v>0</v>
      </c>
      <c r="C533" s="5">
        <f>'Agents'' Final Roster 0823-0829'!C457</f>
        <v>0</v>
      </c>
      <c r="D533" s="5">
        <f>'Agents'' Final Roster 0823-0829'!D457</f>
        <v>0</v>
      </c>
      <c r="Z533" s="5">
        <f>'Agents'' Final Roster 0823-0829'!Z457</f>
        <v>0</v>
      </c>
    </row>
    <row r="534" spans="1:26" x14ac:dyDescent="0.25">
      <c r="A534" s="5">
        <f>'Agents'' Final Roster 0823-0829'!A458</f>
        <v>0</v>
      </c>
      <c r="B534" s="5">
        <f>'Agents'' Final Roster 0823-0829'!B458</f>
        <v>0</v>
      </c>
      <c r="C534" s="5">
        <f>'Agents'' Final Roster 0823-0829'!C458</f>
        <v>0</v>
      </c>
      <c r="D534" s="5">
        <f>'Agents'' Final Roster 0823-0829'!D458</f>
        <v>0</v>
      </c>
      <c r="Z534" s="5">
        <f>'Agents'' Final Roster 0823-0829'!Z458</f>
        <v>0</v>
      </c>
    </row>
    <row r="535" spans="1:26" x14ac:dyDescent="0.25">
      <c r="A535" s="5">
        <f>'Agents'' Final Roster 0823-0829'!A459</f>
        <v>0</v>
      </c>
      <c r="B535" s="5">
        <f>'Agents'' Final Roster 0823-0829'!B459</f>
        <v>0</v>
      </c>
      <c r="C535" s="5">
        <f>'Agents'' Final Roster 0823-0829'!C459</f>
        <v>0</v>
      </c>
      <c r="D535" s="5">
        <f>'Agents'' Final Roster 0823-0829'!D459</f>
        <v>0</v>
      </c>
      <c r="Z535" s="5">
        <f>'Agents'' Final Roster 0823-0829'!Z459</f>
        <v>0</v>
      </c>
    </row>
    <row r="536" spans="1:26" x14ac:dyDescent="0.25">
      <c r="A536" s="5">
        <f>'Agents'' Final Roster 0823-0829'!A460</f>
        <v>0</v>
      </c>
      <c r="B536" s="5">
        <f>'Agents'' Final Roster 0823-0829'!B460</f>
        <v>0</v>
      </c>
      <c r="C536" s="5">
        <f>'Agents'' Final Roster 0823-0829'!C460</f>
        <v>0</v>
      </c>
      <c r="D536" s="5">
        <f>'Agents'' Final Roster 0823-0829'!D460</f>
        <v>0</v>
      </c>
      <c r="Z536" s="5">
        <f>'Agents'' Final Roster 0823-0829'!Z460</f>
        <v>0</v>
      </c>
    </row>
    <row r="537" spans="1:26" x14ac:dyDescent="0.25">
      <c r="A537" s="5">
        <f>'Agents'' Final Roster 0823-0829'!A461</f>
        <v>0</v>
      </c>
      <c r="B537" s="5">
        <f>'Agents'' Final Roster 0823-0829'!B461</f>
        <v>0</v>
      </c>
      <c r="C537" s="5">
        <f>'Agents'' Final Roster 0823-0829'!C461</f>
        <v>0</v>
      </c>
      <c r="D537" s="5">
        <f>'Agents'' Final Roster 0823-0829'!D461</f>
        <v>0</v>
      </c>
      <c r="Z537" s="5">
        <f>'Agents'' Final Roster 0823-0829'!Z461</f>
        <v>0</v>
      </c>
    </row>
    <row r="538" spans="1:26" x14ac:dyDescent="0.25">
      <c r="A538" s="5">
        <f>'Agents'' Final Roster 0823-0829'!A462</f>
        <v>0</v>
      </c>
      <c r="B538" s="5">
        <f>'Agents'' Final Roster 0823-0829'!B462</f>
        <v>0</v>
      </c>
      <c r="C538" s="5">
        <f>'Agents'' Final Roster 0823-0829'!C462</f>
        <v>0</v>
      </c>
      <c r="D538" s="5">
        <f>'Agents'' Final Roster 0823-0829'!D462</f>
        <v>0</v>
      </c>
      <c r="Z538" s="5">
        <f>'Agents'' Final Roster 0823-0829'!Z462</f>
        <v>0</v>
      </c>
    </row>
    <row r="539" spans="1:26" x14ac:dyDescent="0.25">
      <c r="A539" s="5">
        <f>'Agents'' Final Roster 0823-0829'!A463</f>
        <v>0</v>
      </c>
      <c r="B539" s="5">
        <f>'Agents'' Final Roster 0823-0829'!B463</f>
        <v>0</v>
      </c>
      <c r="C539" s="5">
        <f>'Agents'' Final Roster 0823-0829'!C463</f>
        <v>0</v>
      </c>
      <c r="D539" s="5">
        <f>'Agents'' Final Roster 0823-0829'!D463</f>
        <v>0</v>
      </c>
      <c r="Z539" s="5">
        <f>'Agents'' Final Roster 0823-0829'!Z463</f>
        <v>0</v>
      </c>
    </row>
    <row r="540" spans="1:26" x14ac:dyDescent="0.25">
      <c r="A540" s="5">
        <f>'Agents'' Final Roster 0823-0829'!A464</f>
        <v>0</v>
      </c>
      <c r="B540" s="5">
        <f>'Agents'' Final Roster 0823-0829'!B464</f>
        <v>0</v>
      </c>
      <c r="C540" s="5">
        <f>'Agents'' Final Roster 0823-0829'!C464</f>
        <v>0</v>
      </c>
      <c r="D540" s="5">
        <f>'Agents'' Final Roster 0823-0829'!D464</f>
        <v>0</v>
      </c>
      <c r="Z540" s="5">
        <f>'Agents'' Final Roster 0823-0829'!Z464</f>
        <v>0</v>
      </c>
    </row>
    <row r="541" spans="1:26" x14ac:dyDescent="0.25">
      <c r="A541" s="5">
        <f>'Agents'' Final Roster 0823-0829'!A465</f>
        <v>0</v>
      </c>
      <c r="B541" s="5">
        <f>'Agents'' Final Roster 0823-0829'!B465</f>
        <v>0</v>
      </c>
      <c r="C541" s="5">
        <f>'Agents'' Final Roster 0823-0829'!C465</f>
        <v>0</v>
      </c>
      <c r="D541" s="5">
        <f>'Agents'' Final Roster 0823-0829'!D465</f>
        <v>0</v>
      </c>
      <c r="Z541" s="5">
        <f>'Agents'' Final Roster 0823-0829'!Z465</f>
        <v>0</v>
      </c>
    </row>
    <row r="542" spans="1:26" x14ac:dyDescent="0.25">
      <c r="A542" s="5">
        <f>'Agents'' Final Roster 0823-0829'!A466</f>
        <v>0</v>
      </c>
      <c r="B542" s="5">
        <f>'Agents'' Final Roster 0823-0829'!B466</f>
        <v>0</v>
      </c>
      <c r="C542" s="5">
        <f>'Agents'' Final Roster 0823-0829'!C466</f>
        <v>0</v>
      </c>
      <c r="D542" s="5">
        <f>'Agents'' Final Roster 0823-0829'!D466</f>
        <v>0</v>
      </c>
      <c r="Z542" s="5">
        <f>'Agents'' Final Roster 0823-0829'!Z466</f>
        <v>0</v>
      </c>
    </row>
    <row r="543" spans="1:26" x14ac:dyDescent="0.25">
      <c r="A543" s="5">
        <f>'Agents'' Final Roster 0823-0829'!A467</f>
        <v>0</v>
      </c>
      <c r="B543" s="5">
        <f>'Agents'' Final Roster 0823-0829'!B467</f>
        <v>0</v>
      </c>
      <c r="C543" s="5">
        <f>'Agents'' Final Roster 0823-0829'!C467</f>
        <v>0</v>
      </c>
      <c r="D543" s="5">
        <f>'Agents'' Final Roster 0823-0829'!D467</f>
        <v>0</v>
      </c>
      <c r="Z543" s="5">
        <f>'Agents'' Final Roster 0823-0829'!Z467</f>
        <v>0</v>
      </c>
    </row>
    <row r="544" spans="1:26" x14ac:dyDescent="0.25">
      <c r="A544" s="5">
        <f>'Agents'' Final Roster 0823-0829'!A468</f>
        <v>0</v>
      </c>
      <c r="B544" s="5">
        <f>'Agents'' Final Roster 0823-0829'!B468</f>
        <v>0</v>
      </c>
      <c r="C544" s="5">
        <f>'Agents'' Final Roster 0823-0829'!C468</f>
        <v>0</v>
      </c>
      <c r="D544" s="5">
        <f>'Agents'' Final Roster 0823-0829'!D468</f>
        <v>0</v>
      </c>
      <c r="Z544" s="5">
        <f>'Agents'' Final Roster 0823-0829'!Z468</f>
        <v>0</v>
      </c>
    </row>
    <row r="545" spans="1:26" x14ac:dyDescent="0.25">
      <c r="A545" s="5">
        <f>'Agents'' Final Roster 0823-0829'!A469</f>
        <v>0</v>
      </c>
      <c r="B545" s="5">
        <f>'Agents'' Final Roster 0823-0829'!B469</f>
        <v>0</v>
      </c>
      <c r="C545" s="5">
        <f>'Agents'' Final Roster 0823-0829'!C469</f>
        <v>0</v>
      </c>
      <c r="D545" s="5">
        <f>'Agents'' Final Roster 0823-0829'!D469</f>
        <v>0</v>
      </c>
      <c r="Z545" s="5">
        <f>'Agents'' Final Roster 0823-0829'!Z469</f>
        <v>0</v>
      </c>
    </row>
    <row r="546" spans="1:26" x14ac:dyDescent="0.25">
      <c r="A546" s="5">
        <f>'Agents'' Final Roster 0823-0829'!A470</f>
        <v>0</v>
      </c>
      <c r="B546" s="5">
        <f>'Agents'' Final Roster 0823-0829'!B470</f>
        <v>0</v>
      </c>
      <c r="C546" s="5">
        <f>'Agents'' Final Roster 0823-0829'!C470</f>
        <v>0</v>
      </c>
      <c r="D546" s="5">
        <f>'Agents'' Final Roster 0823-0829'!D470</f>
        <v>0</v>
      </c>
      <c r="Z546" s="5">
        <f>'Agents'' Final Roster 0823-0829'!Z470</f>
        <v>0</v>
      </c>
    </row>
    <row r="547" spans="1:26" x14ac:dyDescent="0.25">
      <c r="A547" s="5">
        <f>'Agents'' Final Roster 0823-0829'!A471</f>
        <v>0</v>
      </c>
      <c r="B547" s="5">
        <f>'Agents'' Final Roster 0823-0829'!B471</f>
        <v>0</v>
      </c>
      <c r="C547" s="5">
        <f>'Agents'' Final Roster 0823-0829'!C471</f>
        <v>0</v>
      </c>
      <c r="D547" s="5">
        <f>'Agents'' Final Roster 0823-0829'!D471</f>
        <v>0</v>
      </c>
      <c r="Z547" s="5">
        <f>'Agents'' Final Roster 0823-0829'!Z471</f>
        <v>0</v>
      </c>
    </row>
    <row r="548" spans="1:26" x14ac:dyDescent="0.25">
      <c r="A548" s="5">
        <f>'Agents'' Final Roster 0823-0829'!A472</f>
        <v>0</v>
      </c>
      <c r="B548" s="5">
        <f>'Agents'' Final Roster 0823-0829'!B472</f>
        <v>0</v>
      </c>
      <c r="C548" s="5">
        <f>'Agents'' Final Roster 0823-0829'!C472</f>
        <v>0</v>
      </c>
      <c r="D548" s="5">
        <f>'Agents'' Final Roster 0823-0829'!D472</f>
        <v>0</v>
      </c>
      <c r="Z548" s="5">
        <f>'Agents'' Final Roster 0823-0829'!Z472</f>
        <v>0</v>
      </c>
    </row>
    <row r="549" spans="1:26" x14ac:dyDescent="0.25">
      <c r="A549" s="5">
        <f>'Agents'' Final Roster 0823-0829'!A473</f>
        <v>0</v>
      </c>
      <c r="B549" s="5">
        <f>'Agents'' Final Roster 0823-0829'!B473</f>
        <v>0</v>
      </c>
      <c r="C549" s="5">
        <f>'Agents'' Final Roster 0823-0829'!C473</f>
        <v>0</v>
      </c>
      <c r="D549" s="5">
        <f>'Agents'' Final Roster 0823-0829'!D473</f>
        <v>0</v>
      </c>
      <c r="Z549" s="5">
        <f>'Agents'' Final Roster 0823-0829'!Z473</f>
        <v>0</v>
      </c>
    </row>
    <row r="550" spans="1:26" x14ac:dyDescent="0.25">
      <c r="A550" s="5">
        <f>'Agents'' Final Roster 0823-0829'!A474</f>
        <v>0</v>
      </c>
      <c r="B550" s="5">
        <f>'Agents'' Final Roster 0823-0829'!B474</f>
        <v>0</v>
      </c>
      <c r="C550" s="5">
        <f>'Agents'' Final Roster 0823-0829'!C474</f>
        <v>0</v>
      </c>
      <c r="D550" s="5">
        <f>'Agents'' Final Roster 0823-0829'!D474</f>
        <v>0</v>
      </c>
      <c r="Z550" s="5">
        <f>'Agents'' Final Roster 0823-0829'!Z474</f>
        <v>0</v>
      </c>
    </row>
    <row r="551" spans="1:26" x14ac:dyDescent="0.25">
      <c r="A551" s="5">
        <f>'Agents'' Final Roster 0823-0829'!A475</f>
        <v>0</v>
      </c>
      <c r="B551" s="5">
        <f>'Agents'' Final Roster 0823-0829'!B475</f>
        <v>0</v>
      </c>
      <c r="C551" s="5">
        <f>'Agents'' Final Roster 0823-0829'!C475</f>
        <v>0</v>
      </c>
      <c r="D551" s="5">
        <f>'Agents'' Final Roster 0823-0829'!D475</f>
        <v>0</v>
      </c>
      <c r="Z551" s="5">
        <f>'Agents'' Final Roster 0823-0829'!Z475</f>
        <v>0</v>
      </c>
    </row>
    <row r="552" spans="1:26" x14ac:dyDescent="0.25">
      <c r="A552" s="5">
        <f>'Agents'' Final Roster 0823-0829'!A476</f>
        <v>0</v>
      </c>
      <c r="B552" s="5">
        <f>'Agents'' Final Roster 0823-0829'!B476</f>
        <v>0</v>
      </c>
      <c r="C552" s="5">
        <f>'Agents'' Final Roster 0823-0829'!C476</f>
        <v>0</v>
      </c>
      <c r="D552" s="5">
        <f>'Agents'' Final Roster 0823-0829'!D476</f>
        <v>0</v>
      </c>
      <c r="Z552" s="5">
        <f>'Agents'' Final Roster 0823-0829'!Z476</f>
        <v>0</v>
      </c>
    </row>
    <row r="553" spans="1:26" x14ac:dyDescent="0.25">
      <c r="A553" s="5">
        <f>'Agents'' Final Roster 0823-0829'!A477</f>
        <v>0</v>
      </c>
      <c r="B553" s="5">
        <f>'Agents'' Final Roster 0823-0829'!B477</f>
        <v>0</v>
      </c>
      <c r="C553" s="5">
        <f>'Agents'' Final Roster 0823-0829'!C477</f>
        <v>0</v>
      </c>
      <c r="D553" s="5">
        <f>'Agents'' Final Roster 0823-0829'!D477</f>
        <v>0</v>
      </c>
      <c r="Z553" s="5">
        <f>'Agents'' Final Roster 0823-0829'!Z477</f>
        <v>0</v>
      </c>
    </row>
    <row r="554" spans="1:26" x14ac:dyDescent="0.25">
      <c r="A554" s="5">
        <f>'Agents'' Final Roster 0823-0829'!A478</f>
        <v>0</v>
      </c>
      <c r="B554" s="5">
        <f>'Agents'' Final Roster 0823-0829'!B478</f>
        <v>0</v>
      </c>
      <c r="C554" s="5">
        <f>'Agents'' Final Roster 0823-0829'!C478</f>
        <v>0</v>
      </c>
      <c r="D554" s="5">
        <f>'Agents'' Final Roster 0823-0829'!D478</f>
        <v>0</v>
      </c>
      <c r="Z554" s="5">
        <f>'Agents'' Final Roster 0823-0829'!Z478</f>
        <v>0</v>
      </c>
    </row>
    <row r="555" spans="1:26" x14ac:dyDescent="0.25">
      <c r="A555" s="5">
        <f>'Agents'' Final Roster 0823-0829'!A479</f>
        <v>0</v>
      </c>
      <c r="B555" s="5">
        <f>'Agents'' Final Roster 0823-0829'!B479</f>
        <v>0</v>
      </c>
      <c r="C555" s="5">
        <f>'Agents'' Final Roster 0823-0829'!C479</f>
        <v>0</v>
      </c>
      <c r="D555" s="5">
        <f>'Agents'' Final Roster 0823-0829'!D479</f>
        <v>0</v>
      </c>
      <c r="Z555" s="5">
        <f>'Agents'' Final Roster 0823-0829'!Z479</f>
        <v>0</v>
      </c>
    </row>
    <row r="556" spans="1:26" x14ac:dyDescent="0.25">
      <c r="A556" s="5">
        <f>'Agents'' Final Roster 0823-0829'!A480</f>
        <v>0</v>
      </c>
      <c r="B556" s="5">
        <f>'Agents'' Final Roster 0823-0829'!B480</f>
        <v>0</v>
      </c>
      <c r="C556" s="5">
        <f>'Agents'' Final Roster 0823-0829'!C480</f>
        <v>0</v>
      </c>
      <c r="D556" s="5">
        <f>'Agents'' Final Roster 0823-0829'!D480</f>
        <v>0</v>
      </c>
      <c r="Z556" s="5">
        <f>'Agents'' Final Roster 0823-0829'!Z480</f>
        <v>0</v>
      </c>
    </row>
    <row r="557" spans="1:26" x14ac:dyDescent="0.25">
      <c r="A557" s="5">
        <f>'Agents'' Final Roster 0823-0829'!A481</f>
        <v>0</v>
      </c>
      <c r="B557" s="5">
        <f>'Agents'' Final Roster 0823-0829'!B481</f>
        <v>0</v>
      </c>
      <c r="C557" s="5">
        <f>'Agents'' Final Roster 0823-0829'!C481</f>
        <v>0</v>
      </c>
      <c r="D557" s="5">
        <f>'Agents'' Final Roster 0823-0829'!D481</f>
        <v>0</v>
      </c>
      <c r="Z557" s="5">
        <f>'Agents'' Final Roster 0823-0829'!Z481</f>
        <v>0</v>
      </c>
    </row>
    <row r="558" spans="1:26" x14ac:dyDescent="0.25">
      <c r="A558" s="5">
        <f>'Agents'' Final Roster 0823-0829'!A482</f>
        <v>0</v>
      </c>
      <c r="B558" s="5">
        <f>'Agents'' Final Roster 0823-0829'!B482</f>
        <v>0</v>
      </c>
      <c r="C558" s="5">
        <f>'Agents'' Final Roster 0823-0829'!C482</f>
        <v>0</v>
      </c>
      <c r="D558" s="5">
        <f>'Agents'' Final Roster 0823-0829'!D482</f>
        <v>0</v>
      </c>
      <c r="Z558" s="5">
        <f>'Agents'' Final Roster 0823-0829'!Z482</f>
        <v>0</v>
      </c>
    </row>
    <row r="559" spans="1:26" x14ac:dyDescent="0.25">
      <c r="A559" s="5">
        <f>'Agents'' Final Roster 0823-0829'!A483</f>
        <v>0</v>
      </c>
      <c r="B559" s="5">
        <f>'Agents'' Final Roster 0823-0829'!B483</f>
        <v>0</v>
      </c>
      <c r="C559" s="5">
        <f>'Agents'' Final Roster 0823-0829'!C483</f>
        <v>0</v>
      </c>
      <c r="D559" s="5">
        <f>'Agents'' Final Roster 0823-0829'!D483</f>
        <v>0</v>
      </c>
      <c r="Z559" s="5">
        <f>'Agents'' Final Roster 0823-0829'!Z483</f>
        <v>0</v>
      </c>
    </row>
    <row r="560" spans="1:26" x14ac:dyDescent="0.25">
      <c r="A560" s="5">
        <f>'Agents'' Final Roster 0823-0829'!A484</f>
        <v>0</v>
      </c>
      <c r="B560" s="5">
        <f>'Agents'' Final Roster 0823-0829'!B484</f>
        <v>0</v>
      </c>
      <c r="C560" s="5">
        <f>'Agents'' Final Roster 0823-0829'!C484</f>
        <v>0</v>
      </c>
      <c r="D560" s="5">
        <f>'Agents'' Final Roster 0823-0829'!D484</f>
        <v>0</v>
      </c>
      <c r="Z560" s="5">
        <f>'Agents'' Final Roster 0823-0829'!Z484</f>
        <v>0</v>
      </c>
    </row>
    <row r="561" spans="1:26" x14ac:dyDescent="0.25">
      <c r="A561" s="5">
        <f>'Agents'' Final Roster 0823-0829'!A485</f>
        <v>0</v>
      </c>
      <c r="B561" s="5">
        <f>'Agents'' Final Roster 0823-0829'!B485</f>
        <v>0</v>
      </c>
      <c r="C561" s="5">
        <f>'Agents'' Final Roster 0823-0829'!C485</f>
        <v>0</v>
      </c>
      <c r="D561" s="5">
        <f>'Agents'' Final Roster 0823-0829'!D485</f>
        <v>0</v>
      </c>
      <c r="Z561" s="5">
        <f>'Agents'' Final Roster 0823-0829'!Z485</f>
        <v>0</v>
      </c>
    </row>
    <row r="562" spans="1:26" x14ac:dyDescent="0.25">
      <c r="A562" s="5">
        <f>'Agents'' Final Roster 0823-0829'!A486</f>
        <v>0</v>
      </c>
      <c r="B562" s="5">
        <f>'Agents'' Final Roster 0823-0829'!B486</f>
        <v>0</v>
      </c>
      <c r="C562" s="5">
        <f>'Agents'' Final Roster 0823-0829'!C486</f>
        <v>0</v>
      </c>
      <c r="D562" s="5">
        <f>'Agents'' Final Roster 0823-0829'!D486</f>
        <v>0</v>
      </c>
      <c r="Z562" s="5">
        <f>'Agents'' Final Roster 0823-0829'!Z486</f>
        <v>0</v>
      </c>
    </row>
    <row r="563" spans="1:26" x14ac:dyDescent="0.25">
      <c r="A563" s="5">
        <f>'Agents'' Final Roster 0823-0829'!A487</f>
        <v>0</v>
      </c>
      <c r="B563" s="5">
        <f>'Agents'' Final Roster 0823-0829'!B487</f>
        <v>0</v>
      </c>
      <c r="C563" s="5">
        <f>'Agents'' Final Roster 0823-0829'!C487</f>
        <v>0</v>
      </c>
      <c r="D563" s="5">
        <f>'Agents'' Final Roster 0823-0829'!D487</f>
        <v>0</v>
      </c>
      <c r="Z563" s="5">
        <f>'Agents'' Final Roster 0823-0829'!Z487</f>
        <v>0</v>
      </c>
    </row>
    <row r="564" spans="1:26" x14ac:dyDescent="0.25">
      <c r="A564" s="5">
        <f>'Agents'' Final Roster 0823-0829'!A488</f>
        <v>0</v>
      </c>
      <c r="B564" s="5">
        <f>'Agents'' Final Roster 0823-0829'!B488</f>
        <v>0</v>
      </c>
      <c r="C564" s="5">
        <f>'Agents'' Final Roster 0823-0829'!C488</f>
        <v>0</v>
      </c>
      <c r="D564" s="5">
        <f>'Agents'' Final Roster 0823-0829'!D488</f>
        <v>0</v>
      </c>
      <c r="Z564" s="5">
        <f>'Agents'' Final Roster 0823-0829'!Z488</f>
        <v>0</v>
      </c>
    </row>
    <row r="565" spans="1:26" x14ac:dyDescent="0.25">
      <c r="A565" s="5">
        <f>'Agents'' Final Roster 0823-0829'!A489</f>
        <v>0</v>
      </c>
      <c r="B565" s="5">
        <f>'Agents'' Final Roster 0823-0829'!B489</f>
        <v>0</v>
      </c>
      <c r="C565" s="5">
        <f>'Agents'' Final Roster 0823-0829'!C489</f>
        <v>0</v>
      </c>
      <c r="D565" s="5">
        <f>'Agents'' Final Roster 0823-0829'!D489</f>
        <v>0</v>
      </c>
      <c r="Z565" s="5">
        <f>'Agents'' Final Roster 0823-0829'!Z489</f>
        <v>0</v>
      </c>
    </row>
    <row r="566" spans="1:26" x14ac:dyDescent="0.25">
      <c r="A566" s="5">
        <f>'Agents'' Final Roster 0823-0829'!A490</f>
        <v>0</v>
      </c>
      <c r="B566" s="5">
        <f>'Agents'' Final Roster 0823-0829'!B490</f>
        <v>0</v>
      </c>
      <c r="C566" s="5">
        <f>'Agents'' Final Roster 0823-0829'!C490</f>
        <v>0</v>
      </c>
      <c r="D566" s="5">
        <f>'Agents'' Final Roster 0823-0829'!D490</f>
        <v>0</v>
      </c>
      <c r="Z566" s="5">
        <f>'Agents'' Final Roster 0823-0829'!Z490</f>
        <v>0</v>
      </c>
    </row>
    <row r="567" spans="1:26" x14ac:dyDescent="0.25">
      <c r="A567" s="5">
        <f>'Agents'' Final Roster 0823-0829'!A491</f>
        <v>0</v>
      </c>
      <c r="B567" s="5">
        <f>'Agents'' Final Roster 0823-0829'!B491</f>
        <v>0</v>
      </c>
      <c r="C567" s="5">
        <f>'Agents'' Final Roster 0823-0829'!C491</f>
        <v>0</v>
      </c>
      <c r="D567" s="5">
        <f>'Agents'' Final Roster 0823-0829'!D491</f>
        <v>0</v>
      </c>
      <c r="Z567" s="5">
        <f>'Agents'' Final Roster 0823-0829'!Z491</f>
        <v>0</v>
      </c>
    </row>
    <row r="568" spans="1:26" x14ac:dyDescent="0.25">
      <c r="A568" s="5">
        <f>'Agents'' Final Roster 0823-0829'!A492</f>
        <v>0</v>
      </c>
      <c r="B568" s="5">
        <f>'Agents'' Final Roster 0823-0829'!B492</f>
        <v>0</v>
      </c>
      <c r="C568" s="5">
        <f>'Agents'' Final Roster 0823-0829'!C492</f>
        <v>0</v>
      </c>
      <c r="D568" s="5">
        <f>'Agents'' Final Roster 0823-0829'!D492</f>
        <v>0</v>
      </c>
      <c r="Z568" s="5">
        <f>'Agents'' Final Roster 0823-0829'!Z492</f>
        <v>0</v>
      </c>
    </row>
    <row r="569" spans="1:26" x14ac:dyDescent="0.25">
      <c r="A569" s="5">
        <f>'Agents'' Final Roster 0823-0829'!A493</f>
        <v>0</v>
      </c>
      <c r="B569" s="5">
        <f>'Agents'' Final Roster 0823-0829'!B493</f>
        <v>0</v>
      </c>
      <c r="C569" s="5">
        <f>'Agents'' Final Roster 0823-0829'!C493</f>
        <v>0</v>
      </c>
      <c r="D569" s="5">
        <f>'Agents'' Final Roster 0823-0829'!D493</f>
        <v>0</v>
      </c>
      <c r="Z569" s="5">
        <f>'Agents'' Final Roster 0823-0829'!Z493</f>
        <v>0</v>
      </c>
    </row>
    <row r="570" spans="1:26" x14ac:dyDescent="0.25">
      <c r="A570" s="5">
        <f>'Agents'' Final Roster 0823-0829'!A494</f>
        <v>0</v>
      </c>
      <c r="B570" s="5">
        <f>'Agents'' Final Roster 0823-0829'!B494</f>
        <v>0</v>
      </c>
      <c r="C570" s="5">
        <f>'Agents'' Final Roster 0823-0829'!C494</f>
        <v>0</v>
      </c>
      <c r="D570" s="5">
        <f>'Agents'' Final Roster 0823-0829'!D494</f>
        <v>0</v>
      </c>
      <c r="Z570" s="5">
        <f>'Agents'' Final Roster 0823-0829'!Z494</f>
        <v>0</v>
      </c>
    </row>
    <row r="571" spans="1:26" x14ac:dyDescent="0.25">
      <c r="A571" s="5">
        <f>'Agents'' Final Roster 0823-0829'!A495</f>
        <v>0</v>
      </c>
      <c r="B571" s="5">
        <f>'Agents'' Final Roster 0823-0829'!B495</f>
        <v>0</v>
      </c>
      <c r="C571" s="5">
        <f>'Agents'' Final Roster 0823-0829'!C495</f>
        <v>0</v>
      </c>
      <c r="D571" s="5">
        <f>'Agents'' Final Roster 0823-0829'!D495</f>
        <v>0</v>
      </c>
      <c r="Z571" s="5">
        <f>'Agents'' Final Roster 0823-0829'!Z495</f>
        <v>0</v>
      </c>
    </row>
    <row r="572" spans="1:26" x14ac:dyDescent="0.25">
      <c r="A572" s="5">
        <f>'Agents'' Final Roster 0823-0829'!A496</f>
        <v>0</v>
      </c>
      <c r="B572" s="5">
        <f>'Agents'' Final Roster 0823-0829'!B496</f>
        <v>0</v>
      </c>
      <c r="C572" s="5">
        <f>'Agents'' Final Roster 0823-0829'!C496</f>
        <v>0</v>
      </c>
      <c r="D572" s="5">
        <f>'Agents'' Final Roster 0823-0829'!D496</f>
        <v>0</v>
      </c>
      <c r="Z572" s="5">
        <f>'Agents'' Final Roster 0823-0829'!Z496</f>
        <v>0</v>
      </c>
    </row>
    <row r="573" spans="1:26" x14ac:dyDescent="0.25">
      <c r="A573" s="5">
        <f>'Agents'' Final Roster 0823-0829'!A497</f>
        <v>0</v>
      </c>
      <c r="B573" s="5">
        <f>'Agents'' Final Roster 0823-0829'!B497</f>
        <v>0</v>
      </c>
      <c r="C573" s="5">
        <f>'Agents'' Final Roster 0823-0829'!C497</f>
        <v>0</v>
      </c>
      <c r="D573" s="5">
        <f>'Agents'' Final Roster 0823-0829'!D497</f>
        <v>0</v>
      </c>
      <c r="Z573" s="5">
        <f>'Agents'' Final Roster 0823-0829'!Z497</f>
        <v>0</v>
      </c>
    </row>
    <row r="574" spans="1:26" x14ac:dyDescent="0.25">
      <c r="A574" s="5">
        <f>'Agents'' Final Roster 0823-0829'!A498</f>
        <v>0</v>
      </c>
      <c r="B574" s="5">
        <f>'Agents'' Final Roster 0823-0829'!B498</f>
        <v>0</v>
      </c>
      <c r="C574" s="5">
        <f>'Agents'' Final Roster 0823-0829'!C498</f>
        <v>0</v>
      </c>
      <c r="D574" s="5">
        <f>'Agents'' Final Roster 0823-0829'!D498</f>
        <v>0</v>
      </c>
      <c r="Z574" s="5">
        <f>'Agents'' Final Roster 0823-0829'!Z498</f>
        <v>0</v>
      </c>
    </row>
    <row r="575" spans="1:26" x14ac:dyDescent="0.25">
      <c r="A575" s="5">
        <f>'Agents'' Final Roster 0823-0829'!A499</f>
        <v>0</v>
      </c>
      <c r="B575" s="5">
        <f>'Agents'' Final Roster 0823-0829'!B499</f>
        <v>0</v>
      </c>
      <c r="C575" s="5">
        <f>'Agents'' Final Roster 0823-0829'!C499</f>
        <v>0</v>
      </c>
      <c r="D575" s="5">
        <f>'Agents'' Final Roster 0823-0829'!D499</f>
        <v>0</v>
      </c>
      <c r="Z575" s="5">
        <f>'Agents'' Final Roster 0823-0829'!Z499</f>
        <v>0</v>
      </c>
    </row>
    <row r="576" spans="1:26" x14ac:dyDescent="0.25">
      <c r="A576" s="5">
        <f>'Agents'' Final Roster 0823-0829'!A500</f>
        <v>0</v>
      </c>
      <c r="B576" s="5">
        <f>'Agents'' Final Roster 0823-0829'!B500</f>
        <v>0</v>
      </c>
      <c r="C576" s="5">
        <f>'Agents'' Final Roster 0823-0829'!C500</f>
        <v>0</v>
      </c>
      <c r="D576" s="5">
        <f>'Agents'' Final Roster 0823-0829'!D500</f>
        <v>0</v>
      </c>
      <c r="Z576" s="5">
        <f>'Agents'' Final Roster 0823-0829'!Z500</f>
        <v>0</v>
      </c>
    </row>
    <row r="577" spans="1:26" x14ac:dyDescent="0.25">
      <c r="A577" s="5">
        <f>'Agents'' Final Roster 0823-0829'!A501</f>
        <v>0</v>
      </c>
      <c r="B577" s="5">
        <f>'Agents'' Final Roster 0823-0829'!B501</f>
        <v>0</v>
      </c>
      <c r="C577" s="5">
        <f>'Agents'' Final Roster 0823-0829'!C501</f>
        <v>0</v>
      </c>
      <c r="D577" s="5">
        <f>'Agents'' Final Roster 0823-0829'!D501</f>
        <v>0</v>
      </c>
      <c r="Z577" s="5">
        <f>'Agents'' Final Roster 0823-0829'!Z501</f>
        <v>0</v>
      </c>
    </row>
    <row r="578" spans="1:26" x14ac:dyDescent="0.25">
      <c r="A578" s="5">
        <f>'Agents'' Final Roster 0823-0829'!A502</f>
        <v>0</v>
      </c>
      <c r="B578" s="5">
        <f>'Agents'' Final Roster 0823-0829'!B502</f>
        <v>0</v>
      </c>
      <c r="C578" s="5">
        <f>'Agents'' Final Roster 0823-0829'!C502</f>
        <v>0</v>
      </c>
      <c r="D578" s="5">
        <f>'Agents'' Final Roster 0823-0829'!D502</f>
        <v>0</v>
      </c>
      <c r="Z578" s="5">
        <f>'Agents'' Final Roster 0823-0829'!Z502</f>
        <v>0</v>
      </c>
    </row>
    <row r="579" spans="1:26" x14ac:dyDescent="0.25">
      <c r="A579" s="5">
        <f>'Agents'' Final Roster 0823-0829'!A503</f>
        <v>0</v>
      </c>
      <c r="B579" s="5">
        <f>'Agents'' Final Roster 0823-0829'!B503</f>
        <v>0</v>
      </c>
      <c r="C579" s="5">
        <f>'Agents'' Final Roster 0823-0829'!C503</f>
        <v>0</v>
      </c>
      <c r="D579" s="5">
        <f>'Agents'' Final Roster 0823-0829'!D503</f>
        <v>0</v>
      </c>
      <c r="Z579" s="5">
        <f>'Agents'' Final Roster 0823-0829'!Z503</f>
        <v>0</v>
      </c>
    </row>
    <row r="580" spans="1:26" x14ac:dyDescent="0.25">
      <c r="A580" s="5">
        <f>'Agents'' Final Roster 0823-0829'!A504</f>
        <v>0</v>
      </c>
      <c r="B580" s="5">
        <f>'Agents'' Final Roster 0823-0829'!B504</f>
        <v>0</v>
      </c>
      <c r="C580" s="5">
        <f>'Agents'' Final Roster 0823-0829'!C504</f>
        <v>0</v>
      </c>
      <c r="D580" s="5">
        <f>'Agents'' Final Roster 0823-0829'!D504</f>
        <v>0</v>
      </c>
      <c r="Z580" s="5">
        <f>'Agents'' Final Roster 0823-0829'!Z504</f>
        <v>0</v>
      </c>
    </row>
    <row r="581" spans="1:26" x14ac:dyDescent="0.25">
      <c r="A581" s="5">
        <f>'Agents'' Final Roster 0823-0829'!A505</f>
        <v>0</v>
      </c>
      <c r="B581" s="5">
        <f>'Agents'' Final Roster 0823-0829'!B505</f>
        <v>0</v>
      </c>
      <c r="C581" s="5">
        <f>'Agents'' Final Roster 0823-0829'!C505</f>
        <v>0</v>
      </c>
      <c r="D581" s="5">
        <f>'Agents'' Final Roster 0823-0829'!D505</f>
        <v>0</v>
      </c>
      <c r="Z581" s="5">
        <f>'Agents'' Final Roster 0823-0829'!Z505</f>
        <v>0</v>
      </c>
    </row>
    <row r="582" spans="1:26" x14ac:dyDescent="0.25">
      <c r="A582" s="5">
        <f>'Agents'' Final Roster 0823-0829'!A506</f>
        <v>0</v>
      </c>
      <c r="B582" s="5">
        <f>'Agents'' Final Roster 0823-0829'!B506</f>
        <v>0</v>
      </c>
      <c r="C582" s="5">
        <f>'Agents'' Final Roster 0823-0829'!C506</f>
        <v>0</v>
      </c>
      <c r="D582" s="5">
        <f>'Agents'' Final Roster 0823-0829'!D506</f>
        <v>0</v>
      </c>
      <c r="Z582" s="5">
        <f>'Agents'' Final Roster 0823-0829'!Z506</f>
        <v>0</v>
      </c>
    </row>
    <row r="583" spans="1:26" x14ac:dyDescent="0.25">
      <c r="A583" s="5">
        <f>'Agents'' Final Roster 0823-0829'!A507</f>
        <v>0</v>
      </c>
      <c r="B583" s="5">
        <f>'Agents'' Final Roster 0823-0829'!B507</f>
        <v>0</v>
      </c>
      <c r="C583" s="5">
        <f>'Agents'' Final Roster 0823-0829'!C507</f>
        <v>0</v>
      </c>
      <c r="D583" s="5">
        <f>'Agents'' Final Roster 0823-0829'!D507</f>
        <v>0</v>
      </c>
      <c r="Z583" s="5">
        <f>'Agents'' Final Roster 0823-0829'!Z507</f>
        <v>0</v>
      </c>
    </row>
    <row r="584" spans="1:26" x14ac:dyDescent="0.25">
      <c r="A584" s="5">
        <f>'Agents'' Final Roster 0823-0829'!A508</f>
        <v>0</v>
      </c>
      <c r="B584" s="5">
        <f>'Agents'' Final Roster 0823-0829'!B508</f>
        <v>0</v>
      </c>
      <c r="C584" s="5">
        <f>'Agents'' Final Roster 0823-0829'!C508</f>
        <v>0</v>
      </c>
      <c r="D584" s="5">
        <f>'Agents'' Final Roster 0823-0829'!D508</f>
        <v>0</v>
      </c>
      <c r="Z584" s="5">
        <f>'Agents'' Final Roster 0823-0829'!Z508</f>
        <v>0</v>
      </c>
    </row>
    <row r="585" spans="1:26" x14ac:dyDescent="0.25">
      <c r="A585" s="5">
        <f>'Agents'' Final Roster 0823-0829'!A509</f>
        <v>0</v>
      </c>
      <c r="B585" s="5">
        <f>'Agents'' Final Roster 0823-0829'!B509</f>
        <v>0</v>
      </c>
      <c r="C585" s="5">
        <f>'Agents'' Final Roster 0823-0829'!C509</f>
        <v>0</v>
      </c>
      <c r="D585" s="5">
        <f>'Agents'' Final Roster 0823-0829'!D509</f>
        <v>0</v>
      </c>
      <c r="Z585" s="5">
        <f>'Agents'' Final Roster 0823-0829'!Z509</f>
        <v>0</v>
      </c>
    </row>
    <row r="586" spans="1:26" x14ac:dyDescent="0.25">
      <c r="A586" s="5">
        <f>'Agents'' Final Roster 0823-0829'!A510</f>
        <v>0</v>
      </c>
      <c r="B586" s="5">
        <f>'Agents'' Final Roster 0823-0829'!B510</f>
        <v>0</v>
      </c>
      <c r="C586" s="5">
        <f>'Agents'' Final Roster 0823-0829'!C510</f>
        <v>0</v>
      </c>
      <c r="D586" s="5">
        <f>'Agents'' Final Roster 0823-0829'!D510</f>
        <v>0</v>
      </c>
      <c r="Z586" s="5">
        <f>'Agents'' Final Roster 0823-0829'!Z510</f>
        <v>0</v>
      </c>
    </row>
    <row r="587" spans="1:26" x14ac:dyDescent="0.25">
      <c r="A587" s="5">
        <f>'Agents'' Final Roster 0823-0829'!A511</f>
        <v>0</v>
      </c>
      <c r="B587" s="5">
        <f>'Agents'' Final Roster 0823-0829'!B511</f>
        <v>0</v>
      </c>
      <c r="C587" s="5">
        <f>'Agents'' Final Roster 0823-0829'!C511</f>
        <v>0</v>
      </c>
      <c r="D587" s="5">
        <f>'Agents'' Final Roster 0823-0829'!D511</f>
        <v>0</v>
      </c>
      <c r="Z587" s="5">
        <f>'Agents'' Final Roster 0823-0829'!Z511</f>
        <v>0</v>
      </c>
    </row>
    <row r="588" spans="1:26" x14ac:dyDescent="0.25">
      <c r="A588" s="5">
        <f>'Agents'' Final Roster 0823-0829'!A512</f>
        <v>0</v>
      </c>
      <c r="B588" s="5">
        <f>'Agents'' Final Roster 0823-0829'!B512</f>
        <v>0</v>
      </c>
      <c r="C588" s="5">
        <f>'Agents'' Final Roster 0823-0829'!C512</f>
        <v>0</v>
      </c>
      <c r="D588" s="5">
        <f>'Agents'' Final Roster 0823-0829'!D512</f>
        <v>0</v>
      </c>
      <c r="Z588" s="5">
        <f>'Agents'' Final Roster 0823-0829'!Z512</f>
        <v>0</v>
      </c>
    </row>
    <row r="589" spans="1:26" x14ac:dyDescent="0.25">
      <c r="A589" s="5">
        <f>'Agents'' Final Roster 0823-0829'!A513</f>
        <v>0</v>
      </c>
      <c r="B589" s="5">
        <f>'Agents'' Final Roster 0823-0829'!B513</f>
        <v>0</v>
      </c>
      <c r="C589" s="5">
        <f>'Agents'' Final Roster 0823-0829'!C513</f>
        <v>0</v>
      </c>
      <c r="D589" s="5">
        <f>'Agents'' Final Roster 0823-0829'!D513</f>
        <v>0</v>
      </c>
      <c r="Z589" s="5">
        <f>'Agents'' Final Roster 0823-0829'!Z513</f>
        <v>0</v>
      </c>
    </row>
    <row r="590" spans="1:26" x14ac:dyDescent="0.25">
      <c r="A590" s="5">
        <f>'Agents'' Final Roster 0823-0829'!A514</f>
        <v>0</v>
      </c>
      <c r="B590" s="5">
        <f>'Agents'' Final Roster 0823-0829'!B514</f>
        <v>0</v>
      </c>
      <c r="C590" s="5">
        <f>'Agents'' Final Roster 0823-0829'!C514</f>
        <v>0</v>
      </c>
      <c r="D590" s="5">
        <f>'Agents'' Final Roster 0823-0829'!D514</f>
        <v>0</v>
      </c>
      <c r="Z590" s="5">
        <f>'Agents'' Final Roster 0823-0829'!Z514</f>
        <v>0</v>
      </c>
    </row>
    <row r="591" spans="1:26" x14ac:dyDescent="0.25">
      <c r="A591" s="5">
        <f>'Agents'' Final Roster 0823-0829'!A515</f>
        <v>0</v>
      </c>
      <c r="B591" s="5">
        <f>'Agents'' Final Roster 0823-0829'!B515</f>
        <v>0</v>
      </c>
      <c r="C591" s="5">
        <f>'Agents'' Final Roster 0823-0829'!C515</f>
        <v>0</v>
      </c>
      <c r="D591" s="5">
        <f>'Agents'' Final Roster 0823-0829'!D515</f>
        <v>0</v>
      </c>
      <c r="Z591" s="5">
        <f>'Agents'' Final Roster 0823-0829'!Z515</f>
        <v>0</v>
      </c>
    </row>
    <row r="592" spans="1:26" x14ac:dyDescent="0.25">
      <c r="A592" s="5">
        <f>'Agents'' Final Roster 0823-0829'!A516</f>
        <v>0</v>
      </c>
      <c r="B592" s="5">
        <f>'Agents'' Final Roster 0823-0829'!B516</f>
        <v>0</v>
      </c>
      <c r="C592" s="5">
        <f>'Agents'' Final Roster 0823-0829'!C516</f>
        <v>0</v>
      </c>
      <c r="D592" s="5">
        <f>'Agents'' Final Roster 0823-0829'!D516</f>
        <v>0</v>
      </c>
      <c r="Z592" s="5">
        <f>'Agents'' Final Roster 0823-0829'!Z516</f>
        <v>0</v>
      </c>
    </row>
    <row r="593" spans="1:26" x14ac:dyDescent="0.25">
      <c r="A593" s="5">
        <f>'Agents'' Final Roster 0823-0829'!A517</f>
        <v>0</v>
      </c>
      <c r="B593" s="5">
        <f>'Agents'' Final Roster 0823-0829'!B517</f>
        <v>0</v>
      </c>
      <c r="C593" s="5">
        <f>'Agents'' Final Roster 0823-0829'!C517</f>
        <v>0</v>
      </c>
      <c r="D593" s="5">
        <f>'Agents'' Final Roster 0823-0829'!D517</f>
        <v>0</v>
      </c>
      <c r="Z593" s="5">
        <f>'Agents'' Final Roster 0823-0829'!Z517</f>
        <v>0</v>
      </c>
    </row>
    <row r="594" spans="1:26" x14ac:dyDescent="0.25">
      <c r="A594" s="5">
        <f>'Agents'' Final Roster 0823-0829'!A518</f>
        <v>0</v>
      </c>
      <c r="B594" s="5">
        <f>'Agents'' Final Roster 0823-0829'!B518</f>
        <v>0</v>
      </c>
      <c r="C594" s="5">
        <f>'Agents'' Final Roster 0823-0829'!C518</f>
        <v>0</v>
      </c>
      <c r="D594" s="5">
        <f>'Agents'' Final Roster 0823-0829'!D518</f>
        <v>0</v>
      </c>
      <c r="Z594" s="5">
        <f>'Agents'' Final Roster 0823-0829'!Z518</f>
        <v>0</v>
      </c>
    </row>
    <row r="595" spans="1:26" x14ac:dyDescent="0.25">
      <c r="A595" s="5">
        <f>'Agents'' Final Roster 0823-0829'!A519</f>
        <v>0</v>
      </c>
      <c r="B595" s="5">
        <f>'Agents'' Final Roster 0823-0829'!B519</f>
        <v>0</v>
      </c>
      <c r="C595" s="5">
        <f>'Agents'' Final Roster 0823-0829'!C519</f>
        <v>0</v>
      </c>
      <c r="D595" s="5">
        <f>'Agents'' Final Roster 0823-0829'!D519</f>
        <v>0</v>
      </c>
      <c r="Z595" s="5">
        <f>'Agents'' Final Roster 0823-0829'!Z519</f>
        <v>0</v>
      </c>
    </row>
    <row r="596" spans="1:26" x14ac:dyDescent="0.25">
      <c r="A596" s="5">
        <f>'Agents'' Final Roster 0823-0829'!A520</f>
        <v>0</v>
      </c>
      <c r="B596" s="5">
        <f>'Agents'' Final Roster 0823-0829'!B520</f>
        <v>0</v>
      </c>
      <c r="C596" s="5">
        <f>'Agents'' Final Roster 0823-0829'!C520</f>
        <v>0</v>
      </c>
      <c r="D596" s="5">
        <f>'Agents'' Final Roster 0823-0829'!D520</f>
        <v>0</v>
      </c>
      <c r="Z596" s="5">
        <f>'Agents'' Final Roster 0823-0829'!Z520</f>
        <v>0</v>
      </c>
    </row>
    <row r="597" spans="1:26" x14ac:dyDescent="0.25">
      <c r="A597" s="5">
        <f>'Agents'' Final Roster 0823-0829'!A521</f>
        <v>0</v>
      </c>
      <c r="B597" s="5">
        <f>'Agents'' Final Roster 0823-0829'!B521</f>
        <v>0</v>
      </c>
      <c r="C597" s="5">
        <f>'Agents'' Final Roster 0823-0829'!C521</f>
        <v>0</v>
      </c>
      <c r="D597" s="5">
        <f>'Agents'' Final Roster 0823-0829'!D521</f>
        <v>0</v>
      </c>
      <c r="Z597" s="5">
        <f>'Agents'' Final Roster 0823-0829'!Z521</f>
        <v>0</v>
      </c>
    </row>
    <row r="598" spans="1:26" x14ac:dyDescent="0.25">
      <c r="A598" s="5">
        <f>'Agents'' Final Roster 0823-0829'!A522</f>
        <v>0</v>
      </c>
      <c r="B598" s="5">
        <f>'Agents'' Final Roster 0823-0829'!B522</f>
        <v>0</v>
      </c>
      <c r="C598" s="5">
        <f>'Agents'' Final Roster 0823-0829'!C522</f>
        <v>0</v>
      </c>
      <c r="D598" s="5">
        <f>'Agents'' Final Roster 0823-0829'!D522</f>
        <v>0</v>
      </c>
      <c r="Z598" s="5">
        <f>'Agents'' Final Roster 0823-0829'!Z522</f>
        <v>0</v>
      </c>
    </row>
    <row r="599" spans="1:26" x14ac:dyDescent="0.25">
      <c r="A599" s="5">
        <f>'Agents'' Final Roster 0823-0829'!A523</f>
        <v>0</v>
      </c>
      <c r="B599" s="5">
        <f>'Agents'' Final Roster 0823-0829'!B523</f>
        <v>0</v>
      </c>
      <c r="C599" s="5">
        <f>'Agents'' Final Roster 0823-0829'!C523</f>
        <v>0</v>
      </c>
      <c r="D599" s="5">
        <f>'Agents'' Final Roster 0823-0829'!D523</f>
        <v>0</v>
      </c>
      <c r="Z599" s="5">
        <f>'Agents'' Final Roster 0823-0829'!Z523</f>
        <v>0</v>
      </c>
    </row>
    <row r="600" spans="1:26" x14ac:dyDescent="0.25">
      <c r="A600" s="5">
        <f>'Agents'' Final Roster 0823-0829'!A524</f>
        <v>0</v>
      </c>
      <c r="B600" s="5">
        <f>'Agents'' Final Roster 0823-0829'!B524</f>
        <v>0</v>
      </c>
      <c r="C600" s="5">
        <f>'Agents'' Final Roster 0823-0829'!C524</f>
        <v>0</v>
      </c>
      <c r="D600" s="5">
        <f>'Agents'' Final Roster 0823-0829'!D524</f>
        <v>0</v>
      </c>
      <c r="Z600" s="5">
        <f>'Agents'' Final Roster 0823-0829'!Z524</f>
        <v>0</v>
      </c>
    </row>
    <row r="601" spans="1:26" x14ac:dyDescent="0.25">
      <c r="A601" s="5">
        <f>'Agents'' Final Roster 0823-0829'!A525</f>
        <v>0</v>
      </c>
      <c r="B601" s="5">
        <f>'Agents'' Final Roster 0823-0829'!B525</f>
        <v>0</v>
      </c>
      <c r="C601" s="5">
        <f>'Agents'' Final Roster 0823-0829'!C525</f>
        <v>0</v>
      </c>
      <c r="D601" s="5">
        <f>'Agents'' Final Roster 0823-0829'!D525</f>
        <v>0</v>
      </c>
      <c r="Z601" s="5">
        <f>'Agents'' Final Roster 0823-0829'!Z525</f>
        <v>0</v>
      </c>
    </row>
    <row r="602" spans="1:26" x14ac:dyDescent="0.25">
      <c r="A602" s="5">
        <f>'Agents'' Final Roster 0823-0829'!A526</f>
        <v>0</v>
      </c>
      <c r="B602" s="5">
        <f>'Agents'' Final Roster 0823-0829'!B526</f>
        <v>0</v>
      </c>
      <c r="C602" s="5">
        <f>'Agents'' Final Roster 0823-0829'!C526</f>
        <v>0</v>
      </c>
      <c r="D602" s="5">
        <f>'Agents'' Final Roster 0823-0829'!D526</f>
        <v>0</v>
      </c>
      <c r="Z602" s="5">
        <f>'Agents'' Final Roster 0823-0829'!Z526</f>
        <v>0</v>
      </c>
    </row>
    <row r="603" spans="1:26" x14ac:dyDescent="0.25">
      <c r="A603" s="5">
        <f>'Agents'' Final Roster 0823-0829'!A527</f>
        <v>0</v>
      </c>
      <c r="B603" s="5">
        <f>'Agents'' Final Roster 0823-0829'!B527</f>
        <v>0</v>
      </c>
      <c r="C603" s="5">
        <f>'Agents'' Final Roster 0823-0829'!C527</f>
        <v>0</v>
      </c>
      <c r="D603" s="5">
        <f>'Agents'' Final Roster 0823-0829'!D527</f>
        <v>0</v>
      </c>
      <c r="Z603" s="5">
        <f>'Agents'' Final Roster 0823-0829'!Z527</f>
        <v>0</v>
      </c>
    </row>
    <row r="604" spans="1:26" x14ac:dyDescent="0.25">
      <c r="A604" s="5">
        <f>'Agents'' Final Roster 0823-0829'!A528</f>
        <v>0</v>
      </c>
      <c r="B604" s="5">
        <f>'Agents'' Final Roster 0823-0829'!B528</f>
        <v>0</v>
      </c>
      <c r="C604" s="5">
        <f>'Agents'' Final Roster 0823-0829'!C528</f>
        <v>0</v>
      </c>
      <c r="D604" s="5">
        <f>'Agents'' Final Roster 0823-0829'!D528</f>
        <v>0</v>
      </c>
      <c r="Z604" s="5">
        <f>'Agents'' Final Roster 0823-0829'!Z528</f>
        <v>0</v>
      </c>
    </row>
    <row r="605" spans="1:26" x14ac:dyDescent="0.25">
      <c r="A605" s="5">
        <f>'Agents'' Final Roster 0823-0829'!A529</f>
        <v>0</v>
      </c>
      <c r="B605" s="5">
        <f>'Agents'' Final Roster 0823-0829'!B529</f>
        <v>0</v>
      </c>
      <c r="C605" s="5">
        <f>'Agents'' Final Roster 0823-0829'!C529</f>
        <v>0</v>
      </c>
      <c r="D605" s="5">
        <f>'Agents'' Final Roster 0823-0829'!D529</f>
        <v>0</v>
      </c>
      <c r="Z605" s="5">
        <f>'Agents'' Final Roster 0823-0829'!Z529</f>
        <v>0</v>
      </c>
    </row>
    <row r="606" spans="1:26" x14ac:dyDescent="0.25">
      <c r="A606" s="5">
        <f>'Agents'' Final Roster 0823-0829'!A530</f>
        <v>0</v>
      </c>
      <c r="B606" s="5">
        <f>'Agents'' Final Roster 0823-0829'!B530</f>
        <v>0</v>
      </c>
      <c r="C606" s="5">
        <f>'Agents'' Final Roster 0823-0829'!C530</f>
        <v>0</v>
      </c>
      <c r="D606" s="5">
        <f>'Agents'' Final Roster 0823-0829'!D530</f>
        <v>0</v>
      </c>
      <c r="Z606" s="5">
        <f>'Agents'' Final Roster 0823-0829'!Z530</f>
        <v>0</v>
      </c>
    </row>
    <row r="607" spans="1:26" x14ac:dyDescent="0.25">
      <c r="A607" s="5">
        <f>'Agents'' Final Roster 0823-0829'!A531</f>
        <v>0</v>
      </c>
      <c r="B607" s="5">
        <f>'Agents'' Final Roster 0823-0829'!B531</f>
        <v>0</v>
      </c>
      <c r="C607" s="5">
        <f>'Agents'' Final Roster 0823-0829'!C531</f>
        <v>0</v>
      </c>
      <c r="D607" s="5">
        <f>'Agents'' Final Roster 0823-0829'!D531</f>
        <v>0</v>
      </c>
      <c r="Z607" s="5">
        <f>'Agents'' Final Roster 0823-0829'!Z531</f>
        <v>0</v>
      </c>
    </row>
    <row r="608" spans="1:26" x14ac:dyDescent="0.25">
      <c r="A608" s="5">
        <f>'Agents'' Final Roster 0823-0829'!A532</f>
        <v>0</v>
      </c>
      <c r="B608" s="5">
        <f>'Agents'' Final Roster 0823-0829'!B532</f>
        <v>0</v>
      </c>
      <c r="C608" s="5">
        <f>'Agents'' Final Roster 0823-0829'!C532</f>
        <v>0</v>
      </c>
      <c r="D608" s="5">
        <f>'Agents'' Final Roster 0823-0829'!D532</f>
        <v>0</v>
      </c>
      <c r="Z608" s="5">
        <f>'Agents'' Final Roster 0823-0829'!Z532</f>
        <v>0</v>
      </c>
    </row>
    <row r="609" spans="1:26" x14ac:dyDescent="0.25">
      <c r="A609" s="5">
        <f>'Agents'' Final Roster 0823-0829'!A533</f>
        <v>0</v>
      </c>
      <c r="B609" s="5">
        <f>'Agents'' Final Roster 0823-0829'!B533</f>
        <v>0</v>
      </c>
      <c r="C609" s="5">
        <f>'Agents'' Final Roster 0823-0829'!C533</f>
        <v>0</v>
      </c>
      <c r="D609" s="5">
        <f>'Agents'' Final Roster 0823-0829'!D533</f>
        <v>0</v>
      </c>
      <c r="Z609" s="5">
        <f>'Agents'' Final Roster 0823-0829'!Z533</f>
        <v>0</v>
      </c>
    </row>
    <row r="610" spans="1:26" x14ac:dyDescent="0.25">
      <c r="A610" s="5">
        <f>'Agents'' Final Roster 0823-0829'!A534</f>
        <v>0</v>
      </c>
      <c r="B610" s="5">
        <f>'Agents'' Final Roster 0823-0829'!B534</f>
        <v>0</v>
      </c>
      <c r="C610" s="5">
        <f>'Agents'' Final Roster 0823-0829'!C534</f>
        <v>0</v>
      </c>
      <c r="D610" s="5">
        <f>'Agents'' Final Roster 0823-0829'!D534</f>
        <v>0</v>
      </c>
      <c r="Z610" s="5">
        <f>'Agents'' Final Roster 0823-0829'!Z534</f>
        <v>0</v>
      </c>
    </row>
    <row r="611" spans="1:26" x14ac:dyDescent="0.25">
      <c r="A611" s="5">
        <f>'Agents'' Final Roster 0823-0829'!A535</f>
        <v>0</v>
      </c>
      <c r="B611" s="5">
        <f>'Agents'' Final Roster 0823-0829'!B535</f>
        <v>0</v>
      </c>
      <c r="C611" s="5">
        <f>'Agents'' Final Roster 0823-0829'!C535</f>
        <v>0</v>
      </c>
      <c r="D611" s="5">
        <f>'Agents'' Final Roster 0823-0829'!D535</f>
        <v>0</v>
      </c>
      <c r="Z611" s="5">
        <f>'Agents'' Final Roster 0823-0829'!Z535</f>
        <v>0</v>
      </c>
    </row>
    <row r="612" spans="1:26" x14ac:dyDescent="0.25">
      <c r="A612" s="5">
        <f>'Agents'' Final Roster 0823-0829'!A536</f>
        <v>0</v>
      </c>
      <c r="B612" s="5">
        <f>'Agents'' Final Roster 0823-0829'!B536</f>
        <v>0</v>
      </c>
      <c r="C612" s="5">
        <f>'Agents'' Final Roster 0823-0829'!C536</f>
        <v>0</v>
      </c>
      <c r="D612" s="5">
        <f>'Agents'' Final Roster 0823-0829'!D536</f>
        <v>0</v>
      </c>
      <c r="Z612" s="5">
        <f>'Agents'' Final Roster 0823-0829'!Z536</f>
        <v>0</v>
      </c>
    </row>
    <row r="613" spans="1:26" x14ac:dyDescent="0.25">
      <c r="A613" s="5">
        <f>'Agents'' Final Roster 0823-0829'!A537</f>
        <v>0</v>
      </c>
      <c r="B613" s="5">
        <f>'Agents'' Final Roster 0823-0829'!B537</f>
        <v>0</v>
      </c>
      <c r="C613" s="5">
        <f>'Agents'' Final Roster 0823-0829'!C537</f>
        <v>0</v>
      </c>
      <c r="D613" s="5">
        <f>'Agents'' Final Roster 0823-0829'!D537</f>
        <v>0</v>
      </c>
      <c r="Z613" s="5">
        <f>'Agents'' Final Roster 0823-0829'!Z537</f>
        <v>0</v>
      </c>
    </row>
    <row r="614" spans="1:26" x14ac:dyDescent="0.25">
      <c r="A614" s="5">
        <f>'Agents'' Final Roster 0823-0829'!A538</f>
        <v>0</v>
      </c>
      <c r="B614" s="5">
        <f>'Agents'' Final Roster 0823-0829'!B538</f>
        <v>0</v>
      </c>
      <c r="C614" s="5">
        <f>'Agents'' Final Roster 0823-0829'!C538</f>
        <v>0</v>
      </c>
      <c r="D614" s="5">
        <f>'Agents'' Final Roster 0823-0829'!D538</f>
        <v>0</v>
      </c>
      <c r="Z614" s="5">
        <f>'Agents'' Final Roster 0823-0829'!Z538</f>
        <v>0</v>
      </c>
    </row>
    <row r="615" spans="1:26" x14ac:dyDescent="0.25">
      <c r="A615" s="5">
        <f>'Agents'' Final Roster 0823-0829'!A539</f>
        <v>0</v>
      </c>
      <c r="B615" s="5">
        <f>'Agents'' Final Roster 0823-0829'!B539</f>
        <v>0</v>
      </c>
      <c r="C615" s="5">
        <f>'Agents'' Final Roster 0823-0829'!C539</f>
        <v>0</v>
      </c>
      <c r="D615" s="5">
        <f>'Agents'' Final Roster 0823-0829'!D539</f>
        <v>0</v>
      </c>
      <c r="Z615" s="5">
        <f>'Agents'' Final Roster 0823-0829'!Z539</f>
        <v>0</v>
      </c>
    </row>
    <row r="616" spans="1:26" x14ac:dyDescent="0.25">
      <c r="A616" s="5">
        <f>'Agents'' Final Roster 0823-0829'!A540</f>
        <v>0</v>
      </c>
      <c r="B616" s="5">
        <f>'Agents'' Final Roster 0823-0829'!B540</f>
        <v>0</v>
      </c>
      <c r="C616" s="5">
        <f>'Agents'' Final Roster 0823-0829'!C540</f>
        <v>0</v>
      </c>
      <c r="D616" s="5">
        <f>'Agents'' Final Roster 0823-0829'!D540</f>
        <v>0</v>
      </c>
      <c r="Z616" s="5">
        <f>'Agents'' Final Roster 0823-0829'!Z540</f>
        <v>0</v>
      </c>
    </row>
    <row r="617" spans="1:26" x14ac:dyDescent="0.25">
      <c r="A617" s="5">
        <f>'Agents'' Final Roster 0823-0829'!A541</f>
        <v>0</v>
      </c>
      <c r="B617" s="5">
        <f>'Agents'' Final Roster 0823-0829'!B541</f>
        <v>0</v>
      </c>
      <c r="C617" s="5">
        <f>'Agents'' Final Roster 0823-0829'!C541</f>
        <v>0</v>
      </c>
      <c r="D617" s="5">
        <f>'Agents'' Final Roster 0823-0829'!D541</f>
        <v>0</v>
      </c>
      <c r="Z617" s="5">
        <f>'Agents'' Final Roster 0823-0829'!Z541</f>
        <v>0</v>
      </c>
    </row>
    <row r="618" spans="1:26" x14ac:dyDescent="0.25">
      <c r="A618" s="5">
        <f>'Agents'' Final Roster 0823-0829'!A542</f>
        <v>0</v>
      </c>
      <c r="B618" s="5">
        <f>'Agents'' Final Roster 0823-0829'!B542</f>
        <v>0</v>
      </c>
      <c r="C618" s="5">
        <f>'Agents'' Final Roster 0823-0829'!C542</f>
        <v>0</v>
      </c>
      <c r="D618" s="5">
        <f>'Agents'' Final Roster 0823-0829'!D542</f>
        <v>0</v>
      </c>
      <c r="Z618" s="5">
        <f>'Agents'' Final Roster 0823-0829'!Z542</f>
        <v>0</v>
      </c>
    </row>
    <row r="619" spans="1:26" x14ac:dyDescent="0.25">
      <c r="A619" s="5">
        <f>'Agents'' Final Roster 0823-0829'!A543</f>
        <v>0</v>
      </c>
      <c r="B619" s="5">
        <f>'Agents'' Final Roster 0823-0829'!B543</f>
        <v>0</v>
      </c>
      <c r="C619" s="5">
        <f>'Agents'' Final Roster 0823-0829'!C543</f>
        <v>0</v>
      </c>
      <c r="D619" s="5">
        <f>'Agents'' Final Roster 0823-0829'!D543</f>
        <v>0</v>
      </c>
      <c r="Z619" s="5">
        <f>'Agents'' Final Roster 0823-0829'!Z543</f>
        <v>0</v>
      </c>
    </row>
    <row r="620" spans="1:26" x14ac:dyDescent="0.25">
      <c r="A620" s="5">
        <f>'Agents'' Final Roster 0823-0829'!A544</f>
        <v>0</v>
      </c>
      <c r="B620" s="5">
        <f>'Agents'' Final Roster 0823-0829'!B544</f>
        <v>0</v>
      </c>
      <c r="C620" s="5">
        <f>'Agents'' Final Roster 0823-0829'!C544</f>
        <v>0</v>
      </c>
      <c r="D620" s="5">
        <f>'Agents'' Final Roster 0823-0829'!D544</f>
        <v>0</v>
      </c>
      <c r="Z620" s="5">
        <f>'Agents'' Final Roster 0823-0829'!Z544</f>
        <v>0</v>
      </c>
    </row>
    <row r="621" spans="1:26" x14ac:dyDescent="0.25">
      <c r="A621" s="5">
        <f>'Agents'' Final Roster 0823-0829'!A545</f>
        <v>0</v>
      </c>
      <c r="B621" s="5">
        <f>'Agents'' Final Roster 0823-0829'!B545</f>
        <v>0</v>
      </c>
      <c r="C621" s="5">
        <f>'Agents'' Final Roster 0823-0829'!C545</f>
        <v>0</v>
      </c>
      <c r="D621" s="5">
        <f>'Agents'' Final Roster 0823-0829'!D545</f>
        <v>0</v>
      </c>
      <c r="Z621" s="5">
        <f>'Agents'' Final Roster 0823-0829'!Z545</f>
        <v>0</v>
      </c>
    </row>
    <row r="622" spans="1:26" x14ac:dyDescent="0.25">
      <c r="A622" s="5">
        <f>'Agents'' Final Roster 0823-0829'!A546</f>
        <v>0</v>
      </c>
      <c r="B622" s="5">
        <f>'Agents'' Final Roster 0823-0829'!B546</f>
        <v>0</v>
      </c>
      <c r="C622" s="5">
        <f>'Agents'' Final Roster 0823-0829'!C546</f>
        <v>0</v>
      </c>
      <c r="D622" s="5">
        <f>'Agents'' Final Roster 0823-0829'!D546</f>
        <v>0</v>
      </c>
      <c r="Z622" s="5">
        <f>'Agents'' Final Roster 0823-0829'!Z546</f>
        <v>0</v>
      </c>
    </row>
    <row r="623" spans="1:26" x14ac:dyDescent="0.25">
      <c r="A623" s="5">
        <f>'Agents'' Final Roster 0823-0829'!A547</f>
        <v>0</v>
      </c>
      <c r="B623" s="5">
        <f>'Agents'' Final Roster 0823-0829'!B547</f>
        <v>0</v>
      </c>
      <c r="C623" s="5">
        <f>'Agents'' Final Roster 0823-0829'!C547</f>
        <v>0</v>
      </c>
      <c r="D623" s="5">
        <f>'Agents'' Final Roster 0823-0829'!D547</f>
        <v>0</v>
      </c>
      <c r="Z623" s="5">
        <f>'Agents'' Final Roster 0823-0829'!Z547</f>
        <v>0</v>
      </c>
    </row>
    <row r="624" spans="1:26" x14ac:dyDescent="0.25">
      <c r="A624" s="5">
        <f>'Agents'' Final Roster 0823-0829'!A548</f>
        <v>0</v>
      </c>
      <c r="B624" s="5">
        <f>'Agents'' Final Roster 0823-0829'!B548</f>
        <v>0</v>
      </c>
      <c r="C624" s="5">
        <f>'Agents'' Final Roster 0823-0829'!C548</f>
        <v>0</v>
      </c>
      <c r="D624" s="5">
        <f>'Agents'' Final Roster 0823-0829'!D548</f>
        <v>0</v>
      </c>
      <c r="Z624" s="5">
        <f>'Agents'' Final Roster 0823-0829'!Z548</f>
        <v>0</v>
      </c>
    </row>
    <row r="625" spans="1:26" x14ac:dyDescent="0.25">
      <c r="A625" s="5">
        <f>'Agents'' Final Roster 0823-0829'!A549</f>
        <v>0</v>
      </c>
      <c r="B625" s="5">
        <f>'Agents'' Final Roster 0823-0829'!B549</f>
        <v>0</v>
      </c>
      <c r="C625" s="5">
        <f>'Agents'' Final Roster 0823-0829'!C549</f>
        <v>0</v>
      </c>
      <c r="D625" s="5">
        <f>'Agents'' Final Roster 0823-0829'!D549</f>
        <v>0</v>
      </c>
      <c r="Z625" s="5">
        <f>'Agents'' Final Roster 0823-0829'!Z549</f>
        <v>0</v>
      </c>
    </row>
    <row r="626" spans="1:26" x14ac:dyDescent="0.25">
      <c r="A626" s="5">
        <f>'Agents'' Final Roster 0823-0829'!A550</f>
        <v>0</v>
      </c>
      <c r="B626" s="5">
        <f>'Agents'' Final Roster 0823-0829'!B550</f>
        <v>0</v>
      </c>
      <c r="C626" s="5">
        <f>'Agents'' Final Roster 0823-0829'!C550</f>
        <v>0</v>
      </c>
      <c r="D626" s="5">
        <f>'Agents'' Final Roster 0823-0829'!D550</f>
        <v>0</v>
      </c>
      <c r="Z626" s="5">
        <f>'Agents'' Final Roster 0823-0829'!Z550</f>
        <v>0</v>
      </c>
    </row>
    <row r="627" spans="1:26" x14ac:dyDescent="0.25">
      <c r="A627" s="5">
        <f>'Agents'' Final Roster 0823-0829'!A551</f>
        <v>0</v>
      </c>
      <c r="B627" s="5">
        <f>'Agents'' Final Roster 0823-0829'!B551</f>
        <v>0</v>
      </c>
      <c r="C627" s="5">
        <f>'Agents'' Final Roster 0823-0829'!C551</f>
        <v>0</v>
      </c>
      <c r="D627" s="5">
        <f>'Agents'' Final Roster 0823-0829'!D551</f>
        <v>0</v>
      </c>
      <c r="Z627" s="5">
        <f>'Agents'' Final Roster 0823-0829'!Z551</f>
        <v>0</v>
      </c>
    </row>
    <row r="628" spans="1:26" x14ac:dyDescent="0.25">
      <c r="A628" s="5">
        <f>'Agents'' Final Roster 0823-0829'!A552</f>
        <v>0</v>
      </c>
      <c r="B628" s="5">
        <f>'Agents'' Final Roster 0823-0829'!B552</f>
        <v>0</v>
      </c>
      <c r="C628" s="5">
        <f>'Agents'' Final Roster 0823-0829'!C552</f>
        <v>0</v>
      </c>
      <c r="D628" s="5">
        <f>'Agents'' Final Roster 0823-0829'!D552</f>
        <v>0</v>
      </c>
      <c r="Z628" s="5">
        <f>'Agents'' Final Roster 0823-0829'!Z552</f>
        <v>0</v>
      </c>
    </row>
    <row r="629" spans="1:26" x14ac:dyDescent="0.25">
      <c r="A629" s="5">
        <f>'Agents'' Final Roster 0823-0829'!A553</f>
        <v>0</v>
      </c>
      <c r="B629" s="5">
        <f>'Agents'' Final Roster 0823-0829'!B553</f>
        <v>0</v>
      </c>
      <c r="C629" s="5">
        <f>'Agents'' Final Roster 0823-0829'!C553</f>
        <v>0</v>
      </c>
      <c r="D629" s="5">
        <f>'Agents'' Final Roster 0823-0829'!D553</f>
        <v>0</v>
      </c>
      <c r="Z629" s="5">
        <f>'Agents'' Final Roster 0823-0829'!Z553</f>
        <v>0</v>
      </c>
    </row>
    <row r="630" spans="1:26" x14ac:dyDescent="0.25">
      <c r="A630" s="5">
        <f>'Agents'' Final Roster 0823-0829'!A554</f>
        <v>0</v>
      </c>
      <c r="B630" s="5">
        <f>'Agents'' Final Roster 0823-0829'!B554</f>
        <v>0</v>
      </c>
      <c r="C630" s="5">
        <f>'Agents'' Final Roster 0823-0829'!C554</f>
        <v>0</v>
      </c>
      <c r="D630" s="5">
        <f>'Agents'' Final Roster 0823-0829'!D554</f>
        <v>0</v>
      </c>
      <c r="Z630" s="5">
        <f>'Agents'' Final Roster 0823-0829'!Z554</f>
        <v>0</v>
      </c>
    </row>
    <row r="631" spans="1:26" x14ac:dyDescent="0.25">
      <c r="A631" s="5">
        <f>'Agents'' Final Roster 0823-0829'!A555</f>
        <v>0</v>
      </c>
      <c r="B631" s="5">
        <f>'Agents'' Final Roster 0823-0829'!B555</f>
        <v>0</v>
      </c>
      <c r="C631" s="5">
        <f>'Agents'' Final Roster 0823-0829'!C555</f>
        <v>0</v>
      </c>
      <c r="D631" s="5">
        <f>'Agents'' Final Roster 0823-0829'!D555</f>
        <v>0</v>
      </c>
      <c r="Z631" s="5">
        <f>'Agents'' Final Roster 0823-0829'!Z555</f>
        <v>0</v>
      </c>
    </row>
    <row r="632" spans="1:26" x14ac:dyDescent="0.25">
      <c r="A632" s="5">
        <f>'Agents'' Final Roster 0823-0829'!A556</f>
        <v>0</v>
      </c>
      <c r="B632" s="5">
        <f>'Agents'' Final Roster 0823-0829'!B556</f>
        <v>0</v>
      </c>
      <c r="C632" s="5">
        <f>'Agents'' Final Roster 0823-0829'!C556</f>
        <v>0</v>
      </c>
      <c r="D632" s="5">
        <f>'Agents'' Final Roster 0823-0829'!D556</f>
        <v>0</v>
      </c>
      <c r="Z632" s="5">
        <f>'Agents'' Final Roster 0823-0829'!Z556</f>
        <v>0</v>
      </c>
    </row>
    <row r="633" spans="1:26" x14ac:dyDescent="0.25">
      <c r="A633" s="5">
        <f>'Agents'' Final Roster 0823-0829'!A557</f>
        <v>0</v>
      </c>
      <c r="B633" s="5">
        <f>'Agents'' Final Roster 0823-0829'!B557</f>
        <v>0</v>
      </c>
      <c r="C633" s="5">
        <f>'Agents'' Final Roster 0823-0829'!C557</f>
        <v>0</v>
      </c>
      <c r="D633" s="5">
        <f>'Agents'' Final Roster 0823-0829'!D557</f>
        <v>0</v>
      </c>
      <c r="Z633" s="5">
        <f>'Agents'' Final Roster 0823-0829'!Z557</f>
        <v>0</v>
      </c>
    </row>
    <row r="634" spans="1:26" x14ac:dyDescent="0.25">
      <c r="A634" s="5">
        <f>'Agents'' Final Roster 0823-0829'!A558</f>
        <v>0</v>
      </c>
      <c r="B634" s="5">
        <f>'Agents'' Final Roster 0823-0829'!B558</f>
        <v>0</v>
      </c>
      <c r="C634" s="5">
        <f>'Agents'' Final Roster 0823-0829'!C558</f>
        <v>0</v>
      </c>
      <c r="D634" s="5">
        <f>'Agents'' Final Roster 0823-0829'!D558</f>
        <v>0</v>
      </c>
      <c r="Z634" s="5">
        <f>'Agents'' Final Roster 0823-0829'!Z558</f>
        <v>0</v>
      </c>
    </row>
    <row r="635" spans="1:26" x14ac:dyDescent="0.25">
      <c r="A635" s="5">
        <f>'Agents'' Final Roster 0823-0829'!A559</f>
        <v>0</v>
      </c>
      <c r="B635" s="5">
        <f>'Agents'' Final Roster 0823-0829'!B559</f>
        <v>0</v>
      </c>
      <c r="C635" s="5">
        <f>'Agents'' Final Roster 0823-0829'!C559</f>
        <v>0</v>
      </c>
      <c r="D635" s="5">
        <f>'Agents'' Final Roster 0823-0829'!D559</f>
        <v>0</v>
      </c>
      <c r="Z635" s="5">
        <f>'Agents'' Final Roster 0823-0829'!Z559</f>
        <v>0</v>
      </c>
    </row>
    <row r="636" spans="1:26" x14ac:dyDescent="0.25">
      <c r="A636" s="5">
        <f>'Agents'' Final Roster 0823-0829'!A560</f>
        <v>0</v>
      </c>
      <c r="B636" s="5">
        <f>'Agents'' Final Roster 0823-0829'!B560</f>
        <v>0</v>
      </c>
      <c r="C636" s="5">
        <f>'Agents'' Final Roster 0823-0829'!C560</f>
        <v>0</v>
      </c>
      <c r="D636" s="5">
        <f>'Agents'' Final Roster 0823-0829'!D560</f>
        <v>0</v>
      </c>
      <c r="Z636" s="5">
        <f>'Agents'' Final Roster 0823-0829'!Z560</f>
        <v>0</v>
      </c>
    </row>
    <row r="637" spans="1:26" x14ac:dyDescent="0.25">
      <c r="A637" s="5">
        <f>'Agents'' Final Roster 0823-0829'!A561</f>
        <v>0</v>
      </c>
      <c r="B637" s="5">
        <f>'Agents'' Final Roster 0823-0829'!B561</f>
        <v>0</v>
      </c>
      <c r="C637" s="5">
        <f>'Agents'' Final Roster 0823-0829'!C561</f>
        <v>0</v>
      </c>
      <c r="D637" s="5">
        <f>'Agents'' Final Roster 0823-0829'!D561</f>
        <v>0</v>
      </c>
      <c r="Z637" s="5">
        <f>'Agents'' Final Roster 0823-0829'!Z561</f>
        <v>0</v>
      </c>
    </row>
    <row r="638" spans="1:26" x14ac:dyDescent="0.25">
      <c r="A638" s="5">
        <f>'Agents'' Final Roster 0823-0829'!A562</f>
        <v>0</v>
      </c>
      <c r="B638" s="5">
        <f>'Agents'' Final Roster 0823-0829'!B562</f>
        <v>0</v>
      </c>
      <c r="C638" s="5">
        <f>'Agents'' Final Roster 0823-0829'!C562</f>
        <v>0</v>
      </c>
      <c r="D638" s="5">
        <f>'Agents'' Final Roster 0823-0829'!D562</f>
        <v>0</v>
      </c>
      <c r="Z638" s="5">
        <f>'Agents'' Final Roster 0823-0829'!Z562</f>
        <v>0</v>
      </c>
    </row>
    <row r="639" spans="1:26" x14ac:dyDescent="0.25">
      <c r="A639" s="5">
        <f>'Agents'' Final Roster 0823-0829'!A563</f>
        <v>0</v>
      </c>
      <c r="B639" s="5">
        <f>'Agents'' Final Roster 0823-0829'!B563</f>
        <v>0</v>
      </c>
      <c r="C639" s="5">
        <f>'Agents'' Final Roster 0823-0829'!C563</f>
        <v>0</v>
      </c>
      <c r="D639" s="5">
        <f>'Agents'' Final Roster 0823-0829'!D563</f>
        <v>0</v>
      </c>
      <c r="Z639" s="5">
        <f>'Agents'' Final Roster 0823-0829'!Z563</f>
        <v>0</v>
      </c>
    </row>
    <row r="640" spans="1:26" x14ac:dyDescent="0.25">
      <c r="A640" s="5">
        <f>'Agents'' Final Roster 0823-0829'!A564</f>
        <v>0</v>
      </c>
      <c r="B640" s="5">
        <f>'Agents'' Final Roster 0823-0829'!B564</f>
        <v>0</v>
      </c>
      <c r="C640" s="5">
        <f>'Agents'' Final Roster 0823-0829'!C564</f>
        <v>0</v>
      </c>
      <c r="D640" s="5">
        <f>'Agents'' Final Roster 0823-0829'!D564</f>
        <v>0</v>
      </c>
      <c r="Z640" s="5">
        <f>'Agents'' Final Roster 0823-0829'!Z564</f>
        <v>0</v>
      </c>
    </row>
    <row r="641" spans="1:26" x14ac:dyDescent="0.25">
      <c r="A641" s="5">
        <f>'Agents'' Final Roster 0823-0829'!A565</f>
        <v>0</v>
      </c>
      <c r="B641" s="5">
        <f>'Agents'' Final Roster 0823-0829'!B565</f>
        <v>0</v>
      </c>
      <c r="C641" s="5">
        <f>'Agents'' Final Roster 0823-0829'!C565</f>
        <v>0</v>
      </c>
      <c r="D641" s="5">
        <f>'Agents'' Final Roster 0823-0829'!D565</f>
        <v>0</v>
      </c>
      <c r="Z641" s="5">
        <f>'Agents'' Final Roster 0823-0829'!Z565</f>
        <v>0</v>
      </c>
    </row>
    <row r="642" spans="1:26" x14ac:dyDescent="0.25">
      <c r="A642" s="5">
        <f>'Agents'' Final Roster 0823-0829'!A566</f>
        <v>0</v>
      </c>
      <c r="B642" s="5">
        <f>'Agents'' Final Roster 0823-0829'!B566</f>
        <v>0</v>
      </c>
      <c r="C642" s="5">
        <f>'Agents'' Final Roster 0823-0829'!C566</f>
        <v>0</v>
      </c>
      <c r="D642" s="5">
        <f>'Agents'' Final Roster 0823-0829'!D566</f>
        <v>0</v>
      </c>
      <c r="Z642" s="5">
        <f>'Agents'' Final Roster 0823-0829'!Z566</f>
        <v>0</v>
      </c>
    </row>
    <row r="643" spans="1:26" x14ac:dyDescent="0.25">
      <c r="A643" s="5">
        <f>'Agents'' Final Roster 0823-0829'!A567</f>
        <v>0</v>
      </c>
      <c r="B643" s="5">
        <f>'Agents'' Final Roster 0823-0829'!B567</f>
        <v>0</v>
      </c>
      <c r="C643" s="5">
        <f>'Agents'' Final Roster 0823-0829'!C567</f>
        <v>0</v>
      </c>
      <c r="D643" s="5">
        <f>'Agents'' Final Roster 0823-0829'!D567</f>
        <v>0</v>
      </c>
      <c r="Z643" s="5">
        <f>'Agents'' Final Roster 0823-0829'!Z567</f>
        <v>0</v>
      </c>
    </row>
    <row r="644" spans="1:26" x14ac:dyDescent="0.25">
      <c r="A644" s="5">
        <f>'Agents'' Final Roster 0823-0829'!A568</f>
        <v>0</v>
      </c>
      <c r="B644" s="5">
        <f>'Agents'' Final Roster 0823-0829'!B568</f>
        <v>0</v>
      </c>
      <c r="C644" s="5">
        <f>'Agents'' Final Roster 0823-0829'!C568</f>
        <v>0</v>
      </c>
      <c r="D644" s="5">
        <f>'Agents'' Final Roster 0823-0829'!D568</f>
        <v>0</v>
      </c>
      <c r="Z644" s="5">
        <f>'Agents'' Final Roster 0823-0829'!Z568</f>
        <v>0</v>
      </c>
    </row>
    <row r="645" spans="1:26" x14ac:dyDescent="0.25">
      <c r="A645" s="5">
        <f>'Agents'' Final Roster 0823-0829'!A569</f>
        <v>0</v>
      </c>
      <c r="B645" s="5">
        <f>'Agents'' Final Roster 0823-0829'!B569</f>
        <v>0</v>
      </c>
      <c r="C645" s="5">
        <f>'Agents'' Final Roster 0823-0829'!C569</f>
        <v>0</v>
      </c>
      <c r="D645" s="5">
        <f>'Agents'' Final Roster 0823-0829'!D569</f>
        <v>0</v>
      </c>
      <c r="Z645" s="5">
        <f>'Agents'' Final Roster 0823-0829'!Z569</f>
        <v>0</v>
      </c>
    </row>
    <row r="646" spans="1:26" x14ac:dyDescent="0.25">
      <c r="A646" s="5">
        <f>'Agents'' Final Roster 0823-0829'!A570</f>
        <v>0</v>
      </c>
      <c r="B646" s="5">
        <f>'Agents'' Final Roster 0823-0829'!B570</f>
        <v>0</v>
      </c>
      <c r="C646" s="5">
        <f>'Agents'' Final Roster 0823-0829'!C570</f>
        <v>0</v>
      </c>
      <c r="D646" s="5">
        <f>'Agents'' Final Roster 0823-0829'!D570</f>
        <v>0</v>
      </c>
      <c r="Z646" s="5">
        <f>'Agents'' Final Roster 0823-0829'!Z570</f>
        <v>0</v>
      </c>
    </row>
    <row r="647" spans="1:26" x14ac:dyDescent="0.25">
      <c r="A647" s="5">
        <f>'Agents'' Final Roster 0823-0829'!A571</f>
        <v>0</v>
      </c>
      <c r="B647" s="5">
        <f>'Agents'' Final Roster 0823-0829'!B571</f>
        <v>0</v>
      </c>
      <c r="C647" s="5">
        <f>'Agents'' Final Roster 0823-0829'!C571</f>
        <v>0</v>
      </c>
      <c r="D647" s="5">
        <f>'Agents'' Final Roster 0823-0829'!D571</f>
        <v>0</v>
      </c>
      <c r="Z647" s="5">
        <f>'Agents'' Final Roster 0823-0829'!Z571</f>
        <v>0</v>
      </c>
    </row>
    <row r="648" spans="1:26" x14ac:dyDescent="0.25">
      <c r="A648" s="5">
        <f>'Agents'' Final Roster 0823-0829'!A572</f>
        <v>0</v>
      </c>
      <c r="B648" s="5">
        <f>'Agents'' Final Roster 0823-0829'!B572</f>
        <v>0</v>
      </c>
      <c r="C648" s="5">
        <f>'Agents'' Final Roster 0823-0829'!C572</f>
        <v>0</v>
      </c>
      <c r="D648" s="5">
        <f>'Agents'' Final Roster 0823-0829'!D572</f>
        <v>0</v>
      </c>
      <c r="Z648" s="5">
        <f>'Agents'' Final Roster 0823-0829'!Z572</f>
        <v>0</v>
      </c>
    </row>
    <row r="649" spans="1:26" x14ac:dyDescent="0.25">
      <c r="A649" s="5">
        <f>'Agents'' Final Roster 0823-0829'!A573</f>
        <v>0</v>
      </c>
      <c r="B649" s="5">
        <f>'Agents'' Final Roster 0823-0829'!B573</f>
        <v>0</v>
      </c>
      <c r="C649" s="5">
        <f>'Agents'' Final Roster 0823-0829'!C573</f>
        <v>0</v>
      </c>
      <c r="D649" s="5">
        <f>'Agents'' Final Roster 0823-0829'!D573</f>
        <v>0</v>
      </c>
      <c r="Z649" s="5">
        <f>'Agents'' Final Roster 0823-0829'!Z573</f>
        <v>0</v>
      </c>
    </row>
    <row r="650" spans="1:26" x14ac:dyDescent="0.25">
      <c r="A650" s="5">
        <f>'Agents'' Final Roster 0823-0829'!A574</f>
        <v>0</v>
      </c>
      <c r="B650" s="5">
        <f>'Agents'' Final Roster 0823-0829'!B574</f>
        <v>0</v>
      </c>
      <c r="C650" s="5">
        <f>'Agents'' Final Roster 0823-0829'!C574</f>
        <v>0</v>
      </c>
      <c r="D650" s="5">
        <f>'Agents'' Final Roster 0823-0829'!D574</f>
        <v>0</v>
      </c>
      <c r="Z650" s="5">
        <f>'Agents'' Final Roster 0823-0829'!Z574</f>
        <v>0</v>
      </c>
    </row>
    <row r="651" spans="1:26" x14ac:dyDescent="0.25">
      <c r="A651" s="5">
        <f>'Agents'' Final Roster 0823-0829'!A575</f>
        <v>0</v>
      </c>
      <c r="B651" s="5">
        <f>'Agents'' Final Roster 0823-0829'!B575</f>
        <v>0</v>
      </c>
      <c r="C651" s="5">
        <f>'Agents'' Final Roster 0823-0829'!C575</f>
        <v>0</v>
      </c>
      <c r="D651" s="5">
        <f>'Agents'' Final Roster 0823-0829'!D575</f>
        <v>0</v>
      </c>
      <c r="Z651" s="5">
        <f>'Agents'' Final Roster 0823-0829'!Z575</f>
        <v>0</v>
      </c>
    </row>
    <row r="652" spans="1:26" x14ac:dyDescent="0.25">
      <c r="A652" s="5">
        <f>'Agents'' Final Roster 0823-0829'!A576</f>
        <v>0</v>
      </c>
      <c r="B652" s="5">
        <f>'Agents'' Final Roster 0823-0829'!B576</f>
        <v>0</v>
      </c>
      <c r="C652" s="5">
        <f>'Agents'' Final Roster 0823-0829'!C576</f>
        <v>0</v>
      </c>
      <c r="D652" s="5">
        <f>'Agents'' Final Roster 0823-0829'!D576</f>
        <v>0</v>
      </c>
      <c r="Z652" s="5">
        <f>'Agents'' Final Roster 0823-0829'!Z576</f>
        <v>0</v>
      </c>
    </row>
    <row r="653" spans="1:26" x14ac:dyDescent="0.25">
      <c r="A653" s="5">
        <f>'Agents'' Final Roster 0823-0829'!A577</f>
        <v>0</v>
      </c>
      <c r="B653" s="5">
        <f>'Agents'' Final Roster 0823-0829'!B577</f>
        <v>0</v>
      </c>
      <c r="C653" s="5">
        <f>'Agents'' Final Roster 0823-0829'!C577</f>
        <v>0</v>
      </c>
      <c r="D653" s="5">
        <f>'Agents'' Final Roster 0823-0829'!D577</f>
        <v>0</v>
      </c>
      <c r="Z653" s="5">
        <f>'Agents'' Final Roster 0823-0829'!Z577</f>
        <v>0</v>
      </c>
    </row>
    <row r="654" spans="1:26" x14ac:dyDescent="0.25">
      <c r="A654" s="5">
        <f>'Agents'' Final Roster 0823-0829'!A578</f>
        <v>0</v>
      </c>
      <c r="B654" s="5">
        <f>'Agents'' Final Roster 0823-0829'!B578</f>
        <v>0</v>
      </c>
      <c r="C654" s="5">
        <f>'Agents'' Final Roster 0823-0829'!C578</f>
        <v>0</v>
      </c>
      <c r="D654" s="5">
        <f>'Agents'' Final Roster 0823-0829'!D578</f>
        <v>0</v>
      </c>
      <c r="Z654" s="5">
        <f>'Agents'' Final Roster 0823-0829'!Z578</f>
        <v>0</v>
      </c>
    </row>
    <row r="655" spans="1:26" x14ac:dyDescent="0.25">
      <c r="A655" s="5">
        <f>'Agents'' Final Roster 0823-0829'!A579</f>
        <v>0</v>
      </c>
      <c r="B655" s="5">
        <f>'Agents'' Final Roster 0823-0829'!B579</f>
        <v>0</v>
      </c>
      <c r="C655" s="5">
        <f>'Agents'' Final Roster 0823-0829'!C579</f>
        <v>0</v>
      </c>
      <c r="D655" s="5">
        <f>'Agents'' Final Roster 0823-0829'!D579</f>
        <v>0</v>
      </c>
      <c r="Z655" s="5">
        <f>'Agents'' Final Roster 0823-0829'!Z579</f>
        <v>0</v>
      </c>
    </row>
    <row r="656" spans="1:26" x14ac:dyDescent="0.25">
      <c r="A656" s="5">
        <f>'Agents'' Final Roster 0823-0829'!A580</f>
        <v>0</v>
      </c>
      <c r="B656" s="5">
        <f>'Agents'' Final Roster 0823-0829'!B580</f>
        <v>0</v>
      </c>
      <c r="C656" s="5">
        <f>'Agents'' Final Roster 0823-0829'!C580</f>
        <v>0</v>
      </c>
      <c r="D656" s="5">
        <f>'Agents'' Final Roster 0823-0829'!D580</f>
        <v>0</v>
      </c>
      <c r="Z656" s="5">
        <f>'Agents'' Final Roster 0823-0829'!Z580</f>
        <v>0</v>
      </c>
    </row>
    <row r="657" spans="1:26" x14ac:dyDescent="0.25">
      <c r="A657" s="5">
        <f>'Agents'' Final Roster 0823-0829'!A581</f>
        <v>0</v>
      </c>
      <c r="B657" s="5">
        <f>'Agents'' Final Roster 0823-0829'!B581</f>
        <v>0</v>
      </c>
      <c r="C657" s="5">
        <f>'Agents'' Final Roster 0823-0829'!C581</f>
        <v>0</v>
      </c>
      <c r="D657" s="5">
        <f>'Agents'' Final Roster 0823-0829'!D581</f>
        <v>0</v>
      </c>
      <c r="Z657" s="5">
        <f>'Agents'' Final Roster 0823-0829'!Z581</f>
        <v>0</v>
      </c>
    </row>
    <row r="658" spans="1:26" x14ac:dyDescent="0.25">
      <c r="A658" s="5">
        <f>'Agents'' Final Roster 0823-0829'!A582</f>
        <v>0</v>
      </c>
      <c r="B658" s="5">
        <f>'Agents'' Final Roster 0823-0829'!B582</f>
        <v>0</v>
      </c>
      <c r="C658" s="5">
        <f>'Agents'' Final Roster 0823-0829'!C582</f>
        <v>0</v>
      </c>
      <c r="D658" s="5">
        <f>'Agents'' Final Roster 0823-0829'!D582</f>
        <v>0</v>
      </c>
      <c r="Z658" s="5">
        <f>'Agents'' Final Roster 0823-0829'!Z582</f>
        <v>0</v>
      </c>
    </row>
    <row r="659" spans="1:26" x14ac:dyDescent="0.25">
      <c r="A659" s="5">
        <f>'Agents'' Final Roster 0823-0829'!A583</f>
        <v>0</v>
      </c>
      <c r="B659" s="5">
        <f>'Agents'' Final Roster 0823-0829'!B583</f>
        <v>0</v>
      </c>
      <c r="C659" s="5">
        <f>'Agents'' Final Roster 0823-0829'!C583</f>
        <v>0</v>
      </c>
      <c r="D659" s="5">
        <f>'Agents'' Final Roster 0823-0829'!D583</f>
        <v>0</v>
      </c>
      <c r="Z659" s="5">
        <f>'Agents'' Final Roster 0823-0829'!Z583</f>
        <v>0</v>
      </c>
    </row>
    <row r="660" spans="1:26" x14ac:dyDescent="0.25">
      <c r="A660" s="5">
        <f>'Agents'' Final Roster 0823-0829'!A584</f>
        <v>0</v>
      </c>
      <c r="B660" s="5">
        <f>'Agents'' Final Roster 0823-0829'!B584</f>
        <v>0</v>
      </c>
      <c r="C660" s="5">
        <f>'Agents'' Final Roster 0823-0829'!C584</f>
        <v>0</v>
      </c>
      <c r="D660" s="5">
        <f>'Agents'' Final Roster 0823-0829'!D584</f>
        <v>0</v>
      </c>
      <c r="Z660" s="5">
        <f>'Agents'' Final Roster 0823-0829'!Z584</f>
        <v>0</v>
      </c>
    </row>
    <row r="661" spans="1:26" x14ac:dyDescent="0.25">
      <c r="A661" s="5">
        <f>'Agents'' Final Roster 0823-0829'!A585</f>
        <v>0</v>
      </c>
      <c r="B661" s="5">
        <f>'Agents'' Final Roster 0823-0829'!B585</f>
        <v>0</v>
      </c>
      <c r="C661" s="5">
        <f>'Agents'' Final Roster 0823-0829'!C585</f>
        <v>0</v>
      </c>
      <c r="D661" s="5">
        <f>'Agents'' Final Roster 0823-0829'!D585</f>
        <v>0</v>
      </c>
      <c r="Z661" s="5">
        <f>'Agents'' Final Roster 0823-0829'!Z585</f>
        <v>0</v>
      </c>
    </row>
    <row r="662" spans="1:26" x14ac:dyDescent="0.25">
      <c r="A662" s="5">
        <f>'Agents'' Final Roster 0823-0829'!A586</f>
        <v>0</v>
      </c>
      <c r="B662" s="5">
        <f>'Agents'' Final Roster 0823-0829'!B586</f>
        <v>0</v>
      </c>
      <c r="C662" s="5">
        <f>'Agents'' Final Roster 0823-0829'!C586</f>
        <v>0</v>
      </c>
      <c r="D662" s="5">
        <f>'Agents'' Final Roster 0823-0829'!D586</f>
        <v>0</v>
      </c>
      <c r="Z662" s="5">
        <f>'Agents'' Final Roster 0823-0829'!Z586</f>
        <v>0</v>
      </c>
    </row>
    <row r="663" spans="1:26" x14ac:dyDescent="0.25">
      <c r="A663" s="5">
        <f>'Agents'' Final Roster 0823-0829'!A587</f>
        <v>0</v>
      </c>
      <c r="B663" s="5">
        <f>'Agents'' Final Roster 0823-0829'!B587</f>
        <v>0</v>
      </c>
      <c r="C663" s="5">
        <f>'Agents'' Final Roster 0823-0829'!C587</f>
        <v>0</v>
      </c>
      <c r="D663" s="5">
        <f>'Agents'' Final Roster 0823-0829'!D587</f>
        <v>0</v>
      </c>
      <c r="Z663" s="5">
        <f>'Agents'' Final Roster 0823-0829'!Z587</f>
        <v>0</v>
      </c>
    </row>
    <row r="664" spans="1:26" x14ac:dyDescent="0.25">
      <c r="A664" s="5">
        <f>'Agents'' Final Roster 0823-0829'!A588</f>
        <v>0</v>
      </c>
      <c r="B664" s="5">
        <f>'Agents'' Final Roster 0823-0829'!B588</f>
        <v>0</v>
      </c>
      <c r="C664" s="5">
        <f>'Agents'' Final Roster 0823-0829'!C588</f>
        <v>0</v>
      </c>
      <c r="D664" s="5">
        <f>'Agents'' Final Roster 0823-0829'!D588</f>
        <v>0</v>
      </c>
      <c r="Z664" s="5">
        <f>'Agents'' Final Roster 0823-0829'!Z588</f>
        <v>0</v>
      </c>
    </row>
    <row r="665" spans="1:26" x14ac:dyDescent="0.25">
      <c r="A665" s="5">
        <f>'Agents'' Final Roster 0823-0829'!A589</f>
        <v>0</v>
      </c>
      <c r="B665" s="5">
        <f>'Agents'' Final Roster 0823-0829'!B589</f>
        <v>0</v>
      </c>
      <c r="C665" s="5">
        <f>'Agents'' Final Roster 0823-0829'!C589</f>
        <v>0</v>
      </c>
      <c r="D665" s="5">
        <f>'Agents'' Final Roster 0823-0829'!D589</f>
        <v>0</v>
      </c>
      <c r="Z665" s="5">
        <f>'Agents'' Final Roster 0823-0829'!Z589</f>
        <v>0</v>
      </c>
    </row>
    <row r="666" spans="1:26" x14ac:dyDescent="0.25">
      <c r="A666" s="5">
        <f>'Agents'' Final Roster 0823-0829'!A590</f>
        <v>0</v>
      </c>
      <c r="B666" s="5">
        <f>'Agents'' Final Roster 0823-0829'!B590</f>
        <v>0</v>
      </c>
      <c r="C666" s="5">
        <f>'Agents'' Final Roster 0823-0829'!C590</f>
        <v>0</v>
      </c>
      <c r="D666" s="5">
        <f>'Agents'' Final Roster 0823-0829'!D590</f>
        <v>0</v>
      </c>
      <c r="Z666" s="5">
        <f>'Agents'' Final Roster 0823-0829'!Z590</f>
        <v>0</v>
      </c>
    </row>
    <row r="667" spans="1:26" x14ac:dyDescent="0.25">
      <c r="A667" s="5">
        <f>'Agents'' Final Roster 0823-0829'!A591</f>
        <v>0</v>
      </c>
      <c r="B667" s="5">
        <f>'Agents'' Final Roster 0823-0829'!B591</f>
        <v>0</v>
      </c>
      <c r="C667" s="5">
        <f>'Agents'' Final Roster 0823-0829'!C591</f>
        <v>0</v>
      </c>
      <c r="D667" s="5">
        <f>'Agents'' Final Roster 0823-0829'!D591</f>
        <v>0</v>
      </c>
      <c r="Z667" s="5">
        <f>'Agents'' Final Roster 0823-0829'!Z591</f>
        <v>0</v>
      </c>
    </row>
    <row r="668" spans="1:26" x14ac:dyDescent="0.25">
      <c r="A668" s="5">
        <f>'Agents'' Final Roster 0823-0829'!A592</f>
        <v>0</v>
      </c>
      <c r="B668" s="5">
        <f>'Agents'' Final Roster 0823-0829'!B592</f>
        <v>0</v>
      </c>
      <c r="C668" s="5">
        <f>'Agents'' Final Roster 0823-0829'!C592</f>
        <v>0</v>
      </c>
      <c r="D668" s="5">
        <f>'Agents'' Final Roster 0823-0829'!D592</f>
        <v>0</v>
      </c>
      <c r="Z668" s="5">
        <f>'Agents'' Final Roster 0823-0829'!Z592</f>
        <v>0</v>
      </c>
    </row>
    <row r="669" spans="1:26" x14ac:dyDescent="0.25">
      <c r="A669" s="5">
        <f>'Agents'' Final Roster 0823-0829'!A593</f>
        <v>0</v>
      </c>
      <c r="B669" s="5">
        <f>'Agents'' Final Roster 0823-0829'!B593</f>
        <v>0</v>
      </c>
      <c r="C669" s="5">
        <f>'Agents'' Final Roster 0823-0829'!C593</f>
        <v>0</v>
      </c>
      <c r="D669" s="5">
        <f>'Agents'' Final Roster 0823-0829'!D593</f>
        <v>0</v>
      </c>
      <c r="Z669" s="5">
        <f>'Agents'' Final Roster 0823-0829'!Z593</f>
        <v>0</v>
      </c>
    </row>
    <row r="670" spans="1:26" x14ac:dyDescent="0.25">
      <c r="A670" s="5">
        <f>'Agents'' Final Roster 0823-0829'!A594</f>
        <v>0</v>
      </c>
      <c r="B670" s="5">
        <f>'Agents'' Final Roster 0823-0829'!B594</f>
        <v>0</v>
      </c>
      <c r="C670" s="5">
        <f>'Agents'' Final Roster 0823-0829'!C594</f>
        <v>0</v>
      </c>
      <c r="D670" s="5">
        <f>'Agents'' Final Roster 0823-0829'!D594</f>
        <v>0</v>
      </c>
      <c r="Z670" s="5">
        <f>'Agents'' Final Roster 0823-0829'!Z594</f>
        <v>0</v>
      </c>
    </row>
    <row r="671" spans="1:26" x14ac:dyDescent="0.25">
      <c r="A671" s="5">
        <f>'Agents'' Final Roster 0823-0829'!A595</f>
        <v>0</v>
      </c>
      <c r="B671" s="5">
        <f>'Agents'' Final Roster 0823-0829'!B595</f>
        <v>0</v>
      </c>
      <c r="C671" s="5">
        <f>'Agents'' Final Roster 0823-0829'!C595</f>
        <v>0</v>
      </c>
      <c r="D671" s="5">
        <f>'Agents'' Final Roster 0823-0829'!D595</f>
        <v>0</v>
      </c>
      <c r="Z671" s="5">
        <f>'Agents'' Final Roster 0823-0829'!Z595</f>
        <v>0</v>
      </c>
    </row>
    <row r="672" spans="1:26" x14ac:dyDescent="0.25">
      <c r="A672" s="5">
        <f>'Agents'' Final Roster 0823-0829'!A596</f>
        <v>0</v>
      </c>
      <c r="B672" s="5">
        <f>'Agents'' Final Roster 0823-0829'!B596</f>
        <v>0</v>
      </c>
      <c r="C672" s="5">
        <f>'Agents'' Final Roster 0823-0829'!C596</f>
        <v>0</v>
      </c>
      <c r="D672" s="5">
        <f>'Agents'' Final Roster 0823-0829'!D596</f>
        <v>0</v>
      </c>
      <c r="Z672" s="5">
        <f>'Agents'' Final Roster 0823-0829'!Z596</f>
        <v>0</v>
      </c>
    </row>
    <row r="673" spans="1:26" x14ac:dyDescent="0.25">
      <c r="A673" s="5">
        <f>'Agents'' Final Roster 0823-0829'!A597</f>
        <v>0</v>
      </c>
      <c r="B673" s="5">
        <f>'Agents'' Final Roster 0823-0829'!B597</f>
        <v>0</v>
      </c>
      <c r="C673" s="5">
        <f>'Agents'' Final Roster 0823-0829'!C597</f>
        <v>0</v>
      </c>
      <c r="D673" s="5">
        <f>'Agents'' Final Roster 0823-0829'!D597</f>
        <v>0</v>
      </c>
      <c r="Z673" s="5">
        <f>'Agents'' Final Roster 0823-0829'!Z597</f>
        <v>0</v>
      </c>
    </row>
    <row r="674" spans="1:26" x14ac:dyDescent="0.25">
      <c r="A674" s="5">
        <f>'Agents'' Final Roster 0823-0829'!A598</f>
        <v>0</v>
      </c>
      <c r="B674" s="5">
        <f>'Agents'' Final Roster 0823-0829'!B598</f>
        <v>0</v>
      </c>
      <c r="C674" s="5">
        <f>'Agents'' Final Roster 0823-0829'!C598</f>
        <v>0</v>
      </c>
      <c r="D674" s="5">
        <f>'Agents'' Final Roster 0823-0829'!D598</f>
        <v>0</v>
      </c>
      <c r="Z674" s="5">
        <f>'Agents'' Final Roster 0823-0829'!Z598</f>
        <v>0</v>
      </c>
    </row>
    <row r="675" spans="1:26" x14ac:dyDescent="0.25">
      <c r="A675" s="5">
        <f>'Agents'' Final Roster 0823-0829'!A599</f>
        <v>0</v>
      </c>
      <c r="B675" s="5">
        <f>'Agents'' Final Roster 0823-0829'!B599</f>
        <v>0</v>
      </c>
      <c r="C675" s="5">
        <f>'Agents'' Final Roster 0823-0829'!C599</f>
        <v>0</v>
      </c>
      <c r="D675" s="5">
        <f>'Agents'' Final Roster 0823-0829'!D599</f>
        <v>0</v>
      </c>
      <c r="Z675" s="5">
        <f>'Agents'' Final Roster 0823-0829'!Z599</f>
        <v>0</v>
      </c>
    </row>
    <row r="676" spans="1:26" x14ac:dyDescent="0.25">
      <c r="A676" s="5">
        <f>'Agents'' Final Roster 0823-0829'!A600</f>
        <v>0</v>
      </c>
      <c r="B676" s="5">
        <f>'Agents'' Final Roster 0823-0829'!B600</f>
        <v>0</v>
      </c>
      <c r="C676" s="5">
        <f>'Agents'' Final Roster 0823-0829'!C600</f>
        <v>0</v>
      </c>
      <c r="D676" s="5">
        <f>'Agents'' Final Roster 0823-0829'!D600</f>
        <v>0</v>
      </c>
      <c r="Z676" s="5">
        <f>'Agents'' Final Roster 0823-0829'!Z600</f>
        <v>0</v>
      </c>
    </row>
    <row r="677" spans="1:26" x14ac:dyDescent="0.25">
      <c r="A677" s="5">
        <f>'Agents'' Final Roster 0823-0829'!A601</f>
        <v>0</v>
      </c>
      <c r="B677" s="5">
        <f>'Agents'' Final Roster 0823-0829'!B601</f>
        <v>0</v>
      </c>
      <c r="C677" s="5">
        <f>'Agents'' Final Roster 0823-0829'!C601</f>
        <v>0</v>
      </c>
      <c r="D677" s="5">
        <f>'Agents'' Final Roster 0823-0829'!D601</f>
        <v>0</v>
      </c>
      <c r="Z677" s="5">
        <f>'Agents'' Final Roster 0823-0829'!Z601</f>
        <v>0</v>
      </c>
    </row>
    <row r="678" spans="1:26" x14ac:dyDescent="0.25">
      <c r="A678" s="5">
        <f>'Agents'' Final Roster 0823-0829'!A602</f>
        <v>0</v>
      </c>
      <c r="B678" s="5">
        <f>'Agents'' Final Roster 0823-0829'!B602</f>
        <v>0</v>
      </c>
      <c r="C678" s="5">
        <f>'Agents'' Final Roster 0823-0829'!C602</f>
        <v>0</v>
      </c>
      <c r="D678" s="5">
        <f>'Agents'' Final Roster 0823-0829'!D602</f>
        <v>0</v>
      </c>
      <c r="Z678" s="5">
        <f>'Agents'' Final Roster 0823-0829'!Z602</f>
        <v>0</v>
      </c>
    </row>
    <row r="679" spans="1:26" x14ac:dyDescent="0.25">
      <c r="A679" s="5">
        <f>'Agents'' Final Roster 0823-0829'!A603</f>
        <v>0</v>
      </c>
      <c r="B679" s="5">
        <f>'Agents'' Final Roster 0823-0829'!B603</f>
        <v>0</v>
      </c>
      <c r="C679" s="5">
        <f>'Agents'' Final Roster 0823-0829'!C603</f>
        <v>0</v>
      </c>
      <c r="D679" s="5">
        <f>'Agents'' Final Roster 0823-0829'!D603</f>
        <v>0</v>
      </c>
      <c r="Z679" s="5">
        <f>'Agents'' Final Roster 0823-0829'!Z603</f>
        <v>0</v>
      </c>
    </row>
    <row r="680" spans="1:26" x14ac:dyDescent="0.25">
      <c r="A680" s="5">
        <f>'Agents'' Final Roster 0823-0829'!A604</f>
        <v>0</v>
      </c>
      <c r="B680" s="5">
        <f>'Agents'' Final Roster 0823-0829'!B604</f>
        <v>0</v>
      </c>
      <c r="C680" s="5">
        <f>'Agents'' Final Roster 0823-0829'!C604</f>
        <v>0</v>
      </c>
      <c r="D680" s="5">
        <f>'Agents'' Final Roster 0823-0829'!D604</f>
        <v>0</v>
      </c>
      <c r="Z680" s="5">
        <f>'Agents'' Final Roster 0823-0829'!Z604</f>
        <v>0</v>
      </c>
    </row>
    <row r="681" spans="1:26" x14ac:dyDescent="0.25">
      <c r="A681" s="5">
        <f>'Agents'' Final Roster 0823-0829'!A605</f>
        <v>0</v>
      </c>
      <c r="B681" s="5">
        <f>'Agents'' Final Roster 0823-0829'!B605</f>
        <v>0</v>
      </c>
      <c r="C681" s="5">
        <f>'Agents'' Final Roster 0823-0829'!C605</f>
        <v>0</v>
      </c>
      <c r="D681" s="5">
        <f>'Agents'' Final Roster 0823-0829'!D605</f>
        <v>0</v>
      </c>
      <c r="Z681" s="5">
        <f>'Agents'' Final Roster 0823-0829'!Z605</f>
        <v>0</v>
      </c>
    </row>
    <row r="682" spans="1:26" x14ac:dyDescent="0.25">
      <c r="A682" s="5">
        <f>'Agents'' Final Roster 0823-0829'!A606</f>
        <v>0</v>
      </c>
      <c r="B682" s="5">
        <f>'Agents'' Final Roster 0823-0829'!B606</f>
        <v>0</v>
      </c>
      <c r="C682" s="5">
        <f>'Agents'' Final Roster 0823-0829'!C606</f>
        <v>0</v>
      </c>
      <c r="D682" s="5">
        <f>'Agents'' Final Roster 0823-0829'!D606</f>
        <v>0</v>
      </c>
      <c r="Z682" s="5">
        <f>'Agents'' Final Roster 0823-0829'!Z606</f>
        <v>0</v>
      </c>
    </row>
    <row r="683" spans="1:26" x14ac:dyDescent="0.25">
      <c r="A683" s="5">
        <f>'Agents'' Final Roster 0823-0829'!A607</f>
        <v>0</v>
      </c>
      <c r="B683" s="5">
        <f>'Agents'' Final Roster 0823-0829'!B607</f>
        <v>0</v>
      </c>
      <c r="C683" s="5">
        <f>'Agents'' Final Roster 0823-0829'!C607</f>
        <v>0</v>
      </c>
      <c r="D683" s="5">
        <f>'Agents'' Final Roster 0823-0829'!D607</f>
        <v>0</v>
      </c>
      <c r="Z683" s="5">
        <f>'Agents'' Final Roster 0823-0829'!Z607</f>
        <v>0</v>
      </c>
    </row>
    <row r="684" spans="1:26" x14ac:dyDescent="0.25">
      <c r="A684" s="5">
        <f>'Agents'' Final Roster 0823-0829'!A608</f>
        <v>0</v>
      </c>
      <c r="B684" s="5">
        <f>'Agents'' Final Roster 0823-0829'!B608</f>
        <v>0</v>
      </c>
      <c r="C684" s="5">
        <f>'Agents'' Final Roster 0823-0829'!C608</f>
        <v>0</v>
      </c>
      <c r="D684" s="5">
        <f>'Agents'' Final Roster 0823-0829'!D608</f>
        <v>0</v>
      </c>
      <c r="Z684" s="5">
        <f>'Agents'' Final Roster 0823-0829'!Z608</f>
        <v>0</v>
      </c>
    </row>
    <row r="685" spans="1:26" x14ac:dyDescent="0.25">
      <c r="A685" s="5">
        <f>'Agents'' Final Roster 0823-0829'!A609</f>
        <v>0</v>
      </c>
      <c r="B685" s="5">
        <f>'Agents'' Final Roster 0823-0829'!B609</f>
        <v>0</v>
      </c>
      <c r="C685" s="5">
        <f>'Agents'' Final Roster 0823-0829'!C609</f>
        <v>0</v>
      </c>
      <c r="D685" s="5">
        <f>'Agents'' Final Roster 0823-0829'!D609</f>
        <v>0</v>
      </c>
      <c r="Z685" s="5">
        <f>'Agents'' Final Roster 0823-0829'!Z609</f>
        <v>0</v>
      </c>
    </row>
    <row r="686" spans="1:26" x14ac:dyDescent="0.25">
      <c r="A686" s="5">
        <f>'Agents'' Final Roster 0823-0829'!A610</f>
        <v>0</v>
      </c>
      <c r="B686" s="5">
        <f>'Agents'' Final Roster 0823-0829'!B610</f>
        <v>0</v>
      </c>
      <c r="C686" s="5">
        <f>'Agents'' Final Roster 0823-0829'!C610</f>
        <v>0</v>
      </c>
      <c r="D686" s="5">
        <f>'Agents'' Final Roster 0823-0829'!D610</f>
        <v>0</v>
      </c>
      <c r="Z686" s="5">
        <f>'Agents'' Final Roster 0823-0829'!Z610</f>
        <v>0</v>
      </c>
    </row>
    <row r="687" spans="1:26" x14ac:dyDescent="0.25">
      <c r="A687" s="5">
        <f>'Agents'' Final Roster 0823-0829'!A611</f>
        <v>0</v>
      </c>
      <c r="B687" s="5">
        <f>'Agents'' Final Roster 0823-0829'!B611</f>
        <v>0</v>
      </c>
      <c r="C687" s="5">
        <f>'Agents'' Final Roster 0823-0829'!C611</f>
        <v>0</v>
      </c>
      <c r="D687" s="5">
        <f>'Agents'' Final Roster 0823-0829'!D611</f>
        <v>0</v>
      </c>
      <c r="Z687" s="5">
        <f>'Agents'' Final Roster 0823-0829'!Z611</f>
        <v>0</v>
      </c>
    </row>
    <row r="688" spans="1:26" x14ac:dyDescent="0.25">
      <c r="A688" s="5">
        <f>'Agents'' Final Roster 0823-0829'!A612</f>
        <v>0</v>
      </c>
      <c r="B688" s="5">
        <f>'Agents'' Final Roster 0823-0829'!B612</f>
        <v>0</v>
      </c>
      <c r="C688" s="5">
        <f>'Agents'' Final Roster 0823-0829'!C612</f>
        <v>0</v>
      </c>
      <c r="D688" s="5">
        <f>'Agents'' Final Roster 0823-0829'!D612</f>
        <v>0</v>
      </c>
      <c r="Z688" s="5">
        <f>'Agents'' Final Roster 0823-0829'!Z612</f>
        <v>0</v>
      </c>
    </row>
    <row r="689" spans="1:26" x14ac:dyDescent="0.25">
      <c r="A689" s="5">
        <f>'Agents'' Final Roster 0823-0829'!A613</f>
        <v>0</v>
      </c>
      <c r="B689" s="5">
        <f>'Agents'' Final Roster 0823-0829'!B613</f>
        <v>0</v>
      </c>
      <c r="C689" s="5">
        <f>'Agents'' Final Roster 0823-0829'!C613</f>
        <v>0</v>
      </c>
      <c r="D689" s="5">
        <f>'Agents'' Final Roster 0823-0829'!D613</f>
        <v>0</v>
      </c>
      <c r="Z689" s="5">
        <f>'Agents'' Final Roster 0823-0829'!Z613</f>
        <v>0</v>
      </c>
    </row>
    <row r="690" spans="1:26" x14ac:dyDescent="0.25">
      <c r="A690" s="5">
        <f>'Agents'' Final Roster 0823-0829'!A614</f>
        <v>0</v>
      </c>
      <c r="B690" s="5">
        <f>'Agents'' Final Roster 0823-0829'!B614</f>
        <v>0</v>
      </c>
      <c r="C690" s="5">
        <f>'Agents'' Final Roster 0823-0829'!C614</f>
        <v>0</v>
      </c>
      <c r="D690" s="5">
        <f>'Agents'' Final Roster 0823-0829'!D614</f>
        <v>0</v>
      </c>
      <c r="Z690" s="5">
        <f>'Agents'' Final Roster 0823-0829'!Z614</f>
        <v>0</v>
      </c>
    </row>
    <row r="691" spans="1:26" x14ac:dyDescent="0.25">
      <c r="A691" s="5">
        <f>'Agents'' Final Roster 0823-0829'!A615</f>
        <v>0</v>
      </c>
      <c r="B691" s="5">
        <f>'Agents'' Final Roster 0823-0829'!B615</f>
        <v>0</v>
      </c>
      <c r="C691" s="5">
        <f>'Agents'' Final Roster 0823-0829'!C615</f>
        <v>0</v>
      </c>
      <c r="D691" s="5">
        <f>'Agents'' Final Roster 0823-0829'!D615</f>
        <v>0</v>
      </c>
      <c r="Z691" s="5">
        <f>'Agents'' Final Roster 0823-0829'!Z615</f>
        <v>0</v>
      </c>
    </row>
    <row r="692" spans="1:26" x14ac:dyDescent="0.25">
      <c r="A692" s="5">
        <f>'Agents'' Final Roster 0823-0829'!A616</f>
        <v>0</v>
      </c>
      <c r="B692" s="5">
        <f>'Agents'' Final Roster 0823-0829'!B616</f>
        <v>0</v>
      </c>
      <c r="C692" s="5">
        <f>'Agents'' Final Roster 0823-0829'!C616</f>
        <v>0</v>
      </c>
      <c r="D692" s="5">
        <f>'Agents'' Final Roster 0823-0829'!D616</f>
        <v>0</v>
      </c>
      <c r="Z692" s="5">
        <f>'Agents'' Final Roster 0823-0829'!Z616</f>
        <v>0</v>
      </c>
    </row>
    <row r="693" spans="1:26" x14ac:dyDescent="0.25">
      <c r="A693" s="5">
        <f>'Agents'' Final Roster 0823-0829'!A617</f>
        <v>0</v>
      </c>
      <c r="B693" s="5">
        <f>'Agents'' Final Roster 0823-0829'!B617</f>
        <v>0</v>
      </c>
      <c r="C693" s="5">
        <f>'Agents'' Final Roster 0823-0829'!C617</f>
        <v>0</v>
      </c>
      <c r="D693" s="5">
        <f>'Agents'' Final Roster 0823-0829'!D617</f>
        <v>0</v>
      </c>
      <c r="Z693" s="5">
        <f>'Agents'' Final Roster 0823-0829'!Z617</f>
        <v>0</v>
      </c>
    </row>
    <row r="694" spans="1:26" x14ac:dyDescent="0.25">
      <c r="A694" s="5">
        <f>'Agents'' Final Roster 0823-0829'!A618</f>
        <v>0</v>
      </c>
      <c r="B694" s="5">
        <f>'Agents'' Final Roster 0823-0829'!B618</f>
        <v>0</v>
      </c>
      <c r="C694" s="5">
        <f>'Agents'' Final Roster 0823-0829'!C618</f>
        <v>0</v>
      </c>
      <c r="D694" s="5">
        <f>'Agents'' Final Roster 0823-0829'!D618</f>
        <v>0</v>
      </c>
      <c r="Z694" s="5">
        <f>'Agents'' Final Roster 0823-0829'!Z618</f>
        <v>0</v>
      </c>
    </row>
    <row r="695" spans="1:26" x14ac:dyDescent="0.25">
      <c r="A695" s="5">
        <f>'Agents'' Final Roster 0823-0829'!A619</f>
        <v>0</v>
      </c>
      <c r="B695" s="5">
        <f>'Agents'' Final Roster 0823-0829'!B619</f>
        <v>0</v>
      </c>
      <c r="C695" s="5">
        <f>'Agents'' Final Roster 0823-0829'!C619</f>
        <v>0</v>
      </c>
      <c r="D695" s="5">
        <f>'Agents'' Final Roster 0823-0829'!D619</f>
        <v>0</v>
      </c>
      <c r="Z695" s="5">
        <f>'Agents'' Final Roster 0823-0829'!Z619</f>
        <v>0</v>
      </c>
    </row>
    <row r="696" spans="1:26" x14ac:dyDescent="0.25">
      <c r="A696" s="5">
        <f>'Agents'' Final Roster 0823-0829'!A620</f>
        <v>0</v>
      </c>
      <c r="B696" s="5">
        <f>'Agents'' Final Roster 0823-0829'!B620</f>
        <v>0</v>
      </c>
      <c r="C696" s="5">
        <f>'Agents'' Final Roster 0823-0829'!C620</f>
        <v>0</v>
      </c>
      <c r="D696" s="5">
        <f>'Agents'' Final Roster 0823-0829'!D620</f>
        <v>0</v>
      </c>
      <c r="Z696" s="5">
        <f>'Agents'' Final Roster 0823-0829'!Z620</f>
        <v>0</v>
      </c>
    </row>
    <row r="697" spans="1:26" x14ac:dyDescent="0.25">
      <c r="A697" s="5">
        <f>'Agents'' Final Roster 0823-0829'!A621</f>
        <v>0</v>
      </c>
      <c r="B697" s="5">
        <f>'Agents'' Final Roster 0823-0829'!B621</f>
        <v>0</v>
      </c>
      <c r="C697" s="5">
        <f>'Agents'' Final Roster 0823-0829'!C621</f>
        <v>0</v>
      </c>
      <c r="D697" s="5">
        <f>'Agents'' Final Roster 0823-0829'!D621</f>
        <v>0</v>
      </c>
      <c r="Z697" s="5">
        <f>'Agents'' Final Roster 0823-0829'!Z621</f>
        <v>0</v>
      </c>
    </row>
    <row r="698" spans="1:26" x14ac:dyDescent="0.25">
      <c r="A698" s="5">
        <f>'Agents'' Final Roster 0823-0829'!A622</f>
        <v>0</v>
      </c>
      <c r="B698" s="5">
        <f>'Agents'' Final Roster 0823-0829'!B622</f>
        <v>0</v>
      </c>
      <c r="C698" s="5">
        <f>'Agents'' Final Roster 0823-0829'!C622</f>
        <v>0</v>
      </c>
      <c r="D698" s="5">
        <f>'Agents'' Final Roster 0823-0829'!D622</f>
        <v>0</v>
      </c>
      <c r="Z698" s="5">
        <f>'Agents'' Final Roster 0823-0829'!Z622</f>
        <v>0</v>
      </c>
    </row>
    <row r="699" spans="1:26" x14ac:dyDescent="0.25">
      <c r="A699" s="5">
        <f>'Agents'' Final Roster 0823-0829'!A623</f>
        <v>0</v>
      </c>
      <c r="B699" s="5">
        <f>'Agents'' Final Roster 0823-0829'!B623</f>
        <v>0</v>
      </c>
      <c r="C699" s="5">
        <f>'Agents'' Final Roster 0823-0829'!C623</f>
        <v>0</v>
      </c>
      <c r="D699" s="5">
        <f>'Agents'' Final Roster 0823-0829'!D623</f>
        <v>0</v>
      </c>
      <c r="Z699" s="5">
        <f>'Agents'' Final Roster 0823-0829'!Z623</f>
        <v>0</v>
      </c>
    </row>
    <row r="700" spans="1:26" x14ac:dyDescent="0.25">
      <c r="A700" s="5">
        <f>'Agents'' Final Roster 0823-0829'!A624</f>
        <v>0</v>
      </c>
      <c r="B700" s="5">
        <f>'Agents'' Final Roster 0823-0829'!B624</f>
        <v>0</v>
      </c>
      <c r="C700" s="5">
        <f>'Agents'' Final Roster 0823-0829'!C624</f>
        <v>0</v>
      </c>
      <c r="D700" s="5">
        <f>'Agents'' Final Roster 0823-0829'!D624</f>
        <v>0</v>
      </c>
      <c r="Z700" s="5">
        <f>'Agents'' Final Roster 0823-0829'!Z624</f>
        <v>0</v>
      </c>
    </row>
    <row r="701" spans="1:26" x14ac:dyDescent="0.25">
      <c r="A701" s="5">
        <f>'Agents'' Final Roster 0823-0829'!A625</f>
        <v>0</v>
      </c>
      <c r="B701" s="5">
        <f>'Agents'' Final Roster 0823-0829'!B625</f>
        <v>0</v>
      </c>
      <c r="C701" s="5">
        <f>'Agents'' Final Roster 0823-0829'!C625</f>
        <v>0</v>
      </c>
      <c r="D701" s="5">
        <f>'Agents'' Final Roster 0823-0829'!D625</f>
        <v>0</v>
      </c>
      <c r="Z701" s="5">
        <f>'Agents'' Final Roster 0823-0829'!Z625</f>
        <v>0</v>
      </c>
    </row>
    <row r="702" spans="1:26" x14ac:dyDescent="0.25">
      <c r="A702" s="5">
        <f>'Agents'' Final Roster 0823-0829'!A626</f>
        <v>0</v>
      </c>
      <c r="B702" s="5">
        <f>'Agents'' Final Roster 0823-0829'!B626</f>
        <v>0</v>
      </c>
      <c r="C702" s="5">
        <f>'Agents'' Final Roster 0823-0829'!C626</f>
        <v>0</v>
      </c>
      <c r="D702" s="5">
        <f>'Agents'' Final Roster 0823-0829'!D626</f>
        <v>0</v>
      </c>
      <c r="Z702" s="5">
        <f>'Agents'' Final Roster 0823-0829'!Z626</f>
        <v>0</v>
      </c>
    </row>
    <row r="703" spans="1:26" x14ac:dyDescent="0.25">
      <c r="A703" s="5">
        <f>'Agents'' Final Roster 0823-0829'!A627</f>
        <v>0</v>
      </c>
      <c r="B703" s="5">
        <f>'Agents'' Final Roster 0823-0829'!B627</f>
        <v>0</v>
      </c>
      <c r="C703" s="5">
        <f>'Agents'' Final Roster 0823-0829'!C627</f>
        <v>0</v>
      </c>
      <c r="D703" s="5">
        <f>'Agents'' Final Roster 0823-0829'!D627</f>
        <v>0</v>
      </c>
      <c r="Z703" s="5">
        <f>'Agents'' Final Roster 0823-0829'!Z627</f>
        <v>0</v>
      </c>
    </row>
    <row r="704" spans="1:26" x14ac:dyDescent="0.25">
      <c r="A704" s="5">
        <f>'Agents'' Final Roster 0823-0829'!A628</f>
        <v>0</v>
      </c>
      <c r="B704" s="5">
        <f>'Agents'' Final Roster 0823-0829'!B628</f>
        <v>0</v>
      </c>
      <c r="C704" s="5">
        <f>'Agents'' Final Roster 0823-0829'!C628</f>
        <v>0</v>
      </c>
      <c r="D704" s="5">
        <f>'Agents'' Final Roster 0823-0829'!D628</f>
        <v>0</v>
      </c>
      <c r="Z704" s="5">
        <f>'Agents'' Final Roster 0823-0829'!Z628</f>
        <v>0</v>
      </c>
    </row>
    <row r="705" spans="1:26" x14ac:dyDescent="0.25">
      <c r="A705" s="5">
        <f>'Agents'' Final Roster 0823-0829'!A629</f>
        <v>0</v>
      </c>
      <c r="B705" s="5">
        <f>'Agents'' Final Roster 0823-0829'!B629</f>
        <v>0</v>
      </c>
      <c r="C705" s="5">
        <f>'Agents'' Final Roster 0823-0829'!C629</f>
        <v>0</v>
      </c>
      <c r="D705" s="5">
        <f>'Agents'' Final Roster 0823-0829'!D629</f>
        <v>0</v>
      </c>
      <c r="Z705" s="5">
        <f>'Agents'' Final Roster 0823-0829'!Z629</f>
        <v>0</v>
      </c>
    </row>
    <row r="706" spans="1:26" x14ac:dyDescent="0.25">
      <c r="A706" s="5">
        <f>'Agents'' Final Roster 0823-0829'!A630</f>
        <v>0</v>
      </c>
      <c r="B706" s="5">
        <f>'Agents'' Final Roster 0823-0829'!B630</f>
        <v>0</v>
      </c>
      <c r="C706" s="5">
        <f>'Agents'' Final Roster 0823-0829'!C630</f>
        <v>0</v>
      </c>
      <c r="D706" s="5">
        <f>'Agents'' Final Roster 0823-0829'!D630</f>
        <v>0</v>
      </c>
      <c r="Z706" s="5">
        <f>'Agents'' Final Roster 0823-0829'!Z630</f>
        <v>0</v>
      </c>
    </row>
    <row r="707" spans="1:26" x14ac:dyDescent="0.25">
      <c r="A707" s="5">
        <f>'Agents'' Final Roster 0823-0829'!A631</f>
        <v>0</v>
      </c>
      <c r="B707" s="5">
        <f>'Agents'' Final Roster 0823-0829'!B631</f>
        <v>0</v>
      </c>
      <c r="C707" s="5">
        <f>'Agents'' Final Roster 0823-0829'!C631</f>
        <v>0</v>
      </c>
      <c r="D707" s="5">
        <f>'Agents'' Final Roster 0823-0829'!D631</f>
        <v>0</v>
      </c>
      <c r="Z707" s="5">
        <f>'Agents'' Final Roster 0823-0829'!Z631</f>
        <v>0</v>
      </c>
    </row>
    <row r="708" spans="1:26" x14ac:dyDescent="0.25">
      <c r="A708" s="5">
        <f>'Agents'' Final Roster 0823-0829'!A632</f>
        <v>0</v>
      </c>
      <c r="B708" s="5">
        <f>'Agents'' Final Roster 0823-0829'!B632</f>
        <v>0</v>
      </c>
      <c r="C708" s="5">
        <f>'Agents'' Final Roster 0823-0829'!C632</f>
        <v>0</v>
      </c>
      <c r="D708" s="5">
        <f>'Agents'' Final Roster 0823-0829'!D632</f>
        <v>0</v>
      </c>
      <c r="Z708" s="5">
        <f>'Agents'' Final Roster 0823-0829'!Z632</f>
        <v>0</v>
      </c>
    </row>
    <row r="709" spans="1:26" x14ac:dyDescent="0.25">
      <c r="A709" s="5">
        <f>'Agents'' Final Roster 0823-0829'!A633</f>
        <v>0</v>
      </c>
      <c r="B709" s="5">
        <f>'Agents'' Final Roster 0823-0829'!B633</f>
        <v>0</v>
      </c>
      <c r="C709" s="5">
        <f>'Agents'' Final Roster 0823-0829'!C633</f>
        <v>0</v>
      </c>
      <c r="D709" s="5">
        <f>'Agents'' Final Roster 0823-0829'!D633</f>
        <v>0</v>
      </c>
      <c r="Z709" s="5">
        <f>'Agents'' Final Roster 0823-0829'!Z633</f>
        <v>0</v>
      </c>
    </row>
    <row r="710" spans="1:26" x14ac:dyDescent="0.25">
      <c r="A710" s="5">
        <f>'Agents'' Final Roster 0823-0829'!A634</f>
        <v>0</v>
      </c>
      <c r="B710" s="5">
        <f>'Agents'' Final Roster 0823-0829'!B634</f>
        <v>0</v>
      </c>
      <c r="C710" s="5">
        <f>'Agents'' Final Roster 0823-0829'!C634</f>
        <v>0</v>
      </c>
      <c r="D710" s="5">
        <f>'Agents'' Final Roster 0823-0829'!D634</f>
        <v>0</v>
      </c>
      <c r="Z710" s="5">
        <f>'Agents'' Final Roster 0823-0829'!Z634</f>
        <v>0</v>
      </c>
    </row>
    <row r="711" spans="1:26" x14ac:dyDescent="0.25">
      <c r="A711" s="5">
        <f>'Agents'' Final Roster 0823-0829'!A635</f>
        <v>0</v>
      </c>
      <c r="B711" s="5">
        <f>'Agents'' Final Roster 0823-0829'!B635</f>
        <v>0</v>
      </c>
      <c r="C711" s="5">
        <f>'Agents'' Final Roster 0823-0829'!C635</f>
        <v>0</v>
      </c>
      <c r="D711" s="5">
        <f>'Agents'' Final Roster 0823-0829'!D635</f>
        <v>0</v>
      </c>
      <c r="Z711" s="5">
        <f>'Agents'' Final Roster 0823-0829'!Z635</f>
        <v>0</v>
      </c>
    </row>
    <row r="712" spans="1:26" x14ac:dyDescent="0.25">
      <c r="A712" s="5">
        <f>'Agents'' Final Roster 0823-0829'!A636</f>
        <v>0</v>
      </c>
      <c r="B712" s="5">
        <f>'Agents'' Final Roster 0823-0829'!B636</f>
        <v>0</v>
      </c>
      <c r="C712" s="5">
        <f>'Agents'' Final Roster 0823-0829'!C636</f>
        <v>0</v>
      </c>
      <c r="D712" s="5">
        <f>'Agents'' Final Roster 0823-0829'!D636</f>
        <v>0</v>
      </c>
      <c r="Z712" s="5">
        <f>'Agents'' Final Roster 0823-0829'!Z636</f>
        <v>0</v>
      </c>
    </row>
    <row r="713" spans="1:26" x14ac:dyDescent="0.25">
      <c r="A713" s="5">
        <f>'Agents'' Final Roster 0823-0829'!A637</f>
        <v>0</v>
      </c>
      <c r="B713" s="5">
        <f>'Agents'' Final Roster 0823-0829'!B637</f>
        <v>0</v>
      </c>
      <c r="C713" s="5">
        <f>'Agents'' Final Roster 0823-0829'!C637</f>
        <v>0</v>
      </c>
      <c r="D713" s="5">
        <f>'Agents'' Final Roster 0823-0829'!D637</f>
        <v>0</v>
      </c>
      <c r="Z713" s="5">
        <f>'Agents'' Final Roster 0823-0829'!Z637</f>
        <v>0</v>
      </c>
    </row>
    <row r="714" spans="1:26" x14ac:dyDescent="0.25">
      <c r="A714" s="5">
        <f>'Agents'' Final Roster 0823-0829'!A638</f>
        <v>0</v>
      </c>
      <c r="B714" s="5">
        <f>'Agents'' Final Roster 0823-0829'!B638</f>
        <v>0</v>
      </c>
      <c r="C714" s="5">
        <f>'Agents'' Final Roster 0823-0829'!C638</f>
        <v>0</v>
      </c>
      <c r="D714" s="5">
        <f>'Agents'' Final Roster 0823-0829'!D638</f>
        <v>0</v>
      </c>
      <c r="Z714" s="5">
        <f>'Agents'' Final Roster 0823-0829'!Z638</f>
        <v>0</v>
      </c>
    </row>
    <row r="715" spans="1:26" x14ac:dyDescent="0.25">
      <c r="A715" s="5">
        <f>'Agents'' Final Roster 0823-0829'!A639</f>
        <v>0</v>
      </c>
      <c r="B715" s="5">
        <f>'Agents'' Final Roster 0823-0829'!B639</f>
        <v>0</v>
      </c>
      <c r="C715" s="5">
        <f>'Agents'' Final Roster 0823-0829'!C639</f>
        <v>0</v>
      </c>
      <c r="D715" s="5">
        <f>'Agents'' Final Roster 0823-0829'!D639</f>
        <v>0</v>
      </c>
      <c r="Z715" s="5">
        <f>'Agents'' Final Roster 0823-0829'!Z639</f>
        <v>0</v>
      </c>
    </row>
    <row r="716" spans="1:26" x14ac:dyDescent="0.25">
      <c r="A716" s="5">
        <f>'Agents'' Final Roster 0823-0829'!A640</f>
        <v>0</v>
      </c>
      <c r="B716" s="5">
        <f>'Agents'' Final Roster 0823-0829'!B640</f>
        <v>0</v>
      </c>
      <c r="C716" s="5">
        <f>'Agents'' Final Roster 0823-0829'!C640</f>
        <v>0</v>
      </c>
      <c r="D716" s="5">
        <f>'Agents'' Final Roster 0823-0829'!D640</f>
        <v>0</v>
      </c>
      <c r="Z716" s="5">
        <f>'Agents'' Final Roster 0823-0829'!Z640</f>
        <v>0</v>
      </c>
    </row>
    <row r="717" spans="1:26" x14ac:dyDescent="0.25">
      <c r="A717" s="5">
        <f>'Agents'' Final Roster 0823-0829'!A641</f>
        <v>0</v>
      </c>
      <c r="B717" s="5">
        <f>'Agents'' Final Roster 0823-0829'!B641</f>
        <v>0</v>
      </c>
      <c r="C717" s="5">
        <f>'Agents'' Final Roster 0823-0829'!C641</f>
        <v>0</v>
      </c>
      <c r="D717" s="5">
        <f>'Agents'' Final Roster 0823-0829'!D641</f>
        <v>0</v>
      </c>
      <c r="Z717" s="5">
        <f>'Agents'' Final Roster 0823-0829'!Z641</f>
        <v>0</v>
      </c>
    </row>
    <row r="718" spans="1:26" x14ac:dyDescent="0.25">
      <c r="A718" s="5">
        <f>'Agents'' Final Roster 0823-0829'!A642</f>
        <v>0</v>
      </c>
      <c r="B718" s="5">
        <f>'Agents'' Final Roster 0823-0829'!B642</f>
        <v>0</v>
      </c>
      <c r="C718" s="5">
        <f>'Agents'' Final Roster 0823-0829'!C642</f>
        <v>0</v>
      </c>
      <c r="D718" s="5">
        <f>'Agents'' Final Roster 0823-0829'!D642</f>
        <v>0</v>
      </c>
      <c r="Z718" s="5">
        <f>'Agents'' Final Roster 0823-0829'!Z642</f>
        <v>0</v>
      </c>
    </row>
    <row r="719" spans="1:26" x14ac:dyDescent="0.25">
      <c r="A719" s="5">
        <f>'Agents'' Final Roster 0823-0829'!A643</f>
        <v>0</v>
      </c>
      <c r="B719" s="5">
        <f>'Agents'' Final Roster 0823-0829'!B643</f>
        <v>0</v>
      </c>
      <c r="C719" s="5">
        <f>'Agents'' Final Roster 0823-0829'!C643</f>
        <v>0</v>
      </c>
      <c r="D719" s="5">
        <f>'Agents'' Final Roster 0823-0829'!D643</f>
        <v>0</v>
      </c>
      <c r="Z719" s="5">
        <f>'Agents'' Final Roster 0823-0829'!Z643</f>
        <v>0</v>
      </c>
    </row>
    <row r="720" spans="1:26" x14ac:dyDescent="0.25">
      <c r="A720" s="5">
        <f>'Agents'' Final Roster 0823-0829'!A644</f>
        <v>0</v>
      </c>
      <c r="B720" s="5">
        <f>'Agents'' Final Roster 0823-0829'!B644</f>
        <v>0</v>
      </c>
      <c r="C720" s="5">
        <f>'Agents'' Final Roster 0823-0829'!C644</f>
        <v>0</v>
      </c>
      <c r="D720" s="5">
        <f>'Agents'' Final Roster 0823-0829'!D644</f>
        <v>0</v>
      </c>
      <c r="Z720" s="5">
        <f>'Agents'' Final Roster 0823-0829'!Z644</f>
        <v>0</v>
      </c>
    </row>
    <row r="721" spans="1:26" x14ac:dyDescent="0.25">
      <c r="A721" s="5">
        <f>'Agents'' Final Roster 0823-0829'!A645</f>
        <v>0</v>
      </c>
      <c r="B721" s="5">
        <f>'Agents'' Final Roster 0823-0829'!B645</f>
        <v>0</v>
      </c>
      <c r="C721" s="5">
        <f>'Agents'' Final Roster 0823-0829'!C645</f>
        <v>0</v>
      </c>
      <c r="D721" s="5">
        <f>'Agents'' Final Roster 0823-0829'!D645</f>
        <v>0</v>
      </c>
      <c r="Z721" s="5">
        <f>'Agents'' Final Roster 0823-0829'!Z645</f>
        <v>0</v>
      </c>
    </row>
    <row r="722" spans="1:26" x14ac:dyDescent="0.25">
      <c r="A722" s="5">
        <f>'Agents'' Final Roster 0823-0829'!A646</f>
        <v>0</v>
      </c>
      <c r="B722" s="5">
        <f>'Agents'' Final Roster 0823-0829'!B646</f>
        <v>0</v>
      </c>
      <c r="C722" s="5">
        <f>'Agents'' Final Roster 0823-0829'!C646</f>
        <v>0</v>
      </c>
      <c r="D722" s="5">
        <f>'Agents'' Final Roster 0823-0829'!D646</f>
        <v>0</v>
      </c>
      <c r="Z722" s="5">
        <f>'Agents'' Final Roster 0823-0829'!Z646</f>
        <v>0</v>
      </c>
    </row>
    <row r="723" spans="1:26" x14ac:dyDescent="0.25">
      <c r="A723" s="5">
        <f>'Agents'' Final Roster 0823-0829'!A647</f>
        <v>0</v>
      </c>
      <c r="B723" s="5">
        <f>'Agents'' Final Roster 0823-0829'!B647</f>
        <v>0</v>
      </c>
      <c r="C723" s="5">
        <f>'Agents'' Final Roster 0823-0829'!C647</f>
        <v>0</v>
      </c>
      <c r="D723" s="5">
        <f>'Agents'' Final Roster 0823-0829'!D647</f>
        <v>0</v>
      </c>
      <c r="Z723" s="5">
        <f>'Agents'' Final Roster 0823-0829'!Z647</f>
        <v>0</v>
      </c>
    </row>
    <row r="724" spans="1:26" x14ac:dyDescent="0.25">
      <c r="A724" s="5">
        <f>'Agents'' Final Roster 0823-0829'!A648</f>
        <v>0</v>
      </c>
      <c r="B724" s="5">
        <f>'Agents'' Final Roster 0823-0829'!B648</f>
        <v>0</v>
      </c>
      <c r="C724" s="5">
        <f>'Agents'' Final Roster 0823-0829'!C648</f>
        <v>0</v>
      </c>
      <c r="D724" s="5">
        <f>'Agents'' Final Roster 0823-0829'!D648</f>
        <v>0</v>
      </c>
      <c r="Z724" s="5">
        <f>'Agents'' Final Roster 0823-0829'!Z648</f>
        <v>0</v>
      </c>
    </row>
    <row r="725" spans="1:26" x14ac:dyDescent="0.25">
      <c r="A725" s="5">
        <f>'Agents'' Final Roster 0823-0829'!A649</f>
        <v>0</v>
      </c>
      <c r="B725" s="5">
        <f>'Agents'' Final Roster 0823-0829'!B649</f>
        <v>0</v>
      </c>
      <c r="C725" s="5">
        <f>'Agents'' Final Roster 0823-0829'!C649</f>
        <v>0</v>
      </c>
      <c r="D725" s="5">
        <f>'Agents'' Final Roster 0823-0829'!D649</f>
        <v>0</v>
      </c>
      <c r="Z725" s="5">
        <f>'Agents'' Final Roster 0823-0829'!Z649</f>
        <v>0</v>
      </c>
    </row>
    <row r="726" spans="1:26" x14ac:dyDescent="0.25">
      <c r="A726" s="5">
        <f>'Agents'' Final Roster 0823-0829'!A650</f>
        <v>0</v>
      </c>
      <c r="B726" s="5">
        <f>'Agents'' Final Roster 0823-0829'!B650</f>
        <v>0</v>
      </c>
      <c r="C726" s="5">
        <f>'Agents'' Final Roster 0823-0829'!C650</f>
        <v>0</v>
      </c>
      <c r="D726" s="5">
        <f>'Agents'' Final Roster 0823-0829'!D650</f>
        <v>0</v>
      </c>
      <c r="Z726" s="5">
        <f>'Agents'' Final Roster 0823-0829'!Z650</f>
        <v>0</v>
      </c>
    </row>
    <row r="727" spans="1:26" x14ac:dyDescent="0.25">
      <c r="A727" s="5">
        <f>'Agents'' Final Roster 0823-0829'!A651</f>
        <v>0</v>
      </c>
      <c r="B727" s="5">
        <f>'Agents'' Final Roster 0823-0829'!B651</f>
        <v>0</v>
      </c>
      <c r="C727" s="5">
        <f>'Agents'' Final Roster 0823-0829'!C651</f>
        <v>0</v>
      </c>
      <c r="D727" s="5">
        <f>'Agents'' Final Roster 0823-0829'!D651</f>
        <v>0</v>
      </c>
      <c r="Z727" s="5">
        <f>'Agents'' Final Roster 0823-0829'!Z651</f>
        <v>0</v>
      </c>
    </row>
    <row r="728" spans="1:26" x14ac:dyDescent="0.25">
      <c r="A728" s="5">
        <f>'Agents'' Final Roster 0823-0829'!A652</f>
        <v>0</v>
      </c>
      <c r="B728" s="5">
        <f>'Agents'' Final Roster 0823-0829'!B652</f>
        <v>0</v>
      </c>
      <c r="C728" s="5">
        <f>'Agents'' Final Roster 0823-0829'!C652</f>
        <v>0</v>
      </c>
      <c r="D728" s="5">
        <f>'Agents'' Final Roster 0823-0829'!D652</f>
        <v>0</v>
      </c>
      <c r="Z728" s="5">
        <f>'Agents'' Final Roster 0823-0829'!Z652</f>
        <v>0</v>
      </c>
    </row>
    <row r="729" spans="1:26" x14ac:dyDescent="0.25">
      <c r="A729" s="5">
        <f>'Agents'' Final Roster 0823-0829'!A653</f>
        <v>0</v>
      </c>
      <c r="B729" s="5">
        <f>'Agents'' Final Roster 0823-0829'!B653</f>
        <v>0</v>
      </c>
      <c r="C729" s="5">
        <f>'Agents'' Final Roster 0823-0829'!C653</f>
        <v>0</v>
      </c>
      <c r="D729" s="5">
        <f>'Agents'' Final Roster 0823-0829'!D653</f>
        <v>0</v>
      </c>
      <c r="Z729" s="5">
        <f>'Agents'' Final Roster 0823-0829'!Z653</f>
        <v>0</v>
      </c>
    </row>
    <row r="730" spans="1:26" x14ac:dyDescent="0.25">
      <c r="A730" s="5">
        <f>'Agents'' Final Roster 0823-0829'!A654</f>
        <v>0</v>
      </c>
      <c r="B730" s="5">
        <f>'Agents'' Final Roster 0823-0829'!B654</f>
        <v>0</v>
      </c>
      <c r="C730" s="5">
        <f>'Agents'' Final Roster 0823-0829'!C654</f>
        <v>0</v>
      </c>
      <c r="D730" s="5">
        <f>'Agents'' Final Roster 0823-0829'!D654</f>
        <v>0</v>
      </c>
      <c r="Z730" s="5">
        <f>'Agents'' Final Roster 0823-0829'!Z654</f>
        <v>0</v>
      </c>
    </row>
    <row r="731" spans="1:26" x14ac:dyDescent="0.25">
      <c r="A731" s="5">
        <f>'Agents'' Final Roster 0823-0829'!A655</f>
        <v>0</v>
      </c>
      <c r="B731" s="5">
        <f>'Agents'' Final Roster 0823-0829'!B655</f>
        <v>0</v>
      </c>
      <c r="C731" s="5">
        <f>'Agents'' Final Roster 0823-0829'!C655</f>
        <v>0</v>
      </c>
      <c r="D731" s="5">
        <f>'Agents'' Final Roster 0823-0829'!D655</f>
        <v>0</v>
      </c>
      <c r="Z731" s="5">
        <f>'Agents'' Final Roster 0823-0829'!Z655</f>
        <v>0</v>
      </c>
    </row>
    <row r="732" spans="1:26" x14ac:dyDescent="0.25">
      <c r="A732" s="5">
        <f>'Agents'' Final Roster 0823-0829'!A656</f>
        <v>0</v>
      </c>
      <c r="B732" s="5">
        <f>'Agents'' Final Roster 0823-0829'!B656</f>
        <v>0</v>
      </c>
      <c r="C732" s="5">
        <f>'Agents'' Final Roster 0823-0829'!C656</f>
        <v>0</v>
      </c>
      <c r="D732" s="5">
        <f>'Agents'' Final Roster 0823-0829'!D656</f>
        <v>0</v>
      </c>
      <c r="Z732" s="5">
        <f>'Agents'' Final Roster 0823-0829'!Z656</f>
        <v>0</v>
      </c>
    </row>
    <row r="733" spans="1:26" x14ac:dyDescent="0.25">
      <c r="A733" s="5">
        <f>'Agents'' Final Roster 0823-0829'!A657</f>
        <v>0</v>
      </c>
      <c r="B733" s="5">
        <f>'Agents'' Final Roster 0823-0829'!B657</f>
        <v>0</v>
      </c>
      <c r="C733" s="5">
        <f>'Agents'' Final Roster 0823-0829'!C657</f>
        <v>0</v>
      </c>
      <c r="D733" s="5">
        <f>'Agents'' Final Roster 0823-0829'!D657</f>
        <v>0</v>
      </c>
      <c r="Z733" s="5">
        <f>'Agents'' Final Roster 0823-0829'!Z657</f>
        <v>0</v>
      </c>
    </row>
    <row r="734" spans="1:26" x14ac:dyDescent="0.25">
      <c r="A734" s="5">
        <f>'Agents'' Final Roster 0823-0829'!A658</f>
        <v>0</v>
      </c>
      <c r="B734" s="5">
        <f>'Agents'' Final Roster 0823-0829'!B658</f>
        <v>0</v>
      </c>
      <c r="C734" s="5">
        <f>'Agents'' Final Roster 0823-0829'!C658</f>
        <v>0</v>
      </c>
      <c r="D734" s="5">
        <f>'Agents'' Final Roster 0823-0829'!D658</f>
        <v>0</v>
      </c>
      <c r="Z734" s="5">
        <f>'Agents'' Final Roster 0823-0829'!Z658</f>
        <v>0</v>
      </c>
    </row>
    <row r="735" spans="1:26" x14ac:dyDescent="0.25">
      <c r="A735" s="5">
        <f>'Agents'' Final Roster 0823-0829'!A659</f>
        <v>0</v>
      </c>
      <c r="B735" s="5">
        <f>'Agents'' Final Roster 0823-0829'!B659</f>
        <v>0</v>
      </c>
      <c r="C735" s="5">
        <f>'Agents'' Final Roster 0823-0829'!C659</f>
        <v>0</v>
      </c>
      <c r="D735" s="5">
        <f>'Agents'' Final Roster 0823-0829'!D659</f>
        <v>0</v>
      </c>
      <c r="Z735" s="5">
        <f>'Agents'' Final Roster 0823-0829'!Z659</f>
        <v>0</v>
      </c>
    </row>
    <row r="736" spans="1:26" x14ac:dyDescent="0.25">
      <c r="A736" s="5">
        <f>'Agents'' Final Roster 0823-0829'!A660</f>
        <v>0</v>
      </c>
      <c r="B736" s="5">
        <f>'Agents'' Final Roster 0823-0829'!B660</f>
        <v>0</v>
      </c>
      <c r="C736" s="5">
        <f>'Agents'' Final Roster 0823-0829'!C660</f>
        <v>0</v>
      </c>
      <c r="D736" s="5">
        <f>'Agents'' Final Roster 0823-0829'!D660</f>
        <v>0</v>
      </c>
      <c r="Z736" s="5">
        <f>'Agents'' Final Roster 0823-0829'!Z660</f>
        <v>0</v>
      </c>
    </row>
    <row r="737" spans="1:26" x14ac:dyDescent="0.25">
      <c r="A737" s="5">
        <f>'Agents'' Final Roster 0823-0829'!A661</f>
        <v>0</v>
      </c>
      <c r="B737" s="5">
        <f>'Agents'' Final Roster 0823-0829'!B661</f>
        <v>0</v>
      </c>
      <c r="C737" s="5">
        <f>'Agents'' Final Roster 0823-0829'!C661</f>
        <v>0</v>
      </c>
      <c r="D737" s="5">
        <f>'Agents'' Final Roster 0823-0829'!D661</f>
        <v>0</v>
      </c>
      <c r="Z737" s="5">
        <f>'Agents'' Final Roster 0823-0829'!Z661</f>
        <v>0</v>
      </c>
    </row>
    <row r="738" spans="1:26" x14ac:dyDescent="0.25">
      <c r="A738" s="5">
        <f>'Agents'' Final Roster 0823-0829'!A662</f>
        <v>0</v>
      </c>
      <c r="B738" s="5">
        <f>'Agents'' Final Roster 0823-0829'!B662</f>
        <v>0</v>
      </c>
      <c r="C738" s="5">
        <f>'Agents'' Final Roster 0823-0829'!C662</f>
        <v>0</v>
      </c>
      <c r="D738" s="5">
        <f>'Agents'' Final Roster 0823-0829'!D662</f>
        <v>0</v>
      </c>
      <c r="Z738" s="5">
        <f>'Agents'' Final Roster 0823-0829'!Z662</f>
        <v>0</v>
      </c>
    </row>
    <row r="739" spans="1:26" x14ac:dyDescent="0.25">
      <c r="A739" s="5">
        <f>'Agents'' Final Roster 0823-0829'!A663</f>
        <v>0</v>
      </c>
      <c r="B739" s="5">
        <f>'Agents'' Final Roster 0823-0829'!B663</f>
        <v>0</v>
      </c>
      <c r="C739" s="5">
        <f>'Agents'' Final Roster 0823-0829'!C663</f>
        <v>0</v>
      </c>
      <c r="D739" s="5">
        <f>'Agents'' Final Roster 0823-0829'!D663</f>
        <v>0</v>
      </c>
      <c r="Z739" s="5">
        <f>'Agents'' Final Roster 0823-0829'!Z663</f>
        <v>0</v>
      </c>
    </row>
    <row r="740" spans="1:26" x14ac:dyDescent="0.25">
      <c r="A740" s="5">
        <f>'Agents'' Final Roster 0823-0829'!A664</f>
        <v>0</v>
      </c>
      <c r="B740" s="5">
        <f>'Agents'' Final Roster 0823-0829'!B664</f>
        <v>0</v>
      </c>
      <c r="C740" s="5">
        <f>'Agents'' Final Roster 0823-0829'!C664</f>
        <v>0</v>
      </c>
      <c r="D740" s="5">
        <f>'Agents'' Final Roster 0823-0829'!D664</f>
        <v>0</v>
      </c>
      <c r="Z740" s="5">
        <f>'Agents'' Final Roster 0823-0829'!Z664</f>
        <v>0</v>
      </c>
    </row>
    <row r="741" spans="1:26" x14ac:dyDescent="0.25">
      <c r="A741" s="5">
        <f>'Agents'' Final Roster 0823-0829'!A665</f>
        <v>0</v>
      </c>
      <c r="B741" s="5">
        <f>'Agents'' Final Roster 0823-0829'!B665</f>
        <v>0</v>
      </c>
      <c r="C741" s="5">
        <f>'Agents'' Final Roster 0823-0829'!C665</f>
        <v>0</v>
      </c>
      <c r="D741" s="5">
        <f>'Agents'' Final Roster 0823-0829'!D665</f>
        <v>0</v>
      </c>
      <c r="Z741" s="5">
        <f>'Agents'' Final Roster 0823-0829'!Z665</f>
        <v>0</v>
      </c>
    </row>
    <row r="742" spans="1:26" x14ac:dyDescent="0.25">
      <c r="A742" s="5">
        <f>'Agents'' Final Roster 0823-0829'!A666</f>
        <v>0</v>
      </c>
      <c r="B742" s="5">
        <f>'Agents'' Final Roster 0823-0829'!B666</f>
        <v>0</v>
      </c>
      <c r="C742" s="5">
        <f>'Agents'' Final Roster 0823-0829'!C666</f>
        <v>0</v>
      </c>
      <c r="D742" s="5">
        <f>'Agents'' Final Roster 0823-0829'!D666</f>
        <v>0</v>
      </c>
      <c r="Z742" s="5">
        <f>'Agents'' Final Roster 0823-0829'!Z666</f>
        <v>0</v>
      </c>
    </row>
    <row r="743" spans="1:26" x14ac:dyDescent="0.25">
      <c r="A743" s="5">
        <f>'Agents'' Final Roster 0823-0829'!A667</f>
        <v>0</v>
      </c>
      <c r="B743" s="5">
        <f>'Agents'' Final Roster 0823-0829'!B667</f>
        <v>0</v>
      </c>
      <c r="C743" s="5">
        <f>'Agents'' Final Roster 0823-0829'!C667</f>
        <v>0</v>
      </c>
      <c r="D743" s="5">
        <f>'Agents'' Final Roster 0823-0829'!D667</f>
        <v>0</v>
      </c>
      <c r="Z743" s="5">
        <f>'Agents'' Final Roster 0823-0829'!Z667</f>
        <v>0</v>
      </c>
    </row>
    <row r="744" spans="1:26" x14ac:dyDescent="0.25">
      <c r="A744" s="5">
        <f>'Agents'' Final Roster 0823-0829'!A668</f>
        <v>0</v>
      </c>
      <c r="B744" s="5">
        <f>'Agents'' Final Roster 0823-0829'!B668</f>
        <v>0</v>
      </c>
      <c r="C744" s="5">
        <f>'Agents'' Final Roster 0823-0829'!C668</f>
        <v>0</v>
      </c>
      <c r="D744" s="5">
        <f>'Agents'' Final Roster 0823-0829'!D668</f>
        <v>0</v>
      </c>
      <c r="Z744" s="5">
        <f>'Agents'' Final Roster 0823-0829'!Z668</f>
        <v>0</v>
      </c>
    </row>
    <row r="745" spans="1:26" x14ac:dyDescent="0.25">
      <c r="A745" s="5">
        <f>'Agents'' Final Roster 0823-0829'!A669</f>
        <v>0</v>
      </c>
      <c r="B745" s="5">
        <f>'Agents'' Final Roster 0823-0829'!B669</f>
        <v>0</v>
      </c>
      <c r="C745" s="5">
        <f>'Agents'' Final Roster 0823-0829'!C669</f>
        <v>0</v>
      </c>
      <c r="D745" s="5">
        <f>'Agents'' Final Roster 0823-0829'!D669</f>
        <v>0</v>
      </c>
      <c r="Z745" s="5">
        <f>'Agents'' Final Roster 0823-0829'!Z669</f>
        <v>0</v>
      </c>
    </row>
    <row r="746" spans="1:26" x14ac:dyDescent="0.25">
      <c r="A746" s="5">
        <f>'Agents'' Final Roster 0823-0829'!A670</f>
        <v>0</v>
      </c>
      <c r="B746" s="5">
        <f>'Agents'' Final Roster 0823-0829'!B670</f>
        <v>0</v>
      </c>
      <c r="C746" s="5">
        <f>'Agents'' Final Roster 0823-0829'!C670</f>
        <v>0</v>
      </c>
      <c r="D746" s="5">
        <f>'Agents'' Final Roster 0823-0829'!D670</f>
        <v>0</v>
      </c>
      <c r="Z746" s="5">
        <f>'Agents'' Final Roster 0823-0829'!Z670</f>
        <v>0</v>
      </c>
    </row>
    <row r="747" spans="1:26" x14ac:dyDescent="0.25">
      <c r="A747" s="5">
        <f>'Agents'' Final Roster 0823-0829'!A671</f>
        <v>0</v>
      </c>
      <c r="B747" s="5">
        <f>'Agents'' Final Roster 0823-0829'!B671</f>
        <v>0</v>
      </c>
      <c r="C747" s="5">
        <f>'Agents'' Final Roster 0823-0829'!C671</f>
        <v>0</v>
      </c>
      <c r="D747" s="5">
        <f>'Agents'' Final Roster 0823-0829'!D671</f>
        <v>0</v>
      </c>
      <c r="Z747" s="5">
        <f>'Agents'' Final Roster 0823-0829'!Z671</f>
        <v>0</v>
      </c>
    </row>
    <row r="748" spans="1:26" x14ac:dyDescent="0.25">
      <c r="A748" s="5">
        <f>'Agents'' Final Roster 0823-0829'!A672</f>
        <v>0</v>
      </c>
      <c r="B748" s="5">
        <f>'Agents'' Final Roster 0823-0829'!B672</f>
        <v>0</v>
      </c>
      <c r="C748" s="5">
        <f>'Agents'' Final Roster 0823-0829'!C672</f>
        <v>0</v>
      </c>
      <c r="D748" s="5">
        <f>'Agents'' Final Roster 0823-0829'!D672</f>
        <v>0</v>
      </c>
      <c r="Z748" s="5">
        <f>'Agents'' Final Roster 0823-0829'!Z672</f>
        <v>0</v>
      </c>
    </row>
    <row r="749" spans="1:26" x14ac:dyDescent="0.25">
      <c r="A749" s="5">
        <f>'Agents'' Final Roster 0823-0829'!A673</f>
        <v>0</v>
      </c>
      <c r="B749" s="5">
        <f>'Agents'' Final Roster 0823-0829'!B673</f>
        <v>0</v>
      </c>
      <c r="C749" s="5">
        <f>'Agents'' Final Roster 0823-0829'!C673</f>
        <v>0</v>
      </c>
      <c r="D749" s="5">
        <f>'Agents'' Final Roster 0823-0829'!D673</f>
        <v>0</v>
      </c>
      <c r="Z749" s="5">
        <f>'Agents'' Final Roster 0823-0829'!Z673</f>
        <v>0</v>
      </c>
    </row>
    <row r="750" spans="1:26" x14ac:dyDescent="0.25">
      <c r="A750" s="5">
        <f>'Agents'' Final Roster 0823-0829'!A674</f>
        <v>0</v>
      </c>
      <c r="B750" s="5">
        <f>'Agents'' Final Roster 0823-0829'!B674</f>
        <v>0</v>
      </c>
      <c r="C750" s="5">
        <f>'Agents'' Final Roster 0823-0829'!C674</f>
        <v>0</v>
      </c>
      <c r="D750" s="5">
        <f>'Agents'' Final Roster 0823-0829'!D674</f>
        <v>0</v>
      </c>
      <c r="Z750" s="5">
        <f>'Agents'' Final Roster 0823-0829'!Z674</f>
        <v>0</v>
      </c>
    </row>
    <row r="751" spans="1:26" x14ac:dyDescent="0.25">
      <c r="A751" s="5">
        <f>'Agents'' Final Roster 0823-0829'!A675</f>
        <v>0</v>
      </c>
      <c r="B751" s="5">
        <f>'Agents'' Final Roster 0823-0829'!B675</f>
        <v>0</v>
      </c>
      <c r="C751" s="5">
        <f>'Agents'' Final Roster 0823-0829'!C675</f>
        <v>0</v>
      </c>
      <c r="D751" s="5">
        <f>'Agents'' Final Roster 0823-0829'!D675</f>
        <v>0</v>
      </c>
      <c r="Z751" s="5">
        <f>'Agents'' Final Roster 0823-0829'!Z675</f>
        <v>0</v>
      </c>
    </row>
    <row r="752" spans="1:26" x14ac:dyDescent="0.25">
      <c r="A752" s="5">
        <f>'Agents'' Final Roster 0823-0829'!A676</f>
        <v>0</v>
      </c>
      <c r="B752" s="5">
        <f>'Agents'' Final Roster 0823-0829'!B676</f>
        <v>0</v>
      </c>
      <c r="C752" s="5">
        <f>'Agents'' Final Roster 0823-0829'!C676</f>
        <v>0</v>
      </c>
      <c r="D752" s="5">
        <f>'Agents'' Final Roster 0823-0829'!D676</f>
        <v>0</v>
      </c>
      <c r="Z752" s="5">
        <f>'Agents'' Final Roster 0823-0829'!Z676</f>
        <v>0</v>
      </c>
    </row>
    <row r="753" spans="1:26" x14ac:dyDescent="0.25">
      <c r="A753" s="5">
        <f>'Agents'' Final Roster 0823-0829'!A677</f>
        <v>0</v>
      </c>
      <c r="B753" s="5">
        <f>'Agents'' Final Roster 0823-0829'!B677</f>
        <v>0</v>
      </c>
      <c r="C753" s="5">
        <f>'Agents'' Final Roster 0823-0829'!C677</f>
        <v>0</v>
      </c>
      <c r="D753" s="5">
        <f>'Agents'' Final Roster 0823-0829'!D677</f>
        <v>0</v>
      </c>
      <c r="Z753" s="5">
        <f>'Agents'' Final Roster 0823-0829'!Z677</f>
        <v>0</v>
      </c>
    </row>
    <row r="754" spans="1:26" x14ac:dyDescent="0.25">
      <c r="A754" s="5">
        <f>'Agents'' Final Roster 0823-0829'!A678</f>
        <v>0</v>
      </c>
      <c r="B754" s="5">
        <f>'Agents'' Final Roster 0823-0829'!B678</f>
        <v>0</v>
      </c>
      <c r="C754" s="5">
        <f>'Agents'' Final Roster 0823-0829'!C678</f>
        <v>0</v>
      </c>
      <c r="D754" s="5">
        <f>'Agents'' Final Roster 0823-0829'!D678</f>
        <v>0</v>
      </c>
      <c r="Z754" s="5">
        <f>'Agents'' Final Roster 0823-0829'!Z678</f>
        <v>0</v>
      </c>
    </row>
    <row r="755" spans="1:26" x14ac:dyDescent="0.25">
      <c r="A755" s="5">
        <f>'Agents'' Final Roster 0823-0829'!A679</f>
        <v>0</v>
      </c>
      <c r="B755" s="5">
        <f>'Agents'' Final Roster 0823-0829'!B679</f>
        <v>0</v>
      </c>
      <c r="C755" s="5">
        <f>'Agents'' Final Roster 0823-0829'!C679</f>
        <v>0</v>
      </c>
      <c r="D755" s="5">
        <f>'Agents'' Final Roster 0823-0829'!D679</f>
        <v>0</v>
      </c>
      <c r="Z755" s="5">
        <f>'Agents'' Final Roster 0823-0829'!Z679</f>
        <v>0</v>
      </c>
    </row>
    <row r="756" spans="1:26" x14ac:dyDescent="0.25">
      <c r="A756" s="5">
        <f>'Agents'' Final Roster 0823-0829'!A680</f>
        <v>0</v>
      </c>
      <c r="B756" s="5">
        <f>'Agents'' Final Roster 0823-0829'!B680</f>
        <v>0</v>
      </c>
      <c r="C756" s="5">
        <f>'Agents'' Final Roster 0823-0829'!C680</f>
        <v>0</v>
      </c>
      <c r="D756" s="5">
        <f>'Agents'' Final Roster 0823-0829'!D680</f>
        <v>0</v>
      </c>
      <c r="Z756" s="5">
        <f>'Agents'' Final Roster 0823-0829'!Z680</f>
        <v>0</v>
      </c>
    </row>
    <row r="757" spans="1:26" x14ac:dyDescent="0.25">
      <c r="A757" s="5">
        <f>'Agents'' Final Roster 0823-0829'!A681</f>
        <v>0</v>
      </c>
      <c r="B757" s="5">
        <f>'Agents'' Final Roster 0823-0829'!B681</f>
        <v>0</v>
      </c>
      <c r="C757" s="5">
        <f>'Agents'' Final Roster 0823-0829'!C681</f>
        <v>0</v>
      </c>
      <c r="D757" s="5">
        <f>'Agents'' Final Roster 0823-0829'!D681</f>
        <v>0</v>
      </c>
      <c r="Z757" s="5">
        <f>'Agents'' Final Roster 0823-0829'!Z681</f>
        <v>0</v>
      </c>
    </row>
    <row r="758" spans="1:26" x14ac:dyDescent="0.25">
      <c r="A758" s="5">
        <f>'Agents'' Final Roster 0823-0829'!A682</f>
        <v>0</v>
      </c>
      <c r="B758" s="5">
        <f>'Agents'' Final Roster 0823-0829'!B682</f>
        <v>0</v>
      </c>
      <c r="C758" s="5">
        <f>'Agents'' Final Roster 0823-0829'!C682</f>
        <v>0</v>
      </c>
      <c r="D758" s="5">
        <f>'Agents'' Final Roster 0823-0829'!D682</f>
        <v>0</v>
      </c>
      <c r="Z758" s="5">
        <f>'Agents'' Final Roster 0823-0829'!Z682</f>
        <v>0</v>
      </c>
    </row>
    <row r="759" spans="1:26" x14ac:dyDescent="0.25">
      <c r="A759" s="5">
        <f>'Agents'' Final Roster 0823-0829'!A683</f>
        <v>0</v>
      </c>
      <c r="B759" s="5">
        <f>'Agents'' Final Roster 0823-0829'!B683</f>
        <v>0</v>
      </c>
      <c r="C759" s="5">
        <f>'Agents'' Final Roster 0823-0829'!C683</f>
        <v>0</v>
      </c>
      <c r="D759" s="5">
        <f>'Agents'' Final Roster 0823-0829'!D683</f>
        <v>0</v>
      </c>
      <c r="Z759" s="5">
        <f>'Agents'' Final Roster 0823-0829'!Z683</f>
        <v>0</v>
      </c>
    </row>
    <row r="760" spans="1:26" x14ac:dyDescent="0.25">
      <c r="A760" s="5">
        <f>'Agents'' Final Roster 0823-0829'!A684</f>
        <v>0</v>
      </c>
      <c r="B760" s="5">
        <f>'Agents'' Final Roster 0823-0829'!B684</f>
        <v>0</v>
      </c>
      <c r="C760" s="5">
        <f>'Agents'' Final Roster 0823-0829'!C684</f>
        <v>0</v>
      </c>
      <c r="D760" s="5">
        <f>'Agents'' Final Roster 0823-0829'!D684</f>
        <v>0</v>
      </c>
      <c r="Z760" s="5">
        <f>'Agents'' Final Roster 0823-0829'!Z684</f>
        <v>0</v>
      </c>
    </row>
    <row r="761" spans="1:26" x14ac:dyDescent="0.25">
      <c r="A761" s="5">
        <f>'Agents'' Final Roster 0823-0829'!A685</f>
        <v>0</v>
      </c>
      <c r="B761" s="5">
        <f>'Agents'' Final Roster 0823-0829'!B685</f>
        <v>0</v>
      </c>
      <c r="C761" s="5">
        <f>'Agents'' Final Roster 0823-0829'!C685</f>
        <v>0</v>
      </c>
      <c r="D761" s="5">
        <f>'Agents'' Final Roster 0823-0829'!D685</f>
        <v>0</v>
      </c>
      <c r="Z761" s="5">
        <f>'Agents'' Final Roster 0823-0829'!Z685</f>
        <v>0</v>
      </c>
    </row>
    <row r="762" spans="1:26" x14ac:dyDescent="0.25">
      <c r="A762" s="5">
        <f>'Agents'' Final Roster 0823-0829'!A686</f>
        <v>0</v>
      </c>
      <c r="B762" s="5">
        <f>'Agents'' Final Roster 0823-0829'!B686</f>
        <v>0</v>
      </c>
      <c r="C762" s="5">
        <f>'Agents'' Final Roster 0823-0829'!C686</f>
        <v>0</v>
      </c>
      <c r="D762" s="5">
        <f>'Agents'' Final Roster 0823-0829'!D686</f>
        <v>0</v>
      </c>
      <c r="Z762" s="5">
        <f>'Agents'' Final Roster 0823-0829'!Z686</f>
        <v>0</v>
      </c>
    </row>
    <row r="763" spans="1:26" x14ac:dyDescent="0.25">
      <c r="A763" s="5">
        <f>'Agents'' Final Roster 0823-0829'!A687</f>
        <v>0</v>
      </c>
      <c r="B763" s="5">
        <f>'Agents'' Final Roster 0823-0829'!B687</f>
        <v>0</v>
      </c>
      <c r="C763" s="5">
        <f>'Agents'' Final Roster 0823-0829'!C687</f>
        <v>0</v>
      </c>
      <c r="D763" s="5">
        <f>'Agents'' Final Roster 0823-0829'!D687</f>
        <v>0</v>
      </c>
      <c r="Z763" s="5">
        <f>'Agents'' Final Roster 0823-0829'!Z687</f>
        <v>0</v>
      </c>
    </row>
    <row r="764" spans="1:26" x14ac:dyDescent="0.25">
      <c r="A764" s="5">
        <f>'Agents'' Final Roster 0823-0829'!A688</f>
        <v>0</v>
      </c>
      <c r="B764" s="5">
        <f>'Agents'' Final Roster 0823-0829'!B688</f>
        <v>0</v>
      </c>
      <c r="C764" s="5">
        <f>'Agents'' Final Roster 0823-0829'!C688</f>
        <v>0</v>
      </c>
      <c r="D764" s="5">
        <f>'Agents'' Final Roster 0823-0829'!D688</f>
        <v>0</v>
      </c>
      <c r="Z764" s="5">
        <f>'Agents'' Final Roster 0823-0829'!Z688</f>
        <v>0</v>
      </c>
    </row>
    <row r="765" spans="1:26" x14ac:dyDescent="0.25">
      <c r="A765" s="5">
        <f>'Agents'' Final Roster 0823-0829'!A689</f>
        <v>0</v>
      </c>
      <c r="B765" s="5">
        <f>'Agents'' Final Roster 0823-0829'!B689</f>
        <v>0</v>
      </c>
      <c r="C765" s="5">
        <f>'Agents'' Final Roster 0823-0829'!C689</f>
        <v>0</v>
      </c>
      <c r="D765" s="5">
        <f>'Agents'' Final Roster 0823-0829'!D689</f>
        <v>0</v>
      </c>
      <c r="Z765" s="5">
        <f>'Agents'' Final Roster 0823-0829'!Z689</f>
        <v>0</v>
      </c>
    </row>
    <row r="766" spans="1:26" x14ac:dyDescent="0.25">
      <c r="A766" s="5">
        <f>'Agents'' Final Roster 0823-0829'!A690</f>
        <v>0</v>
      </c>
      <c r="B766" s="5">
        <f>'Agents'' Final Roster 0823-0829'!B690</f>
        <v>0</v>
      </c>
      <c r="C766" s="5">
        <f>'Agents'' Final Roster 0823-0829'!C690</f>
        <v>0</v>
      </c>
      <c r="D766" s="5">
        <f>'Agents'' Final Roster 0823-0829'!D690</f>
        <v>0</v>
      </c>
      <c r="Z766" s="5">
        <f>'Agents'' Final Roster 0823-0829'!Z690</f>
        <v>0</v>
      </c>
    </row>
    <row r="767" spans="1:26" x14ac:dyDescent="0.25">
      <c r="A767" s="5">
        <f>'Agents'' Final Roster 0823-0829'!A691</f>
        <v>0</v>
      </c>
      <c r="B767" s="5">
        <f>'Agents'' Final Roster 0823-0829'!B691</f>
        <v>0</v>
      </c>
      <c r="C767" s="5">
        <f>'Agents'' Final Roster 0823-0829'!C691</f>
        <v>0</v>
      </c>
      <c r="D767" s="5">
        <f>'Agents'' Final Roster 0823-0829'!D691</f>
        <v>0</v>
      </c>
      <c r="Z767" s="5">
        <f>'Agents'' Final Roster 0823-0829'!Z691</f>
        <v>0</v>
      </c>
    </row>
    <row r="768" spans="1:26" x14ac:dyDescent="0.25">
      <c r="A768" s="5">
        <f>'Agents'' Final Roster 0823-0829'!A692</f>
        <v>0</v>
      </c>
      <c r="B768" s="5">
        <f>'Agents'' Final Roster 0823-0829'!B692</f>
        <v>0</v>
      </c>
      <c r="C768" s="5">
        <f>'Agents'' Final Roster 0823-0829'!C692</f>
        <v>0</v>
      </c>
      <c r="D768" s="5">
        <f>'Agents'' Final Roster 0823-0829'!D692</f>
        <v>0</v>
      </c>
      <c r="Z768" s="5">
        <f>'Agents'' Final Roster 0823-0829'!Z692</f>
        <v>0</v>
      </c>
    </row>
    <row r="769" spans="1:26" x14ac:dyDescent="0.25">
      <c r="A769" s="5">
        <f>'Agents'' Final Roster 0823-0829'!A693</f>
        <v>0</v>
      </c>
      <c r="B769" s="5">
        <f>'Agents'' Final Roster 0823-0829'!B693</f>
        <v>0</v>
      </c>
      <c r="C769" s="5">
        <f>'Agents'' Final Roster 0823-0829'!C693</f>
        <v>0</v>
      </c>
      <c r="D769" s="5">
        <f>'Agents'' Final Roster 0823-0829'!D693</f>
        <v>0</v>
      </c>
      <c r="Z769" s="5">
        <f>'Agents'' Final Roster 0823-0829'!Z693</f>
        <v>0</v>
      </c>
    </row>
    <row r="770" spans="1:26" x14ac:dyDescent="0.25">
      <c r="A770" s="5">
        <f>'Agents'' Final Roster 0823-0829'!A694</f>
        <v>0</v>
      </c>
      <c r="B770" s="5">
        <f>'Agents'' Final Roster 0823-0829'!B694</f>
        <v>0</v>
      </c>
      <c r="C770" s="5">
        <f>'Agents'' Final Roster 0823-0829'!C694</f>
        <v>0</v>
      </c>
      <c r="D770" s="5">
        <f>'Agents'' Final Roster 0823-0829'!D694</f>
        <v>0</v>
      </c>
      <c r="Z770" s="5">
        <f>'Agents'' Final Roster 0823-0829'!Z694</f>
        <v>0</v>
      </c>
    </row>
    <row r="771" spans="1:26" x14ac:dyDescent="0.25">
      <c r="A771" s="5">
        <f>'Agents'' Final Roster 0823-0829'!A695</f>
        <v>0</v>
      </c>
      <c r="B771" s="5">
        <f>'Agents'' Final Roster 0823-0829'!B695</f>
        <v>0</v>
      </c>
      <c r="C771" s="5">
        <f>'Agents'' Final Roster 0823-0829'!C695</f>
        <v>0</v>
      </c>
      <c r="D771" s="5">
        <f>'Agents'' Final Roster 0823-0829'!D695</f>
        <v>0</v>
      </c>
      <c r="Z771" s="5">
        <f>'Agents'' Final Roster 0823-0829'!Z695</f>
        <v>0</v>
      </c>
    </row>
    <row r="772" spans="1:26" x14ac:dyDescent="0.25">
      <c r="A772" s="5">
        <f>'Agents'' Final Roster 0823-0829'!A696</f>
        <v>0</v>
      </c>
      <c r="B772" s="5">
        <f>'Agents'' Final Roster 0823-0829'!B696</f>
        <v>0</v>
      </c>
      <c r="C772" s="5">
        <f>'Agents'' Final Roster 0823-0829'!C696</f>
        <v>0</v>
      </c>
      <c r="D772" s="5">
        <f>'Agents'' Final Roster 0823-0829'!D696</f>
        <v>0</v>
      </c>
      <c r="Z772" s="5">
        <f>'Agents'' Final Roster 0823-0829'!Z696</f>
        <v>0</v>
      </c>
    </row>
    <row r="773" spans="1:26" x14ac:dyDescent="0.25">
      <c r="A773" s="5">
        <f>'Agents'' Final Roster 0823-0829'!A697</f>
        <v>0</v>
      </c>
      <c r="B773" s="5">
        <f>'Agents'' Final Roster 0823-0829'!B697</f>
        <v>0</v>
      </c>
      <c r="C773" s="5">
        <f>'Agents'' Final Roster 0823-0829'!C697</f>
        <v>0</v>
      </c>
      <c r="D773" s="5">
        <f>'Agents'' Final Roster 0823-0829'!D697</f>
        <v>0</v>
      </c>
      <c r="Z773" s="5">
        <f>'Agents'' Final Roster 0823-0829'!Z697</f>
        <v>0</v>
      </c>
    </row>
    <row r="774" spans="1:26" x14ac:dyDescent="0.25">
      <c r="A774" s="5">
        <f>'Agents'' Final Roster 0823-0829'!A698</f>
        <v>0</v>
      </c>
      <c r="B774" s="5">
        <f>'Agents'' Final Roster 0823-0829'!B698</f>
        <v>0</v>
      </c>
      <c r="C774" s="5">
        <f>'Agents'' Final Roster 0823-0829'!C698</f>
        <v>0</v>
      </c>
      <c r="D774" s="5">
        <f>'Agents'' Final Roster 0823-0829'!D698</f>
        <v>0</v>
      </c>
      <c r="Z774" s="5">
        <f>'Agents'' Final Roster 0823-0829'!Z698</f>
        <v>0</v>
      </c>
    </row>
    <row r="775" spans="1:26" x14ac:dyDescent="0.25">
      <c r="A775" s="5">
        <f>'Agents'' Final Roster 0823-0829'!A699</f>
        <v>0</v>
      </c>
      <c r="B775" s="5">
        <f>'Agents'' Final Roster 0823-0829'!B699</f>
        <v>0</v>
      </c>
      <c r="C775" s="5">
        <f>'Agents'' Final Roster 0823-0829'!C699</f>
        <v>0</v>
      </c>
      <c r="D775" s="5">
        <f>'Agents'' Final Roster 0823-0829'!D699</f>
        <v>0</v>
      </c>
      <c r="Z775" s="5">
        <f>'Agents'' Final Roster 0823-0829'!Z699</f>
        <v>0</v>
      </c>
    </row>
    <row r="776" spans="1:26" x14ac:dyDescent="0.25">
      <c r="A776" s="5">
        <f>'Agents'' Final Roster 0823-0829'!A700</f>
        <v>0</v>
      </c>
      <c r="B776" s="5">
        <f>'Agents'' Final Roster 0823-0829'!B700</f>
        <v>0</v>
      </c>
      <c r="C776" s="5">
        <f>'Agents'' Final Roster 0823-0829'!C700</f>
        <v>0</v>
      </c>
      <c r="D776" s="5">
        <f>'Agents'' Final Roster 0823-0829'!D700</f>
        <v>0</v>
      </c>
      <c r="Z776" s="5">
        <f>'Agents'' Final Roster 0823-0829'!Z700</f>
        <v>0</v>
      </c>
    </row>
    <row r="777" spans="1:26" x14ac:dyDescent="0.25">
      <c r="A777" s="5">
        <f>'Agents'' Final Roster 0823-0829'!A701</f>
        <v>0</v>
      </c>
      <c r="B777" s="5">
        <f>'Agents'' Final Roster 0823-0829'!B701</f>
        <v>0</v>
      </c>
      <c r="C777" s="5">
        <f>'Agents'' Final Roster 0823-0829'!C701</f>
        <v>0</v>
      </c>
      <c r="D777" s="5">
        <f>'Agents'' Final Roster 0823-0829'!D701</f>
        <v>0</v>
      </c>
      <c r="Z777" s="5">
        <f>'Agents'' Final Roster 0823-0829'!Z701</f>
        <v>0</v>
      </c>
    </row>
    <row r="778" spans="1:26" x14ac:dyDescent="0.25">
      <c r="A778" s="5">
        <f>'Agents'' Final Roster 0823-0829'!A702</f>
        <v>0</v>
      </c>
      <c r="B778" s="5">
        <f>'Agents'' Final Roster 0823-0829'!B702</f>
        <v>0</v>
      </c>
      <c r="C778" s="5">
        <f>'Agents'' Final Roster 0823-0829'!C702</f>
        <v>0</v>
      </c>
      <c r="D778" s="5">
        <f>'Agents'' Final Roster 0823-0829'!D702</f>
        <v>0</v>
      </c>
      <c r="Z778" s="5">
        <f>'Agents'' Final Roster 0823-0829'!Z702</f>
        <v>0</v>
      </c>
    </row>
    <row r="779" spans="1:26" x14ac:dyDescent="0.25">
      <c r="A779" s="5">
        <f>'Agents'' Final Roster 0823-0829'!A703</f>
        <v>0</v>
      </c>
      <c r="B779" s="5">
        <f>'Agents'' Final Roster 0823-0829'!B703</f>
        <v>0</v>
      </c>
      <c r="C779" s="5">
        <f>'Agents'' Final Roster 0823-0829'!C703</f>
        <v>0</v>
      </c>
      <c r="D779" s="5">
        <f>'Agents'' Final Roster 0823-0829'!D703</f>
        <v>0</v>
      </c>
      <c r="Z779" s="5">
        <f>'Agents'' Final Roster 0823-0829'!Z703</f>
        <v>0</v>
      </c>
    </row>
    <row r="780" spans="1:26" x14ac:dyDescent="0.25">
      <c r="A780" s="5">
        <f>'Agents'' Final Roster 0823-0829'!A704</f>
        <v>0</v>
      </c>
      <c r="B780" s="5">
        <f>'Agents'' Final Roster 0823-0829'!B704</f>
        <v>0</v>
      </c>
      <c r="C780" s="5">
        <f>'Agents'' Final Roster 0823-0829'!C704</f>
        <v>0</v>
      </c>
      <c r="D780" s="5">
        <f>'Agents'' Final Roster 0823-0829'!D704</f>
        <v>0</v>
      </c>
      <c r="Z780" s="5">
        <f>'Agents'' Final Roster 0823-0829'!Z704</f>
        <v>0</v>
      </c>
    </row>
    <row r="781" spans="1:26" x14ac:dyDescent="0.25">
      <c r="A781" s="5">
        <f>'Agents'' Final Roster 0823-0829'!A705</f>
        <v>0</v>
      </c>
      <c r="B781" s="5">
        <f>'Agents'' Final Roster 0823-0829'!B705</f>
        <v>0</v>
      </c>
      <c r="C781" s="5">
        <f>'Agents'' Final Roster 0823-0829'!C705</f>
        <v>0</v>
      </c>
      <c r="D781" s="5">
        <f>'Agents'' Final Roster 0823-0829'!D705</f>
        <v>0</v>
      </c>
      <c r="Z781" s="5">
        <f>'Agents'' Final Roster 0823-0829'!Z705</f>
        <v>0</v>
      </c>
    </row>
    <row r="782" spans="1:26" x14ac:dyDescent="0.25">
      <c r="A782" s="5">
        <f>'Agents'' Final Roster 0823-0829'!A706</f>
        <v>0</v>
      </c>
      <c r="B782" s="5">
        <f>'Agents'' Final Roster 0823-0829'!B706</f>
        <v>0</v>
      </c>
      <c r="C782" s="5">
        <f>'Agents'' Final Roster 0823-0829'!C706</f>
        <v>0</v>
      </c>
      <c r="D782" s="5">
        <f>'Agents'' Final Roster 0823-0829'!D706</f>
        <v>0</v>
      </c>
      <c r="Z782" s="5">
        <f>'Agents'' Final Roster 0823-0829'!Z706</f>
        <v>0</v>
      </c>
    </row>
    <row r="783" spans="1:26" x14ac:dyDescent="0.25">
      <c r="A783" s="5">
        <f>'Agents'' Final Roster 0823-0829'!A707</f>
        <v>0</v>
      </c>
      <c r="B783" s="5">
        <f>'Agents'' Final Roster 0823-0829'!B707</f>
        <v>0</v>
      </c>
      <c r="C783" s="5">
        <f>'Agents'' Final Roster 0823-0829'!C707</f>
        <v>0</v>
      </c>
      <c r="D783" s="5">
        <f>'Agents'' Final Roster 0823-0829'!D707</f>
        <v>0</v>
      </c>
      <c r="Z783" s="5">
        <f>'Agents'' Final Roster 0823-0829'!Z707</f>
        <v>0</v>
      </c>
    </row>
    <row r="784" spans="1:26" x14ac:dyDescent="0.25">
      <c r="A784" s="5">
        <f>'Agents'' Final Roster 0823-0829'!A708</f>
        <v>0</v>
      </c>
      <c r="B784" s="5">
        <f>'Agents'' Final Roster 0823-0829'!B708</f>
        <v>0</v>
      </c>
      <c r="C784" s="5">
        <f>'Agents'' Final Roster 0823-0829'!C708</f>
        <v>0</v>
      </c>
      <c r="D784" s="5">
        <f>'Agents'' Final Roster 0823-0829'!D708</f>
        <v>0</v>
      </c>
      <c r="Z784" s="5">
        <f>'Agents'' Final Roster 0823-0829'!Z708</f>
        <v>0</v>
      </c>
    </row>
    <row r="785" spans="26:26" x14ac:dyDescent="0.25">
      <c r="Z785" s="5">
        <f>'Agents'' Final Roster 0823-0829'!Z709</f>
        <v>0</v>
      </c>
    </row>
    <row r="786" spans="26:26" x14ac:dyDescent="0.25">
      <c r="Z786" s="5">
        <f>'Agents'' Final Roster 0823-0829'!Z710</f>
        <v>0</v>
      </c>
    </row>
    <row r="787" spans="26:26" x14ac:dyDescent="0.25">
      <c r="Z787" s="5">
        <f>'Agents'' Final Roster 0823-0829'!Z711</f>
        <v>0</v>
      </c>
    </row>
    <row r="788" spans="26:26" x14ac:dyDescent="0.25">
      <c r="Z788" s="5">
        <f>'Agents'' Final Roster 0823-0829'!Z712</f>
        <v>0</v>
      </c>
    </row>
    <row r="789" spans="26:26" x14ac:dyDescent="0.25">
      <c r="Z789" s="5">
        <f>'Agents'' Final Roster 0823-0829'!Z713</f>
        <v>0</v>
      </c>
    </row>
    <row r="790" spans="26:26" x14ac:dyDescent="0.25">
      <c r="Z790" s="5">
        <f>'Agents'' Final Roster 0823-0829'!Z714</f>
        <v>0</v>
      </c>
    </row>
    <row r="791" spans="26:26" x14ac:dyDescent="0.25">
      <c r="Z791" s="5">
        <f>'Agents'' Final Roster 0823-0829'!Z715</f>
        <v>0</v>
      </c>
    </row>
    <row r="792" spans="26:26" x14ac:dyDescent="0.25">
      <c r="Z792" s="5">
        <f>'Agents'' Final Roster 0823-0829'!Z716</f>
        <v>0</v>
      </c>
    </row>
    <row r="793" spans="26:26" x14ac:dyDescent="0.25">
      <c r="Z793" s="5">
        <f>'Agents'' Final Roster 0823-0829'!Z717</f>
        <v>0</v>
      </c>
    </row>
    <row r="794" spans="26:26" x14ac:dyDescent="0.25">
      <c r="Z794" s="5">
        <f>'Agents'' Final Roster 0823-0829'!Z718</f>
        <v>0</v>
      </c>
    </row>
    <row r="795" spans="26:26" x14ac:dyDescent="0.25">
      <c r="Z795" s="5">
        <f>'Agents'' Final Roster 0823-0829'!Z719</f>
        <v>0</v>
      </c>
    </row>
    <row r="796" spans="26:26" x14ac:dyDescent="0.25">
      <c r="Z796" s="5">
        <f>'Agents'' Final Roster 0823-0829'!Z720</f>
        <v>0</v>
      </c>
    </row>
    <row r="797" spans="26:26" x14ac:dyDescent="0.25">
      <c r="Z797" s="5">
        <f>'Agents'' Final Roster 0823-0829'!Z721</f>
        <v>0</v>
      </c>
    </row>
    <row r="798" spans="26:26" x14ac:dyDescent="0.25">
      <c r="Z798" s="5">
        <f>'Agents'' Final Roster 0823-0829'!Z722</f>
        <v>0</v>
      </c>
    </row>
    <row r="799" spans="26:26" x14ac:dyDescent="0.25">
      <c r="Z799" s="5">
        <f>'Agents'' Final Roster 0823-0829'!Z723</f>
        <v>0</v>
      </c>
    </row>
    <row r="800" spans="26:26" x14ac:dyDescent="0.25">
      <c r="Z800" s="5">
        <f>'Agents'' Final Roster 0823-0829'!Z724</f>
        <v>0</v>
      </c>
    </row>
    <row r="801" spans="26:26" x14ac:dyDescent="0.25">
      <c r="Z801" s="5">
        <f>'Agents'' Final Roster 0823-0829'!Z725</f>
        <v>0</v>
      </c>
    </row>
    <row r="802" spans="26:26" x14ac:dyDescent="0.25">
      <c r="Z802" s="5">
        <f>'Agents'' Final Roster 0823-0829'!Z726</f>
        <v>0</v>
      </c>
    </row>
    <row r="803" spans="26:26" x14ac:dyDescent="0.25">
      <c r="Z803" s="5">
        <f>'Agents'' Final Roster 0823-0829'!Z727</f>
        <v>0</v>
      </c>
    </row>
    <row r="804" spans="26:26" x14ac:dyDescent="0.25">
      <c r="Z804" s="5">
        <f>'Agents'' Final Roster 0823-0829'!Z728</f>
        <v>0</v>
      </c>
    </row>
    <row r="805" spans="26:26" x14ac:dyDescent="0.25">
      <c r="Z805" s="5">
        <f>'Agents'' Final Roster 0823-0829'!Z729</f>
        <v>0</v>
      </c>
    </row>
    <row r="806" spans="26:26" x14ac:dyDescent="0.25">
      <c r="Z806" s="5">
        <f>'Agents'' Final Roster 0823-0829'!Z730</f>
        <v>0</v>
      </c>
    </row>
    <row r="807" spans="26:26" x14ac:dyDescent="0.25">
      <c r="Z807" s="5">
        <f>'Agents'' Final Roster 0823-0829'!Z731</f>
        <v>0</v>
      </c>
    </row>
    <row r="808" spans="26:26" x14ac:dyDescent="0.25">
      <c r="Z808" s="5">
        <f>'Agents'' Final Roster 0823-0829'!Z732</f>
        <v>0</v>
      </c>
    </row>
    <row r="809" spans="26:26" x14ac:dyDescent="0.25">
      <c r="Z809" s="5">
        <f>'Agents'' Final Roster 0823-0829'!Z733</f>
        <v>0</v>
      </c>
    </row>
    <row r="810" spans="26:26" x14ac:dyDescent="0.25">
      <c r="Z810" s="5">
        <f>'Agents'' Final Roster 0823-0829'!Z734</f>
        <v>0</v>
      </c>
    </row>
    <row r="811" spans="26:26" x14ac:dyDescent="0.25">
      <c r="Z811" s="5">
        <f>'Agents'' Final Roster 0823-0829'!Z735</f>
        <v>0</v>
      </c>
    </row>
    <row r="812" spans="26:26" x14ac:dyDescent="0.25">
      <c r="Z812" s="5">
        <f>'Agents'' Final Roster 0823-0829'!Z736</f>
        <v>0</v>
      </c>
    </row>
    <row r="813" spans="26:26" x14ac:dyDescent="0.25">
      <c r="Z813" s="5">
        <f>'Agents'' Final Roster 0823-0829'!Z737</f>
        <v>0</v>
      </c>
    </row>
    <row r="814" spans="26:26" x14ac:dyDescent="0.25">
      <c r="Z814" s="5">
        <f>'Agents'' Final Roster 0823-0829'!Z738</f>
        <v>0</v>
      </c>
    </row>
    <row r="815" spans="26:26" x14ac:dyDescent="0.25">
      <c r="Z815" s="5">
        <f>'Agents'' Final Roster 0823-0829'!Z739</f>
        <v>0</v>
      </c>
    </row>
    <row r="816" spans="26:26" x14ac:dyDescent="0.25">
      <c r="Z816" s="5">
        <f>'Agents'' Final Roster 0823-0829'!Z740</f>
        <v>0</v>
      </c>
    </row>
    <row r="817" spans="26:26" x14ac:dyDescent="0.25">
      <c r="Z817" s="5">
        <f>'Agents'' Final Roster 0823-0829'!Z741</f>
        <v>0</v>
      </c>
    </row>
    <row r="818" spans="26:26" x14ac:dyDescent="0.25">
      <c r="Z818" s="5">
        <f>'Agents'' Final Roster 0823-0829'!Z742</f>
        <v>0</v>
      </c>
    </row>
    <row r="819" spans="26:26" x14ac:dyDescent="0.25">
      <c r="Z819" s="5">
        <f>'Agents'' Final Roster 0823-0829'!Z743</f>
        <v>0</v>
      </c>
    </row>
    <row r="820" spans="26:26" x14ac:dyDescent="0.25">
      <c r="Z820" s="5">
        <f>'Agents'' Final Roster 0823-0829'!Z744</f>
        <v>0</v>
      </c>
    </row>
    <row r="821" spans="26:26" x14ac:dyDescent="0.25">
      <c r="Z821" s="5">
        <f>'Agents'' Final Roster 0823-0829'!Z745</f>
        <v>0</v>
      </c>
    </row>
    <row r="822" spans="26:26" x14ac:dyDescent="0.25">
      <c r="Z822" s="5">
        <f>'Agents'' Final Roster 0823-0829'!Z746</f>
        <v>0</v>
      </c>
    </row>
    <row r="823" spans="26:26" x14ac:dyDescent="0.25">
      <c r="Z823" s="5">
        <f>'Agents'' Final Roster 0823-0829'!Z747</f>
        <v>0</v>
      </c>
    </row>
    <row r="824" spans="26:26" x14ac:dyDescent="0.25">
      <c r="Z824" s="5">
        <f>'Agents'' Final Roster 0823-0829'!Z748</f>
        <v>0</v>
      </c>
    </row>
    <row r="825" spans="26:26" x14ac:dyDescent="0.25">
      <c r="Z825" s="5">
        <f>'Agents'' Final Roster 0823-0829'!Z749</f>
        <v>0</v>
      </c>
    </row>
    <row r="826" spans="26:26" x14ac:dyDescent="0.25">
      <c r="Z826" s="5">
        <f>'Agents'' Final Roster 0823-0829'!Z750</f>
        <v>0</v>
      </c>
    </row>
    <row r="827" spans="26:26" x14ac:dyDescent="0.25">
      <c r="Z827" s="5">
        <f>'Agents'' Final Roster 0823-0829'!Z751</f>
        <v>0</v>
      </c>
    </row>
    <row r="828" spans="26:26" x14ac:dyDescent="0.25">
      <c r="Z828" s="5">
        <f>'Agents'' Final Roster 0823-0829'!Z752</f>
        <v>0</v>
      </c>
    </row>
    <row r="829" spans="26:26" x14ac:dyDescent="0.25">
      <c r="Z829" s="5">
        <f>'Agents'' Final Roster 0823-0829'!Z753</f>
        <v>0</v>
      </c>
    </row>
    <row r="830" spans="26:26" x14ac:dyDescent="0.25">
      <c r="Z830" s="5">
        <f>'Agents'' Final Roster 0823-0829'!Z754</f>
        <v>0</v>
      </c>
    </row>
    <row r="831" spans="26:26" x14ac:dyDescent="0.25">
      <c r="Z831" s="5">
        <f>'Agents'' Final Roster 0823-0829'!Z755</f>
        <v>0</v>
      </c>
    </row>
    <row r="832" spans="26:26" x14ac:dyDescent="0.25">
      <c r="Z832" s="5">
        <f>'Agents'' Final Roster 0823-0829'!Z756</f>
        <v>0</v>
      </c>
    </row>
    <row r="833" spans="26:26" x14ac:dyDescent="0.25">
      <c r="Z833" s="5">
        <f>'Agents'' Final Roster 0823-0829'!Z757</f>
        <v>0</v>
      </c>
    </row>
    <row r="834" spans="26:26" x14ac:dyDescent="0.25">
      <c r="Z834" s="5">
        <f>'Agents'' Final Roster 0823-0829'!Z758</f>
        <v>0</v>
      </c>
    </row>
    <row r="835" spans="26:26" x14ac:dyDescent="0.25">
      <c r="Z835" s="5">
        <f>'Agents'' Final Roster 0823-0829'!Z759</f>
        <v>0</v>
      </c>
    </row>
    <row r="836" spans="26:26" x14ac:dyDescent="0.25">
      <c r="Z836" s="5">
        <f>'Agents'' Final Roster 0823-0829'!Z760</f>
        <v>0</v>
      </c>
    </row>
    <row r="837" spans="26:26" x14ac:dyDescent="0.25">
      <c r="Z837" s="5">
        <f>'Agents'' Final Roster 0823-0829'!Z761</f>
        <v>0</v>
      </c>
    </row>
    <row r="838" spans="26:26" x14ac:dyDescent="0.25">
      <c r="Z838" s="5">
        <f>'Agents'' Final Roster 0823-0829'!Z762</f>
        <v>0</v>
      </c>
    </row>
    <row r="839" spans="26:26" x14ac:dyDescent="0.25">
      <c r="Z839" s="5">
        <f>'Agents'' Final Roster 0823-0829'!Z763</f>
        <v>0</v>
      </c>
    </row>
    <row r="840" spans="26:26" x14ac:dyDescent="0.25">
      <c r="Z840" s="5">
        <f>'Agents'' Final Roster 0823-0829'!Z764</f>
        <v>0</v>
      </c>
    </row>
    <row r="841" spans="26:26" x14ac:dyDescent="0.25">
      <c r="Z841" s="5">
        <f>'Agents'' Final Roster 0823-0829'!Z765</f>
        <v>0</v>
      </c>
    </row>
    <row r="842" spans="26:26" x14ac:dyDescent="0.25">
      <c r="Z842" s="5">
        <f>'Agents'' Final Roster 0823-0829'!Z766</f>
        <v>0</v>
      </c>
    </row>
    <row r="843" spans="26:26" x14ac:dyDescent="0.25">
      <c r="Z843" s="5">
        <f>'Agents'' Final Roster 0823-0829'!Z767</f>
        <v>0</v>
      </c>
    </row>
    <row r="844" spans="26:26" x14ac:dyDescent="0.25">
      <c r="Z844" s="5">
        <f>'Agents'' Final Roster 0823-0829'!Z768</f>
        <v>0</v>
      </c>
    </row>
    <row r="845" spans="26:26" x14ac:dyDescent="0.25">
      <c r="Z845" s="5">
        <f>'Agents'' Final Roster 0823-0829'!Z769</f>
        <v>0</v>
      </c>
    </row>
    <row r="846" spans="26:26" x14ac:dyDescent="0.25">
      <c r="Z846" s="5">
        <f>'Agents'' Final Roster 0823-0829'!Z770</f>
        <v>0</v>
      </c>
    </row>
    <row r="847" spans="26:26" x14ac:dyDescent="0.25">
      <c r="Z847" s="5">
        <f>'Agents'' Final Roster 0823-0829'!Z771</f>
        <v>0</v>
      </c>
    </row>
    <row r="848" spans="26:26" x14ac:dyDescent="0.25">
      <c r="Z848" s="5">
        <f>'Agents'' Final Roster 0823-0829'!Z772</f>
        <v>0</v>
      </c>
    </row>
    <row r="849" spans="26:26" x14ac:dyDescent="0.25">
      <c r="Z849" s="5">
        <f>'Agents'' Final Roster 0823-0829'!Z773</f>
        <v>0</v>
      </c>
    </row>
    <row r="850" spans="26:26" x14ac:dyDescent="0.25">
      <c r="Z850" s="5">
        <f>'Agents'' Final Roster 0823-0829'!Z774</f>
        <v>0</v>
      </c>
    </row>
    <row r="851" spans="26:26" x14ac:dyDescent="0.25">
      <c r="Z851" s="5">
        <f>'Agents'' Final Roster 0823-0829'!Z775</f>
        <v>0</v>
      </c>
    </row>
    <row r="852" spans="26:26" x14ac:dyDescent="0.25">
      <c r="Z852" s="5">
        <f>'Agents'' Final Roster 0823-0829'!Z776</f>
        <v>0</v>
      </c>
    </row>
    <row r="853" spans="26:26" x14ac:dyDescent="0.25">
      <c r="Z853" s="5">
        <f>'Agents'' Final Roster 0823-0829'!Z777</f>
        <v>0</v>
      </c>
    </row>
    <row r="854" spans="26:26" x14ac:dyDescent="0.25">
      <c r="Z854" s="5">
        <f>'Agents'' Final Roster 0823-0829'!Z778</f>
        <v>0</v>
      </c>
    </row>
    <row r="855" spans="26:26" x14ac:dyDescent="0.25">
      <c r="Z855" s="5">
        <f>'Agents'' Final Roster 0823-0829'!Z779</f>
        <v>0</v>
      </c>
    </row>
    <row r="856" spans="26:26" x14ac:dyDescent="0.25">
      <c r="Z856" s="5">
        <f>'Agents'' Final Roster 0823-0829'!Z780</f>
        <v>0</v>
      </c>
    </row>
    <row r="857" spans="26:26" x14ac:dyDescent="0.25">
      <c r="Z857" s="5">
        <f>'Agents'' Final Roster 0823-0829'!Z781</f>
        <v>0</v>
      </c>
    </row>
    <row r="858" spans="26:26" x14ac:dyDescent="0.25">
      <c r="Z858" s="5">
        <f>'Agents'' Final Roster 0823-0829'!Z782</f>
        <v>0</v>
      </c>
    </row>
    <row r="859" spans="26:26" x14ac:dyDescent="0.25">
      <c r="Z859" s="5">
        <f>'Agents'' Final Roster 0823-0829'!Z783</f>
        <v>0</v>
      </c>
    </row>
    <row r="860" spans="26:26" x14ac:dyDescent="0.25">
      <c r="Z860" s="5">
        <f>'Agents'' Final Roster 0823-0829'!Z784</f>
        <v>0</v>
      </c>
    </row>
    <row r="861" spans="26:26" x14ac:dyDescent="0.25">
      <c r="Z861" s="5">
        <f>'Agents'' Final Roster 0823-0829'!Z785</f>
        <v>0</v>
      </c>
    </row>
    <row r="862" spans="26:26" x14ac:dyDescent="0.25">
      <c r="Z862" s="5">
        <f>'Agents'' Final Roster 0823-0829'!Z786</f>
        <v>0</v>
      </c>
    </row>
    <row r="863" spans="26:26" x14ac:dyDescent="0.25">
      <c r="Z863" s="5">
        <f>'Agents'' Final Roster 0823-0829'!Z787</f>
        <v>0</v>
      </c>
    </row>
    <row r="864" spans="26:26" x14ac:dyDescent="0.25">
      <c r="Z864" s="5">
        <f>'Agents'' Final Roster 0823-0829'!Z788</f>
        <v>0</v>
      </c>
    </row>
    <row r="865" spans="26:26" x14ac:dyDescent="0.25">
      <c r="Z865" s="5">
        <f>'Agents'' Final Roster 0823-0829'!Z789</f>
        <v>0</v>
      </c>
    </row>
    <row r="866" spans="26:26" x14ac:dyDescent="0.25">
      <c r="Z866" s="5">
        <f>'Agents'' Final Roster 0823-0829'!Z790</f>
        <v>0</v>
      </c>
    </row>
    <row r="867" spans="26:26" x14ac:dyDescent="0.25">
      <c r="Z867" s="5">
        <f>'Agents'' Final Roster 0823-0829'!Z791</f>
        <v>0</v>
      </c>
    </row>
    <row r="868" spans="26:26" x14ac:dyDescent="0.25">
      <c r="Z868" s="5">
        <f>'Agents'' Final Roster 0823-0829'!Z792</f>
        <v>0</v>
      </c>
    </row>
    <row r="869" spans="26:26" x14ac:dyDescent="0.25">
      <c r="Z869" s="5">
        <f>'Agents'' Final Roster 0823-0829'!Z793</f>
        <v>0</v>
      </c>
    </row>
    <row r="870" spans="26:26" x14ac:dyDescent="0.25">
      <c r="Z870" s="5">
        <f>'Agents'' Final Roster 0823-0829'!Z794</f>
        <v>0</v>
      </c>
    </row>
    <row r="871" spans="26:26" x14ac:dyDescent="0.25">
      <c r="Z871" s="5">
        <f>'Agents'' Final Roster 0823-0829'!Z795</f>
        <v>0</v>
      </c>
    </row>
    <row r="872" spans="26:26" x14ac:dyDescent="0.25">
      <c r="Z872" s="5">
        <f>'Agents'' Final Roster 0823-0829'!Z796</f>
        <v>0</v>
      </c>
    </row>
    <row r="873" spans="26:26" x14ac:dyDescent="0.25">
      <c r="Z873" s="5">
        <f>'Agents'' Final Roster 0823-0829'!Z797</f>
        <v>0</v>
      </c>
    </row>
    <row r="874" spans="26:26" x14ac:dyDescent="0.25">
      <c r="Z874" s="5">
        <f>'Agents'' Final Roster 0823-0829'!Z798</f>
        <v>0</v>
      </c>
    </row>
    <row r="875" spans="26:26" x14ac:dyDescent="0.25">
      <c r="Z875" s="5">
        <f>'Agents'' Final Roster 0823-0829'!Z799</f>
        <v>0</v>
      </c>
    </row>
    <row r="876" spans="26:26" x14ac:dyDescent="0.25">
      <c r="Z876" s="5">
        <f>'Agents'' Final Roster 0823-0829'!Z800</f>
        <v>0</v>
      </c>
    </row>
    <row r="877" spans="26:26" x14ac:dyDescent="0.25">
      <c r="Z877" s="5">
        <f>'Agents'' Final Roster 0823-0829'!Z801</f>
        <v>0</v>
      </c>
    </row>
    <row r="878" spans="26:26" x14ac:dyDescent="0.25">
      <c r="Z878" s="5">
        <f>'Agents'' Final Roster 0823-0829'!Z802</f>
        <v>0</v>
      </c>
    </row>
    <row r="879" spans="26:26" x14ac:dyDescent="0.25">
      <c r="Z879" s="5">
        <f>'Agents'' Final Roster 0823-0829'!Z803</f>
        <v>0</v>
      </c>
    </row>
    <row r="880" spans="26:26" x14ac:dyDescent="0.25">
      <c r="Z880" s="5">
        <f>'Agents'' Final Roster 0823-0829'!Z804</f>
        <v>0</v>
      </c>
    </row>
    <row r="881" spans="26:26" x14ac:dyDescent="0.25">
      <c r="Z881" s="5">
        <f>'Agents'' Final Roster 0823-0829'!Z805</f>
        <v>0</v>
      </c>
    </row>
    <row r="882" spans="26:26" x14ac:dyDescent="0.25">
      <c r="Z882" s="5">
        <f>'Agents'' Final Roster 0823-0829'!Z806</f>
        <v>0</v>
      </c>
    </row>
    <row r="883" spans="26:26" x14ac:dyDescent="0.25">
      <c r="Z883" s="5">
        <f>'Agents'' Final Roster 0823-0829'!Z807</f>
        <v>0</v>
      </c>
    </row>
    <row r="884" spans="26:26" x14ac:dyDescent="0.25">
      <c r="Z884" s="5">
        <f>'Agents'' Final Roster 0823-0829'!Z808</f>
        <v>0</v>
      </c>
    </row>
    <row r="885" spans="26:26" x14ac:dyDescent="0.25">
      <c r="Z885" s="5">
        <f>'Agents'' Final Roster 0823-0829'!Z809</f>
        <v>0</v>
      </c>
    </row>
    <row r="886" spans="26:26" x14ac:dyDescent="0.25">
      <c r="Z886" s="5">
        <f>'Agents'' Final Roster 0823-0829'!Z810</f>
        <v>0</v>
      </c>
    </row>
    <row r="887" spans="26:26" x14ac:dyDescent="0.25">
      <c r="Z887" s="5">
        <f>'Agents'' Final Roster 0823-0829'!Z811</f>
        <v>0</v>
      </c>
    </row>
    <row r="888" spans="26:26" x14ac:dyDescent="0.25">
      <c r="Z888" s="5">
        <f>'Agents'' Final Roster 0823-0829'!Z812</f>
        <v>0</v>
      </c>
    </row>
    <row r="889" spans="26:26" x14ac:dyDescent="0.25">
      <c r="Z889" s="5">
        <f>'Agents'' Final Roster 0823-0829'!Z813</f>
        <v>0</v>
      </c>
    </row>
    <row r="890" spans="26:26" x14ac:dyDescent="0.25">
      <c r="Z890" s="5">
        <f>'Agents'' Final Roster 0823-0829'!Z814</f>
        <v>0</v>
      </c>
    </row>
    <row r="891" spans="26:26" x14ac:dyDescent="0.25">
      <c r="Z891" s="5">
        <f>'Agents'' Final Roster 0823-0829'!Z815</f>
        <v>0</v>
      </c>
    </row>
    <row r="892" spans="26:26" x14ac:dyDescent="0.25">
      <c r="Z892" s="5">
        <f>'Agents'' Final Roster 0823-0829'!Z816</f>
        <v>0</v>
      </c>
    </row>
    <row r="893" spans="26:26" x14ac:dyDescent="0.25">
      <c r="Z893" s="5">
        <f>'Agents'' Final Roster 0823-0829'!Z817</f>
        <v>0</v>
      </c>
    </row>
    <row r="894" spans="26:26" x14ac:dyDescent="0.25">
      <c r="Z894" s="5">
        <f>'Agents'' Final Roster 0823-0829'!Z818</f>
        <v>0</v>
      </c>
    </row>
    <row r="895" spans="26:26" x14ac:dyDescent="0.25">
      <c r="Z895" s="5">
        <f>'Agents'' Final Roster 0823-0829'!Z819</f>
        <v>0</v>
      </c>
    </row>
    <row r="896" spans="26:26" x14ac:dyDescent="0.25">
      <c r="Z896" s="5">
        <f>'Agents'' Final Roster 0823-0829'!Z820</f>
        <v>0</v>
      </c>
    </row>
    <row r="897" spans="26:26" x14ac:dyDescent="0.25">
      <c r="Z897" s="5">
        <f>'Agents'' Final Roster 0823-0829'!Z821</f>
        <v>0</v>
      </c>
    </row>
    <row r="898" spans="26:26" x14ac:dyDescent="0.25">
      <c r="Z898" s="5">
        <f>'Agents'' Final Roster 0823-0829'!Z822</f>
        <v>0</v>
      </c>
    </row>
    <row r="899" spans="26:26" x14ac:dyDescent="0.25">
      <c r="Z899" s="5">
        <f>'Agents'' Final Roster 0823-0829'!Z823</f>
        <v>0</v>
      </c>
    </row>
    <row r="900" spans="26:26" x14ac:dyDescent="0.25">
      <c r="Z900" s="5">
        <f>'Agents'' Final Roster 0823-0829'!Z824</f>
        <v>0</v>
      </c>
    </row>
    <row r="901" spans="26:26" x14ac:dyDescent="0.25">
      <c r="Z901" s="5">
        <f>'Agents'' Final Roster 0823-0829'!Z825</f>
        <v>0</v>
      </c>
    </row>
    <row r="902" spans="26:26" x14ac:dyDescent="0.25">
      <c r="Z902" s="5">
        <f>'Agents'' Final Roster 0823-0829'!Z826</f>
        <v>0</v>
      </c>
    </row>
    <row r="903" spans="26:26" x14ac:dyDescent="0.25">
      <c r="Z903" s="5">
        <f>'Agents'' Final Roster 0823-0829'!Z827</f>
        <v>0</v>
      </c>
    </row>
    <row r="904" spans="26:26" x14ac:dyDescent="0.25">
      <c r="Z904" s="5">
        <f>'Agents'' Final Roster 0823-0829'!Z828</f>
        <v>0</v>
      </c>
    </row>
    <row r="905" spans="26:26" x14ac:dyDescent="0.25">
      <c r="Z905" s="5">
        <f>'Agents'' Final Roster 0823-0829'!Z829</f>
        <v>0</v>
      </c>
    </row>
    <row r="906" spans="26:26" x14ac:dyDescent="0.25">
      <c r="Z906" s="5">
        <f>'Agents'' Final Roster 0823-0829'!Z830</f>
        <v>0</v>
      </c>
    </row>
    <row r="907" spans="26:26" x14ac:dyDescent="0.25">
      <c r="Z907" s="5">
        <f>'Agents'' Final Roster 0823-0829'!Z831</f>
        <v>0</v>
      </c>
    </row>
    <row r="908" spans="26:26" x14ac:dyDescent="0.25">
      <c r="Z908" s="5">
        <f>'Agents'' Final Roster 0823-0829'!Z832</f>
        <v>0</v>
      </c>
    </row>
    <row r="909" spans="26:26" x14ac:dyDescent="0.25">
      <c r="Z909" s="5">
        <f>'Agents'' Final Roster 0823-0829'!Z833</f>
        <v>0</v>
      </c>
    </row>
    <row r="910" spans="26:26" x14ac:dyDescent="0.25">
      <c r="Z910" s="5">
        <f>'Agents'' Final Roster 0823-0829'!Z834</f>
        <v>0</v>
      </c>
    </row>
    <row r="911" spans="26:26" x14ac:dyDescent="0.25">
      <c r="Z911" s="5">
        <f>'Agents'' Final Roster 0823-0829'!Z835</f>
        <v>0</v>
      </c>
    </row>
    <row r="912" spans="26:26" x14ac:dyDescent="0.25">
      <c r="Z912" s="5">
        <f>'Agents'' Final Roster 0823-0829'!Z836</f>
        <v>0</v>
      </c>
    </row>
    <row r="913" spans="26:26" x14ac:dyDescent="0.25">
      <c r="Z913" s="5">
        <f>'Agents'' Final Roster 0823-0829'!Z837</f>
        <v>0</v>
      </c>
    </row>
    <row r="914" spans="26:26" x14ac:dyDescent="0.25">
      <c r="Z914" s="5">
        <f>'Agents'' Final Roster 0823-0829'!Z838</f>
        <v>0</v>
      </c>
    </row>
    <row r="915" spans="26:26" x14ac:dyDescent="0.25">
      <c r="Z915" s="5">
        <f>'Agents'' Final Roster 0823-0829'!Z839</f>
        <v>0</v>
      </c>
    </row>
    <row r="916" spans="26:26" x14ac:dyDescent="0.25">
      <c r="Z916" s="5">
        <f>'Agents'' Final Roster 0823-0829'!Z840</f>
        <v>0</v>
      </c>
    </row>
    <row r="917" spans="26:26" x14ac:dyDescent="0.25">
      <c r="Z917" s="5">
        <f>'Agents'' Final Roster 0823-0829'!Z841</f>
        <v>0</v>
      </c>
    </row>
    <row r="918" spans="26:26" x14ac:dyDescent="0.25">
      <c r="Z918" s="5">
        <f>'Agents'' Final Roster 0823-0829'!Z842</f>
        <v>0</v>
      </c>
    </row>
    <row r="919" spans="26:26" x14ac:dyDescent="0.25">
      <c r="Z919" s="5">
        <f>'Agents'' Final Roster 0823-0829'!Z843</f>
        <v>0</v>
      </c>
    </row>
    <row r="920" spans="26:26" x14ac:dyDescent="0.25">
      <c r="Z920" s="5">
        <f>'Agents'' Final Roster 0823-0829'!Z844</f>
        <v>0</v>
      </c>
    </row>
    <row r="921" spans="26:26" x14ac:dyDescent="0.25">
      <c r="Z921" s="5">
        <f>'Agents'' Final Roster 0823-0829'!Z845</f>
        <v>0</v>
      </c>
    </row>
    <row r="922" spans="26:26" x14ac:dyDescent="0.25">
      <c r="Z922" s="5">
        <f>'Agents'' Final Roster 0823-0829'!Z846</f>
        <v>0</v>
      </c>
    </row>
    <row r="923" spans="26:26" x14ac:dyDescent="0.25">
      <c r="Z923" s="5">
        <f>'Agents'' Final Roster 0823-0829'!Z847</f>
        <v>0</v>
      </c>
    </row>
    <row r="924" spans="26:26" x14ac:dyDescent="0.25">
      <c r="Z924" s="5">
        <f>'Agents'' Final Roster 0823-0829'!Z848</f>
        <v>0</v>
      </c>
    </row>
    <row r="925" spans="26:26" x14ac:dyDescent="0.25">
      <c r="Z925" s="5">
        <f>'Agents'' Final Roster 0823-0829'!Z849</f>
        <v>0</v>
      </c>
    </row>
    <row r="926" spans="26:26" x14ac:dyDescent="0.25">
      <c r="Z926" s="5">
        <f>'Agents'' Final Roster 0823-0829'!Z850</f>
        <v>0</v>
      </c>
    </row>
    <row r="927" spans="26:26" x14ac:dyDescent="0.25">
      <c r="Z927" s="5">
        <f>'Agents'' Final Roster 0823-0829'!Z851</f>
        <v>0</v>
      </c>
    </row>
    <row r="928" spans="26:26" x14ac:dyDescent="0.25">
      <c r="Z928" s="5">
        <f>'Agents'' Final Roster 0823-0829'!Z852</f>
        <v>0</v>
      </c>
    </row>
    <row r="929" spans="26:26" x14ac:dyDescent="0.25">
      <c r="Z929" s="5">
        <f>'Agents'' Final Roster 0823-0829'!Z853</f>
        <v>0</v>
      </c>
    </row>
    <row r="930" spans="26:26" x14ac:dyDescent="0.25">
      <c r="Z930" s="5">
        <f>'Agents'' Final Roster 0823-0829'!Z854</f>
        <v>0</v>
      </c>
    </row>
    <row r="931" spans="26:26" x14ac:dyDescent="0.25">
      <c r="Z931" s="5">
        <f>'Agents'' Final Roster 0823-0829'!Z855</f>
        <v>0</v>
      </c>
    </row>
    <row r="932" spans="26:26" x14ac:dyDescent="0.25">
      <c r="Z932" s="5">
        <f>'Agents'' Final Roster 0823-0829'!Z856</f>
        <v>0</v>
      </c>
    </row>
    <row r="933" spans="26:26" x14ac:dyDescent="0.25">
      <c r="Z933" s="5">
        <f>'Agents'' Final Roster 0823-0829'!Z857</f>
        <v>0</v>
      </c>
    </row>
    <row r="934" spans="26:26" x14ac:dyDescent="0.25">
      <c r="Z934" s="5">
        <f>'Agents'' Final Roster 0823-0829'!Z858</f>
        <v>0</v>
      </c>
    </row>
    <row r="935" spans="26:26" x14ac:dyDescent="0.25">
      <c r="Z935" s="5">
        <f>'Agents'' Final Roster 0823-0829'!Z859</f>
        <v>0</v>
      </c>
    </row>
    <row r="936" spans="26:26" x14ac:dyDescent="0.25">
      <c r="Z936" s="5">
        <f>'Agents'' Final Roster 0823-0829'!Z860</f>
        <v>0</v>
      </c>
    </row>
    <row r="937" spans="26:26" x14ac:dyDescent="0.25">
      <c r="Z937" s="5">
        <f>'Agents'' Final Roster 0823-0829'!Z861</f>
        <v>0</v>
      </c>
    </row>
    <row r="938" spans="26:26" x14ac:dyDescent="0.25">
      <c r="Z938" s="5">
        <f>'Agents'' Final Roster 0823-0829'!Z862</f>
        <v>0</v>
      </c>
    </row>
    <row r="939" spans="26:26" x14ac:dyDescent="0.25">
      <c r="Z939" s="5">
        <f>'Agents'' Final Roster 0823-0829'!Z863</f>
        <v>0</v>
      </c>
    </row>
    <row r="940" spans="26:26" x14ac:dyDescent="0.25">
      <c r="Z940" s="5">
        <f>'Agents'' Final Roster 0823-0829'!Z864</f>
        <v>0</v>
      </c>
    </row>
    <row r="941" spans="26:26" x14ac:dyDescent="0.25">
      <c r="Z941" s="5">
        <f>'Agents'' Final Roster 0823-0829'!Z865</f>
        <v>0</v>
      </c>
    </row>
    <row r="942" spans="26:26" x14ac:dyDescent="0.25">
      <c r="Z942" s="5">
        <f>'Agents'' Final Roster 0823-0829'!Z866</f>
        <v>0</v>
      </c>
    </row>
    <row r="943" spans="26:26" x14ac:dyDescent="0.25">
      <c r="Z943" s="5">
        <f>'Agents'' Final Roster 0823-0829'!Z867</f>
        <v>0</v>
      </c>
    </row>
    <row r="944" spans="26:26" x14ac:dyDescent="0.25">
      <c r="Z944" s="5">
        <f>'Agents'' Final Roster 0823-0829'!Z868</f>
        <v>0</v>
      </c>
    </row>
    <row r="945" spans="26:26" x14ac:dyDescent="0.25">
      <c r="Z945" s="5">
        <f>'Agents'' Final Roster 0823-0829'!Z869</f>
        <v>0</v>
      </c>
    </row>
    <row r="946" spans="26:26" x14ac:dyDescent="0.25">
      <c r="Z946" s="5">
        <f>'Agents'' Final Roster 0823-0829'!Z870</f>
        <v>0</v>
      </c>
    </row>
    <row r="947" spans="26:26" x14ac:dyDescent="0.25">
      <c r="Z947" s="5">
        <f>'Agents'' Final Roster 0823-0829'!Z871</f>
        <v>0</v>
      </c>
    </row>
    <row r="948" spans="26:26" x14ac:dyDescent="0.25">
      <c r="Z948" s="5">
        <f>'Agents'' Final Roster 0823-0829'!Z872</f>
        <v>0</v>
      </c>
    </row>
    <row r="949" spans="26:26" x14ac:dyDescent="0.25">
      <c r="Z949" s="5">
        <f>'Agents'' Final Roster 0823-0829'!Z873</f>
        <v>0</v>
      </c>
    </row>
    <row r="950" spans="26:26" x14ac:dyDescent="0.25">
      <c r="Z950" s="5">
        <f>'Agents'' Final Roster 0823-0829'!Z874</f>
        <v>0</v>
      </c>
    </row>
    <row r="951" spans="26:26" x14ac:dyDescent="0.25">
      <c r="Z951" s="5">
        <f>'Agents'' Final Roster 0823-0829'!Z875</f>
        <v>0</v>
      </c>
    </row>
    <row r="952" spans="26:26" x14ac:dyDescent="0.25">
      <c r="Z952" s="5">
        <f>'Agents'' Final Roster 0823-0829'!Z876</f>
        <v>0</v>
      </c>
    </row>
    <row r="953" spans="26:26" x14ac:dyDescent="0.25">
      <c r="Z953" s="5">
        <f>'Agents'' Final Roster 0823-0829'!Z877</f>
        <v>0</v>
      </c>
    </row>
    <row r="954" spans="26:26" x14ac:dyDescent="0.25">
      <c r="Z954" s="5">
        <f>'Agents'' Final Roster 0823-0829'!Z878</f>
        <v>0</v>
      </c>
    </row>
    <row r="955" spans="26:26" x14ac:dyDescent="0.25">
      <c r="Z955" s="5">
        <f>'Agents'' Final Roster 0823-0829'!Z879</f>
        <v>0</v>
      </c>
    </row>
    <row r="956" spans="26:26" x14ac:dyDescent="0.25">
      <c r="Z956" s="5">
        <f>'Agents'' Final Roster 0823-0829'!Z880</f>
        <v>0</v>
      </c>
    </row>
    <row r="957" spans="26:26" x14ac:dyDescent="0.25">
      <c r="Z957" s="5">
        <f>'Agents'' Final Roster 0823-0829'!Z881</f>
        <v>0</v>
      </c>
    </row>
    <row r="958" spans="26:26" x14ac:dyDescent="0.25">
      <c r="Z958" s="5">
        <f>'Agents'' Final Roster 0823-0829'!Z882</f>
        <v>0</v>
      </c>
    </row>
    <row r="959" spans="26:26" x14ac:dyDescent="0.25">
      <c r="Z959" s="5">
        <f>'Agents'' Final Roster 0823-0829'!Z883</f>
        <v>0</v>
      </c>
    </row>
    <row r="960" spans="26:26" x14ac:dyDescent="0.25">
      <c r="Z960" s="5">
        <f>'Agents'' Final Roster 0823-0829'!Z884</f>
        <v>0</v>
      </c>
    </row>
    <row r="961" spans="26:26" x14ac:dyDescent="0.25">
      <c r="Z961" s="5">
        <f>'Agents'' Final Roster 0823-0829'!Z885</f>
        <v>0</v>
      </c>
    </row>
    <row r="962" spans="26:26" x14ac:dyDescent="0.25">
      <c r="Z962" s="5">
        <f>'Agents'' Final Roster 0823-0829'!Z886</f>
        <v>0</v>
      </c>
    </row>
    <row r="963" spans="26:26" x14ac:dyDescent="0.25">
      <c r="Z963" s="5">
        <f>'Agents'' Final Roster 0823-0829'!Z887</f>
        <v>0</v>
      </c>
    </row>
    <row r="964" spans="26:26" x14ac:dyDescent="0.25">
      <c r="Z964" s="5">
        <f>'Agents'' Final Roster 0823-0829'!Z888</f>
        <v>0</v>
      </c>
    </row>
    <row r="965" spans="26:26" x14ac:dyDescent="0.25">
      <c r="Z965" s="5">
        <f>'Agents'' Final Roster 0823-0829'!Z889</f>
        <v>0</v>
      </c>
    </row>
    <row r="966" spans="26:26" x14ac:dyDescent="0.25">
      <c r="Z966" s="5">
        <f>'Agents'' Final Roster 0823-0829'!Z890</f>
        <v>0</v>
      </c>
    </row>
    <row r="967" spans="26:26" x14ac:dyDescent="0.25">
      <c r="Z967" s="5">
        <f>'Agents'' Final Roster 0823-0829'!Z891</f>
        <v>0</v>
      </c>
    </row>
    <row r="968" spans="26:26" x14ac:dyDescent="0.25">
      <c r="Z968" s="5">
        <f>'Agents'' Final Roster 0823-0829'!Z892</f>
        <v>0</v>
      </c>
    </row>
    <row r="969" spans="26:26" x14ac:dyDescent="0.25">
      <c r="Z969" s="5">
        <f>'Agents'' Final Roster 0823-0829'!Z893</f>
        <v>0</v>
      </c>
    </row>
    <row r="970" spans="26:26" x14ac:dyDescent="0.25">
      <c r="Z970" s="5">
        <f>'Agents'' Final Roster 0823-0829'!Z894</f>
        <v>0</v>
      </c>
    </row>
    <row r="971" spans="26:26" x14ac:dyDescent="0.25">
      <c r="Z971" s="5">
        <f>'Agents'' Final Roster 0823-0829'!Z895</f>
        <v>0</v>
      </c>
    </row>
    <row r="972" spans="26:26" x14ac:dyDescent="0.25">
      <c r="Z972" s="5">
        <f>'Agents'' Final Roster 0823-0829'!Z896</f>
        <v>0</v>
      </c>
    </row>
    <row r="973" spans="26:26" x14ac:dyDescent="0.25">
      <c r="Z973" s="5">
        <f>'Agents'' Final Roster 0823-0829'!Z897</f>
        <v>0</v>
      </c>
    </row>
    <row r="974" spans="26:26" x14ac:dyDescent="0.25">
      <c r="Z974" s="5">
        <f>'Agents'' Final Roster 0823-0829'!Z898</f>
        <v>0</v>
      </c>
    </row>
    <row r="975" spans="26:26" x14ac:dyDescent="0.25">
      <c r="Z975" s="5">
        <f>'Agents'' Final Roster 0823-0829'!Z899</f>
        <v>0</v>
      </c>
    </row>
    <row r="976" spans="26:26" x14ac:dyDescent="0.25">
      <c r="Z976" s="5">
        <f>'Agents'' Final Roster 0823-0829'!Z900</f>
        <v>0</v>
      </c>
    </row>
    <row r="977" spans="26:26" x14ac:dyDescent="0.25">
      <c r="Z977" s="5">
        <f>'Agents'' Final Roster 0823-0829'!Z901</f>
        <v>0</v>
      </c>
    </row>
    <row r="978" spans="26:26" x14ac:dyDescent="0.25">
      <c r="Z978" s="5">
        <f>'Agents'' Final Roster 0823-0829'!Z902</f>
        <v>0</v>
      </c>
    </row>
    <row r="979" spans="26:26" x14ac:dyDescent="0.25">
      <c r="Z979" s="5">
        <f>'Agents'' Final Roster 0823-0829'!Z903</f>
        <v>0</v>
      </c>
    </row>
    <row r="980" spans="26:26" x14ac:dyDescent="0.25">
      <c r="Z980" s="5">
        <f>'Agents'' Final Roster 0823-0829'!Z904</f>
        <v>0</v>
      </c>
    </row>
    <row r="981" spans="26:26" x14ac:dyDescent="0.25">
      <c r="Z981" s="5">
        <f>'Agents'' Final Roster 0823-0829'!Z905</f>
        <v>0</v>
      </c>
    </row>
    <row r="982" spans="26:26" x14ac:dyDescent="0.25">
      <c r="Z982" s="5">
        <f>'Agents'' Final Roster 0823-0829'!Z906</f>
        <v>0</v>
      </c>
    </row>
    <row r="983" spans="26:26" x14ac:dyDescent="0.25">
      <c r="Z983" s="5">
        <f>'Agents'' Final Roster 0823-0829'!Z907</f>
        <v>0</v>
      </c>
    </row>
    <row r="984" spans="26:26" x14ac:dyDescent="0.25">
      <c r="Z984" s="5">
        <f>'Agents'' Final Roster 0823-0829'!Z908</f>
        <v>0</v>
      </c>
    </row>
    <row r="985" spans="26:26" x14ac:dyDescent="0.25">
      <c r="Z985" s="5">
        <f>'Agents'' Final Roster 0823-0829'!Z909</f>
        <v>0</v>
      </c>
    </row>
    <row r="986" spans="26:26" x14ac:dyDescent="0.25">
      <c r="Z986" s="5">
        <f>'Agents'' Final Roster 0823-0829'!Z910</f>
        <v>0</v>
      </c>
    </row>
    <row r="987" spans="26:26" x14ac:dyDescent="0.25">
      <c r="Z987" s="5">
        <f>'Agents'' Final Roster 0823-0829'!Z911</f>
        <v>0</v>
      </c>
    </row>
    <row r="988" spans="26:26" x14ac:dyDescent="0.25">
      <c r="Z988" s="5">
        <f>'Agents'' Final Roster 0823-0829'!Z912</f>
        <v>0</v>
      </c>
    </row>
    <row r="989" spans="26:26" x14ac:dyDescent="0.25">
      <c r="Z989" s="5">
        <f>'Agents'' Final Roster 0823-0829'!Z913</f>
        <v>0</v>
      </c>
    </row>
    <row r="990" spans="26:26" x14ac:dyDescent="0.25">
      <c r="Z990" s="5">
        <f>'Agents'' Final Roster 0823-0829'!Z914</f>
        <v>0</v>
      </c>
    </row>
    <row r="991" spans="26:26" x14ac:dyDescent="0.25">
      <c r="Z991" s="5">
        <f>'Agents'' Final Roster 0823-0829'!Z915</f>
        <v>0</v>
      </c>
    </row>
    <row r="992" spans="26:26" x14ac:dyDescent="0.25">
      <c r="Z992" s="5">
        <f>'Agents'' Final Roster 0823-0829'!Z916</f>
        <v>0</v>
      </c>
    </row>
    <row r="993" spans="26:26" x14ac:dyDescent="0.25">
      <c r="Z993" s="5">
        <f>'Agents'' Final Roster 0823-0829'!Z917</f>
        <v>0</v>
      </c>
    </row>
    <row r="994" spans="26:26" x14ac:dyDescent="0.25">
      <c r="Z994" s="5">
        <f>'Agents'' Final Roster 0823-0829'!Z918</f>
        <v>0</v>
      </c>
    </row>
    <row r="995" spans="26:26" x14ac:dyDescent="0.25">
      <c r="Z995" s="5">
        <f>'Agents'' Final Roster 0823-0829'!Z919</f>
        <v>0</v>
      </c>
    </row>
    <row r="996" spans="26:26" x14ac:dyDescent="0.25">
      <c r="Z996" s="5">
        <f>'Agents'' Final Roster 0823-0829'!Z920</f>
        <v>0</v>
      </c>
    </row>
    <row r="997" spans="26:26" x14ac:dyDescent="0.25">
      <c r="Z997" s="5">
        <f>'Agents'' Final Roster 0823-0829'!Z921</f>
        <v>0</v>
      </c>
    </row>
    <row r="998" spans="26:26" x14ac:dyDescent="0.25">
      <c r="Z998" s="5">
        <f>'Agents'' Final Roster 0823-0829'!Z922</f>
        <v>0</v>
      </c>
    </row>
    <row r="999" spans="26:26" x14ac:dyDescent="0.25">
      <c r="Z999" s="5">
        <f>'Agents'' Final Roster 0823-0829'!Z923</f>
        <v>0</v>
      </c>
    </row>
    <row r="1000" spans="26:26" x14ac:dyDescent="0.25">
      <c r="Z1000" s="5">
        <f>'Agents'' Final Roster 0823-0829'!Z924</f>
        <v>0</v>
      </c>
    </row>
    <row r="1001" spans="26:26" x14ac:dyDescent="0.25">
      <c r="Z1001" s="5">
        <f>'Agents'' Final Roster 0823-0829'!Z925</f>
        <v>0</v>
      </c>
    </row>
    <row r="1002" spans="26:26" x14ac:dyDescent="0.25">
      <c r="Z1002" s="5">
        <f>'Agents'' Final Roster 0823-0829'!Z926</f>
        <v>0</v>
      </c>
    </row>
    <row r="1003" spans="26:26" x14ac:dyDescent="0.25">
      <c r="Z1003" s="5">
        <f>'Agents'' Final Roster 0823-0829'!Z927</f>
        <v>0</v>
      </c>
    </row>
    <row r="1004" spans="26:26" x14ac:dyDescent="0.25">
      <c r="Z1004" s="5">
        <f>'Agents'' Final Roster 0823-0829'!Z928</f>
        <v>0</v>
      </c>
    </row>
    <row r="1005" spans="26:26" x14ac:dyDescent="0.25">
      <c r="Z1005" s="5">
        <f>'Agents'' Final Roster 0823-0829'!Z929</f>
        <v>0</v>
      </c>
    </row>
    <row r="1006" spans="26:26" x14ac:dyDescent="0.25">
      <c r="Z1006" s="5">
        <f>'Agents'' Final Roster 0823-0829'!Z930</f>
        <v>0</v>
      </c>
    </row>
    <row r="1007" spans="26:26" x14ac:dyDescent="0.25">
      <c r="Z1007" s="5">
        <f>'Agents'' Final Roster 0823-0829'!Z931</f>
        <v>0</v>
      </c>
    </row>
    <row r="1008" spans="26:26" x14ac:dyDescent="0.25">
      <c r="Z1008" s="5">
        <f>'Agents'' Final Roster 0823-0829'!Z932</f>
        <v>0</v>
      </c>
    </row>
    <row r="1009" spans="26:26" x14ac:dyDescent="0.25">
      <c r="Z1009" s="5">
        <f>'Agents'' Final Roster 0823-0829'!Z933</f>
        <v>0</v>
      </c>
    </row>
    <row r="1010" spans="26:26" x14ac:dyDescent="0.25">
      <c r="Z1010" s="5">
        <f>'Agents'' Final Roster 0823-0829'!Z934</f>
        <v>0</v>
      </c>
    </row>
    <row r="1011" spans="26:26" x14ac:dyDescent="0.25">
      <c r="Z1011" s="5">
        <f>'Agents'' Final Roster 0823-0829'!Z935</f>
        <v>0</v>
      </c>
    </row>
    <row r="1012" spans="26:26" x14ac:dyDescent="0.25">
      <c r="Z1012" s="5">
        <f>'Agents'' Final Roster 0823-0829'!Z936</f>
        <v>0</v>
      </c>
    </row>
    <row r="1013" spans="26:26" x14ac:dyDescent="0.25">
      <c r="Z1013" s="5">
        <f>'Agents'' Final Roster 0823-0829'!Z937</f>
        <v>0</v>
      </c>
    </row>
    <row r="1014" spans="26:26" x14ac:dyDescent="0.25">
      <c r="Z1014" s="5">
        <f>'Agents'' Final Roster 0823-0829'!Z938</f>
        <v>0</v>
      </c>
    </row>
    <row r="1015" spans="26:26" x14ac:dyDescent="0.25">
      <c r="Z1015" s="5">
        <f>'Agents'' Final Roster 0823-0829'!Z939</f>
        <v>0</v>
      </c>
    </row>
    <row r="1016" spans="26:26" x14ac:dyDescent="0.25">
      <c r="Z1016" s="5">
        <f>'Agents'' Final Roster 0823-0829'!Z940</f>
        <v>0</v>
      </c>
    </row>
    <row r="1017" spans="26:26" x14ac:dyDescent="0.25">
      <c r="Z1017" s="5">
        <f>'Agents'' Final Roster 0823-0829'!Z941</f>
        <v>0</v>
      </c>
    </row>
    <row r="1018" spans="26:26" x14ac:dyDescent="0.25">
      <c r="Z1018" s="5">
        <f>'Agents'' Final Roster 0823-0829'!Z942</f>
        <v>0</v>
      </c>
    </row>
    <row r="1019" spans="26:26" x14ac:dyDescent="0.25">
      <c r="Z1019" s="5">
        <f>'Agents'' Final Roster 0823-0829'!Z943</f>
        <v>0</v>
      </c>
    </row>
    <row r="1020" spans="26:26" x14ac:dyDescent="0.25">
      <c r="Z1020" s="5">
        <f>'Agents'' Final Roster 0823-0829'!Z944</f>
        <v>0</v>
      </c>
    </row>
    <row r="1021" spans="26:26" x14ac:dyDescent="0.25">
      <c r="Z1021" s="5">
        <f>'Agents'' Final Roster 0823-0829'!Z945</f>
        <v>0</v>
      </c>
    </row>
    <row r="1022" spans="26:26" x14ac:dyDescent="0.25">
      <c r="Z1022" s="5">
        <f>'Agents'' Final Roster 0823-0829'!Z946</f>
        <v>0</v>
      </c>
    </row>
    <row r="1023" spans="26:26" x14ac:dyDescent="0.25">
      <c r="Z1023" s="5">
        <f>'Agents'' Final Roster 0823-0829'!Z947</f>
        <v>0</v>
      </c>
    </row>
    <row r="1024" spans="26:26" x14ac:dyDescent="0.25">
      <c r="Z1024" s="5">
        <f>'Agents'' Final Roster 0823-0829'!Z948</f>
        <v>0</v>
      </c>
    </row>
    <row r="1025" spans="26:26" x14ac:dyDescent="0.25">
      <c r="Z1025" s="5">
        <f>'Agents'' Final Roster 0823-0829'!Z949</f>
        <v>0</v>
      </c>
    </row>
    <row r="1026" spans="26:26" x14ac:dyDescent="0.25">
      <c r="Z1026" s="5">
        <f>'Agents'' Final Roster 0823-0829'!Z950</f>
        <v>0</v>
      </c>
    </row>
    <row r="1027" spans="26:26" x14ac:dyDescent="0.25">
      <c r="Z1027" s="5">
        <f>'Agents'' Final Roster 0823-0829'!Z951</f>
        <v>0</v>
      </c>
    </row>
    <row r="1028" spans="26:26" x14ac:dyDescent="0.25">
      <c r="Z1028" s="5">
        <f>'Agents'' Final Roster 0823-0829'!Z952</f>
        <v>0</v>
      </c>
    </row>
    <row r="1029" spans="26:26" x14ac:dyDescent="0.25">
      <c r="Z1029" s="5">
        <f>'Agents'' Final Roster 0823-0829'!Z953</f>
        <v>0</v>
      </c>
    </row>
    <row r="1030" spans="26:26" x14ac:dyDescent="0.25">
      <c r="Z1030" s="5">
        <f>'Agents'' Final Roster 0823-0829'!Z954</f>
        <v>0</v>
      </c>
    </row>
    <row r="1031" spans="26:26" x14ac:dyDescent="0.25">
      <c r="Z1031" s="5">
        <f>'Agents'' Final Roster 0823-0829'!Z955</f>
        <v>0</v>
      </c>
    </row>
    <row r="1032" spans="26:26" x14ac:dyDescent="0.25">
      <c r="Z1032" s="5">
        <f>'Agents'' Final Roster 0823-0829'!Z956</f>
        <v>0</v>
      </c>
    </row>
    <row r="1033" spans="26:26" x14ac:dyDescent="0.25">
      <c r="Z1033" s="5">
        <f>'Agents'' Final Roster 0823-0829'!Z957</f>
        <v>0</v>
      </c>
    </row>
    <row r="1034" spans="26:26" x14ac:dyDescent="0.25">
      <c r="Z1034" s="5">
        <f>'Agents'' Final Roster 0823-0829'!Z958</f>
        <v>0</v>
      </c>
    </row>
    <row r="1035" spans="26:26" x14ac:dyDescent="0.25">
      <c r="Z1035" s="5">
        <f>'Agents'' Final Roster 0823-0829'!Z959</f>
        <v>0</v>
      </c>
    </row>
    <row r="1036" spans="26:26" x14ac:dyDescent="0.25">
      <c r="Z1036" s="5">
        <f>'Agents'' Final Roster 0823-0829'!Z960</f>
        <v>0</v>
      </c>
    </row>
    <row r="1037" spans="26:26" x14ac:dyDescent="0.25">
      <c r="Z1037" s="5">
        <f>'Agents'' Final Roster 0823-0829'!Z961</f>
        <v>0</v>
      </c>
    </row>
    <row r="1038" spans="26:26" x14ac:dyDescent="0.25">
      <c r="Z1038" s="5">
        <f>'Agents'' Final Roster 0823-0829'!Z962</f>
        <v>0</v>
      </c>
    </row>
    <row r="1039" spans="26:26" x14ac:dyDescent="0.25">
      <c r="Z1039" s="5">
        <f>'Agents'' Final Roster 0823-0829'!Z963</f>
        <v>0</v>
      </c>
    </row>
    <row r="1040" spans="26:26" x14ac:dyDescent="0.25">
      <c r="Z1040" s="5">
        <f>'Agents'' Final Roster 0823-0829'!Z964</f>
        <v>0</v>
      </c>
    </row>
    <row r="1041" spans="26:26" x14ac:dyDescent="0.25">
      <c r="Z1041" s="5">
        <f>'Agents'' Final Roster 0823-0829'!Z965</f>
        <v>0</v>
      </c>
    </row>
    <row r="1042" spans="26:26" x14ac:dyDescent="0.25">
      <c r="Z1042" s="5">
        <f>'Agents'' Final Roster 0823-0829'!Z966</f>
        <v>0</v>
      </c>
    </row>
    <row r="1043" spans="26:26" x14ac:dyDescent="0.25">
      <c r="Z1043" s="5">
        <f>'Agents'' Final Roster 0823-0829'!Z967</f>
        <v>0</v>
      </c>
    </row>
    <row r="1044" spans="26:26" x14ac:dyDescent="0.25">
      <c r="Z1044" s="5">
        <f>'Agents'' Final Roster 0823-0829'!Z968</f>
        <v>0</v>
      </c>
    </row>
    <row r="1045" spans="26:26" x14ac:dyDescent="0.25">
      <c r="Z1045" s="5">
        <f>'Agents'' Final Roster 0823-0829'!Z969</f>
        <v>0</v>
      </c>
    </row>
    <row r="1046" spans="26:26" x14ac:dyDescent="0.25">
      <c r="Z1046" s="5">
        <f>'Agents'' Final Roster 0823-0829'!Z970</f>
        <v>0</v>
      </c>
    </row>
    <row r="1047" spans="26:26" x14ac:dyDescent="0.25">
      <c r="Z1047" s="5">
        <f>'Agents'' Final Roster 0823-0829'!Z971</f>
        <v>0</v>
      </c>
    </row>
    <row r="1048" spans="26:26" x14ac:dyDescent="0.25">
      <c r="Z1048" s="5">
        <f>'Agents'' Final Roster 0823-0829'!Z972</f>
        <v>0</v>
      </c>
    </row>
    <row r="1049" spans="26:26" x14ac:dyDescent="0.25">
      <c r="Z1049" s="5">
        <f>'Agents'' Final Roster 0823-0829'!Z973</f>
        <v>0</v>
      </c>
    </row>
    <row r="1050" spans="26:26" x14ac:dyDescent="0.25">
      <c r="Z1050" s="5">
        <f>'Agents'' Final Roster 0823-0829'!Z974</f>
        <v>0</v>
      </c>
    </row>
    <row r="1051" spans="26:26" x14ac:dyDescent="0.25">
      <c r="Z1051" s="5">
        <f>'Agents'' Final Roster 0823-0829'!Z975</f>
        <v>0</v>
      </c>
    </row>
    <row r="1052" spans="26:26" x14ac:dyDescent="0.25">
      <c r="Z1052" s="5">
        <f>'Agents'' Final Roster 0823-0829'!Z976</f>
        <v>0</v>
      </c>
    </row>
    <row r="1053" spans="26:26" x14ac:dyDescent="0.25">
      <c r="Z1053" s="5">
        <f>'Agents'' Final Roster 0823-0829'!Z977</f>
        <v>0</v>
      </c>
    </row>
    <row r="1054" spans="26:26" x14ac:dyDescent="0.25">
      <c r="Z1054" s="5">
        <f>'Agents'' Final Roster 0823-0829'!Z978</f>
        <v>0</v>
      </c>
    </row>
    <row r="1055" spans="26:26" x14ac:dyDescent="0.25">
      <c r="Z1055" s="5">
        <f>'Agents'' Final Roster 0823-0829'!Z979</f>
        <v>0</v>
      </c>
    </row>
    <row r="1056" spans="26:26" x14ac:dyDescent="0.25">
      <c r="Z1056" s="5">
        <f>'Agents'' Final Roster 0823-0829'!Z980</f>
        <v>0</v>
      </c>
    </row>
    <row r="1057" spans="26:26" x14ac:dyDescent="0.25">
      <c r="Z1057" s="5">
        <f>'Agents'' Final Roster 0823-0829'!Z981</f>
        <v>0</v>
      </c>
    </row>
    <row r="1058" spans="26:26" x14ac:dyDescent="0.25">
      <c r="Z1058" s="5">
        <f>'Agents'' Final Roster 0823-0829'!Z982</f>
        <v>0</v>
      </c>
    </row>
    <row r="1059" spans="26:26" x14ac:dyDescent="0.25">
      <c r="Z1059" s="5">
        <f>'Agents'' Final Roster 0823-0829'!Z983</f>
        <v>0</v>
      </c>
    </row>
    <row r="1060" spans="26:26" x14ac:dyDescent="0.25">
      <c r="Z1060" s="5">
        <f>'Agents'' Final Roster 0823-0829'!Z984</f>
        <v>0</v>
      </c>
    </row>
    <row r="1061" spans="26:26" x14ac:dyDescent="0.25">
      <c r="Z1061" s="5">
        <f>'Agents'' Final Roster 0823-0829'!Z985</f>
        <v>0</v>
      </c>
    </row>
    <row r="1062" spans="26:26" x14ac:dyDescent="0.25">
      <c r="Z1062" s="5">
        <f>'Agents'' Final Roster 0823-0829'!Z986</f>
        <v>0</v>
      </c>
    </row>
    <row r="1063" spans="26:26" x14ac:dyDescent="0.25">
      <c r="Z1063" s="5">
        <f>'Agents'' Final Roster 0823-0829'!Z987</f>
        <v>0</v>
      </c>
    </row>
    <row r="1064" spans="26:26" x14ac:dyDescent="0.25">
      <c r="Z1064" s="5">
        <f>'Agents'' Final Roster 0823-0829'!Z988</f>
        <v>0</v>
      </c>
    </row>
    <row r="1065" spans="26:26" x14ac:dyDescent="0.25">
      <c r="Z1065" s="5">
        <f>'Agents'' Final Roster 0823-0829'!Z989</f>
        <v>0</v>
      </c>
    </row>
    <row r="1066" spans="26:26" x14ac:dyDescent="0.25">
      <c r="Z1066" s="5">
        <f>'Agents'' Final Roster 0823-0829'!Z990</f>
        <v>0</v>
      </c>
    </row>
    <row r="1067" spans="26:26" x14ac:dyDescent="0.25">
      <c r="Z1067" s="5">
        <f>'Agents'' Final Roster 0823-0829'!Z991</f>
        <v>0</v>
      </c>
    </row>
    <row r="1068" spans="26:26" x14ac:dyDescent="0.25">
      <c r="Z1068" s="5">
        <f>'Agents'' Final Roster 0823-0829'!Z992</f>
        <v>0</v>
      </c>
    </row>
    <row r="1069" spans="26:26" x14ac:dyDescent="0.25">
      <c r="Z1069" s="5">
        <f>'Agents'' Final Roster 0823-0829'!Z993</f>
        <v>0</v>
      </c>
    </row>
    <row r="1070" spans="26:26" x14ac:dyDescent="0.25">
      <c r="Z1070" s="5">
        <f>'Agents'' Final Roster 0823-0829'!Z994</f>
        <v>0</v>
      </c>
    </row>
    <row r="1071" spans="26:26" x14ac:dyDescent="0.25">
      <c r="Z1071" s="5">
        <f>'Agents'' Final Roster 0823-0829'!Z995</f>
        <v>0</v>
      </c>
    </row>
    <row r="1072" spans="26:26" x14ac:dyDescent="0.25">
      <c r="Z1072" s="5">
        <f>'Agents'' Final Roster 0823-0829'!Z996</f>
        <v>0</v>
      </c>
    </row>
    <row r="1073" spans="26:26" x14ac:dyDescent="0.25">
      <c r="Z1073" s="5">
        <f>'Agents'' Final Roster 0823-0829'!Z997</f>
        <v>0</v>
      </c>
    </row>
    <row r="1074" spans="26:26" x14ac:dyDescent="0.25">
      <c r="Z1074" s="5">
        <f>'Agents'' Final Roster 0823-0829'!Z998</f>
        <v>0</v>
      </c>
    </row>
    <row r="1075" spans="26:26" x14ac:dyDescent="0.25">
      <c r="Z1075" s="5">
        <f>'Agents'' Final Roster 0823-0829'!Z999</f>
        <v>0</v>
      </c>
    </row>
    <row r="1076" spans="26:26" x14ac:dyDescent="0.25">
      <c r="Z1076" s="5">
        <f>'Agents'' Final Roster 0823-0829'!Z1000</f>
        <v>0</v>
      </c>
    </row>
    <row r="1077" spans="26:26" x14ac:dyDescent="0.25">
      <c r="Z1077" s="5">
        <f>'Agents'' Final Roster 0823-0829'!Z1001</f>
        <v>0</v>
      </c>
    </row>
    <row r="1078" spans="26:26" x14ac:dyDescent="0.25">
      <c r="Z1078" s="5">
        <f>'Agents'' Final Roster 0823-0829'!Z1002</f>
        <v>0</v>
      </c>
    </row>
    <row r="1079" spans="26:26" x14ac:dyDescent="0.25">
      <c r="Z1079" s="5">
        <f>'Agents'' Final Roster 0823-0829'!Z1003</f>
        <v>0</v>
      </c>
    </row>
    <row r="1080" spans="26:26" x14ac:dyDescent="0.25">
      <c r="Z1080" s="5">
        <f>'Agents'' Final Roster 0823-0829'!Z1004</f>
        <v>0</v>
      </c>
    </row>
    <row r="1081" spans="26:26" x14ac:dyDescent="0.25">
      <c r="Z1081" s="5">
        <f>'Agents'' Final Roster 0823-0829'!Z1005</f>
        <v>0</v>
      </c>
    </row>
    <row r="1082" spans="26:26" x14ac:dyDescent="0.25">
      <c r="Z1082" s="5">
        <f>'Agents'' Final Roster 0823-0829'!Z1006</f>
        <v>0</v>
      </c>
    </row>
    <row r="1083" spans="26:26" x14ac:dyDescent="0.25">
      <c r="Z1083" s="5">
        <f>'Agents'' Final Roster 0823-0829'!Z1007</f>
        <v>0</v>
      </c>
    </row>
    <row r="1084" spans="26:26" x14ac:dyDescent="0.25">
      <c r="Z1084" s="5">
        <f>'Agents'' Final Roster 0823-0829'!Z1008</f>
        <v>0</v>
      </c>
    </row>
    <row r="1085" spans="26:26" x14ac:dyDescent="0.25">
      <c r="Z1085" s="5">
        <f>'Agents'' Final Roster 0823-0829'!Z1009</f>
        <v>0</v>
      </c>
    </row>
    <row r="1086" spans="26:26" x14ac:dyDescent="0.25">
      <c r="Z1086" s="5">
        <f>'Agents'' Final Roster 0823-0829'!Z1010</f>
        <v>0</v>
      </c>
    </row>
    <row r="1087" spans="26:26" x14ac:dyDescent="0.25">
      <c r="Z1087" s="5">
        <f>'Agents'' Final Roster 0823-0829'!Z1011</f>
        <v>0</v>
      </c>
    </row>
    <row r="1088" spans="26:26" x14ac:dyDescent="0.25">
      <c r="Z1088" s="5">
        <f>'Agents'' Final Roster 0823-0829'!Z1012</f>
        <v>0</v>
      </c>
    </row>
    <row r="1089" spans="26:26" x14ac:dyDescent="0.25">
      <c r="Z1089" s="5">
        <f>'Agents'' Final Roster 0823-0829'!Z1013</f>
        <v>0</v>
      </c>
    </row>
    <row r="1090" spans="26:26" x14ac:dyDescent="0.25">
      <c r="Z1090" s="5">
        <f>'Agents'' Final Roster 0823-0829'!Z1014</f>
        <v>0</v>
      </c>
    </row>
    <row r="1091" spans="26:26" x14ac:dyDescent="0.25">
      <c r="Z1091" s="5">
        <f>'Agents'' Final Roster 0823-0829'!Z1015</f>
        <v>0</v>
      </c>
    </row>
    <row r="1092" spans="26:26" x14ac:dyDescent="0.25">
      <c r="Z1092" s="5">
        <f>'Agents'' Final Roster 0823-0829'!Z1016</f>
        <v>0</v>
      </c>
    </row>
    <row r="1093" spans="26:26" x14ac:dyDescent="0.25">
      <c r="Z1093" s="5">
        <f>'Agents'' Final Roster 0823-0829'!Z1017</f>
        <v>0</v>
      </c>
    </row>
    <row r="1094" spans="26:26" x14ac:dyDescent="0.25">
      <c r="Z1094" s="5">
        <f>'Agents'' Final Roster 0823-0829'!Z1018</f>
        <v>0</v>
      </c>
    </row>
    <row r="1095" spans="26:26" x14ac:dyDescent="0.25">
      <c r="Z1095" s="5">
        <f>'Agents'' Final Roster 0823-0829'!Z1019</f>
        <v>0</v>
      </c>
    </row>
    <row r="1096" spans="26:26" x14ac:dyDescent="0.25">
      <c r="Z1096" s="5">
        <f>'Agents'' Final Roster 0823-0829'!Z1020</f>
        <v>0</v>
      </c>
    </row>
    <row r="1097" spans="26:26" x14ac:dyDescent="0.25">
      <c r="Z1097" s="5">
        <f>'Agents'' Final Roster 0823-0829'!Z1021</f>
        <v>0</v>
      </c>
    </row>
    <row r="1098" spans="26:26" x14ac:dyDescent="0.25">
      <c r="Z1098" s="5">
        <f>'Agents'' Final Roster 0823-0829'!Z1022</f>
        <v>0</v>
      </c>
    </row>
    <row r="1099" spans="26:26" x14ac:dyDescent="0.25">
      <c r="Z1099" s="5">
        <f>'Agents'' Final Roster 0823-0829'!Z1023</f>
        <v>0</v>
      </c>
    </row>
    <row r="1100" spans="26:26" x14ac:dyDescent="0.25">
      <c r="Z1100" s="5">
        <f>'Agents'' Final Roster 0823-0829'!Z1024</f>
        <v>0</v>
      </c>
    </row>
    <row r="1101" spans="26:26" x14ac:dyDescent="0.25">
      <c r="Z1101" s="5">
        <f>'Agents'' Final Roster 0823-0829'!Z1025</f>
        <v>0</v>
      </c>
    </row>
    <row r="1102" spans="26:26" x14ac:dyDescent="0.25">
      <c r="Z1102" s="5">
        <f>'Agents'' Final Roster 0823-0829'!Z1026</f>
        <v>0</v>
      </c>
    </row>
    <row r="1103" spans="26:26" x14ac:dyDescent="0.25">
      <c r="Z1103" s="5">
        <f>'Agents'' Final Roster 0823-0829'!Z1027</f>
        <v>0</v>
      </c>
    </row>
    <row r="1104" spans="26:26" x14ac:dyDescent="0.25">
      <c r="Z1104" s="5">
        <f>'Agents'' Final Roster 0823-0829'!Z1028</f>
        <v>0</v>
      </c>
    </row>
    <row r="1105" spans="26:26" x14ac:dyDescent="0.25">
      <c r="Z1105" s="5">
        <f>'Agents'' Final Roster 0823-0829'!Z1029</f>
        <v>0</v>
      </c>
    </row>
    <row r="1106" spans="26:26" x14ac:dyDescent="0.25">
      <c r="Z1106" s="5">
        <f>'Agents'' Final Roster 0823-0829'!Z1030</f>
        <v>0</v>
      </c>
    </row>
    <row r="1107" spans="26:26" x14ac:dyDescent="0.25">
      <c r="Z1107" s="5">
        <f>'Agents'' Final Roster 0823-0829'!Z1031</f>
        <v>0</v>
      </c>
    </row>
    <row r="1108" spans="26:26" x14ac:dyDescent="0.25">
      <c r="Z1108" s="5">
        <f>'Agents'' Final Roster 0823-0829'!Z1032</f>
        <v>0</v>
      </c>
    </row>
    <row r="1109" spans="26:26" x14ac:dyDescent="0.25">
      <c r="Z1109" s="5">
        <f>'Agents'' Final Roster 0823-0829'!Z1033</f>
        <v>0</v>
      </c>
    </row>
    <row r="1110" spans="26:26" x14ac:dyDescent="0.25">
      <c r="Z1110" s="5">
        <f>'Agents'' Final Roster 0823-0829'!Z1034</f>
        <v>0</v>
      </c>
    </row>
    <row r="1111" spans="26:26" x14ac:dyDescent="0.25">
      <c r="Z1111" s="5">
        <f>'Agents'' Final Roster 0823-0829'!Z1035</f>
        <v>0</v>
      </c>
    </row>
    <row r="1112" spans="26:26" x14ac:dyDescent="0.25">
      <c r="Z1112" s="5">
        <f>'Agents'' Final Roster 0823-0829'!Z1036</f>
        <v>0</v>
      </c>
    </row>
    <row r="1113" spans="26:26" x14ac:dyDescent="0.25">
      <c r="Z1113" s="5">
        <f>'Agents'' Final Roster 0823-0829'!Z1037</f>
        <v>0</v>
      </c>
    </row>
    <row r="1114" spans="26:26" x14ac:dyDescent="0.25">
      <c r="Z1114" s="5">
        <f>'Agents'' Final Roster 0823-0829'!Z1038</f>
        <v>0</v>
      </c>
    </row>
    <row r="1115" spans="26:26" x14ac:dyDescent="0.25">
      <c r="Z1115" s="5">
        <f>'Agents'' Final Roster 0823-0829'!Z1039</f>
        <v>0</v>
      </c>
    </row>
    <row r="1116" spans="26:26" x14ac:dyDescent="0.25">
      <c r="Z1116" s="5">
        <f>'Agents'' Final Roster 0823-0829'!Z1040</f>
        <v>0</v>
      </c>
    </row>
    <row r="1117" spans="26:26" x14ac:dyDescent="0.25">
      <c r="Z1117" s="5">
        <f>'Agents'' Final Roster 0823-0829'!Z1041</f>
        <v>0</v>
      </c>
    </row>
    <row r="1118" spans="26:26" x14ac:dyDescent="0.25">
      <c r="Z1118" s="5">
        <f>'Agents'' Final Roster 0823-0829'!Z1042</f>
        <v>0</v>
      </c>
    </row>
    <row r="1119" spans="26:26" x14ac:dyDescent="0.25">
      <c r="Z1119" s="5">
        <f>'Agents'' Final Roster 0823-0829'!Z1043</f>
        <v>0</v>
      </c>
    </row>
    <row r="1120" spans="26:26" x14ac:dyDescent="0.25">
      <c r="Z1120" s="5">
        <f>'Agents'' Final Roster 0823-0829'!Z1044</f>
        <v>0</v>
      </c>
    </row>
    <row r="1121" spans="26:26" x14ac:dyDescent="0.25">
      <c r="Z1121" s="5">
        <f>'Agents'' Final Roster 0823-0829'!Z1045</f>
        <v>0</v>
      </c>
    </row>
    <row r="1122" spans="26:26" x14ac:dyDescent="0.25">
      <c r="Z1122" s="5">
        <f>'Agents'' Final Roster 0823-0829'!Z1046</f>
        <v>0</v>
      </c>
    </row>
    <row r="1123" spans="26:26" x14ac:dyDescent="0.25">
      <c r="Z1123" s="5">
        <f>'Agents'' Final Roster 0823-0829'!Z1047</f>
        <v>0</v>
      </c>
    </row>
    <row r="1124" spans="26:26" x14ac:dyDescent="0.25">
      <c r="Z1124" s="5">
        <f>'Agents'' Final Roster 0823-0829'!Z1048</f>
        <v>0</v>
      </c>
    </row>
    <row r="1125" spans="26:26" x14ac:dyDescent="0.25">
      <c r="Z1125" s="5">
        <f>'Agents'' Final Roster 0823-0829'!Z1049</f>
        <v>0</v>
      </c>
    </row>
    <row r="1126" spans="26:26" x14ac:dyDescent="0.25">
      <c r="Z1126" s="5">
        <f>'Agents'' Final Roster 0823-0829'!Z1050</f>
        <v>0</v>
      </c>
    </row>
    <row r="1127" spans="26:26" x14ac:dyDescent="0.25">
      <c r="Z1127" s="5">
        <f>'Agents'' Final Roster 0823-0829'!Z1051</f>
        <v>0</v>
      </c>
    </row>
    <row r="1128" spans="26:26" x14ac:dyDescent="0.25">
      <c r="Z1128" s="5">
        <f>'Agents'' Final Roster 0823-0829'!Z1052</f>
        <v>0</v>
      </c>
    </row>
    <row r="1129" spans="26:26" x14ac:dyDescent="0.25">
      <c r="Z1129" s="5">
        <f>'Agents'' Final Roster 0823-0829'!Z1053</f>
        <v>0</v>
      </c>
    </row>
    <row r="1130" spans="26:26" x14ac:dyDescent="0.25">
      <c r="Z1130" s="5">
        <f>'Agents'' Final Roster 0823-0829'!Z1054</f>
        <v>0</v>
      </c>
    </row>
    <row r="1131" spans="26:26" x14ac:dyDescent="0.25">
      <c r="Z1131" s="5">
        <f>'Agents'' Final Roster 0823-0829'!Z1055</f>
        <v>0</v>
      </c>
    </row>
    <row r="1132" spans="26:26" x14ac:dyDescent="0.25">
      <c r="Z1132" s="5">
        <f>'Agents'' Final Roster 0823-0829'!Z1056</f>
        <v>0</v>
      </c>
    </row>
    <row r="1133" spans="26:26" x14ac:dyDescent="0.25">
      <c r="Z1133" s="5">
        <f>'Agents'' Final Roster 0823-0829'!Z1057</f>
        <v>0</v>
      </c>
    </row>
    <row r="1134" spans="26:26" x14ac:dyDescent="0.25">
      <c r="Z1134" s="5">
        <f>'Agents'' Final Roster 0823-0829'!Z1058</f>
        <v>0</v>
      </c>
    </row>
    <row r="1135" spans="26:26" x14ac:dyDescent="0.25">
      <c r="Z1135" s="5">
        <f>'Agents'' Final Roster 0823-0829'!Z1059</f>
        <v>0</v>
      </c>
    </row>
    <row r="1136" spans="26:26" x14ac:dyDescent="0.25">
      <c r="Z1136" s="5">
        <f>'Agents'' Final Roster 0823-0829'!Z1060</f>
        <v>0</v>
      </c>
    </row>
    <row r="1137" spans="26:26" x14ac:dyDescent="0.25">
      <c r="Z1137" s="5">
        <f>'Agents'' Final Roster 0823-0829'!Z1061</f>
        <v>0</v>
      </c>
    </row>
    <row r="1138" spans="26:26" x14ac:dyDescent="0.25">
      <c r="Z1138" s="5">
        <f>'Agents'' Final Roster 0823-0829'!Z1062</f>
        <v>0</v>
      </c>
    </row>
    <row r="1139" spans="26:26" x14ac:dyDescent="0.25">
      <c r="Z1139" s="5">
        <f>'Agents'' Final Roster 0823-0829'!Z1063</f>
        <v>0</v>
      </c>
    </row>
    <row r="1140" spans="26:26" x14ac:dyDescent="0.25">
      <c r="Z1140" s="5">
        <f>'Agents'' Final Roster 0823-0829'!Z1064</f>
        <v>0</v>
      </c>
    </row>
    <row r="1141" spans="26:26" x14ac:dyDescent="0.25">
      <c r="Z1141" s="5">
        <f>'Agents'' Final Roster 0823-0829'!Z1065</f>
        <v>0</v>
      </c>
    </row>
    <row r="1142" spans="26:26" x14ac:dyDescent="0.25">
      <c r="Z1142" s="5">
        <f>'Agents'' Final Roster 0823-0829'!Z1066</f>
        <v>0</v>
      </c>
    </row>
    <row r="1143" spans="26:26" x14ac:dyDescent="0.25">
      <c r="Z1143" s="5">
        <f>'Agents'' Final Roster 0823-0829'!Z1067</f>
        <v>0</v>
      </c>
    </row>
    <row r="1144" spans="26:26" x14ac:dyDescent="0.25">
      <c r="Z1144" s="5">
        <f>'Agents'' Final Roster 0823-0829'!Z1068</f>
        <v>0</v>
      </c>
    </row>
    <row r="1145" spans="26:26" x14ac:dyDescent="0.25">
      <c r="Z1145" s="5">
        <f>'Agents'' Final Roster 0823-0829'!Z1069</f>
        <v>0</v>
      </c>
    </row>
    <row r="1146" spans="26:26" x14ac:dyDescent="0.25">
      <c r="Z1146" s="5">
        <f>'Agents'' Final Roster 0823-0829'!Z1070</f>
        <v>0</v>
      </c>
    </row>
    <row r="1147" spans="26:26" x14ac:dyDescent="0.25">
      <c r="Z1147" s="5">
        <f>'Agents'' Final Roster 0823-0829'!Z1071</f>
        <v>0</v>
      </c>
    </row>
    <row r="1148" spans="26:26" x14ac:dyDescent="0.25">
      <c r="Z1148" s="5">
        <f>'Agents'' Final Roster 0823-0829'!Z1072</f>
        <v>0</v>
      </c>
    </row>
    <row r="1149" spans="26:26" x14ac:dyDescent="0.25">
      <c r="Z1149" s="5">
        <f>'Agents'' Final Roster 0823-0829'!Z1073</f>
        <v>0</v>
      </c>
    </row>
    <row r="1150" spans="26:26" x14ac:dyDescent="0.25">
      <c r="Z1150" s="5">
        <f>'Agents'' Final Roster 0823-0829'!Z1074</f>
        <v>0</v>
      </c>
    </row>
    <row r="1151" spans="26:26" x14ac:dyDescent="0.25">
      <c r="Z1151" s="5">
        <f>'Agents'' Final Roster 0823-0829'!Z1075</f>
        <v>0</v>
      </c>
    </row>
    <row r="1152" spans="26:26" x14ac:dyDescent="0.25">
      <c r="Z1152" s="5">
        <f>'Agents'' Final Roster 0823-0829'!Z1076</f>
        <v>0</v>
      </c>
    </row>
    <row r="1153" spans="26:26" x14ac:dyDescent="0.25">
      <c r="Z1153" s="5">
        <f>'Agents'' Final Roster 0823-0829'!Z1077</f>
        <v>0</v>
      </c>
    </row>
    <row r="1154" spans="26:26" x14ac:dyDescent="0.25">
      <c r="Z1154" s="5">
        <f>'Agents'' Final Roster 0823-0829'!Z1078</f>
        <v>0</v>
      </c>
    </row>
    <row r="1155" spans="26:26" x14ac:dyDescent="0.25">
      <c r="Z1155" s="5">
        <f>'Agents'' Final Roster 0823-0829'!Z1079</f>
        <v>0</v>
      </c>
    </row>
    <row r="1156" spans="26:26" x14ac:dyDescent="0.25">
      <c r="Z1156" s="5">
        <f>'Agents'' Final Roster 0823-0829'!Z1080</f>
        <v>0</v>
      </c>
    </row>
    <row r="1157" spans="26:26" x14ac:dyDescent="0.25">
      <c r="Z1157" s="5">
        <f>'Agents'' Final Roster 0823-0829'!Z1081</f>
        <v>0</v>
      </c>
    </row>
    <row r="1158" spans="26:26" x14ac:dyDescent="0.25">
      <c r="Z1158" s="5">
        <f>'Agents'' Final Roster 0823-0829'!Z1082</f>
        <v>0</v>
      </c>
    </row>
    <row r="1159" spans="26:26" x14ac:dyDescent="0.25">
      <c r="Z1159" s="5">
        <f>'Agents'' Final Roster 0823-0829'!Z1083</f>
        <v>0</v>
      </c>
    </row>
    <row r="1160" spans="26:26" x14ac:dyDescent="0.25">
      <c r="Z1160" s="5">
        <f>'Agents'' Final Roster 0823-0829'!Z1084</f>
        <v>0</v>
      </c>
    </row>
    <row r="1161" spans="26:26" x14ac:dyDescent="0.25">
      <c r="Z1161" s="5">
        <f>'Agents'' Final Roster 0823-0829'!Z1085</f>
        <v>0</v>
      </c>
    </row>
    <row r="1162" spans="26:26" x14ac:dyDescent="0.25">
      <c r="Z1162" s="5">
        <f>'Agents'' Final Roster 0823-0829'!Z1086</f>
        <v>0</v>
      </c>
    </row>
    <row r="1163" spans="26:26" x14ac:dyDescent="0.25">
      <c r="Z1163" s="5">
        <f>'Agents'' Final Roster 0823-0829'!Z1087</f>
        <v>0</v>
      </c>
    </row>
    <row r="1164" spans="26:26" x14ac:dyDescent="0.25">
      <c r="Z1164" s="5">
        <f>'Agents'' Final Roster 0823-0829'!Z1088</f>
        <v>0</v>
      </c>
    </row>
    <row r="1165" spans="26:26" x14ac:dyDescent="0.25">
      <c r="Z1165" s="5">
        <f>'Agents'' Final Roster 0823-0829'!Z1089</f>
        <v>0</v>
      </c>
    </row>
    <row r="1166" spans="26:26" x14ac:dyDescent="0.25">
      <c r="Z1166" s="5">
        <f>'Agents'' Final Roster 0823-0829'!Z1090</f>
        <v>0</v>
      </c>
    </row>
    <row r="1167" spans="26:26" x14ac:dyDescent="0.25">
      <c r="Z1167" s="5">
        <f>'Agents'' Final Roster 0823-0829'!Z1091</f>
        <v>0</v>
      </c>
    </row>
    <row r="1168" spans="26:26" x14ac:dyDescent="0.25">
      <c r="Z1168" s="5">
        <f>'Agents'' Final Roster 0823-0829'!Z1092</f>
        <v>0</v>
      </c>
    </row>
    <row r="1169" spans="26:26" x14ac:dyDescent="0.25">
      <c r="Z1169" s="5">
        <f>'Agents'' Final Roster 0823-0829'!Z1093</f>
        <v>0</v>
      </c>
    </row>
    <row r="1170" spans="26:26" x14ac:dyDescent="0.25">
      <c r="Z1170" s="5">
        <f>'Agents'' Final Roster 0823-0829'!Z1094</f>
        <v>0</v>
      </c>
    </row>
    <row r="1171" spans="26:26" x14ac:dyDescent="0.25">
      <c r="Z1171" s="5">
        <f>'Agents'' Final Roster 0823-0829'!Z1095</f>
        <v>0</v>
      </c>
    </row>
    <row r="1172" spans="26:26" x14ac:dyDescent="0.25">
      <c r="Z1172" s="5">
        <f>'Agents'' Final Roster 0823-0829'!Z1096</f>
        <v>0</v>
      </c>
    </row>
    <row r="1173" spans="26:26" x14ac:dyDescent="0.25">
      <c r="Z1173" s="5">
        <f>'Agents'' Final Roster 0823-0829'!Z1097</f>
        <v>0</v>
      </c>
    </row>
    <row r="1174" spans="26:26" x14ac:dyDescent="0.25">
      <c r="Z1174" s="5">
        <f>'Agents'' Final Roster 0823-0829'!Z1098</f>
        <v>0</v>
      </c>
    </row>
    <row r="1175" spans="26:26" x14ac:dyDescent="0.25">
      <c r="Z1175" s="5">
        <f>'Agents'' Final Roster 0823-0829'!Z1099</f>
        <v>0</v>
      </c>
    </row>
    <row r="1176" spans="26:26" x14ac:dyDescent="0.25">
      <c r="Z1176" s="5">
        <f>'Agents'' Final Roster 0823-0829'!Z1100</f>
        <v>0</v>
      </c>
    </row>
    <row r="1177" spans="26:26" x14ac:dyDescent="0.25">
      <c r="Z1177" s="5">
        <f>'Agents'' Final Roster 0823-0829'!Z1101</f>
        <v>0</v>
      </c>
    </row>
    <row r="1178" spans="26:26" x14ac:dyDescent="0.25">
      <c r="Z1178" s="5">
        <f>'Agents'' Final Roster 0823-0829'!Z1102</f>
        <v>0</v>
      </c>
    </row>
    <row r="1179" spans="26:26" x14ac:dyDescent="0.25">
      <c r="Z1179" s="5">
        <f>'Agents'' Final Roster 0823-0829'!Z1103</f>
        <v>0</v>
      </c>
    </row>
    <row r="1180" spans="26:26" x14ac:dyDescent="0.25">
      <c r="Z1180" s="5">
        <f>'Agents'' Final Roster 0823-0829'!Z1104</f>
        <v>0</v>
      </c>
    </row>
    <row r="1181" spans="26:26" x14ac:dyDescent="0.25">
      <c r="Z1181" s="5">
        <f>'Agents'' Final Roster 0823-0829'!Z1105</f>
        <v>0</v>
      </c>
    </row>
    <row r="1182" spans="26:26" x14ac:dyDescent="0.25">
      <c r="Z1182" s="5">
        <f>'Agents'' Final Roster 0823-0829'!Z1106</f>
        <v>0</v>
      </c>
    </row>
    <row r="1183" spans="26:26" x14ac:dyDescent="0.25">
      <c r="Z1183" s="5">
        <f>'Agents'' Final Roster 0823-0829'!Z1107</f>
        <v>0</v>
      </c>
    </row>
    <row r="1184" spans="26:26" x14ac:dyDescent="0.25">
      <c r="Z1184" s="5">
        <f>'Agents'' Final Roster 0823-0829'!Z1108</f>
        <v>0</v>
      </c>
    </row>
    <row r="1185" spans="26:26" x14ac:dyDescent="0.25">
      <c r="Z1185" s="5">
        <f>'Agents'' Final Roster 0823-0829'!Z1109</f>
        <v>0</v>
      </c>
    </row>
    <row r="1186" spans="26:26" x14ac:dyDescent="0.25">
      <c r="Z1186" s="5">
        <f>'Agents'' Final Roster 0823-0829'!Z1110</f>
        <v>0</v>
      </c>
    </row>
    <row r="1187" spans="26:26" x14ac:dyDescent="0.25">
      <c r="Z1187" s="5">
        <f>'Agents'' Final Roster 0823-0829'!Z1111</f>
        <v>0</v>
      </c>
    </row>
    <row r="1188" spans="26:26" x14ac:dyDescent="0.25">
      <c r="Z1188" s="5">
        <f>'Agents'' Final Roster 0823-0829'!Z1112</f>
        <v>0</v>
      </c>
    </row>
    <row r="1189" spans="26:26" x14ac:dyDescent="0.25">
      <c r="Z1189" s="5">
        <f>'Agents'' Final Roster 0823-0829'!Z1113</f>
        <v>0</v>
      </c>
    </row>
    <row r="1190" spans="26:26" x14ac:dyDescent="0.25">
      <c r="Z1190" s="5">
        <f>'Agents'' Final Roster 0823-0829'!Z1114</f>
        <v>0</v>
      </c>
    </row>
    <row r="1191" spans="26:26" x14ac:dyDescent="0.25">
      <c r="Z1191" s="5">
        <f>'Agents'' Final Roster 0823-0829'!Z1115</f>
        <v>0</v>
      </c>
    </row>
    <row r="1192" spans="26:26" x14ac:dyDescent="0.25">
      <c r="Z1192" s="5">
        <f>'Agents'' Final Roster 0823-0829'!Z1116</f>
        <v>0</v>
      </c>
    </row>
    <row r="1193" spans="26:26" x14ac:dyDescent="0.25">
      <c r="Z1193" s="5">
        <f>'Agents'' Final Roster 0823-0829'!Z1117</f>
        <v>0</v>
      </c>
    </row>
    <row r="1194" spans="26:26" x14ac:dyDescent="0.25">
      <c r="Z1194" s="5">
        <f>'Agents'' Final Roster 0823-0829'!Z1118</f>
        <v>0</v>
      </c>
    </row>
    <row r="1195" spans="26:26" x14ac:dyDescent="0.25">
      <c r="Z1195" s="5">
        <f>'Agents'' Final Roster 0823-0829'!Z1119</f>
        <v>0</v>
      </c>
    </row>
    <row r="1196" spans="26:26" x14ac:dyDescent="0.25">
      <c r="Z1196" s="5">
        <f>'Agents'' Final Roster 0823-0829'!Z1120</f>
        <v>0</v>
      </c>
    </row>
    <row r="1197" spans="26:26" x14ac:dyDescent="0.25">
      <c r="Z1197" s="5">
        <f>'Agents'' Final Roster 0823-0829'!Z1121</f>
        <v>0</v>
      </c>
    </row>
    <row r="1198" spans="26:26" x14ac:dyDescent="0.25">
      <c r="Z1198" s="5">
        <f>'Agents'' Final Roster 0823-0829'!Z1122</f>
        <v>0</v>
      </c>
    </row>
    <row r="1199" spans="26:26" x14ac:dyDescent="0.25">
      <c r="Z1199" s="5">
        <f>'Agents'' Final Roster 0823-0829'!Z1123</f>
        <v>0</v>
      </c>
    </row>
    <row r="1200" spans="26:26" x14ac:dyDescent="0.25">
      <c r="Z1200" s="5">
        <f>'Agents'' Final Roster 0823-0829'!Z1124</f>
        <v>0</v>
      </c>
    </row>
    <row r="1201" spans="26:26" x14ac:dyDescent="0.25">
      <c r="Z1201" s="5">
        <f>'Agents'' Final Roster 0823-0829'!Z1125</f>
        <v>0</v>
      </c>
    </row>
    <row r="1202" spans="26:26" x14ac:dyDescent="0.25">
      <c r="Z1202" s="5">
        <f>'Agents'' Final Roster 0823-0829'!Z1126</f>
        <v>0</v>
      </c>
    </row>
    <row r="1203" spans="26:26" x14ac:dyDescent="0.25">
      <c r="Z1203" s="5">
        <f>'Agents'' Final Roster 0823-0829'!Z1127</f>
        <v>0</v>
      </c>
    </row>
    <row r="1204" spans="26:26" x14ac:dyDescent="0.25">
      <c r="Z1204" s="5">
        <f>'Agents'' Final Roster 0823-0829'!Z1128</f>
        <v>0</v>
      </c>
    </row>
    <row r="1205" spans="26:26" x14ac:dyDescent="0.25">
      <c r="Z1205" s="5">
        <f>'Agents'' Final Roster 0823-0829'!Z1129</f>
        <v>0</v>
      </c>
    </row>
    <row r="1206" spans="26:26" x14ac:dyDescent="0.25">
      <c r="Z1206" s="5">
        <f>'Agents'' Final Roster 0823-0829'!Z1130</f>
        <v>0</v>
      </c>
    </row>
    <row r="1207" spans="26:26" x14ac:dyDescent="0.25">
      <c r="Z1207" s="5">
        <f>'Agents'' Final Roster 0823-0829'!Z1131</f>
        <v>0</v>
      </c>
    </row>
    <row r="1208" spans="26:26" x14ac:dyDescent="0.25">
      <c r="Z1208" s="5">
        <f>'Agents'' Final Roster 0823-0829'!Z1132</f>
        <v>0</v>
      </c>
    </row>
    <row r="1209" spans="26:26" x14ac:dyDescent="0.25">
      <c r="Z1209" s="5">
        <f>'Agents'' Final Roster 0823-0829'!Z1133</f>
        <v>0</v>
      </c>
    </row>
    <row r="1210" spans="26:26" x14ac:dyDescent="0.25">
      <c r="Z1210" s="5">
        <f>'Agents'' Final Roster 0823-0829'!Z1134</f>
        <v>0</v>
      </c>
    </row>
    <row r="1211" spans="26:26" x14ac:dyDescent="0.25">
      <c r="Z1211" s="5">
        <f>'Agents'' Final Roster 0823-0829'!Z1135</f>
        <v>0</v>
      </c>
    </row>
    <row r="1212" spans="26:26" x14ac:dyDescent="0.25">
      <c r="Z1212" s="5">
        <f>'Agents'' Final Roster 0823-0829'!Z1136</f>
        <v>0</v>
      </c>
    </row>
    <row r="1213" spans="26:26" x14ac:dyDescent="0.25">
      <c r="Z1213" s="5">
        <f>'Agents'' Final Roster 0823-0829'!Z1137</f>
        <v>0</v>
      </c>
    </row>
    <row r="1214" spans="26:26" x14ac:dyDescent="0.25">
      <c r="Z1214" s="5">
        <f>'Agents'' Final Roster 0823-0829'!Z1138</f>
        <v>0</v>
      </c>
    </row>
    <row r="1215" spans="26:26" x14ac:dyDescent="0.25">
      <c r="Z1215" s="5">
        <f>'Agents'' Final Roster 0823-0829'!Z1139</f>
        <v>0</v>
      </c>
    </row>
    <row r="1216" spans="26:26" x14ac:dyDescent="0.25">
      <c r="Z1216" s="5">
        <f>'Agents'' Final Roster 0823-0829'!Z1140</f>
        <v>0</v>
      </c>
    </row>
    <row r="1217" spans="26:26" x14ac:dyDescent="0.25">
      <c r="Z1217" s="5">
        <f>'Agents'' Final Roster 0823-0829'!Z1141</f>
        <v>0</v>
      </c>
    </row>
    <row r="1218" spans="26:26" x14ac:dyDescent="0.25">
      <c r="Z1218" s="5">
        <f>'Agents'' Final Roster 0823-0829'!Z1142</f>
        <v>0</v>
      </c>
    </row>
    <row r="1219" spans="26:26" x14ac:dyDescent="0.25">
      <c r="Z1219" s="5">
        <f>'Agents'' Final Roster 0823-0829'!Z1143</f>
        <v>0</v>
      </c>
    </row>
    <row r="1220" spans="26:26" x14ac:dyDescent="0.25">
      <c r="Z1220" s="5">
        <f>'Agents'' Final Roster 0823-0829'!Z1144</f>
        <v>0</v>
      </c>
    </row>
    <row r="1221" spans="26:26" x14ac:dyDescent="0.25">
      <c r="Z1221" s="5">
        <f>'Agents'' Final Roster 0823-0829'!Z1145</f>
        <v>0</v>
      </c>
    </row>
    <row r="1222" spans="26:26" x14ac:dyDescent="0.25">
      <c r="Z1222" s="5">
        <f>'Agents'' Final Roster 0823-0829'!Z1146</f>
        <v>0</v>
      </c>
    </row>
    <row r="1223" spans="26:26" x14ac:dyDescent="0.25">
      <c r="Z1223" s="5">
        <f>'Agents'' Final Roster 0823-0829'!Z1147</f>
        <v>0</v>
      </c>
    </row>
    <row r="1224" spans="26:26" x14ac:dyDescent="0.25">
      <c r="Z1224" s="5">
        <f>'Agents'' Final Roster 0823-0829'!Z1148</f>
        <v>0</v>
      </c>
    </row>
    <row r="1225" spans="26:26" x14ac:dyDescent="0.25">
      <c r="Z1225" s="5">
        <f>'Agents'' Final Roster 0823-0829'!Z1149</f>
        <v>0</v>
      </c>
    </row>
    <row r="1226" spans="26:26" x14ac:dyDescent="0.25">
      <c r="Z1226" s="5">
        <f>'Agents'' Final Roster 0823-0829'!Z1150</f>
        <v>0</v>
      </c>
    </row>
    <row r="1227" spans="26:26" x14ac:dyDescent="0.25">
      <c r="Z1227" s="5">
        <f>'Agents'' Final Roster 0823-0829'!Z1151</f>
        <v>0</v>
      </c>
    </row>
    <row r="1228" spans="26:26" x14ac:dyDescent="0.25">
      <c r="Z1228" s="5">
        <f>'Agents'' Final Roster 0823-0829'!Z1152</f>
        <v>0</v>
      </c>
    </row>
    <row r="1229" spans="26:26" x14ac:dyDescent="0.25">
      <c r="Z1229" s="5">
        <f>'Agents'' Final Roster 0823-0829'!Z1153</f>
        <v>0</v>
      </c>
    </row>
    <row r="1230" spans="26:26" x14ac:dyDescent="0.25">
      <c r="Z1230" s="5">
        <f>'Agents'' Final Roster 0823-0829'!Z1154</f>
        <v>0</v>
      </c>
    </row>
    <row r="1231" spans="26:26" x14ac:dyDescent="0.25">
      <c r="Z1231" s="5">
        <f>'Agents'' Final Roster 0823-0829'!Z1155</f>
        <v>0</v>
      </c>
    </row>
    <row r="1232" spans="26:26" x14ac:dyDescent="0.25">
      <c r="Z1232" s="5">
        <f>'Agents'' Final Roster 0823-0829'!Z1156</f>
        <v>0</v>
      </c>
    </row>
    <row r="1233" spans="26:26" x14ac:dyDescent="0.25">
      <c r="Z1233" s="5">
        <f>'Agents'' Final Roster 0823-0829'!Z1157</f>
        <v>0</v>
      </c>
    </row>
    <row r="1234" spans="26:26" x14ac:dyDescent="0.25">
      <c r="Z1234" s="5">
        <f>'Agents'' Final Roster 0823-0829'!Z1158</f>
        <v>0</v>
      </c>
    </row>
    <row r="1235" spans="26:26" x14ac:dyDescent="0.25">
      <c r="Z1235" s="5">
        <f>'Agents'' Final Roster 0823-0829'!Z1159</f>
        <v>0</v>
      </c>
    </row>
    <row r="1236" spans="26:26" x14ac:dyDescent="0.25">
      <c r="Z1236" s="5">
        <f>'Agents'' Final Roster 0823-0829'!Z1160</f>
        <v>0</v>
      </c>
    </row>
    <row r="1237" spans="26:26" x14ac:dyDescent="0.25">
      <c r="Z1237" s="5">
        <f>'Agents'' Final Roster 0823-0829'!Z1161</f>
        <v>0</v>
      </c>
    </row>
    <row r="1238" spans="26:26" x14ac:dyDescent="0.25">
      <c r="Z1238" s="5">
        <f>'Agents'' Final Roster 0823-0829'!Z1162</f>
        <v>0</v>
      </c>
    </row>
    <row r="1239" spans="26:26" x14ac:dyDescent="0.25">
      <c r="Z1239" s="5">
        <f>'Agents'' Final Roster 0823-0829'!Z1163</f>
        <v>0</v>
      </c>
    </row>
    <row r="1240" spans="26:26" x14ac:dyDescent="0.25">
      <c r="Z1240" s="5">
        <f>'Agents'' Final Roster 0823-0829'!Z1164</f>
        <v>0</v>
      </c>
    </row>
    <row r="1241" spans="26:26" x14ac:dyDescent="0.25">
      <c r="Z1241" s="5">
        <f>'Agents'' Final Roster 0823-0829'!Z1165</f>
        <v>0</v>
      </c>
    </row>
    <row r="1242" spans="26:26" x14ac:dyDescent="0.25">
      <c r="Z1242" s="5">
        <f>'Agents'' Final Roster 0823-0829'!Z1166</f>
        <v>0</v>
      </c>
    </row>
    <row r="1243" spans="26:26" x14ac:dyDescent="0.25">
      <c r="Z1243" s="5">
        <f>'Agents'' Final Roster 0823-0829'!Z1167</f>
        <v>0</v>
      </c>
    </row>
    <row r="1244" spans="26:26" x14ac:dyDescent="0.25">
      <c r="Z1244" s="5">
        <f>'Agents'' Final Roster 0823-0829'!Z1168</f>
        <v>0</v>
      </c>
    </row>
    <row r="1245" spans="26:26" x14ac:dyDescent="0.25">
      <c r="Z1245" s="5">
        <f>'Agents'' Final Roster 0823-0829'!Z1169</f>
        <v>0</v>
      </c>
    </row>
    <row r="1246" spans="26:26" x14ac:dyDescent="0.25">
      <c r="Z1246" s="5">
        <f>'Agents'' Final Roster 0823-0829'!Z1170</f>
        <v>0</v>
      </c>
    </row>
    <row r="1247" spans="26:26" x14ac:dyDescent="0.25">
      <c r="Z1247" s="5">
        <f>'Agents'' Final Roster 0823-0829'!Z1171</f>
        <v>0</v>
      </c>
    </row>
    <row r="1248" spans="26:26" x14ac:dyDescent="0.25">
      <c r="Z1248" s="5">
        <f>'Agents'' Final Roster 0823-0829'!Z1172</f>
        <v>0</v>
      </c>
    </row>
    <row r="1249" spans="26:26" x14ac:dyDescent="0.25">
      <c r="Z1249" s="5">
        <f>'Agents'' Final Roster 0823-0829'!Z1173</f>
        <v>0</v>
      </c>
    </row>
    <row r="1250" spans="26:26" x14ac:dyDescent="0.25">
      <c r="Z1250" s="5">
        <f>'Agents'' Final Roster 0823-0829'!Z1174</f>
        <v>0</v>
      </c>
    </row>
    <row r="1251" spans="26:26" x14ac:dyDescent="0.25">
      <c r="Z1251" s="5">
        <f>'Agents'' Final Roster 0823-0829'!Z1175</f>
        <v>0</v>
      </c>
    </row>
    <row r="1252" spans="26:26" x14ac:dyDescent="0.25">
      <c r="Z1252" s="5">
        <f>'Agents'' Final Roster 0823-0829'!Z1176</f>
        <v>0</v>
      </c>
    </row>
    <row r="1253" spans="26:26" x14ac:dyDescent="0.25">
      <c r="Z1253" s="5">
        <f>'Agents'' Final Roster 0823-0829'!Z1177</f>
        <v>0</v>
      </c>
    </row>
    <row r="1254" spans="26:26" x14ac:dyDescent="0.25">
      <c r="Z1254" s="5">
        <f>'Agents'' Final Roster 0823-0829'!Z1178</f>
        <v>0</v>
      </c>
    </row>
    <row r="1255" spans="26:26" x14ac:dyDescent="0.25">
      <c r="Z1255" s="5">
        <f>'Agents'' Final Roster 0823-0829'!Z1179</f>
        <v>0</v>
      </c>
    </row>
    <row r="1256" spans="26:26" x14ac:dyDescent="0.25">
      <c r="Z1256" s="5">
        <f>'Agents'' Final Roster 0823-0829'!Z1180</f>
        <v>0</v>
      </c>
    </row>
    <row r="1257" spans="26:26" x14ac:dyDescent="0.25">
      <c r="Z1257" s="5">
        <f>'Agents'' Final Roster 0823-0829'!Z1181</f>
        <v>0</v>
      </c>
    </row>
    <row r="1258" spans="26:26" x14ac:dyDescent="0.25">
      <c r="Z1258" s="5">
        <f>'Agents'' Final Roster 0823-0829'!Z1182</f>
        <v>0</v>
      </c>
    </row>
    <row r="1259" spans="26:26" x14ac:dyDescent="0.25">
      <c r="Z1259" s="5">
        <f>'Agents'' Final Roster 0823-0829'!Z1183</f>
        <v>0</v>
      </c>
    </row>
    <row r="1260" spans="26:26" x14ac:dyDescent="0.25">
      <c r="Z1260" s="5">
        <f>'Agents'' Final Roster 0823-0829'!Z1184</f>
        <v>0</v>
      </c>
    </row>
    <row r="1261" spans="26:26" x14ac:dyDescent="0.25">
      <c r="Z1261" s="5">
        <f>'Agents'' Final Roster 0823-0829'!Z1185</f>
        <v>0</v>
      </c>
    </row>
    <row r="1262" spans="26:26" x14ac:dyDescent="0.25">
      <c r="Z1262" s="5">
        <f>'Agents'' Final Roster 0823-0829'!Z1186</f>
        <v>0</v>
      </c>
    </row>
    <row r="1263" spans="26:26" x14ac:dyDescent="0.25">
      <c r="Z1263" s="5">
        <f>'Agents'' Final Roster 0823-0829'!Z1187</f>
        <v>0</v>
      </c>
    </row>
    <row r="1264" spans="26:26" x14ac:dyDescent="0.25">
      <c r="Z1264" s="5">
        <f>'Agents'' Final Roster 0823-0829'!Z1188</f>
        <v>0</v>
      </c>
    </row>
    <row r="1265" spans="26:26" x14ac:dyDescent="0.25">
      <c r="Z1265" s="5">
        <f>'Agents'' Final Roster 0823-0829'!Z1189</f>
        <v>0</v>
      </c>
    </row>
    <row r="1266" spans="26:26" x14ac:dyDescent="0.25">
      <c r="Z1266" s="5">
        <f>'Agents'' Final Roster 0823-0829'!Z1190</f>
        <v>0</v>
      </c>
    </row>
    <row r="1267" spans="26:26" x14ac:dyDescent="0.25">
      <c r="Z1267" s="5">
        <f>'Agents'' Final Roster 0823-0829'!Z1191</f>
        <v>0</v>
      </c>
    </row>
    <row r="1268" spans="26:26" x14ac:dyDescent="0.25">
      <c r="Z1268" s="5">
        <f>'Agents'' Final Roster 0823-0829'!Z1192</f>
        <v>0</v>
      </c>
    </row>
    <row r="1269" spans="26:26" x14ac:dyDescent="0.25">
      <c r="Z1269" s="5">
        <f>'Agents'' Final Roster 0823-0829'!Z1193</f>
        <v>0</v>
      </c>
    </row>
    <row r="1270" spans="26:26" x14ac:dyDescent="0.25">
      <c r="Z1270" s="5">
        <f>'Agents'' Final Roster 0823-0829'!Z1194</f>
        <v>0</v>
      </c>
    </row>
    <row r="1271" spans="26:26" x14ac:dyDescent="0.25">
      <c r="Z1271" s="5">
        <f>'Agents'' Final Roster 0823-0829'!Z1195</f>
        <v>0</v>
      </c>
    </row>
    <row r="1272" spans="26:26" x14ac:dyDescent="0.25">
      <c r="Z1272" s="5">
        <f>'Agents'' Final Roster 0823-0829'!Z1196</f>
        <v>0</v>
      </c>
    </row>
    <row r="1273" spans="26:26" x14ac:dyDescent="0.25">
      <c r="Z1273" s="5">
        <f>'Agents'' Final Roster 0823-0829'!Z1197</f>
        <v>0</v>
      </c>
    </row>
    <row r="1274" spans="26:26" x14ac:dyDescent="0.25">
      <c r="Z1274" s="5">
        <f>'Agents'' Final Roster 0823-0829'!Z1198</f>
        <v>0</v>
      </c>
    </row>
    <row r="1275" spans="26:26" x14ac:dyDescent="0.25">
      <c r="Z1275" s="5">
        <f>'Agents'' Final Roster 0823-0829'!Z1199</f>
        <v>0</v>
      </c>
    </row>
    <row r="1276" spans="26:26" x14ac:dyDescent="0.25">
      <c r="Z1276" s="5">
        <f>'Agents'' Final Roster 0823-0829'!Z1200</f>
        <v>0</v>
      </c>
    </row>
    <row r="1277" spans="26:26" x14ac:dyDescent="0.25">
      <c r="Z1277" s="5">
        <f>'Agents'' Final Roster 0823-0829'!Z1201</f>
        <v>0</v>
      </c>
    </row>
    <row r="1278" spans="26:26" x14ac:dyDescent="0.25">
      <c r="Z1278" s="5">
        <f>'Agents'' Final Roster 0823-0829'!Z1202</f>
        <v>0</v>
      </c>
    </row>
    <row r="1279" spans="26:26" x14ac:dyDescent="0.25">
      <c r="Z1279" s="5">
        <f>'Agents'' Final Roster 0823-0829'!Z1203</f>
        <v>0</v>
      </c>
    </row>
    <row r="1280" spans="26:26" x14ac:dyDescent="0.25">
      <c r="Z1280" s="5">
        <f>'Agents'' Final Roster 0823-0829'!Z1204</f>
        <v>0</v>
      </c>
    </row>
    <row r="1281" spans="26:26" x14ac:dyDescent="0.25">
      <c r="Z1281" s="5">
        <f>'Agents'' Final Roster 0823-0829'!Z1205</f>
        <v>0</v>
      </c>
    </row>
    <row r="1282" spans="26:26" x14ac:dyDescent="0.25">
      <c r="Z1282" s="5">
        <f>'Agents'' Final Roster 0823-0829'!Z1206</f>
        <v>0</v>
      </c>
    </row>
    <row r="1283" spans="26:26" x14ac:dyDescent="0.25">
      <c r="Z1283" s="5">
        <f>'Agents'' Final Roster 0823-0829'!Z1207</f>
        <v>0</v>
      </c>
    </row>
    <row r="1284" spans="26:26" x14ac:dyDescent="0.25">
      <c r="Z1284" s="5">
        <f>'Agents'' Final Roster 0823-0829'!Z1208</f>
        <v>0</v>
      </c>
    </row>
    <row r="1285" spans="26:26" x14ac:dyDescent="0.25">
      <c r="Z1285" s="5">
        <f>'Agents'' Final Roster 0823-0829'!Z1209</f>
        <v>0</v>
      </c>
    </row>
    <row r="1286" spans="26:26" x14ac:dyDescent="0.25">
      <c r="Z1286" s="5">
        <f>'Agents'' Final Roster 0823-0829'!Z1210</f>
        <v>0</v>
      </c>
    </row>
    <row r="1287" spans="26:26" x14ac:dyDescent="0.25">
      <c r="Z1287" s="5">
        <f>'Agents'' Final Roster 0823-0829'!Z1211</f>
        <v>0</v>
      </c>
    </row>
    <row r="1288" spans="26:26" x14ac:dyDescent="0.25">
      <c r="Z1288" s="5">
        <f>'Agents'' Final Roster 0823-0829'!Z1212</f>
        <v>0</v>
      </c>
    </row>
    <row r="1289" spans="26:26" x14ac:dyDescent="0.25">
      <c r="Z1289" s="5">
        <f>'Agents'' Final Roster 0823-0829'!Z1213</f>
        <v>0</v>
      </c>
    </row>
    <row r="1290" spans="26:26" x14ac:dyDescent="0.25">
      <c r="Z1290" s="5">
        <f>'Agents'' Final Roster 0823-0829'!Z1214</f>
        <v>0</v>
      </c>
    </row>
    <row r="1291" spans="26:26" x14ac:dyDescent="0.25">
      <c r="Z1291" s="5">
        <f>'Agents'' Final Roster 0823-0829'!Z1215</f>
        <v>0</v>
      </c>
    </row>
    <row r="1292" spans="26:26" x14ac:dyDescent="0.25">
      <c r="Z1292" s="5">
        <f>'Agents'' Final Roster 0823-0829'!Z1216</f>
        <v>0</v>
      </c>
    </row>
    <row r="1293" spans="26:26" x14ac:dyDescent="0.25">
      <c r="Z1293" s="5">
        <f>'Agents'' Final Roster 0823-0829'!Z1217</f>
        <v>0</v>
      </c>
    </row>
    <row r="1294" spans="26:26" x14ac:dyDescent="0.25">
      <c r="Z1294" s="5">
        <f>'Agents'' Final Roster 0823-0829'!Z1218</f>
        <v>0</v>
      </c>
    </row>
    <row r="1295" spans="26:26" x14ac:dyDescent="0.25">
      <c r="Z1295" s="5">
        <f>'Agents'' Final Roster 0823-0829'!Z1219</f>
        <v>0</v>
      </c>
    </row>
    <row r="1296" spans="26:26" x14ac:dyDescent="0.25">
      <c r="Z1296" s="5">
        <f>'Agents'' Final Roster 0823-0829'!Z1220</f>
        <v>0</v>
      </c>
    </row>
    <row r="1297" spans="26:26" x14ac:dyDescent="0.25">
      <c r="Z1297" s="5">
        <f>'Agents'' Final Roster 0823-0829'!Z1221</f>
        <v>0</v>
      </c>
    </row>
    <row r="1298" spans="26:26" x14ac:dyDescent="0.25">
      <c r="Z1298" s="5">
        <f>'Agents'' Final Roster 0823-0829'!Z1222</f>
        <v>0</v>
      </c>
    </row>
    <row r="1299" spans="26:26" x14ac:dyDescent="0.25">
      <c r="Z1299" s="5">
        <f>'Agents'' Final Roster 0823-0829'!Z1223</f>
        <v>0</v>
      </c>
    </row>
    <row r="1300" spans="26:26" x14ac:dyDescent="0.25">
      <c r="Z1300" s="5">
        <f>'Agents'' Final Roster 0823-0829'!Z1224</f>
        <v>0</v>
      </c>
    </row>
    <row r="1301" spans="26:26" x14ac:dyDescent="0.25">
      <c r="Z1301" s="5">
        <f>'Agents'' Final Roster 0823-0829'!Z1225</f>
        <v>0</v>
      </c>
    </row>
    <row r="1302" spans="26:26" x14ac:dyDescent="0.25">
      <c r="Z1302" s="5">
        <f>'Agents'' Final Roster 0823-0829'!Z1226</f>
        <v>0</v>
      </c>
    </row>
    <row r="1303" spans="26:26" x14ac:dyDescent="0.25">
      <c r="Z1303" s="5">
        <f>'Agents'' Final Roster 0823-0829'!Z1227</f>
        <v>0</v>
      </c>
    </row>
  </sheetData>
  <autoFilter ref="A1:AP233"/>
  <sortState ref="A2:AO708">
    <sortCondition ref="A2:A708"/>
    <sortCondition ref="B2:B708"/>
    <sortCondition ref="C2:C708"/>
  </sortState>
  <conditionalFormatting sqref="D1:P1">
    <cfRule type="cellIs" dxfId="1984" priority="4737" operator="equal">
      <formula>"FER"</formula>
    </cfRule>
  </conditionalFormatting>
  <conditionalFormatting sqref="E1:K1">
    <cfRule type="cellIs" dxfId="1983" priority="4723" operator="equal">
      <formula>"Pending Term"</formula>
    </cfRule>
  </conditionalFormatting>
  <conditionalFormatting sqref="F1:L1">
    <cfRule type="cellIs" dxfId="1982" priority="4708" operator="equal">
      <formula>"off"</formula>
    </cfRule>
  </conditionalFormatting>
  <conditionalFormatting sqref="F1:L1">
    <cfRule type="cellIs" dxfId="1981" priority="4707" operator="equal">
      <formula>"LOA"</formula>
    </cfRule>
  </conditionalFormatting>
  <conditionalFormatting sqref="V207:V218 V263:V275 V296:V310 V220:V241 V2:V3 V39:V53 V6:V37 V55:V204">
    <cfRule type="cellIs" dxfId="1980" priority="813" operator="greaterThan">
      <formula>45</formula>
    </cfRule>
  </conditionalFormatting>
  <conditionalFormatting sqref="A207:A218 A264:A275 A220:A241 A188:A204 A2:A3 A39:A53 A92:A96 A116:A122 A128:A135 A124:A126 A55:A89 A98:A106 A6:A37 A108:A114">
    <cfRule type="cellIs" dxfId="1979" priority="802" operator="equal">
      <formula>"LOA"</formula>
    </cfRule>
    <cfRule type="cellIs" dxfId="1978" priority="803" operator="equal">
      <formula>"PENDING TERM"</formula>
    </cfRule>
    <cfRule type="cellIs" dxfId="1977" priority="804" operator="equal">
      <formula>"PROMOTED"</formula>
    </cfRule>
    <cfRule type="cellIs" dxfId="1976" priority="805" operator="equal">
      <formula>"REINSTATEMENT"</formula>
    </cfRule>
    <cfRule type="cellIs" dxfId="1975" priority="806" operator="equal">
      <formula>"TERM"</formula>
    </cfRule>
    <cfRule type="cellIs" dxfId="1974" priority="807" operator="equal">
      <formula>"TRANSFER"</formula>
    </cfRule>
  </conditionalFormatting>
  <conditionalFormatting sqref="E207:K218 E263:K275 E220:K241 E296:K310 E2:K3 E39:K53 E6:K37 E55:K205">
    <cfRule type="cellIs" dxfId="1973" priority="808" operator="equal">
      <formula>"Approved Off"</formula>
    </cfRule>
    <cfRule type="cellIs" dxfId="1972" priority="809" operator="equal">
      <formula>"LOA"</formula>
    </cfRule>
    <cfRule type="cellIs" dxfId="1971" priority="810" operator="equal">
      <formula>"nesting"</formula>
    </cfRule>
    <cfRule type="cellIs" dxfId="1970" priority="811" operator="equal">
      <formula>"off"</formula>
    </cfRule>
    <cfRule type="cellIs" dxfId="1969" priority="812" operator="equal">
      <formula>"vac"</formula>
    </cfRule>
  </conditionalFormatting>
  <conditionalFormatting sqref="V4">
    <cfRule type="cellIs" dxfId="1968" priority="797" operator="greaterThan">
      <formula>45</formula>
    </cfRule>
  </conditionalFormatting>
  <conditionalFormatting sqref="A4">
    <cfRule type="cellIs" dxfId="1967" priority="786" operator="equal">
      <formula>"LOA"</formula>
    </cfRule>
    <cfRule type="cellIs" dxfId="1966" priority="787" operator="equal">
      <formula>"PENDING TERM"</formula>
    </cfRule>
    <cfRule type="cellIs" dxfId="1965" priority="788" operator="equal">
      <formula>"PROMOTED"</formula>
    </cfRule>
    <cfRule type="cellIs" dxfId="1964" priority="789" operator="equal">
      <formula>"REINSTATEMENT"</formula>
    </cfRule>
    <cfRule type="cellIs" dxfId="1963" priority="790" operator="equal">
      <formula>"TERM"</formula>
    </cfRule>
    <cfRule type="cellIs" dxfId="1962" priority="791" operator="equal">
      <formula>"TRANSFER"</formula>
    </cfRule>
  </conditionalFormatting>
  <conditionalFormatting sqref="E4:K4">
    <cfRule type="cellIs" dxfId="1961" priority="792" operator="equal">
      <formula>"Approved Off"</formula>
    </cfRule>
    <cfRule type="cellIs" dxfId="1960" priority="793" operator="equal">
      <formula>"LOA"</formula>
    </cfRule>
    <cfRule type="cellIs" dxfId="1959" priority="794" operator="equal">
      <formula>"nesting"</formula>
    </cfRule>
    <cfRule type="cellIs" dxfId="1958" priority="795" operator="equal">
      <formula>"off"</formula>
    </cfRule>
    <cfRule type="cellIs" dxfId="1957" priority="796" operator="equal">
      <formula>"vac"</formula>
    </cfRule>
  </conditionalFormatting>
  <conditionalFormatting sqref="X4">
    <cfRule type="duplicateValues" dxfId="1956" priority="798"/>
  </conditionalFormatting>
  <conditionalFormatting sqref="Y4">
    <cfRule type="duplicateValues" dxfId="1955" priority="799"/>
  </conditionalFormatting>
  <conditionalFormatting sqref="AH4">
    <cfRule type="duplicateValues" dxfId="1954" priority="800"/>
  </conditionalFormatting>
  <conditionalFormatting sqref="AI4">
    <cfRule type="duplicateValues" dxfId="1953" priority="801"/>
  </conditionalFormatting>
  <conditionalFormatting sqref="V5">
    <cfRule type="cellIs" dxfId="1952" priority="785" operator="greaterThan">
      <formula>45</formula>
    </cfRule>
  </conditionalFormatting>
  <conditionalFormatting sqref="A5">
    <cfRule type="cellIs" dxfId="1951" priority="774" operator="equal">
      <formula>"LOA"</formula>
    </cfRule>
    <cfRule type="cellIs" dxfId="1950" priority="775" operator="equal">
      <formula>"PENDING TERM"</formula>
    </cfRule>
    <cfRule type="cellIs" dxfId="1949" priority="776" operator="equal">
      <formula>"PROMOTED"</formula>
    </cfRule>
    <cfRule type="cellIs" dxfId="1948" priority="777" operator="equal">
      <formula>"REINSTATEMENT"</formula>
    </cfRule>
    <cfRule type="cellIs" dxfId="1947" priority="778" operator="equal">
      <formula>"TERM"</formula>
    </cfRule>
    <cfRule type="cellIs" dxfId="1946" priority="779" operator="equal">
      <formula>"TRANSFER"</formula>
    </cfRule>
  </conditionalFormatting>
  <conditionalFormatting sqref="E5:K5">
    <cfRule type="cellIs" dxfId="1945" priority="780" operator="equal">
      <formula>"Approved Off"</formula>
    </cfRule>
    <cfRule type="cellIs" dxfId="1944" priority="781" operator="equal">
      <formula>"LOA"</formula>
    </cfRule>
    <cfRule type="cellIs" dxfId="1943" priority="782" operator="equal">
      <formula>"nesting"</formula>
    </cfRule>
    <cfRule type="cellIs" dxfId="1942" priority="783" operator="equal">
      <formula>"off"</formula>
    </cfRule>
    <cfRule type="cellIs" dxfId="1941" priority="784" operator="equal">
      <formula>"vac"</formula>
    </cfRule>
  </conditionalFormatting>
  <conditionalFormatting sqref="X5">
    <cfRule type="duplicateValues" dxfId="1940" priority="814"/>
  </conditionalFormatting>
  <conditionalFormatting sqref="Y5">
    <cfRule type="duplicateValues" dxfId="1939" priority="815"/>
  </conditionalFormatting>
  <conditionalFormatting sqref="AH5">
    <cfRule type="duplicateValues" dxfId="1938" priority="816"/>
  </conditionalFormatting>
  <conditionalFormatting sqref="AI5">
    <cfRule type="duplicateValues" dxfId="1937" priority="817"/>
  </conditionalFormatting>
  <conditionalFormatting sqref="E207:K218 E263:K275 E220:K241 E296:K310 E39:K53 E2:K37 E55:K205">
    <cfRule type="cellIs" dxfId="1936" priority="773" operator="equal">
      <formula>"Study Day"</formula>
    </cfRule>
  </conditionalFormatting>
  <conditionalFormatting sqref="D263:P275 D258:P261 D257:L257 N257:P257 D296:P310 D190:P191 D189:L189 N189:P189 D193:P195 D192:L192 N192:P192 D197:P206 D196:L196 N196:P196 D208:P230 D207:L207 N207:P207 D232:P236 D231:L231 N231:P231 D238:P239 D237:L237 N237:P237 D242:P243 D240:L241 N240:P241 D246:P248 D244:L245 N244:P245 D251:P256 D249:L250 N249:P250 D106:L106 N106:P106 D30:L30 N30:P30 D136:L136 N136:P136 D31:P33 D137:P137 D35:P71 D34:L34 N34:P34 D73:P73 D72:L72 N72:P72 D75:P75 D74:L74 N74:P74 D77:P79 D76:L76 N76:P76 D81:P88 D80:L80 N80:P80 D89:L90 N89:P90 D91:P102 D104:P105 D103:L103 N103:P103 D126:P135 D124:L125 N124:P125 D138:L138 N138:P138 D139:P188 D2:P29 D107:P123">
    <cfRule type="cellIs" dxfId="1935" priority="772" operator="equal">
      <formula>"FER"</formula>
    </cfRule>
  </conditionalFormatting>
  <conditionalFormatting sqref="X3">
    <cfRule type="duplicateValues" dxfId="1934" priority="818"/>
  </conditionalFormatting>
  <conditionalFormatting sqref="Y3">
    <cfRule type="duplicateValues" dxfId="1933" priority="819"/>
  </conditionalFormatting>
  <conditionalFormatting sqref="AH3">
    <cfRule type="duplicateValues" dxfId="1932" priority="820"/>
  </conditionalFormatting>
  <conditionalFormatting sqref="AI3">
    <cfRule type="duplicateValues" dxfId="1931" priority="821"/>
  </conditionalFormatting>
  <conditionalFormatting sqref="V38">
    <cfRule type="cellIs" dxfId="1930" priority="766" operator="greaterThan">
      <formula>45</formula>
    </cfRule>
  </conditionalFormatting>
  <conditionalFormatting sqref="E38:K38">
    <cfRule type="cellIs" dxfId="1929" priority="761" operator="equal">
      <formula>"Approved Off"</formula>
    </cfRule>
    <cfRule type="cellIs" dxfId="1928" priority="762" operator="equal">
      <formula>"LOA"</formula>
    </cfRule>
    <cfRule type="cellIs" dxfId="1927" priority="763" operator="equal">
      <formula>"nesting"</formula>
    </cfRule>
    <cfRule type="cellIs" dxfId="1926" priority="764" operator="equal">
      <formula>"off"</formula>
    </cfRule>
    <cfRule type="cellIs" dxfId="1925" priority="765" operator="equal">
      <formula>"vac"</formula>
    </cfRule>
  </conditionalFormatting>
  <conditionalFormatting sqref="E38:K38">
    <cfRule type="cellIs" dxfId="1924" priority="760" operator="equal">
      <formula>"Study Day"</formula>
    </cfRule>
  </conditionalFormatting>
  <conditionalFormatting sqref="E38:K38">
    <cfRule type="cellIs" dxfId="1923" priority="759" operator="equal">
      <formula>"FER"</formula>
    </cfRule>
  </conditionalFormatting>
  <conditionalFormatting sqref="X38">
    <cfRule type="duplicateValues" dxfId="1922" priority="767"/>
  </conditionalFormatting>
  <conditionalFormatting sqref="Y38">
    <cfRule type="duplicateValues" dxfId="1921" priority="768"/>
  </conditionalFormatting>
  <conditionalFormatting sqref="AH38">
    <cfRule type="duplicateValues" dxfId="1920" priority="769"/>
  </conditionalFormatting>
  <conditionalFormatting sqref="AI38">
    <cfRule type="duplicateValues" dxfId="1919" priority="770"/>
  </conditionalFormatting>
  <conditionalFormatting sqref="W38">
    <cfRule type="duplicateValues" dxfId="1918" priority="771"/>
  </conditionalFormatting>
  <conditionalFormatting sqref="E207:K218 E263:K275 E220:K241 E296:K310 E2:K53 E55:K205">
    <cfRule type="cellIs" dxfId="1917" priority="758" operator="equal">
      <formula>"Pending Term"</formula>
    </cfRule>
  </conditionalFormatting>
  <conditionalFormatting sqref="X11">
    <cfRule type="duplicateValues" dxfId="1916" priority="822"/>
  </conditionalFormatting>
  <conditionalFormatting sqref="Y11">
    <cfRule type="duplicateValues" dxfId="1915" priority="823"/>
  </conditionalFormatting>
  <conditionalFormatting sqref="AH11">
    <cfRule type="duplicateValues" dxfId="1914" priority="824"/>
  </conditionalFormatting>
  <conditionalFormatting sqref="AI11">
    <cfRule type="duplicateValues" dxfId="1913" priority="825"/>
  </conditionalFormatting>
  <conditionalFormatting sqref="W11">
    <cfRule type="duplicateValues" dxfId="1912" priority="826"/>
  </conditionalFormatting>
  <conditionalFormatting sqref="X32:X34">
    <cfRule type="duplicateValues" dxfId="1911" priority="827"/>
  </conditionalFormatting>
  <conditionalFormatting sqref="Y32:Y34">
    <cfRule type="duplicateValues" dxfId="1910" priority="828"/>
  </conditionalFormatting>
  <conditionalFormatting sqref="AH32:AH34">
    <cfRule type="duplicateValues" dxfId="1909" priority="829"/>
  </conditionalFormatting>
  <conditionalFormatting sqref="AI32:AI34">
    <cfRule type="duplicateValues" dxfId="1908" priority="830"/>
  </conditionalFormatting>
  <conditionalFormatting sqref="W32:W34">
    <cfRule type="duplicateValues" dxfId="1907" priority="831"/>
  </conditionalFormatting>
  <conditionalFormatting sqref="V54">
    <cfRule type="cellIs" dxfId="1906" priority="752" operator="greaterThan">
      <formula>45</formula>
    </cfRule>
  </conditionalFormatting>
  <conditionalFormatting sqref="E54:K54">
    <cfRule type="cellIs" dxfId="1905" priority="747" operator="equal">
      <formula>"Approved Off"</formula>
    </cfRule>
    <cfRule type="cellIs" dxfId="1904" priority="748" operator="equal">
      <formula>"LOA"</formula>
    </cfRule>
    <cfRule type="cellIs" dxfId="1903" priority="749" operator="equal">
      <formula>"nesting"</formula>
    </cfRule>
    <cfRule type="cellIs" dxfId="1902" priority="750" operator="equal">
      <formula>"off"</formula>
    </cfRule>
    <cfRule type="cellIs" dxfId="1901" priority="751" operator="equal">
      <formula>"vac"</formula>
    </cfRule>
  </conditionalFormatting>
  <conditionalFormatting sqref="E54:K54">
    <cfRule type="cellIs" dxfId="1900" priority="746" operator="equal">
      <formula>"Study Day"</formula>
    </cfRule>
  </conditionalFormatting>
  <conditionalFormatting sqref="E54:K54">
    <cfRule type="cellIs" dxfId="1899" priority="745" operator="equal">
      <formula>"FER"</formula>
    </cfRule>
  </conditionalFormatting>
  <conditionalFormatting sqref="E54:K54">
    <cfRule type="cellIs" dxfId="1898" priority="744" operator="equal">
      <formula>"Pending Term"</formula>
    </cfRule>
  </conditionalFormatting>
  <conditionalFormatting sqref="X54">
    <cfRule type="duplicateValues" dxfId="1897" priority="753"/>
  </conditionalFormatting>
  <conditionalFormatting sqref="Y54">
    <cfRule type="duplicateValues" dxfId="1896" priority="754"/>
  </conditionalFormatting>
  <conditionalFormatting sqref="AH54">
    <cfRule type="duplicateValues" dxfId="1895" priority="755"/>
  </conditionalFormatting>
  <conditionalFormatting sqref="AI54">
    <cfRule type="duplicateValues" dxfId="1894" priority="756"/>
  </conditionalFormatting>
  <conditionalFormatting sqref="W54">
    <cfRule type="duplicateValues" dxfId="1893" priority="757"/>
  </conditionalFormatting>
  <conditionalFormatting sqref="X22:X25">
    <cfRule type="duplicateValues" dxfId="1892" priority="832"/>
  </conditionalFormatting>
  <conditionalFormatting sqref="Y22:Y25">
    <cfRule type="duplicateValues" dxfId="1891" priority="833"/>
  </conditionalFormatting>
  <conditionalFormatting sqref="AH22:AH25">
    <cfRule type="duplicateValues" dxfId="1890" priority="834"/>
  </conditionalFormatting>
  <conditionalFormatting sqref="AI22:AI25">
    <cfRule type="duplicateValues" dxfId="1889" priority="835"/>
  </conditionalFormatting>
  <conditionalFormatting sqref="W22:W25">
    <cfRule type="duplicateValues" dxfId="1888" priority="836"/>
  </conditionalFormatting>
  <conditionalFormatting sqref="X26:X27">
    <cfRule type="duplicateValues" dxfId="1887" priority="837"/>
  </conditionalFormatting>
  <conditionalFormatting sqref="Y26:Y27">
    <cfRule type="duplicateValues" dxfId="1886" priority="838"/>
  </conditionalFormatting>
  <conditionalFormatting sqref="AH26:AH27">
    <cfRule type="duplicateValues" dxfId="1885" priority="839"/>
  </conditionalFormatting>
  <conditionalFormatting sqref="AI26:AI27">
    <cfRule type="duplicateValues" dxfId="1884" priority="840"/>
  </conditionalFormatting>
  <conditionalFormatting sqref="W26:W27">
    <cfRule type="duplicateValues" dxfId="1883" priority="841"/>
  </conditionalFormatting>
  <conditionalFormatting sqref="X6:X10">
    <cfRule type="duplicateValues" dxfId="1882" priority="842"/>
  </conditionalFormatting>
  <conditionalFormatting sqref="Y6:Y10">
    <cfRule type="duplicateValues" dxfId="1881" priority="843"/>
  </conditionalFormatting>
  <conditionalFormatting sqref="AH6:AH10">
    <cfRule type="duplicateValues" dxfId="1880" priority="844"/>
  </conditionalFormatting>
  <conditionalFormatting sqref="AI6:AI10">
    <cfRule type="duplicateValues" dxfId="1879" priority="845"/>
  </conditionalFormatting>
  <conditionalFormatting sqref="F207:L218 F263:L275 F220:L241 L188:L204 F296:L310 F188:K205 F2:L187">
    <cfRule type="cellIs" dxfId="1878" priority="743" operator="equal">
      <formula>"off"</formula>
    </cfRule>
  </conditionalFormatting>
  <conditionalFormatting sqref="F207:L218 F263:L275 F220:L241 L188:L204 F296:L310 F188:K205 F2:L187">
    <cfRule type="cellIs" dxfId="1877" priority="742" operator="equal">
      <formula>"LOA"</formula>
    </cfRule>
  </conditionalFormatting>
  <conditionalFormatting sqref="Z28">
    <cfRule type="duplicateValues" dxfId="1876" priority="741"/>
  </conditionalFormatting>
  <conditionalFormatting sqref="Z38">
    <cfRule type="duplicateValues" dxfId="1875" priority="740"/>
  </conditionalFormatting>
  <conditionalFormatting sqref="Z42">
    <cfRule type="duplicateValues" dxfId="1874" priority="739"/>
  </conditionalFormatting>
  <conditionalFormatting sqref="Z71">
    <cfRule type="duplicateValues" dxfId="1873" priority="738"/>
  </conditionalFormatting>
  <conditionalFormatting sqref="Z87">
    <cfRule type="duplicateValues" dxfId="1872" priority="737"/>
  </conditionalFormatting>
  <conditionalFormatting sqref="Z88">
    <cfRule type="duplicateValues" dxfId="1871" priority="736"/>
  </conditionalFormatting>
  <conditionalFormatting sqref="AA28">
    <cfRule type="duplicateValues" dxfId="1870" priority="735"/>
  </conditionalFormatting>
  <conditionalFormatting sqref="AA38">
    <cfRule type="duplicateValues" dxfId="1869" priority="734"/>
  </conditionalFormatting>
  <conditionalFormatting sqref="AA42">
    <cfRule type="duplicateValues" dxfId="1868" priority="733"/>
  </conditionalFormatting>
  <conditionalFormatting sqref="AA71">
    <cfRule type="duplicateValues" dxfId="1867" priority="732"/>
  </conditionalFormatting>
  <conditionalFormatting sqref="AA87">
    <cfRule type="duplicateValues" dxfId="1866" priority="731"/>
  </conditionalFormatting>
  <conditionalFormatting sqref="AA88">
    <cfRule type="duplicateValues" dxfId="1865" priority="730"/>
  </conditionalFormatting>
  <conditionalFormatting sqref="X36:X37">
    <cfRule type="duplicateValues" dxfId="1864" priority="846"/>
  </conditionalFormatting>
  <conditionalFormatting sqref="Y36:Y37">
    <cfRule type="duplicateValues" dxfId="1863" priority="847"/>
  </conditionalFormatting>
  <conditionalFormatting sqref="AH36:AH37">
    <cfRule type="duplicateValues" dxfId="1862" priority="848"/>
  </conditionalFormatting>
  <conditionalFormatting sqref="AI36:AI37">
    <cfRule type="duplicateValues" dxfId="1861" priority="849"/>
  </conditionalFormatting>
  <conditionalFormatting sqref="W36:W37">
    <cfRule type="duplicateValues" dxfId="1860" priority="850"/>
  </conditionalFormatting>
  <conditionalFormatting sqref="X55:X59">
    <cfRule type="duplicateValues" dxfId="1859" priority="851"/>
  </conditionalFormatting>
  <conditionalFormatting sqref="Y55:Y59">
    <cfRule type="duplicateValues" dxfId="1858" priority="852"/>
  </conditionalFormatting>
  <conditionalFormatting sqref="AH55:AH59">
    <cfRule type="duplicateValues" dxfId="1857" priority="853"/>
  </conditionalFormatting>
  <conditionalFormatting sqref="AI55:AI59">
    <cfRule type="duplicateValues" dxfId="1856" priority="854"/>
  </conditionalFormatting>
  <conditionalFormatting sqref="W55:W59">
    <cfRule type="duplicateValues" dxfId="1855" priority="855"/>
  </conditionalFormatting>
  <conditionalFormatting sqref="E263:K275 E2:K241">
    <cfRule type="cellIs" dxfId="1854" priority="729" operator="equal">
      <formula>"SUS"</formula>
    </cfRule>
  </conditionalFormatting>
  <conditionalFormatting sqref="X35">
    <cfRule type="duplicateValues" dxfId="1853" priority="856"/>
  </conditionalFormatting>
  <conditionalFormatting sqref="Y35">
    <cfRule type="duplicateValues" dxfId="1852" priority="857"/>
  </conditionalFormatting>
  <conditionalFormatting sqref="AH35">
    <cfRule type="duplicateValues" dxfId="1851" priority="858"/>
  </conditionalFormatting>
  <conditionalFormatting sqref="AI35">
    <cfRule type="duplicateValues" dxfId="1850" priority="859"/>
  </conditionalFormatting>
  <conditionalFormatting sqref="W35">
    <cfRule type="duplicateValues" dxfId="1849" priority="860"/>
  </conditionalFormatting>
  <conditionalFormatting sqref="M106">
    <cfRule type="cellIs" dxfId="1848" priority="728" operator="equal">
      <formula>"FER"</formula>
    </cfRule>
  </conditionalFormatting>
  <conditionalFormatting sqref="X39:X44">
    <cfRule type="duplicateValues" dxfId="1847" priority="861"/>
  </conditionalFormatting>
  <conditionalFormatting sqref="Y39:Y44">
    <cfRule type="duplicateValues" dxfId="1846" priority="862"/>
  </conditionalFormatting>
  <conditionalFormatting sqref="AH39:AH44">
    <cfRule type="duplicateValues" dxfId="1845" priority="863"/>
  </conditionalFormatting>
  <conditionalFormatting sqref="AI39:AI44">
    <cfRule type="duplicateValues" dxfId="1844" priority="864"/>
  </conditionalFormatting>
  <conditionalFormatting sqref="W39:W44">
    <cfRule type="duplicateValues" dxfId="1843" priority="865"/>
  </conditionalFormatting>
  <conditionalFormatting sqref="X15:X21">
    <cfRule type="duplicateValues" dxfId="1842" priority="866"/>
  </conditionalFormatting>
  <conditionalFormatting sqref="Y15:Y21">
    <cfRule type="duplicateValues" dxfId="1841" priority="867"/>
  </conditionalFormatting>
  <conditionalFormatting sqref="AH15:AH21">
    <cfRule type="duplicateValues" dxfId="1840" priority="868"/>
  </conditionalFormatting>
  <conditionalFormatting sqref="AI15:AI21">
    <cfRule type="duplicateValues" dxfId="1839" priority="869"/>
  </conditionalFormatting>
  <conditionalFormatting sqref="W15:W21">
    <cfRule type="duplicateValues" dxfId="1838" priority="870"/>
  </conditionalFormatting>
  <conditionalFormatting sqref="A38">
    <cfRule type="cellIs" dxfId="1837" priority="722" operator="equal">
      <formula>"LOA"</formula>
    </cfRule>
    <cfRule type="cellIs" dxfId="1836" priority="723" operator="equal">
      <formula>"PENDING TERM"</formula>
    </cfRule>
    <cfRule type="cellIs" dxfId="1835" priority="724" operator="equal">
      <formula>"PROMOTED"</formula>
    </cfRule>
    <cfRule type="cellIs" dxfId="1834" priority="725" operator="equal">
      <formula>"REINSTATEMENT"</formula>
    </cfRule>
    <cfRule type="cellIs" dxfId="1833" priority="726" operator="equal">
      <formula>"TERM"</formula>
    </cfRule>
    <cfRule type="cellIs" dxfId="1832" priority="727" operator="equal">
      <formula>"TRANSFER"</formula>
    </cfRule>
  </conditionalFormatting>
  <conditionalFormatting sqref="A54">
    <cfRule type="cellIs" dxfId="1831" priority="716" operator="equal">
      <formula>"LOA"</formula>
    </cfRule>
    <cfRule type="cellIs" dxfId="1830" priority="717" operator="equal">
      <formula>"PENDING TERM"</formula>
    </cfRule>
    <cfRule type="cellIs" dxfId="1829" priority="718" operator="equal">
      <formula>"PROMOTED"</formula>
    </cfRule>
    <cfRule type="cellIs" dxfId="1828" priority="719" operator="equal">
      <formula>"REINSTATEMENT"</formula>
    </cfRule>
    <cfRule type="cellIs" dxfId="1827" priority="720" operator="equal">
      <formula>"TERM"</formula>
    </cfRule>
    <cfRule type="cellIs" dxfId="1826" priority="721" operator="equal">
      <formula>"TRANSFER"</formula>
    </cfRule>
  </conditionalFormatting>
  <conditionalFormatting sqref="A90">
    <cfRule type="cellIs" dxfId="1825" priority="710" operator="equal">
      <formula>"LOA"</formula>
    </cfRule>
    <cfRule type="cellIs" dxfId="1824" priority="711" operator="equal">
      <formula>"PENDING TERM"</formula>
    </cfRule>
    <cfRule type="cellIs" dxfId="1823" priority="712" operator="equal">
      <formula>"PROMOTED"</formula>
    </cfRule>
    <cfRule type="cellIs" dxfId="1822" priority="713" operator="equal">
      <formula>"REINSTATEMENT"</formula>
    </cfRule>
    <cfRule type="cellIs" dxfId="1821" priority="714" operator="equal">
      <formula>"TERM"</formula>
    </cfRule>
    <cfRule type="cellIs" dxfId="1820" priority="715" operator="equal">
      <formula>"TRANSFER"</formula>
    </cfRule>
  </conditionalFormatting>
  <conditionalFormatting sqref="A91">
    <cfRule type="cellIs" dxfId="1819" priority="704" operator="equal">
      <formula>"LOA"</formula>
    </cfRule>
    <cfRule type="cellIs" dxfId="1818" priority="705" operator="equal">
      <formula>"PENDING TERM"</formula>
    </cfRule>
    <cfRule type="cellIs" dxfId="1817" priority="706" operator="equal">
      <formula>"PROMOTED"</formula>
    </cfRule>
    <cfRule type="cellIs" dxfId="1816" priority="707" operator="equal">
      <formula>"REINSTATEMENT"</formula>
    </cfRule>
    <cfRule type="cellIs" dxfId="1815" priority="708" operator="equal">
      <formula>"TERM"</formula>
    </cfRule>
    <cfRule type="cellIs" dxfId="1814" priority="709" operator="equal">
      <formula>"TRANSFER"</formula>
    </cfRule>
  </conditionalFormatting>
  <conditionalFormatting sqref="A97">
    <cfRule type="cellIs" dxfId="1813" priority="698" operator="equal">
      <formula>"LOA"</formula>
    </cfRule>
    <cfRule type="cellIs" dxfId="1812" priority="699" operator="equal">
      <formula>"PENDING TERM"</formula>
    </cfRule>
    <cfRule type="cellIs" dxfId="1811" priority="700" operator="equal">
      <formula>"PROMOTED"</formula>
    </cfRule>
    <cfRule type="cellIs" dxfId="1810" priority="701" operator="equal">
      <formula>"REINSTATEMENT"</formula>
    </cfRule>
    <cfRule type="cellIs" dxfId="1809" priority="702" operator="equal">
      <formula>"TERM"</formula>
    </cfRule>
    <cfRule type="cellIs" dxfId="1808" priority="703" operator="equal">
      <formula>"TRANSFER"</formula>
    </cfRule>
  </conditionalFormatting>
  <conditionalFormatting sqref="A107">
    <cfRule type="cellIs" dxfId="1807" priority="692" operator="equal">
      <formula>"LOA"</formula>
    </cfRule>
    <cfRule type="cellIs" dxfId="1806" priority="693" operator="equal">
      <formula>"PENDING TERM"</formula>
    </cfRule>
    <cfRule type="cellIs" dxfId="1805" priority="694" operator="equal">
      <formula>"PROMOTED"</formula>
    </cfRule>
    <cfRule type="cellIs" dxfId="1804" priority="695" operator="equal">
      <formula>"REINSTATEMENT"</formula>
    </cfRule>
    <cfRule type="cellIs" dxfId="1803" priority="696" operator="equal">
      <formula>"TERM"</formula>
    </cfRule>
    <cfRule type="cellIs" dxfId="1802" priority="697" operator="equal">
      <formula>"TRANSFER"</formula>
    </cfRule>
  </conditionalFormatting>
  <conditionalFormatting sqref="A115">
    <cfRule type="cellIs" dxfId="1801" priority="686" operator="equal">
      <formula>"LOA"</formula>
    </cfRule>
    <cfRule type="cellIs" dxfId="1800" priority="687" operator="equal">
      <formula>"PENDING TERM"</formula>
    </cfRule>
    <cfRule type="cellIs" dxfId="1799" priority="688" operator="equal">
      <formula>"PROMOTED"</formula>
    </cfRule>
    <cfRule type="cellIs" dxfId="1798" priority="689" operator="equal">
      <formula>"REINSTATEMENT"</formula>
    </cfRule>
    <cfRule type="cellIs" dxfId="1797" priority="690" operator="equal">
      <formula>"TERM"</formula>
    </cfRule>
    <cfRule type="cellIs" dxfId="1796" priority="691" operator="equal">
      <formula>"TRANSFER"</formula>
    </cfRule>
  </conditionalFormatting>
  <conditionalFormatting sqref="A123">
    <cfRule type="cellIs" dxfId="1795" priority="680" operator="equal">
      <formula>"LOA"</formula>
    </cfRule>
    <cfRule type="cellIs" dxfId="1794" priority="681" operator="equal">
      <formula>"PENDING TERM"</formula>
    </cfRule>
    <cfRule type="cellIs" dxfId="1793" priority="682" operator="equal">
      <formula>"PROMOTED"</formula>
    </cfRule>
    <cfRule type="cellIs" dxfId="1792" priority="683" operator="equal">
      <formula>"REINSTATEMENT"</formula>
    </cfRule>
    <cfRule type="cellIs" dxfId="1791" priority="684" operator="equal">
      <formula>"TERM"</formula>
    </cfRule>
    <cfRule type="cellIs" dxfId="1790" priority="685" operator="equal">
      <formula>"TRANSFER"</formula>
    </cfRule>
  </conditionalFormatting>
  <conditionalFormatting sqref="A127">
    <cfRule type="cellIs" dxfId="1789" priority="674" operator="equal">
      <formula>"LOA"</formula>
    </cfRule>
    <cfRule type="cellIs" dxfId="1788" priority="675" operator="equal">
      <formula>"PENDING TERM"</formula>
    </cfRule>
    <cfRule type="cellIs" dxfId="1787" priority="676" operator="equal">
      <formula>"PROMOTED"</formula>
    </cfRule>
    <cfRule type="cellIs" dxfId="1786" priority="677" operator="equal">
      <formula>"REINSTATEMENT"</formula>
    </cfRule>
    <cfRule type="cellIs" dxfId="1785" priority="678" operator="equal">
      <formula>"TERM"</formula>
    </cfRule>
    <cfRule type="cellIs" dxfId="1784" priority="679" operator="equal">
      <formula>"TRANSFER"</formula>
    </cfRule>
  </conditionalFormatting>
  <conditionalFormatting sqref="A136">
    <cfRule type="cellIs" dxfId="1783" priority="668" operator="equal">
      <formula>"LOA"</formula>
    </cfRule>
    <cfRule type="cellIs" dxfId="1782" priority="669" operator="equal">
      <formula>"PENDING TERM"</formula>
    </cfRule>
    <cfRule type="cellIs" dxfId="1781" priority="670" operator="equal">
      <formula>"PROMOTED"</formula>
    </cfRule>
    <cfRule type="cellIs" dxfId="1780" priority="671" operator="equal">
      <formula>"REINSTATEMENT"</formula>
    </cfRule>
    <cfRule type="cellIs" dxfId="1779" priority="672" operator="equal">
      <formula>"TERM"</formula>
    </cfRule>
    <cfRule type="cellIs" dxfId="1778" priority="673" operator="equal">
      <formula>"TRANSFER"</formula>
    </cfRule>
  </conditionalFormatting>
  <conditionalFormatting sqref="A137">
    <cfRule type="cellIs" dxfId="1777" priority="662" operator="equal">
      <formula>"LOA"</formula>
    </cfRule>
    <cfRule type="cellIs" dxfId="1776" priority="663" operator="equal">
      <formula>"PENDING TERM"</formula>
    </cfRule>
    <cfRule type="cellIs" dxfId="1775" priority="664" operator="equal">
      <formula>"PROMOTED"</formula>
    </cfRule>
    <cfRule type="cellIs" dxfId="1774" priority="665" operator="equal">
      <formula>"REINSTATEMENT"</formula>
    </cfRule>
    <cfRule type="cellIs" dxfId="1773" priority="666" operator="equal">
      <formula>"TERM"</formula>
    </cfRule>
    <cfRule type="cellIs" dxfId="1772" priority="667" operator="equal">
      <formula>"TRANSFER"</formula>
    </cfRule>
  </conditionalFormatting>
  <conditionalFormatting sqref="A163">
    <cfRule type="cellIs" dxfId="1771" priority="506" operator="equal">
      <formula>"LOA"</formula>
    </cfRule>
    <cfRule type="cellIs" dxfId="1770" priority="507" operator="equal">
      <formula>"PENDING TERM"</formula>
    </cfRule>
    <cfRule type="cellIs" dxfId="1769" priority="508" operator="equal">
      <formula>"PROMOTED"</formula>
    </cfRule>
    <cfRule type="cellIs" dxfId="1768" priority="509" operator="equal">
      <formula>"REINSTATEMENT"</formula>
    </cfRule>
    <cfRule type="cellIs" dxfId="1767" priority="510" operator="equal">
      <formula>"TERM"</formula>
    </cfRule>
    <cfRule type="cellIs" dxfId="1766" priority="511" operator="equal">
      <formula>"TRANSFER"</formula>
    </cfRule>
  </conditionalFormatting>
  <conditionalFormatting sqref="A160">
    <cfRule type="cellIs" dxfId="1765" priority="524" operator="equal">
      <formula>"LOA"</formula>
    </cfRule>
    <cfRule type="cellIs" dxfId="1764" priority="525" operator="equal">
      <formula>"PENDING TERM"</formula>
    </cfRule>
    <cfRule type="cellIs" dxfId="1763" priority="526" operator="equal">
      <formula>"PROMOTED"</formula>
    </cfRule>
    <cfRule type="cellIs" dxfId="1762" priority="527" operator="equal">
      <formula>"REINSTATEMENT"</formula>
    </cfRule>
    <cfRule type="cellIs" dxfId="1761" priority="528" operator="equal">
      <formula>"TERM"</formula>
    </cfRule>
    <cfRule type="cellIs" dxfId="1760" priority="529" operator="equal">
      <formula>"TRANSFER"</formula>
    </cfRule>
  </conditionalFormatting>
  <conditionalFormatting sqref="A159">
    <cfRule type="cellIs" dxfId="1759" priority="530" operator="equal">
      <formula>"LOA"</formula>
    </cfRule>
    <cfRule type="cellIs" dxfId="1758" priority="531" operator="equal">
      <formula>"PENDING TERM"</formula>
    </cfRule>
    <cfRule type="cellIs" dxfId="1757" priority="532" operator="equal">
      <formula>"PROMOTED"</formula>
    </cfRule>
    <cfRule type="cellIs" dxfId="1756" priority="533" operator="equal">
      <formula>"REINSTATEMENT"</formula>
    </cfRule>
    <cfRule type="cellIs" dxfId="1755" priority="534" operator="equal">
      <formula>"TERM"</formula>
    </cfRule>
    <cfRule type="cellIs" dxfId="1754" priority="535" operator="equal">
      <formula>"TRANSFER"</formula>
    </cfRule>
  </conditionalFormatting>
  <conditionalFormatting sqref="A155">
    <cfRule type="cellIs" dxfId="1753" priority="554" operator="equal">
      <formula>"LOA"</formula>
    </cfRule>
    <cfRule type="cellIs" dxfId="1752" priority="555" operator="equal">
      <formula>"PENDING TERM"</formula>
    </cfRule>
    <cfRule type="cellIs" dxfId="1751" priority="556" operator="equal">
      <formula>"PROMOTED"</formula>
    </cfRule>
    <cfRule type="cellIs" dxfId="1750" priority="557" operator="equal">
      <formula>"REINSTATEMENT"</formula>
    </cfRule>
    <cfRule type="cellIs" dxfId="1749" priority="558" operator="equal">
      <formula>"TERM"</formula>
    </cfRule>
    <cfRule type="cellIs" dxfId="1748" priority="559" operator="equal">
      <formula>"TRANSFER"</formula>
    </cfRule>
  </conditionalFormatting>
  <conditionalFormatting sqref="A147">
    <cfRule type="cellIs" dxfId="1747" priority="602" operator="equal">
      <formula>"LOA"</formula>
    </cfRule>
    <cfRule type="cellIs" dxfId="1746" priority="603" operator="equal">
      <formula>"PENDING TERM"</formula>
    </cfRule>
    <cfRule type="cellIs" dxfId="1745" priority="604" operator="equal">
      <formula>"PROMOTED"</formula>
    </cfRule>
    <cfRule type="cellIs" dxfId="1744" priority="605" operator="equal">
      <formula>"REINSTATEMENT"</formula>
    </cfRule>
    <cfRule type="cellIs" dxfId="1743" priority="606" operator="equal">
      <formula>"TERM"</formula>
    </cfRule>
    <cfRule type="cellIs" dxfId="1742" priority="607" operator="equal">
      <formula>"TRANSFER"</formula>
    </cfRule>
  </conditionalFormatting>
  <conditionalFormatting sqref="A140">
    <cfRule type="cellIs" dxfId="1741" priority="644" operator="equal">
      <formula>"LOA"</formula>
    </cfRule>
    <cfRule type="cellIs" dxfId="1740" priority="645" operator="equal">
      <formula>"PENDING TERM"</formula>
    </cfRule>
    <cfRule type="cellIs" dxfId="1739" priority="646" operator="equal">
      <formula>"PROMOTED"</formula>
    </cfRule>
    <cfRule type="cellIs" dxfId="1738" priority="647" operator="equal">
      <formula>"REINSTATEMENT"</formula>
    </cfRule>
    <cfRule type="cellIs" dxfId="1737" priority="648" operator="equal">
      <formula>"TERM"</formula>
    </cfRule>
    <cfRule type="cellIs" dxfId="1736" priority="649" operator="equal">
      <formula>"TRANSFER"</formula>
    </cfRule>
  </conditionalFormatting>
  <conditionalFormatting sqref="A138">
    <cfRule type="cellIs" dxfId="1735" priority="656" operator="equal">
      <formula>"LOA"</formula>
    </cfRule>
    <cfRule type="cellIs" dxfId="1734" priority="657" operator="equal">
      <formula>"PENDING TERM"</formula>
    </cfRule>
    <cfRule type="cellIs" dxfId="1733" priority="658" operator="equal">
      <formula>"PROMOTED"</formula>
    </cfRule>
    <cfRule type="cellIs" dxfId="1732" priority="659" operator="equal">
      <formula>"REINSTATEMENT"</formula>
    </cfRule>
    <cfRule type="cellIs" dxfId="1731" priority="660" operator="equal">
      <formula>"TERM"</formula>
    </cfRule>
    <cfRule type="cellIs" dxfId="1730" priority="661" operator="equal">
      <formula>"TRANSFER"</formula>
    </cfRule>
  </conditionalFormatting>
  <conditionalFormatting sqref="A139">
    <cfRule type="cellIs" dxfId="1729" priority="650" operator="equal">
      <formula>"LOA"</formula>
    </cfRule>
    <cfRule type="cellIs" dxfId="1728" priority="651" operator="equal">
      <formula>"PENDING TERM"</formula>
    </cfRule>
    <cfRule type="cellIs" dxfId="1727" priority="652" operator="equal">
      <formula>"PROMOTED"</formula>
    </cfRule>
    <cfRule type="cellIs" dxfId="1726" priority="653" operator="equal">
      <formula>"REINSTATEMENT"</formula>
    </cfRule>
    <cfRule type="cellIs" dxfId="1725" priority="654" operator="equal">
      <formula>"TERM"</formula>
    </cfRule>
    <cfRule type="cellIs" dxfId="1724" priority="655" operator="equal">
      <formula>"TRANSFER"</formula>
    </cfRule>
  </conditionalFormatting>
  <conditionalFormatting sqref="A141">
    <cfRule type="cellIs" dxfId="1723" priority="638" operator="equal">
      <formula>"LOA"</formula>
    </cfRule>
    <cfRule type="cellIs" dxfId="1722" priority="639" operator="equal">
      <formula>"PENDING TERM"</formula>
    </cfRule>
    <cfRule type="cellIs" dxfId="1721" priority="640" operator="equal">
      <formula>"PROMOTED"</formula>
    </cfRule>
    <cfRule type="cellIs" dxfId="1720" priority="641" operator="equal">
      <formula>"REINSTATEMENT"</formula>
    </cfRule>
    <cfRule type="cellIs" dxfId="1719" priority="642" operator="equal">
      <formula>"TERM"</formula>
    </cfRule>
    <cfRule type="cellIs" dxfId="1718" priority="643" operator="equal">
      <formula>"TRANSFER"</formula>
    </cfRule>
  </conditionalFormatting>
  <conditionalFormatting sqref="A142">
    <cfRule type="cellIs" dxfId="1717" priority="632" operator="equal">
      <formula>"LOA"</formula>
    </cfRule>
    <cfRule type="cellIs" dxfId="1716" priority="633" operator="equal">
      <formula>"PENDING TERM"</formula>
    </cfRule>
    <cfRule type="cellIs" dxfId="1715" priority="634" operator="equal">
      <formula>"PROMOTED"</formula>
    </cfRule>
    <cfRule type="cellIs" dxfId="1714" priority="635" operator="equal">
      <formula>"REINSTATEMENT"</formula>
    </cfRule>
    <cfRule type="cellIs" dxfId="1713" priority="636" operator="equal">
      <formula>"TERM"</formula>
    </cfRule>
    <cfRule type="cellIs" dxfId="1712" priority="637" operator="equal">
      <formula>"TRANSFER"</formula>
    </cfRule>
  </conditionalFormatting>
  <conditionalFormatting sqref="A143">
    <cfRule type="cellIs" dxfId="1711" priority="626" operator="equal">
      <formula>"LOA"</formula>
    </cfRule>
    <cfRule type="cellIs" dxfId="1710" priority="627" operator="equal">
      <formula>"PENDING TERM"</formula>
    </cfRule>
    <cfRule type="cellIs" dxfId="1709" priority="628" operator="equal">
      <formula>"PROMOTED"</formula>
    </cfRule>
    <cfRule type="cellIs" dxfId="1708" priority="629" operator="equal">
      <formula>"REINSTATEMENT"</formula>
    </cfRule>
    <cfRule type="cellIs" dxfId="1707" priority="630" operator="equal">
      <formula>"TERM"</formula>
    </cfRule>
    <cfRule type="cellIs" dxfId="1706" priority="631" operator="equal">
      <formula>"TRANSFER"</formula>
    </cfRule>
  </conditionalFormatting>
  <conditionalFormatting sqref="A144">
    <cfRule type="cellIs" dxfId="1705" priority="620" operator="equal">
      <formula>"LOA"</formula>
    </cfRule>
    <cfRule type="cellIs" dxfId="1704" priority="621" operator="equal">
      <formula>"PENDING TERM"</formula>
    </cfRule>
    <cfRule type="cellIs" dxfId="1703" priority="622" operator="equal">
      <formula>"PROMOTED"</formula>
    </cfRule>
    <cfRule type="cellIs" dxfId="1702" priority="623" operator="equal">
      <formula>"REINSTATEMENT"</formula>
    </cfRule>
    <cfRule type="cellIs" dxfId="1701" priority="624" operator="equal">
      <formula>"TERM"</formula>
    </cfRule>
    <cfRule type="cellIs" dxfId="1700" priority="625" operator="equal">
      <formula>"TRANSFER"</formula>
    </cfRule>
  </conditionalFormatting>
  <conditionalFormatting sqref="A145">
    <cfRule type="cellIs" dxfId="1699" priority="614" operator="equal">
      <formula>"LOA"</formula>
    </cfRule>
    <cfRule type="cellIs" dxfId="1698" priority="615" operator="equal">
      <formula>"PENDING TERM"</formula>
    </cfRule>
    <cfRule type="cellIs" dxfId="1697" priority="616" operator="equal">
      <formula>"PROMOTED"</formula>
    </cfRule>
    <cfRule type="cellIs" dxfId="1696" priority="617" operator="equal">
      <formula>"REINSTATEMENT"</formula>
    </cfRule>
    <cfRule type="cellIs" dxfId="1695" priority="618" operator="equal">
      <formula>"TERM"</formula>
    </cfRule>
    <cfRule type="cellIs" dxfId="1694" priority="619" operator="equal">
      <formula>"TRANSFER"</formula>
    </cfRule>
  </conditionalFormatting>
  <conditionalFormatting sqref="A146">
    <cfRule type="cellIs" dxfId="1693" priority="608" operator="equal">
      <formula>"LOA"</formula>
    </cfRule>
    <cfRule type="cellIs" dxfId="1692" priority="609" operator="equal">
      <formula>"PENDING TERM"</formula>
    </cfRule>
    <cfRule type="cellIs" dxfId="1691" priority="610" operator="equal">
      <formula>"PROMOTED"</formula>
    </cfRule>
    <cfRule type="cellIs" dxfId="1690" priority="611" operator="equal">
      <formula>"REINSTATEMENT"</formula>
    </cfRule>
    <cfRule type="cellIs" dxfId="1689" priority="612" operator="equal">
      <formula>"TERM"</formula>
    </cfRule>
    <cfRule type="cellIs" dxfId="1688" priority="613" operator="equal">
      <formula>"TRANSFER"</formula>
    </cfRule>
  </conditionalFormatting>
  <conditionalFormatting sqref="A148">
    <cfRule type="cellIs" dxfId="1687" priority="596" operator="equal">
      <formula>"LOA"</formula>
    </cfRule>
    <cfRule type="cellIs" dxfId="1686" priority="597" operator="equal">
      <formula>"PENDING TERM"</formula>
    </cfRule>
    <cfRule type="cellIs" dxfId="1685" priority="598" operator="equal">
      <formula>"PROMOTED"</formula>
    </cfRule>
    <cfRule type="cellIs" dxfId="1684" priority="599" operator="equal">
      <formula>"REINSTATEMENT"</formula>
    </cfRule>
    <cfRule type="cellIs" dxfId="1683" priority="600" operator="equal">
      <formula>"TERM"</formula>
    </cfRule>
    <cfRule type="cellIs" dxfId="1682" priority="601" operator="equal">
      <formula>"TRANSFER"</formula>
    </cfRule>
  </conditionalFormatting>
  <conditionalFormatting sqref="A149">
    <cfRule type="cellIs" dxfId="1681" priority="590" operator="equal">
      <formula>"LOA"</formula>
    </cfRule>
    <cfRule type="cellIs" dxfId="1680" priority="591" operator="equal">
      <formula>"PENDING TERM"</formula>
    </cfRule>
    <cfRule type="cellIs" dxfId="1679" priority="592" operator="equal">
      <formula>"PROMOTED"</formula>
    </cfRule>
    <cfRule type="cellIs" dxfId="1678" priority="593" operator="equal">
      <formula>"REINSTATEMENT"</formula>
    </cfRule>
    <cfRule type="cellIs" dxfId="1677" priority="594" operator="equal">
      <formula>"TERM"</formula>
    </cfRule>
    <cfRule type="cellIs" dxfId="1676" priority="595" operator="equal">
      <formula>"TRANSFER"</formula>
    </cfRule>
  </conditionalFormatting>
  <conditionalFormatting sqref="A150">
    <cfRule type="cellIs" dxfId="1675" priority="584" operator="equal">
      <formula>"LOA"</formula>
    </cfRule>
    <cfRule type="cellIs" dxfId="1674" priority="585" operator="equal">
      <formula>"PENDING TERM"</formula>
    </cfRule>
    <cfRule type="cellIs" dxfId="1673" priority="586" operator="equal">
      <formula>"PROMOTED"</formula>
    </cfRule>
    <cfRule type="cellIs" dxfId="1672" priority="587" operator="equal">
      <formula>"REINSTATEMENT"</formula>
    </cfRule>
    <cfRule type="cellIs" dxfId="1671" priority="588" operator="equal">
      <formula>"TERM"</formula>
    </cfRule>
    <cfRule type="cellIs" dxfId="1670" priority="589" operator="equal">
      <formula>"TRANSFER"</formula>
    </cfRule>
  </conditionalFormatting>
  <conditionalFormatting sqref="A151">
    <cfRule type="cellIs" dxfId="1669" priority="578" operator="equal">
      <formula>"LOA"</formula>
    </cfRule>
    <cfRule type="cellIs" dxfId="1668" priority="579" operator="equal">
      <formula>"PENDING TERM"</formula>
    </cfRule>
    <cfRule type="cellIs" dxfId="1667" priority="580" operator="equal">
      <formula>"PROMOTED"</formula>
    </cfRule>
    <cfRule type="cellIs" dxfId="1666" priority="581" operator="equal">
      <formula>"REINSTATEMENT"</formula>
    </cfRule>
    <cfRule type="cellIs" dxfId="1665" priority="582" operator="equal">
      <formula>"TERM"</formula>
    </cfRule>
    <cfRule type="cellIs" dxfId="1664" priority="583" operator="equal">
      <formula>"TRANSFER"</formula>
    </cfRule>
  </conditionalFormatting>
  <conditionalFormatting sqref="A152">
    <cfRule type="cellIs" dxfId="1663" priority="572" operator="equal">
      <formula>"LOA"</formula>
    </cfRule>
    <cfRule type="cellIs" dxfId="1662" priority="573" operator="equal">
      <formula>"PENDING TERM"</formula>
    </cfRule>
    <cfRule type="cellIs" dxfId="1661" priority="574" operator="equal">
      <formula>"PROMOTED"</formula>
    </cfRule>
    <cfRule type="cellIs" dxfId="1660" priority="575" operator="equal">
      <formula>"REINSTATEMENT"</formula>
    </cfRule>
    <cfRule type="cellIs" dxfId="1659" priority="576" operator="equal">
      <formula>"TERM"</formula>
    </cfRule>
    <cfRule type="cellIs" dxfId="1658" priority="577" operator="equal">
      <formula>"TRANSFER"</formula>
    </cfRule>
  </conditionalFormatting>
  <conditionalFormatting sqref="A153">
    <cfRule type="cellIs" dxfId="1657" priority="566" operator="equal">
      <formula>"LOA"</formula>
    </cfRule>
    <cfRule type="cellIs" dxfId="1656" priority="567" operator="equal">
      <formula>"PENDING TERM"</formula>
    </cfRule>
    <cfRule type="cellIs" dxfId="1655" priority="568" operator="equal">
      <formula>"PROMOTED"</formula>
    </cfRule>
    <cfRule type="cellIs" dxfId="1654" priority="569" operator="equal">
      <formula>"REINSTATEMENT"</formula>
    </cfRule>
    <cfRule type="cellIs" dxfId="1653" priority="570" operator="equal">
      <formula>"TERM"</formula>
    </cfRule>
    <cfRule type="cellIs" dxfId="1652" priority="571" operator="equal">
      <formula>"TRANSFER"</formula>
    </cfRule>
  </conditionalFormatting>
  <conditionalFormatting sqref="A154">
    <cfRule type="cellIs" dxfId="1651" priority="560" operator="equal">
      <formula>"LOA"</formula>
    </cfRule>
    <cfRule type="cellIs" dxfId="1650" priority="561" operator="equal">
      <formula>"PENDING TERM"</formula>
    </cfRule>
    <cfRule type="cellIs" dxfId="1649" priority="562" operator="equal">
      <formula>"PROMOTED"</formula>
    </cfRule>
    <cfRule type="cellIs" dxfId="1648" priority="563" operator="equal">
      <formula>"REINSTATEMENT"</formula>
    </cfRule>
    <cfRule type="cellIs" dxfId="1647" priority="564" operator="equal">
      <formula>"TERM"</formula>
    </cfRule>
    <cfRule type="cellIs" dxfId="1646" priority="565" operator="equal">
      <formula>"TRANSFER"</formula>
    </cfRule>
  </conditionalFormatting>
  <conditionalFormatting sqref="A156">
    <cfRule type="cellIs" dxfId="1645" priority="548" operator="equal">
      <formula>"LOA"</formula>
    </cfRule>
    <cfRule type="cellIs" dxfId="1644" priority="549" operator="equal">
      <formula>"PENDING TERM"</formula>
    </cfRule>
    <cfRule type="cellIs" dxfId="1643" priority="550" operator="equal">
      <formula>"PROMOTED"</formula>
    </cfRule>
    <cfRule type="cellIs" dxfId="1642" priority="551" operator="equal">
      <formula>"REINSTATEMENT"</formula>
    </cfRule>
    <cfRule type="cellIs" dxfId="1641" priority="552" operator="equal">
      <formula>"TERM"</formula>
    </cfRule>
    <cfRule type="cellIs" dxfId="1640" priority="553" operator="equal">
      <formula>"TRANSFER"</formula>
    </cfRule>
  </conditionalFormatting>
  <conditionalFormatting sqref="A157">
    <cfRule type="cellIs" dxfId="1639" priority="542" operator="equal">
      <formula>"LOA"</formula>
    </cfRule>
    <cfRule type="cellIs" dxfId="1638" priority="543" operator="equal">
      <formula>"PENDING TERM"</formula>
    </cfRule>
    <cfRule type="cellIs" dxfId="1637" priority="544" operator="equal">
      <formula>"PROMOTED"</formula>
    </cfRule>
    <cfRule type="cellIs" dxfId="1636" priority="545" operator="equal">
      <formula>"REINSTATEMENT"</formula>
    </cfRule>
    <cfRule type="cellIs" dxfId="1635" priority="546" operator="equal">
      <formula>"TERM"</formula>
    </cfRule>
    <cfRule type="cellIs" dxfId="1634" priority="547" operator="equal">
      <formula>"TRANSFER"</formula>
    </cfRule>
  </conditionalFormatting>
  <conditionalFormatting sqref="A158">
    <cfRule type="cellIs" dxfId="1633" priority="536" operator="equal">
      <formula>"LOA"</formula>
    </cfRule>
    <cfRule type="cellIs" dxfId="1632" priority="537" operator="equal">
      <formula>"PENDING TERM"</formula>
    </cfRule>
    <cfRule type="cellIs" dxfId="1631" priority="538" operator="equal">
      <formula>"PROMOTED"</formula>
    </cfRule>
    <cfRule type="cellIs" dxfId="1630" priority="539" operator="equal">
      <formula>"REINSTATEMENT"</formula>
    </cfRule>
    <cfRule type="cellIs" dxfId="1629" priority="540" operator="equal">
      <formula>"TERM"</formula>
    </cfRule>
    <cfRule type="cellIs" dxfId="1628" priority="541" operator="equal">
      <formula>"TRANSFER"</formula>
    </cfRule>
  </conditionalFormatting>
  <conditionalFormatting sqref="A161">
    <cfRule type="cellIs" dxfId="1627" priority="518" operator="equal">
      <formula>"LOA"</formula>
    </cfRule>
    <cfRule type="cellIs" dxfId="1626" priority="519" operator="equal">
      <formula>"PENDING TERM"</formula>
    </cfRule>
    <cfRule type="cellIs" dxfId="1625" priority="520" operator="equal">
      <formula>"PROMOTED"</formula>
    </cfRule>
    <cfRule type="cellIs" dxfId="1624" priority="521" operator="equal">
      <formula>"REINSTATEMENT"</formula>
    </cfRule>
    <cfRule type="cellIs" dxfId="1623" priority="522" operator="equal">
      <formula>"TERM"</formula>
    </cfRule>
    <cfRule type="cellIs" dxfId="1622" priority="523" operator="equal">
      <formula>"TRANSFER"</formula>
    </cfRule>
  </conditionalFormatting>
  <conditionalFormatting sqref="A162">
    <cfRule type="cellIs" dxfId="1621" priority="512" operator="equal">
      <formula>"LOA"</formula>
    </cfRule>
    <cfRule type="cellIs" dxfId="1620" priority="513" operator="equal">
      <formula>"PENDING TERM"</formula>
    </cfRule>
    <cfRule type="cellIs" dxfId="1619" priority="514" operator="equal">
      <formula>"PROMOTED"</formula>
    </cfRule>
    <cfRule type="cellIs" dxfId="1618" priority="515" operator="equal">
      <formula>"REINSTATEMENT"</formula>
    </cfRule>
    <cfRule type="cellIs" dxfId="1617" priority="516" operator="equal">
      <formula>"TERM"</formula>
    </cfRule>
    <cfRule type="cellIs" dxfId="1616" priority="517" operator="equal">
      <formula>"TRANSFER"</formula>
    </cfRule>
  </conditionalFormatting>
  <conditionalFormatting sqref="A164">
    <cfRule type="cellIs" dxfId="1615" priority="500" operator="equal">
      <formula>"LOA"</formula>
    </cfRule>
    <cfRule type="cellIs" dxfId="1614" priority="501" operator="equal">
      <formula>"PENDING TERM"</formula>
    </cfRule>
    <cfRule type="cellIs" dxfId="1613" priority="502" operator="equal">
      <formula>"PROMOTED"</formula>
    </cfRule>
    <cfRule type="cellIs" dxfId="1612" priority="503" operator="equal">
      <formula>"REINSTATEMENT"</formula>
    </cfRule>
    <cfRule type="cellIs" dxfId="1611" priority="504" operator="equal">
      <formula>"TERM"</formula>
    </cfRule>
    <cfRule type="cellIs" dxfId="1610" priority="505" operator="equal">
      <formula>"TRANSFER"</formula>
    </cfRule>
  </conditionalFormatting>
  <conditionalFormatting sqref="A165">
    <cfRule type="cellIs" dxfId="1609" priority="494" operator="equal">
      <formula>"LOA"</formula>
    </cfRule>
    <cfRule type="cellIs" dxfId="1608" priority="495" operator="equal">
      <formula>"PENDING TERM"</formula>
    </cfRule>
    <cfRule type="cellIs" dxfId="1607" priority="496" operator="equal">
      <formula>"PROMOTED"</formula>
    </cfRule>
    <cfRule type="cellIs" dxfId="1606" priority="497" operator="equal">
      <formula>"REINSTATEMENT"</formula>
    </cfRule>
    <cfRule type="cellIs" dxfId="1605" priority="498" operator="equal">
      <formula>"TERM"</formula>
    </cfRule>
    <cfRule type="cellIs" dxfId="1604" priority="499" operator="equal">
      <formula>"TRANSFER"</formula>
    </cfRule>
  </conditionalFormatting>
  <conditionalFormatting sqref="A166">
    <cfRule type="cellIs" dxfId="1603" priority="488" operator="equal">
      <formula>"LOA"</formula>
    </cfRule>
    <cfRule type="cellIs" dxfId="1602" priority="489" operator="equal">
      <formula>"PENDING TERM"</formula>
    </cfRule>
    <cfRule type="cellIs" dxfId="1601" priority="490" operator="equal">
      <formula>"PROMOTED"</formula>
    </cfRule>
    <cfRule type="cellIs" dxfId="1600" priority="491" operator="equal">
      <formula>"REINSTATEMENT"</formula>
    </cfRule>
    <cfRule type="cellIs" dxfId="1599" priority="492" operator="equal">
      <formula>"TERM"</formula>
    </cfRule>
    <cfRule type="cellIs" dxfId="1598" priority="493" operator="equal">
      <formula>"TRANSFER"</formula>
    </cfRule>
  </conditionalFormatting>
  <conditionalFormatting sqref="A167">
    <cfRule type="cellIs" dxfId="1597" priority="482" operator="equal">
      <formula>"LOA"</formula>
    </cfRule>
    <cfRule type="cellIs" dxfId="1596" priority="483" operator="equal">
      <formula>"PENDING TERM"</formula>
    </cfRule>
    <cfRule type="cellIs" dxfId="1595" priority="484" operator="equal">
      <formula>"PROMOTED"</formula>
    </cfRule>
    <cfRule type="cellIs" dxfId="1594" priority="485" operator="equal">
      <formula>"REINSTATEMENT"</formula>
    </cfRule>
    <cfRule type="cellIs" dxfId="1593" priority="486" operator="equal">
      <formula>"TERM"</formula>
    </cfRule>
    <cfRule type="cellIs" dxfId="1592" priority="487" operator="equal">
      <formula>"TRANSFER"</formula>
    </cfRule>
  </conditionalFormatting>
  <conditionalFormatting sqref="A168">
    <cfRule type="cellIs" dxfId="1591" priority="476" operator="equal">
      <formula>"LOA"</formula>
    </cfRule>
    <cfRule type="cellIs" dxfId="1590" priority="477" operator="equal">
      <formula>"PENDING TERM"</formula>
    </cfRule>
    <cfRule type="cellIs" dxfId="1589" priority="478" operator="equal">
      <formula>"PROMOTED"</formula>
    </cfRule>
    <cfRule type="cellIs" dxfId="1588" priority="479" operator="equal">
      <formula>"REINSTATEMENT"</formula>
    </cfRule>
    <cfRule type="cellIs" dxfId="1587" priority="480" operator="equal">
      <formula>"TERM"</formula>
    </cfRule>
    <cfRule type="cellIs" dxfId="1586" priority="481" operator="equal">
      <formula>"TRANSFER"</formula>
    </cfRule>
  </conditionalFormatting>
  <conditionalFormatting sqref="A169">
    <cfRule type="cellIs" dxfId="1585" priority="470" operator="equal">
      <formula>"LOA"</formula>
    </cfRule>
    <cfRule type="cellIs" dxfId="1584" priority="471" operator="equal">
      <formula>"PENDING TERM"</formula>
    </cfRule>
    <cfRule type="cellIs" dxfId="1583" priority="472" operator="equal">
      <formula>"PROMOTED"</formula>
    </cfRule>
    <cfRule type="cellIs" dxfId="1582" priority="473" operator="equal">
      <formula>"REINSTATEMENT"</formula>
    </cfRule>
    <cfRule type="cellIs" dxfId="1581" priority="474" operator="equal">
      <formula>"TERM"</formula>
    </cfRule>
    <cfRule type="cellIs" dxfId="1580" priority="475" operator="equal">
      <formula>"TRANSFER"</formula>
    </cfRule>
  </conditionalFormatting>
  <conditionalFormatting sqref="A170">
    <cfRule type="cellIs" dxfId="1579" priority="464" operator="equal">
      <formula>"LOA"</formula>
    </cfRule>
    <cfRule type="cellIs" dxfId="1578" priority="465" operator="equal">
      <formula>"PENDING TERM"</formula>
    </cfRule>
    <cfRule type="cellIs" dxfId="1577" priority="466" operator="equal">
      <formula>"PROMOTED"</formula>
    </cfRule>
    <cfRule type="cellIs" dxfId="1576" priority="467" operator="equal">
      <formula>"REINSTATEMENT"</formula>
    </cfRule>
    <cfRule type="cellIs" dxfId="1575" priority="468" operator="equal">
      <formula>"TERM"</formula>
    </cfRule>
    <cfRule type="cellIs" dxfId="1574" priority="469" operator="equal">
      <formula>"TRANSFER"</formula>
    </cfRule>
  </conditionalFormatting>
  <conditionalFormatting sqref="A171">
    <cfRule type="cellIs" dxfId="1573" priority="458" operator="equal">
      <formula>"LOA"</formula>
    </cfRule>
    <cfRule type="cellIs" dxfId="1572" priority="459" operator="equal">
      <formula>"PENDING TERM"</formula>
    </cfRule>
    <cfRule type="cellIs" dxfId="1571" priority="460" operator="equal">
      <formula>"PROMOTED"</formula>
    </cfRule>
    <cfRule type="cellIs" dxfId="1570" priority="461" operator="equal">
      <formula>"REINSTATEMENT"</formula>
    </cfRule>
    <cfRule type="cellIs" dxfId="1569" priority="462" operator="equal">
      <formula>"TERM"</formula>
    </cfRule>
    <cfRule type="cellIs" dxfId="1568" priority="463" operator="equal">
      <formula>"TRANSFER"</formula>
    </cfRule>
  </conditionalFormatting>
  <conditionalFormatting sqref="A172">
    <cfRule type="cellIs" dxfId="1567" priority="452" operator="equal">
      <formula>"LOA"</formula>
    </cfRule>
    <cfRule type="cellIs" dxfId="1566" priority="453" operator="equal">
      <formula>"PENDING TERM"</formula>
    </cfRule>
    <cfRule type="cellIs" dxfId="1565" priority="454" operator="equal">
      <formula>"PROMOTED"</formula>
    </cfRule>
    <cfRule type="cellIs" dxfId="1564" priority="455" operator="equal">
      <formula>"REINSTATEMENT"</formula>
    </cfRule>
    <cfRule type="cellIs" dxfId="1563" priority="456" operator="equal">
      <formula>"TERM"</formula>
    </cfRule>
    <cfRule type="cellIs" dxfId="1562" priority="457" operator="equal">
      <formula>"TRANSFER"</formula>
    </cfRule>
  </conditionalFormatting>
  <conditionalFormatting sqref="A173">
    <cfRule type="cellIs" dxfId="1561" priority="446" operator="equal">
      <formula>"LOA"</formula>
    </cfRule>
    <cfRule type="cellIs" dxfId="1560" priority="447" operator="equal">
      <formula>"PENDING TERM"</formula>
    </cfRule>
    <cfRule type="cellIs" dxfId="1559" priority="448" operator="equal">
      <formula>"PROMOTED"</formula>
    </cfRule>
    <cfRule type="cellIs" dxfId="1558" priority="449" operator="equal">
      <formula>"REINSTATEMENT"</formula>
    </cfRule>
    <cfRule type="cellIs" dxfId="1557" priority="450" operator="equal">
      <formula>"TERM"</formula>
    </cfRule>
    <cfRule type="cellIs" dxfId="1556" priority="451" operator="equal">
      <formula>"TRANSFER"</formula>
    </cfRule>
  </conditionalFormatting>
  <conditionalFormatting sqref="A174">
    <cfRule type="cellIs" dxfId="1555" priority="440" operator="equal">
      <formula>"LOA"</formula>
    </cfRule>
    <cfRule type="cellIs" dxfId="1554" priority="441" operator="equal">
      <formula>"PENDING TERM"</formula>
    </cfRule>
    <cfRule type="cellIs" dxfId="1553" priority="442" operator="equal">
      <formula>"PROMOTED"</formula>
    </cfRule>
    <cfRule type="cellIs" dxfId="1552" priority="443" operator="equal">
      <formula>"REINSTATEMENT"</formula>
    </cfRule>
    <cfRule type="cellIs" dxfId="1551" priority="444" operator="equal">
      <formula>"TERM"</formula>
    </cfRule>
    <cfRule type="cellIs" dxfId="1550" priority="445" operator="equal">
      <formula>"TRANSFER"</formula>
    </cfRule>
  </conditionalFormatting>
  <conditionalFormatting sqref="A175">
    <cfRule type="cellIs" dxfId="1549" priority="434" operator="equal">
      <formula>"LOA"</formula>
    </cfRule>
    <cfRule type="cellIs" dxfId="1548" priority="435" operator="equal">
      <formula>"PENDING TERM"</formula>
    </cfRule>
    <cfRule type="cellIs" dxfId="1547" priority="436" operator="equal">
      <formula>"PROMOTED"</formula>
    </cfRule>
    <cfRule type="cellIs" dxfId="1546" priority="437" operator="equal">
      <formula>"REINSTATEMENT"</formula>
    </cfRule>
    <cfRule type="cellIs" dxfId="1545" priority="438" operator="equal">
      <formula>"TERM"</formula>
    </cfRule>
    <cfRule type="cellIs" dxfId="1544" priority="439" operator="equal">
      <formula>"TRANSFER"</formula>
    </cfRule>
  </conditionalFormatting>
  <conditionalFormatting sqref="A176">
    <cfRule type="cellIs" dxfId="1543" priority="428" operator="equal">
      <formula>"LOA"</formula>
    </cfRule>
    <cfRule type="cellIs" dxfId="1542" priority="429" operator="equal">
      <formula>"PENDING TERM"</formula>
    </cfRule>
    <cfRule type="cellIs" dxfId="1541" priority="430" operator="equal">
      <formula>"PROMOTED"</formula>
    </cfRule>
    <cfRule type="cellIs" dxfId="1540" priority="431" operator="equal">
      <formula>"REINSTATEMENT"</formula>
    </cfRule>
    <cfRule type="cellIs" dxfId="1539" priority="432" operator="equal">
      <formula>"TERM"</formula>
    </cfRule>
    <cfRule type="cellIs" dxfId="1538" priority="433" operator="equal">
      <formula>"TRANSFER"</formula>
    </cfRule>
  </conditionalFormatting>
  <conditionalFormatting sqref="A177">
    <cfRule type="cellIs" dxfId="1537" priority="422" operator="equal">
      <formula>"LOA"</formula>
    </cfRule>
    <cfRule type="cellIs" dxfId="1536" priority="423" operator="equal">
      <formula>"PENDING TERM"</formula>
    </cfRule>
    <cfRule type="cellIs" dxfId="1535" priority="424" operator="equal">
      <formula>"PROMOTED"</formula>
    </cfRule>
    <cfRule type="cellIs" dxfId="1534" priority="425" operator="equal">
      <formula>"REINSTATEMENT"</formula>
    </cfRule>
    <cfRule type="cellIs" dxfId="1533" priority="426" operator="equal">
      <formula>"TERM"</formula>
    </cfRule>
    <cfRule type="cellIs" dxfId="1532" priority="427" operator="equal">
      <formula>"TRANSFER"</formula>
    </cfRule>
  </conditionalFormatting>
  <conditionalFormatting sqref="A178">
    <cfRule type="cellIs" dxfId="1531" priority="416" operator="equal">
      <formula>"LOA"</formula>
    </cfRule>
    <cfRule type="cellIs" dxfId="1530" priority="417" operator="equal">
      <formula>"PENDING TERM"</formula>
    </cfRule>
    <cfRule type="cellIs" dxfId="1529" priority="418" operator="equal">
      <formula>"PROMOTED"</formula>
    </cfRule>
    <cfRule type="cellIs" dxfId="1528" priority="419" operator="equal">
      <formula>"REINSTATEMENT"</formula>
    </cfRule>
    <cfRule type="cellIs" dxfId="1527" priority="420" operator="equal">
      <formula>"TERM"</formula>
    </cfRule>
    <cfRule type="cellIs" dxfId="1526" priority="421" operator="equal">
      <formula>"TRANSFER"</formula>
    </cfRule>
  </conditionalFormatting>
  <conditionalFormatting sqref="A187">
    <cfRule type="cellIs" dxfId="1525" priority="410" operator="equal">
      <formula>"LOA"</formula>
    </cfRule>
    <cfRule type="cellIs" dxfId="1524" priority="411" operator="equal">
      <formula>"PENDING TERM"</formula>
    </cfRule>
    <cfRule type="cellIs" dxfId="1523" priority="412" operator="equal">
      <formula>"PROMOTED"</formula>
    </cfRule>
    <cfRule type="cellIs" dxfId="1522" priority="413" operator="equal">
      <formula>"REINSTATEMENT"</formula>
    </cfRule>
    <cfRule type="cellIs" dxfId="1521" priority="414" operator="equal">
      <formula>"TERM"</formula>
    </cfRule>
    <cfRule type="cellIs" dxfId="1520" priority="415" operator="equal">
      <formula>"TRANSFER"</formula>
    </cfRule>
  </conditionalFormatting>
  <conditionalFormatting sqref="A186">
    <cfRule type="cellIs" dxfId="1519" priority="404" operator="equal">
      <formula>"LOA"</formula>
    </cfRule>
    <cfRule type="cellIs" dxfId="1518" priority="405" operator="equal">
      <formula>"PENDING TERM"</formula>
    </cfRule>
    <cfRule type="cellIs" dxfId="1517" priority="406" operator="equal">
      <formula>"PROMOTED"</formula>
    </cfRule>
    <cfRule type="cellIs" dxfId="1516" priority="407" operator="equal">
      <formula>"REINSTATEMENT"</formula>
    </cfRule>
    <cfRule type="cellIs" dxfId="1515" priority="408" operator="equal">
      <formula>"TERM"</formula>
    </cfRule>
    <cfRule type="cellIs" dxfId="1514" priority="409" operator="equal">
      <formula>"TRANSFER"</formula>
    </cfRule>
  </conditionalFormatting>
  <conditionalFormatting sqref="A185">
    <cfRule type="cellIs" dxfId="1513" priority="398" operator="equal">
      <formula>"LOA"</formula>
    </cfRule>
    <cfRule type="cellIs" dxfId="1512" priority="399" operator="equal">
      <formula>"PENDING TERM"</formula>
    </cfRule>
    <cfRule type="cellIs" dxfId="1511" priority="400" operator="equal">
      <formula>"PROMOTED"</formula>
    </cfRule>
    <cfRule type="cellIs" dxfId="1510" priority="401" operator="equal">
      <formula>"REINSTATEMENT"</formula>
    </cfRule>
    <cfRule type="cellIs" dxfId="1509" priority="402" operator="equal">
      <formula>"TERM"</formula>
    </cfRule>
    <cfRule type="cellIs" dxfId="1508" priority="403" operator="equal">
      <formula>"TRANSFER"</formula>
    </cfRule>
  </conditionalFormatting>
  <conditionalFormatting sqref="A184">
    <cfRule type="cellIs" dxfId="1507" priority="392" operator="equal">
      <formula>"LOA"</formula>
    </cfRule>
    <cfRule type="cellIs" dxfId="1506" priority="393" operator="equal">
      <formula>"PENDING TERM"</formula>
    </cfRule>
    <cfRule type="cellIs" dxfId="1505" priority="394" operator="equal">
      <formula>"PROMOTED"</formula>
    </cfRule>
    <cfRule type="cellIs" dxfId="1504" priority="395" operator="equal">
      <formula>"REINSTATEMENT"</formula>
    </cfRule>
    <cfRule type="cellIs" dxfId="1503" priority="396" operator="equal">
      <formula>"TERM"</formula>
    </cfRule>
    <cfRule type="cellIs" dxfId="1502" priority="397" operator="equal">
      <formula>"TRANSFER"</formula>
    </cfRule>
  </conditionalFormatting>
  <conditionalFormatting sqref="A183">
    <cfRule type="cellIs" dxfId="1501" priority="386" operator="equal">
      <formula>"LOA"</formula>
    </cfRule>
    <cfRule type="cellIs" dxfId="1500" priority="387" operator="equal">
      <formula>"PENDING TERM"</formula>
    </cfRule>
    <cfRule type="cellIs" dxfId="1499" priority="388" operator="equal">
      <formula>"PROMOTED"</formula>
    </cfRule>
    <cfRule type="cellIs" dxfId="1498" priority="389" operator="equal">
      <formula>"REINSTATEMENT"</formula>
    </cfRule>
    <cfRule type="cellIs" dxfId="1497" priority="390" operator="equal">
      <formula>"TERM"</formula>
    </cfRule>
    <cfRule type="cellIs" dxfId="1496" priority="391" operator="equal">
      <formula>"TRANSFER"</formula>
    </cfRule>
  </conditionalFormatting>
  <conditionalFormatting sqref="A182">
    <cfRule type="cellIs" dxfId="1495" priority="380" operator="equal">
      <formula>"LOA"</formula>
    </cfRule>
    <cfRule type="cellIs" dxfId="1494" priority="381" operator="equal">
      <formula>"PENDING TERM"</formula>
    </cfRule>
    <cfRule type="cellIs" dxfId="1493" priority="382" operator="equal">
      <formula>"PROMOTED"</formula>
    </cfRule>
    <cfRule type="cellIs" dxfId="1492" priority="383" operator="equal">
      <formula>"REINSTATEMENT"</formula>
    </cfRule>
    <cfRule type="cellIs" dxfId="1491" priority="384" operator="equal">
      <formula>"TERM"</formula>
    </cfRule>
    <cfRule type="cellIs" dxfId="1490" priority="385" operator="equal">
      <formula>"TRANSFER"</formula>
    </cfRule>
  </conditionalFormatting>
  <conditionalFormatting sqref="A181">
    <cfRule type="cellIs" dxfId="1489" priority="374" operator="equal">
      <formula>"LOA"</formula>
    </cfRule>
    <cfRule type="cellIs" dxfId="1488" priority="375" operator="equal">
      <formula>"PENDING TERM"</formula>
    </cfRule>
    <cfRule type="cellIs" dxfId="1487" priority="376" operator="equal">
      <formula>"PROMOTED"</formula>
    </cfRule>
    <cfRule type="cellIs" dxfId="1486" priority="377" operator="equal">
      <formula>"REINSTATEMENT"</formula>
    </cfRule>
    <cfRule type="cellIs" dxfId="1485" priority="378" operator="equal">
      <formula>"TERM"</formula>
    </cfRule>
    <cfRule type="cellIs" dxfId="1484" priority="379" operator="equal">
      <formula>"TRANSFER"</formula>
    </cfRule>
  </conditionalFormatting>
  <conditionalFormatting sqref="A180">
    <cfRule type="cellIs" dxfId="1483" priority="368" operator="equal">
      <formula>"LOA"</formula>
    </cfRule>
    <cfRule type="cellIs" dxfId="1482" priority="369" operator="equal">
      <formula>"PENDING TERM"</formula>
    </cfRule>
    <cfRule type="cellIs" dxfId="1481" priority="370" operator="equal">
      <formula>"PROMOTED"</formula>
    </cfRule>
    <cfRule type="cellIs" dxfId="1480" priority="371" operator="equal">
      <formula>"REINSTATEMENT"</formula>
    </cfRule>
    <cfRule type="cellIs" dxfId="1479" priority="372" operator="equal">
      <formula>"TERM"</formula>
    </cfRule>
    <cfRule type="cellIs" dxfId="1478" priority="373" operator="equal">
      <formula>"TRANSFER"</formula>
    </cfRule>
  </conditionalFormatting>
  <conditionalFormatting sqref="A179">
    <cfRule type="cellIs" dxfId="1477" priority="362" operator="equal">
      <formula>"LOA"</formula>
    </cfRule>
    <cfRule type="cellIs" dxfId="1476" priority="363" operator="equal">
      <formula>"PENDING TERM"</formula>
    </cfRule>
    <cfRule type="cellIs" dxfId="1475" priority="364" operator="equal">
      <formula>"PROMOTED"</formula>
    </cfRule>
    <cfRule type="cellIs" dxfId="1474" priority="365" operator="equal">
      <formula>"REINSTATEMENT"</formula>
    </cfRule>
    <cfRule type="cellIs" dxfId="1473" priority="366" operator="equal">
      <formula>"TERM"</formula>
    </cfRule>
    <cfRule type="cellIs" dxfId="1472" priority="367" operator="equal">
      <formula>"TRANSFER"</formula>
    </cfRule>
  </conditionalFormatting>
  <conditionalFormatting sqref="X28:X31">
    <cfRule type="duplicateValues" dxfId="1471" priority="871"/>
  </conditionalFormatting>
  <conditionalFormatting sqref="Y28:Y31">
    <cfRule type="duplicateValues" dxfId="1470" priority="872"/>
  </conditionalFormatting>
  <conditionalFormatting sqref="AH28:AH31">
    <cfRule type="duplicateValues" dxfId="1469" priority="873"/>
  </conditionalFormatting>
  <conditionalFormatting sqref="AI28:AI31">
    <cfRule type="duplicateValues" dxfId="1468" priority="874"/>
  </conditionalFormatting>
  <conditionalFormatting sqref="W28:W31">
    <cfRule type="duplicateValues" dxfId="1467" priority="875"/>
  </conditionalFormatting>
  <conditionalFormatting sqref="M30">
    <cfRule type="cellIs" dxfId="1466" priority="361" operator="equal">
      <formula>"FER"</formula>
    </cfRule>
  </conditionalFormatting>
  <conditionalFormatting sqref="M90">
    <cfRule type="cellIs" dxfId="1465" priority="360" operator="equal">
      <formula>"FER"</formula>
    </cfRule>
  </conditionalFormatting>
  <conditionalFormatting sqref="M136">
    <cfRule type="cellIs" dxfId="1464" priority="359" operator="equal">
      <formula>"FER"</formula>
    </cfRule>
  </conditionalFormatting>
  <conditionalFormatting sqref="X45:X53">
    <cfRule type="duplicateValues" dxfId="1463" priority="876"/>
  </conditionalFormatting>
  <conditionalFormatting sqref="Y45:Y53">
    <cfRule type="duplicateValues" dxfId="1462" priority="877"/>
  </conditionalFormatting>
  <conditionalFormatting sqref="AH45:AH53">
    <cfRule type="duplicateValues" dxfId="1461" priority="878"/>
  </conditionalFormatting>
  <conditionalFormatting sqref="AI45:AI53">
    <cfRule type="duplicateValues" dxfId="1460" priority="879"/>
  </conditionalFormatting>
  <conditionalFormatting sqref="W45:W53">
    <cfRule type="duplicateValues" dxfId="1459" priority="880"/>
  </conditionalFormatting>
  <conditionalFormatting sqref="M34">
    <cfRule type="cellIs" dxfId="1458" priority="358" operator="equal">
      <formula>"FER"</formula>
    </cfRule>
  </conditionalFormatting>
  <conditionalFormatting sqref="M72">
    <cfRule type="cellIs" dxfId="1457" priority="357" operator="equal">
      <formula>"FER"</formula>
    </cfRule>
  </conditionalFormatting>
  <conditionalFormatting sqref="M74">
    <cfRule type="cellIs" dxfId="1456" priority="356" operator="equal">
      <formula>"FER"</formula>
    </cfRule>
  </conditionalFormatting>
  <conditionalFormatting sqref="M76">
    <cfRule type="cellIs" dxfId="1455" priority="355" operator="equal">
      <formula>"FER"</formula>
    </cfRule>
  </conditionalFormatting>
  <conditionalFormatting sqref="M80">
    <cfRule type="cellIs" dxfId="1454" priority="354" operator="equal">
      <formula>"FER"</formula>
    </cfRule>
  </conditionalFormatting>
  <conditionalFormatting sqref="M89">
    <cfRule type="cellIs" dxfId="1453" priority="353" operator="equal">
      <formula>"FER"</formula>
    </cfRule>
  </conditionalFormatting>
  <conditionalFormatting sqref="M103">
    <cfRule type="cellIs" dxfId="1452" priority="352" operator="equal">
      <formula>"FER"</formula>
    </cfRule>
  </conditionalFormatting>
  <conditionalFormatting sqref="M124">
    <cfRule type="cellIs" dxfId="1451" priority="351" operator="equal">
      <formula>"FER"</formula>
    </cfRule>
  </conditionalFormatting>
  <conditionalFormatting sqref="M125">
    <cfRule type="cellIs" dxfId="1450" priority="350" operator="equal">
      <formula>"FER"</formula>
    </cfRule>
  </conditionalFormatting>
  <conditionalFormatting sqref="M138">
    <cfRule type="cellIs" dxfId="1449" priority="349" operator="equal">
      <formula>"FER"</formula>
    </cfRule>
  </conditionalFormatting>
  <conditionalFormatting sqref="X12:X14">
    <cfRule type="duplicateValues" dxfId="1448" priority="881"/>
  </conditionalFormatting>
  <conditionalFormatting sqref="Y12:Y14">
    <cfRule type="duplicateValues" dxfId="1447" priority="882"/>
  </conditionalFormatting>
  <conditionalFormatting sqref="AH12:AH14">
    <cfRule type="duplicateValues" dxfId="1446" priority="883"/>
  </conditionalFormatting>
  <conditionalFormatting sqref="AI12:AI14">
    <cfRule type="duplicateValues" dxfId="1445" priority="884"/>
  </conditionalFormatting>
  <conditionalFormatting sqref="W12:W14">
    <cfRule type="duplicateValues" dxfId="1444" priority="885"/>
  </conditionalFormatting>
  <conditionalFormatting sqref="W63:W179 W2:W10">
    <cfRule type="duplicateValues" dxfId="1443" priority="886"/>
  </conditionalFormatting>
  <conditionalFormatting sqref="X63:X187 X2">
    <cfRule type="duplicateValues" dxfId="1442" priority="887"/>
  </conditionalFormatting>
  <conditionalFormatting sqref="Y63:Y187 Y2">
    <cfRule type="duplicateValues" dxfId="1441" priority="888"/>
  </conditionalFormatting>
  <conditionalFormatting sqref="AH63:AH187 AH2">
    <cfRule type="duplicateValues" dxfId="1440" priority="889"/>
  </conditionalFormatting>
  <conditionalFormatting sqref="AI63:AI187 AI2">
    <cfRule type="duplicateValues" dxfId="1439" priority="890"/>
  </conditionalFormatting>
  <conditionalFormatting sqref="X60:X187">
    <cfRule type="duplicateValues" dxfId="1438" priority="891"/>
  </conditionalFormatting>
  <conditionalFormatting sqref="Y60:Y187">
    <cfRule type="duplicateValues" dxfId="1437" priority="892"/>
  </conditionalFormatting>
  <conditionalFormatting sqref="AH60:AH187">
    <cfRule type="duplicateValues" dxfId="1436" priority="893"/>
  </conditionalFormatting>
  <conditionalFormatting sqref="AI60:AI187">
    <cfRule type="duplicateValues" dxfId="1435" priority="894"/>
  </conditionalFormatting>
  <conditionalFormatting sqref="W60:W187">
    <cfRule type="duplicateValues" dxfId="1434" priority="895"/>
  </conditionalFormatting>
  <conditionalFormatting sqref="V205:V206">
    <cfRule type="cellIs" dxfId="1433" priority="309" operator="greaterThan">
      <formula>45</formula>
    </cfRule>
  </conditionalFormatting>
  <conditionalFormatting sqref="A205:A206">
    <cfRule type="cellIs" dxfId="1432" priority="298" operator="equal">
      <formula>"LOA"</formula>
    </cfRule>
    <cfRule type="cellIs" dxfId="1431" priority="299" operator="equal">
      <formula>"PENDING TERM"</formula>
    </cfRule>
    <cfRule type="cellIs" dxfId="1430" priority="300" operator="equal">
      <formula>"PROMOTED"</formula>
    </cfRule>
    <cfRule type="cellIs" dxfId="1429" priority="301" operator="equal">
      <formula>"REINSTATEMENT"</formula>
    </cfRule>
    <cfRule type="cellIs" dxfId="1428" priority="302" operator="equal">
      <formula>"TERM"</formula>
    </cfRule>
    <cfRule type="cellIs" dxfId="1427" priority="303" operator="equal">
      <formula>"TRANSFER"</formula>
    </cfRule>
  </conditionalFormatting>
  <conditionalFormatting sqref="E205:K206">
    <cfRule type="cellIs" dxfId="1426" priority="304" operator="equal">
      <formula>"Approved Off"</formula>
    </cfRule>
    <cfRule type="cellIs" dxfId="1425" priority="305" operator="equal">
      <formula>"LOA"</formula>
    </cfRule>
    <cfRule type="cellIs" dxfId="1424" priority="306" operator="equal">
      <formula>"nesting"</formula>
    </cfRule>
    <cfRule type="cellIs" dxfId="1423" priority="307" operator="equal">
      <formula>"off"</formula>
    </cfRule>
    <cfRule type="cellIs" dxfId="1422" priority="308" operator="equal">
      <formula>"vac"</formula>
    </cfRule>
  </conditionalFormatting>
  <conditionalFormatting sqref="E205:K206">
    <cfRule type="cellIs" dxfId="1421" priority="297" operator="equal">
      <formula>"FER"</formula>
    </cfRule>
  </conditionalFormatting>
  <conditionalFormatting sqref="V205:V206">
    <cfRule type="cellIs" dxfId="1420" priority="291" operator="greaterThan">
      <formula>45</formula>
    </cfRule>
  </conditionalFormatting>
  <conditionalFormatting sqref="A205:A206">
    <cfRule type="cellIs" dxfId="1419" priority="280" operator="equal">
      <formula>"LOA"</formula>
    </cfRule>
    <cfRule type="cellIs" dxfId="1418" priority="281" operator="equal">
      <formula>"PENDING TERM"</formula>
    </cfRule>
    <cfRule type="cellIs" dxfId="1417" priority="282" operator="equal">
      <formula>"PROMOTED"</formula>
    </cfRule>
    <cfRule type="cellIs" dxfId="1416" priority="283" operator="equal">
      <formula>"REINSTATEMENT"</formula>
    </cfRule>
    <cfRule type="cellIs" dxfId="1415" priority="284" operator="equal">
      <formula>"TERM"</formula>
    </cfRule>
    <cfRule type="cellIs" dxfId="1414" priority="285" operator="equal">
      <formula>"TRANSFER"</formula>
    </cfRule>
  </conditionalFormatting>
  <conditionalFormatting sqref="E205:K206">
    <cfRule type="cellIs" dxfId="1413" priority="286" operator="equal">
      <formula>"Approved Off"</formula>
    </cfRule>
    <cfRule type="cellIs" dxfId="1412" priority="287" operator="equal">
      <formula>"LOA"</formula>
    </cfRule>
    <cfRule type="cellIs" dxfId="1411" priority="288" operator="equal">
      <formula>"nesting"</formula>
    </cfRule>
    <cfRule type="cellIs" dxfId="1410" priority="289" operator="equal">
      <formula>"off"</formula>
    </cfRule>
    <cfRule type="cellIs" dxfId="1409" priority="290" operator="equal">
      <formula>"vac"</formula>
    </cfRule>
  </conditionalFormatting>
  <conditionalFormatting sqref="E205:K206">
    <cfRule type="cellIs" dxfId="1408" priority="279" operator="equal">
      <formula>"Study Day"</formula>
    </cfRule>
  </conditionalFormatting>
  <conditionalFormatting sqref="E205:K206">
    <cfRule type="cellIs" dxfId="1407" priority="278" operator="equal">
      <formula>"FER"</formula>
    </cfRule>
  </conditionalFormatting>
  <conditionalFormatting sqref="E205:K206">
    <cfRule type="cellIs" dxfId="1406" priority="277" operator="equal">
      <formula>"Pending Term"</formula>
    </cfRule>
  </conditionalFormatting>
  <conditionalFormatting sqref="F205:L206">
    <cfRule type="cellIs" dxfId="1405" priority="276" operator="equal">
      <formula>"off"</formula>
    </cfRule>
  </conditionalFormatting>
  <conditionalFormatting sqref="F205:L206">
    <cfRule type="cellIs" dxfId="1404" priority="275" operator="equal">
      <formula>"LOA"</formula>
    </cfRule>
  </conditionalFormatting>
  <conditionalFormatting sqref="X205:X206">
    <cfRule type="duplicateValues" dxfId="1403" priority="310"/>
  </conditionalFormatting>
  <conditionalFormatting sqref="Y205:Y206">
    <cfRule type="duplicateValues" dxfId="1402" priority="311"/>
  </conditionalFormatting>
  <conditionalFormatting sqref="AH205:AH206">
    <cfRule type="duplicateValues" dxfId="1401" priority="312"/>
  </conditionalFormatting>
  <conditionalFormatting sqref="AI205:AI206">
    <cfRule type="duplicateValues" dxfId="1400" priority="313"/>
  </conditionalFormatting>
  <conditionalFormatting sqref="X205:X206">
    <cfRule type="duplicateValues" dxfId="1399" priority="292"/>
  </conditionalFormatting>
  <conditionalFormatting sqref="Y205:Y206">
    <cfRule type="duplicateValues" dxfId="1398" priority="293"/>
  </conditionalFormatting>
  <conditionalFormatting sqref="AH205:AH206">
    <cfRule type="duplicateValues" dxfId="1397" priority="294"/>
  </conditionalFormatting>
  <conditionalFormatting sqref="AI205:AI206">
    <cfRule type="duplicateValues" dxfId="1396" priority="295"/>
  </conditionalFormatting>
  <conditionalFormatting sqref="W205:W206">
    <cfRule type="duplicateValues" dxfId="1395" priority="296"/>
  </conditionalFormatting>
  <conditionalFormatting sqref="V219">
    <cfRule type="cellIs" dxfId="1394" priority="270" operator="greaterThan">
      <formula>45</formula>
    </cfRule>
  </conditionalFormatting>
  <conditionalFormatting sqref="E219:K219">
    <cfRule type="cellIs" dxfId="1393" priority="265" operator="equal">
      <formula>"Approved Off"</formula>
    </cfRule>
    <cfRule type="cellIs" dxfId="1392" priority="266" operator="equal">
      <formula>"LOA"</formula>
    </cfRule>
    <cfRule type="cellIs" dxfId="1391" priority="267" operator="equal">
      <formula>"nesting"</formula>
    </cfRule>
    <cfRule type="cellIs" dxfId="1390" priority="268" operator="equal">
      <formula>"off"</formula>
    </cfRule>
    <cfRule type="cellIs" dxfId="1389" priority="269" operator="equal">
      <formula>"vac"</formula>
    </cfRule>
  </conditionalFormatting>
  <conditionalFormatting sqref="E219:K219">
    <cfRule type="cellIs" dxfId="1388" priority="264" operator="equal">
      <formula>"FER"</formula>
    </cfRule>
  </conditionalFormatting>
  <conditionalFormatting sqref="V219">
    <cfRule type="cellIs" dxfId="1387" priority="258" operator="greaterThan">
      <formula>45</formula>
    </cfRule>
  </conditionalFormatting>
  <conditionalFormatting sqref="E219:K219">
    <cfRule type="cellIs" dxfId="1386" priority="253" operator="equal">
      <formula>"Approved Off"</formula>
    </cfRule>
    <cfRule type="cellIs" dxfId="1385" priority="254" operator="equal">
      <formula>"LOA"</formula>
    </cfRule>
    <cfRule type="cellIs" dxfId="1384" priority="255" operator="equal">
      <formula>"nesting"</formula>
    </cfRule>
    <cfRule type="cellIs" dxfId="1383" priority="256" operator="equal">
      <formula>"off"</formula>
    </cfRule>
    <cfRule type="cellIs" dxfId="1382" priority="257" operator="equal">
      <formula>"vac"</formula>
    </cfRule>
  </conditionalFormatting>
  <conditionalFormatting sqref="E219:K219">
    <cfRule type="cellIs" dxfId="1381" priority="252" operator="equal">
      <formula>"Study Day"</formula>
    </cfRule>
  </conditionalFormatting>
  <conditionalFormatting sqref="E219:K219">
    <cfRule type="cellIs" dxfId="1380" priority="251" operator="equal">
      <formula>"FER"</formula>
    </cfRule>
  </conditionalFormatting>
  <conditionalFormatting sqref="E219:K219">
    <cfRule type="cellIs" dxfId="1379" priority="250" operator="equal">
      <formula>"Pending Term"</formula>
    </cfRule>
  </conditionalFormatting>
  <conditionalFormatting sqref="F219:L219">
    <cfRule type="cellIs" dxfId="1378" priority="249" operator="equal">
      <formula>"off"</formula>
    </cfRule>
  </conditionalFormatting>
  <conditionalFormatting sqref="F219:L219">
    <cfRule type="cellIs" dxfId="1377" priority="248" operator="equal">
      <formula>"LOA"</formula>
    </cfRule>
  </conditionalFormatting>
  <conditionalFormatting sqref="X219">
    <cfRule type="duplicateValues" dxfId="1376" priority="271"/>
  </conditionalFormatting>
  <conditionalFormatting sqref="Y219">
    <cfRule type="duplicateValues" dxfId="1375" priority="272"/>
  </conditionalFormatting>
  <conditionalFormatting sqref="AH219">
    <cfRule type="duplicateValues" dxfId="1374" priority="273"/>
  </conditionalFormatting>
  <conditionalFormatting sqref="AI219">
    <cfRule type="duplicateValues" dxfId="1373" priority="274"/>
  </conditionalFormatting>
  <conditionalFormatting sqref="X219">
    <cfRule type="duplicateValues" dxfId="1372" priority="259"/>
  </conditionalFormatting>
  <conditionalFormatting sqref="Y219">
    <cfRule type="duplicateValues" dxfId="1371" priority="260"/>
  </conditionalFormatting>
  <conditionalFormatting sqref="AH219">
    <cfRule type="duplicateValues" dxfId="1370" priority="261"/>
  </conditionalFormatting>
  <conditionalFormatting sqref="AI219">
    <cfRule type="duplicateValues" dxfId="1369" priority="262"/>
  </conditionalFormatting>
  <conditionalFormatting sqref="W219">
    <cfRule type="duplicateValues" dxfId="1368" priority="263"/>
  </conditionalFormatting>
  <conditionalFormatting sqref="V242:V260">
    <cfRule type="cellIs" dxfId="1367" priority="247" operator="greaterThan">
      <formula>45</formula>
    </cfRule>
  </conditionalFormatting>
  <conditionalFormatting sqref="A242:A260">
    <cfRule type="cellIs" dxfId="1366" priority="236" operator="equal">
      <formula>"LOA"</formula>
    </cfRule>
    <cfRule type="cellIs" dxfId="1365" priority="237" operator="equal">
      <formula>"PENDING TERM"</formula>
    </cfRule>
    <cfRule type="cellIs" dxfId="1364" priority="238" operator="equal">
      <formula>"PROMOTED"</formula>
    </cfRule>
    <cfRule type="cellIs" dxfId="1363" priority="239" operator="equal">
      <formula>"REINSTATEMENT"</formula>
    </cfRule>
    <cfRule type="cellIs" dxfId="1362" priority="240" operator="equal">
      <formula>"TERM"</formula>
    </cfRule>
    <cfRule type="cellIs" dxfId="1361" priority="241" operator="equal">
      <formula>"TRANSFER"</formula>
    </cfRule>
  </conditionalFormatting>
  <conditionalFormatting sqref="E242:K260">
    <cfRule type="cellIs" dxfId="1360" priority="242" operator="equal">
      <formula>"Approved Off"</formula>
    </cfRule>
    <cfRule type="cellIs" dxfId="1359" priority="243" operator="equal">
      <formula>"LOA"</formula>
    </cfRule>
    <cfRule type="cellIs" dxfId="1358" priority="244" operator="equal">
      <formula>"nesting"</formula>
    </cfRule>
    <cfRule type="cellIs" dxfId="1357" priority="245" operator="equal">
      <formula>"off"</formula>
    </cfRule>
    <cfRule type="cellIs" dxfId="1356" priority="246" operator="equal">
      <formula>"vac"</formula>
    </cfRule>
  </conditionalFormatting>
  <conditionalFormatting sqref="E242:K260">
    <cfRule type="cellIs" dxfId="1355" priority="235" operator="equal">
      <formula>"Study Day"</formula>
    </cfRule>
  </conditionalFormatting>
  <conditionalFormatting sqref="E242:K260">
    <cfRule type="cellIs" dxfId="1354" priority="234" operator="equal">
      <formula>"FER"</formula>
    </cfRule>
  </conditionalFormatting>
  <conditionalFormatting sqref="E242:K260">
    <cfRule type="cellIs" dxfId="1353" priority="233" operator="equal">
      <formula>"Pending Term"</formula>
    </cfRule>
  </conditionalFormatting>
  <conditionalFormatting sqref="F242:L260">
    <cfRule type="cellIs" dxfId="1352" priority="232" operator="equal">
      <formula>"off"</formula>
    </cfRule>
  </conditionalFormatting>
  <conditionalFormatting sqref="F242:L260">
    <cfRule type="cellIs" dxfId="1351" priority="231" operator="equal">
      <formula>"LOA"</formula>
    </cfRule>
  </conditionalFormatting>
  <conditionalFormatting sqref="E242:K260">
    <cfRule type="cellIs" dxfId="1350" priority="230" operator="equal">
      <formula>"SUS"</formula>
    </cfRule>
  </conditionalFormatting>
  <conditionalFormatting sqref="X242:X260">
    <cfRule type="duplicateValues" dxfId="1349" priority="314"/>
  </conditionalFormatting>
  <conditionalFormatting sqref="Y242:Y260">
    <cfRule type="duplicateValues" dxfId="1348" priority="315"/>
  </conditionalFormatting>
  <conditionalFormatting sqref="AH242:AH260">
    <cfRule type="duplicateValues" dxfId="1347" priority="316"/>
  </conditionalFormatting>
  <conditionalFormatting sqref="AI242:AI260">
    <cfRule type="duplicateValues" dxfId="1346" priority="317"/>
  </conditionalFormatting>
  <conditionalFormatting sqref="W242:W260">
    <cfRule type="duplicateValues" dxfId="1345" priority="318"/>
  </conditionalFormatting>
  <conditionalFormatting sqref="E207:K207">
    <cfRule type="cellIs" dxfId="1344" priority="225" operator="equal">
      <formula>"Approved Off"</formula>
    </cfRule>
    <cfRule type="cellIs" dxfId="1343" priority="226" operator="equal">
      <formula>"LOA"</formula>
    </cfRule>
    <cfRule type="cellIs" dxfId="1342" priority="227" operator="equal">
      <formula>"nesting"</formula>
    </cfRule>
    <cfRule type="cellIs" dxfId="1341" priority="228" operator="equal">
      <formula>"off"</formula>
    </cfRule>
    <cfRule type="cellIs" dxfId="1340" priority="229" operator="equal">
      <formula>"vac"</formula>
    </cfRule>
  </conditionalFormatting>
  <conditionalFormatting sqref="E207:K207">
    <cfRule type="cellIs" dxfId="1339" priority="224" operator="equal">
      <formula>"Study Day"</formula>
    </cfRule>
  </conditionalFormatting>
  <conditionalFormatting sqref="E207:K207">
    <cfRule type="cellIs" dxfId="1338" priority="223" operator="equal">
      <formula>"FER"</formula>
    </cfRule>
  </conditionalFormatting>
  <conditionalFormatting sqref="E207:K207">
    <cfRule type="cellIs" dxfId="1337" priority="222" operator="equal">
      <formula>"Pending Term"</formula>
    </cfRule>
  </conditionalFormatting>
  <conditionalFormatting sqref="F207:K207">
    <cfRule type="cellIs" dxfId="1336" priority="221" operator="equal">
      <formula>"off"</formula>
    </cfRule>
  </conditionalFormatting>
  <conditionalFormatting sqref="F207:K207">
    <cfRule type="cellIs" dxfId="1335" priority="220" operator="equal">
      <formula>"LOA"</formula>
    </cfRule>
  </conditionalFormatting>
  <conditionalFormatting sqref="X207:X218">
    <cfRule type="duplicateValues" dxfId="1334" priority="319"/>
  </conditionalFormatting>
  <conditionalFormatting sqref="Y207:Y218">
    <cfRule type="duplicateValues" dxfId="1333" priority="320"/>
  </conditionalFormatting>
  <conditionalFormatting sqref="AH207:AH218">
    <cfRule type="duplicateValues" dxfId="1332" priority="321"/>
  </conditionalFormatting>
  <conditionalFormatting sqref="AI207:AI218">
    <cfRule type="duplicateValues" dxfId="1331" priority="322"/>
  </conditionalFormatting>
  <conditionalFormatting sqref="W207:W218">
    <cfRule type="duplicateValues" dxfId="1330" priority="323"/>
  </conditionalFormatting>
  <conditionalFormatting sqref="V261">
    <cfRule type="cellIs" dxfId="1329" priority="214" operator="greaterThan">
      <formula>45</formula>
    </cfRule>
  </conditionalFormatting>
  <conditionalFormatting sqref="A261">
    <cfRule type="cellIs" dxfId="1328" priority="203" operator="equal">
      <formula>"LOA"</formula>
    </cfRule>
    <cfRule type="cellIs" dxfId="1327" priority="204" operator="equal">
      <formula>"PENDING TERM"</formula>
    </cfRule>
    <cfRule type="cellIs" dxfId="1326" priority="205" operator="equal">
      <formula>"PROMOTED"</formula>
    </cfRule>
    <cfRule type="cellIs" dxfId="1325" priority="206" operator="equal">
      <formula>"REINSTATEMENT"</formula>
    </cfRule>
    <cfRule type="cellIs" dxfId="1324" priority="207" operator="equal">
      <formula>"TERM"</formula>
    </cfRule>
    <cfRule type="cellIs" dxfId="1323" priority="208" operator="equal">
      <formula>"TRANSFER"</formula>
    </cfRule>
  </conditionalFormatting>
  <conditionalFormatting sqref="E261:K261">
    <cfRule type="cellIs" dxfId="1322" priority="209" operator="equal">
      <formula>"Approved Off"</formula>
    </cfRule>
    <cfRule type="cellIs" dxfId="1321" priority="210" operator="equal">
      <formula>"LOA"</formula>
    </cfRule>
    <cfRule type="cellIs" dxfId="1320" priority="211" operator="equal">
      <formula>"nesting"</formula>
    </cfRule>
    <cfRule type="cellIs" dxfId="1319" priority="212" operator="equal">
      <formula>"off"</formula>
    </cfRule>
    <cfRule type="cellIs" dxfId="1318" priority="213" operator="equal">
      <formula>"vac"</formula>
    </cfRule>
  </conditionalFormatting>
  <conditionalFormatting sqref="E261:K261">
    <cfRule type="cellIs" dxfId="1317" priority="202" operator="equal">
      <formula>"Study Day"</formula>
    </cfRule>
  </conditionalFormatting>
  <conditionalFormatting sqref="E261:K261">
    <cfRule type="cellIs" dxfId="1316" priority="201" operator="equal">
      <formula>"FER"</formula>
    </cfRule>
  </conditionalFormatting>
  <conditionalFormatting sqref="E261:K261">
    <cfRule type="cellIs" dxfId="1315" priority="200" operator="equal">
      <formula>"Pending Term"</formula>
    </cfRule>
  </conditionalFormatting>
  <conditionalFormatting sqref="F261:L261">
    <cfRule type="cellIs" dxfId="1314" priority="199" operator="equal">
      <formula>"off"</formula>
    </cfRule>
  </conditionalFormatting>
  <conditionalFormatting sqref="F261:L261">
    <cfRule type="cellIs" dxfId="1313" priority="198" operator="equal">
      <formula>"LOA"</formula>
    </cfRule>
  </conditionalFormatting>
  <conditionalFormatting sqref="E261:K261">
    <cfRule type="cellIs" dxfId="1312" priority="197" operator="equal">
      <formula>"SUS"</formula>
    </cfRule>
  </conditionalFormatting>
  <conditionalFormatting sqref="X261">
    <cfRule type="duplicateValues" dxfId="1311" priority="215"/>
  </conditionalFormatting>
  <conditionalFormatting sqref="Y261">
    <cfRule type="duplicateValues" dxfId="1310" priority="216"/>
  </conditionalFormatting>
  <conditionalFormatting sqref="AH261">
    <cfRule type="duplicateValues" dxfId="1309" priority="217"/>
  </conditionalFormatting>
  <conditionalFormatting sqref="AI261">
    <cfRule type="duplicateValues" dxfId="1308" priority="218"/>
  </conditionalFormatting>
  <conditionalFormatting sqref="W261">
    <cfRule type="duplicateValues" dxfId="1307" priority="219"/>
  </conditionalFormatting>
  <conditionalFormatting sqref="D262:P262">
    <cfRule type="cellIs" dxfId="1306" priority="196" operator="equal">
      <formula>"FER"</formula>
    </cfRule>
  </conditionalFormatting>
  <conditionalFormatting sqref="V262">
    <cfRule type="cellIs" dxfId="1305" priority="190" operator="greaterThan">
      <formula>45</formula>
    </cfRule>
  </conditionalFormatting>
  <conditionalFormatting sqref="A262">
    <cfRule type="cellIs" dxfId="1304" priority="179" operator="equal">
      <formula>"LOA"</formula>
    </cfRule>
    <cfRule type="cellIs" dxfId="1303" priority="180" operator="equal">
      <formula>"PENDING TERM"</formula>
    </cfRule>
    <cfRule type="cellIs" dxfId="1302" priority="181" operator="equal">
      <formula>"PROMOTED"</formula>
    </cfRule>
    <cfRule type="cellIs" dxfId="1301" priority="182" operator="equal">
      <formula>"REINSTATEMENT"</formula>
    </cfRule>
    <cfRule type="cellIs" dxfId="1300" priority="183" operator="equal">
      <formula>"TERM"</formula>
    </cfRule>
    <cfRule type="cellIs" dxfId="1299" priority="184" operator="equal">
      <formula>"TRANSFER"</formula>
    </cfRule>
  </conditionalFormatting>
  <conditionalFormatting sqref="E262:K262">
    <cfRule type="cellIs" dxfId="1298" priority="185" operator="equal">
      <formula>"Approved Off"</formula>
    </cfRule>
    <cfRule type="cellIs" dxfId="1297" priority="186" operator="equal">
      <formula>"LOA"</formula>
    </cfRule>
    <cfRule type="cellIs" dxfId="1296" priority="187" operator="equal">
      <formula>"nesting"</formula>
    </cfRule>
    <cfRule type="cellIs" dxfId="1295" priority="188" operator="equal">
      <formula>"off"</formula>
    </cfRule>
    <cfRule type="cellIs" dxfId="1294" priority="189" operator="equal">
      <formula>"vac"</formula>
    </cfRule>
  </conditionalFormatting>
  <conditionalFormatting sqref="E262:K262">
    <cfRule type="cellIs" dxfId="1293" priority="178" operator="equal">
      <formula>"Study Day"</formula>
    </cfRule>
  </conditionalFormatting>
  <conditionalFormatting sqref="E262:K262">
    <cfRule type="cellIs" dxfId="1292" priority="177" operator="equal">
      <formula>"FER"</formula>
    </cfRule>
  </conditionalFormatting>
  <conditionalFormatting sqref="E262:K262">
    <cfRule type="cellIs" dxfId="1291" priority="176" operator="equal">
      <formula>"Pending Term"</formula>
    </cfRule>
  </conditionalFormatting>
  <conditionalFormatting sqref="F262:L262">
    <cfRule type="cellIs" dxfId="1290" priority="175" operator="equal">
      <formula>"off"</formula>
    </cfRule>
  </conditionalFormatting>
  <conditionalFormatting sqref="F262:L262">
    <cfRule type="cellIs" dxfId="1289" priority="174" operator="equal">
      <formula>"LOA"</formula>
    </cfRule>
  </conditionalFormatting>
  <conditionalFormatting sqref="E262:K262">
    <cfRule type="cellIs" dxfId="1288" priority="173" operator="equal">
      <formula>"SUS"</formula>
    </cfRule>
  </conditionalFormatting>
  <conditionalFormatting sqref="X262">
    <cfRule type="duplicateValues" dxfId="1287" priority="191"/>
  </conditionalFormatting>
  <conditionalFormatting sqref="Y262">
    <cfRule type="duplicateValues" dxfId="1286" priority="192"/>
  </conditionalFormatting>
  <conditionalFormatting sqref="AH262">
    <cfRule type="duplicateValues" dxfId="1285" priority="193"/>
  </conditionalFormatting>
  <conditionalFormatting sqref="AI262">
    <cfRule type="duplicateValues" dxfId="1284" priority="194"/>
  </conditionalFormatting>
  <conditionalFormatting sqref="W262">
    <cfRule type="duplicateValues" dxfId="1283" priority="195"/>
  </conditionalFormatting>
  <conditionalFormatting sqref="A263">
    <cfRule type="cellIs" dxfId="1282" priority="167" operator="equal">
      <formula>"LOA"</formula>
    </cfRule>
    <cfRule type="cellIs" dxfId="1281" priority="168" operator="equal">
      <formula>"PENDING TERM"</formula>
    </cfRule>
    <cfRule type="cellIs" dxfId="1280" priority="169" operator="equal">
      <formula>"PROMOTED"</formula>
    </cfRule>
    <cfRule type="cellIs" dxfId="1279" priority="170" operator="equal">
      <formula>"REINSTATEMENT"</formula>
    </cfRule>
    <cfRule type="cellIs" dxfId="1278" priority="171" operator="equal">
      <formula>"TERM"</formula>
    </cfRule>
    <cfRule type="cellIs" dxfId="1277" priority="172" operator="equal">
      <formula>"TRANSFER"</formula>
    </cfRule>
  </conditionalFormatting>
  <conditionalFormatting sqref="D277:P290">
    <cfRule type="cellIs" dxfId="1276" priority="166" operator="equal">
      <formula>"FER"</formula>
    </cfRule>
  </conditionalFormatting>
  <conditionalFormatting sqref="V277:V290">
    <cfRule type="cellIs" dxfId="1275" priority="161" operator="greaterThan">
      <formula>45</formula>
    </cfRule>
  </conditionalFormatting>
  <conditionalFormatting sqref="E277:K290">
    <cfRule type="cellIs" dxfId="1274" priority="156" operator="equal">
      <formula>"Approved Off"</formula>
    </cfRule>
    <cfRule type="cellIs" dxfId="1273" priority="157" operator="equal">
      <formula>"LOA"</formula>
    </cfRule>
    <cfRule type="cellIs" dxfId="1272" priority="158" operator="equal">
      <formula>"nesting"</formula>
    </cfRule>
    <cfRule type="cellIs" dxfId="1271" priority="159" operator="equal">
      <formula>"off"</formula>
    </cfRule>
    <cfRule type="cellIs" dxfId="1270" priority="160" operator="equal">
      <formula>"vac"</formula>
    </cfRule>
  </conditionalFormatting>
  <conditionalFormatting sqref="E277:K290">
    <cfRule type="cellIs" dxfId="1269" priority="155" operator="equal">
      <formula>"Study Day"</formula>
    </cfRule>
  </conditionalFormatting>
  <conditionalFormatting sqref="E277:K290">
    <cfRule type="cellIs" dxfId="1268" priority="154" operator="equal">
      <formula>"FER"</formula>
    </cfRule>
  </conditionalFormatting>
  <conditionalFormatting sqref="E277:K290">
    <cfRule type="cellIs" dxfId="1267" priority="153" operator="equal">
      <formula>"Pending Term"</formula>
    </cfRule>
  </conditionalFormatting>
  <conditionalFormatting sqref="F277:L290">
    <cfRule type="cellIs" dxfId="1266" priority="152" operator="equal">
      <formula>"off"</formula>
    </cfRule>
  </conditionalFormatting>
  <conditionalFormatting sqref="F277:L290">
    <cfRule type="cellIs" dxfId="1265" priority="151" operator="equal">
      <formula>"LOA"</formula>
    </cfRule>
  </conditionalFormatting>
  <conditionalFormatting sqref="E277:K290">
    <cfRule type="cellIs" dxfId="1264" priority="150" operator="equal">
      <formula>"SUS"</formula>
    </cfRule>
  </conditionalFormatting>
  <conditionalFormatting sqref="X277:X290">
    <cfRule type="duplicateValues" dxfId="1263" priority="162"/>
  </conditionalFormatting>
  <conditionalFormatting sqref="AH277:AH290">
    <cfRule type="duplicateValues" dxfId="1262" priority="163"/>
  </conditionalFormatting>
  <conditionalFormatting sqref="AI277:AI290">
    <cfRule type="duplicateValues" dxfId="1261" priority="164"/>
  </conditionalFormatting>
  <conditionalFormatting sqref="W277:W290">
    <cfRule type="duplicateValues" dxfId="1260" priority="165"/>
  </conditionalFormatting>
  <conditionalFormatting sqref="A277">
    <cfRule type="cellIs" dxfId="1259" priority="144" operator="equal">
      <formula>"LOA"</formula>
    </cfRule>
    <cfRule type="cellIs" dxfId="1258" priority="145" operator="equal">
      <formula>"PENDING TERM"</formula>
    </cfRule>
    <cfRule type="cellIs" dxfId="1257" priority="146" operator="equal">
      <formula>"PROMOTED"</formula>
    </cfRule>
    <cfRule type="cellIs" dxfId="1256" priority="147" operator="equal">
      <formula>"REINSTATEMENT"</formula>
    </cfRule>
    <cfRule type="cellIs" dxfId="1255" priority="148" operator="equal">
      <formula>"TERM"</formula>
    </cfRule>
    <cfRule type="cellIs" dxfId="1254" priority="149" operator="equal">
      <formula>"TRANSFER"</formula>
    </cfRule>
  </conditionalFormatting>
  <conditionalFormatting sqref="Y277:Y290">
    <cfRule type="duplicateValues" dxfId="1253" priority="143"/>
  </conditionalFormatting>
  <conditionalFormatting sqref="A278:A290">
    <cfRule type="cellIs" dxfId="1252" priority="137" operator="equal">
      <formula>"LOA"</formula>
    </cfRule>
    <cfRule type="cellIs" dxfId="1251" priority="138" operator="equal">
      <formula>"PENDING TERM"</formula>
    </cfRule>
    <cfRule type="cellIs" dxfId="1250" priority="139" operator="equal">
      <formula>"PROMOTED"</formula>
    </cfRule>
    <cfRule type="cellIs" dxfId="1249" priority="140" operator="equal">
      <formula>"REINSTATEMENT"</formula>
    </cfRule>
    <cfRule type="cellIs" dxfId="1248" priority="141" operator="equal">
      <formula>"TERM"</formula>
    </cfRule>
    <cfRule type="cellIs" dxfId="1247" priority="142" operator="equal">
      <formula>"TRANSFER"</formula>
    </cfRule>
  </conditionalFormatting>
  <conditionalFormatting sqref="D276:P276">
    <cfRule type="cellIs" dxfId="1246" priority="136" operator="equal">
      <formula>"FER"</formula>
    </cfRule>
  </conditionalFormatting>
  <conditionalFormatting sqref="V276">
    <cfRule type="cellIs" dxfId="1245" priority="131" operator="greaterThan">
      <formula>45</formula>
    </cfRule>
  </conditionalFormatting>
  <conditionalFormatting sqref="E276:K276">
    <cfRule type="cellIs" dxfId="1244" priority="126" operator="equal">
      <formula>"Approved Off"</formula>
    </cfRule>
    <cfRule type="cellIs" dxfId="1243" priority="127" operator="equal">
      <formula>"LOA"</formula>
    </cfRule>
    <cfRule type="cellIs" dxfId="1242" priority="128" operator="equal">
      <formula>"nesting"</formula>
    </cfRule>
    <cfRule type="cellIs" dxfId="1241" priority="129" operator="equal">
      <formula>"off"</formula>
    </cfRule>
    <cfRule type="cellIs" dxfId="1240" priority="130" operator="equal">
      <formula>"vac"</formula>
    </cfRule>
  </conditionalFormatting>
  <conditionalFormatting sqref="E276:K276">
    <cfRule type="cellIs" dxfId="1239" priority="125" operator="equal">
      <formula>"Study Day"</formula>
    </cfRule>
  </conditionalFormatting>
  <conditionalFormatting sqref="E276:K276">
    <cfRule type="cellIs" dxfId="1238" priority="124" operator="equal">
      <formula>"FER"</formula>
    </cfRule>
  </conditionalFormatting>
  <conditionalFormatting sqref="E276:K276">
    <cfRule type="cellIs" dxfId="1237" priority="123" operator="equal">
      <formula>"Pending Term"</formula>
    </cfRule>
  </conditionalFormatting>
  <conditionalFormatting sqref="F276:L276">
    <cfRule type="cellIs" dxfId="1236" priority="122" operator="equal">
      <formula>"off"</formula>
    </cfRule>
  </conditionalFormatting>
  <conditionalFormatting sqref="F276:L276">
    <cfRule type="cellIs" dxfId="1235" priority="121" operator="equal">
      <formula>"LOA"</formula>
    </cfRule>
  </conditionalFormatting>
  <conditionalFormatting sqref="E276:K276">
    <cfRule type="cellIs" dxfId="1234" priority="120" operator="equal">
      <formula>"SUS"</formula>
    </cfRule>
  </conditionalFormatting>
  <conditionalFormatting sqref="X276">
    <cfRule type="duplicateValues" dxfId="1233" priority="132"/>
  </conditionalFormatting>
  <conditionalFormatting sqref="AH276">
    <cfRule type="duplicateValues" dxfId="1232" priority="133"/>
  </conditionalFormatting>
  <conditionalFormatting sqref="AI276">
    <cfRule type="duplicateValues" dxfId="1231" priority="134"/>
  </conditionalFormatting>
  <conditionalFormatting sqref="W276">
    <cfRule type="duplicateValues" dxfId="1230" priority="135"/>
  </conditionalFormatting>
  <conditionalFormatting sqref="A276">
    <cfRule type="cellIs" dxfId="1229" priority="114" operator="equal">
      <formula>"LOA"</formula>
    </cfRule>
    <cfRule type="cellIs" dxfId="1228" priority="115" operator="equal">
      <formula>"PENDING TERM"</formula>
    </cfRule>
    <cfRule type="cellIs" dxfId="1227" priority="116" operator="equal">
      <formula>"PROMOTED"</formula>
    </cfRule>
    <cfRule type="cellIs" dxfId="1226" priority="117" operator="equal">
      <formula>"REINSTATEMENT"</formula>
    </cfRule>
    <cfRule type="cellIs" dxfId="1225" priority="118" operator="equal">
      <formula>"TERM"</formula>
    </cfRule>
    <cfRule type="cellIs" dxfId="1224" priority="119" operator="equal">
      <formula>"TRANSFER"</formula>
    </cfRule>
  </conditionalFormatting>
  <conditionalFormatting sqref="Y276">
    <cfRule type="duplicateValues" dxfId="1223" priority="113"/>
  </conditionalFormatting>
  <conditionalFormatting sqref="D291:L291 N291:P291">
    <cfRule type="cellIs" dxfId="1222" priority="112" operator="equal">
      <formula>"FER"</formula>
    </cfRule>
  </conditionalFormatting>
  <conditionalFormatting sqref="V291">
    <cfRule type="cellIs" dxfId="1221" priority="107" operator="greaterThan">
      <formula>45</formula>
    </cfRule>
  </conditionalFormatting>
  <conditionalFormatting sqref="E291:K291">
    <cfRule type="cellIs" dxfId="1220" priority="102" operator="equal">
      <formula>"Approved Off"</formula>
    </cfRule>
    <cfRule type="cellIs" dxfId="1219" priority="103" operator="equal">
      <formula>"LOA"</formula>
    </cfRule>
    <cfRule type="cellIs" dxfId="1218" priority="104" operator="equal">
      <formula>"nesting"</formula>
    </cfRule>
    <cfRule type="cellIs" dxfId="1217" priority="105" operator="equal">
      <formula>"off"</formula>
    </cfRule>
    <cfRule type="cellIs" dxfId="1216" priority="106" operator="equal">
      <formula>"vac"</formula>
    </cfRule>
  </conditionalFormatting>
  <conditionalFormatting sqref="E291:K291">
    <cfRule type="cellIs" dxfId="1215" priority="101" operator="equal">
      <formula>"Study Day"</formula>
    </cfRule>
  </conditionalFormatting>
  <conditionalFormatting sqref="E291:K291">
    <cfRule type="cellIs" dxfId="1214" priority="100" operator="equal">
      <formula>"FER"</formula>
    </cfRule>
  </conditionalFormatting>
  <conditionalFormatting sqref="E291:K291">
    <cfRule type="cellIs" dxfId="1213" priority="99" operator="equal">
      <formula>"Pending Term"</formula>
    </cfRule>
  </conditionalFormatting>
  <conditionalFormatting sqref="F291:L291">
    <cfRule type="cellIs" dxfId="1212" priority="98" operator="equal">
      <formula>"off"</formula>
    </cfRule>
  </conditionalFormatting>
  <conditionalFormatting sqref="F291:L291">
    <cfRule type="cellIs" dxfId="1211" priority="97" operator="equal">
      <formula>"LOA"</formula>
    </cfRule>
  </conditionalFormatting>
  <conditionalFormatting sqref="E291:K291">
    <cfRule type="cellIs" dxfId="1210" priority="96" operator="equal">
      <formula>"SUS"</formula>
    </cfRule>
  </conditionalFormatting>
  <conditionalFormatting sqref="X291">
    <cfRule type="duplicateValues" dxfId="1209" priority="108"/>
  </conditionalFormatting>
  <conditionalFormatting sqref="AH291">
    <cfRule type="duplicateValues" dxfId="1208" priority="109"/>
  </conditionalFormatting>
  <conditionalFormatting sqref="AI291">
    <cfRule type="duplicateValues" dxfId="1207" priority="110"/>
  </conditionalFormatting>
  <conditionalFormatting sqref="W291">
    <cfRule type="duplicateValues" dxfId="1206" priority="111"/>
  </conditionalFormatting>
  <conditionalFormatting sqref="Y291">
    <cfRule type="duplicateValues" dxfId="1205" priority="95"/>
  </conditionalFormatting>
  <conditionalFormatting sqref="A291">
    <cfRule type="cellIs" dxfId="1204" priority="89" operator="equal">
      <formula>"LOA"</formula>
    </cfRule>
    <cfRule type="cellIs" dxfId="1203" priority="90" operator="equal">
      <formula>"PENDING TERM"</formula>
    </cfRule>
    <cfRule type="cellIs" dxfId="1202" priority="91" operator="equal">
      <formula>"PROMOTED"</formula>
    </cfRule>
    <cfRule type="cellIs" dxfId="1201" priority="92" operator="equal">
      <formula>"REINSTATEMENT"</formula>
    </cfRule>
    <cfRule type="cellIs" dxfId="1200" priority="93" operator="equal">
      <formula>"TERM"</formula>
    </cfRule>
    <cfRule type="cellIs" dxfId="1199" priority="94" operator="equal">
      <formula>"TRANSFER"</formula>
    </cfRule>
  </conditionalFormatting>
  <conditionalFormatting sqref="D292:D295 L293:P295 L292 N292:P292">
    <cfRule type="cellIs" dxfId="1198" priority="88" operator="equal">
      <formula>"FER"</formula>
    </cfRule>
  </conditionalFormatting>
  <conditionalFormatting sqref="V292:V295">
    <cfRule type="cellIs" dxfId="1197" priority="85" operator="greaterThan">
      <formula>45</formula>
    </cfRule>
  </conditionalFormatting>
  <conditionalFormatting sqref="L292:L295">
    <cfRule type="cellIs" dxfId="1196" priority="84" operator="equal">
      <formula>"off"</formula>
    </cfRule>
  </conditionalFormatting>
  <conditionalFormatting sqref="L292:L295">
    <cfRule type="cellIs" dxfId="1195" priority="83" operator="equal">
      <formula>"LOA"</formula>
    </cfRule>
  </conditionalFormatting>
  <conditionalFormatting sqref="AH292:AH295">
    <cfRule type="duplicateValues" dxfId="1194" priority="86"/>
  </conditionalFormatting>
  <conditionalFormatting sqref="AI292:AI295">
    <cfRule type="duplicateValues" dxfId="1193" priority="87"/>
  </conditionalFormatting>
  <conditionalFormatting sqref="A292:A294">
    <cfRule type="cellIs" dxfId="1192" priority="77" operator="equal">
      <formula>"LOA"</formula>
    </cfRule>
    <cfRule type="cellIs" dxfId="1191" priority="78" operator="equal">
      <formula>"PENDING TERM"</formula>
    </cfRule>
    <cfRule type="cellIs" dxfId="1190" priority="79" operator="equal">
      <formula>"PROMOTED"</formula>
    </cfRule>
    <cfRule type="cellIs" dxfId="1189" priority="80" operator="equal">
      <formula>"REINSTATEMENT"</formula>
    </cfRule>
    <cfRule type="cellIs" dxfId="1188" priority="81" operator="equal">
      <formula>"TERM"</formula>
    </cfRule>
    <cfRule type="cellIs" dxfId="1187" priority="82" operator="equal">
      <formula>"TRANSFER"</formula>
    </cfRule>
  </conditionalFormatting>
  <conditionalFormatting sqref="Z292">
    <cfRule type="duplicateValues" dxfId="1186" priority="73"/>
  </conditionalFormatting>
  <conditionalFormatting sqref="AA292">
    <cfRule type="duplicateValues" dxfId="1185" priority="72"/>
  </conditionalFormatting>
  <conditionalFormatting sqref="X292">
    <cfRule type="duplicateValues" dxfId="1184" priority="74"/>
  </conditionalFormatting>
  <conditionalFormatting sqref="Y292">
    <cfRule type="duplicateValues" dxfId="1183" priority="75"/>
  </conditionalFormatting>
  <conditionalFormatting sqref="W292">
    <cfRule type="duplicateValues" dxfId="1182" priority="76"/>
  </conditionalFormatting>
  <conditionalFormatting sqref="X293">
    <cfRule type="duplicateValues" dxfId="1181" priority="69"/>
  </conditionalFormatting>
  <conditionalFormatting sqref="Y293">
    <cfRule type="duplicateValues" dxfId="1180" priority="70"/>
  </conditionalFormatting>
  <conditionalFormatting sqref="W293">
    <cfRule type="duplicateValues" dxfId="1179" priority="71"/>
  </conditionalFormatting>
  <conditionalFormatting sqref="X294:X295">
    <cfRule type="duplicateValues" dxfId="1178" priority="66"/>
  </conditionalFormatting>
  <conditionalFormatting sqref="Y294:Y295">
    <cfRule type="duplicateValues" dxfId="1177" priority="67"/>
  </conditionalFormatting>
  <conditionalFormatting sqref="W294:W295">
    <cfRule type="duplicateValues" dxfId="1176" priority="68"/>
  </conditionalFormatting>
  <conditionalFormatting sqref="E292:K295">
    <cfRule type="cellIs" dxfId="1175" priority="61" operator="equal">
      <formula>"Approved Off"</formula>
    </cfRule>
    <cfRule type="cellIs" dxfId="1174" priority="62" operator="equal">
      <formula>"LOA"</formula>
    </cfRule>
    <cfRule type="cellIs" dxfId="1173" priority="63" operator="equal">
      <formula>"nesting"</formula>
    </cfRule>
    <cfRule type="cellIs" dxfId="1172" priority="64" operator="equal">
      <formula>"off"</formula>
    </cfRule>
    <cfRule type="cellIs" dxfId="1171" priority="65" operator="equal">
      <formula>"vac"</formula>
    </cfRule>
  </conditionalFormatting>
  <conditionalFormatting sqref="E292:K295">
    <cfRule type="cellIs" dxfId="1170" priority="60" operator="equal">
      <formula>"Study Day"</formula>
    </cfRule>
  </conditionalFormatting>
  <conditionalFormatting sqref="E292:K295">
    <cfRule type="cellIs" dxfId="1169" priority="59" operator="equal">
      <formula>"FER"</formula>
    </cfRule>
  </conditionalFormatting>
  <conditionalFormatting sqref="E292:K295">
    <cfRule type="cellIs" dxfId="1168" priority="58" operator="equal">
      <formula>"Pending Term"</formula>
    </cfRule>
  </conditionalFormatting>
  <conditionalFormatting sqref="F292:K295">
    <cfRule type="cellIs" dxfId="1167" priority="57" operator="equal">
      <formula>"off"</formula>
    </cfRule>
  </conditionalFormatting>
  <conditionalFormatting sqref="F292:K295">
    <cfRule type="cellIs" dxfId="1166" priority="56" operator="equal">
      <formula>"LOA"</formula>
    </cfRule>
  </conditionalFormatting>
  <conditionalFormatting sqref="E238">
    <cfRule type="cellIs" dxfId="1165" priority="54" operator="equal">
      <formula>"LOA"</formula>
    </cfRule>
  </conditionalFormatting>
  <conditionalFormatting sqref="E238">
    <cfRule type="cellIs" dxfId="1164" priority="55" operator="equal">
      <formula>"off"</formula>
    </cfRule>
  </conditionalFormatting>
  <conditionalFormatting sqref="A219">
    <cfRule type="cellIs" dxfId="1163" priority="48" operator="equal">
      <formula>"LOA"</formula>
    </cfRule>
    <cfRule type="cellIs" dxfId="1162" priority="49" operator="equal">
      <formula>"PENDING TERM"</formula>
    </cfRule>
    <cfRule type="cellIs" dxfId="1161" priority="50" operator="equal">
      <formula>"PROMOTED"</formula>
    </cfRule>
    <cfRule type="cellIs" dxfId="1160" priority="51" operator="equal">
      <formula>"REINSTATEMENT"</formula>
    </cfRule>
    <cfRule type="cellIs" dxfId="1159" priority="52" operator="equal">
      <formula>"TERM"</formula>
    </cfRule>
    <cfRule type="cellIs" dxfId="1158" priority="53" operator="equal">
      <formula>"TRANSFER"</formula>
    </cfRule>
  </conditionalFormatting>
  <conditionalFormatting sqref="X199:X204">
    <cfRule type="duplicateValues" dxfId="1157" priority="324"/>
  </conditionalFormatting>
  <conditionalFormatting sqref="Y199:Y204">
    <cfRule type="duplicateValues" dxfId="1156" priority="325"/>
  </conditionalFormatting>
  <conditionalFormatting sqref="AH199:AH204">
    <cfRule type="duplicateValues" dxfId="1155" priority="326"/>
  </conditionalFormatting>
  <conditionalFormatting sqref="AI199:AI204">
    <cfRule type="duplicateValues" dxfId="1154" priority="327"/>
  </conditionalFormatting>
  <conditionalFormatting sqref="W199:W204">
    <cfRule type="duplicateValues" dxfId="1153" priority="328"/>
  </conditionalFormatting>
  <conditionalFormatting sqref="A306">
    <cfRule type="cellIs" dxfId="1152" priority="42" operator="equal">
      <formula>"LOA"</formula>
    </cfRule>
    <cfRule type="cellIs" dxfId="1151" priority="43" operator="equal">
      <formula>"PENDING TERM"</formula>
    </cfRule>
    <cfRule type="cellIs" dxfId="1150" priority="44" operator="equal">
      <formula>"PROMOTED"</formula>
    </cfRule>
    <cfRule type="cellIs" dxfId="1149" priority="45" operator="equal">
      <formula>"REINSTATEMENT"</formula>
    </cfRule>
    <cfRule type="cellIs" dxfId="1148" priority="46" operator="equal">
      <formula>"TERM"</formula>
    </cfRule>
    <cfRule type="cellIs" dxfId="1147" priority="47" operator="equal">
      <formula>"TRANSFER"</formula>
    </cfRule>
  </conditionalFormatting>
  <conditionalFormatting sqref="X263:X275">
    <cfRule type="duplicateValues" dxfId="1146" priority="329"/>
  </conditionalFormatting>
  <conditionalFormatting sqref="AH263:AH275">
    <cfRule type="duplicateValues" dxfId="1145" priority="330"/>
  </conditionalFormatting>
  <conditionalFormatting sqref="AI263:AI275">
    <cfRule type="duplicateValues" dxfId="1144" priority="331"/>
  </conditionalFormatting>
  <conditionalFormatting sqref="W263:W275">
    <cfRule type="duplicateValues" dxfId="1143" priority="332"/>
  </conditionalFormatting>
  <conditionalFormatting sqref="Y263:Y275">
    <cfRule type="duplicateValues" dxfId="1142" priority="333"/>
  </conditionalFormatting>
  <conditionalFormatting sqref="E206">
    <cfRule type="cellIs" dxfId="1141" priority="41" operator="equal">
      <formula>"off"</formula>
    </cfRule>
  </conditionalFormatting>
  <conditionalFormatting sqref="E206">
    <cfRule type="cellIs" dxfId="1140" priority="40" operator="equal">
      <formula>"LOA"</formula>
    </cfRule>
  </conditionalFormatting>
  <conditionalFormatting sqref="E209">
    <cfRule type="cellIs" dxfId="1139" priority="39" operator="equal">
      <formula>"off"</formula>
    </cfRule>
  </conditionalFormatting>
  <conditionalFormatting sqref="E209">
    <cfRule type="cellIs" dxfId="1138" priority="38" operator="equal">
      <formula>"LOA"</formula>
    </cfRule>
  </conditionalFormatting>
  <conditionalFormatting sqref="E234">
    <cfRule type="cellIs" dxfId="1137" priority="37" operator="equal">
      <formula>"off"</formula>
    </cfRule>
  </conditionalFormatting>
  <conditionalFormatting sqref="E234">
    <cfRule type="cellIs" dxfId="1136" priority="36" operator="equal">
      <formula>"LOA"</formula>
    </cfRule>
  </conditionalFormatting>
  <conditionalFormatting sqref="E267">
    <cfRule type="cellIs" dxfId="1135" priority="35" operator="equal">
      <formula>"off"</formula>
    </cfRule>
  </conditionalFormatting>
  <conditionalFormatting sqref="E267">
    <cfRule type="cellIs" dxfId="1134" priority="34" operator="equal">
      <formula>"LOA"</formula>
    </cfRule>
  </conditionalFormatting>
  <conditionalFormatting sqref="E268">
    <cfRule type="cellIs" dxfId="1133" priority="33" operator="equal">
      <formula>"off"</formula>
    </cfRule>
  </conditionalFormatting>
  <conditionalFormatting sqref="E268">
    <cfRule type="cellIs" dxfId="1132" priority="32" operator="equal">
      <formula>"LOA"</formula>
    </cfRule>
  </conditionalFormatting>
  <conditionalFormatting sqref="E276">
    <cfRule type="cellIs" dxfId="1131" priority="31" operator="equal">
      <formula>"off"</formula>
    </cfRule>
  </conditionalFormatting>
  <conditionalFormatting sqref="E276">
    <cfRule type="cellIs" dxfId="1130" priority="30" operator="equal">
      <formula>"LOA"</formula>
    </cfRule>
  </conditionalFormatting>
  <conditionalFormatting sqref="E271">
    <cfRule type="cellIs" dxfId="1129" priority="29" operator="equal">
      <formula>"off"</formula>
    </cfRule>
  </conditionalFormatting>
  <conditionalFormatting sqref="E271">
    <cfRule type="cellIs" dxfId="1128" priority="28" operator="equal">
      <formula>"LOA"</formula>
    </cfRule>
  </conditionalFormatting>
  <conditionalFormatting sqref="E273">
    <cfRule type="cellIs" dxfId="1127" priority="27" operator="equal">
      <formula>"off"</formula>
    </cfRule>
  </conditionalFormatting>
  <conditionalFormatting sqref="E273">
    <cfRule type="cellIs" dxfId="1126" priority="26" operator="equal">
      <formula>"LOA"</formula>
    </cfRule>
  </conditionalFormatting>
  <conditionalFormatting sqref="E275">
    <cfRule type="cellIs" dxfId="1125" priority="25" operator="equal">
      <formula>"off"</formula>
    </cfRule>
  </conditionalFormatting>
  <conditionalFormatting sqref="E275">
    <cfRule type="cellIs" dxfId="1124" priority="24" operator="equal">
      <formula>"LOA"</formula>
    </cfRule>
  </conditionalFormatting>
  <conditionalFormatting sqref="E279">
    <cfRule type="cellIs" dxfId="1123" priority="23" operator="equal">
      <formula>"off"</formula>
    </cfRule>
  </conditionalFormatting>
  <conditionalFormatting sqref="E279">
    <cfRule type="cellIs" dxfId="1122" priority="22" operator="equal">
      <formula>"LOA"</formula>
    </cfRule>
  </conditionalFormatting>
  <conditionalFormatting sqref="E281">
    <cfRule type="cellIs" dxfId="1121" priority="21" operator="equal">
      <formula>"off"</formula>
    </cfRule>
  </conditionalFormatting>
  <conditionalFormatting sqref="E281">
    <cfRule type="cellIs" dxfId="1120" priority="20" operator="equal">
      <formula>"LOA"</formula>
    </cfRule>
  </conditionalFormatting>
  <conditionalFormatting sqref="E282">
    <cfRule type="cellIs" dxfId="1119" priority="19" operator="equal">
      <formula>"off"</formula>
    </cfRule>
  </conditionalFormatting>
  <conditionalFormatting sqref="E282">
    <cfRule type="cellIs" dxfId="1118" priority="18" operator="equal">
      <formula>"LOA"</formula>
    </cfRule>
  </conditionalFormatting>
  <conditionalFormatting sqref="E283">
    <cfRule type="cellIs" dxfId="1117" priority="17" operator="equal">
      <formula>"off"</formula>
    </cfRule>
  </conditionalFormatting>
  <conditionalFormatting sqref="E283">
    <cfRule type="cellIs" dxfId="1116" priority="16" operator="equal">
      <formula>"LOA"</formula>
    </cfRule>
  </conditionalFormatting>
  <conditionalFormatting sqref="M257">
    <cfRule type="cellIs" dxfId="1115" priority="15" operator="equal">
      <formula>"FER"</formula>
    </cfRule>
  </conditionalFormatting>
  <conditionalFormatting sqref="M291">
    <cfRule type="cellIs" dxfId="1114" priority="14" operator="equal">
      <formula>"FER"</formula>
    </cfRule>
  </conditionalFormatting>
  <conditionalFormatting sqref="X188:X198">
    <cfRule type="duplicateValues" dxfId="1113" priority="334"/>
  </conditionalFormatting>
  <conditionalFormatting sqref="Y188:Y198">
    <cfRule type="duplicateValues" dxfId="1112" priority="335"/>
  </conditionalFormatting>
  <conditionalFormatting sqref="AH188:AH198">
    <cfRule type="duplicateValues" dxfId="1111" priority="336"/>
  </conditionalFormatting>
  <conditionalFormatting sqref="AI188:AI198">
    <cfRule type="duplicateValues" dxfId="1110" priority="337"/>
  </conditionalFormatting>
  <conditionalFormatting sqref="W188:W198">
    <cfRule type="duplicateValues" dxfId="1109" priority="338"/>
  </conditionalFormatting>
  <conditionalFormatting sqref="AH296:AH310">
    <cfRule type="duplicateValues" dxfId="1108" priority="339"/>
  </conditionalFormatting>
  <conditionalFormatting sqref="AI296:AI310">
    <cfRule type="duplicateValues" dxfId="1107" priority="340"/>
  </conditionalFormatting>
  <conditionalFormatting sqref="X296:X310">
    <cfRule type="duplicateValues" dxfId="1106" priority="341"/>
  </conditionalFormatting>
  <conditionalFormatting sqref="Y296:Y310">
    <cfRule type="duplicateValues" dxfId="1105" priority="342"/>
  </conditionalFormatting>
  <conditionalFormatting sqref="W296:W310">
    <cfRule type="duplicateValues" dxfId="1104" priority="343"/>
  </conditionalFormatting>
  <conditionalFormatting sqref="M292">
    <cfRule type="cellIs" dxfId="1103" priority="13" operator="equal">
      <formula>"FER"</formula>
    </cfRule>
  </conditionalFormatting>
  <conditionalFormatting sqref="X220:X241">
    <cfRule type="duplicateValues" dxfId="1102" priority="344"/>
  </conditionalFormatting>
  <conditionalFormatting sqref="Y220:Y241">
    <cfRule type="duplicateValues" dxfId="1101" priority="345"/>
  </conditionalFormatting>
  <conditionalFormatting sqref="AH220:AH241">
    <cfRule type="duplicateValues" dxfId="1100" priority="346"/>
  </conditionalFormatting>
  <conditionalFormatting sqref="AI220:AI241">
    <cfRule type="duplicateValues" dxfId="1099" priority="347"/>
  </conditionalFormatting>
  <conditionalFormatting sqref="W220:W241">
    <cfRule type="duplicateValues" dxfId="1098" priority="348"/>
  </conditionalFormatting>
  <conditionalFormatting sqref="M189">
    <cfRule type="cellIs" dxfId="1097" priority="12" operator="equal">
      <formula>"FER"</formula>
    </cfRule>
  </conditionalFormatting>
  <conditionalFormatting sqref="M192">
    <cfRule type="cellIs" dxfId="1096" priority="11" operator="equal">
      <formula>"FER"</formula>
    </cfRule>
  </conditionalFormatting>
  <conditionalFormatting sqref="M196">
    <cfRule type="cellIs" dxfId="1095" priority="10" operator="equal">
      <formula>"FER"</formula>
    </cfRule>
  </conditionalFormatting>
  <conditionalFormatting sqref="M207">
    <cfRule type="cellIs" dxfId="1094" priority="9" operator="equal">
      <formula>"FER"</formula>
    </cfRule>
  </conditionalFormatting>
  <conditionalFormatting sqref="M231">
    <cfRule type="cellIs" dxfId="1093" priority="8" operator="equal">
      <formula>"FER"</formula>
    </cfRule>
  </conditionalFormatting>
  <conditionalFormatting sqref="M237">
    <cfRule type="cellIs" dxfId="1092" priority="7" operator="equal">
      <formula>"FER"</formula>
    </cfRule>
  </conditionalFormatting>
  <conditionalFormatting sqref="M240">
    <cfRule type="cellIs" dxfId="1091" priority="6" operator="equal">
      <formula>"FER"</formula>
    </cfRule>
  </conditionalFormatting>
  <conditionalFormatting sqref="M241">
    <cfRule type="cellIs" dxfId="1090" priority="5" operator="equal">
      <formula>"FER"</formula>
    </cfRule>
  </conditionalFormatting>
  <conditionalFormatting sqref="M244">
    <cfRule type="cellIs" dxfId="1089" priority="4" operator="equal">
      <formula>"FER"</formula>
    </cfRule>
  </conditionalFormatting>
  <conditionalFormatting sqref="M245">
    <cfRule type="cellIs" dxfId="1088" priority="3" operator="equal">
      <formula>"FER"</formula>
    </cfRule>
  </conditionalFormatting>
  <conditionalFormatting sqref="M249">
    <cfRule type="cellIs" dxfId="1087" priority="2" operator="equal">
      <formula>"FER"</formula>
    </cfRule>
  </conditionalFormatting>
  <conditionalFormatting sqref="M250">
    <cfRule type="cellIs" dxfId="1086" priority="1" operator="equal">
      <formula>"FER"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56"/>
  <sheetViews>
    <sheetView showGridLines="0" zoomScale="70" zoomScaleNormal="70" workbookViewId="0">
      <pane ySplit="1" topLeftCell="A4" activePane="bottomLeft" state="frozen"/>
      <selection pane="bottomLeft"/>
    </sheetView>
  </sheetViews>
  <sheetFormatPr defaultColWidth="0" defaultRowHeight="0" customHeight="1" zeroHeight="1" x14ac:dyDescent="0.25"/>
  <cols>
    <col min="1" max="1" width="31.140625" customWidth="1"/>
    <col min="2" max="2" width="34.85546875" bestFit="1" customWidth="1"/>
    <col min="3" max="9" width="15" customWidth="1"/>
    <col min="10" max="10" width="14.85546875" bestFit="1" customWidth="1"/>
    <col min="11" max="11" width="16.85546875" customWidth="1"/>
    <col min="12" max="12" width="20" bestFit="1" customWidth="1"/>
    <col min="13" max="13" width="20.5703125" customWidth="1"/>
    <col min="14" max="14" width="3.5703125" customWidth="1"/>
    <col min="15" max="16384" width="20.5703125" hidden="1"/>
  </cols>
  <sheetData>
    <row r="1" spans="1:16384" ht="30.75" customHeight="1" thickBot="1" x14ac:dyDescent="0.3">
      <c r="A1" s="1" t="s">
        <v>0</v>
      </c>
      <c r="B1" s="2" t="s">
        <v>1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31</v>
      </c>
      <c r="K1" s="2" t="s">
        <v>22</v>
      </c>
      <c r="L1" s="2" t="s">
        <v>41</v>
      </c>
      <c r="M1" s="3" t="s">
        <v>23</v>
      </c>
    </row>
    <row r="2" spans="1:16384" s="40" customFormat="1" ht="15" customHeight="1" x14ac:dyDescent="0.25">
      <c r="A2" s="63" t="str">
        <f>'Sups'' Final Roster 0823-0829'!A2</f>
        <v>Campero Juarez Maria Guadalupe</v>
      </c>
      <c r="B2" s="64" t="str">
        <f>'Sups'' Final Roster 0823-0829'!B2</f>
        <v>Arias Juan José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4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ARZ2"/>
      <c r="ASA2"/>
      <c r="ASB2"/>
      <c r="ASC2"/>
      <c r="ASD2"/>
      <c r="ASE2"/>
      <c r="ASF2"/>
      <c r="ASG2"/>
      <c r="ASH2"/>
      <c r="ASI2"/>
      <c r="ASJ2"/>
      <c r="ASK2"/>
      <c r="ASL2"/>
      <c r="ASM2"/>
      <c r="ASN2"/>
      <c r="ASO2"/>
      <c r="ASP2"/>
      <c r="ASQ2"/>
      <c r="ASR2"/>
      <c r="ASS2"/>
      <c r="AST2"/>
      <c r="ASU2"/>
      <c r="ASV2"/>
      <c r="ASW2"/>
      <c r="ASX2"/>
      <c r="ASY2"/>
      <c r="ASZ2"/>
      <c r="ATA2"/>
      <c r="ATB2"/>
      <c r="ATC2"/>
      <c r="ATD2"/>
      <c r="ATE2"/>
      <c r="ATF2"/>
      <c r="ATG2"/>
      <c r="ATH2"/>
      <c r="ATI2"/>
      <c r="ATJ2"/>
      <c r="ATK2"/>
      <c r="ATL2"/>
      <c r="ATM2"/>
      <c r="ATN2"/>
      <c r="ATO2"/>
      <c r="ATP2"/>
      <c r="ATQ2"/>
      <c r="ATR2"/>
      <c r="ATS2"/>
      <c r="ATT2"/>
      <c r="ATU2"/>
      <c r="ATV2"/>
      <c r="ATW2"/>
      <c r="ATX2"/>
      <c r="ATY2"/>
      <c r="ATZ2"/>
      <c r="AUA2"/>
      <c r="AUB2"/>
      <c r="AUC2"/>
      <c r="AUD2"/>
      <c r="AUE2"/>
      <c r="AUF2"/>
      <c r="AUG2"/>
      <c r="AUH2"/>
      <c r="AUI2"/>
      <c r="AUJ2"/>
      <c r="AUK2"/>
      <c r="AUL2"/>
      <c r="AUM2"/>
      <c r="AUN2"/>
      <c r="AUO2"/>
      <c r="AUP2"/>
      <c r="AUQ2"/>
      <c r="AUR2"/>
      <c r="AUS2"/>
      <c r="AUT2"/>
      <c r="AUU2"/>
      <c r="AUV2"/>
      <c r="AUW2"/>
      <c r="AUX2"/>
      <c r="AUY2"/>
      <c r="AUZ2"/>
      <c r="AVA2"/>
      <c r="AVB2"/>
      <c r="AVC2"/>
      <c r="AVD2"/>
      <c r="AVE2"/>
      <c r="AVF2"/>
      <c r="AVG2"/>
      <c r="AVH2"/>
      <c r="AVI2"/>
      <c r="AVJ2"/>
      <c r="AVK2"/>
      <c r="AVL2"/>
      <c r="AVM2"/>
      <c r="AVN2"/>
      <c r="AVO2"/>
      <c r="AVP2"/>
      <c r="AVQ2"/>
      <c r="AVR2"/>
      <c r="AVS2"/>
      <c r="AVT2"/>
      <c r="AVU2"/>
      <c r="AVV2"/>
      <c r="AVW2"/>
      <c r="AVX2"/>
      <c r="AVY2"/>
      <c r="AVZ2"/>
      <c r="AWA2"/>
      <c r="AWB2"/>
      <c r="AWC2"/>
      <c r="AWD2"/>
      <c r="AWE2"/>
      <c r="AWF2"/>
      <c r="AWG2"/>
      <c r="AWH2"/>
      <c r="AWI2"/>
      <c r="AWJ2"/>
      <c r="AWK2"/>
      <c r="AWL2"/>
      <c r="AWM2"/>
      <c r="AWN2"/>
      <c r="AWO2"/>
      <c r="AWP2"/>
      <c r="AWQ2"/>
      <c r="AWR2"/>
      <c r="AWS2"/>
      <c r="AWT2"/>
      <c r="AWU2"/>
      <c r="AWV2"/>
      <c r="AWW2"/>
      <c r="AWX2"/>
      <c r="AWY2"/>
      <c r="AWZ2"/>
      <c r="AXA2"/>
      <c r="AXB2"/>
      <c r="AXC2"/>
      <c r="AXD2"/>
      <c r="AXE2"/>
      <c r="AXF2"/>
      <c r="AXG2"/>
      <c r="AXH2"/>
      <c r="AXI2"/>
      <c r="AXJ2"/>
      <c r="AXK2"/>
      <c r="AXL2"/>
      <c r="AXM2"/>
      <c r="AXN2"/>
      <c r="AXO2"/>
      <c r="AXP2"/>
      <c r="AXQ2"/>
      <c r="AXR2"/>
      <c r="AXS2"/>
      <c r="AXT2"/>
      <c r="AXU2"/>
      <c r="AXV2"/>
      <c r="AXW2"/>
      <c r="AXX2"/>
      <c r="AXY2"/>
      <c r="AXZ2"/>
      <c r="AYA2"/>
      <c r="AYB2"/>
      <c r="AYC2"/>
      <c r="AYD2"/>
      <c r="AYE2"/>
      <c r="AYF2"/>
      <c r="AYG2"/>
      <c r="AYH2"/>
      <c r="AYI2"/>
      <c r="AYJ2"/>
      <c r="AYK2"/>
      <c r="AYL2"/>
      <c r="AYM2"/>
      <c r="AYN2"/>
      <c r="AYO2"/>
      <c r="AYP2"/>
      <c r="AYQ2"/>
      <c r="AYR2"/>
      <c r="AYS2"/>
      <c r="AYT2"/>
      <c r="AYU2"/>
      <c r="AYV2"/>
      <c r="AYW2"/>
      <c r="AYX2"/>
      <c r="AYY2"/>
      <c r="AYZ2"/>
      <c r="AZA2"/>
      <c r="AZB2"/>
      <c r="AZC2"/>
      <c r="AZD2"/>
      <c r="AZE2"/>
      <c r="AZF2"/>
      <c r="AZG2"/>
      <c r="AZH2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  <c r="BRR2"/>
      <c r="BRS2"/>
      <c r="BRT2"/>
      <c r="BRU2"/>
      <c r="BRV2"/>
      <c r="BRW2"/>
      <c r="BRX2"/>
      <c r="BRY2"/>
      <c r="BRZ2"/>
      <c r="BSA2"/>
      <c r="BSB2"/>
      <c r="BSC2"/>
      <c r="BSD2"/>
      <c r="BSE2"/>
      <c r="BSF2"/>
      <c r="BSG2"/>
      <c r="BSH2"/>
      <c r="BSI2"/>
      <c r="BSJ2"/>
      <c r="BSK2"/>
      <c r="BSL2"/>
      <c r="BSM2"/>
      <c r="BSN2"/>
      <c r="BSO2"/>
      <c r="BSP2"/>
      <c r="BSQ2"/>
      <c r="BSR2"/>
      <c r="BSS2"/>
      <c r="BST2"/>
      <c r="BSU2"/>
      <c r="BSV2"/>
      <c r="BSW2"/>
      <c r="BSX2"/>
      <c r="BSY2"/>
      <c r="BSZ2"/>
      <c r="BTA2"/>
      <c r="BTB2"/>
      <c r="BTC2"/>
      <c r="BTD2"/>
      <c r="BTE2"/>
      <c r="BTF2"/>
      <c r="BTG2"/>
      <c r="BTH2"/>
      <c r="BTI2"/>
      <c r="BTJ2"/>
      <c r="BTK2"/>
      <c r="BTL2"/>
      <c r="BTM2"/>
      <c r="BTN2"/>
      <c r="BTO2"/>
      <c r="BTP2"/>
      <c r="BTQ2"/>
      <c r="BTR2"/>
      <c r="BTS2"/>
      <c r="BTT2"/>
      <c r="BTU2"/>
      <c r="BTV2"/>
      <c r="BTW2"/>
      <c r="BTX2"/>
      <c r="BTY2"/>
      <c r="BTZ2"/>
      <c r="BUA2"/>
      <c r="BUB2"/>
      <c r="BUC2"/>
      <c r="BUD2"/>
      <c r="BUE2"/>
      <c r="BUF2"/>
      <c r="BUG2"/>
      <c r="BUH2"/>
      <c r="BUI2"/>
      <c r="BUJ2"/>
      <c r="BUK2"/>
      <c r="BUL2"/>
      <c r="BUM2"/>
      <c r="BUN2"/>
      <c r="BUO2"/>
      <c r="BUP2"/>
      <c r="BUQ2"/>
      <c r="BUR2"/>
      <c r="BUS2"/>
      <c r="BUT2"/>
      <c r="BUU2"/>
      <c r="BUV2"/>
      <c r="BUW2"/>
      <c r="BUX2"/>
      <c r="BUY2"/>
      <c r="BUZ2"/>
      <c r="BVA2"/>
      <c r="BVB2"/>
      <c r="BVC2"/>
      <c r="BVD2"/>
      <c r="BVE2"/>
      <c r="BVF2"/>
      <c r="BVG2"/>
      <c r="BVH2"/>
      <c r="BVI2"/>
      <c r="BVJ2"/>
      <c r="BVK2"/>
      <c r="BVL2"/>
      <c r="BVM2"/>
      <c r="BVN2"/>
      <c r="BVO2"/>
      <c r="BVP2"/>
      <c r="BVQ2"/>
      <c r="BVR2"/>
      <c r="BVS2"/>
      <c r="BVT2"/>
      <c r="BVU2"/>
      <c r="BVV2"/>
      <c r="BVW2"/>
      <c r="BVX2"/>
      <c r="BVY2"/>
      <c r="BVZ2"/>
      <c r="BWA2"/>
      <c r="BWB2"/>
      <c r="BWC2"/>
      <c r="BWD2"/>
      <c r="BWE2"/>
      <c r="BWF2"/>
      <c r="BWG2"/>
      <c r="BWH2"/>
      <c r="BWI2"/>
      <c r="BWJ2"/>
      <c r="BWK2"/>
      <c r="BWL2"/>
      <c r="BWM2"/>
      <c r="BWN2"/>
      <c r="BWO2"/>
      <c r="BWP2"/>
      <c r="BWQ2"/>
      <c r="BWR2"/>
      <c r="BWS2"/>
      <c r="BWT2"/>
      <c r="BWU2"/>
      <c r="BWV2"/>
      <c r="BWW2"/>
      <c r="BWX2"/>
      <c r="BWY2"/>
      <c r="BWZ2"/>
      <c r="BXA2"/>
      <c r="BXB2"/>
      <c r="BXC2"/>
      <c r="BXD2"/>
      <c r="BXE2"/>
      <c r="BXF2"/>
      <c r="BXG2"/>
      <c r="BXH2"/>
      <c r="BXI2"/>
      <c r="BXJ2"/>
      <c r="BXK2"/>
      <c r="BXL2"/>
      <c r="BXM2"/>
      <c r="BXN2"/>
      <c r="BXO2"/>
      <c r="BXP2"/>
      <c r="BXQ2"/>
      <c r="BXR2"/>
      <c r="BXS2"/>
      <c r="BXT2"/>
      <c r="BXU2"/>
      <c r="BXV2"/>
      <c r="BXW2"/>
      <c r="BXX2"/>
      <c r="BXY2"/>
      <c r="BXZ2"/>
      <c r="BYA2"/>
      <c r="BYB2"/>
      <c r="BYC2"/>
      <c r="BYD2"/>
      <c r="BYE2"/>
      <c r="BYF2"/>
      <c r="BYG2"/>
      <c r="BYH2"/>
      <c r="BYI2"/>
      <c r="BYJ2"/>
      <c r="BYK2"/>
      <c r="BYL2"/>
      <c r="BYM2"/>
      <c r="BYN2"/>
      <c r="BYO2"/>
      <c r="BYP2"/>
      <c r="BYQ2"/>
      <c r="BYR2"/>
      <c r="BYS2"/>
      <c r="BYT2"/>
      <c r="BYU2"/>
      <c r="BYV2"/>
      <c r="BYW2"/>
      <c r="BYX2"/>
      <c r="BYY2"/>
      <c r="BYZ2"/>
      <c r="BZA2"/>
      <c r="BZB2"/>
      <c r="BZC2"/>
      <c r="BZD2"/>
      <c r="BZE2"/>
      <c r="BZF2"/>
      <c r="BZG2"/>
      <c r="BZH2"/>
      <c r="BZI2"/>
      <c r="BZJ2"/>
      <c r="BZK2"/>
      <c r="BZL2"/>
      <c r="BZM2"/>
      <c r="BZN2"/>
      <c r="BZO2"/>
      <c r="BZP2"/>
      <c r="BZQ2"/>
      <c r="BZR2"/>
      <c r="BZS2"/>
      <c r="BZT2"/>
      <c r="BZU2"/>
      <c r="BZV2"/>
      <c r="BZW2"/>
      <c r="BZX2"/>
      <c r="BZY2"/>
      <c r="BZZ2"/>
      <c r="CAA2"/>
      <c r="CAB2"/>
      <c r="CAC2"/>
      <c r="CAD2"/>
      <c r="CAE2"/>
      <c r="CAF2"/>
      <c r="CAG2"/>
      <c r="CAH2"/>
      <c r="CAI2"/>
      <c r="CAJ2"/>
      <c r="CAK2"/>
      <c r="CAL2"/>
      <c r="CAM2"/>
      <c r="CAN2"/>
      <c r="CAO2"/>
      <c r="CAP2"/>
      <c r="CAQ2"/>
      <c r="CAR2"/>
      <c r="CAS2"/>
      <c r="CAT2"/>
      <c r="CAU2"/>
      <c r="CAV2"/>
      <c r="CAW2"/>
      <c r="CAX2"/>
      <c r="CAY2"/>
      <c r="CAZ2"/>
      <c r="CBA2"/>
      <c r="CBB2"/>
      <c r="CBC2"/>
      <c r="CBD2"/>
      <c r="CBE2"/>
      <c r="CBF2"/>
      <c r="CBG2"/>
      <c r="CBH2"/>
      <c r="CBI2"/>
      <c r="CBJ2"/>
      <c r="CBK2"/>
      <c r="CBL2"/>
      <c r="CBM2"/>
      <c r="CBN2"/>
      <c r="CBO2"/>
      <c r="CBP2"/>
      <c r="CBQ2"/>
      <c r="CBR2"/>
      <c r="CBS2"/>
      <c r="CBT2"/>
      <c r="CBU2"/>
      <c r="CBV2"/>
      <c r="CBW2"/>
      <c r="CBX2"/>
      <c r="CBY2"/>
      <c r="CBZ2"/>
      <c r="CCA2"/>
      <c r="CCB2"/>
      <c r="CCC2"/>
      <c r="CCD2"/>
      <c r="CCE2"/>
      <c r="CCF2"/>
      <c r="CCG2"/>
      <c r="CCH2"/>
      <c r="CCI2"/>
      <c r="CCJ2"/>
      <c r="CCK2"/>
      <c r="CCL2"/>
      <c r="CCM2"/>
      <c r="CCN2"/>
      <c r="CCO2"/>
      <c r="CCP2"/>
      <c r="CCQ2"/>
      <c r="CCR2"/>
      <c r="CCS2"/>
      <c r="CCT2"/>
      <c r="CCU2"/>
      <c r="CCV2"/>
      <c r="CCW2"/>
      <c r="CCX2"/>
      <c r="CCY2"/>
      <c r="CCZ2"/>
      <c r="CDA2"/>
      <c r="CDB2"/>
      <c r="CDC2"/>
      <c r="CDD2"/>
      <c r="CDE2"/>
      <c r="CDF2"/>
      <c r="CDG2"/>
      <c r="CDH2"/>
      <c r="CDI2"/>
      <c r="CDJ2"/>
      <c r="CDK2"/>
      <c r="CDL2"/>
      <c r="CDM2"/>
      <c r="CDN2"/>
      <c r="CDO2"/>
      <c r="CDP2"/>
      <c r="CDQ2"/>
      <c r="CDR2"/>
      <c r="CDS2"/>
      <c r="CDT2"/>
      <c r="CDU2"/>
      <c r="CDV2"/>
      <c r="CDW2"/>
      <c r="CDX2"/>
      <c r="CDY2"/>
      <c r="CDZ2"/>
      <c r="CEA2"/>
      <c r="CEB2"/>
      <c r="CEC2"/>
      <c r="CED2"/>
      <c r="CEE2"/>
      <c r="CEF2"/>
      <c r="CEG2"/>
      <c r="CEH2"/>
      <c r="CEI2"/>
      <c r="CEJ2"/>
      <c r="CEK2"/>
      <c r="CEL2"/>
      <c r="CEM2"/>
      <c r="CEN2"/>
      <c r="CEO2"/>
      <c r="CEP2"/>
      <c r="CEQ2"/>
      <c r="CER2"/>
      <c r="CES2"/>
      <c r="CET2"/>
      <c r="CEU2"/>
      <c r="CEV2"/>
      <c r="CEW2"/>
      <c r="CEX2"/>
      <c r="CEY2"/>
      <c r="CEZ2"/>
      <c r="CFA2"/>
      <c r="CFB2"/>
      <c r="CFC2"/>
      <c r="CFD2"/>
      <c r="CFE2"/>
      <c r="CFF2"/>
      <c r="CFG2"/>
      <c r="CFH2"/>
      <c r="CFI2"/>
      <c r="CFJ2"/>
      <c r="CFK2"/>
      <c r="CFL2"/>
      <c r="CFM2"/>
      <c r="CFN2"/>
      <c r="CFO2"/>
      <c r="CFP2"/>
      <c r="CFQ2"/>
      <c r="CFR2"/>
      <c r="CFS2"/>
      <c r="CFT2"/>
      <c r="CFU2"/>
      <c r="CFV2"/>
      <c r="CFW2"/>
      <c r="CFX2"/>
      <c r="CFY2"/>
      <c r="CFZ2"/>
      <c r="CGA2"/>
      <c r="CGB2"/>
      <c r="CGC2"/>
      <c r="CGD2"/>
      <c r="CGE2"/>
      <c r="CGF2"/>
      <c r="CGG2"/>
      <c r="CGH2"/>
      <c r="CGI2"/>
      <c r="CGJ2"/>
      <c r="CGK2"/>
      <c r="CGL2"/>
      <c r="CGM2"/>
      <c r="CGN2"/>
      <c r="CGO2"/>
      <c r="CGP2"/>
      <c r="CGQ2"/>
      <c r="CGR2"/>
      <c r="CGS2"/>
      <c r="CGT2"/>
      <c r="CGU2"/>
      <c r="CGV2"/>
      <c r="CGW2"/>
      <c r="CGX2"/>
      <c r="CGY2"/>
      <c r="CGZ2"/>
      <c r="CHA2"/>
      <c r="CHB2"/>
      <c r="CHC2"/>
      <c r="CHD2"/>
      <c r="CHE2"/>
      <c r="CHF2"/>
      <c r="CHG2"/>
      <c r="CHH2"/>
      <c r="CHI2"/>
      <c r="CHJ2"/>
      <c r="CHK2"/>
      <c r="CHL2"/>
      <c r="CHM2"/>
      <c r="CHN2"/>
      <c r="CHO2"/>
      <c r="CHP2"/>
      <c r="CHQ2"/>
      <c r="CHR2"/>
      <c r="CHS2"/>
      <c r="CHT2"/>
      <c r="CHU2"/>
      <c r="CHV2"/>
      <c r="CHW2"/>
      <c r="CHX2"/>
      <c r="CHY2"/>
      <c r="CHZ2"/>
      <c r="CIA2"/>
      <c r="CIB2"/>
      <c r="CIC2"/>
      <c r="CID2"/>
      <c r="CIE2"/>
      <c r="CIF2"/>
      <c r="CIG2"/>
      <c r="CIH2"/>
      <c r="CII2"/>
      <c r="CIJ2"/>
      <c r="CIK2"/>
      <c r="CIL2"/>
      <c r="CIM2"/>
      <c r="CIN2"/>
      <c r="CIO2"/>
      <c r="CIP2"/>
      <c r="CIQ2"/>
      <c r="CIR2"/>
      <c r="CIS2"/>
      <c r="CIT2"/>
      <c r="CIU2"/>
      <c r="CIV2"/>
      <c r="CIW2"/>
      <c r="CIX2"/>
      <c r="CIY2"/>
      <c r="CIZ2"/>
      <c r="CJA2"/>
      <c r="CJB2"/>
      <c r="CJC2"/>
      <c r="CJD2"/>
      <c r="CJE2"/>
      <c r="CJF2"/>
      <c r="CJG2"/>
      <c r="CJH2"/>
      <c r="CJI2"/>
      <c r="CJJ2"/>
      <c r="CJK2"/>
      <c r="CJL2"/>
      <c r="CJM2"/>
      <c r="CJN2"/>
      <c r="CJO2"/>
      <c r="CJP2"/>
      <c r="CJQ2"/>
      <c r="CJR2"/>
      <c r="CJS2"/>
      <c r="CJT2"/>
      <c r="CJU2"/>
      <c r="CJV2"/>
      <c r="CJW2"/>
      <c r="CJX2"/>
      <c r="CJY2"/>
      <c r="CJZ2"/>
      <c r="CKA2"/>
      <c r="CKB2"/>
      <c r="CKC2"/>
      <c r="CKD2"/>
      <c r="CKE2"/>
      <c r="CKF2"/>
      <c r="CKG2"/>
      <c r="CKH2"/>
      <c r="CKI2"/>
      <c r="CKJ2"/>
      <c r="CKK2"/>
      <c r="CKL2"/>
      <c r="CKM2"/>
      <c r="CKN2"/>
      <c r="CKO2"/>
      <c r="CKP2"/>
      <c r="CKQ2"/>
      <c r="CKR2"/>
      <c r="CKS2"/>
      <c r="CKT2"/>
      <c r="CKU2"/>
      <c r="CKV2"/>
      <c r="CKW2"/>
      <c r="CKX2"/>
      <c r="CKY2"/>
      <c r="CKZ2"/>
      <c r="CLA2"/>
      <c r="CLB2"/>
      <c r="CLC2"/>
      <c r="CLD2"/>
      <c r="CLE2"/>
      <c r="CLF2"/>
      <c r="CLG2"/>
      <c r="CLH2"/>
      <c r="CLI2"/>
      <c r="CLJ2"/>
      <c r="CLK2"/>
      <c r="CLL2"/>
      <c r="CLM2"/>
      <c r="CLN2"/>
      <c r="CLO2"/>
      <c r="CLP2"/>
      <c r="CLQ2"/>
      <c r="CLR2"/>
      <c r="CLS2"/>
      <c r="CLT2"/>
      <c r="CLU2"/>
      <c r="CLV2"/>
      <c r="CLW2"/>
      <c r="CLX2"/>
      <c r="CLY2"/>
      <c r="CLZ2"/>
      <c r="CMA2"/>
      <c r="CMB2"/>
      <c r="CMC2"/>
      <c r="CMD2"/>
      <c r="CME2"/>
      <c r="CMF2"/>
      <c r="CMG2"/>
      <c r="CMH2"/>
      <c r="CMI2"/>
      <c r="CMJ2"/>
      <c r="CMK2"/>
      <c r="CML2"/>
      <c r="CMM2"/>
      <c r="CMN2"/>
      <c r="CMO2"/>
      <c r="CMP2"/>
      <c r="CMQ2"/>
      <c r="CMR2"/>
      <c r="CMS2"/>
      <c r="CMT2"/>
      <c r="CMU2"/>
      <c r="CMV2"/>
      <c r="CMW2"/>
      <c r="CMX2"/>
      <c r="CMY2"/>
      <c r="CMZ2"/>
      <c r="CNA2"/>
      <c r="CNB2"/>
      <c r="CNC2"/>
      <c r="CND2"/>
      <c r="CNE2"/>
      <c r="CNF2"/>
      <c r="CNG2"/>
      <c r="CNH2"/>
      <c r="CNI2"/>
      <c r="CNJ2"/>
      <c r="CNK2"/>
      <c r="CNL2"/>
      <c r="CNM2"/>
      <c r="CNN2"/>
      <c r="CNO2"/>
      <c r="CNP2"/>
      <c r="CNQ2"/>
      <c r="CNR2"/>
      <c r="CNS2"/>
      <c r="CNT2"/>
      <c r="CNU2"/>
      <c r="CNV2"/>
      <c r="CNW2"/>
      <c r="CNX2"/>
      <c r="CNY2"/>
      <c r="CNZ2"/>
      <c r="COA2"/>
      <c r="COB2"/>
      <c r="COC2"/>
      <c r="COD2"/>
      <c r="COE2"/>
      <c r="COF2"/>
      <c r="COG2"/>
      <c r="COH2"/>
      <c r="COI2"/>
      <c r="COJ2"/>
      <c r="COK2"/>
      <c r="COL2"/>
      <c r="COM2"/>
      <c r="CON2"/>
      <c r="COO2"/>
      <c r="COP2"/>
      <c r="COQ2"/>
      <c r="COR2"/>
      <c r="COS2"/>
      <c r="COT2"/>
      <c r="COU2"/>
      <c r="COV2"/>
      <c r="COW2"/>
      <c r="COX2"/>
      <c r="COY2"/>
      <c r="COZ2"/>
      <c r="CPA2"/>
      <c r="CPB2"/>
      <c r="CPC2"/>
      <c r="CPD2"/>
      <c r="CPE2"/>
      <c r="CPF2"/>
      <c r="CPG2"/>
      <c r="CPH2"/>
      <c r="CPI2"/>
      <c r="CPJ2"/>
      <c r="CPK2"/>
      <c r="CPL2"/>
      <c r="CPM2"/>
      <c r="CPN2"/>
      <c r="CPO2"/>
      <c r="CPP2"/>
      <c r="CPQ2"/>
      <c r="CPR2"/>
      <c r="CPS2"/>
      <c r="CPT2"/>
      <c r="CPU2"/>
      <c r="CPV2"/>
      <c r="CPW2"/>
      <c r="CPX2"/>
      <c r="CPY2"/>
      <c r="CPZ2"/>
      <c r="CQA2"/>
      <c r="CQB2"/>
      <c r="CQC2"/>
      <c r="CQD2"/>
      <c r="CQE2"/>
      <c r="CQF2"/>
      <c r="CQG2"/>
      <c r="CQH2"/>
      <c r="CQI2"/>
      <c r="CQJ2"/>
      <c r="CQK2"/>
      <c r="CQL2"/>
      <c r="CQM2"/>
      <c r="CQN2"/>
      <c r="CQO2"/>
      <c r="CQP2"/>
      <c r="CQQ2"/>
      <c r="CQR2"/>
      <c r="CQS2"/>
      <c r="CQT2"/>
      <c r="CQU2"/>
      <c r="CQV2"/>
      <c r="CQW2"/>
      <c r="CQX2"/>
      <c r="CQY2"/>
      <c r="CQZ2"/>
      <c r="CRA2"/>
      <c r="CRB2"/>
      <c r="CRC2"/>
      <c r="CRD2"/>
      <c r="CRE2"/>
      <c r="CRF2"/>
      <c r="CRG2"/>
      <c r="CRH2"/>
      <c r="CRI2"/>
      <c r="CRJ2"/>
      <c r="CRK2"/>
      <c r="CRL2"/>
      <c r="CRM2"/>
      <c r="CRN2"/>
      <c r="CRO2"/>
      <c r="CRP2"/>
      <c r="CRQ2"/>
      <c r="CRR2"/>
      <c r="CRS2"/>
      <c r="CRT2"/>
      <c r="CRU2"/>
      <c r="CRV2"/>
      <c r="CRW2"/>
      <c r="CRX2"/>
      <c r="CRY2"/>
      <c r="CRZ2"/>
      <c r="CSA2"/>
      <c r="CSB2"/>
      <c r="CSC2"/>
      <c r="CSD2"/>
      <c r="CSE2"/>
      <c r="CSF2"/>
      <c r="CSG2"/>
      <c r="CSH2"/>
      <c r="CSI2"/>
      <c r="CSJ2"/>
      <c r="CSK2"/>
      <c r="CSL2"/>
      <c r="CSM2"/>
      <c r="CSN2"/>
      <c r="CSO2"/>
      <c r="CSP2"/>
      <c r="CSQ2"/>
      <c r="CSR2"/>
      <c r="CSS2"/>
      <c r="CST2"/>
      <c r="CSU2"/>
      <c r="CSV2"/>
      <c r="CSW2"/>
      <c r="CSX2"/>
      <c r="CSY2"/>
      <c r="CSZ2"/>
      <c r="CTA2"/>
      <c r="CTB2"/>
      <c r="CTC2"/>
      <c r="CTD2"/>
      <c r="CTE2"/>
      <c r="CTF2"/>
      <c r="CTG2"/>
      <c r="CTH2"/>
      <c r="CTI2"/>
      <c r="CTJ2"/>
      <c r="CTK2"/>
      <c r="CTL2"/>
      <c r="CTM2"/>
      <c r="CTN2"/>
      <c r="CTO2"/>
      <c r="CTP2"/>
      <c r="CTQ2"/>
      <c r="CTR2"/>
      <c r="CTS2"/>
      <c r="CTT2"/>
      <c r="CTU2"/>
      <c r="CTV2"/>
      <c r="CTW2"/>
      <c r="CTX2"/>
      <c r="CTY2"/>
      <c r="CTZ2"/>
      <c r="CUA2"/>
      <c r="CUB2"/>
      <c r="CUC2"/>
      <c r="CUD2"/>
      <c r="CUE2"/>
      <c r="CUF2"/>
      <c r="CUG2"/>
      <c r="CUH2"/>
      <c r="CUI2"/>
      <c r="CUJ2"/>
      <c r="CUK2"/>
      <c r="CUL2"/>
      <c r="CUM2"/>
      <c r="CUN2"/>
      <c r="CUO2"/>
      <c r="CUP2"/>
      <c r="CUQ2"/>
      <c r="CUR2"/>
      <c r="CUS2"/>
      <c r="CUT2"/>
      <c r="CUU2"/>
      <c r="CUV2"/>
      <c r="CUW2"/>
      <c r="CUX2"/>
      <c r="CUY2"/>
      <c r="CUZ2"/>
      <c r="CVA2"/>
      <c r="CVB2"/>
      <c r="CVC2"/>
      <c r="CVD2"/>
      <c r="CVE2"/>
      <c r="CVF2"/>
      <c r="CVG2"/>
      <c r="CVH2"/>
      <c r="CVI2"/>
      <c r="CVJ2"/>
      <c r="CVK2"/>
      <c r="CVL2"/>
      <c r="CVM2"/>
      <c r="CVN2"/>
      <c r="CVO2"/>
      <c r="CVP2"/>
      <c r="CVQ2"/>
      <c r="CVR2"/>
      <c r="CVS2"/>
      <c r="CVT2"/>
      <c r="CVU2"/>
      <c r="CVV2"/>
      <c r="CVW2"/>
      <c r="CVX2"/>
      <c r="CVY2"/>
      <c r="CVZ2"/>
      <c r="CWA2"/>
      <c r="CWB2"/>
      <c r="CWC2"/>
      <c r="CWD2"/>
      <c r="CWE2"/>
      <c r="CWF2"/>
      <c r="CWG2"/>
      <c r="CWH2"/>
      <c r="CWI2"/>
      <c r="CWJ2"/>
      <c r="CWK2"/>
      <c r="CWL2"/>
      <c r="CWM2"/>
      <c r="CWN2"/>
      <c r="CWO2"/>
      <c r="CWP2"/>
      <c r="CWQ2"/>
      <c r="CWR2"/>
      <c r="CWS2"/>
      <c r="CWT2"/>
      <c r="CWU2"/>
      <c r="CWV2"/>
      <c r="CWW2"/>
      <c r="CWX2"/>
      <c r="CWY2"/>
      <c r="CWZ2"/>
      <c r="CXA2"/>
      <c r="CXB2"/>
      <c r="CXC2"/>
      <c r="CXD2"/>
      <c r="CXE2"/>
      <c r="CXF2"/>
      <c r="CXG2"/>
      <c r="CXH2"/>
      <c r="CXI2"/>
      <c r="CXJ2"/>
      <c r="CXK2"/>
      <c r="CXL2"/>
      <c r="CXM2"/>
      <c r="CXN2"/>
      <c r="CXO2"/>
      <c r="CXP2"/>
      <c r="CXQ2"/>
      <c r="CXR2"/>
      <c r="CXS2"/>
      <c r="CXT2"/>
      <c r="CXU2"/>
      <c r="CXV2"/>
      <c r="CXW2"/>
      <c r="CXX2"/>
      <c r="CXY2"/>
      <c r="CXZ2"/>
      <c r="CYA2"/>
      <c r="CYB2"/>
      <c r="CYC2"/>
      <c r="CYD2"/>
      <c r="CYE2"/>
      <c r="CYF2"/>
      <c r="CYG2"/>
      <c r="CYH2"/>
      <c r="CYI2"/>
      <c r="CYJ2"/>
      <c r="CYK2"/>
      <c r="CYL2"/>
      <c r="CYM2"/>
      <c r="CYN2"/>
      <c r="CYO2"/>
      <c r="CYP2"/>
      <c r="CYQ2"/>
      <c r="CYR2"/>
      <c r="CYS2"/>
      <c r="CYT2"/>
      <c r="CYU2"/>
      <c r="CYV2"/>
      <c r="CYW2"/>
      <c r="CYX2"/>
      <c r="CYY2"/>
      <c r="CYZ2"/>
      <c r="CZA2"/>
      <c r="CZB2"/>
      <c r="CZC2"/>
      <c r="CZD2"/>
      <c r="CZE2"/>
      <c r="CZF2"/>
      <c r="CZG2"/>
      <c r="CZH2"/>
      <c r="CZI2"/>
      <c r="CZJ2"/>
      <c r="CZK2"/>
      <c r="CZL2"/>
      <c r="CZM2"/>
      <c r="CZN2"/>
      <c r="CZO2"/>
      <c r="CZP2"/>
      <c r="CZQ2"/>
      <c r="CZR2"/>
      <c r="CZS2"/>
      <c r="CZT2"/>
      <c r="CZU2"/>
      <c r="CZV2"/>
      <c r="CZW2"/>
      <c r="CZX2"/>
      <c r="CZY2"/>
      <c r="CZZ2"/>
      <c r="DAA2"/>
      <c r="DAB2"/>
      <c r="DAC2"/>
      <c r="DAD2"/>
      <c r="DAE2"/>
      <c r="DAF2"/>
      <c r="DAG2"/>
      <c r="DAH2"/>
      <c r="DAI2"/>
      <c r="DAJ2"/>
      <c r="DAK2"/>
      <c r="DAL2"/>
      <c r="DAM2"/>
      <c r="DAN2"/>
      <c r="DAO2"/>
      <c r="DAP2"/>
      <c r="DAQ2"/>
      <c r="DAR2"/>
      <c r="DAS2"/>
      <c r="DAT2"/>
      <c r="DAU2"/>
      <c r="DAV2"/>
      <c r="DAW2"/>
      <c r="DAX2"/>
      <c r="DAY2"/>
      <c r="DAZ2"/>
      <c r="DBA2"/>
      <c r="DBB2"/>
      <c r="DBC2"/>
      <c r="DBD2"/>
      <c r="DBE2"/>
      <c r="DBF2"/>
      <c r="DBG2"/>
      <c r="DBH2"/>
      <c r="DBI2"/>
      <c r="DBJ2"/>
      <c r="DBK2"/>
      <c r="DBL2"/>
      <c r="DBM2"/>
      <c r="DBN2"/>
      <c r="DBO2"/>
      <c r="DBP2"/>
      <c r="DBQ2"/>
      <c r="DBR2"/>
      <c r="DBS2"/>
      <c r="DBT2"/>
      <c r="DBU2"/>
      <c r="DBV2"/>
      <c r="DBW2"/>
      <c r="DBX2"/>
      <c r="DBY2"/>
      <c r="DBZ2"/>
      <c r="DCA2"/>
      <c r="DCB2"/>
      <c r="DCC2"/>
      <c r="DCD2"/>
      <c r="DCE2"/>
      <c r="DCF2"/>
      <c r="DCG2"/>
      <c r="DCH2"/>
      <c r="DCI2"/>
      <c r="DCJ2"/>
      <c r="DCK2"/>
      <c r="DCL2"/>
      <c r="DCM2"/>
      <c r="DCN2"/>
      <c r="DCO2"/>
      <c r="DCP2"/>
      <c r="DCQ2"/>
      <c r="DCR2"/>
      <c r="DCS2"/>
      <c r="DCT2"/>
      <c r="DCU2"/>
      <c r="DCV2"/>
      <c r="DCW2"/>
      <c r="DCX2"/>
      <c r="DCY2"/>
      <c r="DCZ2"/>
      <c r="DDA2"/>
      <c r="DDB2"/>
      <c r="DDC2"/>
      <c r="DDD2"/>
      <c r="DDE2"/>
      <c r="DDF2"/>
      <c r="DDG2"/>
      <c r="DDH2"/>
      <c r="DDI2"/>
      <c r="DDJ2"/>
      <c r="DDK2"/>
      <c r="DDL2"/>
      <c r="DDM2"/>
      <c r="DDN2"/>
      <c r="DDO2"/>
      <c r="DDP2"/>
      <c r="DDQ2"/>
      <c r="DDR2"/>
      <c r="DDS2"/>
      <c r="DDT2"/>
      <c r="DDU2"/>
      <c r="DDV2"/>
      <c r="DDW2"/>
      <c r="DDX2"/>
      <c r="DDY2"/>
      <c r="DDZ2"/>
      <c r="DEA2"/>
      <c r="DEB2"/>
      <c r="DEC2"/>
      <c r="DED2"/>
      <c r="DEE2"/>
      <c r="DEF2"/>
      <c r="DEG2"/>
      <c r="DEH2"/>
      <c r="DEI2"/>
      <c r="DEJ2"/>
      <c r="DEK2"/>
      <c r="DEL2"/>
      <c r="DEM2"/>
      <c r="DEN2"/>
      <c r="DEO2"/>
      <c r="DEP2"/>
      <c r="DEQ2"/>
      <c r="DER2"/>
      <c r="DES2"/>
      <c r="DET2"/>
      <c r="DEU2"/>
      <c r="DEV2"/>
      <c r="DEW2"/>
      <c r="DEX2"/>
      <c r="DEY2"/>
      <c r="DEZ2"/>
      <c r="DFA2"/>
      <c r="DFB2"/>
      <c r="DFC2"/>
      <c r="DFD2"/>
      <c r="DFE2"/>
      <c r="DFF2"/>
      <c r="DFG2"/>
      <c r="DFH2"/>
      <c r="DFI2"/>
      <c r="DFJ2"/>
      <c r="DFK2"/>
      <c r="DFL2"/>
      <c r="DFM2"/>
      <c r="DFN2"/>
      <c r="DFO2"/>
      <c r="DFP2"/>
      <c r="DFQ2"/>
      <c r="DFR2"/>
      <c r="DFS2"/>
      <c r="DFT2"/>
      <c r="DFU2"/>
      <c r="DFV2"/>
      <c r="DFW2"/>
      <c r="DFX2"/>
      <c r="DFY2"/>
      <c r="DFZ2"/>
      <c r="DGA2"/>
      <c r="DGB2"/>
      <c r="DGC2"/>
      <c r="DGD2"/>
      <c r="DGE2"/>
      <c r="DGF2"/>
      <c r="DGG2"/>
      <c r="DGH2"/>
      <c r="DGI2"/>
      <c r="DGJ2"/>
      <c r="DGK2"/>
      <c r="DGL2"/>
      <c r="DGM2"/>
      <c r="DGN2"/>
      <c r="DGO2"/>
      <c r="DGP2"/>
      <c r="DGQ2"/>
      <c r="DGR2"/>
      <c r="DGS2"/>
      <c r="DGT2"/>
      <c r="DGU2"/>
      <c r="DGV2"/>
      <c r="DGW2"/>
      <c r="DGX2"/>
      <c r="DGY2"/>
      <c r="DGZ2"/>
      <c r="DHA2"/>
      <c r="DHB2"/>
      <c r="DHC2"/>
      <c r="DHD2"/>
      <c r="DHE2"/>
      <c r="DHF2"/>
      <c r="DHG2"/>
      <c r="DHH2"/>
      <c r="DHI2"/>
      <c r="DHJ2"/>
      <c r="DHK2"/>
      <c r="DHL2"/>
      <c r="DHM2"/>
      <c r="DHN2"/>
      <c r="DHO2"/>
      <c r="DHP2"/>
      <c r="DHQ2"/>
      <c r="DHR2"/>
      <c r="DHS2"/>
      <c r="DHT2"/>
      <c r="DHU2"/>
      <c r="DHV2"/>
      <c r="DHW2"/>
      <c r="DHX2"/>
      <c r="DHY2"/>
      <c r="DHZ2"/>
      <c r="DIA2"/>
      <c r="DIB2"/>
      <c r="DIC2"/>
      <c r="DID2"/>
      <c r="DIE2"/>
      <c r="DIF2"/>
      <c r="DIG2"/>
      <c r="DIH2"/>
      <c r="DII2"/>
      <c r="DIJ2"/>
      <c r="DIK2"/>
      <c r="DIL2"/>
      <c r="DIM2"/>
      <c r="DIN2"/>
      <c r="DIO2"/>
      <c r="DIP2"/>
      <c r="DIQ2"/>
      <c r="DIR2"/>
      <c r="DIS2"/>
      <c r="DIT2"/>
      <c r="DIU2"/>
      <c r="DIV2"/>
      <c r="DIW2"/>
      <c r="DIX2"/>
      <c r="DIY2"/>
      <c r="DIZ2"/>
      <c r="DJA2"/>
      <c r="DJB2"/>
      <c r="DJC2"/>
      <c r="DJD2"/>
      <c r="DJE2"/>
      <c r="DJF2"/>
      <c r="DJG2"/>
      <c r="DJH2"/>
      <c r="DJI2"/>
      <c r="DJJ2"/>
      <c r="DJK2"/>
      <c r="DJL2"/>
      <c r="DJM2"/>
      <c r="DJN2"/>
      <c r="DJO2"/>
      <c r="DJP2"/>
      <c r="DJQ2"/>
      <c r="DJR2"/>
      <c r="DJS2"/>
      <c r="DJT2"/>
      <c r="DJU2"/>
      <c r="DJV2"/>
      <c r="DJW2"/>
      <c r="DJX2"/>
      <c r="DJY2"/>
      <c r="DJZ2"/>
      <c r="DKA2"/>
      <c r="DKB2"/>
      <c r="DKC2"/>
      <c r="DKD2"/>
      <c r="DKE2"/>
      <c r="DKF2"/>
      <c r="DKG2"/>
      <c r="DKH2"/>
      <c r="DKI2"/>
      <c r="DKJ2"/>
      <c r="DKK2"/>
      <c r="DKL2"/>
      <c r="DKM2"/>
      <c r="DKN2"/>
      <c r="DKO2"/>
      <c r="DKP2"/>
      <c r="DKQ2"/>
      <c r="DKR2"/>
      <c r="DKS2"/>
      <c r="DKT2"/>
      <c r="DKU2"/>
      <c r="DKV2"/>
      <c r="DKW2"/>
      <c r="DKX2"/>
      <c r="DKY2"/>
      <c r="DKZ2"/>
      <c r="DLA2"/>
      <c r="DLB2"/>
      <c r="DLC2"/>
      <c r="DLD2"/>
      <c r="DLE2"/>
      <c r="DLF2"/>
      <c r="DLG2"/>
      <c r="DLH2"/>
      <c r="DLI2"/>
      <c r="DLJ2"/>
      <c r="DLK2"/>
      <c r="DLL2"/>
      <c r="DLM2"/>
      <c r="DLN2"/>
      <c r="DLO2"/>
      <c r="DLP2"/>
      <c r="DLQ2"/>
      <c r="DLR2"/>
      <c r="DLS2"/>
      <c r="DLT2"/>
      <c r="DLU2"/>
      <c r="DLV2"/>
      <c r="DLW2"/>
      <c r="DLX2"/>
      <c r="DLY2"/>
      <c r="DLZ2"/>
      <c r="DMA2"/>
      <c r="DMB2"/>
      <c r="DMC2"/>
      <c r="DMD2"/>
      <c r="DME2"/>
      <c r="DMF2"/>
      <c r="DMG2"/>
      <c r="DMH2"/>
      <c r="DMI2"/>
      <c r="DMJ2"/>
      <c r="DMK2"/>
      <c r="DML2"/>
      <c r="DMM2"/>
      <c r="DMN2"/>
      <c r="DMO2"/>
      <c r="DMP2"/>
      <c r="DMQ2"/>
      <c r="DMR2"/>
      <c r="DMS2"/>
      <c r="DMT2"/>
      <c r="DMU2"/>
      <c r="DMV2"/>
      <c r="DMW2"/>
      <c r="DMX2"/>
      <c r="DMY2"/>
      <c r="DMZ2"/>
      <c r="DNA2"/>
      <c r="DNB2"/>
      <c r="DNC2"/>
      <c r="DND2"/>
      <c r="DNE2"/>
      <c r="DNF2"/>
      <c r="DNG2"/>
      <c r="DNH2"/>
      <c r="DNI2"/>
      <c r="DNJ2"/>
      <c r="DNK2"/>
      <c r="DNL2"/>
      <c r="DNM2"/>
      <c r="DNN2"/>
      <c r="DNO2"/>
      <c r="DNP2"/>
      <c r="DNQ2"/>
      <c r="DNR2"/>
      <c r="DNS2"/>
      <c r="DNT2"/>
      <c r="DNU2"/>
      <c r="DNV2"/>
      <c r="DNW2"/>
      <c r="DNX2"/>
      <c r="DNY2"/>
      <c r="DNZ2"/>
      <c r="DOA2"/>
      <c r="DOB2"/>
      <c r="DOC2"/>
      <c r="DOD2"/>
      <c r="DOE2"/>
      <c r="DOF2"/>
      <c r="DOG2"/>
      <c r="DOH2"/>
      <c r="DOI2"/>
      <c r="DOJ2"/>
      <c r="DOK2"/>
      <c r="DOL2"/>
      <c r="DOM2"/>
      <c r="DON2"/>
      <c r="DOO2"/>
      <c r="DOP2"/>
      <c r="DOQ2"/>
      <c r="DOR2"/>
      <c r="DOS2"/>
      <c r="DOT2"/>
      <c r="DOU2"/>
      <c r="DOV2"/>
      <c r="DOW2"/>
      <c r="DOX2"/>
      <c r="DOY2"/>
      <c r="DOZ2"/>
      <c r="DPA2"/>
      <c r="DPB2"/>
      <c r="DPC2"/>
      <c r="DPD2"/>
      <c r="DPE2"/>
      <c r="DPF2"/>
      <c r="DPG2"/>
      <c r="DPH2"/>
      <c r="DPI2"/>
      <c r="DPJ2"/>
      <c r="DPK2"/>
      <c r="DPL2"/>
      <c r="DPM2"/>
      <c r="DPN2"/>
      <c r="DPO2"/>
      <c r="DPP2"/>
      <c r="DPQ2"/>
      <c r="DPR2"/>
      <c r="DPS2"/>
      <c r="DPT2"/>
      <c r="DPU2"/>
      <c r="DPV2"/>
      <c r="DPW2"/>
      <c r="DPX2"/>
      <c r="DPY2"/>
      <c r="DPZ2"/>
      <c r="DQA2"/>
      <c r="DQB2"/>
      <c r="DQC2"/>
      <c r="DQD2"/>
      <c r="DQE2"/>
      <c r="DQF2"/>
      <c r="DQG2"/>
      <c r="DQH2"/>
      <c r="DQI2"/>
      <c r="DQJ2"/>
      <c r="DQK2"/>
      <c r="DQL2"/>
      <c r="DQM2"/>
      <c r="DQN2"/>
      <c r="DQO2"/>
      <c r="DQP2"/>
      <c r="DQQ2"/>
      <c r="DQR2"/>
      <c r="DQS2"/>
      <c r="DQT2"/>
      <c r="DQU2"/>
      <c r="DQV2"/>
      <c r="DQW2"/>
      <c r="DQX2"/>
      <c r="DQY2"/>
      <c r="DQZ2"/>
      <c r="DRA2"/>
      <c r="DRB2"/>
      <c r="DRC2"/>
      <c r="DRD2"/>
      <c r="DRE2"/>
      <c r="DRF2"/>
      <c r="DRG2"/>
      <c r="DRH2"/>
      <c r="DRI2"/>
      <c r="DRJ2"/>
      <c r="DRK2"/>
      <c r="DRL2"/>
      <c r="DRM2"/>
      <c r="DRN2"/>
      <c r="DRO2"/>
      <c r="DRP2"/>
      <c r="DRQ2"/>
      <c r="DRR2"/>
      <c r="DRS2"/>
      <c r="DRT2"/>
      <c r="DRU2"/>
      <c r="DRV2"/>
      <c r="DRW2"/>
      <c r="DRX2"/>
      <c r="DRY2"/>
      <c r="DRZ2"/>
      <c r="DSA2"/>
      <c r="DSB2"/>
      <c r="DSC2"/>
      <c r="DSD2"/>
      <c r="DSE2"/>
      <c r="DSF2"/>
      <c r="DSG2"/>
      <c r="DSH2"/>
      <c r="DSI2"/>
      <c r="DSJ2"/>
      <c r="DSK2"/>
      <c r="DSL2"/>
      <c r="DSM2"/>
      <c r="DSN2"/>
      <c r="DSO2"/>
      <c r="DSP2"/>
      <c r="DSQ2"/>
      <c r="DSR2"/>
      <c r="DSS2"/>
      <c r="DST2"/>
      <c r="DSU2"/>
      <c r="DSV2"/>
      <c r="DSW2"/>
      <c r="DSX2"/>
      <c r="DSY2"/>
      <c r="DSZ2"/>
      <c r="DTA2"/>
      <c r="DTB2"/>
      <c r="DTC2"/>
      <c r="DTD2"/>
      <c r="DTE2"/>
      <c r="DTF2"/>
      <c r="DTG2"/>
      <c r="DTH2"/>
      <c r="DTI2"/>
      <c r="DTJ2"/>
      <c r="DTK2"/>
      <c r="DTL2"/>
      <c r="DTM2"/>
      <c r="DTN2"/>
      <c r="DTO2"/>
      <c r="DTP2"/>
      <c r="DTQ2"/>
      <c r="DTR2"/>
      <c r="DTS2"/>
      <c r="DTT2"/>
      <c r="DTU2"/>
      <c r="DTV2"/>
      <c r="DTW2"/>
      <c r="DTX2"/>
      <c r="DTY2"/>
      <c r="DTZ2"/>
      <c r="DUA2"/>
      <c r="DUB2"/>
      <c r="DUC2"/>
      <c r="DUD2"/>
      <c r="DUE2"/>
      <c r="DUF2"/>
      <c r="DUG2"/>
      <c r="DUH2"/>
      <c r="DUI2"/>
      <c r="DUJ2"/>
      <c r="DUK2"/>
      <c r="DUL2"/>
      <c r="DUM2"/>
      <c r="DUN2"/>
      <c r="DUO2"/>
      <c r="DUP2"/>
      <c r="DUQ2"/>
      <c r="DUR2"/>
      <c r="DUS2"/>
      <c r="DUT2"/>
      <c r="DUU2"/>
      <c r="DUV2"/>
      <c r="DUW2"/>
      <c r="DUX2"/>
      <c r="DUY2"/>
      <c r="DUZ2"/>
      <c r="DVA2"/>
      <c r="DVB2"/>
      <c r="DVC2"/>
      <c r="DVD2"/>
      <c r="DVE2"/>
      <c r="DVF2"/>
      <c r="DVG2"/>
      <c r="DVH2"/>
      <c r="DVI2"/>
      <c r="DVJ2"/>
      <c r="DVK2"/>
      <c r="DVL2"/>
      <c r="DVM2"/>
      <c r="DVN2"/>
      <c r="DVO2"/>
      <c r="DVP2"/>
      <c r="DVQ2"/>
      <c r="DVR2"/>
      <c r="DVS2"/>
      <c r="DVT2"/>
      <c r="DVU2"/>
      <c r="DVV2"/>
      <c r="DVW2"/>
      <c r="DVX2"/>
      <c r="DVY2"/>
      <c r="DVZ2"/>
      <c r="DWA2"/>
      <c r="DWB2"/>
      <c r="DWC2"/>
      <c r="DWD2"/>
      <c r="DWE2"/>
      <c r="DWF2"/>
      <c r="DWG2"/>
      <c r="DWH2"/>
      <c r="DWI2"/>
      <c r="DWJ2"/>
      <c r="DWK2"/>
      <c r="DWL2"/>
      <c r="DWM2"/>
      <c r="DWN2"/>
      <c r="DWO2"/>
      <c r="DWP2"/>
      <c r="DWQ2"/>
      <c r="DWR2"/>
      <c r="DWS2"/>
      <c r="DWT2"/>
      <c r="DWU2"/>
      <c r="DWV2"/>
      <c r="DWW2"/>
      <c r="DWX2"/>
      <c r="DWY2"/>
      <c r="DWZ2"/>
      <c r="DXA2"/>
      <c r="DXB2"/>
      <c r="DXC2"/>
      <c r="DXD2"/>
      <c r="DXE2"/>
      <c r="DXF2"/>
      <c r="DXG2"/>
      <c r="DXH2"/>
      <c r="DXI2"/>
      <c r="DXJ2"/>
      <c r="DXK2"/>
      <c r="DXL2"/>
      <c r="DXM2"/>
      <c r="DXN2"/>
      <c r="DXO2"/>
      <c r="DXP2"/>
      <c r="DXQ2"/>
      <c r="DXR2"/>
      <c r="DXS2"/>
      <c r="DXT2"/>
      <c r="DXU2"/>
      <c r="DXV2"/>
      <c r="DXW2"/>
      <c r="DXX2"/>
      <c r="DXY2"/>
      <c r="DXZ2"/>
      <c r="DYA2"/>
      <c r="DYB2"/>
      <c r="DYC2"/>
      <c r="DYD2"/>
      <c r="DYE2"/>
      <c r="DYF2"/>
      <c r="DYG2"/>
      <c r="DYH2"/>
      <c r="DYI2"/>
      <c r="DYJ2"/>
      <c r="DYK2"/>
      <c r="DYL2"/>
      <c r="DYM2"/>
      <c r="DYN2"/>
      <c r="DYO2"/>
      <c r="DYP2"/>
      <c r="DYQ2"/>
      <c r="DYR2"/>
      <c r="DYS2"/>
      <c r="DYT2"/>
      <c r="DYU2"/>
      <c r="DYV2"/>
      <c r="DYW2"/>
      <c r="DYX2"/>
      <c r="DYY2"/>
      <c r="DYZ2"/>
      <c r="DZA2"/>
      <c r="DZB2"/>
      <c r="DZC2"/>
      <c r="DZD2"/>
      <c r="DZE2"/>
      <c r="DZF2"/>
      <c r="DZG2"/>
      <c r="DZH2"/>
      <c r="DZI2"/>
      <c r="DZJ2"/>
      <c r="DZK2"/>
      <c r="DZL2"/>
      <c r="DZM2"/>
      <c r="DZN2"/>
      <c r="DZO2"/>
      <c r="DZP2"/>
      <c r="DZQ2"/>
      <c r="DZR2"/>
      <c r="DZS2"/>
      <c r="DZT2"/>
      <c r="DZU2"/>
      <c r="DZV2"/>
      <c r="DZW2"/>
      <c r="DZX2"/>
      <c r="DZY2"/>
      <c r="DZZ2"/>
      <c r="EAA2"/>
      <c r="EAB2"/>
      <c r="EAC2"/>
      <c r="EAD2"/>
      <c r="EAE2"/>
      <c r="EAF2"/>
      <c r="EAG2"/>
      <c r="EAH2"/>
      <c r="EAI2"/>
      <c r="EAJ2"/>
      <c r="EAK2"/>
      <c r="EAL2"/>
      <c r="EAM2"/>
      <c r="EAN2"/>
      <c r="EAO2"/>
      <c r="EAP2"/>
      <c r="EAQ2"/>
      <c r="EAR2"/>
      <c r="EAS2"/>
      <c r="EAT2"/>
      <c r="EAU2"/>
      <c r="EAV2"/>
      <c r="EAW2"/>
      <c r="EAX2"/>
      <c r="EAY2"/>
      <c r="EAZ2"/>
      <c r="EBA2"/>
      <c r="EBB2"/>
      <c r="EBC2"/>
      <c r="EBD2"/>
      <c r="EBE2"/>
      <c r="EBF2"/>
      <c r="EBG2"/>
      <c r="EBH2"/>
      <c r="EBI2"/>
      <c r="EBJ2"/>
      <c r="EBK2"/>
      <c r="EBL2"/>
      <c r="EBM2"/>
      <c r="EBN2"/>
      <c r="EBO2"/>
      <c r="EBP2"/>
      <c r="EBQ2"/>
      <c r="EBR2"/>
      <c r="EBS2"/>
      <c r="EBT2"/>
      <c r="EBU2"/>
      <c r="EBV2"/>
      <c r="EBW2"/>
      <c r="EBX2"/>
      <c r="EBY2"/>
      <c r="EBZ2"/>
      <c r="ECA2"/>
      <c r="ECB2"/>
      <c r="ECC2"/>
      <c r="ECD2"/>
      <c r="ECE2"/>
      <c r="ECF2"/>
      <c r="ECG2"/>
      <c r="ECH2"/>
      <c r="ECI2"/>
      <c r="ECJ2"/>
      <c r="ECK2"/>
      <c r="ECL2"/>
      <c r="ECM2"/>
      <c r="ECN2"/>
      <c r="ECO2"/>
      <c r="ECP2"/>
      <c r="ECQ2"/>
      <c r="ECR2"/>
      <c r="ECS2"/>
      <c r="ECT2"/>
      <c r="ECU2"/>
      <c r="ECV2"/>
      <c r="ECW2"/>
      <c r="ECX2"/>
      <c r="ECY2"/>
      <c r="ECZ2"/>
      <c r="EDA2"/>
      <c r="EDB2"/>
      <c r="EDC2"/>
      <c r="EDD2"/>
      <c r="EDE2"/>
      <c r="EDF2"/>
      <c r="EDG2"/>
      <c r="EDH2"/>
      <c r="EDI2"/>
      <c r="EDJ2"/>
      <c r="EDK2"/>
      <c r="EDL2"/>
      <c r="EDM2"/>
      <c r="EDN2"/>
      <c r="EDO2"/>
      <c r="EDP2"/>
      <c r="EDQ2"/>
      <c r="EDR2"/>
      <c r="EDS2"/>
      <c r="EDT2"/>
      <c r="EDU2"/>
      <c r="EDV2"/>
      <c r="EDW2"/>
      <c r="EDX2"/>
      <c r="EDY2"/>
      <c r="EDZ2"/>
      <c r="EEA2"/>
      <c r="EEB2"/>
      <c r="EEC2"/>
      <c r="EED2"/>
      <c r="EEE2"/>
      <c r="EEF2"/>
      <c r="EEG2"/>
      <c r="EEH2"/>
      <c r="EEI2"/>
      <c r="EEJ2"/>
      <c r="EEK2"/>
      <c r="EEL2"/>
      <c r="EEM2"/>
      <c r="EEN2"/>
      <c r="EEO2"/>
      <c r="EEP2"/>
      <c r="EEQ2"/>
      <c r="EER2"/>
      <c r="EES2"/>
      <c r="EET2"/>
      <c r="EEU2"/>
      <c r="EEV2"/>
      <c r="EEW2"/>
      <c r="EEX2"/>
      <c r="EEY2"/>
      <c r="EEZ2"/>
      <c r="EFA2"/>
      <c r="EFB2"/>
      <c r="EFC2"/>
      <c r="EFD2"/>
      <c r="EFE2"/>
      <c r="EFF2"/>
      <c r="EFG2"/>
      <c r="EFH2"/>
      <c r="EFI2"/>
      <c r="EFJ2"/>
      <c r="EFK2"/>
      <c r="EFL2"/>
      <c r="EFM2"/>
      <c r="EFN2"/>
      <c r="EFO2"/>
      <c r="EFP2"/>
      <c r="EFQ2"/>
      <c r="EFR2"/>
      <c r="EFS2"/>
      <c r="EFT2"/>
      <c r="EFU2"/>
      <c r="EFV2"/>
      <c r="EFW2"/>
      <c r="EFX2"/>
      <c r="EFY2"/>
      <c r="EFZ2"/>
      <c r="EGA2"/>
      <c r="EGB2"/>
      <c r="EGC2"/>
      <c r="EGD2"/>
      <c r="EGE2"/>
      <c r="EGF2"/>
      <c r="EGG2"/>
      <c r="EGH2"/>
      <c r="EGI2"/>
      <c r="EGJ2"/>
      <c r="EGK2"/>
      <c r="EGL2"/>
      <c r="EGM2"/>
      <c r="EGN2"/>
      <c r="EGO2"/>
      <c r="EGP2"/>
      <c r="EGQ2"/>
      <c r="EGR2"/>
      <c r="EGS2"/>
      <c r="EGT2"/>
      <c r="EGU2"/>
      <c r="EGV2"/>
      <c r="EGW2"/>
      <c r="EGX2"/>
      <c r="EGY2"/>
      <c r="EGZ2"/>
      <c r="EHA2"/>
      <c r="EHB2"/>
      <c r="EHC2"/>
      <c r="EHD2"/>
      <c r="EHE2"/>
      <c r="EHF2"/>
      <c r="EHG2"/>
      <c r="EHH2"/>
      <c r="EHI2"/>
      <c r="EHJ2"/>
      <c r="EHK2"/>
      <c r="EHL2"/>
      <c r="EHM2"/>
      <c r="EHN2"/>
      <c r="EHO2"/>
      <c r="EHP2"/>
      <c r="EHQ2"/>
      <c r="EHR2"/>
      <c r="EHS2"/>
      <c r="EHT2"/>
      <c r="EHU2"/>
      <c r="EHV2"/>
      <c r="EHW2"/>
      <c r="EHX2"/>
      <c r="EHY2"/>
      <c r="EHZ2"/>
      <c r="EIA2"/>
      <c r="EIB2"/>
      <c r="EIC2"/>
      <c r="EID2"/>
      <c r="EIE2"/>
      <c r="EIF2"/>
      <c r="EIG2"/>
      <c r="EIH2"/>
      <c r="EII2"/>
      <c r="EIJ2"/>
      <c r="EIK2"/>
      <c r="EIL2"/>
      <c r="EIM2"/>
      <c r="EIN2"/>
      <c r="EIO2"/>
      <c r="EIP2"/>
      <c r="EIQ2"/>
      <c r="EIR2"/>
      <c r="EIS2"/>
      <c r="EIT2"/>
      <c r="EIU2"/>
      <c r="EIV2"/>
      <c r="EIW2"/>
      <c r="EIX2"/>
      <c r="EIY2"/>
      <c r="EIZ2"/>
      <c r="EJA2"/>
      <c r="EJB2"/>
      <c r="EJC2"/>
      <c r="EJD2"/>
      <c r="EJE2"/>
      <c r="EJF2"/>
      <c r="EJG2"/>
      <c r="EJH2"/>
      <c r="EJI2"/>
      <c r="EJJ2"/>
      <c r="EJK2"/>
      <c r="EJL2"/>
      <c r="EJM2"/>
      <c r="EJN2"/>
      <c r="EJO2"/>
      <c r="EJP2"/>
      <c r="EJQ2"/>
      <c r="EJR2"/>
      <c r="EJS2"/>
      <c r="EJT2"/>
      <c r="EJU2"/>
      <c r="EJV2"/>
      <c r="EJW2"/>
      <c r="EJX2"/>
      <c r="EJY2"/>
      <c r="EJZ2"/>
      <c r="EKA2"/>
      <c r="EKB2"/>
      <c r="EKC2"/>
      <c r="EKD2"/>
      <c r="EKE2"/>
      <c r="EKF2"/>
      <c r="EKG2"/>
      <c r="EKH2"/>
      <c r="EKI2"/>
      <c r="EKJ2"/>
      <c r="EKK2"/>
      <c r="EKL2"/>
      <c r="EKM2"/>
      <c r="EKN2"/>
      <c r="EKO2"/>
      <c r="EKP2"/>
      <c r="EKQ2"/>
      <c r="EKR2"/>
      <c r="EKS2"/>
      <c r="EKT2"/>
      <c r="EKU2"/>
      <c r="EKV2"/>
      <c r="EKW2"/>
      <c r="EKX2"/>
      <c r="EKY2"/>
      <c r="EKZ2"/>
      <c r="ELA2"/>
      <c r="ELB2"/>
      <c r="ELC2"/>
      <c r="ELD2"/>
      <c r="ELE2"/>
      <c r="ELF2"/>
      <c r="ELG2"/>
      <c r="ELH2"/>
      <c r="ELI2"/>
      <c r="ELJ2"/>
      <c r="ELK2"/>
      <c r="ELL2"/>
      <c r="ELM2"/>
      <c r="ELN2"/>
      <c r="ELO2"/>
      <c r="ELP2"/>
      <c r="ELQ2"/>
      <c r="ELR2"/>
      <c r="ELS2"/>
      <c r="ELT2"/>
      <c r="ELU2"/>
      <c r="ELV2"/>
      <c r="ELW2"/>
      <c r="ELX2"/>
      <c r="ELY2"/>
      <c r="ELZ2"/>
      <c r="EMA2"/>
      <c r="EMB2"/>
      <c r="EMC2"/>
      <c r="EMD2"/>
      <c r="EME2"/>
      <c r="EMF2"/>
      <c r="EMG2"/>
      <c r="EMH2"/>
      <c r="EMI2"/>
      <c r="EMJ2"/>
      <c r="EMK2"/>
      <c r="EML2"/>
      <c r="EMM2"/>
      <c r="EMN2"/>
      <c r="EMO2"/>
      <c r="EMP2"/>
      <c r="EMQ2"/>
      <c r="EMR2"/>
      <c r="EMS2"/>
      <c r="EMT2"/>
      <c r="EMU2"/>
      <c r="EMV2"/>
      <c r="EMW2"/>
      <c r="EMX2"/>
      <c r="EMY2"/>
      <c r="EMZ2"/>
      <c r="ENA2"/>
      <c r="ENB2"/>
      <c r="ENC2"/>
      <c r="END2"/>
      <c r="ENE2"/>
      <c r="ENF2"/>
      <c r="ENG2"/>
      <c r="ENH2"/>
      <c r="ENI2"/>
      <c r="ENJ2"/>
      <c r="ENK2"/>
      <c r="ENL2"/>
      <c r="ENM2"/>
      <c r="ENN2"/>
      <c r="ENO2"/>
      <c r="ENP2"/>
      <c r="ENQ2"/>
      <c r="ENR2"/>
      <c r="ENS2"/>
      <c r="ENT2"/>
      <c r="ENU2"/>
      <c r="ENV2"/>
      <c r="ENW2"/>
      <c r="ENX2"/>
      <c r="ENY2"/>
      <c r="ENZ2"/>
      <c r="EOA2"/>
      <c r="EOB2"/>
      <c r="EOC2"/>
      <c r="EOD2"/>
      <c r="EOE2"/>
      <c r="EOF2"/>
      <c r="EOG2"/>
      <c r="EOH2"/>
      <c r="EOI2"/>
      <c r="EOJ2"/>
      <c r="EOK2"/>
      <c r="EOL2"/>
      <c r="EOM2"/>
      <c r="EON2"/>
      <c r="EOO2"/>
      <c r="EOP2"/>
      <c r="EOQ2"/>
      <c r="EOR2"/>
      <c r="EOS2"/>
      <c r="EOT2"/>
      <c r="EOU2"/>
      <c r="EOV2"/>
      <c r="EOW2"/>
      <c r="EOX2"/>
      <c r="EOY2"/>
      <c r="EOZ2"/>
      <c r="EPA2"/>
      <c r="EPB2"/>
      <c r="EPC2"/>
      <c r="EPD2"/>
      <c r="EPE2"/>
      <c r="EPF2"/>
      <c r="EPG2"/>
      <c r="EPH2"/>
      <c r="EPI2"/>
      <c r="EPJ2"/>
      <c r="EPK2"/>
      <c r="EPL2"/>
      <c r="EPM2"/>
      <c r="EPN2"/>
      <c r="EPO2"/>
      <c r="EPP2"/>
      <c r="EPQ2"/>
      <c r="EPR2"/>
      <c r="EPS2"/>
      <c r="EPT2"/>
      <c r="EPU2"/>
      <c r="EPV2"/>
      <c r="EPW2"/>
      <c r="EPX2"/>
      <c r="EPY2"/>
      <c r="EPZ2"/>
      <c r="EQA2"/>
      <c r="EQB2"/>
      <c r="EQC2"/>
      <c r="EQD2"/>
      <c r="EQE2"/>
      <c r="EQF2"/>
      <c r="EQG2"/>
      <c r="EQH2"/>
      <c r="EQI2"/>
      <c r="EQJ2"/>
      <c r="EQK2"/>
      <c r="EQL2"/>
      <c r="EQM2"/>
      <c r="EQN2"/>
      <c r="EQO2"/>
      <c r="EQP2"/>
      <c r="EQQ2"/>
      <c r="EQR2"/>
      <c r="EQS2"/>
      <c r="EQT2"/>
      <c r="EQU2"/>
      <c r="EQV2"/>
      <c r="EQW2"/>
      <c r="EQX2"/>
      <c r="EQY2"/>
      <c r="EQZ2"/>
      <c r="ERA2"/>
      <c r="ERB2"/>
      <c r="ERC2"/>
      <c r="ERD2"/>
      <c r="ERE2"/>
      <c r="ERF2"/>
      <c r="ERG2"/>
      <c r="ERH2"/>
      <c r="ERI2"/>
      <c r="ERJ2"/>
      <c r="ERK2"/>
      <c r="ERL2"/>
      <c r="ERM2"/>
      <c r="ERN2"/>
      <c r="ERO2"/>
      <c r="ERP2"/>
      <c r="ERQ2"/>
      <c r="ERR2"/>
      <c r="ERS2"/>
      <c r="ERT2"/>
      <c r="ERU2"/>
      <c r="ERV2"/>
      <c r="ERW2"/>
      <c r="ERX2"/>
      <c r="ERY2"/>
      <c r="ERZ2"/>
      <c r="ESA2"/>
      <c r="ESB2"/>
      <c r="ESC2"/>
      <c r="ESD2"/>
      <c r="ESE2"/>
      <c r="ESF2"/>
      <c r="ESG2"/>
      <c r="ESH2"/>
      <c r="ESI2"/>
      <c r="ESJ2"/>
      <c r="ESK2"/>
      <c r="ESL2"/>
      <c r="ESM2"/>
      <c r="ESN2"/>
      <c r="ESO2"/>
      <c r="ESP2"/>
      <c r="ESQ2"/>
      <c r="ESR2"/>
      <c r="ESS2"/>
      <c r="EST2"/>
      <c r="ESU2"/>
      <c r="ESV2"/>
      <c r="ESW2"/>
      <c r="ESX2"/>
      <c r="ESY2"/>
      <c r="ESZ2"/>
      <c r="ETA2"/>
      <c r="ETB2"/>
      <c r="ETC2"/>
      <c r="ETD2"/>
      <c r="ETE2"/>
      <c r="ETF2"/>
      <c r="ETG2"/>
      <c r="ETH2"/>
      <c r="ETI2"/>
      <c r="ETJ2"/>
      <c r="ETK2"/>
      <c r="ETL2"/>
      <c r="ETM2"/>
      <c r="ETN2"/>
      <c r="ETO2"/>
      <c r="ETP2"/>
      <c r="ETQ2"/>
      <c r="ETR2"/>
      <c r="ETS2"/>
      <c r="ETT2"/>
      <c r="ETU2"/>
      <c r="ETV2"/>
      <c r="ETW2"/>
      <c r="ETX2"/>
      <c r="ETY2"/>
      <c r="ETZ2"/>
      <c r="EUA2"/>
      <c r="EUB2"/>
      <c r="EUC2"/>
      <c r="EUD2"/>
      <c r="EUE2"/>
      <c r="EUF2"/>
      <c r="EUG2"/>
      <c r="EUH2"/>
      <c r="EUI2"/>
      <c r="EUJ2"/>
      <c r="EUK2"/>
      <c r="EUL2"/>
      <c r="EUM2"/>
      <c r="EUN2"/>
      <c r="EUO2"/>
      <c r="EUP2"/>
      <c r="EUQ2"/>
      <c r="EUR2"/>
      <c r="EUS2"/>
      <c r="EUT2"/>
      <c r="EUU2"/>
      <c r="EUV2"/>
      <c r="EUW2"/>
      <c r="EUX2"/>
      <c r="EUY2"/>
      <c r="EUZ2"/>
      <c r="EVA2"/>
      <c r="EVB2"/>
      <c r="EVC2"/>
      <c r="EVD2"/>
      <c r="EVE2"/>
      <c r="EVF2"/>
      <c r="EVG2"/>
      <c r="EVH2"/>
      <c r="EVI2"/>
      <c r="EVJ2"/>
      <c r="EVK2"/>
      <c r="EVL2"/>
      <c r="EVM2"/>
      <c r="EVN2"/>
      <c r="EVO2"/>
      <c r="EVP2"/>
      <c r="EVQ2"/>
      <c r="EVR2"/>
      <c r="EVS2"/>
      <c r="EVT2"/>
      <c r="EVU2"/>
      <c r="EVV2"/>
      <c r="EVW2"/>
      <c r="EVX2"/>
      <c r="EVY2"/>
      <c r="EVZ2"/>
      <c r="EWA2"/>
      <c r="EWB2"/>
      <c r="EWC2"/>
      <c r="EWD2"/>
      <c r="EWE2"/>
      <c r="EWF2"/>
      <c r="EWG2"/>
      <c r="EWH2"/>
      <c r="EWI2"/>
      <c r="EWJ2"/>
      <c r="EWK2"/>
      <c r="EWL2"/>
      <c r="EWM2"/>
      <c r="EWN2"/>
      <c r="EWO2"/>
      <c r="EWP2"/>
      <c r="EWQ2"/>
      <c r="EWR2"/>
      <c r="EWS2"/>
      <c r="EWT2"/>
      <c r="EWU2"/>
      <c r="EWV2"/>
      <c r="EWW2"/>
      <c r="EWX2"/>
      <c r="EWY2"/>
      <c r="EWZ2"/>
      <c r="EXA2"/>
      <c r="EXB2"/>
      <c r="EXC2"/>
      <c r="EXD2"/>
      <c r="EXE2"/>
      <c r="EXF2"/>
      <c r="EXG2"/>
      <c r="EXH2"/>
      <c r="EXI2"/>
      <c r="EXJ2"/>
      <c r="EXK2"/>
      <c r="EXL2"/>
      <c r="EXM2"/>
      <c r="EXN2"/>
      <c r="EXO2"/>
      <c r="EXP2"/>
      <c r="EXQ2"/>
      <c r="EXR2"/>
      <c r="EXS2"/>
      <c r="EXT2"/>
      <c r="EXU2"/>
      <c r="EXV2"/>
      <c r="EXW2"/>
      <c r="EXX2"/>
      <c r="EXY2"/>
      <c r="EXZ2"/>
      <c r="EYA2"/>
      <c r="EYB2"/>
      <c r="EYC2"/>
      <c r="EYD2"/>
      <c r="EYE2"/>
      <c r="EYF2"/>
      <c r="EYG2"/>
      <c r="EYH2"/>
      <c r="EYI2"/>
      <c r="EYJ2"/>
      <c r="EYK2"/>
      <c r="EYL2"/>
      <c r="EYM2"/>
      <c r="EYN2"/>
      <c r="EYO2"/>
      <c r="EYP2"/>
      <c r="EYQ2"/>
      <c r="EYR2"/>
      <c r="EYS2"/>
      <c r="EYT2"/>
      <c r="EYU2"/>
      <c r="EYV2"/>
      <c r="EYW2"/>
      <c r="EYX2"/>
      <c r="EYY2"/>
      <c r="EYZ2"/>
      <c r="EZA2"/>
      <c r="EZB2"/>
      <c r="EZC2"/>
      <c r="EZD2"/>
      <c r="EZE2"/>
      <c r="EZF2"/>
      <c r="EZG2"/>
      <c r="EZH2"/>
      <c r="EZI2"/>
      <c r="EZJ2"/>
      <c r="EZK2"/>
      <c r="EZL2"/>
      <c r="EZM2"/>
      <c r="EZN2"/>
      <c r="EZO2"/>
      <c r="EZP2"/>
      <c r="EZQ2"/>
      <c r="EZR2"/>
      <c r="EZS2"/>
      <c r="EZT2"/>
      <c r="EZU2"/>
      <c r="EZV2"/>
      <c r="EZW2"/>
      <c r="EZX2"/>
      <c r="EZY2"/>
      <c r="EZZ2"/>
      <c r="FAA2"/>
      <c r="FAB2"/>
      <c r="FAC2"/>
      <c r="FAD2"/>
      <c r="FAE2"/>
      <c r="FAF2"/>
      <c r="FAG2"/>
      <c r="FAH2"/>
      <c r="FAI2"/>
      <c r="FAJ2"/>
      <c r="FAK2"/>
      <c r="FAL2"/>
      <c r="FAM2"/>
      <c r="FAN2"/>
      <c r="FAO2"/>
      <c r="FAP2"/>
      <c r="FAQ2"/>
      <c r="FAR2"/>
      <c r="FAS2"/>
      <c r="FAT2"/>
      <c r="FAU2"/>
      <c r="FAV2"/>
      <c r="FAW2"/>
      <c r="FAX2"/>
      <c r="FAY2"/>
      <c r="FAZ2"/>
      <c r="FBA2"/>
      <c r="FBB2"/>
      <c r="FBC2"/>
      <c r="FBD2"/>
      <c r="FBE2"/>
      <c r="FBF2"/>
      <c r="FBG2"/>
      <c r="FBH2"/>
      <c r="FBI2"/>
      <c r="FBJ2"/>
      <c r="FBK2"/>
      <c r="FBL2"/>
      <c r="FBM2"/>
      <c r="FBN2"/>
      <c r="FBO2"/>
      <c r="FBP2"/>
      <c r="FBQ2"/>
      <c r="FBR2"/>
      <c r="FBS2"/>
      <c r="FBT2"/>
      <c r="FBU2"/>
      <c r="FBV2"/>
      <c r="FBW2"/>
      <c r="FBX2"/>
      <c r="FBY2"/>
      <c r="FBZ2"/>
      <c r="FCA2"/>
      <c r="FCB2"/>
      <c r="FCC2"/>
      <c r="FCD2"/>
      <c r="FCE2"/>
      <c r="FCF2"/>
      <c r="FCG2"/>
      <c r="FCH2"/>
      <c r="FCI2"/>
      <c r="FCJ2"/>
      <c r="FCK2"/>
      <c r="FCL2"/>
      <c r="FCM2"/>
      <c r="FCN2"/>
      <c r="FCO2"/>
      <c r="FCP2"/>
      <c r="FCQ2"/>
      <c r="FCR2"/>
      <c r="FCS2"/>
      <c r="FCT2"/>
      <c r="FCU2"/>
      <c r="FCV2"/>
      <c r="FCW2"/>
      <c r="FCX2"/>
      <c r="FCY2"/>
      <c r="FCZ2"/>
      <c r="FDA2"/>
      <c r="FDB2"/>
      <c r="FDC2"/>
      <c r="FDD2"/>
      <c r="FDE2"/>
      <c r="FDF2"/>
      <c r="FDG2"/>
      <c r="FDH2"/>
      <c r="FDI2"/>
      <c r="FDJ2"/>
      <c r="FDK2"/>
      <c r="FDL2"/>
      <c r="FDM2"/>
      <c r="FDN2"/>
      <c r="FDO2"/>
      <c r="FDP2"/>
      <c r="FDQ2"/>
      <c r="FDR2"/>
      <c r="FDS2"/>
      <c r="FDT2"/>
      <c r="FDU2"/>
      <c r="FDV2"/>
      <c r="FDW2"/>
      <c r="FDX2"/>
      <c r="FDY2"/>
      <c r="FDZ2"/>
      <c r="FEA2"/>
      <c r="FEB2"/>
      <c r="FEC2"/>
      <c r="FED2"/>
      <c r="FEE2"/>
      <c r="FEF2"/>
      <c r="FEG2"/>
      <c r="FEH2"/>
      <c r="FEI2"/>
      <c r="FEJ2"/>
      <c r="FEK2"/>
      <c r="FEL2"/>
      <c r="FEM2"/>
      <c r="FEN2"/>
      <c r="FEO2"/>
      <c r="FEP2"/>
      <c r="FEQ2"/>
      <c r="FER2"/>
      <c r="FES2"/>
      <c r="FET2"/>
      <c r="FEU2"/>
      <c r="FEV2"/>
      <c r="FEW2"/>
      <c r="FEX2"/>
      <c r="FEY2"/>
      <c r="FEZ2"/>
      <c r="FFA2"/>
      <c r="FFB2"/>
      <c r="FFC2"/>
      <c r="FFD2"/>
      <c r="FFE2"/>
      <c r="FFF2"/>
      <c r="FFG2"/>
      <c r="FFH2"/>
      <c r="FFI2"/>
      <c r="FFJ2"/>
      <c r="FFK2"/>
      <c r="FFL2"/>
      <c r="FFM2"/>
      <c r="FFN2"/>
      <c r="FFO2"/>
      <c r="FFP2"/>
      <c r="FFQ2"/>
      <c r="FFR2"/>
      <c r="FFS2"/>
      <c r="FFT2"/>
      <c r="FFU2"/>
      <c r="FFV2"/>
      <c r="FFW2"/>
      <c r="FFX2"/>
      <c r="FFY2"/>
      <c r="FFZ2"/>
      <c r="FGA2"/>
      <c r="FGB2"/>
      <c r="FGC2"/>
      <c r="FGD2"/>
      <c r="FGE2"/>
      <c r="FGF2"/>
      <c r="FGG2"/>
      <c r="FGH2"/>
      <c r="FGI2"/>
      <c r="FGJ2"/>
      <c r="FGK2"/>
      <c r="FGL2"/>
      <c r="FGM2"/>
      <c r="FGN2"/>
      <c r="FGO2"/>
      <c r="FGP2"/>
      <c r="FGQ2"/>
      <c r="FGR2"/>
      <c r="FGS2"/>
      <c r="FGT2"/>
      <c r="FGU2"/>
      <c r="FGV2"/>
      <c r="FGW2"/>
      <c r="FGX2"/>
      <c r="FGY2"/>
      <c r="FGZ2"/>
      <c r="FHA2"/>
      <c r="FHB2"/>
      <c r="FHC2"/>
      <c r="FHD2"/>
      <c r="FHE2"/>
      <c r="FHF2"/>
      <c r="FHG2"/>
      <c r="FHH2"/>
      <c r="FHI2"/>
      <c r="FHJ2"/>
      <c r="FHK2"/>
      <c r="FHL2"/>
      <c r="FHM2"/>
      <c r="FHN2"/>
      <c r="FHO2"/>
      <c r="FHP2"/>
      <c r="FHQ2"/>
      <c r="FHR2"/>
      <c r="FHS2"/>
      <c r="FHT2"/>
      <c r="FHU2"/>
      <c r="FHV2"/>
      <c r="FHW2"/>
      <c r="FHX2"/>
      <c r="FHY2"/>
      <c r="FHZ2"/>
      <c r="FIA2"/>
      <c r="FIB2"/>
      <c r="FIC2"/>
      <c r="FID2"/>
      <c r="FIE2"/>
      <c r="FIF2"/>
      <c r="FIG2"/>
      <c r="FIH2"/>
      <c r="FII2"/>
      <c r="FIJ2"/>
      <c r="FIK2"/>
      <c r="FIL2"/>
      <c r="FIM2"/>
      <c r="FIN2"/>
      <c r="FIO2"/>
      <c r="FIP2"/>
      <c r="FIQ2"/>
      <c r="FIR2"/>
      <c r="FIS2"/>
      <c r="FIT2"/>
      <c r="FIU2"/>
      <c r="FIV2"/>
      <c r="FIW2"/>
      <c r="FIX2"/>
      <c r="FIY2"/>
      <c r="FIZ2"/>
      <c r="FJA2"/>
      <c r="FJB2"/>
      <c r="FJC2"/>
      <c r="FJD2"/>
      <c r="FJE2"/>
      <c r="FJF2"/>
      <c r="FJG2"/>
      <c r="FJH2"/>
      <c r="FJI2"/>
      <c r="FJJ2"/>
      <c r="FJK2"/>
      <c r="FJL2"/>
      <c r="FJM2"/>
      <c r="FJN2"/>
      <c r="FJO2"/>
      <c r="FJP2"/>
      <c r="FJQ2"/>
      <c r="FJR2"/>
      <c r="FJS2"/>
      <c r="FJT2"/>
      <c r="FJU2"/>
      <c r="FJV2"/>
      <c r="FJW2"/>
      <c r="FJX2"/>
      <c r="FJY2"/>
      <c r="FJZ2"/>
      <c r="FKA2"/>
      <c r="FKB2"/>
      <c r="FKC2"/>
      <c r="FKD2"/>
      <c r="FKE2"/>
      <c r="FKF2"/>
      <c r="FKG2"/>
      <c r="FKH2"/>
      <c r="FKI2"/>
      <c r="FKJ2"/>
      <c r="FKK2"/>
      <c r="FKL2"/>
      <c r="FKM2"/>
      <c r="FKN2"/>
      <c r="FKO2"/>
      <c r="FKP2"/>
      <c r="FKQ2"/>
      <c r="FKR2"/>
      <c r="FKS2"/>
      <c r="FKT2"/>
      <c r="FKU2"/>
      <c r="FKV2"/>
      <c r="FKW2"/>
      <c r="FKX2"/>
      <c r="FKY2"/>
      <c r="FKZ2"/>
      <c r="FLA2"/>
      <c r="FLB2"/>
      <c r="FLC2"/>
      <c r="FLD2"/>
      <c r="FLE2"/>
      <c r="FLF2"/>
      <c r="FLG2"/>
      <c r="FLH2"/>
      <c r="FLI2"/>
      <c r="FLJ2"/>
      <c r="FLK2"/>
      <c r="FLL2"/>
      <c r="FLM2"/>
      <c r="FLN2"/>
      <c r="FLO2"/>
      <c r="FLP2"/>
      <c r="FLQ2"/>
      <c r="FLR2"/>
      <c r="FLS2"/>
      <c r="FLT2"/>
      <c r="FLU2"/>
      <c r="FLV2"/>
      <c r="FLW2"/>
      <c r="FLX2"/>
      <c r="FLY2"/>
      <c r="FLZ2"/>
      <c r="FMA2"/>
      <c r="FMB2"/>
      <c r="FMC2"/>
      <c r="FMD2"/>
      <c r="FME2"/>
      <c r="FMF2"/>
      <c r="FMG2"/>
      <c r="FMH2"/>
      <c r="FMI2"/>
      <c r="FMJ2"/>
      <c r="FMK2"/>
      <c r="FML2"/>
      <c r="FMM2"/>
      <c r="FMN2"/>
      <c r="FMO2"/>
      <c r="FMP2"/>
      <c r="FMQ2"/>
      <c r="FMR2"/>
      <c r="FMS2"/>
      <c r="FMT2"/>
      <c r="FMU2"/>
      <c r="FMV2"/>
      <c r="FMW2"/>
      <c r="FMX2"/>
      <c r="FMY2"/>
      <c r="FMZ2"/>
      <c r="FNA2"/>
      <c r="FNB2"/>
      <c r="FNC2"/>
      <c r="FND2"/>
      <c r="FNE2"/>
      <c r="FNF2"/>
      <c r="FNG2"/>
      <c r="FNH2"/>
      <c r="FNI2"/>
      <c r="FNJ2"/>
      <c r="FNK2"/>
      <c r="FNL2"/>
      <c r="FNM2"/>
      <c r="FNN2"/>
      <c r="FNO2"/>
      <c r="FNP2"/>
      <c r="FNQ2"/>
      <c r="FNR2"/>
      <c r="FNS2"/>
      <c r="FNT2"/>
      <c r="FNU2"/>
      <c r="FNV2"/>
      <c r="FNW2"/>
      <c r="FNX2"/>
      <c r="FNY2"/>
      <c r="FNZ2"/>
      <c r="FOA2"/>
      <c r="FOB2"/>
      <c r="FOC2"/>
      <c r="FOD2"/>
      <c r="FOE2"/>
      <c r="FOF2"/>
      <c r="FOG2"/>
      <c r="FOH2"/>
      <c r="FOI2"/>
      <c r="FOJ2"/>
      <c r="FOK2"/>
      <c r="FOL2"/>
      <c r="FOM2"/>
      <c r="FON2"/>
      <c r="FOO2"/>
      <c r="FOP2"/>
      <c r="FOQ2"/>
      <c r="FOR2"/>
      <c r="FOS2"/>
      <c r="FOT2"/>
      <c r="FOU2"/>
      <c r="FOV2"/>
      <c r="FOW2"/>
      <c r="FOX2"/>
      <c r="FOY2"/>
      <c r="FOZ2"/>
      <c r="FPA2"/>
      <c r="FPB2"/>
      <c r="FPC2"/>
      <c r="FPD2"/>
      <c r="FPE2"/>
      <c r="FPF2"/>
      <c r="FPG2"/>
      <c r="FPH2"/>
      <c r="FPI2"/>
      <c r="FPJ2"/>
      <c r="FPK2"/>
      <c r="FPL2"/>
      <c r="FPM2"/>
      <c r="FPN2"/>
      <c r="FPO2"/>
      <c r="FPP2"/>
      <c r="FPQ2"/>
      <c r="FPR2"/>
      <c r="FPS2"/>
      <c r="FPT2"/>
      <c r="FPU2"/>
      <c r="FPV2"/>
      <c r="FPW2"/>
      <c r="FPX2"/>
      <c r="FPY2"/>
      <c r="FPZ2"/>
      <c r="FQA2"/>
      <c r="FQB2"/>
      <c r="FQC2"/>
      <c r="FQD2"/>
      <c r="FQE2"/>
      <c r="FQF2"/>
      <c r="FQG2"/>
      <c r="FQH2"/>
      <c r="FQI2"/>
      <c r="FQJ2"/>
      <c r="FQK2"/>
      <c r="FQL2"/>
      <c r="FQM2"/>
      <c r="FQN2"/>
      <c r="FQO2"/>
      <c r="FQP2"/>
      <c r="FQQ2"/>
      <c r="FQR2"/>
      <c r="FQS2"/>
      <c r="FQT2"/>
      <c r="FQU2"/>
      <c r="FQV2"/>
      <c r="FQW2"/>
      <c r="FQX2"/>
      <c r="FQY2"/>
      <c r="FQZ2"/>
      <c r="FRA2"/>
      <c r="FRB2"/>
      <c r="FRC2"/>
      <c r="FRD2"/>
      <c r="FRE2"/>
      <c r="FRF2"/>
      <c r="FRG2"/>
      <c r="FRH2"/>
      <c r="FRI2"/>
      <c r="FRJ2"/>
      <c r="FRK2"/>
      <c r="FRL2"/>
      <c r="FRM2"/>
      <c r="FRN2"/>
      <c r="FRO2"/>
      <c r="FRP2"/>
      <c r="FRQ2"/>
      <c r="FRR2"/>
      <c r="FRS2"/>
      <c r="FRT2"/>
      <c r="FRU2"/>
      <c r="FRV2"/>
      <c r="FRW2"/>
      <c r="FRX2"/>
      <c r="FRY2"/>
      <c r="FRZ2"/>
      <c r="FSA2"/>
      <c r="FSB2"/>
      <c r="FSC2"/>
      <c r="FSD2"/>
      <c r="FSE2"/>
      <c r="FSF2"/>
      <c r="FSG2"/>
      <c r="FSH2"/>
      <c r="FSI2"/>
      <c r="FSJ2"/>
      <c r="FSK2"/>
      <c r="FSL2"/>
      <c r="FSM2"/>
      <c r="FSN2"/>
      <c r="FSO2"/>
      <c r="FSP2"/>
      <c r="FSQ2"/>
      <c r="FSR2"/>
      <c r="FSS2"/>
      <c r="FST2"/>
      <c r="FSU2"/>
      <c r="FSV2"/>
      <c r="FSW2"/>
      <c r="FSX2"/>
      <c r="FSY2"/>
      <c r="FSZ2"/>
      <c r="FTA2"/>
      <c r="FTB2"/>
      <c r="FTC2"/>
      <c r="FTD2"/>
      <c r="FTE2"/>
      <c r="FTF2"/>
      <c r="FTG2"/>
      <c r="FTH2"/>
      <c r="FTI2"/>
      <c r="FTJ2"/>
      <c r="FTK2"/>
      <c r="FTL2"/>
      <c r="FTM2"/>
      <c r="FTN2"/>
      <c r="FTO2"/>
      <c r="FTP2"/>
      <c r="FTQ2"/>
      <c r="FTR2"/>
      <c r="FTS2"/>
      <c r="FTT2"/>
      <c r="FTU2"/>
      <c r="FTV2"/>
      <c r="FTW2"/>
      <c r="FTX2"/>
      <c r="FTY2"/>
      <c r="FTZ2"/>
      <c r="FUA2"/>
      <c r="FUB2"/>
      <c r="FUC2"/>
      <c r="FUD2"/>
      <c r="FUE2"/>
      <c r="FUF2"/>
      <c r="FUG2"/>
      <c r="FUH2"/>
      <c r="FUI2"/>
      <c r="FUJ2"/>
      <c r="FUK2"/>
      <c r="FUL2"/>
      <c r="FUM2"/>
      <c r="FUN2"/>
      <c r="FUO2"/>
      <c r="FUP2"/>
      <c r="FUQ2"/>
      <c r="FUR2"/>
      <c r="FUS2"/>
      <c r="FUT2"/>
      <c r="FUU2"/>
      <c r="FUV2"/>
      <c r="FUW2"/>
      <c r="FUX2"/>
      <c r="FUY2"/>
      <c r="FUZ2"/>
      <c r="FVA2"/>
      <c r="FVB2"/>
      <c r="FVC2"/>
      <c r="FVD2"/>
      <c r="FVE2"/>
      <c r="FVF2"/>
      <c r="FVG2"/>
      <c r="FVH2"/>
      <c r="FVI2"/>
      <c r="FVJ2"/>
      <c r="FVK2"/>
      <c r="FVL2"/>
      <c r="FVM2"/>
      <c r="FVN2"/>
      <c r="FVO2"/>
      <c r="FVP2"/>
      <c r="FVQ2"/>
      <c r="FVR2"/>
      <c r="FVS2"/>
      <c r="FVT2"/>
      <c r="FVU2"/>
      <c r="FVV2"/>
      <c r="FVW2"/>
      <c r="FVX2"/>
      <c r="FVY2"/>
      <c r="FVZ2"/>
      <c r="FWA2"/>
      <c r="FWB2"/>
      <c r="FWC2"/>
      <c r="FWD2"/>
      <c r="FWE2"/>
      <c r="FWF2"/>
      <c r="FWG2"/>
      <c r="FWH2"/>
      <c r="FWI2"/>
      <c r="FWJ2"/>
      <c r="FWK2"/>
      <c r="FWL2"/>
      <c r="FWM2"/>
      <c r="FWN2"/>
      <c r="FWO2"/>
      <c r="FWP2"/>
      <c r="FWQ2"/>
      <c r="FWR2"/>
      <c r="FWS2"/>
      <c r="FWT2"/>
      <c r="FWU2"/>
      <c r="FWV2"/>
      <c r="FWW2"/>
      <c r="FWX2"/>
      <c r="FWY2"/>
      <c r="FWZ2"/>
      <c r="FXA2"/>
      <c r="FXB2"/>
      <c r="FXC2"/>
      <c r="FXD2"/>
      <c r="FXE2"/>
      <c r="FXF2"/>
      <c r="FXG2"/>
      <c r="FXH2"/>
      <c r="FXI2"/>
      <c r="FXJ2"/>
      <c r="FXK2"/>
      <c r="FXL2"/>
      <c r="FXM2"/>
      <c r="FXN2"/>
      <c r="FXO2"/>
      <c r="FXP2"/>
      <c r="FXQ2"/>
      <c r="FXR2"/>
      <c r="FXS2"/>
      <c r="FXT2"/>
      <c r="FXU2"/>
      <c r="FXV2"/>
      <c r="FXW2"/>
      <c r="FXX2"/>
      <c r="FXY2"/>
      <c r="FXZ2"/>
      <c r="FYA2"/>
      <c r="FYB2"/>
      <c r="FYC2"/>
      <c r="FYD2"/>
      <c r="FYE2"/>
      <c r="FYF2"/>
      <c r="FYG2"/>
      <c r="FYH2"/>
      <c r="FYI2"/>
      <c r="FYJ2"/>
      <c r="FYK2"/>
      <c r="FYL2"/>
      <c r="FYM2"/>
      <c r="FYN2"/>
      <c r="FYO2"/>
      <c r="FYP2"/>
      <c r="FYQ2"/>
      <c r="FYR2"/>
      <c r="FYS2"/>
      <c r="FYT2"/>
      <c r="FYU2"/>
      <c r="FYV2"/>
      <c r="FYW2"/>
      <c r="FYX2"/>
      <c r="FYY2"/>
      <c r="FYZ2"/>
      <c r="FZA2"/>
      <c r="FZB2"/>
      <c r="FZC2"/>
      <c r="FZD2"/>
      <c r="FZE2"/>
      <c r="FZF2"/>
      <c r="FZG2"/>
      <c r="FZH2"/>
      <c r="FZI2"/>
      <c r="FZJ2"/>
      <c r="FZK2"/>
      <c r="FZL2"/>
      <c r="FZM2"/>
      <c r="FZN2"/>
      <c r="FZO2"/>
      <c r="FZP2"/>
      <c r="FZQ2"/>
      <c r="FZR2"/>
      <c r="FZS2"/>
      <c r="FZT2"/>
      <c r="FZU2"/>
      <c r="FZV2"/>
      <c r="FZW2"/>
      <c r="FZX2"/>
      <c r="FZY2"/>
      <c r="FZZ2"/>
      <c r="GAA2"/>
      <c r="GAB2"/>
      <c r="GAC2"/>
      <c r="GAD2"/>
      <c r="GAE2"/>
      <c r="GAF2"/>
      <c r="GAG2"/>
      <c r="GAH2"/>
      <c r="GAI2"/>
      <c r="GAJ2"/>
      <c r="GAK2"/>
      <c r="GAL2"/>
      <c r="GAM2"/>
      <c r="GAN2"/>
      <c r="GAO2"/>
      <c r="GAP2"/>
      <c r="GAQ2"/>
      <c r="GAR2"/>
      <c r="GAS2"/>
      <c r="GAT2"/>
      <c r="GAU2"/>
      <c r="GAV2"/>
      <c r="GAW2"/>
      <c r="GAX2"/>
      <c r="GAY2"/>
      <c r="GAZ2"/>
      <c r="GBA2"/>
      <c r="GBB2"/>
      <c r="GBC2"/>
      <c r="GBD2"/>
      <c r="GBE2"/>
      <c r="GBF2"/>
      <c r="GBG2"/>
      <c r="GBH2"/>
      <c r="GBI2"/>
      <c r="GBJ2"/>
      <c r="GBK2"/>
      <c r="GBL2"/>
      <c r="GBM2"/>
      <c r="GBN2"/>
      <c r="GBO2"/>
      <c r="GBP2"/>
      <c r="GBQ2"/>
      <c r="GBR2"/>
      <c r="GBS2"/>
      <c r="GBT2"/>
      <c r="GBU2"/>
      <c r="GBV2"/>
      <c r="GBW2"/>
      <c r="GBX2"/>
      <c r="GBY2"/>
      <c r="GBZ2"/>
      <c r="GCA2"/>
      <c r="GCB2"/>
      <c r="GCC2"/>
      <c r="GCD2"/>
      <c r="GCE2"/>
      <c r="GCF2"/>
      <c r="GCG2"/>
      <c r="GCH2"/>
      <c r="GCI2"/>
      <c r="GCJ2"/>
      <c r="GCK2"/>
      <c r="GCL2"/>
      <c r="GCM2"/>
      <c r="GCN2"/>
      <c r="GCO2"/>
      <c r="GCP2"/>
      <c r="GCQ2"/>
      <c r="GCR2"/>
      <c r="GCS2"/>
      <c r="GCT2"/>
      <c r="GCU2"/>
      <c r="GCV2"/>
      <c r="GCW2"/>
      <c r="GCX2"/>
      <c r="GCY2"/>
      <c r="GCZ2"/>
      <c r="GDA2"/>
      <c r="GDB2"/>
      <c r="GDC2"/>
      <c r="GDD2"/>
      <c r="GDE2"/>
      <c r="GDF2"/>
      <c r="GDG2"/>
      <c r="GDH2"/>
      <c r="GDI2"/>
      <c r="GDJ2"/>
      <c r="GDK2"/>
      <c r="GDL2"/>
      <c r="GDM2"/>
      <c r="GDN2"/>
      <c r="GDO2"/>
      <c r="GDP2"/>
      <c r="GDQ2"/>
      <c r="GDR2"/>
      <c r="GDS2"/>
      <c r="GDT2"/>
      <c r="GDU2"/>
      <c r="GDV2"/>
      <c r="GDW2"/>
      <c r="GDX2"/>
      <c r="GDY2"/>
      <c r="GDZ2"/>
      <c r="GEA2"/>
      <c r="GEB2"/>
      <c r="GEC2"/>
      <c r="GED2"/>
      <c r="GEE2"/>
      <c r="GEF2"/>
      <c r="GEG2"/>
      <c r="GEH2"/>
      <c r="GEI2"/>
      <c r="GEJ2"/>
      <c r="GEK2"/>
      <c r="GEL2"/>
      <c r="GEM2"/>
      <c r="GEN2"/>
      <c r="GEO2"/>
      <c r="GEP2"/>
      <c r="GEQ2"/>
      <c r="GER2"/>
      <c r="GES2"/>
      <c r="GET2"/>
      <c r="GEU2"/>
      <c r="GEV2"/>
      <c r="GEW2"/>
      <c r="GEX2"/>
      <c r="GEY2"/>
      <c r="GEZ2"/>
      <c r="GFA2"/>
      <c r="GFB2"/>
      <c r="GFC2"/>
      <c r="GFD2"/>
      <c r="GFE2"/>
      <c r="GFF2"/>
      <c r="GFG2"/>
      <c r="GFH2"/>
      <c r="GFI2"/>
      <c r="GFJ2"/>
      <c r="GFK2"/>
      <c r="GFL2"/>
      <c r="GFM2"/>
      <c r="GFN2"/>
      <c r="GFO2"/>
      <c r="GFP2"/>
      <c r="GFQ2"/>
      <c r="GFR2"/>
      <c r="GFS2"/>
      <c r="GFT2"/>
      <c r="GFU2"/>
      <c r="GFV2"/>
      <c r="GFW2"/>
      <c r="GFX2"/>
      <c r="GFY2"/>
      <c r="GFZ2"/>
      <c r="GGA2"/>
      <c r="GGB2"/>
      <c r="GGC2"/>
      <c r="GGD2"/>
      <c r="GGE2"/>
      <c r="GGF2"/>
      <c r="GGG2"/>
      <c r="GGH2"/>
      <c r="GGI2"/>
      <c r="GGJ2"/>
      <c r="GGK2"/>
      <c r="GGL2"/>
      <c r="GGM2"/>
      <c r="GGN2"/>
      <c r="GGO2"/>
      <c r="GGP2"/>
      <c r="GGQ2"/>
      <c r="GGR2"/>
      <c r="GGS2"/>
      <c r="GGT2"/>
      <c r="GGU2"/>
      <c r="GGV2"/>
      <c r="GGW2"/>
      <c r="GGX2"/>
      <c r="GGY2"/>
      <c r="GGZ2"/>
      <c r="GHA2"/>
      <c r="GHB2"/>
      <c r="GHC2"/>
      <c r="GHD2"/>
      <c r="GHE2"/>
      <c r="GHF2"/>
      <c r="GHG2"/>
      <c r="GHH2"/>
      <c r="GHI2"/>
      <c r="GHJ2"/>
      <c r="GHK2"/>
      <c r="GHL2"/>
      <c r="GHM2"/>
      <c r="GHN2"/>
      <c r="GHO2"/>
      <c r="GHP2"/>
      <c r="GHQ2"/>
      <c r="GHR2"/>
      <c r="GHS2"/>
      <c r="GHT2"/>
      <c r="GHU2"/>
      <c r="GHV2"/>
      <c r="GHW2"/>
      <c r="GHX2"/>
      <c r="GHY2"/>
      <c r="GHZ2"/>
      <c r="GIA2"/>
      <c r="GIB2"/>
      <c r="GIC2"/>
      <c r="GID2"/>
      <c r="GIE2"/>
      <c r="GIF2"/>
      <c r="GIG2"/>
      <c r="GIH2"/>
      <c r="GII2"/>
      <c r="GIJ2"/>
      <c r="GIK2"/>
      <c r="GIL2"/>
      <c r="GIM2"/>
      <c r="GIN2"/>
      <c r="GIO2"/>
      <c r="GIP2"/>
      <c r="GIQ2"/>
      <c r="GIR2"/>
      <c r="GIS2"/>
      <c r="GIT2"/>
      <c r="GIU2"/>
      <c r="GIV2"/>
      <c r="GIW2"/>
      <c r="GIX2"/>
      <c r="GIY2"/>
      <c r="GIZ2"/>
      <c r="GJA2"/>
      <c r="GJB2"/>
      <c r="GJC2"/>
      <c r="GJD2"/>
      <c r="GJE2"/>
      <c r="GJF2"/>
      <c r="GJG2"/>
      <c r="GJH2"/>
      <c r="GJI2"/>
      <c r="GJJ2"/>
      <c r="GJK2"/>
      <c r="GJL2"/>
      <c r="GJM2"/>
      <c r="GJN2"/>
      <c r="GJO2"/>
      <c r="GJP2"/>
      <c r="GJQ2"/>
      <c r="GJR2"/>
      <c r="GJS2"/>
      <c r="GJT2"/>
      <c r="GJU2"/>
      <c r="GJV2"/>
      <c r="GJW2"/>
      <c r="GJX2"/>
      <c r="GJY2"/>
      <c r="GJZ2"/>
      <c r="GKA2"/>
      <c r="GKB2"/>
      <c r="GKC2"/>
      <c r="GKD2"/>
      <c r="GKE2"/>
      <c r="GKF2"/>
      <c r="GKG2"/>
      <c r="GKH2"/>
      <c r="GKI2"/>
      <c r="GKJ2"/>
      <c r="GKK2"/>
      <c r="GKL2"/>
      <c r="GKM2"/>
      <c r="GKN2"/>
      <c r="GKO2"/>
      <c r="GKP2"/>
      <c r="GKQ2"/>
      <c r="GKR2"/>
      <c r="GKS2"/>
      <c r="GKT2"/>
      <c r="GKU2"/>
      <c r="GKV2"/>
      <c r="GKW2"/>
      <c r="GKX2"/>
      <c r="GKY2"/>
      <c r="GKZ2"/>
      <c r="GLA2"/>
      <c r="GLB2"/>
      <c r="GLC2"/>
      <c r="GLD2"/>
      <c r="GLE2"/>
      <c r="GLF2"/>
      <c r="GLG2"/>
      <c r="GLH2"/>
      <c r="GLI2"/>
      <c r="GLJ2"/>
      <c r="GLK2"/>
      <c r="GLL2"/>
      <c r="GLM2"/>
      <c r="GLN2"/>
      <c r="GLO2"/>
      <c r="GLP2"/>
      <c r="GLQ2"/>
      <c r="GLR2"/>
      <c r="GLS2"/>
      <c r="GLT2"/>
      <c r="GLU2"/>
      <c r="GLV2"/>
      <c r="GLW2"/>
      <c r="GLX2"/>
      <c r="GLY2"/>
      <c r="GLZ2"/>
      <c r="GMA2"/>
      <c r="GMB2"/>
      <c r="GMC2"/>
      <c r="GMD2"/>
      <c r="GME2"/>
      <c r="GMF2"/>
      <c r="GMG2"/>
      <c r="GMH2"/>
      <c r="GMI2"/>
      <c r="GMJ2"/>
      <c r="GMK2"/>
      <c r="GML2"/>
      <c r="GMM2"/>
      <c r="GMN2"/>
      <c r="GMO2"/>
      <c r="GMP2"/>
      <c r="GMQ2"/>
      <c r="GMR2"/>
      <c r="GMS2"/>
      <c r="GMT2"/>
      <c r="GMU2"/>
      <c r="GMV2"/>
      <c r="GMW2"/>
      <c r="GMX2"/>
      <c r="GMY2"/>
      <c r="GMZ2"/>
      <c r="GNA2"/>
      <c r="GNB2"/>
      <c r="GNC2"/>
      <c r="GND2"/>
      <c r="GNE2"/>
      <c r="GNF2"/>
      <c r="GNG2"/>
      <c r="GNH2"/>
      <c r="GNI2"/>
      <c r="GNJ2"/>
      <c r="GNK2"/>
      <c r="GNL2"/>
      <c r="GNM2"/>
      <c r="GNN2"/>
      <c r="GNO2"/>
      <c r="GNP2"/>
      <c r="GNQ2"/>
      <c r="GNR2"/>
      <c r="GNS2"/>
      <c r="GNT2"/>
      <c r="GNU2"/>
      <c r="GNV2"/>
      <c r="GNW2"/>
      <c r="GNX2"/>
      <c r="GNY2"/>
      <c r="GNZ2"/>
      <c r="GOA2"/>
      <c r="GOB2"/>
      <c r="GOC2"/>
      <c r="GOD2"/>
      <c r="GOE2"/>
      <c r="GOF2"/>
      <c r="GOG2"/>
      <c r="GOH2"/>
      <c r="GOI2"/>
      <c r="GOJ2"/>
      <c r="GOK2"/>
      <c r="GOL2"/>
      <c r="GOM2"/>
      <c r="GON2"/>
      <c r="GOO2"/>
      <c r="GOP2"/>
      <c r="GOQ2"/>
      <c r="GOR2"/>
      <c r="GOS2"/>
      <c r="GOT2"/>
      <c r="GOU2"/>
      <c r="GOV2"/>
      <c r="GOW2"/>
      <c r="GOX2"/>
      <c r="GOY2"/>
      <c r="GOZ2"/>
      <c r="GPA2"/>
      <c r="GPB2"/>
      <c r="GPC2"/>
      <c r="GPD2"/>
      <c r="GPE2"/>
      <c r="GPF2"/>
      <c r="GPG2"/>
      <c r="GPH2"/>
      <c r="GPI2"/>
      <c r="GPJ2"/>
      <c r="GPK2"/>
      <c r="GPL2"/>
      <c r="GPM2"/>
      <c r="GPN2"/>
      <c r="GPO2"/>
      <c r="GPP2"/>
      <c r="GPQ2"/>
      <c r="GPR2"/>
      <c r="GPS2"/>
      <c r="GPT2"/>
      <c r="GPU2"/>
      <c r="GPV2"/>
      <c r="GPW2"/>
      <c r="GPX2"/>
      <c r="GPY2"/>
      <c r="GPZ2"/>
      <c r="GQA2"/>
      <c r="GQB2"/>
      <c r="GQC2"/>
      <c r="GQD2"/>
      <c r="GQE2"/>
      <c r="GQF2"/>
      <c r="GQG2"/>
      <c r="GQH2"/>
      <c r="GQI2"/>
      <c r="GQJ2"/>
      <c r="GQK2"/>
      <c r="GQL2"/>
      <c r="GQM2"/>
      <c r="GQN2"/>
      <c r="GQO2"/>
      <c r="GQP2"/>
      <c r="GQQ2"/>
      <c r="GQR2"/>
      <c r="GQS2"/>
      <c r="GQT2"/>
      <c r="GQU2"/>
      <c r="GQV2"/>
      <c r="GQW2"/>
      <c r="GQX2"/>
      <c r="GQY2"/>
      <c r="GQZ2"/>
      <c r="GRA2"/>
      <c r="GRB2"/>
      <c r="GRC2"/>
      <c r="GRD2"/>
      <c r="GRE2"/>
      <c r="GRF2"/>
      <c r="GRG2"/>
      <c r="GRH2"/>
      <c r="GRI2"/>
      <c r="GRJ2"/>
      <c r="GRK2"/>
      <c r="GRL2"/>
      <c r="GRM2"/>
      <c r="GRN2"/>
      <c r="GRO2"/>
      <c r="GRP2"/>
      <c r="GRQ2"/>
      <c r="GRR2"/>
      <c r="GRS2"/>
      <c r="GRT2"/>
      <c r="GRU2"/>
      <c r="GRV2"/>
      <c r="GRW2"/>
      <c r="GRX2"/>
      <c r="GRY2"/>
      <c r="GRZ2"/>
      <c r="GSA2"/>
      <c r="GSB2"/>
      <c r="GSC2"/>
      <c r="GSD2"/>
      <c r="GSE2"/>
      <c r="GSF2"/>
      <c r="GSG2"/>
      <c r="GSH2"/>
      <c r="GSI2"/>
      <c r="GSJ2"/>
      <c r="GSK2"/>
      <c r="GSL2"/>
      <c r="GSM2"/>
      <c r="GSN2"/>
      <c r="GSO2"/>
      <c r="GSP2"/>
      <c r="GSQ2"/>
      <c r="GSR2"/>
      <c r="GSS2"/>
      <c r="GST2"/>
      <c r="GSU2"/>
      <c r="GSV2"/>
      <c r="GSW2"/>
      <c r="GSX2"/>
      <c r="GSY2"/>
      <c r="GSZ2"/>
      <c r="GTA2"/>
      <c r="GTB2"/>
      <c r="GTC2"/>
      <c r="GTD2"/>
      <c r="GTE2"/>
      <c r="GTF2"/>
      <c r="GTG2"/>
      <c r="GTH2"/>
      <c r="GTI2"/>
      <c r="GTJ2"/>
      <c r="GTK2"/>
      <c r="GTL2"/>
      <c r="GTM2"/>
      <c r="GTN2"/>
      <c r="GTO2"/>
      <c r="GTP2"/>
      <c r="GTQ2"/>
      <c r="GTR2"/>
      <c r="GTS2"/>
      <c r="GTT2"/>
      <c r="GTU2"/>
      <c r="GTV2"/>
      <c r="GTW2"/>
      <c r="GTX2"/>
      <c r="GTY2"/>
      <c r="GTZ2"/>
      <c r="GUA2"/>
      <c r="GUB2"/>
      <c r="GUC2"/>
      <c r="GUD2"/>
      <c r="GUE2"/>
      <c r="GUF2"/>
      <c r="GUG2"/>
      <c r="GUH2"/>
      <c r="GUI2"/>
      <c r="GUJ2"/>
      <c r="GUK2"/>
      <c r="GUL2"/>
      <c r="GUM2"/>
      <c r="GUN2"/>
      <c r="GUO2"/>
      <c r="GUP2"/>
      <c r="GUQ2"/>
      <c r="GUR2"/>
      <c r="GUS2"/>
      <c r="GUT2"/>
      <c r="GUU2"/>
      <c r="GUV2"/>
      <c r="GUW2"/>
      <c r="GUX2"/>
      <c r="GUY2"/>
      <c r="GUZ2"/>
      <c r="GVA2"/>
      <c r="GVB2"/>
      <c r="GVC2"/>
      <c r="GVD2"/>
      <c r="GVE2"/>
      <c r="GVF2"/>
      <c r="GVG2"/>
      <c r="GVH2"/>
      <c r="GVI2"/>
      <c r="GVJ2"/>
      <c r="GVK2"/>
      <c r="GVL2"/>
      <c r="GVM2"/>
      <c r="GVN2"/>
      <c r="GVO2"/>
      <c r="GVP2"/>
      <c r="GVQ2"/>
      <c r="GVR2"/>
      <c r="GVS2"/>
      <c r="GVT2"/>
      <c r="GVU2"/>
      <c r="GVV2"/>
      <c r="GVW2"/>
      <c r="GVX2"/>
      <c r="GVY2"/>
      <c r="GVZ2"/>
      <c r="GWA2"/>
      <c r="GWB2"/>
      <c r="GWC2"/>
      <c r="GWD2"/>
      <c r="GWE2"/>
      <c r="GWF2"/>
      <c r="GWG2"/>
      <c r="GWH2"/>
      <c r="GWI2"/>
      <c r="GWJ2"/>
      <c r="GWK2"/>
      <c r="GWL2"/>
      <c r="GWM2"/>
      <c r="GWN2"/>
      <c r="GWO2"/>
      <c r="GWP2"/>
      <c r="GWQ2"/>
      <c r="GWR2"/>
      <c r="GWS2"/>
      <c r="GWT2"/>
      <c r="GWU2"/>
      <c r="GWV2"/>
      <c r="GWW2"/>
      <c r="GWX2"/>
      <c r="GWY2"/>
      <c r="GWZ2"/>
      <c r="GXA2"/>
      <c r="GXB2"/>
      <c r="GXC2"/>
      <c r="GXD2"/>
      <c r="GXE2"/>
      <c r="GXF2"/>
      <c r="GXG2"/>
      <c r="GXH2"/>
      <c r="GXI2"/>
      <c r="GXJ2"/>
      <c r="GXK2"/>
      <c r="GXL2"/>
      <c r="GXM2"/>
      <c r="GXN2"/>
      <c r="GXO2"/>
      <c r="GXP2"/>
      <c r="GXQ2"/>
      <c r="GXR2"/>
      <c r="GXS2"/>
      <c r="GXT2"/>
      <c r="GXU2"/>
      <c r="GXV2"/>
      <c r="GXW2"/>
      <c r="GXX2"/>
      <c r="GXY2"/>
      <c r="GXZ2"/>
      <c r="GYA2"/>
      <c r="GYB2"/>
      <c r="GYC2"/>
      <c r="GYD2"/>
      <c r="GYE2"/>
      <c r="GYF2"/>
      <c r="GYG2"/>
      <c r="GYH2"/>
      <c r="GYI2"/>
      <c r="GYJ2"/>
      <c r="GYK2"/>
      <c r="GYL2"/>
      <c r="GYM2"/>
      <c r="GYN2"/>
      <c r="GYO2"/>
      <c r="GYP2"/>
      <c r="GYQ2"/>
      <c r="GYR2"/>
      <c r="GYS2"/>
      <c r="GYT2"/>
      <c r="GYU2"/>
      <c r="GYV2"/>
      <c r="GYW2"/>
      <c r="GYX2"/>
      <c r="GYY2"/>
      <c r="GYZ2"/>
      <c r="GZA2"/>
      <c r="GZB2"/>
      <c r="GZC2"/>
      <c r="GZD2"/>
      <c r="GZE2"/>
      <c r="GZF2"/>
      <c r="GZG2"/>
      <c r="GZH2"/>
      <c r="GZI2"/>
      <c r="GZJ2"/>
      <c r="GZK2"/>
      <c r="GZL2"/>
      <c r="GZM2"/>
      <c r="GZN2"/>
      <c r="GZO2"/>
      <c r="GZP2"/>
      <c r="GZQ2"/>
      <c r="GZR2"/>
      <c r="GZS2"/>
      <c r="GZT2"/>
      <c r="GZU2"/>
      <c r="GZV2"/>
      <c r="GZW2"/>
      <c r="GZX2"/>
      <c r="GZY2"/>
      <c r="GZZ2"/>
      <c r="HAA2"/>
      <c r="HAB2"/>
      <c r="HAC2"/>
      <c r="HAD2"/>
      <c r="HAE2"/>
      <c r="HAF2"/>
      <c r="HAG2"/>
      <c r="HAH2"/>
      <c r="HAI2"/>
      <c r="HAJ2"/>
      <c r="HAK2"/>
      <c r="HAL2"/>
      <c r="HAM2"/>
      <c r="HAN2"/>
      <c r="HAO2"/>
      <c r="HAP2"/>
      <c r="HAQ2"/>
      <c r="HAR2"/>
      <c r="HAS2"/>
      <c r="HAT2"/>
      <c r="HAU2"/>
      <c r="HAV2"/>
      <c r="HAW2"/>
      <c r="HAX2"/>
      <c r="HAY2"/>
      <c r="HAZ2"/>
      <c r="HBA2"/>
      <c r="HBB2"/>
      <c r="HBC2"/>
      <c r="HBD2"/>
      <c r="HBE2"/>
      <c r="HBF2"/>
      <c r="HBG2"/>
      <c r="HBH2"/>
      <c r="HBI2"/>
      <c r="HBJ2"/>
      <c r="HBK2"/>
      <c r="HBL2"/>
      <c r="HBM2"/>
      <c r="HBN2"/>
      <c r="HBO2"/>
      <c r="HBP2"/>
      <c r="HBQ2"/>
      <c r="HBR2"/>
      <c r="HBS2"/>
      <c r="HBT2"/>
      <c r="HBU2"/>
      <c r="HBV2"/>
      <c r="HBW2"/>
      <c r="HBX2"/>
      <c r="HBY2"/>
      <c r="HBZ2"/>
      <c r="HCA2"/>
      <c r="HCB2"/>
      <c r="HCC2"/>
      <c r="HCD2"/>
      <c r="HCE2"/>
      <c r="HCF2"/>
      <c r="HCG2"/>
      <c r="HCH2"/>
      <c r="HCI2"/>
      <c r="HCJ2"/>
      <c r="HCK2"/>
      <c r="HCL2"/>
      <c r="HCM2"/>
      <c r="HCN2"/>
      <c r="HCO2"/>
      <c r="HCP2"/>
      <c r="HCQ2"/>
      <c r="HCR2"/>
      <c r="HCS2"/>
      <c r="HCT2"/>
      <c r="HCU2"/>
      <c r="HCV2"/>
      <c r="HCW2"/>
      <c r="HCX2"/>
      <c r="HCY2"/>
      <c r="HCZ2"/>
      <c r="HDA2"/>
      <c r="HDB2"/>
      <c r="HDC2"/>
      <c r="HDD2"/>
      <c r="HDE2"/>
      <c r="HDF2"/>
      <c r="HDG2"/>
      <c r="HDH2"/>
      <c r="HDI2"/>
      <c r="HDJ2"/>
      <c r="HDK2"/>
      <c r="HDL2"/>
      <c r="HDM2"/>
      <c r="HDN2"/>
      <c r="HDO2"/>
      <c r="HDP2"/>
      <c r="HDQ2"/>
      <c r="HDR2"/>
      <c r="HDS2"/>
      <c r="HDT2"/>
      <c r="HDU2"/>
      <c r="HDV2"/>
      <c r="HDW2"/>
      <c r="HDX2"/>
      <c r="HDY2"/>
      <c r="HDZ2"/>
      <c r="HEA2"/>
      <c r="HEB2"/>
      <c r="HEC2"/>
      <c r="HED2"/>
      <c r="HEE2"/>
      <c r="HEF2"/>
      <c r="HEG2"/>
      <c r="HEH2"/>
      <c r="HEI2"/>
      <c r="HEJ2"/>
      <c r="HEK2"/>
      <c r="HEL2"/>
      <c r="HEM2"/>
      <c r="HEN2"/>
      <c r="HEO2"/>
      <c r="HEP2"/>
      <c r="HEQ2"/>
      <c r="HER2"/>
      <c r="HES2"/>
      <c r="HET2"/>
      <c r="HEU2"/>
      <c r="HEV2"/>
      <c r="HEW2"/>
      <c r="HEX2"/>
      <c r="HEY2"/>
      <c r="HEZ2"/>
      <c r="HFA2"/>
      <c r="HFB2"/>
      <c r="HFC2"/>
      <c r="HFD2"/>
      <c r="HFE2"/>
      <c r="HFF2"/>
      <c r="HFG2"/>
      <c r="HFH2"/>
      <c r="HFI2"/>
      <c r="HFJ2"/>
      <c r="HFK2"/>
      <c r="HFL2"/>
      <c r="HFM2"/>
      <c r="HFN2"/>
      <c r="HFO2"/>
      <c r="HFP2"/>
      <c r="HFQ2"/>
      <c r="HFR2"/>
      <c r="HFS2"/>
      <c r="HFT2"/>
      <c r="HFU2"/>
      <c r="HFV2"/>
      <c r="HFW2"/>
      <c r="HFX2"/>
      <c r="HFY2"/>
      <c r="HFZ2"/>
      <c r="HGA2"/>
      <c r="HGB2"/>
      <c r="HGC2"/>
      <c r="HGD2"/>
      <c r="HGE2"/>
      <c r="HGF2"/>
      <c r="HGG2"/>
      <c r="HGH2"/>
      <c r="HGI2"/>
      <c r="HGJ2"/>
      <c r="HGK2"/>
      <c r="HGL2"/>
      <c r="HGM2"/>
      <c r="HGN2"/>
      <c r="HGO2"/>
      <c r="HGP2"/>
      <c r="HGQ2"/>
      <c r="HGR2"/>
      <c r="HGS2"/>
      <c r="HGT2"/>
      <c r="HGU2"/>
      <c r="HGV2"/>
      <c r="HGW2"/>
      <c r="HGX2"/>
      <c r="HGY2"/>
      <c r="HGZ2"/>
      <c r="HHA2"/>
      <c r="HHB2"/>
      <c r="HHC2"/>
      <c r="HHD2"/>
      <c r="HHE2"/>
      <c r="HHF2"/>
      <c r="HHG2"/>
      <c r="HHH2"/>
      <c r="HHI2"/>
      <c r="HHJ2"/>
      <c r="HHK2"/>
      <c r="HHL2"/>
      <c r="HHM2"/>
      <c r="HHN2"/>
      <c r="HHO2"/>
      <c r="HHP2"/>
      <c r="HHQ2"/>
      <c r="HHR2"/>
      <c r="HHS2"/>
      <c r="HHT2"/>
      <c r="HHU2"/>
      <c r="HHV2"/>
      <c r="HHW2"/>
      <c r="HHX2"/>
      <c r="HHY2"/>
      <c r="HHZ2"/>
      <c r="HIA2"/>
      <c r="HIB2"/>
      <c r="HIC2"/>
      <c r="HID2"/>
      <c r="HIE2"/>
      <c r="HIF2"/>
      <c r="HIG2"/>
      <c r="HIH2"/>
      <c r="HII2"/>
      <c r="HIJ2"/>
      <c r="HIK2"/>
      <c r="HIL2"/>
      <c r="HIM2"/>
      <c r="HIN2"/>
      <c r="HIO2"/>
      <c r="HIP2"/>
      <c r="HIQ2"/>
      <c r="HIR2"/>
      <c r="HIS2"/>
      <c r="HIT2"/>
      <c r="HIU2"/>
      <c r="HIV2"/>
      <c r="HIW2"/>
      <c r="HIX2"/>
      <c r="HIY2"/>
      <c r="HIZ2"/>
      <c r="HJA2"/>
      <c r="HJB2"/>
      <c r="HJC2"/>
      <c r="HJD2"/>
      <c r="HJE2"/>
      <c r="HJF2"/>
      <c r="HJG2"/>
      <c r="HJH2"/>
      <c r="HJI2"/>
      <c r="HJJ2"/>
      <c r="HJK2"/>
      <c r="HJL2"/>
      <c r="HJM2"/>
      <c r="HJN2"/>
      <c r="HJO2"/>
      <c r="HJP2"/>
      <c r="HJQ2"/>
      <c r="HJR2"/>
      <c r="HJS2"/>
      <c r="HJT2"/>
      <c r="HJU2"/>
      <c r="HJV2"/>
      <c r="HJW2"/>
      <c r="HJX2"/>
      <c r="HJY2"/>
      <c r="HJZ2"/>
      <c r="HKA2"/>
      <c r="HKB2"/>
      <c r="HKC2"/>
      <c r="HKD2"/>
      <c r="HKE2"/>
      <c r="HKF2"/>
      <c r="HKG2"/>
      <c r="HKH2"/>
      <c r="HKI2"/>
      <c r="HKJ2"/>
      <c r="HKK2"/>
      <c r="HKL2"/>
      <c r="HKM2"/>
      <c r="HKN2"/>
      <c r="HKO2"/>
      <c r="HKP2"/>
      <c r="HKQ2"/>
      <c r="HKR2"/>
      <c r="HKS2"/>
      <c r="HKT2"/>
      <c r="HKU2"/>
      <c r="HKV2"/>
      <c r="HKW2"/>
      <c r="HKX2"/>
      <c r="HKY2"/>
      <c r="HKZ2"/>
      <c r="HLA2"/>
      <c r="HLB2"/>
      <c r="HLC2"/>
      <c r="HLD2"/>
      <c r="HLE2"/>
      <c r="HLF2"/>
      <c r="HLG2"/>
      <c r="HLH2"/>
      <c r="HLI2"/>
      <c r="HLJ2"/>
      <c r="HLK2"/>
      <c r="HLL2"/>
      <c r="HLM2"/>
      <c r="HLN2"/>
      <c r="HLO2"/>
      <c r="HLP2"/>
      <c r="HLQ2"/>
      <c r="HLR2"/>
      <c r="HLS2"/>
      <c r="HLT2"/>
      <c r="HLU2"/>
      <c r="HLV2"/>
      <c r="HLW2"/>
      <c r="HLX2"/>
      <c r="HLY2"/>
      <c r="HLZ2"/>
      <c r="HMA2"/>
      <c r="HMB2"/>
      <c r="HMC2"/>
      <c r="HMD2"/>
      <c r="HME2"/>
      <c r="HMF2"/>
      <c r="HMG2"/>
      <c r="HMH2"/>
      <c r="HMI2"/>
      <c r="HMJ2"/>
      <c r="HMK2"/>
      <c r="HML2"/>
      <c r="HMM2"/>
      <c r="HMN2"/>
      <c r="HMO2"/>
      <c r="HMP2"/>
      <c r="HMQ2"/>
      <c r="HMR2"/>
      <c r="HMS2"/>
      <c r="HMT2"/>
      <c r="HMU2"/>
      <c r="HMV2"/>
      <c r="HMW2"/>
      <c r="HMX2"/>
      <c r="HMY2"/>
      <c r="HMZ2"/>
      <c r="HNA2"/>
      <c r="HNB2"/>
      <c r="HNC2"/>
      <c r="HND2"/>
      <c r="HNE2"/>
      <c r="HNF2"/>
      <c r="HNG2"/>
      <c r="HNH2"/>
      <c r="HNI2"/>
      <c r="HNJ2"/>
      <c r="HNK2"/>
      <c r="HNL2"/>
      <c r="HNM2"/>
      <c r="HNN2"/>
      <c r="HNO2"/>
      <c r="HNP2"/>
      <c r="HNQ2"/>
      <c r="HNR2"/>
      <c r="HNS2"/>
      <c r="HNT2"/>
      <c r="HNU2"/>
      <c r="HNV2"/>
      <c r="HNW2"/>
      <c r="HNX2"/>
      <c r="HNY2"/>
      <c r="HNZ2"/>
      <c r="HOA2"/>
      <c r="HOB2"/>
      <c r="HOC2"/>
      <c r="HOD2"/>
      <c r="HOE2"/>
      <c r="HOF2"/>
      <c r="HOG2"/>
      <c r="HOH2"/>
      <c r="HOI2"/>
      <c r="HOJ2"/>
      <c r="HOK2"/>
      <c r="HOL2"/>
      <c r="HOM2"/>
      <c r="HON2"/>
      <c r="HOO2"/>
      <c r="HOP2"/>
      <c r="HOQ2"/>
      <c r="HOR2"/>
      <c r="HOS2"/>
      <c r="HOT2"/>
      <c r="HOU2"/>
      <c r="HOV2"/>
      <c r="HOW2"/>
      <c r="HOX2"/>
      <c r="HOY2"/>
      <c r="HOZ2"/>
      <c r="HPA2"/>
      <c r="HPB2"/>
      <c r="HPC2"/>
      <c r="HPD2"/>
      <c r="HPE2"/>
      <c r="HPF2"/>
      <c r="HPG2"/>
      <c r="HPH2"/>
      <c r="HPI2"/>
      <c r="HPJ2"/>
      <c r="HPK2"/>
      <c r="HPL2"/>
      <c r="HPM2"/>
      <c r="HPN2"/>
      <c r="HPO2"/>
      <c r="HPP2"/>
      <c r="HPQ2"/>
      <c r="HPR2"/>
      <c r="HPS2"/>
      <c r="HPT2"/>
      <c r="HPU2"/>
      <c r="HPV2"/>
      <c r="HPW2"/>
      <c r="HPX2"/>
      <c r="HPY2"/>
      <c r="HPZ2"/>
      <c r="HQA2"/>
      <c r="HQB2"/>
      <c r="HQC2"/>
      <c r="HQD2"/>
      <c r="HQE2"/>
      <c r="HQF2"/>
      <c r="HQG2"/>
      <c r="HQH2"/>
      <c r="HQI2"/>
      <c r="HQJ2"/>
      <c r="HQK2"/>
      <c r="HQL2"/>
      <c r="HQM2"/>
      <c r="HQN2"/>
      <c r="HQO2"/>
      <c r="HQP2"/>
      <c r="HQQ2"/>
      <c r="HQR2"/>
      <c r="HQS2"/>
      <c r="HQT2"/>
      <c r="HQU2"/>
      <c r="HQV2"/>
      <c r="HQW2"/>
      <c r="HQX2"/>
      <c r="HQY2"/>
      <c r="HQZ2"/>
      <c r="HRA2"/>
      <c r="HRB2"/>
      <c r="HRC2"/>
      <c r="HRD2"/>
      <c r="HRE2"/>
      <c r="HRF2"/>
      <c r="HRG2"/>
      <c r="HRH2"/>
      <c r="HRI2"/>
      <c r="HRJ2"/>
      <c r="HRK2"/>
      <c r="HRL2"/>
      <c r="HRM2"/>
      <c r="HRN2"/>
      <c r="HRO2"/>
      <c r="HRP2"/>
      <c r="HRQ2"/>
      <c r="HRR2"/>
      <c r="HRS2"/>
      <c r="HRT2"/>
      <c r="HRU2"/>
      <c r="HRV2"/>
      <c r="HRW2"/>
      <c r="HRX2"/>
      <c r="HRY2"/>
      <c r="HRZ2"/>
      <c r="HSA2"/>
      <c r="HSB2"/>
      <c r="HSC2"/>
      <c r="HSD2"/>
      <c r="HSE2"/>
      <c r="HSF2"/>
      <c r="HSG2"/>
      <c r="HSH2"/>
      <c r="HSI2"/>
      <c r="HSJ2"/>
      <c r="HSK2"/>
      <c r="HSL2"/>
      <c r="HSM2"/>
      <c r="HSN2"/>
      <c r="HSO2"/>
      <c r="HSP2"/>
      <c r="HSQ2"/>
      <c r="HSR2"/>
      <c r="HSS2"/>
      <c r="HST2"/>
      <c r="HSU2"/>
      <c r="HSV2"/>
      <c r="HSW2"/>
      <c r="HSX2"/>
      <c r="HSY2"/>
      <c r="HSZ2"/>
      <c r="HTA2"/>
      <c r="HTB2"/>
      <c r="HTC2"/>
      <c r="HTD2"/>
      <c r="HTE2"/>
      <c r="HTF2"/>
      <c r="HTG2"/>
      <c r="HTH2"/>
      <c r="HTI2"/>
      <c r="HTJ2"/>
      <c r="HTK2"/>
      <c r="HTL2"/>
      <c r="HTM2"/>
      <c r="HTN2"/>
      <c r="HTO2"/>
      <c r="HTP2"/>
      <c r="HTQ2"/>
      <c r="HTR2"/>
      <c r="HTS2"/>
      <c r="HTT2"/>
      <c r="HTU2"/>
      <c r="HTV2"/>
      <c r="HTW2"/>
      <c r="HTX2"/>
      <c r="HTY2"/>
      <c r="HTZ2"/>
      <c r="HUA2"/>
      <c r="HUB2"/>
      <c r="HUC2"/>
      <c r="HUD2"/>
      <c r="HUE2"/>
      <c r="HUF2"/>
      <c r="HUG2"/>
      <c r="HUH2"/>
      <c r="HUI2"/>
      <c r="HUJ2"/>
      <c r="HUK2"/>
      <c r="HUL2"/>
      <c r="HUM2"/>
      <c r="HUN2"/>
      <c r="HUO2"/>
      <c r="HUP2"/>
      <c r="HUQ2"/>
      <c r="HUR2"/>
      <c r="HUS2"/>
      <c r="HUT2"/>
      <c r="HUU2"/>
      <c r="HUV2"/>
      <c r="HUW2"/>
      <c r="HUX2"/>
      <c r="HUY2"/>
      <c r="HUZ2"/>
      <c r="HVA2"/>
      <c r="HVB2"/>
      <c r="HVC2"/>
      <c r="HVD2"/>
      <c r="HVE2"/>
      <c r="HVF2"/>
      <c r="HVG2"/>
      <c r="HVH2"/>
      <c r="HVI2"/>
      <c r="HVJ2"/>
      <c r="HVK2"/>
      <c r="HVL2"/>
      <c r="HVM2"/>
      <c r="HVN2"/>
      <c r="HVO2"/>
      <c r="HVP2"/>
      <c r="HVQ2"/>
      <c r="HVR2"/>
      <c r="HVS2"/>
      <c r="HVT2"/>
      <c r="HVU2"/>
      <c r="HVV2"/>
      <c r="HVW2"/>
      <c r="HVX2"/>
      <c r="HVY2"/>
      <c r="HVZ2"/>
      <c r="HWA2"/>
      <c r="HWB2"/>
      <c r="HWC2"/>
      <c r="HWD2"/>
      <c r="HWE2"/>
      <c r="HWF2"/>
      <c r="HWG2"/>
      <c r="HWH2"/>
      <c r="HWI2"/>
      <c r="HWJ2"/>
      <c r="HWK2"/>
      <c r="HWL2"/>
      <c r="HWM2"/>
      <c r="HWN2"/>
      <c r="HWO2"/>
      <c r="HWP2"/>
      <c r="HWQ2"/>
      <c r="HWR2"/>
      <c r="HWS2"/>
      <c r="HWT2"/>
      <c r="HWU2"/>
      <c r="HWV2"/>
      <c r="HWW2"/>
      <c r="HWX2"/>
      <c r="HWY2"/>
      <c r="HWZ2"/>
      <c r="HXA2"/>
      <c r="HXB2"/>
      <c r="HXC2"/>
      <c r="HXD2"/>
      <c r="HXE2"/>
      <c r="HXF2"/>
      <c r="HXG2"/>
      <c r="HXH2"/>
      <c r="HXI2"/>
      <c r="HXJ2"/>
      <c r="HXK2"/>
      <c r="HXL2"/>
      <c r="HXM2"/>
      <c r="HXN2"/>
      <c r="HXO2"/>
      <c r="HXP2"/>
      <c r="HXQ2"/>
      <c r="HXR2"/>
      <c r="HXS2"/>
      <c r="HXT2"/>
      <c r="HXU2"/>
      <c r="HXV2"/>
      <c r="HXW2"/>
      <c r="HXX2"/>
      <c r="HXY2"/>
      <c r="HXZ2"/>
      <c r="HYA2"/>
      <c r="HYB2"/>
      <c r="HYC2"/>
      <c r="HYD2"/>
      <c r="HYE2"/>
      <c r="HYF2"/>
      <c r="HYG2"/>
      <c r="HYH2"/>
      <c r="HYI2"/>
      <c r="HYJ2"/>
      <c r="HYK2"/>
      <c r="HYL2"/>
      <c r="HYM2"/>
      <c r="HYN2"/>
      <c r="HYO2"/>
      <c r="HYP2"/>
      <c r="HYQ2"/>
      <c r="HYR2"/>
      <c r="HYS2"/>
      <c r="HYT2"/>
      <c r="HYU2"/>
      <c r="HYV2"/>
      <c r="HYW2"/>
      <c r="HYX2"/>
      <c r="HYY2"/>
      <c r="HYZ2"/>
      <c r="HZA2"/>
      <c r="HZB2"/>
      <c r="HZC2"/>
      <c r="HZD2"/>
      <c r="HZE2"/>
      <c r="HZF2"/>
      <c r="HZG2"/>
      <c r="HZH2"/>
      <c r="HZI2"/>
      <c r="HZJ2"/>
      <c r="HZK2"/>
      <c r="HZL2"/>
      <c r="HZM2"/>
      <c r="HZN2"/>
      <c r="HZO2"/>
      <c r="HZP2"/>
      <c r="HZQ2"/>
      <c r="HZR2"/>
      <c r="HZS2"/>
      <c r="HZT2"/>
      <c r="HZU2"/>
      <c r="HZV2"/>
      <c r="HZW2"/>
      <c r="HZX2"/>
      <c r="HZY2"/>
      <c r="HZZ2"/>
      <c r="IAA2"/>
      <c r="IAB2"/>
      <c r="IAC2"/>
      <c r="IAD2"/>
      <c r="IAE2"/>
      <c r="IAF2"/>
      <c r="IAG2"/>
      <c r="IAH2"/>
      <c r="IAI2"/>
      <c r="IAJ2"/>
      <c r="IAK2"/>
      <c r="IAL2"/>
      <c r="IAM2"/>
      <c r="IAN2"/>
      <c r="IAO2"/>
      <c r="IAP2"/>
      <c r="IAQ2"/>
      <c r="IAR2"/>
      <c r="IAS2"/>
      <c r="IAT2"/>
      <c r="IAU2"/>
      <c r="IAV2"/>
      <c r="IAW2"/>
      <c r="IAX2"/>
      <c r="IAY2"/>
      <c r="IAZ2"/>
      <c r="IBA2"/>
      <c r="IBB2"/>
      <c r="IBC2"/>
      <c r="IBD2"/>
      <c r="IBE2"/>
      <c r="IBF2"/>
      <c r="IBG2"/>
      <c r="IBH2"/>
      <c r="IBI2"/>
      <c r="IBJ2"/>
      <c r="IBK2"/>
      <c r="IBL2"/>
      <c r="IBM2"/>
      <c r="IBN2"/>
      <c r="IBO2"/>
      <c r="IBP2"/>
      <c r="IBQ2"/>
      <c r="IBR2"/>
      <c r="IBS2"/>
      <c r="IBT2"/>
      <c r="IBU2"/>
      <c r="IBV2"/>
      <c r="IBW2"/>
      <c r="IBX2"/>
      <c r="IBY2"/>
      <c r="IBZ2"/>
      <c r="ICA2"/>
      <c r="ICB2"/>
      <c r="ICC2"/>
      <c r="ICD2"/>
      <c r="ICE2"/>
      <c r="ICF2"/>
      <c r="ICG2"/>
      <c r="ICH2"/>
      <c r="ICI2"/>
      <c r="ICJ2"/>
      <c r="ICK2"/>
      <c r="ICL2"/>
      <c r="ICM2"/>
      <c r="ICN2"/>
      <c r="ICO2"/>
      <c r="ICP2"/>
      <c r="ICQ2"/>
      <c r="ICR2"/>
      <c r="ICS2"/>
      <c r="ICT2"/>
      <c r="ICU2"/>
      <c r="ICV2"/>
      <c r="ICW2"/>
      <c r="ICX2"/>
      <c r="ICY2"/>
      <c r="ICZ2"/>
      <c r="IDA2"/>
      <c r="IDB2"/>
      <c r="IDC2"/>
      <c r="IDD2"/>
      <c r="IDE2"/>
      <c r="IDF2"/>
      <c r="IDG2"/>
      <c r="IDH2"/>
      <c r="IDI2"/>
      <c r="IDJ2"/>
      <c r="IDK2"/>
      <c r="IDL2"/>
      <c r="IDM2"/>
      <c r="IDN2"/>
      <c r="IDO2"/>
      <c r="IDP2"/>
      <c r="IDQ2"/>
      <c r="IDR2"/>
      <c r="IDS2"/>
      <c r="IDT2"/>
      <c r="IDU2"/>
      <c r="IDV2"/>
      <c r="IDW2"/>
      <c r="IDX2"/>
      <c r="IDY2"/>
      <c r="IDZ2"/>
      <c r="IEA2"/>
      <c r="IEB2"/>
      <c r="IEC2"/>
      <c r="IED2"/>
      <c r="IEE2"/>
      <c r="IEF2"/>
      <c r="IEG2"/>
      <c r="IEH2"/>
      <c r="IEI2"/>
      <c r="IEJ2"/>
      <c r="IEK2"/>
      <c r="IEL2"/>
      <c r="IEM2"/>
      <c r="IEN2"/>
      <c r="IEO2"/>
      <c r="IEP2"/>
      <c r="IEQ2"/>
      <c r="IER2"/>
      <c r="IES2"/>
      <c r="IET2"/>
      <c r="IEU2"/>
      <c r="IEV2"/>
      <c r="IEW2"/>
      <c r="IEX2"/>
      <c r="IEY2"/>
      <c r="IEZ2"/>
      <c r="IFA2"/>
      <c r="IFB2"/>
      <c r="IFC2"/>
      <c r="IFD2"/>
      <c r="IFE2"/>
      <c r="IFF2"/>
      <c r="IFG2"/>
      <c r="IFH2"/>
      <c r="IFI2"/>
      <c r="IFJ2"/>
      <c r="IFK2"/>
      <c r="IFL2"/>
      <c r="IFM2"/>
      <c r="IFN2"/>
      <c r="IFO2"/>
      <c r="IFP2"/>
      <c r="IFQ2"/>
      <c r="IFR2"/>
      <c r="IFS2"/>
      <c r="IFT2"/>
      <c r="IFU2"/>
      <c r="IFV2"/>
      <c r="IFW2"/>
      <c r="IFX2"/>
      <c r="IFY2"/>
      <c r="IFZ2"/>
      <c r="IGA2"/>
      <c r="IGB2"/>
      <c r="IGC2"/>
      <c r="IGD2"/>
      <c r="IGE2"/>
      <c r="IGF2"/>
      <c r="IGG2"/>
      <c r="IGH2"/>
      <c r="IGI2"/>
      <c r="IGJ2"/>
      <c r="IGK2"/>
      <c r="IGL2"/>
      <c r="IGM2"/>
      <c r="IGN2"/>
      <c r="IGO2"/>
      <c r="IGP2"/>
      <c r="IGQ2"/>
      <c r="IGR2"/>
      <c r="IGS2"/>
      <c r="IGT2"/>
      <c r="IGU2"/>
      <c r="IGV2"/>
      <c r="IGW2"/>
      <c r="IGX2"/>
      <c r="IGY2"/>
      <c r="IGZ2"/>
      <c r="IHA2"/>
      <c r="IHB2"/>
      <c r="IHC2"/>
      <c r="IHD2"/>
      <c r="IHE2"/>
      <c r="IHF2"/>
      <c r="IHG2"/>
      <c r="IHH2"/>
      <c r="IHI2"/>
      <c r="IHJ2"/>
      <c r="IHK2"/>
      <c r="IHL2"/>
      <c r="IHM2"/>
      <c r="IHN2"/>
      <c r="IHO2"/>
      <c r="IHP2"/>
      <c r="IHQ2"/>
      <c r="IHR2"/>
      <c r="IHS2"/>
      <c r="IHT2"/>
      <c r="IHU2"/>
      <c r="IHV2"/>
      <c r="IHW2"/>
      <c r="IHX2"/>
      <c r="IHY2"/>
      <c r="IHZ2"/>
      <c r="IIA2"/>
      <c r="IIB2"/>
      <c r="IIC2"/>
      <c r="IID2"/>
      <c r="IIE2"/>
      <c r="IIF2"/>
      <c r="IIG2"/>
      <c r="IIH2"/>
      <c r="III2"/>
      <c r="IIJ2"/>
      <c r="IIK2"/>
      <c r="IIL2"/>
      <c r="IIM2"/>
      <c r="IIN2"/>
      <c r="IIO2"/>
      <c r="IIP2"/>
      <c r="IIQ2"/>
      <c r="IIR2"/>
      <c r="IIS2"/>
      <c r="IIT2"/>
      <c r="IIU2"/>
      <c r="IIV2"/>
      <c r="IIW2"/>
      <c r="IIX2"/>
      <c r="IIY2"/>
      <c r="IIZ2"/>
      <c r="IJA2"/>
      <c r="IJB2"/>
      <c r="IJC2"/>
      <c r="IJD2"/>
      <c r="IJE2"/>
      <c r="IJF2"/>
      <c r="IJG2"/>
      <c r="IJH2"/>
      <c r="IJI2"/>
      <c r="IJJ2"/>
      <c r="IJK2"/>
      <c r="IJL2"/>
      <c r="IJM2"/>
      <c r="IJN2"/>
      <c r="IJO2"/>
      <c r="IJP2"/>
      <c r="IJQ2"/>
      <c r="IJR2"/>
      <c r="IJS2"/>
      <c r="IJT2"/>
      <c r="IJU2"/>
      <c r="IJV2"/>
      <c r="IJW2"/>
      <c r="IJX2"/>
      <c r="IJY2"/>
      <c r="IJZ2"/>
      <c r="IKA2"/>
      <c r="IKB2"/>
      <c r="IKC2"/>
      <c r="IKD2"/>
      <c r="IKE2"/>
      <c r="IKF2"/>
      <c r="IKG2"/>
      <c r="IKH2"/>
      <c r="IKI2"/>
      <c r="IKJ2"/>
      <c r="IKK2"/>
      <c r="IKL2"/>
      <c r="IKM2"/>
      <c r="IKN2"/>
      <c r="IKO2"/>
      <c r="IKP2"/>
      <c r="IKQ2"/>
      <c r="IKR2"/>
      <c r="IKS2"/>
      <c r="IKT2"/>
      <c r="IKU2"/>
      <c r="IKV2"/>
      <c r="IKW2"/>
      <c r="IKX2"/>
      <c r="IKY2"/>
      <c r="IKZ2"/>
      <c r="ILA2"/>
      <c r="ILB2"/>
      <c r="ILC2"/>
      <c r="ILD2"/>
      <c r="ILE2"/>
      <c r="ILF2"/>
      <c r="ILG2"/>
      <c r="ILH2"/>
      <c r="ILI2"/>
      <c r="ILJ2"/>
      <c r="ILK2"/>
      <c r="ILL2"/>
      <c r="ILM2"/>
      <c r="ILN2"/>
      <c r="ILO2"/>
      <c r="ILP2"/>
      <c r="ILQ2"/>
      <c r="ILR2"/>
      <c r="ILS2"/>
      <c r="ILT2"/>
      <c r="ILU2"/>
      <c r="ILV2"/>
      <c r="ILW2"/>
      <c r="ILX2"/>
      <c r="ILY2"/>
      <c r="ILZ2"/>
      <c r="IMA2"/>
      <c r="IMB2"/>
      <c r="IMC2"/>
      <c r="IMD2"/>
      <c r="IME2"/>
      <c r="IMF2"/>
      <c r="IMG2"/>
      <c r="IMH2"/>
      <c r="IMI2"/>
      <c r="IMJ2"/>
      <c r="IMK2"/>
      <c r="IML2"/>
      <c r="IMM2"/>
      <c r="IMN2"/>
      <c r="IMO2"/>
      <c r="IMP2"/>
      <c r="IMQ2"/>
      <c r="IMR2"/>
      <c r="IMS2"/>
      <c r="IMT2"/>
      <c r="IMU2"/>
      <c r="IMV2"/>
      <c r="IMW2"/>
      <c r="IMX2"/>
      <c r="IMY2"/>
      <c r="IMZ2"/>
      <c r="INA2"/>
      <c r="INB2"/>
      <c r="INC2"/>
      <c r="IND2"/>
      <c r="INE2"/>
      <c r="INF2"/>
      <c r="ING2"/>
      <c r="INH2"/>
      <c r="INI2"/>
      <c r="INJ2"/>
      <c r="INK2"/>
      <c r="INL2"/>
      <c r="INM2"/>
      <c r="INN2"/>
      <c r="INO2"/>
      <c r="INP2"/>
      <c r="INQ2"/>
      <c r="INR2"/>
      <c r="INS2"/>
      <c r="INT2"/>
      <c r="INU2"/>
      <c r="INV2"/>
      <c r="INW2"/>
      <c r="INX2"/>
      <c r="INY2"/>
      <c r="INZ2"/>
      <c r="IOA2"/>
      <c r="IOB2"/>
      <c r="IOC2"/>
      <c r="IOD2"/>
      <c r="IOE2"/>
      <c r="IOF2"/>
      <c r="IOG2"/>
      <c r="IOH2"/>
      <c r="IOI2"/>
      <c r="IOJ2"/>
      <c r="IOK2"/>
      <c r="IOL2"/>
      <c r="IOM2"/>
      <c r="ION2"/>
      <c r="IOO2"/>
      <c r="IOP2"/>
      <c r="IOQ2"/>
      <c r="IOR2"/>
      <c r="IOS2"/>
      <c r="IOT2"/>
      <c r="IOU2"/>
      <c r="IOV2"/>
      <c r="IOW2"/>
      <c r="IOX2"/>
      <c r="IOY2"/>
      <c r="IOZ2"/>
      <c r="IPA2"/>
      <c r="IPB2"/>
      <c r="IPC2"/>
      <c r="IPD2"/>
      <c r="IPE2"/>
      <c r="IPF2"/>
      <c r="IPG2"/>
      <c r="IPH2"/>
      <c r="IPI2"/>
      <c r="IPJ2"/>
      <c r="IPK2"/>
      <c r="IPL2"/>
      <c r="IPM2"/>
      <c r="IPN2"/>
      <c r="IPO2"/>
      <c r="IPP2"/>
      <c r="IPQ2"/>
      <c r="IPR2"/>
      <c r="IPS2"/>
      <c r="IPT2"/>
      <c r="IPU2"/>
      <c r="IPV2"/>
      <c r="IPW2"/>
      <c r="IPX2"/>
      <c r="IPY2"/>
      <c r="IPZ2"/>
      <c r="IQA2"/>
      <c r="IQB2"/>
      <c r="IQC2"/>
      <c r="IQD2"/>
      <c r="IQE2"/>
      <c r="IQF2"/>
      <c r="IQG2"/>
      <c r="IQH2"/>
      <c r="IQI2"/>
      <c r="IQJ2"/>
      <c r="IQK2"/>
      <c r="IQL2"/>
      <c r="IQM2"/>
      <c r="IQN2"/>
      <c r="IQO2"/>
      <c r="IQP2"/>
      <c r="IQQ2"/>
      <c r="IQR2"/>
      <c r="IQS2"/>
      <c r="IQT2"/>
      <c r="IQU2"/>
      <c r="IQV2"/>
      <c r="IQW2"/>
      <c r="IQX2"/>
      <c r="IQY2"/>
      <c r="IQZ2"/>
      <c r="IRA2"/>
      <c r="IRB2"/>
      <c r="IRC2"/>
      <c r="IRD2"/>
      <c r="IRE2"/>
      <c r="IRF2"/>
      <c r="IRG2"/>
      <c r="IRH2"/>
      <c r="IRI2"/>
      <c r="IRJ2"/>
      <c r="IRK2"/>
      <c r="IRL2"/>
      <c r="IRM2"/>
      <c r="IRN2"/>
      <c r="IRO2"/>
      <c r="IRP2"/>
      <c r="IRQ2"/>
      <c r="IRR2"/>
      <c r="IRS2"/>
      <c r="IRT2"/>
      <c r="IRU2"/>
      <c r="IRV2"/>
      <c r="IRW2"/>
      <c r="IRX2"/>
      <c r="IRY2"/>
      <c r="IRZ2"/>
      <c r="ISA2"/>
      <c r="ISB2"/>
      <c r="ISC2"/>
      <c r="ISD2"/>
      <c r="ISE2"/>
      <c r="ISF2"/>
      <c r="ISG2"/>
      <c r="ISH2"/>
      <c r="ISI2"/>
      <c r="ISJ2"/>
      <c r="ISK2"/>
      <c r="ISL2"/>
      <c r="ISM2"/>
      <c r="ISN2"/>
      <c r="ISO2"/>
      <c r="ISP2"/>
      <c r="ISQ2"/>
      <c r="ISR2"/>
      <c r="ISS2"/>
      <c r="IST2"/>
      <c r="ISU2"/>
      <c r="ISV2"/>
      <c r="ISW2"/>
      <c r="ISX2"/>
      <c r="ISY2"/>
      <c r="ISZ2"/>
      <c r="ITA2"/>
      <c r="ITB2"/>
      <c r="ITC2"/>
      <c r="ITD2"/>
      <c r="ITE2"/>
      <c r="ITF2"/>
      <c r="ITG2"/>
      <c r="ITH2"/>
      <c r="ITI2"/>
      <c r="ITJ2"/>
      <c r="ITK2"/>
      <c r="ITL2"/>
      <c r="ITM2"/>
      <c r="ITN2"/>
      <c r="ITO2"/>
      <c r="ITP2"/>
      <c r="ITQ2"/>
      <c r="ITR2"/>
      <c r="ITS2"/>
      <c r="ITT2"/>
      <c r="ITU2"/>
      <c r="ITV2"/>
      <c r="ITW2"/>
      <c r="ITX2"/>
      <c r="ITY2"/>
      <c r="ITZ2"/>
      <c r="IUA2"/>
      <c r="IUB2"/>
      <c r="IUC2"/>
      <c r="IUD2"/>
      <c r="IUE2"/>
      <c r="IUF2"/>
      <c r="IUG2"/>
      <c r="IUH2"/>
      <c r="IUI2"/>
      <c r="IUJ2"/>
      <c r="IUK2"/>
      <c r="IUL2"/>
      <c r="IUM2"/>
      <c r="IUN2"/>
      <c r="IUO2"/>
      <c r="IUP2"/>
      <c r="IUQ2"/>
      <c r="IUR2"/>
      <c r="IUS2"/>
      <c r="IUT2"/>
      <c r="IUU2"/>
      <c r="IUV2"/>
      <c r="IUW2"/>
      <c r="IUX2"/>
      <c r="IUY2"/>
      <c r="IUZ2"/>
      <c r="IVA2"/>
      <c r="IVB2"/>
      <c r="IVC2"/>
      <c r="IVD2"/>
      <c r="IVE2"/>
      <c r="IVF2"/>
      <c r="IVG2"/>
      <c r="IVH2"/>
      <c r="IVI2"/>
      <c r="IVJ2"/>
      <c r="IVK2"/>
      <c r="IVL2"/>
      <c r="IVM2"/>
      <c r="IVN2"/>
      <c r="IVO2"/>
      <c r="IVP2"/>
      <c r="IVQ2"/>
      <c r="IVR2"/>
      <c r="IVS2"/>
      <c r="IVT2"/>
      <c r="IVU2"/>
      <c r="IVV2"/>
      <c r="IVW2"/>
      <c r="IVX2"/>
      <c r="IVY2"/>
      <c r="IVZ2"/>
      <c r="IWA2"/>
      <c r="IWB2"/>
      <c r="IWC2"/>
      <c r="IWD2"/>
      <c r="IWE2"/>
      <c r="IWF2"/>
      <c r="IWG2"/>
      <c r="IWH2"/>
      <c r="IWI2"/>
      <c r="IWJ2"/>
      <c r="IWK2"/>
      <c r="IWL2"/>
      <c r="IWM2"/>
      <c r="IWN2"/>
      <c r="IWO2"/>
      <c r="IWP2"/>
      <c r="IWQ2"/>
      <c r="IWR2"/>
      <c r="IWS2"/>
      <c r="IWT2"/>
      <c r="IWU2"/>
      <c r="IWV2"/>
      <c r="IWW2"/>
      <c r="IWX2"/>
      <c r="IWY2"/>
      <c r="IWZ2"/>
      <c r="IXA2"/>
      <c r="IXB2"/>
      <c r="IXC2"/>
      <c r="IXD2"/>
      <c r="IXE2"/>
      <c r="IXF2"/>
      <c r="IXG2"/>
      <c r="IXH2"/>
      <c r="IXI2"/>
      <c r="IXJ2"/>
      <c r="IXK2"/>
      <c r="IXL2"/>
      <c r="IXM2"/>
      <c r="IXN2"/>
      <c r="IXO2"/>
      <c r="IXP2"/>
      <c r="IXQ2"/>
      <c r="IXR2"/>
      <c r="IXS2"/>
      <c r="IXT2"/>
      <c r="IXU2"/>
      <c r="IXV2"/>
      <c r="IXW2"/>
      <c r="IXX2"/>
      <c r="IXY2"/>
      <c r="IXZ2"/>
      <c r="IYA2"/>
      <c r="IYB2"/>
      <c r="IYC2"/>
      <c r="IYD2"/>
      <c r="IYE2"/>
      <c r="IYF2"/>
      <c r="IYG2"/>
      <c r="IYH2"/>
      <c r="IYI2"/>
      <c r="IYJ2"/>
      <c r="IYK2"/>
      <c r="IYL2"/>
      <c r="IYM2"/>
      <c r="IYN2"/>
      <c r="IYO2"/>
      <c r="IYP2"/>
      <c r="IYQ2"/>
      <c r="IYR2"/>
      <c r="IYS2"/>
      <c r="IYT2"/>
      <c r="IYU2"/>
      <c r="IYV2"/>
      <c r="IYW2"/>
      <c r="IYX2"/>
      <c r="IYY2"/>
      <c r="IYZ2"/>
      <c r="IZA2"/>
      <c r="IZB2"/>
      <c r="IZC2"/>
      <c r="IZD2"/>
      <c r="IZE2"/>
      <c r="IZF2"/>
      <c r="IZG2"/>
      <c r="IZH2"/>
      <c r="IZI2"/>
      <c r="IZJ2"/>
      <c r="IZK2"/>
      <c r="IZL2"/>
      <c r="IZM2"/>
      <c r="IZN2"/>
      <c r="IZO2"/>
      <c r="IZP2"/>
      <c r="IZQ2"/>
      <c r="IZR2"/>
      <c r="IZS2"/>
      <c r="IZT2"/>
      <c r="IZU2"/>
      <c r="IZV2"/>
      <c r="IZW2"/>
      <c r="IZX2"/>
      <c r="IZY2"/>
      <c r="IZZ2"/>
      <c r="JAA2"/>
      <c r="JAB2"/>
      <c r="JAC2"/>
      <c r="JAD2"/>
      <c r="JAE2"/>
      <c r="JAF2"/>
      <c r="JAG2"/>
      <c r="JAH2"/>
      <c r="JAI2"/>
      <c r="JAJ2"/>
      <c r="JAK2"/>
      <c r="JAL2"/>
      <c r="JAM2"/>
      <c r="JAN2"/>
      <c r="JAO2"/>
      <c r="JAP2"/>
      <c r="JAQ2"/>
      <c r="JAR2"/>
      <c r="JAS2"/>
      <c r="JAT2"/>
      <c r="JAU2"/>
      <c r="JAV2"/>
      <c r="JAW2"/>
      <c r="JAX2"/>
      <c r="JAY2"/>
      <c r="JAZ2"/>
      <c r="JBA2"/>
      <c r="JBB2"/>
      <c r="JBC2"/>
      <c r="JBD2"/>
      <c r="JBE2"/>
      <c r="JBF2"/>
      <c r="JBG2"/>
      <c r="JBH2"/>
      <c r="JBI2"/>
      <c r="JBJ2"/>
      <c r="JBK2"/>
      <c r="JBL2"/>
      <c r="JBM2"/>
      <c r="JBN2"/>
      <c r="JBO2"/>
      <c r="JBP2"/>
      <c r="JBQ2"/>
      <c r="JBR2"/>
      <c r="JBS2"/>
      <c r="JBT2"/>
      <c r="JBU2"/>
      <c r="JBV2"/>
      <c r="JBW2"/>
      <c r="JBX2"/>
      <c r="JBY2"/>
      <c r="JBZ2"/>
      <c r="JCA2"/>
      <c r="JCB2"/>
      <c r="JCC2"/>
      <c r="JCD2"/>
      <c r="JCE2"/>
      <c r="JCF2"/>
      <c r="JCG2"/>
      <c r="JCH2"/>
      <c r="JCI2"/>
      <c r="JCJ2"/>
      <c r="JCK2"/>
      <c r="JCL2"/>
      <c r="JCM2"/>
      <c r="JCN2"/>
      <c r="JCO2"/>
      <c r="JCP2"/>
      <c r="JCQ2"/>
      <c r="JCR2"/>
      <c r="JCS2"/>
      <c r="JCT2"/>
      <c r="JCU2"/>
      <c r="JCV2"/>
      <c r="JCW2"/>
      <c r="JCX2"/>
      <c r="JCY2"/>
      <c r="JCZ2"/>
      <c r="JDA2"/>
      <c r="JDB2"/>
      <c r="JDC2"/>
      <c r="JDD2"/>
      <c r="JDE2"/>
      <c r="JDF2"/>
      <c r="JDG2"/>
      <c r="JDH2"/>
      <c r="JDI2"/>
      <c r="JDJ2"/>
      <c r="JDK2"/>
      <c r="JDL2"/>
      <c r="JDM2"/>
      <c r="JDN2"/>
      <c r="JDO2"/>
      <c r="JDP2"/>
      <c r="JDQ2"/>
      <c r="JDR2"/>
      <c r="JDS2"/>
      <c r="JDT2"/>
      <c r="JDU2"/>
      <c r="JDV2"/>
      <c r="JDW2"/>
      <c r="JDX2"/>
      <c r="JDY2"/>
      <c r="JDZ2"/>
      <c r="JEA2"/>
      <c r="JEB2"/>
      <c r="JEC2"/>
      <c r="JED2"/>
      <c r="JEE2"/>
      <c r="JEF2"/>
      <c r="JEG2"/>
      <c r="JEH2"/>
      <c r="JEI2"/>
      <c r="JEJ2"/>
      <c r="JEK2"/>
      <c r="JEL2"/>
      <c r="JEM2"/>
      <c r="JEN2"/>
      <c r="JEO2"/>
      <c r="JEP2"/>
      <c r="JEQ2"/>
      <c r="JER2"/>
      <c r="JES2"/>
      <c r="JET2"/>
      <c r="JEU2"/>
      <c r="JEV2"/>
      <c r="JEW2"/>
      <c r="JEX2"/>
      <c r="JEY2"/>
      <c r="JEZ2"/>
      <c r="JFA2"/>
      <c r="JFB2"/>
      <c r="JFC2"/>
      <c r="JFD2"/>
      <c r="JFE2"/>
      <c r="JFF2"/>
      <c r="JFG2"/>
      <c r="JFH2"/>
      <c r="JFI2"/>
      <c r="JFJ2"/>
      <c r="JFK2"/>
      <c r="JFL2"/>
      <c r="JFM2"/>
      <c r="JFN2"/>
      <c r="JFO2"/>
      <c r="JFP2"/>
      <c r="JFQ2"/>
      <c r="JFR2"/>
      <c r="JFS2"/>
      <c r="JFT2"/>
      <c r="JFU2"/>
      <c r="JFV2"/>
      <c r="JFW2"/>
      <c r="JFX2"/>
      <c r="JFY2"/>
      <c r="JFZ2"/>
      <c r="JGA2"/>
      <c r="JGB2"/>
      <c r="JGC2"/>
      <c r="JGD2"/>
      <c r="JGE2"/>
      <c r="JGF2"/>
      <c r="JGG2"/>
      <c r="JGH2"/>
      <c r="JGI2"/>
      <c r="JGJ2"/>
      <c r="JGK2"/>
      <c r="JGL2"/>
      <c r="JGM2"/>
      <c r="JGN2"/>
      <c r="JGO2"/>
      <c r="JGP2"/>
      <c r="JGQ2"/>
      <c r="JGR2"/>
      <c r="JGS2"/>
      <c r="JGT2"/>
      <c r="JGU2"/>
      <c r="JGV2"/>
      <c r="JGW2"/>
      <c r="JGX2"/>
      <c r="JGY2"/>
      <c r="JGZ2"/>
      <c r="JHA2"/>
      <c r="JHB2"/>
      <c r="JHC2"/>
      <c r="JHD2"/>
      <c r="JHE2"/>
      <c r="JHF2"/>
      <c r="JHG2"/>
      <c r="JHH2"/>
      <c r="JHI2"/>
      <c r="JHJ2"/>
      <c r="JHK2"/>
      <c r="JHL2"/>
      <c r="JHM2"/>
      <c r="JHN2"/>
      <c r="JHO2"/>
      <c r="JHP2"/>
      <c r="JHQ2"/>
      <c r="JHR2"/>
      <c r="JHS2"/>
      <c r="JHT2"/>
      <c r="JHU2"/>
      <c r="JHV2"/>
      <c r="JHW2"/>
      <c r="JHX2"/>
      <c r="JHY2"/>
      <c r="JHZ2"/>
      <c r="JIA2"/>
      <c r="JIB2"/>
      <c r="JIC2"/>
      <c r="JID2"/>
      <c r="JIE2"/>
      <c r="JIF2"/>
      <c r="JIG2"/>
      <c r="JIH2"/>
      <c r="JII2"/>
      <c r="JIJ2"/>
      <c r="JIK2"/>
      <c r="JIL2"/>
      <c r="JIM2"/>
      <c r="JIN2"/>
      <c r="JIO2"/>
      <c r="JIP2"/>
      <c r="JIQ2"/>
      <c r="JIR2"/>
      <c r="JIS2"/>
      <c r="JIT2"/>
      <c r="JIU2"/>
      <c r="JIV2"/>
      <c r="JIW2"/>
      <c r="JIX2"/>
      <c r="JIY2"/>
      <c r="JIZ2"/>
      <c r="JJA2"/>
      <c r="JJB2"/>
      <c r="JJC2"/>
      <c r="JJD2"/>
      <c r="JJE2"/>
      <c r="JJF2"/>
      <c r="JJG2"/>
      <c r="JJH2"/>
      <c r="JJI2"/>
      <c r="JJJ2"/>
      <c r="JJK2"/>
      <c r="JJL2"/>
      <c r="JJM2"/>
      <c r="JJN2"/>
      <c r="JJO2"/>
      <c r="JJP2"/>
      <c r="JJQ2"/>
      <c r="JJR2"/>
      <c r="JJS2"/>
      <c r="JJT2"/>
      <c r="JJU2"/>
      <c r="JJV2"/>
      <c r="JJW2"/>
      <c r="JJX2"/>
      <c r="JJY2"/>
      <c r="JJZ2"/>
      <c r="JKA2"/>
      <c r="JKB2"/>
      <c r="JKC2"/>
      <c r="JKD2"/>
      <c r="JKE2"/>
      <c r="JKF2"/>
      <c r="JKG2"/>
      <c r="JKH2"/>
      <c r="JKI2"/>
      <c r="JKJ2"/>
      <c r="JKK2"/>
      <c r="JKL2"/>
      <c r="JKM2"/>
      <c r="JKN2"/>
      <c r="JKO2"/>
      <c r="JKP2"/>
      <c r="JKQ2"/>
      <c r="JKR2"/>
      <c r="JKS2"/>
      <c r="JKT2"/>
      <c r="JKU2"/>
      <c r="JKV2"/>
      <c r="JKW2"/>
      <c r="JKX2"/>
      <c r="JKY2"/>
      <c r="JKZ2"/>
      <c r="JLA2"/>
      <c r="JLB2"/>
      <c r="JLC2"/>
      <c r="JLD2"/>
      <c r="JLE2"/>
      <c r="JLF2"/>
      <c r="JLG2"/>
      <c r="JLH2"/>
      <c r="JLI2"/>
      <c r="JLJ2"/>
      <c r="JLK2"/>
      <c r="JLL2"/>
      <c r="JLM2"/>
      <c r="JLN2"/>
      <c r="JLO2"/>
      <c r="JLP2"/>
      <c r="JLQ2"/>
      <c r="JLR2"/>
      <c r="JLS2"/>
      <c r="JLT2"/>
      <c r="JLU2"/>
      <c r="JLV2"/>
      <c r="JLW2"/>
      <c r="JLX2"/>
      <c r="JLY2"/>
      <c r="JLZ2"/>
      <c r="JMA2"/>
      <c r="JMB2"/>
      <c r="JMC2"/>
      <c r="JMD2"/>
      <c r="JME2"/>
      <c r="JMF2"/>
      <c r="JMG2"/>
      <c r="JMH2"/>
      <c r="JMI2"/>
      <c r="JMJ2"/>
      <c r="JMK2"/>
      <c r="JML2"/>
      <c r="JMM2"/>
      <c r="JMN2"/>
      <c r="JMO2"/>
      <c r="JMP2"/>
      <c r="JMQ2"/>
      <c r="JMR2"/>
      <c r="JMS2"/>
      <c r="JMT2"/>
      <c r="JMU2"/>
      <c r="JMV2"/>
      <c r="JMW2"/>
      <c r="JMX2"/>
      <c r="JMY2"/>
      <c r="JMZ2"/>
      <c r="JNA2"/>
      <c r="JNB2"/>
      <c r="JNC2"/>
      <c r="JND2"/>
      <c r="JNE2"/>
      <c r="JNF2"/>
      <c r="JNG2"/>
      <c r="JNH2"/>
      <c r="JNI2"/>
      <c r="JNJ2"/>
      <c r="JNK2"/>
      <c r="JNL2"/>
      <c r="JNM2"/>
      <c r="JNN2"/>
      <c r="JNO2"/>
      <c r="JNP2"/>
      <c r="JNQ2"/>
      <c r="JNR2"/>
      <c r="JNS2"/>
      <c r="JNT2"/>
      <c r="JNU2"/>
      <c r="JNV2"/>
      <c r="JNW2"/>
      <c r="JNX2"/>
      <c r="JNY2"/>
      <c r="JNZ2"/>
      <c r="JOA2"/>
      <c r="JOB2"/>
      <c r="JOC2"/>
      <c r="JOD2"/>
      <c r="JOE2"/>
      <c r="JOF2"/>
      <c r="JOG2"/>
      <c r="JOH2"/>
      <c r="JOI2"/>
      <c r="JOJ2"/>
      <c r="JOK2"/>
      <c r="JOL2"/>
      <c r="JOM2"/>
      <c r="JON2"/>
      <c r="JOO2"/>
      <c r="JOP2"/>
      <c r="JOQ2"/>
      <c r="JOR2"/>
      <c r="JOS2"/>
      <c r="JOT2"/>
      <c r="JOU2"/>
      <c r="JOV2"/>
      <c r="JOW2"/>
      <c r="JOX2"/>
      <c r="JOY2"/>
      <c r="JOZ2"/>
      <c r="JPA2"/>
      <c r="JPB2"/>
      <c r="JPC2"/>
      <c r="JPD2"/>
      <c r="JPE2"/>
      <c r="JPF2"/>
      <c r="JPG2"/>
      <c r="JPH2"/>
      <c r="JPI2"/>
      <c r="JPJ2"/>
      <c r="JPK2"/>
      <c r="JPL2"/>
      <c r="JPM2"/>
      <c r="JPN2"/>
      <c r="JPO2"/>
      <c r="JPP2"/>
      <c r="JPQ2"/>
      <c r="JPR2"/>
      <c r="JPS2"/>
      <c r="JPT2"/>
      <c r="JPU2"/>
      <c r="JPV2"/>
      <c r="JPW2"/>
      <c r="JPX2"/>
      <c r="JPY2"/>
      <c r="JPZ2"/>
      <c r="JQA2"/>
      <c r="JQB2"/>
      <c r="JQC2"/>
      <c r="JQD2"/>
      <c r="JQE2"/>
      <c r="JQF2"/>
      <c r="JQG2"/>
      <c r="JQH2"/>
      <c r="JQI2"/>
      <c r="JQJ2"/>
      <c r="JQK2"/>
      <c r="JQL2"/>
      <c r="JQM2"/>
      <c r="JQN2"/>
      <c r="JQO2"/>
      <c r="JQP2"/>
      <c r="JQQ2"/>
      <c r="JQR2"/>
      <c r="JQS2"/>
      <c r="JQT2"/>
      <c r="JQU2"/>
      <c r="JQV2"/>
      <c r="JQW2"/>
      <c r="JQX2"/>
      <c r="JQY2"/>
      <c r="JQZ2"/>
      <c r="JRA2"/>
      <c r="JRB2"/>
      <c r="JRC2"/>
      <c r="JRD2"/>
      <c r="JRE2"/>
      <c r="JRF2"/>
      <c r="JRG2"/>
      <c r="JRH2"/>
      <c r="JRI2"/>
      <c r="JRJ2"/>
      <c r="JRK2"/>
      <c r="JRL2"/>
      <c r="JRM2"/>
      <c r="JRN2"/>
      <c r="JRO2"/>
      <c r="JRP2"/>
      <c r="JRQ2"/>
      <c r="JRR2"/>
      <c r="JRS2"/>
      <c r="JRT2"/>
      <c r="JRU2"/>
      <c r="JRV2"/>
      <c r="JRW2"/>
      <c r="JRX2"/>
      <c r="JRY2"/>
      <c r="JRZ2"/>
      <c r="JSA2"/>
      <c r="JSB2"/>
      <c r="JSC2"/>
      <c r="JSD2"/>
      <c r="JSE2"/>
      <c r="JSF2"/>
      <c r="JSG2"/>
      <c r="JSH2"/>
      <c r="JSI2"/>
      <c r="JSJ2"/>
      <c r="JSK2"/>
      <c r="JSL2"/>
      <c r="JSM2"/>
      <c r="JSN2"/>
      <c r="JSO2"/>
      <c r="JSP2"/>
      <c r="JSQ2"/>
      <c r="JSR2"/>
      <c r="JSS2"/>
      <c r="JST2"/>
      <c r="JSU2"/>
      <c r="JSV2"/>
      <c r="JSW2"/>
      <c r="JSX2"/>
      <c r="JSY2"/>
      <c r="JSZ2"/>
      <c r="JTA2"/>
      <c r="JTB2"/>
      <c r="JTC2"/>
      <c r="JTD2"/>
      <c r="JTE2"/>
      <c r="JTF2"/>
      <c r="JTG2"/>
      <c r="JTH2"/>
      <c r="JTI2"/>
      <c r="JTJ2"/>
      <c r="JTK2"/>
      <c r="JTL2"/>
      <c r="JTM2"/>
      <c r="JTN2"/>
      <c r="JTO2"/>
      <c r="JTP2"/>
      <c r="JTQ2"/>
      <c r="JTR2"/>
      <c r="JTS2"/>
      <c r="JTT2"/>
      <c r="JTU2"/>
      <c r="JTV2"/>
      <c r="JTW2"/>
      <c r="JTX2"/>
      <c r="JTY2"/>
      <c r="JTZ2"/>
      <c r="JUA2"/>
      <c r="JUB2"/>
      <c r="JUC2"/>
      <c r="JUD2"/>
      <c r="JUE2"/>
      <c r="JUF2"/>
      <c r="JUG2"/>
      <c r="JUH2"/>
      <c r="JUI2"/>
      <c r="JUJ2"/>
      <c r="JUK2"/>
      <c r="JUL2"/>
      <c r="JUM2"/>
      <c r="JUN2"/>
      <c r="JUO2"/>
      <c r="JUP2"/>
      <c r="JUQ2"/>
      <c r="JUR2"/>
      <c r="JUS2"/>
      <c r="JUT2"/>
      <c r="JUU2"/>
      <c r="JUV2"/>
      <c r="JUW2"/>
      <c r="JUX2"/>
      <c r="JUY2"/>
      <c r="JUZ2"/>
      <c r="JVA2"/>
      <c r="JVB2"/>
      <c r="JVC2"/>
      <c r="JVD2"/>
      <c r="JVE2"/>
      <c r="JVF2"/>
      <c r="JVG2"/>
      <c r="JVH2"/>
      <c r="JVI2"/>
      <c r="JVJ2"/>
      <c r="JVK2"/>
      <c r="JVL2"/>
      <c r="JVM2"/>
      <c r="JVN2"/>
      <c r="JVO2"/>
      <c r="JVP2"/>
      <c r="JVQ2"/>
      <c r="JVR2"/>
      <c r="JVS2"/>
      <c r="JVT2"/>
      <c r="JVU2"/>
      <c r="JVV2"/>
      <c r="JVW2"/>
      <c r="JVX2"/>
      <c r="JVY2"/>
      <c r="JVZ2"/>
      <c r="JWA2"/>
      <c r="JWB2"/>
      <c r="JWC2"/>
      <c r="JWD2"/>
      <c r="JWE2"/>
      <c r="JWF2"/>
      <c r="JWG2"/>
      <c r="JWH2"/>
      <c r="JWI2"/>
      <c r="JWJ2"/>
      <c r="JWK2"/>
      <c r="JWL2"/>
      <c r="JWM2"/>
      <c r="JWN2"/>
      <c r="JWO2"/>
      <c r="JWP2"/>
      <c r="JWQ2"/>
      <c r="JWR2"/>
      <c r="JWS2"/>
      <c r="JWT2"/>
      <c r="JWU2"/>
      <c r="JWV2"/>
      <c r="JWW2"/>
      <c r="JWX2"/>
      <c r="JWY2"/>
      <c r="JWZ2"/>
      <c r="JXA2"/>
      <c r="JXB2"/>
      <c r="JXC2"/>
      <c r="JXD2"/>
      <c r="JXE2"/>
      <c r="JXF2"/>
      <c r="JXG2"/>
      <c r="JXH2"/>
      <c r="JXI2"/>
      <c r="JXJ2"/>
      <c r="JXK2"/>
      <c r="JXL2"/>
      <c r="JXM2"/>
      <c r="JXN2"/>
      <c r="JXO2"/>
      <c r="JXP2"/>
      <c r="JXQ2"/>
      <c r="JXR2"/>
      <c r="JXS2"/>
      <c r="JXT2"/>
      <c r="JXU2"/>
      <c r="JXV2"/>
      <c r="JXW2"/>
      <c r="JXX2"/>
      <c r="JXY2"/>
      <c r="JXZ2"/>
      <c r="JYA2"/>
      <c r="JYB2"/>
      <c r="JYC2"/>
      <c r="JYD2"/>
      <c r="JYE2"/>
      <c r="JYF2"/>
      <c r="JYG2"/>
      <c r="JYH2"/>
      <c r="JYI2"/>
      <c r="JYJ2"/>
      <c r="JYK2"/>
      <c r="JYL2"/>
      <c r="JYM2"/>
      <c r="JYN2"/>
      <c r="JYO2"/>
      <c r="JYP2"/>
      <c r="JYQ2"/>
      <c r="JYR2"/>
      <c r="JYS2"/>
      <c r="JYT2"/>
      <c r="JYU2"/>
      <c r="JYV2"/>
      <c r="JYW2"/>
      <c r="JYX2"/>
      <c r="JYY2"/>
      <c r="JYZ2"/>
      <c r="JZA2"/>
      <c r="JZB2"/>
      <c r="JZC2"/>
      <c r="JZD2"/>
      <c r="JZE2"/>
      <c r="JZF2"/>
      <c r="JZG2"/>
      <c r="JZH2"/>
      <c r="JZI2"/>
      <c r="JZJ2"/>
      <c r="JZK2"/>
      <c r="JZL2"/>
      <c r="JZM2"/>
      <c r="JZN2"/>
      <c r="JZO2"/>
      <c r="JZP2"/>
      <c r="JZQ2"/>
      <c r="JZR2"/>
      <c r="JZS2"/>
      <c r="JZT2"/>
      <c r="JZU2"/>
      <c r="JZV2"/>
      <c r="JZW2"/>
      <c r="JZX2"/>
      <c r="JZY2"/>
      <c r="JZZ2"/>
      <c r="KAA2"/>
      <c r="KAB2"/>
      <c r="KAC2"/>
      <c r="KAD2"/>
      <c r="KAE2"/>
      <c r="KAF2"/>
      <c r="KAG2"/>
      <c r="KAH2"/>
      <c r="KAI2"/>
      <c r="KAJ2"/>
      <c r="KAK2"/>
      <c r="KAL2"/>
      <c r="KAM2"/>
      <c r="KAN2"/>
      <c r="KAO2"/>
      <c r="KAP2"/>
      <c r="KAQ2"/>
      <c r="KAR2"/>
      <c r="KAS2"/>
      <c r="KAT2"/>
      <c r="KAU2"/>
      <c r="KAV2"/>
      <c r="KAW2"/>
      <c r="KAX2"/>
      <c r="KAY2"/>
      <c r="KAZ2"/>
      <c r="KBA2"/>
      <c r="KBB2"/>
      <c r="KBC2"/>
      <c r="KBD2"/>
      <c r="KBE2"/>
      <c r="KBF2"/>
      <c r="KBG2"/>
      <c r="KBH2"/>
      <c r="KBI2"/>
      <c r="KBJ2"/>
      <c r="KBK2"/>
      <c r="KBL2"/>
      <c r="KBM2"/>
      <c r="KBN2"/>
      <c r="KBO2"/>
      <c r="KBP2"/>
      <c r="KBQ2"/>
      <c r="KBR2"/>
      <c r="KBS2"/>
      <c r="KBT2"/>
      <c r="KBU2"/>
      <c r="KBV2"/>
      <c r="KBW2"/>
      <c r="KBX2"/>
      <c r="KBY2"/>
      <c r="KBZ2"/>
      <c r="KCA2"/>
      <c r="KCB2"/>
      <c r="KCC2"/>
      <c r="KCD2"/>
      <c r="KCE2"/>
      <c r="KCF2"/>
      <c r="KCG2"/>
      <c r="KCH2"/>
      <c r="KCI2"/>
      <c r="KCJ2"/>
      <c r="KCK2"/>
      <c r="KCL2"/>
      <c r="KCM2"/>
      <c r="KCN2"/>
      <c r="KCO2"/>
      <c r="KCP2"/>
      <c r="KCQ2"/>
      <c r="KCR2"/>
      <c r="KCS2"/>
      <c r="KCT2"/>
      <c r="KCU2"/>
      <c r="KCV2"/>
      <c r="KCW2"/>
      <c r="KCX2"/>
      <c r="KCY2"/>
      <c r="KCZ2"/>
      <c r="KDA2"/>
      <c r="KDB2"/>
      <c r="KDC2"/>
      <c r="KDD2"/>
      <c r="KDE2"/>
      <c r="KDF2"/>
      <c r="KDG2"/>
      <c r="KDH2"/>
      <c r="KDI2"/>
      <c r="KDJ2"/>
      <c r="KDK2"/>
      <c r="KDL2"/>
      <c r="KDM2"/>
      <c r="KDN2"/>
      <c r="KDO2"/>
      <c r="KDP2"/>
      <c r="KDQ2"/>
      <c r="KDR2"/>
      <c r="KDS2"/>
      <c r="KDT2"/>
      <c r="KDU2"/>
      <c r="KDV2"/>
      <c r="KDW2"/>
      <c r="KDX2"/>
      <c r="KDY2"/>
      <c r="KDZ2"/>
      <c r="KEA2"/>
      <c r="KEB2"/>
      <c r="KEC2"/>
      <c r="KED2"/>
      <c r="KEE2"/>
      <c r="KEF2"/>
      <c r="KEG2"/>
      <c r="KEH2"/>
      <c r="KEI2"/>
      <c r="KEJ2"/>
      <c r="KEK2"/>
      <c r="KEL2"/>
      <c r="KEM2"/>
      <c r="KEN2"/>
      <c r="KEO2"/>
      <c r="KEP2"/>
      <c r="KEQ2"/>
      <c r="KER2"/>
      <c r="KES2"/>
      <c r="KET2"/>
      <c r="KEU2"/>
      <c r="KEV2"/>
      <c r="KEW2"/>
      <c r="KEX2"/>
      <c r="KEY2"/>
      <c r="KEZ2"/>
      <c r="KFA2"/>
      <c r="KFB2"/>
      <c r="KFC2"/>
      <c r="KFD2"/>
      <c r="KFE2"/>
      <c r="KFF2"/>
      <c r="KFG2"/>
      <c r="KFH2"/>
      <c r="KFI2"/>
      <c r="KFJ2"/>
      <c r="KFK2"/>
      <c r="KFL2"/>
      <c r="KFM2"/>
      <c r="KFN2"/>
      <c r="KFO2"/>
      <c r="KFP2"/>
      <c r="KFQ2"/>
      <c r="KFR2"/>
      <c r="KFS2"/>
      <c r="KFT2"/>
      <c r="KFU2"/>
      <c r="KFV2"/>
      <c r="KFW2"/>
      <c r="KFX2"/>
      <c r="KFY2"/>
      <c r="KFZ2"/>
      <c r="KGA2"/>
      <c r="KGB2"/>
      <c r="KGC2"/>
      <c r="KGD2"/>
      <c r="KGE2"/>
      <c r="KGF2"/>
      <c r="KGG2"/>
      <c r="KGH2"/>
      <c r="KGI2"/>
      <c r="KGJ2"/>
      <c r="KGK2"/>
      <c r="KGL2"/>
      <c r="KGM2"/>
      <c r="KGN2"/>
      <c r="KGO2"/>
      <c r="KGP2"/>
      <c r="KGQ2"/>
      <c r="KGR2"/>
      <c r="KGS2"/>
      <c r="KGT2"/>
      <c r="KGU2"/>
      <c r="KGV2"/>
      <c r="KGW2"/>
      <c r="KGX2"/>
      <c r="KGY2"/>
      <c r="KGZ2"/>
      <c r="KHA2"/>
      <c r="KHB2"/>
      <c r="KHC2"/>
      <c r="KHD2"/>
      <c r="KHE2"/>
      <c r="KHF2"/>
      <c r="KHG2"/>
      <c r="KHH2"/>
      <c r="KHI2"/>
      <c r="KHJ2"/>
      <c r="KHK2"/>
      <c r="KHL2"/>
      <c r="KHM2"/>
      <c r="KHN2"/>
      <c r="KHO2"/>
      <c r="KHP2"/>
      <c r="KHQ2"/>
      <c r="KHR2"/>
      <c r="KHS2"/>
      <c r="KHT2"/>
      <c r="KHU2"/>
      <c r="KHV2"/>
      <c r="KHW2"/>
      <c r="KHX2"/>
      <c r="KHY2"/>
      <c r="KHZ2"/>
      <c r="KIA2"/>
      <c r="KIB2"/>
      <c r="KIC2"/>
      <c r="KID2"/>
      <c r="KIE2"/>
      <c r="KIF2"/>
      <c r="KIG2"/>
      <c r="KIH2"/>
      <c r="KII2"/>
      <c r="KIJ2"/>
      <c r="KIK2"/>
      <c r="KIL2"/>
      <c r="KIM2"/>
      <c r="KIN2"/>
      <c r="KIO2"/>
      <c r="KIP2"/>
      <c r="KIQ2"/>
      <c r="KIR2"/>
      <c r="KIS2"/>
      <c r="KIT2"/>
      <c r="KIU2"/>
      <c r="KIV2"/>
      <c r="KIW2"/>
      <c r="KIX2"/>
      <c r="KIY2"/>
      <c r="KIZ2"/>
      <c r="KJA2"/>
      <c r="KJB2"/>
      <c r="KJC2"/>
      <c r="KJD2"/>
      <c r="KJE2"/>
      <c r="KJF2"/>
      <c r="KJG2"/>
      <c r="KJH2"/>
      <c r="KJI2"/>
      <c r="KJJ2"/>
      <c r="KJK2"/>
      <c r="KJL2"/>
      <c r="KJM2"/>
      <c r="KJN2"/>
      <c r="KJO2"/>
      <c r="KJP2"/>
      <c r="KJQ2"/>
      <c r="KJR2"/>
      <c r="KJS2"/>
      <c r="KJT2"/>
      <c r="KJU2"/>
      <c r="KJV2"/>
      <c r="KJW2"/>
      <c r="KJX2"/>
      <c r="KJY2"/>
      <c r="KJZ2"/>
      <c r="KKA2"/>
      <c r="KKB2"/>
      <c r="KKC2"/>
      <c r="KKD2"/>
      <c r="KKE2"/>
      <c r="KKF2"/>
      <c r="KKG2"/>
      <c r="KKH2"/>
      <c r="KKI2"/>
      <c r="KKJ2"/>
      <c r="KKK2"/>
      <c r="KKL2"/>
      <c r="KKM2"/>
      <c r="KKN2"/>
      <c r="KKO2"/>
      <c r="KKP2"/>
      <c r="KKQ2"/>
      <c r="KKR2"/>
      <c r="KKS2"/>
      <c r="KKT2"/>
      <c r="KKU2"/>
      <c r="KKV2"/>
      <c r="KKW2"/>
      <c r="KKX2"/>
      <c r="KKY2"/>
      <c r="KKZ2"/>
      <c r="KLA2"/>
      <c r="KLB2"/>
      <c r="KLC2"/>
      <c r="KLD2"/>
      <c r="KLE2"/>
      <c r="KLF2"/>
      <c r="KLG2"/>
      <c r="KLH2"/>
      <c r="KLI2"/>
      <c r="KLJ2"/>
      <c r="KLK2"/>
      <c r="KLL2"/>
      <c r="KLM2"/>
      <c r="KLN2"/>
      <c r="KLO2"/>
      <c r="KLP2"/>
      <c r="KLQ2"/>
      <c r="KLR2"/>
      <c r="KLS2"/>
      <c r="KLT2"/>
      <c r="KLU2"/>
      <c r="KLV2"/>
      <c r="KLW2"/>
      <c r="KLX2"/>
      <c r="KLY2"/>
      <c r="KLZ2"/>
      <c r="KMA2"/>
      <c r="KMB2"/>
      <c r="KMC2"/>
      <c r="KMD2"/>
      <c r="KME2"/>
      <c r="KMF2"/>
      <c r="KMG2"/>
      <c r="KMH2"/>
      <c r="KMI2"/>
      <c r="KMJ2"/>
      <c r="KMK2"/>
      <c r="KML2"/>
      <c r="KMM2"/>
      <c r="KMN2"/>
      <c r="KMO2"/>
      <c r="KMP2"/>
      <c r="KMQ2"/>
      <c r="KMR2"/>
      <c r="KMS2"/>
      <c r="KMT2"/>
      <c r="KMU2"/>
      <c r="KMV2"/>
      <c r="KMW2"/>
      <c r="KMX2"/>
      <c r="KMY2"/>
      <c r="KMZ2"/>
      <c r="KNA2"/>
      <c r="KNB2"/>
      <c r="KNC2"/>
      <c r="KND2"/>
      <c r="KNE2"/>
      <c r="KNF2"/>
      <c r="KNG2"/>
      <c r="KNH2"/>
      <c r="KNI2"/>
      <c r="KNJ2"/>
      <c r="KNK2"/>
      <c r="KNL2"/>
      <c r="KNM2"/>
      <c r="KNN2"/>
      <c r="KNO2"/>
      <c r="KNP2"/>
      <c r="KNQ2"/>
      <c r="KNR2"/>
      <c r="KNS2"/>
      <c r="KNT2"/>
      <c r="KNU2"/>
      <c r="KNV2"/>
      <c r="KNW2"/>
      <c r="KNX2"/>
      <c r="KNY2"/>
      <c r="KNZ2"/>
      <c r="KOA2"/>
      <c r="KOB2"/>
      <c r="KOC2"/>
      <c r="KOD2"/>
      <c r="KOE2"/>
      <c r="KOF2"/>
      <c r="KOG2"/>
      <c r="KOH2"/>
      <c r="KOI2"/>
      <c r="KOJ2"/>
      <c r="KOK2"/>
      <c r="KOL2"/>
      <c r="KOM2"/>
      <c r="KON2"/>
      <c r="KOO2"/>
      <c r="KOP2"/>
      <c r="KOQ2"/>
      <c r="KOR2"/>
      <c r="KOS2"/>
      <c r="KOT2"/>
      <c r="KOU2"/>
      <c r="KOV2"/>
      <c r="KOW2"/>
      <c r="KOX2"/>
      <c r="KOY2"/>
      <c r="KOZ2"/>
      <c r="KPA2"/>
      <c r="KPB2"/>
      <c r="KPC2"/>
      <c r="KPD2"/>
      <c r="KPE2"/>
      <c r="KPF2"/>
      <c r="KPG2"/>
      <c r="KPH2"/>
      <c r="KPI2"/>
      <c r="KPJ2"/>
      <c r="KPK2"/>
      <c r="KPL2"/>
      <c r="KPM2"/>
      <c r="KPN2"/>
      <c r="KPO2"/>
      <c r="KPP2"/>
      <c r="KPQ2"/>
      <c r="KPR2"/>
      <c r="KPS2"/>
      <c r="KPT2"/>
      <c r="KPU2"/>
      <c r="KPV2"/>
      <c r="KPW2"/>
      <c r="KPX2"/>
      <c r="KPY2"/>
      <c r="KPZ2"/>
      <c r="KQA2"/>
      <c r="KQB2"/>
      <c r="KQC2"/>
      <c r="KQD2"/>
      <c r="KQE2"/>
      <c r="KQF2"/>
      <c r="KQG2"/>
      <c r="KQH2"/>
      <c r="KQI2"/>
      <c r="KQJ2"/>
      <c r="KQK2"/>
      <c r="KQL2"/>
      <c r="KQM2"/>
      <c r="KQN2"/>
      <c r="KQO2"/>
      <c r="KQP2"/>
      <c r="KQQ2"/>
      <c r="KQR2"/>
      <c r="KQS2"/>
      <c r="KQT2"/>
      <c r="KQU2"/>
      <c r="KQV2"/>
      <c r="KQW2"/>
      <c r="KQX2"/>
      <c r="KQY2"/>
      <c r="KQZ2"/>
      <c r="KRA2"/>
      <c r="KRB2"/>
      <c r="KRC2"/>
      <c r="KRD2"/>
      <c r="KRE2"/>
      <c r="KRF2"/>
      <c r="KRG2"/>
      <c r="KRH2"/>
      <c r="KRI2"/>
      <c r="KRJ2"/>
      <c r="KRK2"/>
      <c r="KRL2"/>
      <c r="KRM2"/>
      <c r="KRN2"/>
      <c r="KRO2"/>
      <c r="KRP2"/>
      <c r="KRQ2"/>
      <c r="KRR2"/>
      <c r="KRS2"/>
      <c r="KRT2"/>
      <c r="KRU2"/>
      <c r="KRV2"/>
      <c r="KRW2"/>
      <c r="KRX2"/>
      <c r="KRY2"/>
      <c r="KRZ2"/>
      <c r="KSA2"/>
      <c r="KSB2"/>
      <c r="KSC2"/>
      <c r="KSD2"/>
      <c r="KSE2"/>
      <c r="KSF2"/>
      <c r="KSG2"/>
      <c r="KSH2"/>
      <c r="KSI2"/>
      <c r="KSJ2"/>
      <c r="KSK2"/>
      <c r="KSL2"/>
      <c r="KSM2"/>
      <c r="KSN2"/>
      <c r="KSO2"/>
      <c r="KSP2"/>
      <c r="KSQ2"/>
      <c r="KSR2"/>
      <c r="KSS2"/>
      <c r="KST2"/>
      <c r="KSU2"/>
      <c r="KSV2"/>
      <c r="KSW2"/>
      <c r="KSX2"/>
      <c r="KSY2"/>
      <c r="KSZ2"/>
      <c r="KTA2"/>
      <c r="KTB2"/>
      <c r="KTC2"/>
      <c r="KTD2"/>
      <c r="KTE2"/>
      <c r="KTF2"/>
      <c r="KTG2"/>
      <c r="KTH2"/>
      <c r="KTI2"/>
      <c r="KTJ2"/>
      <c r="KTK2"/>
      <c r="KTL2"/>
      <c r="KTM2"/>
      <c r="KTN2"/>
      <c r="KTO2"/>
      <c r="KTP2"/>
      <c r="KTQ2"/>
      <c r="KTR2"/>
      <c r="KTS2"/>
      <c r="KTT2"/>
      <c r="KTU2"/>
      <c r="KTV2"/>
      <c r="KTW2"/>
      <c r="KTX2"/>
      <c r="KTY2"/>
      <c r="KTZ2"/>
      <c r="KUA2"/>
      <c r="KUB2"/>
      <c r="KUC2"/>
      <c r="KUD2"/>
      <c r="KUE2"/>
      <c r="KUF2"/>
      <c r="KUG2"/>
      <c r="KUH2"/>
      <c r="KUI2"/>
      <c r="KUJ2"/>
      <c r="KUK2"/>
      <c r="KUL2"/>
      <c r="KUM2"/>
      <c r="KUN2"/>
      <c r="KUO2"/>
      <c r="KUP2"/>
      <c r="KUQ2"/>
      <c r="KUR2"/>
      <c r="KUS2"/>
      <c r="KUT2"/>
      <c r="KUU2"/>
      <c r="KUV2"/>
      <c r="KUW2"/>
      <c r="KUX2"/>
      <c r="KUY2"/>
      <c r="KUZ2"/>
      <c r="KVA2"/>
      <c r="KVB2"/>
      <c r="KVC2"/>
      <c r="KVD2"/>
      <c r="KVE2"/>
      <c r="KVF2"/>
      <c r="KVG2"/>
      <c r="KVH2"/>
      <c r="KVI2"/>
      <c r="KVJ2"/>
      <c r="KVK2"/>
      <c r="KVL2"/>
      <c r="KVM2"/>
      <c r="KVN2"/>
      <c r="KVO2"/>
      <c r="KVP2"/>
      <c r="KVQ2"/>
      <c r="KVR2"/>
      <c r="KVS2"/>
      <c r="KVT2"/>
      <c r="KVU2"/>
      <c r="KVV2"/>
      <c r="KVW2"/>
      <c r="KVX2"/>
      <c r="KVY2"/>
      <c r="KVZ2"/>
      <c r="KWA2"/>
      <c r="KWB2"/>
      <c r="KWC2"/>
      <c r="KWD2"/>
      <c r="KWE2"/>
      <c r="KWF2"/>
      <c r="KWG2"/>
      <c r="KWH2"/>
      <c r="KWI2"/>
      <c r="KWJ2"/>
      <c r="KWK2"/>
      <c r="KWL2"/>
      <c r="KWM2"/>
      <c r="KWN2"/>
      <c r="KWO2"/>
      <c r="KWP2"/>
      <c r="KWQ2"/>
      <c r="KWR2"/>
      <c r="KWS2"/>
      <c r="KWT2"/>
      <c r="KWU2"/>
      <c r="KWV2"/>
      <c r="KWW2"/>
      <c r="KWX2"/>
      <c r="KWY2"/>
      <c r="KWZ2"/>
      <c r="KXA2"/>
      <c r="KXB2"/>
      <c r="KXC2"/>
      <c r="KXD2"/>
      <c r="KXE2"/>
      <c r="KXF2"/>
      <c r="KXG2"/>
      <c r="KXH2"/>
      <c r="KXI2"/>
      <c r="KXJ2"/>
      <c r="KXK2"/>
      <c r="KXL2"/>
      <c r="KXM2"/>
      <c r="KXN2"/>
      <c r="KXO2"/>
      <c r="KXP2"/>
      <c r="KXQ2"/>
      <c r="KXR2"/>
      <c r="KXS2"/>
      <c r="KXT2"/>
      <c r="KXU2"/>
      <c r="KXV2"/>
      <c r="KXW2"/>
      <c r="KXX2"/>
      <c r="KXY2"/>
      <c r="KXZ2"/>
      <c r="KYA2"/>
      <c r="KYB2"/>
      <c r="KYC2"/>
      <c r="KYD2"/>
      <c r="KYE2"/>
      <c r="KYF2"/>
      <c r="KYG2"/>
      <c r="KYH2"/>
      <c r="KYI2"/>
      <c r="KYJ2"/>
      <c r="KYK2"/>
      <c r="KYL2"/>
      <c r="KYM2"/>
      <c r="KYN2"/>
      <c r="KYO2"/>
      <c r="KYP2"/>
      <c r="KYQ2"/>
      <c r="KYR2"/>
      <c r="KYS2"/>
      <c r="KYT2"/>
      <c r="KYU2"/>
      <c r="KYV2"/>
      <c r="KYW2"/>
      <c r="KYX2"/>
      <c r="KYY2"/>
      <c r="KYZ2"/>
      <c r="KZA2"/>
      <c r="KZB2"/>
      <c r="KZC2"/>
      <c r="KZD2"/>
      <c r="KZE2"/>
      <c r="KZF2"/>
      <c r="KZG2"/>
      <c r="KZH2"/>
      <c r="KZI2"/>
      <c r="KZJ2"/>
      <c r="KZK2"/>
      <c r="KZL2"/>
      <c r="KZM2"/>
      <c r="KZN2"/>
      <c r="KZO2"/>
      <c r="KZP2"/>
      <c r="KZQ2"/>
      <c r="KZR2"/>
      <c r="KZS2"/>
      <c r="KZT2"/>
      <c r="KZU2"/>
      <c r="KZV2"/>
      <c r="KZW2"/>
      <c r="KZX2"/>
      <c r="KZY2"/>
      <c r="KZZ2"/>
      <c r="LAA2"/>
      <c r="LAB2"/>
      <c r="LAC2"/>
      <c r="LAD2"/>
      <c r="LAE2"/>
      <c r="LAF2"/>
      <c r="LAG2"/>
      <c r="LAH2"/>
      <c r="LAI2"/>
      <c r="LAJ2"/>
      <c r="LAK2"/>
      <c r="LAL2"/>
      <c r="LAM2"/>
      <c r="LAN2"/>
      <c r="LAO2"/>
      <c r="LAP2"/>
      <c r="LAQ2"/>
      <c r="LAR2"/>
      <c r="LAS2"/>
      <c r="LAT2"/>
      <c r="LAU2"/>
      <c r="LAV2"/>
      <c r="LAW2"/>
      <c r="LAX2"/>
      <c r="LAY2"/>
      <c r="LAZ2"/>
      <c r="LBA2"/>
      <c r="LBB2"/>
      <c r="LBC2"/>
      <c r="LBD2"/>
      <c r="LBE2"/>
      <c r="LBF2"/>
      <c r="LBG2"/>
      <c r="LBH2"/>
      <c r="LBI2"/>
      <c r="LBJ2"/>
      <c r="LBK2"/>
      <c r="LBL2"/>
      <c r="LBM2"/>
      <c r="LBN2"/>
      <c r="LBO2"/>
      <c r="LBP2"/>
      <c r="LBQ2"/>
      <c r="LBR2"/>
      <c r="LBS2"/>
      <c r="LBT2"/>
      <c r="LBU2"/>
      <c r="LBV2"/>
      <c r="LBW2"/>
      <c r="LBX2"/>
      <c r="LBY2"/>
      <c r="LBZ2"/>
      <c r="LCA2"/>
      <c r="LCB2"/>
      <c r="LCC2"/>
      <c r="LCD2"/>
      <c r="LCE2"/>
      <c r="LCF2"/>
      <c r="LCG2"/>
      <c r="LCH2"/>
      <c r="LCI2"/>
      <c r="LCJ2"/>
      <c r="LCK2"/>
      <c r="LCL2"/>
      <c r="LCM2"/>
      <c r="LCN2"/>
      <c r="LCO2"/>
      <c r="LCP2"/>
      <c r="LCQ2"/>
      <c r="LCR2"/>
      <c r="LCS2"/>
      <c r="LCT2"/>
      <c r="LCU2"/>
      <c r="LCV2"/>
      <c r="LCW2"/>
      <c r="LCX2"/>
      <c r="LCY2"/>
      <c r="LCZ2"/>
      <c r="LDA2"/>
      <c r="LDB2"/>
      <c r="LDC2"/>
      <c r="LDD2"/>
      <c r="LDE2"/>
      <c r="LDF2"/>
      <c r="LDG2"/>
      <c r="LDH2"/>
      <c r="LDI2"/>
      <c r="LDJ2"/>
      <c r="LDK2"/>
      <c r="LDL2"/>
      <c r="LDM2"/>
      <c r="LDN2"/>
      <c r="LDO2"/>
      <c r="LDP2"/>
      <c r="LDQ2"/>
      <c r="LDR2"/>
      <c r="LDS2"/>
      <c r="LDT2"/>
      <c r="LDU2"/>
      <c r="LDV2"/>
      <c r="LDW2"/>
      <c r="LDX2"/>
      <c r="LDY2"/>
      <c r="LDZ2"/>
      <c r="LEA2"/>
      <c r="LEB2"/>
      <c r="LEC2"/>
      <c r="LED2"/>
      <c r="LEE2"/>
      <c r="LEF2"/>
      <c r="LEG2"/>
      <c r="LEH2"/>
      <c r="LEI2"/>
      <c r="LEJ2"/>
      <c r="LEK2"/>
      <c r="LEL2"/>
      <c r="LEM2"/>
      <c r="LEN2"/>
      <c r="LEO2"/>
      <c r="LEP2"/>
      <c r="LEQ2"/>
      <c r="LER2"/>
      <c r="LES2"/>
      <c r="LET2"/>
      <c r="LEU2"/>
      <c r="LEV2"/>
      <c r="LEW2"/>
      <c r="LEX2"/>
      <c r="LEY2"/>
      <c r="LEZ2"/>
      <c r="LFA2"/>
      <c r="LFB2"/>
      <c r="LFC2"/>
      <c r="LFD2"/>
      <c r="LFE2"/>
      <c r="LFF2"/>
      <c r="LFG2"/>
      <c r="LFH2"/>
      <c r="LFI2"/>
      <c r="LFJ2"/>
      <c r="LFK2"/>
      <c r="LFL2"/>
      <c r="LFM2"/>
      <c r="LFN2"/>
      <c r="LFO2"/>
      <c r="LFP2"/>
      <c r="LFQ2"/>
      <c r="LFR2"/>
      <c r="LFS2"/>
      <c r="LFT2"/>
      <c r="LFU2"/>
      <c r="LFV2"/>
      <c r="LFW2"/>
      <c r="LFX2"/>
      <c r="LFY2"/>
      <c r="LFZ2"/>
      <c r="LGA2"/>
      <c r="LGB2"/>
      <c r="LGC2"/>
      <c r="LGD2"/>
      <c r="LGE2"/>
      <c r="LGF2"/>
      <c r="LGG2"/>
      <c r="LGH2"/>
      <c r="LGI2"/>
      <c r="LGJ2"/>
      <c r="LGK2"/>
      <c r="LGL2"/>
      <c r="LGM2"/>
      <c r="LGN2"/>
      <c r="LGO2"/>
      <c r="LGP2"/>
      <c r="LGQ2"/>
      <c r="LGR2"/>
      <c r="LGS2"/>
      <c r="LGT2"/>
      <c r="LGU2"/>
      <c r="LGV2"/>
      <c r="LGW2"/>
      <c r="LGX2"/>
      <c r="LGY2"/>
      <c r="LGZ2"/>
      <c r="LHA2"/>
      <c r="LHB2"/>
      <c r="LHC2"/>
      <c r="LHD2"/>
      <c r="LHE2"/>
      <c r="LHF2"/>
      <c r="LHG2"/>
      <c r="LHH2"/>
      <c r="LHI2"/>
      <c r="LHJ2"/>
      <c r="LHK2"/>
      <c r="LHL2"/>
      <c r="LHM2"/>
      <c r="LHN2"/>
      <c r="LHO2"/>
      <c r="LHP2"/>
      <c r="LHQ2"/>
      <c r="LHR2"/>
      <c r="LHS2"/>
      <c r="LHT2"/>
      <c r="LHU2"/>
      <c r="LHV2"/>
      <c r="LHW2"/>
      <c r="LHX2"/>
      <c r="LHY2"/>
      <c r="LHZ2"/>
      <c r="LIA2"/>
      <c r="LIB2"/>
      <c r="LIC2"/>
      <c r="LID2"/>
      <c r="LIE2"/>
      <c r="LIF2"/>
      <c r="LIG2"/>
      <c r="LIH2"/>
      <c r="LII2"/>
      <c r="LIJ2"/>
      <c r="LIK2"/>
      <c r="LIL2"/>
      <c r="LIM2"/>
      <c r="LIN2"/>
      <c r="LIO2"/>
      <c r="LIP2"/>
      <c r="LIQ2"/>
      <c r="LIR2"/>
      <c r="LIS2"/>
      <c r="LIT2"/>
      <c r="LIU2"/>
      <c r="LIV2"/>
      <c r="LIW2"/>
      <c r="LIX2"/>
      <c r="LIY2"/>
      <c r="LIZ2"/>
      <c r="LJA2"/>
      <c r="LJB2"/>
      <c r="LJC2"/>
      <c r="LJD2"/>
      <c r="LJE2"/>
      <c r="LJF2"/>
      <c r="LJG2"/>
      <c r="LJH2"/>
      <c r="LJI2"/>
      <c r="LJJ2"/>
      <c r="LJK2"/>
      <c r="LJL2"/>
      <c r="LJM2"/>
      <c r="LJN2"/>
      <c r="LJO2"/>
      <c r="LJP2"/>
      <c r="LJQ2"/>
      <c r="LJR2"/>
      <c r="LJS2"/>
      <c r="LJT2"/>
      <c r="LJU2"/>
      <c r="LJV2"/>
      <c r="LJW2"/>
      <c r="LJX2"/>
      <c r="LJY2"/>
      <c r="LJZ2"/>
      <c r="LKA2"/>
      <c r="LKB2"/>
      <c r="LKC2"/>
      <c r="LKD2"/>
      <c r="LKE2"/>
      <c r="LKF2"/>
      <c r="LKG2"/>
      <c r="LKH2"/>
      <c r="LKI2"/>
      <c r="LKJ2"/>
      <c r="LKK2"/>
      <c r="LKL2"/>
      <c r="LKM2"/>
      <c r="LKN2"/>
      <c r="LKO2"/>
      <c r="LKP2"/>
      <c r="LKQ2"/>
      <c r="LKR2"/>
      <c r="LKS2"/>
      <c r="LKT2"/>
      <c r="LKU2"/>
      <c r="LKV2"/>
      <c r="LKW2"/>
      <c r="LKX2"/>
      <c r="LKY2"/>
      <c r="LKZ2"/>
      <c r="LLA2"/>
      <c r="LLB2"/>
      <c r="LLC2"/>
      <c r="LLD2"/>
      <c r="LLE2"/>
      <c r="LLF2"/>
      <c r="LLG2"/>
      <c r="LLH2"/>
      <c r="LLI2"/>
      <c r="LLJ2"/>
      <c r="LLK2"/>
      <c r="LLL2"/>
      <c r="LLM2"/>
      <c r="LLN2"/>
      <c r="LLO2"/>
      <c r="LLP2"/>
      <c r="LLQ2"/>
      <c r="LLR2"/>
      <c r="LLS2"/>
      <c r="LLT2"/>
      <c r="LLU2"/>
      <c r="LLV2"/>
      <c r="LLW2"/>
      <c r="LLX2"/>
      <c r="LLY2"/>
      <c r="LLZ2"/>
      <c r="LMA2"/>
      <c r="LMB2"/>
      <c r="LMC2"/>
      <c r="LMD2"/>
      <c r="LME2"/>
      <c r="LMF2"/>
      <c r="LMG2"/>
      <c r="LMH2"/>
      <c r="LMI2"/>
      <c r="LMJ2"/>
      <c r="LMK2"/>
      <c r="LML2"/>
      <c r="LMM2"/>
      <c r="LMN2"/>
      <c r="LMO2"/>
      <c r="LMP2"/>
      <c r="LMQ2"/>
      <c r="LMR2"/>
      <c r="LMS2"/>
      <c r="LMT2"/>
      <c r="LMU2"/>
      <c r="LMV2"/>
      <c r="LMW2"/>
      <c r="LMX2"/>
      <c r="LMY2"/>
      <c r="LMZ2"/>
      <c r="LNA2"/>
      <c r="LNB2"/>
      <c r="LNC2"/>
      <c r="LND2"/>
      <c r="LNE2"/>
      <c r="LNF2"/>
      <c r="LNG2"/>
      <c r="LNH2"/>
      <c r="LNI2"/>
      <c r="LNJ2"/>
      <c r="LNK2"/>
      <c r="LNL2"/>
      <c r="LNM2"/>
      <c r="LNN2"/>
      <c r="LNO2"/>
      <c r="LNP2"/>
      <c r="LNQ2"/>
      <c r="LNR2"/>
      <c r="LNS2"/>
      <c r="LNT2"/>
      <c r="LNU2"/>
      <c r="LNV2"/>
      <c r="LNW2"/>
      <c r="LNX2"/>
      <c r="LNY2"/>
      <c r="LNZ2"/>
      <c r="LOA2"/>
      <c r="LOB2"/>
      <c r="LOC2"/>
      <c r="LOD2"/>
      <c r="LOE2"/>
      <c r="LOF2"/>
      <c r="LOG2"/>
      <c r="LOH2"/>
      <c r="LOI2"/>
      <c r="LOJ2"/>
      <c r="LOK2"/>
      <c r="LOL2"/>
      <c r="LOM2"/>
      <c r="LON2"/>
      <c r="LOO2"/>
      <c r="LOP2"/>
      <c r="LOQ2"/>
      <c r="LOR2"/>
      <c r="LOS2"/>
      <c r="LOT2"/>
      <c r="LOU2"/>
      <c r="LOV2"/>
      <c r="LOW2"/>
      <c r="LOX2"/>
      <c r="LOY2"/>
      <c r="LOZ2"/>
      <c r="LPA2"/>
      <c r="LPB2"/>
      <c r="LPC2"/>
      <c r="LPD2"/>
      <c r="LPE2"/>
      <c r="LPF2"/>
      <c r="LPG2"/>
      <c r="LPH2"/>
      <c r="LPI2"/>
      <c r="LPJ2"/>
      <c r="LPK2"/>
      <c r="LPL2"/>
      <c r="LPM2"/>
      <c r="LPN2"/>
      <c r="LPO2"/>
      <c r="LPP2"/>
      <c r="LPQ2"/>
      <c r="LPR2"/>
      <c r="LPS2"/>
      <c r="LPT2"/>
      <c r="LPU2"/>
      <c r="LPV2"/>
      <c r="LPW2"/>
      <c r="LPX2"/>
      <c r="LPY2"/>
      <c r="LPZ2"/>
      <c r="LQA2"/>
      <c r="LQB2"/>
      <c r="LQC2"/>
      <c r="LQD2"/>
      <c r="LQE2"/>
      <c r="LQF2"/>
      <c r="LQG2"/>
      <c r="LQH2"/>
      <c r="LQI2"/>
      <c r="LQJ2"/>
      <c r="LQK2"/>
      <c r="LQL2"/>
      <c r="LQM2"/>
      <c r="LQN2"/>
      <c r="LQO2"/>
      <c r="LQP2"/>
      <c r="LQQ2"/>
      <c r="LQR2"/>
      <c r="LQS2"/>
      <c r="LQT2"/>
      <c r="LQU2"/>
      <c r="LQV2"/>
      <c r="LQW2"/>
      <c r="LQX2"/>
      <c r="LQY2"/>
      <c r="LQZ2"/>
      <c r="LRA2"/>
      <c r="LRB2"/>
      <c r="LRC2"/>
      <c r="LRD2"/>
      <c r="LRE2"/>
      <c r="LRF2"/>
      <c r="LRG2"/>
      <c r="LRH2"/>
      <c r="LRI2"/>
      <c r="LRJ2"/>
      <c r="LRK2"/>
      <c r="LRL2"/>
      <c r="LRM2"/>
      <c r="LRN2"/>
      <c r="LRO2"/>
      <c r="LRP2"/>
      <c r="LRQ2"/>
      <c r="LRR2"/>
      <c r="LRS2"/>
      <c r="LRT2"/>
      <c r="LRU2"/>
      <c r="LRV2"/>
      <c r="LRW2"/>
      <c r="LRX2"/>
      <c r="LRY2"/>
      <c r="LRZ2"/>
      <c r="LSA2"/>
      <c r="LSB2"/>
      <c r="LSC2"/>
      <c r="LSD2"/>
      <c r="LSE2"/>
      <c r="LSF2"/>
      <c r="LSG2"/>
      <c r="LSH2"/>
      <c r="LSI2"/>
      <c r="LSJ2"/>
      <c r="LSK2"/>
      <c r="LSL2"/>
      <c r="LSM2"/>
      <c r="LSN2"/>
      <c r="LSO2"/>
      <c r="LSP2"/>
      <c r="LSQ2"/>
      <c r="LSR2"/>
      <c r="LSS2"/>
      <c r="LST2"/>
      <c r="LSU2"/>
      <c r="LSV2"/>
      <c r="LSW2"/>
      <c r="LSX2"/>
      <c r="LSY2"/>
      <c r="LSZ2"/>
      <c r="LTA2"/>
      <c r="LTB2"/>
      <c r="LTC2"/>
      <c r="LTD2"/>
      <c r="LTE2"/>
      <c r="LTF2"/>
      <c r="LTG2"/>
      <c r="LTH2"/>
      <c r="LTI2"/>
      <c r="LTJ2"/>
      <c r="LTK2"/>
      <c r="LTL2"/>
      <c r="LTM2"/>
      <c r="LTN2"/>
      <c r="LTO2"/>
      <c r="LTP2"/>
      <c r="LTQ2"/>
      <c r="LTR2"/>
      <c r="LTS2"/>
      <c r="LTT2"/>
      <c r="LTU2"/>
      <c r="LTV2"/>
      <c r="LTW2"/>
      <c r="LTX2"/>
      <c r="LTY2"/>
      <c r="LTZ2"/>
      <c r="LUA2"/>
      <c r="LUB2"/>
      <c r="LUC2"/>
      <c r="LUD2"/>
      <c r="LUE2"/>
      <c r="LUF2"/>
      <c r="LUG2"/>
      <c r="LUH2"/>
      <c r="LUI2"/>
      <c r="LUJ2"/>
      <c r="LUK2"/>
      <c r="LUL2"/>
      <c r="LUM2"/>
      <c r="LUN2"/>
      <c r="LUO2"/>
      <c r="LUP2"/>
      <c r="LUQ2"/>
      <c r="LUR2"/>
      <c r="LUS2"/>
      <c r="LUT2"/>
      <c r="LUU2"/>
      <c r="LUV2"/>
      <c r="LUW2"/>
      <c r="LUX2"/>
      <c r="LUY2"/>
      <c r="LUZ2"/>
      <c r="LVA2"/>
      <c r="LVB2"/>
      <c r="LVC2"/>
      <c r="LVD2"/>
      <c r="LVE2"/>
      <c r="LVF2"/>
      <c r="LVG2"/>
      <c r="LVH2"/>
      <c r="LVI2"/>
      <c r="LVJ2"/>
      <c r="LVK2"/>
      <c r="LVL2"/>
      <c r="LVM2"/>
      <c r="LVN2"/>
      <c r="LVO2"/>
      <c r="LVP2"/>
      <c r="LVQ2"/>
      <c r="LVR2"/>
      <c r="LVS2"/>
      <c r="LVT2"/>
      <c r="LVU2"/>
      <c r="LVV2"/>
      <c r="LVW2"/>
      <c r="LVX2"/>
      <c r="LVY2"/>
      <c r="LVZ2"/>
      <c r="LWA2"/>
      <c r="LWB2"/>
      <c r="LWC2"/>
      <c r="LWD2"/>
      <c r="LWE2"/>
      <c r="LWF2"/>
      <c r="LWG2"/>
      <c r="LWH2"/>
      <c r="LWI2"/>
      <c r="LWJ2"/>
      <c r="LWK2"/>
      <c r="LWL2"/>
      <c r="LWM2"/>
      <c r="LWN2"/>
      <c r="LWO2"/>
      <c r="LWP2"/>
      <c r="LWQ2"/>
      <c r="LWR2"/>
      <c r="LWS2"/>
      <c r="LWT2"/>
      <c r="LWU2"/>
      <c r="LWV2"/>
      <c r="LWW2"/>
      <c r="LWX2"/>
      <c r="LWY2"/>
      <c r="LWZ2"/>
      <c r="LXA2"/>
      <c r="LXB2"/>
      <c r="LXC2"/>
      <c r="LXD2"/>
      <c r="LXE2"/>
      <c r="LXF2"/>
      <c r="LXG2"/>
      <c r="LXH2"/>
      <c r="LXI2"/>
      <c r="LXJ2"/>
      <c r="LXK2"/>
      <c r="LXL2"/>
      <c r="LXM2"/>
      <c r="LXN2"/>
      <c r="LXO2"/>
      <c r="LXP2"/>
      <c r="LXQ2"/>
      <c r="LXR2"/>
      <c r="LXS2"/>
      <c r="LXT2"/>
      <c r="LXU2"/>
      <c r="LXV2"/>
      <c r="LXW2"/>
      <c r="LXX2"/>
      <c r="LXY2"/>
      <c r="LXZ2"/>
      <c r="LYA2"/>
      <c r="LYB2"/>
      <c r="LYC2"/>
      <c r="LYD2"/>
      <c r="LYE2"/>
      <c r="LYF2"/>
      <c r="LYG2"/>
      <c r="LYH2"/>
      <c r="LYI2"/>
      <c r="LYJ2"/>
      <c r="LYK2"/>
      <c r="LYL2"/>
      <c r="LYM2"/>
      <c r="LYN2"/>
      <c r="LYO2"/>
      <c r="LYP2"/>
      <c r="LYQ2"/>
      <c r="LYR2"/>
      <c r="LYS2"/>
      <c r="LYT2"/>
      <c r="LYU2"/>
      <c r="LYV2"/>
      <c r="LYW2"/>
      <c r="LYX2"/>
      <c r="LYY2"/>
      <c r="LYZ2"/>
      <c r="LZA2"/>
      <c r="LZB2"/>
      <c r="LZC2"/>
      <c r="LZD2"/>
      <c r="LZE2"/>
      <c r="LZF2"/>
      <c r="LZG2"/>
      <c r="LZH2"/>
      <c r="LZI2"/>
      <c r="LZJ2"/>
      <c r="LZK2"/>
      <c r="LZL2"/>
      <c r="LZM2"/>
      <c r="LZN2"/>
      <c r="LZO2"/>
      <c r="LZP2"/>
      <c r="LZQ2"/>
      <c r="LZR2"/>
      <c r="LZS2"/>
      <c r="LZT2"/>
      <c r="LZU2"/>
      <c r="LZV2"/>
      <c r="LZW2"/>
      <c r="LZX2"/>
      <c r="LZY2"/>
      <c r="LZZ2"/>
      <c r="MAA2"/>
      <c r="MAB2"/>
      <c r="MAC2"/>
      <c r="MAD2"/>
      <c r="MAE2"/>
      <c r="MAF2"/>
      <c r="MAG2"/>
      <c r="MAH2"/>
      <c r="MAI2"/>
      <c r="MAJ2"/>
      <c r="MAK2"/>
      <c r="MAL2"/>
      <c r="MAM2"/>
      <c r="MAN2"/>
      <c r="MAO2"/>
      <c r="MAP2"/>
      <c r="MAQ2"/>
      <c r="MAR2"/>
      <c r="MAS2"/>
      <c r="MAT2"/>
      <c r="MAU2"/>
      <c r="MAV2"/>
      <c r="MAW2"/>
      <c r="MAX2"/>
      <c r="MAY2"/>
      <c r="MAZ2"/>
      <c r="MBA2"/>
      <c r="MBB2"/>
      <c r="MBC2"/>
      <c r="MBD2"/>
      <c r="MBE2"/>
      <c r="MBF2"/>
      <c r="MBG2"/>
      <c r="MBH2"/>
      <c r="MBI2"/>
      <c r="MBJ2"/>
      <c r="MBK2"/>
      <c r="MBL2"/>
      <c r="MBM2"/>
      <c r="MBN2"/>
      <c r="MBO2"/>
      <c r="MBP2"/>
      <c r="MBQ2"/>
      <c r="MBR2"/>
      <c r="MBS2"/>
      <c r="MBT2"/>
      <c r="MBU2"/>
      <c r="MBV2"/>
      <c r="MBW2"/>
      <c r="MBX2"/>
      <c r="MBY2"/>
      <c r="MBZ2"/>
      <c r="MCA2"/>
      <c r="MCB2"/>
      <c r="MCC2"/>
      <c r="MCD2"/>
      <c r="MCE2"/>
      <c r="MCF2"/>
      <c r="MCG2"/>
      <c r="MCH2"/>
      <c r="MCI2"/>
      <c r="MCJ2"/>
      <c r="MCK2"/>
      <c r="MCL2"/>
      <c r="MCM2"/>
      <c r="MCN2"/>
      <c r="MCO2"/>
      <c r="MCP2"/>
      <c r="MCQ2"/>
      <c r="MCR2"/>
      <c r="MCS2"/>
      <c r="MCT2"/>
      <c r="MCU2"/>
      <c r="MCV2"/>
      <c r="MCW2"/>
      <c r="MCX2"/>
      <c r="MCY2"/>
      <c r="MCZ2"/>
      <c r="MDA2"/>
      <c r="MDB2"/>
      <c r="MDC2"/>
      <c r="MDD2"/>
      <c r="MDE2"/>
      <c r="MDF2"/>
      <c r="MDG2"/>
      <c r="MDH2"/>
      <c r="MDI2"/>
      <c r="MDJ2"/>
      <c r="MDK2"/>
      <c r="MDL2"/>
      <c r="MDM2"/>
      <c r="MDN2"/>
      <c r="MDO2"/>
      <c r="MDP2"/>
      <c r="MDQ2"/>
      <c r="MDR2"/>
      <c r="MDS2"/>
      <c r="MDT2"/>
      <c r="MDU2"/>
      <c r="MDV2"/>
      <c r="MDW2"/>
      <c r="MDX2"/>
      <c r="MDY2"/>
      <c r="MDZ2"/>
      <c r="MEA2"/>
      <c r="MEB2"/>
      <c r="MEC2"/>
      <c r="MED2"/>
      <c r="MEE2"/>
      <c r="MEF2"/>
      <c r="MEG2"/>
      <c r="MEH2"/>
      <c r="MEI2"/>
      <c r="MEJ2"/>
      <c r="MEK2"/>
      <c r="MEL2"/>
      <c r="MEM2"/>
      <c r="MEN2"/>
      <c r="MEO2"/>
      <c r="MEP2"/>
      <c r="MEQ2"/>
      <c r="MER2"/>
      <c r="MES2"/>
      <c r="MET2"/>
      <c r="MEU2"/>
      <c r="MEV2"/>
      <c r="MEW2"/>
      <c r="MEX2"/>
      <c r="MEY2"/>
      <c r="MEZ2"/>
      <c r="MFA2"/>
      <c r="MFB2"/>
      <c r="MFC2"/>
      <c r="MFD2"/>
      <c r="MFE2"/>
      <c r="MFF2"/>
      <c r="MFG2"/>
      <c r="MFH2"/>
      <c r="MFI2"/>
      <c r="MFJ2"/>
      <c r="MFK2"/>
      <c r="MFL2"/>
      <c r="MFM2"/>
      <c r="MFN2"/>
      <c r="MFO2"/>
      <c r="MFP2"/>
      <c r="MFQ2"/>
      <c r="MFR2"/>
      <c r="MFS2"/>
      <c r="MFT2"/>
      <c r="MFU2"/>
      <c r="MFV2"/>
      <c r="MFW2"/>
      <c r="MFX2"/>
      <c r="MFY2"/>
      <c r="MFZ2"/>
      <c r="MGA2"/>
      <c r="MGB2"/>
      <c r="MGC2"/>
      <c r="MGD2"/>
      <c r="MGE2"/>
      <c r="MGF2"/>
      <c r="MGG2"/>
      <c r="MGH2"/>
      <c r="MGI2"/>
      <c r="MGJ2"/>
      <c r="MGK2"/>
      <c r="MGL2"/>
      <c r="MGM2"/>
      <c r="MGN2"/>
      <c r="MGO2"/>
      <c r="MGP2"/>
      <c r="MGQ2"/>
      <c r="MGR2"/>
      <c r="MGS2"/>
      <c r="MGT2"/>
      <c r="MGU2"/>
      <c r="MGV2"/>
      <c r="MGW2"/>
      <c r="MGX2"/>
      <c r="MGY2"/>
      <c r="MGZ2"/>
      <c r="MHA2"/>
      <c r="MHB2"/>
      <c r="MHC2"/>
      <c r="MHD2"/>
      <c r="MHE2"/>
      <c r="MHF2"/>
      <c r="MHG2"/>
      <c r="MHH2"/>
      <c r="MHI2"/>
      <c r="MHJ2"/>
      <c r="MHK2"/>
      <c r="MHL2"/>
      <c r="MHM2"/>
      <c r="MHN2"/>
      <c r="MHO2"/>
      <c r="MHP2"/>
      <c r="MHQ2"/>
      <c r="MHR2"/>
      <c r="MHS2"/>
      <c r="MHT2"/>
      <c r="MHU2"/>
      <c r="MHV2"/>
      <c r="MHW2"/>
      <c r="MHX2"/>
      <c r="MHY2"/>
      <c r="MHZ2"/>
      <c r="MIA2"/>
      <c r="MIB2"/>
      <c r="MIC2"/>
      <c r="MID2"/>
      <c r="MIE2"/>
      <c r="MIF2"/>
      <c r="MIG2"/>
      <c r="MIH2"/>
      <c r="MII2"/>
      <c r="MIJ2"/>
      <c r="MIK2"/>
      <c r="MIL2"/>
      <c r="MIM2"/>
      <c r="MIN2"/>
      <c r="MIO2"/>
      <c r="MIP2"/>
      <c r="MIQ2"/>
      <c r="MIR2"/>
      <c r="MIS2"/>
      <c r="MIT2"/>
      <c r="MIU2"/>
      <c r="MIV2"/>
      <c r="MIW2"/>
      <c r="MIX2"/>
      <c r="MIY2"/>
      <c r="MIZ2"/>
      <c r="MJA2"/>
      <c r="MJB2"/>
      <c r="MJC2"/>
      <c r="MJD2"/>
      <c r="MJE2"/>
      <c r="MJF2"/>
      <c r="MJG2"/>
      <c r="MJH2"/>
      <c r="MJI2"/>
      <c r="MJJ2"/>
      <c r="MJK2"/>
      <c r="MJL2"/>
      <c r="MJM2"/>
      <c r="MJN2"/>
      <c r="MJO2"/>
      <c r="MJP2"/>
      <c r="MJQ2"/>
      <c r="MJR2"/>
      <c r="MJS2"/>
      <c r="MJT2"/>
      <c r="MJU2"/>
      <c r="MJV2"/>
      <c r="MJW2"/>
      <c r="MJX2"/>
      <c r="MJY2"/>
      <c r="MJZ2"/>
      <c r="MKA2"/>
      <c r="MKB2"/>
      <c r="MKC2"/>
      <c r="MKD2"/>
      <c r="MKE2"/>
      <c r="MKF2"/>
      <c r="MKG2"/>
      <c r="MKH2"/>
      <c r="MKI2"/>
      <c r="MKJ2"/>
      <c r="MKK2"/>
      <c r="MKL2"/>
      <c r="MKM2"/>
      <c r="MKN2"/>
      <c r="MKO2"/>
      <c r="MKP2"/>
      <c r="MKQ2"/>
      <c r="MKR2"/>
      <c r="MKS2"/>
      <c r="MKT2"/>
      <c r="MKU2"/>
      <c r="MKV2"/>
      <c r="MKW2"/>
      <c r="MKX2"/>
      <c r="MKY2"/>
      <c r="MKZ2"/>
      <c r="MLA2"/>
      <c r="MLB2"/>
      <c r="MLC2"/>
      <c r="MLD2"/>
      <c r="MLE2"/>
      <c r="MLF2"/>
      <c r="MLG2"/>
      <c r="MLH2"/>
      <c r="MLI2"/>
      <c r="MLJ2"/>
      <c r="MLK2"/>
      <c r="MLL2"/>
      <c r="MLM2"/>
      <c r="MLN2"/>
      <c r="MLO2"/>
      <c r="MLP2"/>
      <c r="MLQ2"/>
      <c r="MLR2"/>
      <c r="MLS2"/>
      <c r="MLT2"/>
      <c r="MLU2"/>
      <c r="MLV2"/>
      <c r="MLW2"/>
      <c r="MLX2"/>
      <c r="MLY2"/>
      <c r="MLZ2"/>
      <c r="MMA2"/>
      <c r="MMB2"/>
      <c r="MMC2"/>
      <c r="MMD2"/>
      <c r="MME2"/>
      <c r="MMF2"/>
      <c r="MMG2"/>
      <c r="MMH2"/>
      <c r="MMI2"/>
      <c r="MMJ2"/>
      <c r="MMK2"/>
      <c r="MML2"/>
      <c r="MMM2"/>
      <c r="MMN2"/>
      <c r="MMO2"/>
      <c r="MMP2"/>
      <c r="MMQ2"/>
      <c r="MMR2"/>
      <c r="MMS2"/>
      <c r="MMT2"/>
      <c r="MMU2"/>
      <c r="MMV2"/>
      <c r="MMW2"/>
      <c r="MMX2"/>
      <c r="MMY2"/>
      <c r="MMZ2"/>
      <c r="MNA2"/>
      <c r="MNB2"/>
      <c r="MNC2"/>
      <c r="MND2"/>
      <c r="MNE2"/>
      <c r="MNF2"/>
      <c r="MNG2"/>
      <c r="MNH2"/>
      <c r="MNI2"/>
      <c r="MNJ2"/>
      <c r="MNK2"/>
      <c r="MNL2"/>
      <c r="MNM2"/>
      <c r="MNN2"/>
      <c r="MNO2"/>
      <c r="MNP2"/>
      <c r="MNQ2"/>
      <c r="MNR2"/>
      <c r="MNS2"/>
      <c r="MNT2"/>
      <c r="MNU2"/>
      <c r="MNV2"/>
      <c r="MNW2"/>
      <c r="MNX2"/>
      <c r="MNY2"/>
      <c r="MNZ2"/>
      <c r="MOA2"/>
      <c r="MOB2"/>
      <c r="MOC2"/>
      <c r="MOD2"/>
      <c r="MOE2"/>
      <c r="MOF2"/>
      <c r="MOG2"/>
      <c r="MOH2"/>
      <c r="MOI2"/>
      <c r="MOJ2"/>
      <c r="MOK2"/>
      <c r="MOL2"/>
      <c r="MOM2"/>
      <c r="MON2"/>
      <c r="MOO2"/>
      <c r="MOP2"/>
      <c r="MOQ2"/>
      <c r="MOR2"/>
      <c r="MOS2"/>
      <c r="MOT2"/>
      <c r="MOU2"/>
      <c r="MOV2"/>
      <c r="MOW2"/>
      <c r="MOX2"/>
      <c r="MOY2"/>
      <c r="MOZ2"/>
      <c r="MPA2"/>
      <c r="MPB2"/>
      <c r="MPC2"/>
      <c r="MPD2"/>
      <c r="MPE2"/>
      <c r="MPF2"/>
      <c r="MPG2"/>
      <c r="MPH2"/>
      <c r="MPI2"/>
      <c r="MPJ2"/>
      <c r="MPK2"/>
      <c r="MPL2"/>
      <c r="MPM2"/>
      <c r="MPN2"/>
      <c r="MPO2"/>
      <c r="MPP2"/>
      <c r="MPQ2"/>
      <c r="MPR2"/>
      <c r="MPS2"/>
      <c r="MPT2"/>
      <c r="MPU2"/>
      <c r="MPV2"/>
      <c r="MPW2"/>
      <c r="MPX2"/>
      <c r="MPY2"/>
      <c r="MPZ2"/>
      <c r="MQA2"/>
      <c r="MQB2"/>
      <c r="MQC2"/>
      <c r="MQD2"/>
      <c r="MQE2"/>
      <c r="MQF2"/>
      <c r="MQG2"/>
      <c r="MQH2"/>
      <c r="MQI2"/>
      <c r="MQJ2"/>
      <c r="MQK2"/>
      <c r="MQL2"/>
      <c r="MQM2"/>
      <c r="MQN2"/>
      <c r="MQO2"/>
      <c r="MQP2"/>
      <c r="MQQ2"/>
      <c r="MQR2"/>
      <c r="MQS2"/>
      <c r="MQT2"/>
      <c r="MQU2"/>
      <c r="MQV2"/>
      <c r="MQW2"/>
      <c r="MQX2"/>
      <c r="MQY2"/>
      <c r="MQZ2"/>
      <c r="MRA2"/>
      <c r="MRB2"/>
      <c r="MRC2"/>
      <c r="MRD2"/>
      <c r="MRE2"/>
      <c r="MRF2"/>
      <c r="MRG2"/>
      <c r="MRH2"/>
      <c r="MRI2"/>
      <c r="MRJ2"/>
      <c r="MRK2"/>
      <c r="MRL2"/>
      <c r="MRM2"/>
      <c r="MRN2"/>
      <c r="MRO2"/>
      <c r="MRP2"/>
      <c r="MRQ2"/>
      <c r="MRR2"/>
      <c r="MRS2"/>
      <c r="MRT2"/>
      <c r="MRU2"/>
      <c r="MRV2"/>
      <c r="MRW2"/>
      <c r="MRX2"/>
      <c r="MRY2"/>
      <c r="MRZ2"/>
      <c r="MSA2"/>
      <c r="MSB2"/>
      <c r="MSC2"/>
      <c r="MSD2"/>
      <c r="MSE2"/>
      <c r="MSF2"/>
      <c r="MSG2"/>
      <c r="MSH2"/>
      <c r="MSI2"/>
      <c r="MSJ2"/>
      <c r="MSK2"/>
      <c r="MSL2"/>
      <c r="MSM2"/>
      <c r="MSN2"/>
      <c r="MSO2"/>
      <c r="MSP2"/>
      <c r="MSQ2"/>
      <c r="MSR2"/>
      <c r="MSS2"/>
      <c r="MST2"/>
      <c r="MSU2"/>
      <c r="MSV2"/>
      <c r="MSW2"/>
      <c r="MSX2"/>
      <c r="MSY2"/>
      <c r="MSZ2"/>
      <c r="MTA2"/>
      <c r="MTB2"/>
      <c r="MTC2"/>
      <c r="MTD2"/>
      <c r="MTE2"/>
      <c r="MTF2"/>
      <c r="MTG2"/>
      <c r="MTH2"/>
      <c r="MTI2"/>
      <c r="MTJ2"/>
      <c r="MTK2"/>
      <c r="MTL2"/>
      <c r="MTM2"/>
      <c r="MTN2"/>
      <c r="MTO2"/>
      <c r="MTP2"/>
      <c r="MTQ2"/>
      <c r="MTR2"/>
      <c r="MTS2"/>
      <c r="MTT2"/>
      <c r="MTU2"/>
      <c r="MTV2"/>
      <c r="MTW2"/>
      <c r="MTX2"/>
      <c r="MTY2"/>
      <c r="MTZ2"/>
      <c r="MUA2"/>
      <c r="MUB2"/>
      <c r="MUC2"/>
      <c r="MUD2"/>
      <c r="MUE2"/>
      <c r="MUF2"/>
      <c r="MUG2"/>
      <c r="MUH2"/>
      <c r="MUI2"/>
      <c r="MUJ2"/>
      <c r="MUK2"/>
      <c r="MUL2"/>
      <c r="MUM2"/>
      <c r="MUN2"/>
      <c r="MUO2"/>
      <c r="MUP2"/>
      <c r="MUQ2"/>
      <c r="MUR2"/>
      <c r="MUS2"/>
      <c r="MUT2"/>
      <c r="MUU2"/>
      <c r="MUV2"/>
      <c r="MUW2"/>
      <c r="MUX2"/>
      <c r="MUY2"/>
      <c r="MUZ2"/>
      <c r="MVA2"/>
      <c r="MVB2"/>
      <c r="MVC2"/>
      <c r="MVD2"/>
      <c r="MVE2"/>
      <c r="MVF2"/>
      <c r="MVG2"/>
      <c r="MVH2"/>
      <c r="MVI2"/>
      <c r="MVJ2"/>
      <c r="MVK2"/>
      <c r="MVL2"/>
      <c r="MVM2"/>
      <c r="MVN2"/>
      <c r="MVO2"/>
      <c r="MVP2"/>
      <c r="MVQ2"/>
      <c r="MVR2"/>
      <c r="MVS2"/>
      <c r="MVT2"/>
      <c r="MVU2"/>
      <c r="MVV2"/>
      <c r="MVW2"/>
      <c r="MVX2"/>
      <c r="MVY2"/>
      <c r="MVZ2"/>
      <c r="MWA2"/>
      <c r="MWB2"/>
      <c r="MWC2"/>
      <c r="MWD2"/>
      <c r="MWE2"/>
      <c r="MWF2"/>
      <c r="MWG2"/>
      <c r="MWH2"/>
      <c r="MWI2"/>
      <c r="MWJ2"/>
      <c r="MWK2"/>
      <c r="MWL2"/>
      <c r="MWM2"/>
      <c r="MWN2"/>
      <c r="MWO2"/>
      <c r="MWP2"/>
      <c r="MWQ2"/>
      <c r="MWR2"/>
      <c r="MWS2"/>
      <c r="MWT2"/>
      <c r="MWU2"/>
      <c r="MWV2"/>
      <c r="MWW2"/>
      <c r="MWX2"/>
      <c r="MWY2"/>
      <c r="MWZ2"/>
      <c r="MXA2"/>
      <c r="MXB2"/>
      <c r="MXC2"/>
      <c r="MXD2"/>
      <c r="MXE2"/>
      <c r="MXF2"/>
      <c r="MXG2"/>
      <c r="MXH2"/>
      <c r="MXI2"/>
      <c r="MXJ2"/>
      <c r="MXK2"/>
      <c r="MXL2"/>
      <c r="MXM2"/>
      <c r="MXN2"/>
      <c r="MXO2"/>
      <c r="MXP2"/>
      <c r="MXQ2"/>
      <c r="MXR2"/>
      <c r="MXS2"/>
      <c r="MXT2"/>
      <c r="MXU2"/>
      <c r="MXV2"/>
      <c r="MXW2"/>
      <c r="MXX2"/>
      <c r="MXY2"/>
      <c r="MXZ2"/>
      <c r="MYA2"/>
      <c r="MYB2"/>
      <c r="MYC2"/>
      <c r="MYD2"/>
      <c r="MYE2"/>
      <c r="MYF2"/>
      <c r="MYG2"/>
      <c r="MYH2"/>
      <c r="MYI2"/>
      <c r="MYJ2"/>
      <c r="MYK2"/>
      <c r="MYL2"/>
      <c r="MYM2"/>
      <c r="MYN2"/>
      <c r="MYO2"/>
      <c r="MYP2"/>
      <c r="MYQ2"/>
      <c r="MYR2"/>
      <c r="MYS2"/>
      <c r="MYT2"/>
      <c r="MYU2"/>
      <c r="MYV2"/>
      <c r="MYW2"/>
      <c r="MYX2"/>
      <c r="MYY2"/>
      <c r="MYZ2"/>
      <c r="MZA2"/>
      <c r="MZB2"/>
      <c r="MZC2"/>
      <c r="MZD2"/>
      <c r="MZE2"/>
      <c r="MZF2"/>
      <c r="MZG2"/>
      <c r="MZH2"/>
      <c r="MZI2"/>
      <c r="MZJ2"/>
      <c r="MZK2"/>
      <c r="MZL2"/>
      <c r="MZM2"/>
      <c r="MZN2"/>
      <c r="MZO2"/>
      <c r="MZP2"/>
      <c r="MZQ2"/>
      <c r="MZR2"/>
      <c r="MZS2"/>
      <c r="MZT2"/>
      <c r="MZU2"/>
      <c r="MZV2"/>
      <c r="MZW2"/>
      <c r="MZX2"/>
      <c r="MZY2"/>
      <c r="MZZ2"/>
      <c r="NAA2"/>
      <c r="NAB2"/>
      <c r="NAC2"/>
      <c r="NAD2"/>
      <c r="NAE2"/>
      <c r="NAF2"/>
      <c r="NAG2"/>
      <c r="NAH2"/>
      <c r="NAI2"/>
      <c r="NAJ2"/>
      <c r="NAK2"/>
      <c r="NAL2"/>
      <c r="NAM2"/>
      <c r="NAN2"/>
      <c r="NAO2"/>
      <c r="NAP2"/>
      <c r="NAQ2"/>
      <c r="NAR2"/>
      <c r="NAS2"/>
      <c r="NAT2"/>
      <c r="NAU2"/>
      <c r="NAV2"/>
      <c r="NAW2"/>
      <c r="NAX2"/>
      <c r="NAY2"/>
      <c r="NAZ2"/>
      <c r="NBA2"/>
      <c r="NBB2"/>
      <c r="NBC2"/>
      <c r="NBD2"/>
      <c r="NBE2"/>
      <c r="NBF2"/>
      <c r="NBG2"/>
      <c r="NBH2"/>
      <c r="NBI2"/>
      <c r="NBJ2"/>
      <c r="NBK2"/>
      <c r="NBL2"/>
      <c r="NBM2"/>
      <c r="NBN2"/>
      <c r="NBO2"/>
      <c r="NBP2"/>
      <c r="NBQ2"/>
      <c r="NBR2"/>
      <c r="NBS2"/>
      <c r="NBT2"/>
      <c r="NBU2"/>
      <c r="NBV2"/>
      <c r="NBW2"/>
      <c r="NBX2"/>
      <c r="NBY2"/>
      <c r="NBZ2"/>
      <c r="NCA2"/>
      <c r="NCB2"/>
      <c r="NCC2"/>
      <c r="NCD2"/>
      <c r="NCE2"/>
      <c r="NCF2"/>
      <c r="NCG2"/>
      <c r="NCH2"/>
      <c r="NCI2"/>
      <c r="NCJ2"/>
      <c r="NCK2"/>
      <c r="NCL2"/>
      <c r="NCM2"/>
      <c r="NCN2"/>
      <c r="NCO2"/>
      <c r="NCP2"/>
      <c r="NCQ2"/>
      <c r="NCR2"/>
      <c r="NCS2"/>
      <c r="NCT2"/>
      <c r="NCU2"/>
      <c r="NCV2"/>
      <c r="NCW2"/>
      <c r="NCX2"/>
      <c r="NCY2"/>
      <c r="NCZ2"/>
      <c r="NDA2"/>
      <c r="NDB2"/>
      <c r="NDC2"/>
      <c r="NDD2"/>
      <c r="NDE2"/>
      <c r="NDF2"/>
      <c r="NDG2"/>
      <c r="NDH2"/>
      <c r="NDI2"/>
      <c r="NDJ2"/>
      <c r="NDK2"/>
      <c r="NDL2"/>
      <c r="NDM2"/>
      <c r="NDN2"/>
      <c r="NDO2"/>
      <c r="NDP2"/>
      <c r="NDQ2"/>
      <c r="NDR2"/>
      <c r="NDS2"/>
      <c r="NDT2"/>
      <c r="NDU2"/>
      <c r="NDV2"/>
      <c r="NDW2"/>
      <c r="NDX2"/>
      <c r="NDY2"/>
      <c r="NDZ2"/>
      <c r="NEA2"/>
      <c r="NEB2"/>
      <c r="NEC2"/>
      <c r="NED2"/>
      <c r="NEE2"/>
      <c r="NEF2"/>
      <c r="NEG2"/>
      <c r="NEH2"/>
      <c r="NEI2"/>
      <c r="NEJ2"/>
      <c r="NEK2"/>
      <c r="NEL2"/>
      <c r="NEM2"/>
      <c r="NEN2"/>
      <c r="NEO2"/>
      <c r="NEP2"/>
      <c r="NEQ2"/>
      <c r="NER2"/>
      <c r="NES2"/>
      <c r="NET2"/>
      <c r="NEU2"/>
      <c r="NEV2"/>
      <c r="NEW2"/>
      <c r="NEX2"/>
      <c r="NEY2"/>
      <c r="NEZ2"/>
      <c r="NFA2"/>
      <c r="NFB2"/>
      <c r="NFC2"/>
      <c r="NFD2"/>
      <c r="NFE2"/>
      <c r="NFF2"/>
      <c r="NFG2"/>
      <c r="NFH2"/>
      <c r="NFI2"/>
      <c r="NFJ2"/>
      <c r="NFK2"/>
      <c r="NFL2"/>
      <c r="NFM2"/>
      <c r="NFN2"/>
      <c r="NFO2"/>
      <c r="NFP2"/>
      <c r="NFQ2"/>
      <c r="NFR2"/>
      <c r="NFS2"/>
      <c r="NFT2"/>
      <c r="NFU2"/>
      <c r="NFV2"/>
      <c r="NFW2"/>
      <c r="NFX2"/>
      <c r="NFY2"/>
      <c r="NFZ2"/>
      <c r="NGA2"/>
      <c r="NGB2"/>
      <c r="NGC2"/>
      <c r="NGD2"/>
      <c r="NGE2"/>
      <c r="NGF2"/>
      <c r="NGG2"/>
      <c r="NGH2"/>
      <c r="NGI2"/>
      <c r="NGJ2"/>
      <c r="NGK2"/>
      <c r="NGL2"/>
      <c r="NGM2"/>
      <c r="NGN2"/>
      <c r="NGO2"/>
      <c r="NGP2"/>
      <c r="NGQ2"/>
      <c r="NGR2"/>
      <c r="NGS2"/>
      <c r="NGT2"/>
      <c r="NGU2"/>
      <c r="NGV2"/>
      <c r="NGW2"/>
      <c r="NGX2"/>
      <c r="NGY2"/>
      <c r="NGZ2"/>
      <c r="NHA2"/>
      <c r="NHB2"/>
      <c r="NHC2"/>
      <c r="NHD2"/>
      <c r="NHE2"/>
      <c r="NHF2"/>
      <c r="NHG2"/>
      <c r="NHH2"/>
      <c r="NHI2"/>
      <c r="NHJ2"/>
      <c r="NHK2"/>
      <c r="NHL2"/>
      <c r="NHM2"/>
      <c r="NHN2"/>
      <c r="NHO2"/>
      <c r="NHP2"/>
      <c r="NHQ2"/>
      <c r="NHR2"/>
      <c r="NHS2"/>
      <c r="NHT2"/>
      <c r="NHU2"/>
      <c r="NHV2"/>
      <c r="NHW2"/>
      <c r="NHX2"/>
      <c r="NHY2"/>
      <c r="NHZ2"/>
      <c r="NIA2"/>
      <c r="NIB2"/>
      <c r="NIC2"/>
      <c r="NID2"/>
      <c r="NIE2"/>
      <c r="NIF2"/>
      <c r="NIG2"/>
      <c r="NIH2"/>
      <c r="NII2"/>
      <c r="NIJ2"/>
      <c r="NIK2"/>
      <c r="NIL2"/>
      <c r="NIM2"/>
      <c r="NIN2"/>
      <c r="NIO2"/>
      <c r="NIP2"/>
      <c r="NIQ2"/>
      <c r="NIR2"/>
      <c r="NIS2"/>
      <c r="NIT2"/>
      <c r="NIU2"/>
      <c r="NIV2"/>
      <c r="NIW2"/>
      <c r="NIX2"/>
      <c r="NIY2"/>
      <c r="NIZ2"/>
      <c r="NJA2"/>
      <c r="NJB2"/>
      <c r="NJC2"/>
      <c r="NJD2"/>
      <c r="NJE2"/>
      <c r="NJF2"/>
      <c r="NJG2"/>
      <c r="NJH2"/>
      <c r="NJI2"/>
      <c r="NJJ2"/>
      <c r="NJK2"/>
      <c r="NJL2"/>
      <c r="NJM2"/>
      <c r="NJN2"/>
      <c r="NJO2"/>
      <c r="NJP2"/>
      <c r="NJQ2"/>
      <c r="NJR2"/>
      <c r="NJS2"/>
      <c r="NJT2"/>
      <c r="NJU2"/>
      <c r="NJV2"/>
      <c r="NJW2"/>
      <c r="NJX2"/>
      <c r="NJY2"/>
      <c r="NJZ2"/>
      <c r="NKA2"/>
      <c r="NKB2"/>
      <c r="NKC2"/>
      <c r="NKD2"/>
      <c r="NKE2"/>
      <c r="NKF2"/>
      <c r="NKG2"/>
      <c r="NKH2"/>
      <c r="NKI2"/>
      <c r="NKJ2"/>
      <c r="NKK2"/>
      <c r="NKL2"/>
      <c r="NKM2"/>
      <c r="NKN2"/>
      <c r="NKO2"/>
      <c r="NKP2"/>
      <c r="NKQ2"/>
      <c r="NKR2"/>
      <c r="NKS2"/>
      <c r="NKT2"/>
      <c r="NKU2"/>
      <c r="NKV2"/>
      <c r="NKW2"/>
      <c r="NKX2"/>
      <c r="NKY2"/>
      <c r="NKZ2"/>
      <c r="NLA2"/>
      <c r="NLB2"/>
      <c r="NLC2"/>
      <c r="NLD2"/>
      <c r="NLE2"/>
      <c r="NLF2"/>
      <c r="NLG2"/>
      <c r="NLH2"/>
      <c r="NLI2"/>
      <c r="NLJ2"/>
      <c r="NLK2"/>
      <c r="NLL2"/>
      <c r="NLM2"/>
      <c r="NLN2"/>
      <c r="NLO2"/>
      <c r="NLP2"/>
      <c r="NLQ2"/>
      <c r="NLR2"/>
      <c r="NLS2"/>
      <c r="NLT2"/>
      <c r="NLU2"/>
      <c r="NLV2"/>
      <c r="NLW2"/>
      <c r="NLX2"/>
      <c r="NLY2"/>
      <c r="NLZ2"/>
      <c r="NMA2"/>
      <c r="NMB2"/>
      <c r="NMC2"/>
      <c r="NMD2"/>
      <c r="NME2"/>
      <c r="NMF2"/>
      <c r="NMG2"/>
      <c r="NMH2"/>
      <c r="NMI2"/>
      <c r="NMJ2"/>
      <c r="NMK2"/>
      <c r="NML2"/>
      <c r="NMM2"/>
      <c r="NMN2"/>
      <c r="NMO2"/>
      <c r="NMP2"/>
      <c r="NMQ2"/>
      <c r="NMR2"/>
      <c r="NMS2"/>
      <c r="NMT2"/>
      <c r="NMU2"/>
      <c r="NMV2"/>
      <c r="NMW2"/>
      <c r="NMX2"/>
      <c r="NMY2"/>
      <c r="NMZ2"/>
      <c r="NNA2"/>
      <c r="NNB2"/>
      <c r="NNC2"/>
      <c r="NND2"/>
      <c r="NNE2"/>
      <c r="NNF2"/>
      <c r="NNG2"/>
      <c r="NNH2"/>
      <c r="NNI2"/>
      <c r="NNJ2"/>
      <c r="NNK2"/>
      <c r="NNL2"/>
      <c r="NNM2"/>
      <c r="NNN2"/>
      <c r="NNO2"/>
      <c r="NNP2"/>
      <c r="NNQ2"/>
      <c r="NNR2"/>
      <c r="NNS2"/>
      <c r="NNT2"/>
      <c r="NNU2"/>
      <c r="NNV2"/>
      <c r="NNW2"/>
      <c r="NNX2"/>
      <c r="NNY2"/>
      <c r="NNZ2"/>
      <c r="NOA2"/>
      <c r="NOB2"/>
      <c r="NOC2"/>
      <c r="NOD2"/>
      <c r="NOE2"/>
      <c r="NOF2"/>
      <c r="NOG2"/>
      <c r="NOH2"/>
      <c r="NOI2"/>
      <c r="NOJ2"/>
      <c r="NOK2"/>
      <c r="NOL2"/>
      <c r="NOM2"/>
      <c r="NON2"/>
      <c r="NOO2"/>
      <c r="NOP2"/>
      <c r="NOQ2"/>
      <c r="NOR2"/>
      <c r="NOS2"/>
      <c r="NOT2"/>
      <c r="NOU2"/>
      <c r="NOV2"/>
      <c r="NOW2"/>
      <c r="NOX2"/>
      <c r="NOY2"/>
      <c r="NOZ2"/>
      <c r="NPA2"/>
      <c r="NPB2"/>
      <c r="NPC2"/>
      <c r="NPD2"/>
      <c r="NPE2"/>
      <c r="NPF2"/>
      <c r="NPG2"/>
      <c r="NPH2"/>
      <c r="NPI2"/>
      <c r="NPJ2"/>
      <c r="NPK2"/>
      <c r="NPL2"/>
      <c r="NPM2"/>
      <c r="NPN2"/>
      <c r="NPO2"/>
      <c r="NPP2"/>
      <c r="NPQ2"/>
      <c r="NPR2"/>
      <c r="NPS2"/>
      <c r="NPT2"/>
      <c r="NPU2"/>
      <c r="NPV2"/>
      <c r="NPW2"/>
      <c r="NPX2"/>
      <c r="NPY2"/>
      <c r="NPZ2"/>
      <c r="NQA2"/>
      <c r="NQB2"/>
      <c r="NQC2"/>
      <c r="NQD2"/>
      <c r="NQE2"/>
      <c r="NQF2"/>
      <c r="NQG2"/>
      <c r="NQH2"/>
      <c r="NQI2"/>
      <c r="NQJ2"/>
      <c r="NQK2"/>
      <c r="NQL2"/>
      <c r="NQM2"/>
      <c r="NQN2"/>
      <c r="NQO2"/>
      <c r="NQP2"/>
      <c r="NQQ2"/>
      <c r="NQR2"/>
      <c r="NQS2"/>
      <c r="NQT2"/>
      <c r="NQU2"/>
      <c r="NQV2"/>
      <c r="NQW2"/>
      <c r="NQX2"/>
      <c r="NQY2"/>
      <c r="NQZ2"/>
      <c r="NRA2"/>
      <c r="NRB2"/>
      <c r="NRC2"/>
      <c r="NRD2"/>
      <c r="NRE2"/>
      <c r="NRF2"/>
      <c r="NRG2"/>
      <c r="NRH2"/>
      <c r="NRI2"/>
      <c r="NRJ2"/>
      <c r="NRK2"/>
      <c r="NRL2"/>
      <c r="NRM2"/>
      <c r="NRN2"/>
      <c r="NRO2"/>
      <c r="NRP2"/>
      <c r="NRQ2"/>
      <c r="NRR2"/>
      <c r="NRS2"/>
      <c r="NRT2"/>
      <c r="NRU2"/>
      <c r="NRV2"/>
      <c r="NRW2"/>
      <c r="NRX2"/>
      <c r="NRY2"/>
      <c r="NRZ2"/>
      <c r="NSA2"/>
      <c r="NSB2"/>
      <c r="NSC2"/>
      <c r="NSD2"/>
      <c r="NSE2"/>
      <c r="NSF2"/>
      <c r="NSG2"/>
      <c r="NSH2"/>
      <c r="NSI2"/>
      <c r="NSJ2"/>
      <c r="NSK2"/>
      <c r="NSL2"/>
      <c r="NSM2"/>
      <c r="NSN2"/>
      <c r="NSO2"/>
      <c r="NSP2"/>
      <c r="NSQ2"/>
      <c r="NSR2"/>
      <c r="NSS2"/>
      <c r="NST2"/>
      <c r="NSU2"/>
      <c r="NSV2"/>
      <c r="NSW2"/>
      <c r="NSX2"/>
      <c r="NSY2"/>
      <c r="NSZ2"/>
      <c r="NTA2"/>
      <c r="NTB2"/>
      <c r="NTC2"/>
      <c r="NTD2"/>
      <c r="NTE2"/>
      <c r="NTF2"/>
      <c r="NTG2"/>
      <c r="NTH2"/>
      <c r="NTI2"/>
      <c r="NTJ2"/>
      <c r="NTK2"/>
      <c r="NTL2"/>
      <c r="NTM2"/>
      <c r="NTN2"/>
      <c r="NTO2"/>
      <c r="NTP2"/>
      <c r="NTQ2"/>
      <c r="NTR2"/>
      <c r="NTS2"/>
      <c r="NTT2"/>
      <c r="NTU2"/>
      <c r="NTV2"/>
      <c r="NTW2"/>
      <c r="NTX2"/>
      <c r="NTY2"/>
      <c r="NTZ2"/>
      <c r="NUA2"/>
      <c r="NUB2"/>
      <c r="NUC2"/>
      <c r="NUD2"/>
      <c r="NUE2"/>
      <c r="NUF2"/>
      <c r="NUG2"/>
      <c r="NUH2"/>
      <c r="NUI2"/>
      <c r="NUJ2"/>
      <c r="NUK2"/>
      <c r="NUL2"/>
      <c r="NUM2"/>
      <c r="NUN2"/>
      <c r="NUO2"/>
      <c r="NUP2"/>
      <c r="NUQ2"/>
      <c r="NUR2"/>
      <c r="NUS2"/>
      <c r="NUT2"/>
      <c r="NUU2"/>
      <c r="NUV2"/>
      <c r="NUW2"/>
      <c r="NUX2"/>
      <c r="NUY2"/>
      <c r="NUZ2"/>
      <c r="NVA2"/>
      <c r="NVB2"/>
      <c r="NVC2"/>
      <c r="NVD2"/>
      <c r="NVE2"/>
      <c r="NVF2"/>
      <c r="NVG2"/>
      <c r="NVH2"/>
      <c r="NVI2"/>
      <c r="NVJ2"/>
      <c r="NVK2"/>
      <c r="NVL2"/>
      <c r="NVM2"/>
      <c r="NVN2"/>
      <c r="NVO2"/>
      <c r="NVP2"/>
      <c r="NVQ2"/>
      <c r="NVR2"/>
      <c r="NVS2"/>
      <c r="NVT2"/>
      <c r="NVU2"/>
      <c r="NVV2"/>
      <c r="NVW2"/>
      <c r="NVX2"/>
      <c r="NVY2"/>
      <c r="NVZ2"/>
      <c r="NWA2"/>
      <c r="NWB2"/>
      <c r="NWC2"/>
      <c r="NWD2"/>
      <c r="NWE2"/>
      <c r="NWF2"/>
      <c r="NWG2"/>
      <c r="NWH2"/>
      <c r="NWI2"/>
      <c r="NWJ2"/>
      <c r="NWK2"/>
      <c r="NWL2"/>
      <c r="NWM2"/>
      <c r="NWN2"/>
      <c r="NWO2"/>
      <c r="NWP2"/>
      <c r="NWQ2"/>
      <c r="NWR2"/>
      <c r="NWS2"/>
      <c r="NWT2"/>
      <c r="NWU2"/>
      <c r="NWV2"/>
      <c r="NWW2"/>
      <c r="NWX2"/>
      <c r="NWY2"/>
      <c r="NWZ2"/>
      <c r="NXA2"/>
      <c r="NXB2"/>
      <c r="NXC2"/>
      <c r="NXD2"/>
      <c r="NXE2"/>
      <c r="NXF2"/>
      <c r="NXG2"/>
      <c r="NXH2"/>
      <c r="NXI2"/>
      <c r="NXJ2"/>
      <c r="NXK2"/>
      <c r="NXL2"/>
      <c r="NXM2"/>
      <c r="NXN2"/>
      <c r="NXO2"/>
      <c r="NXP2"/>
      <c r="NXQ2"/>
      <c r="NXR2"/>
      <c r="NXS2"/>
      <c r="NXT2"/>
      <c r="NXU2"/>
      <c r="NXV2"/>
      <c r="NXW2"/>
      <c r="NXX2"/>
      <c r="NXY2"/>
      <c r="NXZ2"/>
      <c r="NYA2"/>
      <c r="NYB2"/>
      <c r="NYC2"/>
      <c r="NYD2"/>
      <c r="NYE2"/>
      <c r="NYF2"/>
      <c r="NYG2"/>
      <c r="NYH2"/>
      <c r="NYI2"/>
      <c r="NYJ2"/>
      <c r="NYK2"/>
      <c r="NYL2"/>
      <c r="NYM2"/>
      <c r="NYN2"/>
      <c r="NYO2"/>
      <c r="NYP2"/>
      <c r="NYQ2"/>
      <c r="NYR2"/>
      <c r="NYS2"/>
      <c r="NYT2"/>
      <c r="NYU2"/>
      <c r="NYV2"/>
      <c r="NYW2"/>
      <c r="NYX2"/>
      <c r="NYY2"/>
      <c r="NYZ2"/>
      <c r="NZA2"/>
      <c r="NZB2"/>
      <c r="NZC2"/>
      <c r="NZD2"/>
      <c r="NZE2"/>
      <c r="NZF2"/>
      <c r="NZG2"/>
      <c r="NZH2"/>
      <c r="NZI2"/>
      <c r="NZJ2"/>
      <c r="NZK2"/>
      <c r="NZL2"/>
      <c r="NZM2"/>
      <c r="NZN2"/>
      <c r="NZO2"/>
      <c r="NZP2"/>
      <c r="NZQ2"/>
      <c r="NZR2"/>
      <c r="NZS2"/>
      <c r="NZT2"/>
      <c r="NZU2"/>
      <c r="NZV2"/>
      <c r="NZW2"/>
      <c r="NZX2"/>
      <c r="NZY2"/>
      <c r="NZZ2"/>
      <c r="OAA2"/>
      <c r="OAB2"/>
      <c r="OAC2"/>
      <c r="OAD2"/>
      <c r="OAE2"/>
      <c r="OAF2"/>
      <c r="OAG2"/>
      <c r="OAH2"/>
      <c r="OAI2"/>
      <c r="OAJ2"/>
      <c r="OAK2"/>
      <c r="OAL2"/>
      <c r="OAM2"/>
      <c r="OAN2"/>
      <c r="OAO2"/>
      <c r="OAP2"/>
      <c r="OAQ2"/>
      <c r="OAR2"/>
      <c r="OAS2"/>
      <c r="OAT2"/>
      <c r="OAU2"/>
      <c r="OAV2"/>
      <c r="OAW2"/>
      <c r="OAX2"/>
      <c r="OAY2"/>
      <c r="OAZ2"/>
      <c r="OBA2"/>
      <c r="OBB2"/>
      <c r="OBC2"/>
      <c r="OBD2"/>
      <c r="OBE2"/>
      <c r="OBF2"/>
      <c r="OBG2"/>
      <c r="OBH2"/>
      <c r="OBI2"/>
      <c r="OBJ2"/>
      <c r="OBK2"/>
      <c r="OBL2"/>
      <c r="OBM2"/>
      <c r="OBN2"/>
      <c r="OBO2"/>
      <c r="OBP2"/>
      <c r="OBQ2"/>
      <c r="OBR2"/>
      <c r="OBS2"/>
      <c r="OBT2"/>
      <c r="OBU2"/>
      <c r="OBV2"/>
      <c r="OBW2"/>
      <c r="OBX2"/>
      <c r="OBY2"/>
      <c r="OBZ2"/>
      <c r="OCA2"/>
      <c r="OCB2"/>
      <c r="OCC2"/>
      <c r="OCD2"/>
      <c r="OCE2"/>
      <c r="OCF2"/>
      <c r="OCG2"/>
      <c r="OCH2"/>
      <c r="OCI2"/>
      <c r="OCJ2"/>
      <c r="OCK2"/>
      <c r="OCL2"/>
      <c r="OCM2"/>
      <c r="OCN2"/>
      <c r="OCO2"/>
      <c r="OCP2"/>
      <c r="OCQ2"/>
      <c r="OCR2"/>
      <c r="OCS2"/>
      <c r="OCT2"/>
      <c r="OCU2"/>
      <c r="OCV2"/>
      <c r="OCW2"/>
      <c r="OCX2"/>
      <c r="OCY2"/>
      <c r="OCZ2"/>
      <c r="ODA2"/>
      <c r="ODB2"/>
      <c r="ODC2"/>
      <c r="ODD2"/>
      <c r="ODE2"/>
      <c r="ODF2"/>
      <c r="ODG2"/>
      <c r="ODH2"/>
      <c r="ODI2"/>
      <c r="ODJ2"/>
      <c r="ODK2"/>
      <c r="ODL2"/>
      <c r="ODM2"/>
      <c r="ODN2"/>
      <c r="ODO2"/>
      <c r="ODP2"/>
      <c r="ODQ2"/>
      <c r="ODR2"/>
      <c r="ODS2"/>
      <c r="ODT2"/>
      <c r="ODU2"/>
      <c r="ODV2"/>
      <c r="ODW2"/>
      <c r="ODX2"/>
      <c r="ODY2"/>
      <c r="ODZ2"/>
      <c r="OEA2"/>
      <c r="OEB2"/>
      <c r="OEC2"/>
      <c r="OED2"/>
      <c r="OEE2"/>
      <c r="OEF2"/>
      <c r="OEG2"/>
      <c r="OEH2"/>
      <c r="OEI2"/>
      <c r="OEJ2"/>
      <c r="OEK2"/>
      <c r="OEL2"/>
      <c r="OEM2"/>
      <c r="OEN2"/>
      <c r="OEO2"/>
      <c r="OEP2"/>
      <c r="OEQ2"/>
      <c r="OER2"/>
      <c r="OES2"/>
      <c r="OET2"/>
      <c r="OEU2"/>
      <c r="OEV2"/>
      <c r="OEW2"/>
      <c r="OEX2"/>
      <c r="OEY2"/>
      <c r="OEZ2"/>
      <c r="OFA2"/>
      <c r="OFB2"/>
      <c r="OFC2"/>
      <c r="OFD2"/>
      <c r="OFE2"/>
      <c r="OFF2"/>
      <c r="OFG2"/>
      <c r="OFH2"/>
      <c r="OFI2"/>
      <c r="OFJ2"/>
      <c r="OFK2"/>
      <c r="OFL2"/>
      <c r="OFM2"/>
      <c r="OFN2"/>
      <c r="OFO2"/>
      <c r="OFP2"/>
      <c r="OFQ2"/>
      <c r="OFR2"/>
      <c r="OFS2"/>
      <c r="OFT2"/>
      <c r="OFU2"/>
      <c r="OFV2"/>
      <c r="OFW2"/>
      <c r="OFX2"/>
      <c r="OFY2"/>
      <c r="OFZ2"/>
      <c r="OGA2"/>
      <c r="OGB2"/>
      <c r="OGC2"/>
      <c r="OGD2"/>
      <c r="OGE2"/>
      <c r="OGF2"/>
      <c r="OGG2"/>
      <c r="OGH2"/>
      <c r="OGI2"/>
      <c r="OGJ2"/>
      <c r="OGK2"/>
      <c r="OGL2"/>
      <c r="OGM2"/>
      <c r="OGN2"/>
      <c r="OGO2"/>
      <c r="OGP2"/>
      <c r="OGQ2"/>
      <c r="OGR2"/>
      <c r="OGS2"/>
      <c r="OGT2"/>
      <c r="OGU2"/>
      <c r="OGV2"/>
      <c r="OGW2"/>
      <c r="OGX2"/>
      <c r="OGY2"/>
      <c r="OGZ2"/>
      <c r="OHA2"/>
      <c r="OHB2"/>
      <c r="OHC2"/>
      <c r="OHD2"/>
      <c r="OHE2"/>
      <c r="OHF2"/>
      <c r="OHG2"/>
      <c r="OHH2"/>
      <c r="OHI2"/>
      <c r="OHJ2"/>
      <c r="OHK2"/>
      <c r="OHL2"/>
      <c r="OHM2"/>
      <c r="OHN2"/>
      <c r="OHO2"/>
      <c r="OHP2"/>
      <c r="OHQ2"/>
      <c r="OHR2"/>
      <c r="OHS2"/>
      <c r="OHT2"/>
      <c r="OHU2"/>
      <c r="OHV2"/>
      <c r="OHW2"/>
      <c r="OHX2"/>
      <c r="OHY2"/>
      <c r="OHZ2"/>
      <c r="OIA2"/>
      <c r="OIB2"/>
      <c r="OIC2"/>
      <c r="OID2"/>
      <c r="OIE2"/>
      <c r="OIF2"/>
      <c r="OIG2"/>
      <c r="OIH2"/>
      <c r="OII2"/>
      <c r="OIJ2"/>
      <c r="OIK2"/>
      <c r="OIL2"/>
      <c r="OIM2"/>
      <c r="OIN2"/>
      <c r="OIO2"/>
      <c r="OIP2"/>
      <c r="OIQ2"/>
      <c r="OIR2"/>
      <c r="OIS2"/>
      <c r="OIT2"/>
      <c r="OIU2"/>
      <c r="OIV2"/>
      <c r="OIW2"/>
      <c r="OIX2"/>
      <c r="OIY2"/>
      <c r="OIZ2"/>
      <c r="OJA2"/>
      <c r="OJB2"/>
      <c r="OJC2"/>
      <c r="OJD2"/>
      <c r="OJE2"/>
      <c r="OJF2"/>
      <c r="OJG2"/>
      <c r="OJH2"/>
      <c r="OJI2"/>
      <c r="OJJ2"/>
      <c r="OJK2"/>
      <c r="OJL2"/>
      <c r="OJM2"/>
      <c r="OJN2"/>
      <c r="OJO2"/>
      <c r="OJP2"/>
      <c r="OJQ2"/>
      <c r="OJR2"/>
      <c r="OJS2"/>
      <c r="OJT2"/>
      <c r="OJU2"/>
      <c r="OJV2"/>
      <c r="OJW2"/>
      <c r="OJX2"/>
      <c r="OJY2"/>
      <c r="OJZ2"/>
      <c r="OKA2"/>
      <c r="OKB2"/>
      <c r="OKC2"/>
      <c r="OKD2"/>
      <c r="OKE2"/>
      <c r="OKF2"/>
      <c r="OKG2"/>
      <c r="OKH2"/>
      <c r="OKI2"/>
      <c r="OKJ2"/>
      <c r="OKK2"/>
      <c r="OKL2"/>
      <c r="OKM2"/>
      <c r="OKN2"/>
      <c r="OKO2"/>
      <c r="OKP2"/>
      <c r="OKQ2"/>
      <c r="OKR2"/>
      <c r="OKS2"/>
      <c r="OKT2"/>
      <c r="OKU2"/>
      <c r="OKV2"/>
      <c r="OKW2"/>
      <c r="OKX2"/>
      <c r="OKY2"/>
      <c r="OKZ2"/>
      <c r="OLA2"/>
      <c r="OLB2"/>
      <c r="OLC2"/>
      <c r="OLD2"/>
      <c r="OLE2"/>
      <c r="OLF2"/>
      <c r="OLG2"/>
      <c r="OLH2"/>
      <c r="OLI2"/>
      <c r="OLJ2"/>
      <c r="OLK2"/>
      <c r="OLL2"/>
      <c r="OLM2"/>
      <c r="OLN2"/>
      <c r="OLO2"/>
      <c r="OLP2"/>
      <c r="OLQ2"/>
      <c r="OLR2"/>
      <c r="OLS2"/>
      <c r="OLT2"/>
      <c r="OLU2"/>
      <c r="OLV2"/>
      <c r="OLW2"/>
      <c r="OLX2"/>
      <c r="OLY2"/>
      <c r="OLZ2"/>
      <c r="OMA2"/>
      <c r="OMB2"/>
      <c r="OMC2"/>
      <c r="OMD2"/>
      <c r="OME2"/>
      <c r="OMF2"/>
      <c r="OMG2"/>
      <c r="OMH2"/>
      <c r="OMI2"/>
      <c r="OMJ2"/>
      <c r="OMK2"/>
      <c r="OML2"/>
      <c r="OMM2"/>
      <c r="OMN2"/>
      <c r="OMO2"/>
      <c r="OMP2"/>
      <c r="OMQ2"/>
      <c r="OMR2"/>
      <c r="OMS2"/>
      <c r="OMT2"/>
      <c r="OMU2"/>
      <c r="OMV2"/>
      <c r="OMW2"/>
      <c r="OMX2"/>
      <c r="OMY2"/>
      <c r="OMZ2"/>
      <c r="ONA2"/>
      <c r="ONB2"/>
      <c r="ONC2"/>
      <c r="OND2"/>
      <c r="ONE2"/>
      <c r="ONF2"/>
      <c r="ONG2"/>
      <c r="ONH2"/>
      <c r="ONI2"/>
      <c r="ONJ2"/>
      <c r="ONK2"/>
      <c r="ONL2"/>
      <c r="ONM2"/>
      <c r="ONN2"/>
      <c r="ONO2"/>
      <c r="ONP2"/>
      <c r="ONQ2"/>
      <c r="ONR2"/>
      <c r="ONS2"/>
      <c r="ONT2"/>
      <c r="ONU2"/>
      <c r="ONV2"/>
      <c r="ONW2"/>
      <c r="ONX2"/>
      <c r="ONY2"/>
      <c r="ONZ2"/>
      <c r="OOA2"/>
      <c r="OOB2"/>
      <c r="OOC2"/>
      <c r="OOD2"/>
      <c r="OOE2"/>
      <c r="OOF2"/>
      <c r="OOG2"/>
      <c r="OOH2"/>
      <c r="OOI2"/>
      <c r="OOJ2"/>
      <c r="OOK2"/>
      <c r="OOL2"/>
      <c r="OOM2"/>
      <c r="OON2"/>
      <c r="OOO2"/>
      <c r="OOP2"/>
      <c r="OOQ2"/>
      <c r="OOR2"/>
      <c r="OOS2"/>
      <c r="OOT2"/>
      <c r="OOU2"/>
      <c r="OOV2"/>
      <c r="OOW2"/>
      <c r="OOX2"/>
      <c r="OOY2"/>
      <c r="OOZ2"/>
      <c r="OPA2"/>
      <c r="OPB2"/>
      <c r="OPC2"/>
      <c r="OPD2"/>
      <c r="OPE2"/>
      <c r="OPF2"/>
      <c r="OPG2"/>
      <c r="OPH2"/>
      <c r="OPI2"/>
      <c r="OPJ2"/>
      <c r="OPK2"/>
      <c r="OPL2"/>
      <c r="OPM2"/>
      <c r="OPN2"/>
      <c r="OPO2"/>
      <c r="OPP2"/>
      <c r="OPQ2"/>
      <c r="OPR2"/>
      <c r="OPS2"/>
      <c r="OPT2"/>
      <c r="OPU2"/>
      <c r="OPV2"/>
      <c r="OPW2"/>
      <c r="OPX2"/>
      <c r="OPY2"/>
      <c r="OPZ2"/>
      <c r="OQA2"/>
      <c r="OQB2"/>
      <c r="OQC2"/>
      <c r="OQD2"/>
      <c r="OQE2"/>
      <c r="OQF2"/>
      <c r="OQG2"/>
      <c r="OQH2"/>
      <c r="OQI2"/>
      <c r="OQJ2"/>
      <c r="OQK2"/>
      <c r="OQL2"/>
      <c r="OQM2"/>
      <c r="OQN2"/>
      <c r="OQO2"/>
      <c r="OQP2"/>
      <c r="OQQ2"/>
      <c r="OQR2"/>
      <c r="OQS2"/>
      <c r="OQT2"/>
      <c r="OQU2"/>
      <c r="OQV2"/>
      <c r="OQW2"/>
      <c r="OQX2"/>
      <c r="OQY2"/>
      <c r="OQZ2"/>
      <c r="ORA2"/>
      <c r="ORB2"/>
      <c r="ORC2"/>
      <c r="ORD2"/>
      <c r="ORE2"/>
      <c r="ORF2"/>
      <c r="ORG2"/>
      <c r="ORH2"/>
      <c r="ORI2"/>
      <c r="ORJ2"/>
      <c r="ORK2"/>
      <c r="ORL2"/>
      <c r="ORM2"/>
      <c r="ORN2"/>
      <c r="ORO2"/>
      <c r="ORP2"/>
      <c r="ORQ2"/>
      <c r="ORR2"/>
      <c r="ORS2"/>
      <c r="ORT2"/>
      <c r="ORU2"/>
      <c r="ORV2"/>
      <c r="ORW2"/>
      <c r="ORX2"/>
      <c r="ORY2"/>
      <c r="ORZ2"/>
      <c r="OSA2"/>
      <c r="OSB2"/>
      <c r="OSC2"/>
      <c r="OSD2"/>
      <c r="OSE2"/>
      <c r="OSF2"/>
      <c r="OSG2"/>
      <c r="OSH2"/>
      <c r="OSI2"/>
      <c r="OSJ2"/>
      <c r="OSK2"/>
      <c r="OSL2"/>
      <c r="OSM2"/>
      <c r="OSN2"/>
      <c r="OSO2"/>
      <c r="OSP2"/>
      <c r="OSQ2"/>
      <c r="OSR2"/>
      <c r="OSS2"/>
      <c r="OST2"/>
      <c r="OSU2"/>
      <c r="OSV2"/>
      <c r="OSW2"/>
      <c r="OSX2"/>
      <c r="OSY2"/>
      <c r="OSZ2"/>
      <c r="OTA2"/>
      <c r="OTB2"/>
      <c r="OTC2"/>
      <c r="OTD2"/>
      <c r="OTE2"/>
      <c r="OTF2"/>
      <c r="OTG2"/>
      <c r="OTH2"/>
      <c r="OTI2"/>
      <c r="OTJ2"/>
      <c r="OTK2"/>
      <c r="OTL2"/>
      <c r="OTM2"/>
      <c r="OTN2"/>
      <c r="OTO2"/>
      <c r="OTP2"/>
      <c r="OTQ2"/>
      <c r="OTR2"/>
      <c r="OTS2"/>
      <c r="OTT2"/>
      <c r="OTU2"/>
      <c r="OTV2"/>
      <c r="OTW2"/>
      <c r="OTX2"/>
      <c r="OTY2"/>
      <c r="OTZ2"/>
      <c r="OUA2"/>
      <c r="OUB2"/>
      <c r="OUC2"/>
      <c r="OUD2"/>
      <c r="OUE2"/>
      <c r="OUF2"/>
      <c r="OUG2"/>
      <c r="OUH2"/>
      <c r="OUI2"/>
      <c r="OUJ2"/>
      <c r="OUK2"/>
      <c r="OUL2"/>
      <c r="OUM2"/>
      <c r="OUN2"/>
      <c r="OUO2"/>
      <c r="OUP2"/>
      <c r="OUQ2"/>
      <c r="OUR2"/>
      <c r="OUS2"/>
      <c r="OUT2"/>
      <c r="OUU2"/>
      <c r="OUV2"/>
      <c r="OUW2"/>
      <c r="OUX2"/>
      <c r="OUY2"/>
      <c r="OUZ2"/>
      <c r="OVA2"/>
      <c r="OVB2"/>
      <c r="OVC2"/>
      <c r="OVD2"/>
      <c r="OVE2"/>
      <c r="OVF2"/>
      <c r="OVG2"/>
      <c r="OVH2"/>
      <c r="OVI2"/>
      <c r="OVJ2"/>
      <c r="OVK2"/>
      <c r="OVL2"/>
      <c r="OVM2"/>
      <c r="OVN2"/>
      <c r="OVO2"/>
      <c r="OVP2"/>
      <c r="OVQ2"/>
      <c r="OVR2"/>
      <c r="OVS2"/>
      <c r="OVT2"/>
      <c r="OVU2"/>
      <c r="OVV2"/>
      <c r="OVW2"/>
      <c r="OVX2"/>
      <c r="OVY2"/>
      <c r="OVZ2"/>
      <c r="OWA2"/>
      <c r="OWB2"/>
      <c r="OWC2"/>
      <c r="OWD2"/>
      <c r="OWE2"/>
      <c r="OWF2"/>
      <c r="OWG2"/>
      <c r="OWH2"/>
      <c r="OWI2"/>
      <c r="OWJ2"/>
      <c r="OWK2"/>
      <c r="OWL2"/>
      <c r="OWM2"/>
      <c r="OWN2"/>
      <c r="OWO2"/>
      <c r="OWP2"/>
      <c r="OWQ2"/>
      <c r="OWR2"/>
      <c r="OWS2"/>
      <c r="OWT2"/>
      <c r="OWU2"/>
      <c r="OWV2"/>
      <c r="OWW2"/>
      <c r="OWX2"/>
      <c r="OWY2"/>
      <c r="OWZ2"/>
      <c r="OXA2"/>
      <c r="OXB2"/>
      <c r="OXC2"/>
      <c r="OXD2"/>
      <c r="OXE2"/>
      <c r="OXF2"/>
      <c r="OXG2"/>
      <c r="OXH2"/>
      <c r="OXI2"/>
      <c r="OXJ2"/>
      <c r="OXK2"/>
      <c r="OXL2"/>
      <c r="OXM2"/>
      <c r="OXN2"/>
      <c r="OXO2"/>
      <c r="OXP2"/>
      <c r="OXQ2"/>
      <c r="OXR2"/>
      <c r="OXS2"/>
      <c r="OXT2"/>
      <c r="OXU2"/>
      <c r="OXV2"/>
      <c r="OXW2"/>
      <c r="OXX2"/>
      <c r="OXY2"/>
      <c r="OXZ2"/>
      <c r="OYA2"/>
      <c r="OYB2"/>
      <c r="OYC2"/>
      <c r="OYD2"/>
      <c r="OYE2"/>
      <c r="OYF2"/>
      <c r="OYG2"/>
      <c r="OYH2"/>
      <c r="OYI2"/>
      <c r="OYJ2"/>
      <c r="OYK2"/>
      <c r="OYL2"/>
      <c r="OYM2"/>
      <c r="OYN2"/>
      <c r="OYO2"/>
      <c r="OYP2"/>
      <c r="OYQ2"/>
      <c r="OYR2"/>
      <c r="OYS2"/>
      <c r="OYT2"/>
      <c r="OYU2"/>
      <c r="OYV2"/>
      <c r="OYW2"/>
      <c r="OYX2"/>
      <c r="OYY2"/>
      <c r="OYZ2"/>
      <c r="OZA2"/>
      <c r="OZB2"/>
      <c r="OZC2"/>
      <c r="OZD2"/>
      <c r="OZE2"/>
      <c r="OZF2"/>
      <c r="OZG2"/>
      <c r="OZH2"/>
      <c r="OZI2"/>
      <c r="OZJ2"/>
      <c r="OZK2"/>
      <c r="OZL2"/>
      <c r="OZM2"/>
      <c r="OZN2"/>
      <c r="OZO2"/>
      <c r="OZP2"/>
      <c r="OZQ2"/>
      <c r="OZR2"/>
      <c r="OZS2"/>
      <c r="OZT2"/>
      <c r="OZU2"/>
      <c r="OZV2"/>
      <c r="OZW2"/>
      <c r="OZX2"/>
      <c r="OZY2"/>
      <c r="OZZ2"/>
      <c r="PAA2"/>
      <c r="PAB2"/>
      <c r="PAC2"/>
      <c r="PAD2"/>
      <c r="PAE2"/>
      <c r="PAF2"/>
      <c r="PAG2"/>
      <c r="PAH2"/>
      <c r="PAI2"/>
      <c r="PAJ2"/>
      <c r="PAK2"/>
      <c r="PAL2"/>
      <c r="PAM2"/>
      <c r="PAN2"/>
      <c r="PAO2"/>
      <c r="PAP2"/>
      <c r="PAQ2"/>
      <c r="PAR2"/>
      <c r="PAS2"/>
      <c r="PAT2"/>
      <c r="PAU2"/>
      <c r="PAV2"/>
      <c r="PAW2"/>
      <c r="PAX2"/>
      <c r="PAY2"/>
      <c r="PAZ2"/>
      <c r="PBA2"/>
      <c r="PBB2"/>
      <c r="PBC2"/>
      <c r="PBD2"/>
      <c r="PBE2"/>
      <c r="PBF2"/>
      <c r="PBG2"/>
      <c r="PBH2"/>
      <c r="PBI2"/>
      <c r="PBJ2"/>
      <c r="PBK2"/>
      <c r="PBL2"/>
      <c r="PBM2"/>
      <c r="PBN2"/>
      <c r="PBO2"/>
      <c r="PBP2"/>
      <c r="PBQ2"/>
      <c r="PBR2"/>
      <c r="PBS2"/>
      <c r="PBT2"/>
      <c r="PBU2"/>
      <c r="PBV2"/>
      <c r="PBW2"/>
      <c r="PBX2"/>
      <c r="PBY2"/>
      <c r="PBZ2"/>
      <c r="PCA2"/>
      <c r="PCB2"/>
      <c r="PCC2"/>
      <c r="PCD2"/>
      <c r="PCE2"/>
      <c r="PCF2"/>
      <c r="PCG2"/>
      <c r="PCH2"/>
      <c r="PCI2"/>
      <c r="PCJ2"/>
      <c r="PCK2"/>
      <c r="PCL2"/>
      <c r="PCM2"/>
      <c r="PCN2"/>
      <c r="PCO2"/>
      <c r="PCP2"/>
      <c r="PCQ2"/>
      <c r="PCR2"/>
      <c r="PCS2"/>
      <c r="PCT2"/>
      <c r="PCU2"/>
      <c r="PCV2"/>
      <c r="PCW2"/>
      <c r="PCX2"/>
      <c r="PCY2"/>
      <c r="PCZ2"/>
      <c r="PDA2"/>
      <c r="PDB2"/>
      <c r="PDC2"/>
      <c r="PDD2"/>
      <c r="PDE2"/>
      <c r="PDF2"/>
      <c r="PDG2"/>
      <c r="PDH2"/>
      <c r="PDI2"/>
      <c r="PDJ2"/>
      <c r="PDK2"/>
      <c r="PDL2"/>
      <c r="PDM2"/>
      <c r="PDN2"/>
      <c r="PDO2"/>
      <c r="PDP2"/>
      <c r="PDQ2"/>
      <c r="PDR2"/>
      <c r="PDS2"/>
      <c r="PDT2"/>
      <c r="PDU2"/>
      <c r="PDV2"/>
      <c r="PDW2"/>
      <c r="PDX2"/>
      <c r="PDY2"/>
      <c r="PDZ2"/>
      <c r="PEA2"/>
      <c r="PEB2"/>
      <c r="PEC2"/>
      <c r="PED2"/>
      <c r="PEE2"/>
      <c r="PEF2"/>
      <c r="PEG2"/>
      <c r="PEH2"/>
      <c r="PEI2"/>
      <c r="PEJ2"/>
      <c r="PEK2"/>
      <c r="PEL2"/>
      <c r="PEM2"/>
      <c r="PEN2"/>
      <c r="PEO2"/>
      <c r="PEP2"/>
      <c r="PEQ2"/>
      <c r="PER2"/>
      <c r="PES2"/>
      <c r="PET2"/>
      <c r="PEU2"/>
      <c r="PEV2"/>
      <c r="PEW2"/>
      <c r="PEX2"/>
      <c r="PEY2"/>
      <c r="PEZ2"/>
      <c r="PFA2"/>
      <c r="PFB2"/>
      <c r="PFC2"/>
      <c r="PFD2"/>
      <c r="PFE2"/>
      <c r="PFF2"/>
      <c r="PFG2"/>
      <c r="PFH2"/>
      <c r="PFI2"/>
      <c r="PFJ2"/>
      <c r="PFK2"/>
      <c r="PFL2"/>
      <c r="PFM2"/>
      <c r="PFN2"/>
      <c r="PFO2"/>
      <c r="PFP2"/>
      <c r="PFQ2"/>
      <c r="PFR2"/>
      <c r="PFS2"/>
      <c r="PFT2"/>
      <c r="PFU2"/>
      <c r="PFV2"/>
      <c r="PFW2"/>
      <c r="PFX2"/>
      <c r="PFY2"/>
      <c r="PFZ2"/>
      <c r="PGA2"/>
      <c r="PGB2"/>
      <c r="PGC2"/>
      <c r="PGD2"/>
      <c r="PGE2"/>
      <c r="PGF2"/>
      <c r="PGG2"/>
      <c r="PGH2"/>
      <c r="PGI2"/>
      <c r="PGJ2"/>
      <c r="PGK2"/>
      <c r="PGL2"/>
      <c r="PGM2"/>
      <c r="PGN2"/>
      <c r="PGO2"/>
      <c r="PGP2"/>
      <c r="PGQ2"/>
      <c r="PGR2"/>
      <c r="PGS2"/>
      <c r="PGT2"/>
      <c r="PGU2"/>
      <c r="PGV2"/>
      <c r="PGW2"/>
      <c r="PGX2"/>
      <c r="PGY2"/>
      <c r="PGZ2"/>
      <c r="PHA2"/>
      <c r="PHB2"/>
      <c r="PHC2"/>
      <c r="PHD2"/>
      <c r="PHE2"/>
      <c r="PHF2"/>
      <c r="PHG2"/>
      <c r="PHH2"/>
      <c r="PHI2"/>
      <c r="PHJ2"/>
      <c r="PHK2"/>
      <c r="PHL2"/>
      <c r="PHM2"/>
      <c r="PHN2"/>
      <c r="PHO2"/>
      <c r="PHP2"/>
      <c r="PHQ2"/>
      <c r="PHR2"/>
      <c r="PHS2"/>
      <c r="PHT2"/>
      <c r="PHU2"/>
      <c r="PHV2"/>
      <c r="PHW2"/>
      <c r="PHX2"/>
      <c r="PHY2"/>
      <c r="PHZ2"/>
      <c r="PIA2"/>
      <c r="PIB2"/>
      <c r="PIC2"/>
      <c r="PID2"/>
      <c r="PIE2"/>
      <c r="PIF2"/>
      <c r="PIG2"/>
      <c r="PIH2"/>
      <c r="PII2"/>
      <c r="PIJ2"/>
      <c r="PIK2"/>
      <c r="PIL2"/>
      <c r="PIM2"/>
      <c r="PIN2"/>
      <c r="PIO2"/>
      <c r="PIP2"/>
      <c r="PIQ2"/>
      <c r="PIR2"/>
      <c r="PIS2"/>
      <c r="PIT2"/>
      <c r="PIU2"/>
      <c r="PIV2"/>
      <c r="PIW2"/>
      <c r="PIX2"/>
      <c r="PIY2"/>
      <c r="PIZ2"/>
      <c r="PJA2"/>
      <c r="PJB2"/>
      <c r="PJC2"/>
      <c r="PJD2"/>
      <c r="PJE2"/>
      <c r="PJF2"/>
      <c r="PJG2"/>
      <c r="PJH2"/>
      <c r="PJI2"/>
      <c r="PJJ2"/>
      <c r="PJK2"/>
      <c r="PJL2"/>
      <c r="PJM2"/>
      <c r="PJN2"/>
      <c r="PJO2"/>
      <c r="PJP2"/>
      <c r="PJQ2"/>
      <c r="PJR2"/>
      <c r="PJS2"/>
      <c r="PJT2"/>
      <c r="PJU2"/>
      <c r="PJV2"/>
      <c r="PJW2"/>
      <c r="PJX2"/>
      <c r="PJY2"/>
      <c r="PJZ2"/>
      <c r="PKA2"/>
      <c r="PKB2"/>
      <c r="PKC2"/>
      <c r="PKD2"/>
      <c r="PKE2"/>
      <c r="PKF2"/>
      <c r="PKG2"/>
      <c r="PKH2"/>
      <c r="PKI2"/>
      <c r="PKJ2"/>
      <c r="PKK2"/>
      <c r="PKL2"/>
      <c r="PKM2"/>
      <c r="PKN2"/>
      <c r="PKO2"/>
      <c r="PKP2"/>
      <c r="PKQ2"/>
      <c r="PKR2"/>
      <c r="PKS2"/>
      <c r="PKT2"/>
      <c r="PKU2"/>
      <c r="PKV2"/>
      <c r="PKW2"/>
      <c r="PKX2"/>
      <c r="PKY2"/>
      <c r="PKZ2"/>
      <c r="PLA2"/>
      <c r="PLB2"/>
      <c r="PLC2"/>
      <c r="PLD2"/>
      <c r="PLE2"/>
      <c r="PLF2"/>
      <c r="PLG2"/>
      <c r="PLH2"/>
      <c r="PLI2"/>
      <c r="PLJ2"/>
      <c r="PLK2"/>
      <c r="PLL2"/>
      <c r="PLM2"/>
      <c r="PLN2"/>
      <c r="PLO2"/>
      <c r="PLP2"/>
      <c r="PLQ2"/>
      <c r="PLR2"/>
      <c r="PLS2"/>
      <c r="PLT2"/>
      <c r="PLU2"/>
      <c r="PLV2"/>
      <c r="PLW2"/>
      <c r="PLX2"/>
      <c r="PLY2"/>
      <c r="PLZ2"/>
      <c r="PMA2"/>
      <c r="PMB2"/>
      <c r="PMC2"/>
      <c r="PMD2"/>
      <c r="PME2"/>
      <c r="PMF2"/>
      <c r="PMG2"/>
      <c r="PMH2"/>
      <c r="PMI2"/>
      <c r="PMJ2"/>
      <c r="PMK2"/>
      <c r="PML2"/>
      <c r="PMM2"/>
      <c r="PMN2"/>
      <c r="PMO2"/>
      <c r="PMP2"/>
      <c r="PMQ2"/>
      <c r="PMR2"/>
      <c r="PMS2"/>
      <c r="PMT2"/>
      <c r="PMU2"/>
      <c r="PMV2"/>
      <c r="PMW2"/>
      <c r="PMX2"/>
      <c r="PMY2"/>
      <c r="PMZ2"/>
      <c r="PNA2"/>
      <c r="PNB2"/>
      <c r="PNC2"/>
      <c r="PND2"/>
      <c r="PNE2"/>
      <c r="PNF2"/>
      <c r="PNG2"/>
      <c r="PNH2"/>
      <c r="PNI2"/>
      <c r="PNJ2"/>
      <c r="PNK2"/>
      <c r="PNL2"/>
      <c r="PNM2"/>
      <c r="PNN2"/>
      <c r="PNO2"/>
      <c r="PNP2"/>
      <c r="PNQ2"/>
      <c r="PNR2"/>
      <c r="PNS2"/>
      <c r="PNT2"/>
      <c r="PNU2"/>
      <c r="PNV2"/>
      <c r="PNW2"/>
      <c r="PNX2"/>
      <c r="PNY2"/>
      <c r="PNZ2"/>
      <c r="POA2"/>
      <c r="POB2"/>
      <c r="POC2"/>
      <c r="POD2"/>
      <c r="POE2"/>
      <c r="POF2"/>
      <c r="POG2"/>
      <c r="POH2"/>
      <c r="POI2"/>
      <c r="POJ2"/>
      <c r="POK2"/>
      <c r="POL2"/>
      <c r="POM2"/>
      <c r="PON2"/>
      <c r="POO2"/>
      <c r="POP2"/>
      <c r="POQ2"/>
      <c r="POR2"/>
      <c r="POS2"/>
      <c r="POT2"/>
      <c r="POU2"/>
      <c r="POV2"/>
      <c r="POW2"/>
      <c r="POX2"/>
      <c r="POY2"/>
      <c r="POZ2"/>
      <c r="PPA2"/>
      <c r="PPB2"/>
      <c r="PPC2"/>
      <c r="PPD2"/>
      <c r="PPE2"/>
      <c r="PPF2"/>
      <c r="PPG2"/>
      <c r="PPH2"/>
      <c r="PPI2"/>
      <c r="PPJ2"/>
      <c r="PPK2"/>
      <c r="PPL2"/>
      <c r="PPM2"/>
      <c r="PPN2"/>
      <c r="PPO2"/>
      <c r="PPP2"/>
      <c r="PPQ2"/>
      <c r="PPR2"/>
      <c r="PPS2"/>
      <c r="PPT2"/>
      <c r="PPU2"/>
      <c r="PPV2"/>
      <c r="PPW2"/>
      <c r="PPX2"/>
      <c r="PPY2"/>
      <c r="PPZ2"/>
      <c r="PQA2"/>
      <c r="PQB2"/>
      <c r="PQC2"/>
      <c r="PQD2"/>
      <c r="PQE2"/>
      <c r="PQF2"/>
      <c r="PQG2"/>
      <c r="PQH2"/>
      <c r="PQI2"/>
      <c r="PQJ2"/>
      <c r="PQK2"/>
      <c r="PQL2"/>
      <c r="PQM2"/>
      <c r="PQN2"/>
      <c r="PQO2"/>
      <c r="PQP2"/>
      <c r="PQQ2"/>
      <c r="PQR2"/>
      <c r="PQS2"/>
      <c r="PQT2"/>
      <c r="PQU2"/>
      <c r="PQV2"/>
      <c r="PQW2"/>
      <c r="PQX2"/>
      <c r="PQY2"/>
      <c r="PQZ2"/>
      <c r="PRA2"/>
      <c r="PRB2"/>
      <c r="PRC2"/>
      <c r="PRD2"/>
      <c r="PRE2"/>
      <c r="PRF2"/>
      <c r="PRG2"/>
      <c r="PRH2"/>
      <c r="PRI2"/>
      <c r="PRJ2"/>
      <c r="PRK2"/>
      <c r="PRL2"/>
      <c r="PRM2"/>
      <c r="PRN2"/>
      <c r="PRO2"/>
      <c r="PRP2"/>
      <c r="PRQ2"/>
      <c r="PRR2"/>
      <c r="PRS2"/>
      <c r="PRT2"/>
      <c r="PRU2"/>
      <c r="PRV2"/>
      <c r="PRW2"/>
      <c r="PRX2"/>
      <c r="PRY2"/>
      <c r="PRZ2"/>
      <c r="PSA2"/>
      <c r="PSB2"/>
      <c r="PSC2"/>
      <c r="PSD2"/>
      <c r="PSE2"/>
      <c r="PSF2"/>
      <c r="PSG2"/>
      <c r="PSH2"/>
      <c r="PSI2"/>
      <c r="PSJ2"/>
      <c r="PSK2"/>
      <c r="PSL2"/>
      <c r="PSM2"/>
      <c r="PSN2"/>
      <c r="PSO2"/>
      <c r="PSP2"/>
      <c r="PSQ2"/>
      <c r="PSR2"/>
      <c r="PSS2"/>
      <c r="PST2"/>
      <c r="PSU2"/>
      <c r="PSV2"/>
      <c r="PSW2"/>
      <c r="PSX2"/>
      <c r="PSY2"/>
      <c r="PSZ2"/>
      <c r="PTA2"/>
      <c r="PTB2"/>
      <c r="PTC2"/>
      <c r="PTD2"/>
      <c r="PTE2"/>
      <c r="PTF2"/>
      <c r="PTG2"/>
      <c r="PTH2"/>
      <c r="PTI2"/>
      <c r="PTJ2"/>
      <c r="PTK2"/>
      <c r="PTL2"/>
      <c r="PTM2"/>
      <c r="PTN2"/>
      <c r="PTO2"/>
      <c r="PTP2"/>
      <c r="PTQ2"/>
      <c r="PTR2"/>
      <c r="PTS2"/>
      <c r="PTT2"/>
      <c r="PTU2"/>
      <c r="PTV2"/>
      <c r="PTW2"/>
      <c r="PTX2"/>
      <c r="PTY2"/>
      <c r="PTZ2"/>
      <c r="PUA2"/>
      <c r="PUB2"/>
      <c r="PUC2"/>
      <c r="PUD2"/>
      <c r="PUE2"/>
      <c r="PUF2"/>
      <c r="PUG2"/>
      <c r="PUH2"/>
      <c r="PUI2"/>
      <c r="PUJ2"/>
      <c r="PUK2"/>
      <c r="PUL2"/>
      <c r="PUM2"/>
      <c r="PUN2"/>
      <c r="PUO2"/>
      <c r="PUP2"/>
      <c r="PUQ2"/>
      <c r="PUR2"/>
      <c r="PUS2"/>
      <c r="PUT2"/>
      <c r="PUU2"/>
      <c r="PUV2"/>
      <c r="PUW2"/>
      <c r="PUX2"/>
      <c r="PUY2"/>
      <c r="PUZ2"/>
      <c r="PVA2"/>
      <c r="PVB2"/>
      <c r="PVC2"/>
      <c r="PVD2"/>
      <c r="PVE2"/>
      <c r="PVF2"/>
      <c r="PVG2"/>
      <c r="PVH2"/>
      <c r="PVI2"/>
      <c r="PVJ2"/>
      <c r="PVK2"/>
      <c r="PVL2"/>
      <c r="PVM2"/>
      <c r="PVN2"/>
      <c r="PVO2"/>
      <c r="PVP2"/>
      <c r="PVQ2"/>
      <c r="PVR2"/>
      <c r="PVS2"/>
      <c r="PVT2"/>
      <c r="PVU2"/>
      <c r="PVV2"/>
      <c r="PVW2"/>
      <c r="PVX2"/>
      <c r="PVY2"/>
      <c r="PVZ2"/>
      <c r="PWA2"/>
      <c r="PWB2"/>
      <c r="PWC2"/>
      <c r="PWD2"/>
      <c r="PWE2"/>
      <c r="PWF2"/>
      <c r="PWG2"/>
      <c r="PWH2"/>
      <c r="PWI2"/>
      <c r="PWJ2"/>
      <c r="PWK2"/>
      <c r="PWL2"/>
      <c r="PWM2"/>
      <c r="PWN2"/>
      <c r="PWO2"/>
      <c r="PWP2"/>
      <c r="PWQ2"/>
      <c r="PWR2"/>
      <c r="PWS2"/>
      <c r="PWT2"/>
      <c r="PWU2"/>
      <c r="PWV2"/>
      <c r="PWW2"/>
      <c r="PWX2"/>
      <c r="PWY2"/>
      <c r="PWZ2"/>
      <c r="PXA2"/>
      <c r="PXB2"/>
      <c r="PXC2"/>
      <c r="PXD2"/>
      <c r="PXE2"/>
      <c r="PXF2"/>
      <c r="PXG2"/>
      <c r="PXH2"/>
      <c r="PXI2"/>
      <c r="PXJ2"/>
      <c r="PXK2"/>
      <c r="PXL2"/>
      <c r="PXM2"/>
      <c r="PXN2"/>
      <c r="PXO2"/>
      <c r="PXP2"/>
      <c r="PXQ2"/>
      <c r="PXR2"/>
      <c r="PXS2"/>
      <c r="PXT2"/>
      <c r="PXU2"/>
      <c r="PXV2"/>
      <c r="PXW2"/>
      <c r="PXX2"/>
      <c r="PXY2"/>
      <c r="PXZ2"/>
      <c r="PYA2"/>
      <c r="PYB2"/>
      <c r="PYC2"/>
      <c r="PYD2"/>
      <c r="PYE2"/>
      <c r="PYF2"/>
      <c r="PYG2"/>
      <c r="PYH2"/>
      <c r="PYI2"/>
      <c r="PYJ2"/>
      <c r="PYK2"/>
      <c r="PYL2"/>
      <c r="PYM2"/>
      <c r="PYN2"/>
      <c r="PYO2"/>
      <c r="PYP2"/>
      <c r="PYQ2"/>
      <c r="PYR2"/>
      <c r="PYS2"/>
      <c r="PYT2"/>
      <c r="PYU2"/>
      <c r="PYV2"/>
      <c r="PYW2"/>
      <c r="PYX2"/>
      <c r="PYY2"/>
      <c r="PYZ2"/>
      <c r="PZA2"/>
      <c r="PZB2"/>
      <c r="PZC2"/>
      <c r="PZD2"/>
      <c r="PZE2"/>
      <c r="PZF2"/>
      <c r="PZG2"/>
      <c r="PZH2"/>
      <c r="PZI2"/>
      <c r="PZJ2"/>
      <c r="PZK2"/>
      <c r="PZL2"/>
      <c r="PZM2"/>
      <c r="PZN2"/>
      <c r="PZO2"/>
      <c r="PZP2"/>
      <c r="PZQ2"/>
      <c r="PZR2"/>
      <c r="PZS2"/>
      <c r="PZT2"/>
      <c r="PZU2"/>
      <c r="PZV2"/>
      <c r="PZW2"/>
      <c r="PZX2"/>
      <c r="PZY2"/>
      <c r="PZZ2"/>
      <c r="QAA2"/>
      <c r="QAB2"/>
      <c r="QAC2"/>
      <c r="QAD2"/>
      <c r="QAE2"/>
      <c r="QAF2"/>
      <c r="QAG2"/>
      <c r="QAH2"/>
      <c r="QAI2"/>
      <c r="QAJ2"/>
      <c r="QAK2"/>
      <c r="QAL2"/>
      <c r="QAM2"/>
      <c r="QAN2"/>
      <c r="QAO2"/>
      <c r="QAP2"/>
      <c r="QAQ2"/>
      <c r="QAR2"/>
      <c r="QAS2"/>
      <c r="QAT2"/>
      <c r="QAU2"/>
      <c r="QAV2"/>
      <c r="QAW2"/>
      <c r="QAX2"/>
      <c r="QAY2"/>
      <c r="QAZ2"/>
      <c r="QBA2"/>
      <c r="QBB2"/>
      <c r="QBC2"/>
      <c r="QBD2"/>
      <c r="QBE2"/>
      <c r="QBF2"/>
      <c r="QBG2"/>
      <c r="QBH2"/>
      <c r="QBI2"/>
      <c r="QBJ2"/>
      <c r="QBK2"/>
      <c r="QBL2"/>
      <c r="QBM2"/>
      <c r="QBN2"/>
      <c r="QBO2"/>
      <c r="QBP2"/>
      <c r="QBQ2"/>
      <c r="QBR2"/>
      <c r="QBS2"/>
      <c r="QBT2"/>
      <c r="QBU2"/>
      <c r="QBV2"/>
      <c r="QBW2"/>
      <c r="QBX2"/>
      <c r="QBY2"/>
      <c r="QBZ2"/>
      <c r="QCA2"/>
      <c r="QCB2"/>
      <c r="QCC2"/>
      <c r="QCD2"/>
      <c r="QCE2"/>
      <c r="QCF2"/>
      <c r="QCG2"/>
      <c r="QCH2"/>
      <c r="QCI2"/>
      <c r="QCJ2"/>
      <c r="QCK2"/>
      <c r="QCL2"/>
      <c r="QCM2"/>
      <c r="QCN2"/>
      <c r="QCO2"/>
      <c r="QCP2"/>
      <c r="QCQ2"/>
      <c r="QCR2"/>
      <c r="QCS2"/>
      <c r="QCT2"/>
      <c r="QCU2"/>
      <c r="QCV2"/>
      <c r="QCW2"/>
      <c r="QCX2"/>
      <c r="QCY2"/>
      <c r="QCZ2"/>
      <c r="QDA2"/>
      <c r="QDB2"/>
      <c r="QDC2"/>
      <c r="QDD2"/>
      <c r="QDE2"/>
      <c r="QDF2"/>
      <c r="QDG2"/>
      <c r="QDH2"/>
      <c r="QDI2"/>
      <c r="QDJ2"/>
      <c r="QDK2"/>
      <c r="QDL2"/>
      <c r="QDM2"/>
      <c r="QDN2"/>
      <c r="QDO2"/>
      <c r="QDP2"/>
      <c r="QDQ2"/>
      <c r="QDR2"/>
      <c r="QDS2"/>
      <c r="QDT2"/>
      <c r="QDU2"/>
      <c r="QDV2"/>
      <c r="QDW2"/>
      <c r="QDX2"/>
      <c r="QDY2"/>
      <c r="QDZ2"/>
      <c r="QEA2"/>
      <c r="QEB2"/>
      <c r="QEC2"/>
      <c r="QED2"/>
      <c r="QEE2"/>
      <c r="QEF2"/>
      <c r="QEG2"/>
      <c r="QEH2"/>
      <c r="QEI2"/>
      <c r="QEJ2"/>
      <c r="QEK2"/>
      <c r="QEL2"/>
      <c r="QEM2"/>
      <c r="QEN2"/>
      <c r="QEO2"/>
      <c r="QEP2"/>
      <c r="QEQ2"/>
      <c r="QER2"/>
      <c r="QES2"/>
      <c r="QET2"/>
      <c r="QEU2"/>
      <c r="QEV2"/>
      <c r="QEW2"/>
      <c r="QEX2"/>
      <c r="QEY2"/>
      <c r="QEZ2"/>
      <c r="QFA2"/>
      <c r="QFB2"/>
      <c r="QFC2"/>
      <c r="QFD2"/>
      <c r="QFE2"/>
      <c r="QFF2"/>
      <c r="QFG2"/>
      <c r="QFH2"/>
      <c r="QFI2"/>
      <c r="QFJ2"/>
      <c r="QFK2"/>
      <c r="QFL2"/>
      <c r="QFM2"/>
      <c r="QFN2"/>
      <c r="QFO2"/>
      <c r="QFP2"/>
      <c r="QFQ2"/>
      <c r="QFR2"/>
      <c r="QFS2"/>
      <c r="QFT2"/>
      <c r="QFU2"/>
      <c r="QFV2"/>
      <c r="QFW2"/>
      <c r="QFX2"/>
      <c r="QFY2"/>
      <c r="QFZ2"/>
      <c r="QGA2"/>
      <c r="QGB2"/>
      <c r="QGC2"/>
      <c r="QGD2"/>
      <c r="QGE2"/>
      <c r="QGF2"/>
      <c r="QGG2"/>
      <c r="QGH2"/>
      <c r="QGI2"/>
      <c r="QGJ2"/>
      <c r="QGK2"/>
      <c r="QGL2"/>
      <c r="QGM2"/>
      <c r="QGN2"/>
      <c r="QGO2"/>
      <c r="QGP2"/>
      <c r="QGQ2"/>
      <c r="QGR2"/>
      <c r="QGS2"/>
      <c r="QGT2"/>
      <c r="QGU2"/>
      <c r="QGV2"/>
      <c r="QGW2"/>
      <c r="QGX2"/>
      <c r="QGY2"/>
      <c r="QGZ2"/>
      <c r="QHA2"/>
      <c r="QHB2"/>
      <c r="QHC2"/>
      <c r="QHD2"/>
      <c r="QHE2"/>
      <c r="QHF2"/>
      <c r="QHG2"/>
      <c r="QHH2"/>
      <c r="QHI2"/>
      <c r="QHJ2"/>
      <c r="QHK2"/>
      <c r="QHL2"/>
      <c r="QHM2"/>
      <c r="QHN2"/>
      <c r="QHO2"/>
      <c r="QHP2"/>
      <c r="QHQ2"/>
      <c r="QHR2"/>
      <c r="QHS2"/>
      <c r="QHT2"/>
      <c r="QHU2"/>
      <c r="QHV2"/>
      <c r="QHW2"/>
      <c r="QHX2"/>
      <c r="QHY2"/>
      <c r="QHZ2"/>
      <c r="QIA2"/>
      <c r="QIB2"/>
      <c r="QIC2"/>
      <c r="QID2"/>
      <c r="QIE2"/>
      <c r="QIF2"/>
      <c r="QIG2"/>
      <c r="QIH2"/>
      <c r="QII2"/>
      <c r="QIJ2"/>
      <c r="QIK2"/>
      <c r="QIL2"/>
      <c r="QIM2"/>
      <c r="QIN2"/>
      <c r="QIO2"/>
      <c r="QIP2"/>
      <c r="QIQ2"/>
      <c r="QIR2"/>
      <c r="QIS2"/>
      <c r="QIT2"/>
      <c r="QIU2"/>
      <c r="QIV2"/>
      <c r="QIW2"/>
      <c r="QIX2"/>
      <c r="QIY2"/>
      <c r="QIZ2"/>
      <c r="QJA2"/>
      <c r="QJB2"/>
      <c r="QJC2"/>
      <c r="QJD2"/>
      <c r="QJE2"/>
      <c r="QJF2"/>
      <c r="QJG2"/>
      <c r="QJH2"/>
      <c r="QJI2"/>
      <c r="QJJ2"/>
      <c r="QJK2"/>
      <c r="QJL2"/>
      <c r="QJM2"/>
      <c r="QJN2"/>
      <c r="QJO2"/>
      <c r="QJP2"/>
      <c r="QJQ2"/>
      <c r="QJR2"/>
      <c r="QJS2"/>
      <c r="QJT2"/>
      <c r="QJU2"/>
      <c r="QJV2"/>
      <c r="QJW2"/>
      <c r="QJX2"/>
      <c r="QJY2"/>
      <c r="QJZ2"/>
      <c r="QKA2"/>
      <c r="QKB2"/>
      <c r="QKC2"/>
      <c r="QKD2"/>
      <c r="QKE2"/>
      <c r="QKF2"/>
      <c r="QKG2"/>
      <c r="QKH2"/>
      <c r="QKI2"/>
      <c r="QKJ2"/>
      <c r="QKK2"/>
      <c r="QKL2"/>
      <c r="QKM2"/>
      <c r="QKN2"/>
      <c r="QKO2"/>
      <c r="QKP2"/>
      <c r="QKQ2"/>
      <c r="QKR2"/>
      <c r="QKS2"/>
      <c r="QKT2"/>
      <c r="QKU2"/>
      <c r="QKV2"/>
      <c r="QKW2"/>
      <c r="QKX2"/>
      <c r="QKY2"/>
      <c r="QKZ2"/>
      <c r="QLA2"/>
      <c r="QLB2"/>
      <c r="QLC2"/>
      <c r="QLD2"/>
      <c r="QLE2"/>
      <c r="QLF2"/>
      <c r="QLG2"/>
      <c r="QLH2"/>
      <c r="QLI2"/>
      <c r="QLJ2"/>
      <c r="QLK2"/>
      <c r="QLL2"/>
      <c r="QLM2"/>
      <c r="QLN2"/>
      <c r="QLO2"/>
      <c r="QLP2"/>
      <c r="QLQ2"/>
      <c r="QLR2"/>
      <c r="QLS2"/>
      <c r="QLT2"/>
      <c r="QLU2"/>
      <c r="QLV2"/>
      <c r="QLW2"/>
      <c r="QLX2"/>
      <c r="QLY2"/>
      <c r="QLZ2"/>
      <c r="QMA2"/>
      <c r="QMB2"/>
      <c r="QMC2"/>
      <c r="QMD2"/>
      <c r="QME2"/>
      <c r="QMF2"/>
      <c r="QMG2"/>
      <c r="QMH2"/>
      <c r="QMI2"/>
      <c r="QMJ2"/>
      <c r="QMK2"/>
      <c r="QML2"/>
      <c r="QMM2"/>
      <c r="QMN2"/>
      <c r="QMO2"/>
      <c r="QMP2"/>
      <c r="QMQ2"/>
      <c r="QMR2"/>
      <c r="QMS2"/>
      <c r="QMT2"/>
      <c r="QMU2"/>
      <c r="QMV2"/>
      <c r="QMW2"/>
      <c r="QMX2"/>
      <c r="QMY2"/>
      <c r="QMZ2"/>
      <c r="QNA2"/>
      <c r="QNB2"/>
      <c r="QNC2"/>
      <c r="QND2"/>
      <c r="QNE2"/>
      <c r="QNF2"/>
      <c r="QNG2"/>
      <c r="QNH2"/>
      <c r="QNI2"/>
      <c r="QNJ2"/>
      <c r="QNK2"/>
      <c r="QNL2"/>
      <c r="QNM2"/>
      <c r="QNN2"/>
      <c r="QNO2"/>
      <c r="QNP2"/>
      <c r="QNQ2"/>
      <c r="QNR2"/>
      <c r="QNS2"/>
      <c r="QNT2"/>
      <c r="QNU2"/>
      <c r="QNV2"/>
      <c r="QNW2"/>
      <c r="QNX2"/>
      <c r="QNY2"/>
      <c r="QNZ2"/>
      <c r="QOA2"/>
      <c r="QOB2"/>
      <c r="QOC2"/>
      <c r="QOD2"/>
      <c r="QOE2"/>
      <c r="QOF2"/>
      <c r="QOG2"/>
      <c r="QOH2"/>
      <c r="QOI2"/>
      <c r="QOJ2"/>
      <c r="QOK2"/>
      <c r="QOL2"/>
      <c r="QOM2"/>
      <c r="QON2"/>
      <c r="QOO2"/>
      <c r="QOP2"/>
      <c r="QOQ2"/>
      <c r="QOR2"/>
      <c r="QOS2"/>
      <c r="QOT2"/>
      <c r="QOU2"/>
      <c r="QOV2"/>
      <c r="QOW2"/>
      <c r="QOX2"/>
      <c r="QOY2"/>
      <c r="QOZ2"/>
      <c r="QPA2"/>
      <c r="QPB2"/>
      <c r="QPC2"/>
      <c r="QPD2"/>
      <c r="QPE2"/>
      <c r="QPF2"/>
      <c r="QPG2"/>
      <c r="QPH2"/>
      <c r="QPI2"/>
      <c r="QPJ2"/>
      <c r="QPK2"/>
      <c r="QPL2"/>
      <c r="QPM2"/>
      <c r="QPN2"/>
      <c r="QPO2"/>
      <c r="QPP2"/>
      <c r="QPQ2"/>
      <c r="QPR2"/>
      <c r="QPS2"/>
      <c r="QPT2"/>
      <c r="QPU2"/>
      <c r="QPV2"/>
      <c r="QPW2"/>
      <c r="QPX2"/>
      <c r="QPY2"/>
      <c r="QPZ2"/>
      <c r="QQA2"/>
      <c r="QQB2"/>
      <c r="QQC2"/>
      <c r="QQD2"/>
      <c r="QQE2"/>
      <c r="QQF2"/>
      <c r="QQG2"/>
      <c r="QQH2"/>
      <c r="QQI2"/>
      <c r="QQJ2"/>
      <c r="QQK2"/>
      <c r="QQL2"/>
      <c r="QQM2"/>
      <c r="QQN2"/>
      <c r="QQO2"/>
      <c r="QQP2"/>
      <c r="QQQ2"/>
      <c r="QQR2"/>
      <c r="QQS2"/>
      <c r="QQT2"/>
      <c r="QQU2"/>
      <c r="QQV2"/>
      <c r="QQW2"/>
      <c r="QQX2"/>
      <c r="QQY2"/>
      <c r="QQZ2"/>
      <c r="QRA2"/>
      <c r="QRB2"/>
      <c r="QRC2"/>
      <c r="QRD2"/>
      <c r="QRE2"/>
      <c r="QRF2"/>
      <c r="QRG2"/>
      <c r="QRH2"/>
      <c r="QRI2"/>
      <c r="QRJ2"/>
      <c r="QRK2"/>
      <c r="QRL2"/>
      <c r="QRM2"/>
      <c r="QRN2"/>
      <c r="QRO2"/>
      <c r="QRP2"/>
      <c r="QRQ2"/>
      <c r="QRR2"/>
      <c r="QRS2"/>
      <c r="QRT2"/>
      <c r="QRU2"/>
      <c r="QRV2"/>
      <c r="QRW2"/>
      <c r="QRX2"/>
      <c r="QRY2"/>
      <c r="QRZ2"/>
      <c r="QSA2"/>
      <c r="QSB2"/>
      <c r="QSC2"/>
      <c r="QSD2"/>
      <c r="QSE2"/>
      <c r="QSF2"/>
      <c r="QSG2"/>
      <c r="QSH2"/>
      <c r="QSI2"/>
      <c r="QSJ2"/>
      <c r="QSK2"/>
      <c r="QSL2"/>
      <c r="QSM2"/>
      <c r="QSN2"/>
      <c r="QSO2"/>
      <c r="QSP2"/>
      <c r="QSQ2"/>
      <c r="QSR2"/>
      <c r="QSS2"/>
      <c r="QST2"/>
      <c r="QSU2"/>
      <c r="QSV2"/>
      <c r="QSW2"/>
      <c r="QSX2"/>
      <c r="QSY2"/>
      <c r="QSZ2"/>
      <c r="QTA2"/>
      <c r="QTB2"/>
      <c r="QTC2"/>
      <c r="QTD2"/>
      <c r="QTE2"/>
      <c r="QTF2"/>
      <c r="QTG2"/>
      <c r="QTH2"/>
      <c r="QTI2"/>
      <c r="QTJ2"/>
      <c r="QTK2"/>
      <c r="QTL2"/>
      <c r="QTM2"/>
      <c r="QTN2"/>
      <c r="QTO2"/>
      <c r="QTP2"/>
      <c r="QTQ2"/>
      <c r="QTR2"/>
      <c r="QTS2"/>
      <c r="QTT2"/>
      <c r="QTU2"/>
      <c r="QTV2"/>
      <c r="QTW2"/>
      <c r="QTX2"/>
      <c r="QTY2"/>
      <c r="QTZ2"/>
      <c r="QUA2"/>
      <c r="QUB2"/>
      <c r="QUC2"/>
      <c r="QUD2"/>
      <c r="QUE2"/>
      <c r="QUF2"/>
      <c r="QUG2"/>
      <c r="QUH2"/>
      <c r="QUI2"/>
      <c r="QUJ2"/>
      <c r="QUK2"/>
      <c r="QUL2"/>
      <c r="QUM2"/>
      <c r="QUN2"/>
      <c r="QUO2"/>
      <c r="QUP2"/>
      <c r="QUQ2"/>
      <c r="QUR2"/>
      <c r="QUS2"/>
      <c r="QUT2"/>
      <c r="QUU2"/>
      <c r="QUV2"/>
      <c r="QUW2"/>
      <c r="QUX2"/>
      <c r="QUY2"/>
      <c r="QUZ2"/>
      <c r="QVA2"/>
      <c r="QVB2"/>
      <c r="QVC2"/>
      <c r="QVD2"/>
      <c r="QVE2"/>
      <c r="QVF2"/>
      <c r="QVG2"/>
      <c r="QVH2"/>
      <c r="QVI2"/>
      <c r="QVJ2"/>
      <c r="QVK2"/>
      <c r="QVL2"/>
      <c r="QVM2"/>
      <c r="QVN2"/>
      <c r="QVO2"/>
      <c r="QVP2"/>
      <c r="QVQ2"/>
      <c r="QVR2"/>
      <c r="QVS2"/>
      <c r="QVT2"/>
      <c r="QVU2"/>
      <c r="QVV2"/>
      <c r="QVW2"/>
      <c r="QVX2"/>
      <c r="QVY2"/>
      <c r="QVZ2"/>
      <c r="QWA2"/>
      <c r="QWB2"/>
      <c r="QWC2"/>
      <c r="QWD2"/>
      <c r="QWE2"/>
      <c r="QWF2"/>
      <c r="QWG2"/>
      <c r="QWH2"/>
      <c r="QWI2"/>
      <c r="QWJ2"/>
      <c r="QWK2"/>
      <c r="QWL2"/>
      <c r="QWM2"/>
      <c r="QWN2"/>
      <c r="QWO2"/>
      <c r="QWP2"/>
      <c r="QWQ2"/>
      <c r="QWR2"/>
      <c r="QWS2"/>
      <c r="QWT2"/>
      <c r="QWU2"/>
      <c r="QWV2"/>
      <c r="QWW2"/>
      <c r="QWX2"/>
      <c r="QWY2"/>
      <c r="QWZ2"/>
      <c r="QXA2"/>
      <c r="QXB2"/>
      <c r="QXC2"/>
      <c r="QXD2"/>
      <c r="QXE2"/>
      <c r="QXF2"/>
      <c r="QXG2"/>
      <c r="QXH2"/>
      <c r="QXI2"/>
      <c r="QXJ2"/>
      <c r="QXK2"/>
      <c r="QXL2"/>
      <c r="QXM2"/>
      <c r="QXN2"/>
      <c r="QXO2"/>
      <c r="QXP2"/>
      <c r="QXQ2"/>
      <c r="QXR2"/>
      <c r="QXS2"/>
      <c r="QXT2"/>
      <c r="QXU2"/>
      <c r="QXV2"/>
      <c r="QXW2"/>
      <c r="QXX2"/>
      <c r="QXY2"/>
      <c r="QXZ2"/>
      <c r="QYA2"/>
      <c r="QYB2"/>
      <c r="QYC2"/>
      <c r="QYD2"/>
      <c r="QYE2"/>
      <c r="QYF2"/>
      <c r="QYG2"/>
      <c r="QYH2"/>
      <c r="QYI2"/>
      <c r="QYJ2"/>
      <c r="QYK2"/>
      <c r="QYL2"/>
      <c r="QYM2"/>
      <c r="QYN2"/>
      <c r="QYO2"/>
      <c r="QYP2"/>
      <c r="QYQ2"/>
      <c r="QYR2"/>
      <c r="QYS2"/>
      <c r="QYT2"/>
      <c r="QYU2"/>
      <c r="QYV2"/>
      <c r="QYW2"/>
      <c r="QYX2"/>
      <c r="QYY2"/>
      <c r="QYZ2"/>
      <c r="QZA2"/>
      <c r="QZB2"/>
      <c r="QZC2"/>
      <c r="QZD2"/>
      <c r="QZE2"/>
      <c r="QZF2"/>
      <c r="QZG2"/>
      <c r="QZH2"/>
      <c r="QZI2"/>
      <c r="QZJ2"/>
      <c r="QZK2"/>
      <c r="QZL2"/>
      <c r="QZM2"/>
      <c r="QZN2"/>
      <c r="QZO2"/>
      <c r="QZP2"/>
      <c r="QZQ2"/>
      <c r="QZR2"/>
      <c r="QZS2"/>
      <c r="QZT2"/>
      <c r="QZU2"/>
      <c r="QZV2"/>
      <c r="QZW2"/>
      <c r="QZX2"/>
      <c r="QZY2"/>
      <c r="QZZ2"/>
      <c r="RAA2"/>
      <c r="RAB2"/>
      <c r="RAC2"/>
      <c r="RAD2"/>
      <c r="RAE2"/>
      <c r="RAF2"/>
      <c r="RAG2"/>
      <c r="RAH2"/>
      <c r="RAI2"/>
      <c r="RAJ2"/>
      <c r="RAK2"/>
      <c r="RAL2"/>
      <c r="RAM2"/>
      <c r="RAN2"/>
      <c r="RAO2"/>
      <c r="RAP2"/>
      <c r="RAQ2"/>
      <c r="RAR2"/>
      <c r="RAS2"/>
      <c r="RAT2"/>
      <c r="RAU2"/>
      <c r="RAV2"/>
      <c r="RAW2"/>
      <c r="RAX2"/>
      <c r="RAY2"/>
      <c r="RAZ2"/>
      <c r="RBA2"/>
      <c r="RBB2"/>
      <c r="RBC2"/>
      <c r="RBD2"/>
      <c r="RBE2"/>
      <c r="RBF2"/>
      <c r="RBG2"/>
      <c r="RBH2"/>
      <c r="RBI2"/>
      <c r="RBJ2"/>
      <c r="RBK2"/>
      <c r="RBL2"/>
      <c r="RBM2"/>
      <c r="RBN2"/>
      <c r="RBO2"/>
      <c r="RBP2"/>
      <c r="RBQ2"/>
      <c r="RBR2"/>
      <c r="RBS2"/>
      <c r="RBT2"/>
      <c r="RBU2"/>
      <c r="RBV2"/>
      <c r="RBW2"/>
      <c r="RBX2"/>
      <c r="RBY2"/>
      <c r="RBZ2"/>
      <c r="RCA2"/>
      <c r="RCB2"/>
      <c r="RCC2"/>
      <c r="RCD2"/>
      <c r="RCE2"/>
      <c r="RCF2"/>
      <c r="RCG2"/>
      <c r="RCH2"/>
      <c r="RCI2"/>
      <c r="RCJ2"/>
      <c r="RCK2"/>
      <c r="RCL2"/>
      <c r="RCM2"/>
      <c r="RCN2"/>
      <c r="RCO2"/>
      <c r="RCP2"/>
      <c r="RCQ2"/>
      <c r="RCR2"/>
      <c r="RCS2"/>
      <c r="RCT2"/>
      <c r="RCU2"/>
      <c r="RCV2"/>
      <c r="RCW2"/>
      <c r="RCX2"/>
      <c r="RCY2"/>
      <c r="RCZ2"/>
      <c r="RDA2"/>
      <c r="RDB2"/>
      <c r="RDC2"/>
      <c r="RDD2"/>
      <c r="RDE2"/>
      <c r="RDF2"/>
      <c r="RDG2"/>
      <c r="RDH2"/>
      <c r="RDI2"/>
      <c r="RDJ2"/>
      <c r="RDK2"/>
      <c r="RDL2"/>
      <c r="RDM2"/>
      <c r="RDN2"/>
      <c r="RDO2"/>
      <c r="RDP2"/>
      <c r="RDQ2"/>
      <c r="RDR2"/>
      <c r="RDS2"/>
      <c r="RDT2"/>
      <c r="RDU2"/>
      <c r="RDV2"/>
      <c r="RDW2"/>
      <c r="RDX2"/>
      <c r="RDY2"/>
      <c r="RDZ2"/>
      <c r="REA2"/>
      <c r="REB2"/>
      <c r="REC2"/>
      <c r="RED2"/>
      <c r="REE2"/>
      <c r="REF2"/>
      <c r="REG2"/>
      <c r="REH2"/>
      <c r="REI2"/>
      <c r="REJ2"/>
      <c r="REK2"/>
      <c r="REL2"/>
      <c r="REM2"/>
      <c r="REN2"/>
      <c r="REO2"/>
      <c r="REP2"/>
      <c r="REQ2"/>
      <c r="RER2"/>
      <c r="RES2"/>
      <c r="RET2"/>
      <c r="REU2"/>
      <c r="REV2"/>
      <c r="REW2"/>
      <c r="REX2"/>
      <c r="REY2"/>
      <c r="REZ2"/>
      <c r="RFA2"/>
      <c r="RFB2"/>
      <c r="RFC2"/>
      <c r="RFD2"/>
      <c r="RFE2"/>
      <c r="RFF2"/>
      <c r="RFG2"/>
      <c r="RFH2"/>
      <c r="RFI2"/>
      <c r="RFJ2"/>
      <c r="RFK2"/>
      <c r="RFL2"/>
      <c r="RFM2"/>
      <c r="RFN2"/>
      <c r="RFO2"/>
      <c r="RFP2"/>
      <c r="RFQ2"/>
      <c r="RFR2"/>
      <c r="RFS2"/>
      <c r="RFT2"/>
      <c r="RFU2"/>
      <c r="RFV2"/>
      <c r="RFW2"/>
      <c r="RFX2"/>
      <c r="RFY2"/>
      <c r="RFZ2"/>
      <c r="RGA2"/>
      <c r="RGB2"/>
      <c r="RGC2"/>
      <c r="RGD2"/>
      <c r="RGE2"/>
      <c r="RGF2"/>
      <c r="RGG2"/>
      <c r="RGH2"/>
      <c r="RGI2"/>
      <c r="RGJ2"/>
      <c r="RGK2"/>
      <c r="RGL2"/>
      <c r="RGM2"/>
      <c r="RGN2"/>
      <c r="RGO2"/>
      <c r="RGP2"/>
      <c r="RGQ2"/>
      <c r="RGR2"/>
      <c r="RGS2"/>
      <c r="RGT2"/>
      <c r="RGU2"/>
      <c r="RGV2"/>
      <c r="RGW2"/>
      <c r="RGX2"/>
      <c r="RGY2"/>
      <c r="RGZ2"/>
      <c r="RHA2"/>
      <c r="RHB2"/>
      <c r="RHC2"/>
      <c r="RHD2"/>
      <c r="RHE2"/>
      <c r="RHF2"/>
      <c r="RHG2"/>
      <c r="RHH2"/>
      <c r="RHI2"/>
      <c r="RHJ2"/>
      <c r="RHK2"/>
      <c r="RHL2"/>
      <c r="RHM2"/>
      <c r="RHN2"/>
      <c r="RHO2"/>
      <c r="RHP2"/>
      <c r="RHQ2"/>
      <c r="RHR2"/>
      <c r="RHS2"/>
      <c r="RHT2"/>
      <c r="RHU2"/>
      <c r="RHV2"/>
      <c r="RHW2"/>
      <c r="RHX2"/>
      <c r="RHY2"/>
      <c r="RHZ2"/>
      <c r="RIA2"/>
      <c r="RIB2"/>
      <c r="RIC2"/>
      <c r="RID2"/>
      <c r="RIE2"/>
      <c r="RIF2"/>
      <c r="RIG2"/>
      <c r="RIH2"/>
      <c r="RII2"/>
      <c r="RIJ2"/>
      <c r="RIK2"/>
      <c r="RIL2"/>
      <c r="RIM2"/>
      <c r="RIN2"/>
      <c r="RIO2"/>
      <c r="RIP2"/>
      <c r="RIQ2"/>
      <c r="RIR2"/>
      <c r="RIS2"/>
      <c r="RIT2"/>
      <c r="RIU2"/>
      <c r="RIV2"/>
      <c r="RIW2"/>
      <c r="RIX2"/>
      <c r="RIY2"/>
      <c r="RIZ2"/>
      <c r="RJA2"/>
      <c r="RJB2"/>
      <c r="RJC2"/>
      <c r="RJD2"/>
      <c r="RJE2"/>
      <c r="RJF2"/>
      <c r="RJG2"/>
      <c r="RJH2"/>
      <c r="RJI2"/>
      <c r="RJJ2"/>
      <c r="RJK2"/>
      <c r="RJL2"/>
      <c r="RJM2"/>
      <c r="RJN2"/>
      <c r="RJO2"/>
      <c r="RJP2"/>
      <c r="RJQ2"/>
      <c r="RJR2"/>
      <c r="RJS2"/>
      <c r="RJT2"/>
      <c r="RJU2"/>
      <c r="RJV2"/>
      <c r="RJW2"/>
      <c r="RJX2"/>
      <c r="RJY2"/>
      <c r="RJZ2"/>
      <c r="RKA2"/>
      <c r="RKB2"/>
      <c r="RKC2"/>
      <c r="RKD2"/>
      <c r="RKE2"/>
      <c r="RKF2"/>
      <c r="RKG2"/>
      <c r="RKH2"/>
      <c r="RKI2"/>
      <c r="RKJ2"/>
      <c r="RKK2"/>
      <c r="RKL2"/>
      <c r="RKM2"/>
      <c r="RKN2"/>
      <c r="RKO2"/>
      <c r="RKP2"/>
      <c r="RKQ2"/>
      <c r="RKR2"/>
      <c r="RKS2"/>
      <c r="RKT2"/>
      <c r="RKU2"/>
      <c r="RKV2"/>
      <c r="RKW2"/>
      <c r="RKX2"/>
      <c r="RKY2"/>
      <c r="RKZ2"/>
      <c r="RLA2"/>
      <c r="RLB2"/>
      <c r="RLC2"/>
      <c r="RLD2"/>
      <c r="RLE2"/>
      <c r="RLF2"/>
      <c r="RLG2"/>
      <c r="RLH2"/>
      <c r="RLI2"/>
      <c r="RLJ2"/>
      <c r="RLK2"/>
      <c r="RLL2"/>
      <c r="RLM2"/>
      <c r="RLN2"/>
      <c r="RLO2"/>
      <c r="RLP2"/>
      <c r="RLQ2"/>
      <c r="RLR2"/>
      <c r="RLS2"/>
      <c r="RLT2"/>
      <c r="RLU2"/>
      <c r="RLV2"/>
      <c r="RLW2"/>
      <c r="RLX2"/>
      <c r="RLY2"/>
      <c r="RLZ2"/>
      <c r="RMA2"/>
      <c r="RMB2"/>
      <c r="RMC2"/>
      <c r="RMD2"/>
      <c r="RME2"/>
      <c r="RMF2"/>
      <c r="RMG2"/>
      <c r="RMH2"/>
      <c r="RMI2"/>
      <c r="RMJ2"/>
      <c r="RMK2"/>
      <c r="RML2"/>
      <c r="RMM2"/>
      <c r="RMN2"/>
      <c r="RMO2"/>
      <c r="RMP2"/>
      <c r="RMQ2"/>
      <c r="RMR2"/>
      <c r="RMS2"/>
      <c r="RMT2"/>
      <c r="RMU2"/>
      <c r="RMV2"/>
      <c r="RMW2"/>
      <c r="RMX2"/>
      <c r="RMY2"/>
      <c r="RMZ2"/>
      <c r="RNA2"/>
      <c r="RNB2"/>
      <c r="RNC2"/>
      <c r="RND2"/>
      <c r="RNE2"/>
      <c r="RNF2"/>
      <c r="RNG2"/>
      <c r="RNH2"/>
      <c r="RNI2"/>
      <c r="RNJ2"/>
      <c r="RNK2"/>
      <c r="RNL2"/>
      <c r="RNM2"/>
      <c r="RNN2"/>
      <c r="RNO2"/>
      <c r="RNP2"/>
      <c r="RNQ2"/>
      <c r="RNR2"/>
      <c r="RNS2"/>
      <c r="RNT2"/>
      <c r="RNU2"/>
      <c r="RNV2"/>
      <c r="RNW2"/>
      <c r="RNX2"/>
      <c r="RNY2"/>
      <c r="RNZ2"/>
      <c r="ROA2"/>
      <c r="ROB2"/>
      <c r="ROC2"/>
      <c r="ROD2"/>
      <c r="ROE2"/>
      <c r="ROF2"/>
      <c r="ROG2"/>
      <c r="ROH2"/>
      <c r="ROI2"/>
      <c r="ROJ2"/>
      <c r="ROK2"/>
      <c r="ROL2"/>
      <c r="ROM2"/>
      <c r="RON2"/>
      <c r="ROO2"/>
      <c r="ROP2"/>
      <c r="ROQ2"/>
      <c r="ROR2"/>
      <c r="ROS2"/>
      <c r="ROT2"/>
      <c r="ROU2"/>
      <c r="ROV2"/>
      <c r="ROW2"/>
      <c r="ROX2"/>
      <c r="ROY2"/>
      <c r="ROZ2"/>
      <c r="RPA2"/>
      <c r="RPB2"/>
      <c r="RPC2"/>
      <c r="RPD2"/>
      <c r="RPE2"/>
      <c r="RPF2"/>
      <c r="RPG2"/>
      <c r="RPH2"/>
      <c r="RPI2"/>
      <c r="RPJ2"/>
      <c r="RPK2"/>
      <c r="RPL2"/>
      <c r="RPM2"/>
      <c r="RPN2"/>
      <c r="RPO2"/>
      <c r="RPP2"/>
      <c r="RPQ2"/>
      <c r="RPR2"/>
      <c r="RPS2"/>
      <c r="RPT2"/>
      <c r="RPU2"/>
      <c r="RPV2"/>
      <c r="RPW2"/>
      <c r="RPX2"/>
      <c r="RPY2"/>
      <c r="RPZ2"/>
      <c r="RQA2"/>
      <c r="RQB2"/>
      <c r="RQC2"/>
      <c r="RQD2"/>
      <c r="RQE2"/>
      <c r="RQF2"/>
      <c r="RQG2"/>
      <c r="RQH2"/>
      <c r="RQI2"/>
      <c r="RQJ2"/>
      <c r="RQK2"/>
      <c r="RQL2"/>
      <c r="RQM2"/>
      <c r="RQN2"/>
      <c r="RQO2"/>
      <c r="RQP2"/>
      <c r="RQQ2"/>
      <c r="RQR2"/>
      <c r="RQS2"/>
      <c r="RQT2"/>
      <c r="RQU2"/>
      <c r="RQV2"/>
      <c r="RQW2"/>
      <c r="RQX2"/>
      <c r="RQY2"/>
      <c r="RQZ2"/>
      <c r="RRA2"/>
      <c r="RRB2"/>
      <c r="RRC2"/>
      <c r="RRD2"/>
      <c r="RRE2"/>
      <c r="RRF2"/>
      <c r="RRG2"/>
      <c r="RRH2"/>
      <c r="RRI2"/>
      <c r="RRJ2"/>
      <c r="RRK2"/>
      <c r="RRL2"/>
      <c r="RRM2"/>
      <c r="RRN2"/>
      <c r="RRO2"/>
      <c r="RRP2"/>
      <c r="RRQ2"/>
      <c r="RRR2"/>
      <c r="RRS2"/>
      <c r="RRT2"/>
      <c r="RRU2"/>
      <c r="RRV2"/>
      <c r="RRW2"/>
      <c r="RRX2"/>
      <c r="RRY2"/>
      <c r="RRZ2"/>
      <c r="RSA2"/>
      <c r="RSB2"/>
      <c r="RSC2"/>
      <c r="RSD2"/>
      <c r="RSE2"/>
      <c r="RSF2"/>
      <c r="RSG2"/>
      <c r="RSH2"/>
      <c r="RSI2"/>
      <c r="RSJ2"/>
      <c r="RSK2"/>
      <c r="RSL2"/>
      <c r="RSM2"/>
      <c r="RSN2"/>
      <c r="RSO2"/>
      <c r="RSP2"/>
      <c r="RSQ2"/>
      <c r="RSR2"/>
      <c r="RSS2"/>
      <c r="RST2"/>
      <c r="RSU2"/>
      <c r="RSV2"/>
      <c r="RSW2"/>
      <c r="RSX2"/>
      <c r="RSY2"/>
      <c r="RSZ2"/>
      <c r="RTA2"/>
      <c r="RTB2"/>
      <c r="RTC2"/>
      <c r="RTD2"/>
      <c r="RTE2"/>
      <c r="RTF2"/>
      <c r="RTG2"/>
      <c r="RTH2"/>
      <c r="RTI2"/>
      <c r="RTJ2"/>
      <c r="RTK2"/>
      <c r="RTL2"/>
      <c r="RTM2"/>
      <c r="RTN2"/>
      <c r="RTO2"/>
      <c r="RTP2"/>
      <c r="RTQ2"/>
      <c r="RTR2"/>
      <c r="RTS2"/>
      <c r="RTT2"/>
      <c r="RTU2"/>
      <c r="RTV2"/>
      <c r="RTW2"/>
      <c r="RTX2"/>
      <c r="RTY2"/>
      <c r="RTZ2"/>
      <c r="RUA2"/>
      <c r="RUB2"/>
      <c r="RUC2"/>
      <c r="RUD2"/>
      <c r="RUE2"/>
      <c r="RUF2"/>
      <c r="RUG2"/>
      <c r="RUH2"/>
      <c r="RUI2"/>
      <c r="RUJ2"/>
      <c r="RUK2"/>
      <c r="RUL2"/>
      <c r="RUM2"/>
      <c r="RUN2"/>
      <c r="RUO2"/>
      <c r="RUP2"/>
      <c r="RUQ2"/>
      <c r="RUR2"/>
      <c r="RUS2"/>
      <c r="RUT2"/>
      <c r="RUU2"/>
      <c r="RUV2"/>
      <c r="RUW2"/>
      <c r="RUX2"/>
      <c r="RUY2"/>
      <c r="RUZ2"/>
      <c r="RVA2"/>
      <c r="RVB2"/>
      <c r="RVC2"/>
      <c r="RVD2"/>
      <c r="RVE2"/>
      <c r="RVF2"/>
      <c r="RVG2"/>
      <c r="RVH2"/>
      <c r="RVI2"/>
      <c r="RVJ2"/>
      <c r="RVK2"/>
      <c r="RVL2"/>
      <c r="RVM2"/>
      <c r="RVN2"/>
      <c r="RVO2"/>
      <c r="RVP2"/>
      <c r="RVQ2"/>
      <c r="RVR2"/>
      <c r="RVS2"/>
      <c r="RVT2"/>
      <c r="RVU2"/>
      <c r="RVV2"/>
      <c r="RVW2"/>
      <c r="RVX2"/>
      <c r="RVY2"/>
      <c r="RVZ2"/>
      <c r="RWA2"/>
      <c r="RWB2"/>
      <c r="RWC2"/>
      <c r="RWD2"/>
      <c r="RWE2"/>
      <c r="RWF2"/>
      <c r="RWG2"/>
      <c r="RWH2"/>
      <c r="RWI2"/>
      <c r="RWJ2"/>
      <c r="RWK2"/>
      <c r="RWL2"/>
      <c r="RWM2"/>
      <c r="RWN2"/>
      <c r="RWO2"/>
      <c r="RWP2"/>
      <c r="RWQ2"/>
      <c r="RWR2"/>
      <c r="RWS2"/>
      <c r="RWT2"/>
      <c r="RWU2"/>
      <c r="RWV2"/>
      <c r="RWW2"/>
      <c r="RWX2"/>
      <c r="RWY2"/>
      <c r="RWZ2"/>
      <c r="RXA2"/>
      <c r="RXB2"/>
      <c r="RXC2"/>
      <c r="RXD2"/>
      <c r="RXE2"/>
      <c r="RXF2"/>
      <c r="RXG2"/>
      <c r="RXH2"/>
      <c r="RXI2"/>
      <c r="RXJ2"/>
      <c r="RXK2"/>
      <c r="RXL2"/>
      <c r="RXM2"/>
      <c r="RXN2"/>
      <c r="RXO2"/>
      <c r="RXP2"/>
      <c r="RXQ2"/>
      <c r="RXR2"/>
      <c r="RXS2"/>
      <c r="RXT2"/>
      <c r="RXU2"/>
      <c r="RXV2"/>
      <c r="RXW2"/>
      <c r="RXX2"/>
      <c r="RXY2"/>
      <c r="RXZ2"/>
      <c r="RYA2"/>
      <c r="RYB2"/>
      <c r="RYC2"/>
      <c r="RYD2"/>
      <c r="RYE2"/>
      <c r="RYF2"/>
      <c r="RYG2"/>
      <c r="RYH2"/>
      <c r="RYI2"/>
      <c r="RYJ2"/>
      <c r="RYK2"/>
      <c r="RYL2"/>
      <c r="RYM2"/>
      <c r="RYN2"/>
      <c r="RYO2"/>
      <c r="RYP2"/>
      <c r="RYQ2"/>
      <c r="RYR2"/>
      <c r="RYS2"/>
      <c r="RYT2"/>
      <c r="RYU2"/>
      <c r="RYV2"/>
      <c r="RYW2"/>
      <c r="RYX2"/>
      <c r="RYY2"/>
      <c r="RYZ2"/>
      <c r="RZA2"/>
      <c r="RZB2"/>
      <c r="RZC2"/>
      <c r="RZD2"/>
      <c r="RZE2"/>
      <c r="RZF2"/>
      <c r="RZG2"/>
      <c r="RZH2"/>
      <c r="RZI2"/>
      <c r="RZJ2"/>
      <c r="RZK2"/>
      <c r="RZL2"/>
      <c r="RZM2"/>
      <c r="RZN2"/>
      <c r="RZO2"/>
      <c r="RZP2"/>
      <c r="RZQ2"/>
      <c r="RZR2"/>
      <c r="RZS2"/>
      <c r="RZT2"/>
      <c r="RZU2"/>
      <c r="RZV2"/>
      <c r="RZW2"/>
      <c r="RZX2"/>
      <c r="RZY2"/>
      <c r="RZZ2"/>
      <c r="SAA2"/>
      <c r="SAB2"/>
      <c r="SAC2"/>
      <c r="SAD2"/>
      <c r="SAE2"/>
      <c r="SAF2"/>
      <c r="SAG2"/>
      <c r="SAH2"/>
      <c r="SAI2"/>
      <c r="SAJ2"/>
      <c r="SAK2"/>
      <c r="SAL2"/>
      <c r="SAM2"/>
      <c r="SAN2"/>
      <c r="SAO2"/>
      <c r="SAP2"/>
      <c r="SAQ2"/>
      <c r="SAR2"/>
      <c r="SAS2"/>
      <c r="SAT2"/>
      <c r="SAU2"/>
      <c r="SAV2"/>
      <c r="SAW2"/>
      <c r="SAX2"/>
      <c r="SAY2"/>
      <c r="SAZ2"/>
      <c r="SBA2"/>
      <c r="SBB2"/>
      <c r="SBC2"/>
      <c r="SBD2"/>
      <c r="SBE2"/>
      <c r="SBF2"/>
      <c r="SBG2"/>
      <c r="SBH2"/>
      <c r="SBI2"/>
      <c r="SBJ2"/>
      <c r="SBK2"/>
      <c r="SBL2"/>
      <c r="SBM2"/>
      <c r="SBN2"/>
      <c r="SBO2"/>
      <c r="SBP2"/>
      <c r="SBQ2"/>
      <c r="SBR2"/>
      <c r="SBS2"/>
      <c r="SBT2"/>
      <c r="SBU2"/>
      <c r="SBV2"/>
      <c r="SBW2"/>
      <c r="SBX2"/>
      <c r="SBY2"/>
      <c r="SBZ2"/>
      <c r="SCA2"/>
      <c r="SCB2"/>
      <c r="SCC2"/>
      <c r="SCD2"/>
      <c r="SCE2"/>
      <c r="SCF2"/>
      <c r="SCG2"/>
      <c r="SCH2"/>
      <c r="SCI2"/>
      <c r="SCJ2"/>
      <c r="SCK2"/>
      <c r="SCL2"/>
      <c r="SCM2"/>
      <c r="SCN2"/>
      <c r="SCO2"/>
      <c r="SCP2"/>
      <c r="SCQ2"/>
      <c r="SCR2"/>
      <c r="SCS2"/>
      <c r="SCT2"/>
      <c r="SCU2"/>
      <c r="SCV2"/>
      <c r="SCW2"/>
      <c r="SCX2"/>
      <c r="SCY2"/>
      <c r="SCZ2"/>
      <c r="SDA2"/>
      <c r="SDB2"/>
      <c r="SDC2"/>
      <c r="SDD2"/>
      <c r="SDE2"/>
      <c r="SDF2"/>
      <c r="SDG2"/>
      <c r="SDH2"/>
      <c r="SDI2"/>
      <c r="SDJ2"/>
      <c r="SDK2"/>
      <c r="SDL2"/>
      <c r="SDM2"/>
      <c r="SDN2"/>
      <c r="SDO2"/>
      <c r="SDP2"/>
      <c r="SDQ2"/>
      <c r="SDR2"/>
      <c r="SDS2"/>
      <c r="SDT2"/>
      <c r="SDU2"/>
      <c r="SDV2"/>
      <c r="SDW2"/>
      <c r="SDX2"/>
      <c r="SDY2"/>
      <c r="SDZ2"/>
      <c r="SEA2"/>
      <c r="SEB2"/>
      <c r="SEC2"/>
      <c r="SED2"/>
      <c r="SEE2"/>
      <c r="SEF2"/>
      <c r="SEG2"/>
      <c r="SEH2"/>
      <c r="SEI2"/>
      <c r="SEJ2"/>
      <c r="SEK2"/>
      <c r="SEL2"/>
      <c r="SEM2"/>
      <c r="SEN2"/>
      <c r="SEO2"/>
      <c r="SEP2"/>
      <c r="SEQ2"/>
      <c r="SER2"/>
      <c r="SES2"/>
      <c r="SET2"/>
      <c r="SEU2"/>
      <c r="SEV2"/>
      <c r="SEW2"/>
      <c r="SEX2"/>
      <c r="SEY2"/>
      <c r="SEZ2"/>
      <c r="SFA2"/>
      <c r="SFB2"/>
      <c r="SFC2"/>
      <c r="SFD2"/>
      <c r="SFE2"/>
      <c r="SFF2"/>
      <c r="SFG2"/>
      <c r="SFH2"/>
      <c r="SFI2"/>
      <c r="SFJ2"/>
      <c r="SFK2"/>
      <c r="SFL2"/>
      <c r="SFM2"/>
      <c r="SFN2"/>
      <c r="SFO2"/>
      <c r="SFP2"/>
      <c r="SFQ2"/>
      <c r="SFR2"/>
      <c r="SFS2"/>
      <c r="SFT2"/>
      <c r="SFU2"/>
      <c r="SFV2"/>
      <c r="SFW2"/>
      <c r="SFX2"/>
      <c r="SFY2"/>
      <c r="SFZ2"/>
      <c r="SGA2"/>
      <c r="SGB2"/>
      <c r="SGC2"/>
      <c r="SGD2"/>
      <c r="SGE2"/>
      <c r="SGF2"/>
      <c r="SGG2"/>
      <c r="SGH2"/>
      <c r="SGI2"/>
      <c r="SGJ2"/>
      <c r="SGK2"/>
      <c r="SGL2"/>
      <c r="SGM2"/>
      <c r="SGN2"/>
      <c r="SGO2"/>
      <c r="SGP2"/>
      <c r="SGQ2"/>
      <c r="SGR2"/>
      <c r="SGS2"/>
      <c r="SGT2"/>
      <c r="SGU2"/>
      <c r="SGV2"/>
      <c r="SGW2"/>
      <c r="SGX2"/>
      <c r="SGY2"/>
      <c r="SGZ2"/>
      <c r="SHA2"/>
      <c r="SHB2"/>
      <c r="SHC2"/>
      <c r="SHD2"/>
      <c r="SHE2"/>
      <c r="SHF2"/>
      <c r="SHG2"/>
      <c r="SHH2"/>
      <c r="SHI2"/>
      <c r="SHJ2"/>
      <c r="SHK2"/>
      <c r="SHL2"/>
      <c r="SHM2"/>
      <c r="SHN2"/>
      <c r="SHO2"/>
      <c r="SHP2"/>
      <c r="SHQ2"/>
      <c r="SHR2"/>
      <c r="SHS2"/>
      <c r="SHT2"/>
      <c r="SHU2"/>
      <c r="SHV2"/>
      <c r="SHW2"/>
      <c r="SHX2"/>
      <c r="SHY2"/>
      <c r="SHZ2"/>
      <c r="SIA2"/>
      <c r="SIB2"/>
      <c r="SIC2"/>
      <c r="SID2"/>
      <c r="SIE2"/>
      <c r="SIF2"/>
      <c r="SIG2"/>
      <c r="SIH2"/>
      <c r="SII2"/>
      <c r="SIJ2"/>
      <c r="SIK2"/>
      <c r="SIL2"/>
      <c r="SIM2"/>
      <c r="SIN2"/>
      <c r="SIO2"/>
      <c r="SIP2"/>
      <c r="SIQ2"/>
      <c r="SIR2"/>
      <c r="SIS2"/>
      <c r="SIT2"/>
      <c r="SIU2"/>
      <c r="SIV2"/>
      <c r="SIW2"/>
      <c r="SIX2"/>
      <c r="SIY2"/>
      <c r="SIZ2"/>
      <c r="SJA2"/>
      <c r="SJB2"/>
      <c r="SJC2"/>
      <c r="SJD2"/>
      <c r="SJE2"/>
      <c r="SJF2"/>
      <c r="SJG2"/>
      <c r="SJH2"/>
      <c r="SJI2"/>
      <c r="SJJ2"/>
      <c r="SJK2"/>
      <c r="SJL2"/>
      <c r="SJM2"/>
      <c r="SJN2"/>
      <c r="SJO2"/>
      <c r="SJP2"/>
      <c r="SJQ2"/>
      <c r="SJR2"/>
      <c r="SJS2"/>
      <c r="SJT2"/>
      <c r="SJU2"/>
      <c r="SJV2"/>
      <c r="SJW2"/>
      <c r="SJX2"/>
      <c r="SJY2"/>
      <c r="SJZ2"/>
      <c r="SKA2"/>
      <c r="SKB2"/>
      <c r="SKC2"/>
      <c r="SKD2"/>
      <c r="SKE2"/>
      <c r="SKF2"/>
      <c r="SKG2"/>
      <c r="SKH2"/>
      <c r="SKI2"/>
      <c r="SKJ2"/>
      <c r="SKK2"/>
      <c r="SKL2"/>
      <c r="SKM2"/>
      <c r="SKN2"/>
      <c r="SKO2"/>
      <c r="SKP2"/>
      <c r="SKQ2"/>
      <c r="SKR2"/>
      <c r="SKS2"/>
      <c r="SKT2"/>
      <c r="SKU2"/>
      <c r="SKV2"/>
      <c r="SKW2"/>
      <c r="SKX2"/>
      <c r="SKY2"/>
      <c r="SKZ2"/>
      <c r="SLA2"/>
      <c r="SLB2"/>
      <c r="SLC2"/>
      <c r="SLD2"/>
      <c r="SLE2"/>
      <c r="SLF2"/>
      <c r="SLG2"/>
      <c r="SLH2"/>
      <c r="SLI2"/>
      <c r="SLJ2"/>
      <c r="SLK2"/>
      <c r="SLL2"/>
      <c r="SLM2"/>
      <c r="SLN2"/>
      <c r="SLO2"/>
      <c r="SLP2"/>
      <c r="SLQ2"/>
      <c r="SLR2"/>
      <c r="SLS2"/>
      <c r="SLT2"/>
      <c r="SLU2"/>
      <c r="SLV2"/>
      <c r="SLW2"/>
      <c r="SLX2"/>
      <c r="SLY2"/>
      <c r="SLZ2"/>
      <c r="SMA2"/>
      <c r="SMB2"/>
      <c r="SMC2"/>
      <c r="SMD2"/>
      <c r="SME2"/>
      <c r="SMF2"/>
      <c r="SMG2"/>
      <c r="SMH2"/>
      <c r="SMI2"/>
      <c r="SMJ2"/>
      <c r="SMK2"/>
      <c r="SML2"/>
      <c r="SMM2"/>
      <c r="SMN2"/>
      <c r="SMO2"/>
      <c r="SMP2"/>
      <c r="SMQ2"/>
      <c r="SMR2"/>
      <c r="SMS2"/>
      <c r="SMT2"/>
      <c r="SMU2"/>
      <c r="SMV2"/>
      <c r="SMW2"/>
      <c r="SMX2"/>
      <c r="SMY2"/>
      <c r="SMZ2"/>
      <c r="SNA2"/>
      <c r="SNB2"/>
      <c r="SNC2"/>
      <c r="SND2"/>
      <c r="SNE2"/>
      <c r="SNF2"/>
      <c r="SNG2"/>
      <c r="SNH2"/>
      <c r="SNI2"/>
      <c r="SNJ2"/>
      <c r="SNK2"/>
      <c r="SNL2"/>
      <c r="SNM2"/>
      <c r="SNN2"/>
      <c r="SNO2"/>
      <c r="SNP2"/>
      <c r="SNQ2"/>
      <c r="SNR2"/>
      <c r="SNS2"/>
      <c r="SNT2"/>
      <c r="SNU2"/>
      <c r="SNV2"/>
      <c r="SNW2"/>
      <c r="SNX2"/>
      <c r="SNY2"/>
      <c r="SNZ2"/>
      <c r="SOA2"/>
      <c r="SOB2"/>
      <c r="SOC2"/>
      <c r="SOD2"/>
      <c r="SOE2"/>
      <c r="SOF2"/>
      <c r="SOG2"/>
      <c r="SOH2"/>
      <c r="SOI2"/>
      <c r="SOJ2"/>
      <c r="SOK2"/>
      <c r="SOL2"/>
      <c r="SOM2"/>
      <c r="SON2"/>
      <c r="SOO2"/>
      <c r="SOP2"/>
      <c r="SOQ2"/>
      <c r="SOR2"/>
      <c r="SOS2"/>
      <c r="SOT2"/>
      <c r="SOU2"/>
      <c r="SOV2"/>
      <c r="SOW2"/>
      <c r="SOX2"/>
      <c r="SOY2"/>
      <c r="SOZ2"/>
      <c r="SPA2"/>
      <c r="SPB2"/>
      <c r="SPC2"/>
      <c r="SPD2"/>
      <c r="SPE2"/>
      <c r="SPF2"/>
      <c r="SPG2"/>
      <c r="SPH2"/>
      <c r="SPI2"/>
      <c r="SPJ2"/>
      <c r="SPK2"/>
      <c r="SPL2"/>
      <c r="SPM2"/>
      <c r="SPN2"/>
      <c r="SPO2"/>
      <c r="SPP2"/>
      <c r="SPQ2"/>
      <c r="SPR2"/>
      <c r="SPS2"/>
      <c r="SPT2"/>
      <c r="SPU2"/>
      <c r="SPV2"/>
      <c r="SPW2"/>
      <c r="SPX2"/>
      <c r="SPY2"/>
      <c r="SPZ2"/>
      <c r="SQA2"/>
      <c r="SQB2"/>
      <c r="SQC2"/>
      <c r="SQD2"/>
      <c r="SQE2"/>
      <c r="SQF2"/>
      <c r="SQG2"/>
      <c r="SQH2"/>
      <c r="SQI2"/>
      <c r="SQJ2"/>
      <c r="SQK2"/>
      <c r="SQL2"/>
      <c r="SQM2"/>
      <c r="SQN2"/>
      <c r="SQO2"/>
      <c r="SQP2"/>
      <c r="SQQ2"/>
      <c r="SQR2"/>
      <c r="SQS2"/>
      <c r="SQT2"/>
      <c r="SQU2"/>
      <c r="SQV2"/>
      <c r="SQW2"/>
      <c r="SQX2"/>
      <c r="SQY2"/>
      <c r="SQZ2"/>
      <c r="SRA2"/>
      <c r="SRB2"/>
      <c r="SRC2"/>
      <c r="SRD2"/>
      <c r="SRE2"/>
      <c r="SRF2"/>
      <c r="SRG2"/>
      <c r="SRH2"/>
      <c r="SRI2"/>
      <c r="SRJ2"/>
      <c r="SRK2"/>
      <c r="SRL2"/>
      <c r="SRM2"/>
      <c r="SRN2"/>
      <c r="SRO2"/>
      <c r="SRP2"/>
      <c r="SRQ2"/>
      <c r="SRR2"/>
      <c r="SRS2"/>
      <c r="SRT2"/>
      <c r="SRU2"/>
      <c r="SRV2"/>
      <c r="SRW2"/>
      <c r="SRX2"/>
      <c r="SRY2"/>
      <c r="SRZ2"/>
      <c r="SSA2"/>
      <c r="SSB2"/>
      <c r="SSC2"/>
      <c r="SSD2"/>
      <c r="SSE2"/>
      <c r="SSF2"/>
      <c r="SSG2"/>
      <c r="SSH2"/>
      <c r="SSI2"/>
      <c r="SSJ2"/>
      <c r="SSK2"/>
      <c r="SSL2"/>
      <c r="SSM2"/>
      <c r="SSN2"/>
      <c r="SSO2"/>
      <c r="SSP2"/>
      <c r="SSQ2"/>
      <c r="SSR2"/>
      <c r="SSS2"/>
      <c r="SST2"/>
      <c r="SSU2"/>
      <c r="SSV2"/>
      <c r="SSW2"/>
      <c r="SSX2"/>
      <c r="SSY2"/>
      <c r="SSZ2"/>
      <c r="STA2"/>
      <c r="STB2"/>
      <c r="STC2"/>
      <c r="STD2"/>
      <c r="STE2"/>
      <c r="STF2"/>
      <c r="STG2"/>
      <c r="STH2"/>
      <c r="STI2"/>
      <c r="STJ2"/>
      <c r="STK2"/>
      <c r="STL2"/>
      <c r="STM2"/>
      <c r="STN2"/>
      <c r="STO2"/>
      <c r="STP2"/>
      <c r="STQ2"/>
      <c r="STR2"/>
      <c r="STS2"/>
      <c r="STT2"/>
      <c r="STU2"/>
      <c r="STV2"/>
      <c r="STW2"/>
      <c r="STX2"/>
      <c r="STY2"/>
      <c r="STZ2"/>
      <c r="SUA2"/>
      <c r="SUB2"/>
      <c r="SUC2"/>
      <c r="SUD2"/>
      <c r="SUE2"/>
      <c r="SUF2"/>
      <c r="SUG2"/>
      <c r="SUH2"/>
      <c r="SUI2"/>
      <c r="SUJ2"/>
      <c r="SUK2"/>
      <c r="SUL2"/>
      <c r="SUM2"/>
      <c r="SUN2"/>
      <c r="SUO2"/>
      <c r="SUP2"/>
      <c r="SUQ2"/>
      <c r="SUR2"/>
      <c r="SUS2"/>
      <c r="SUT2"/>
      <c r="SUU2"/>
      <c r="SUV2"/>
      <c r="SUW2"/>
      <c r="SUX2"/>
      <c r="SUY2"/>
      <c r="SUZ2"/>
      <c r="SVA2"/>
      <c r="SVB2"/>
      <c r="SVC2"/>
      <c r="SVD2"/>
      <c r="SVE2"/>
      <c r="SVF2"/>
      <c r="SVG2"/>
      <c r="SVH2"/>
      <c r="SVI2"/>
      <c r="SVJ2"/>
      <c r="SVK2"/>
      <c r="SVL2"/>
      <c r="SVM2"/>
      <c r="SVN2"/>
      <c r="SVO2"/>
      <c r="SVP2"/>
      <c r="SVQ2"/>
      <c r="SVR2"/>
      <c r="SVS2"/>
      <c r="SVT2"/>
      <c r="SVU2"/>
      <c r="SVV2"/>
      <c r="SVW2"/>
      <c r="SVX2"/>
      <c r="SVY2"/>
      <c r="SVZ2"/>
      <c r="SWA2"/>
      <c r="SWB2"/>
      <c r="SWC2"/>
      <c r="SWD2"/>
      <c r="SWE2"/>
      <c r="SWF2"/>
      <c r="SWG2"/>
      <c r="SWH2"/>
      <c r="SWI2"/>
      <c r="SWJ2"/>
      <c r="SWK2"/>
      <c r="SWL2"/>
      <c r="SWM2"/>
      <c r="SWN2"/>
      <c r="SWO2"/>
      <c r="SWP2"/>
      <c r="SWQ2"/>
      <c r="SWR2"/>
      <c r="SWS2"/>
      <c r="SWT2"/>
      <c r="SWU2"/>
      <c r="SWV2"/>
      <c r="SWW2"/>
      <c r="SWX2"/>
      <c r="SWY2"/>
      <c r="SWZ2"/>
      <c r="SXA2"/>
      <c r="SXB2"/>
      <c r="SXC2"/>
      <c r="SXD2"/>
      <c r="SXE2"/>
      <c r="SXF2"/>
      <c r="SXG2"/>
      <c r="SXH2"/>
      <c r="SXI2"/>
      <c r="SXJ2"/>
      <c r="SXK2"/>
      <c r="SXL2"/>
      <c r="SXM2"/>
      <c r="SXN2"/>
      <c r="SXO2"/>
      <c r="SXP2"/>
      <c r="SXQ2"/>
      <c r="SXR2"/>
      <c r="SXS2"/>
      <c r="SXT2"/>
      <c r="SXU2"/>
      <c r="SXV2"/>
      <c r="SXW2"/>
      <c r="SXX2"/>
      <c r="SXY2"/>
      <c r="SXZ2"/>
      <c r="SYA2"/>
      <c r="SYB2"/>
      <c r="SYC2"/>
      <c r="SYD2"/>
      <c r="SYE2"/>
      <c r="SYF2"/>
      <c r="SYG2"/>
      <c r="SYH2"/>
      <c r="SYI2"/>
      <c r="SYJ2"/>
      <c r="SYK2"/>
      <c r="SYL2"/>
      <c r="SYM2"/>
      <c r="SYN2"/>
      <c r="SYO2"/>
      <c r="SYP2"/>
      <c r="SYQ2"/>
      <c r="SYR2"/>
      <c r="SYS2"/>
      <c r="SYT2"/>
      <c r="SYU2"/>
      <c r="SYV2"/>
      <c r="SYW2"/>
      <c r="SYX2"/>
      <c r="SYY2"/>
      <c r="SYZ2"/>
      <c r="SZA2"/>
      <c r="SZB2"/>
      <c r="SZC2"/>
      <c r="SZD2"/>
      <c r="SZE2"/>
      <c r="SZF2"/>
      <c r="SZG2"/>
      <c r="SZH2"/>
      <c r="SZI2"/>
      <c r="SZJ2"/>
      <c r="SZK2"/>
      <c r="SZL2"/>
      <c r="SZM2"/>
      <c r="SZN2"/>
      <c r="SZO2"/>
      <c r="SZP2"/>
      <c r="SZQ2"/>
      <c r="SZR2"/>
      <c r="SZS2"/>
      <c r="SZT2"/>
      <c r="SZU2"/>
      <c r="SZV2"/>
      <c r="SZW2"/>
      <c r="SZX2"/>
      <c r="SZY2"/>
      <c r="SZZ2"/>
      <c r="TAA2"/>
      <c r="TAB2"/>
      <c r="TAC2"/>
      <c r="TAD2"/>
      <c r="TAE2"/>
      <c r="TAF2"/>
      <c r="TAG2"/>
      <c r="TAH2"/>
      <c r="TAI2"/>
      <c r="TAJ2"/>
      <c r="TAK2"/>
      <c r="TAL2"/>
      <c r="TAM2"/>
      <c r="TAN2"/>
      <c r="TAO2"/>
      <c r="TAP2"/>
      <c r="TAQ2"/>
      <c r="TAR2"/>
      <c r="TAS2"/>
      <c r="TAT2"/>
      <c r="TAU2"/>
      <c r="TAV2"/>
      <c r="TAW2"/>
      <c r="TAX2"/>
      <c r="TAY2"/>
      <c r="TAZ2"/>
      <c r="TBA2"/>
      <c r="TBB2"/>
      <c r="TBC2"/>
      <c r="TBD2"/>
      <c r="TBE2"/>
      <c r="TBF2"/>
      <c r="TBG2"/>
      <c r="TBH2"/>
      <c r="TBI2"/>
      <c r="TBJ2"/>
      <c r="TBK2"/>
      <c r="TBL2"/>
      <c r="TBM2"/>
      <c r="TBN2"/>
      <c r="TBO2"/>
      <c r="TBP2"/>
      <c r="TBQ2"/>
      <c r="TBR2"/>
      <c r="TBS2"/>
      <c r="TBT2"/>
      <c r="TBU2"/>
      <c r="TBV2"/>
      <c r="TBW2"/>
      <c r="TBX2"/>
      <c r="TBY2"/>
      <c r="TBZ2"/>
      <c r="TCA2"/>
      <c r="TCB2"/>
      <c r="TCC2"/>
      <c r="TCD2"/>
      <c r="TCE2"/>
      <c r="TCF2"/>
      <c r="TCG2"/>
      <c r="TCH2"/>
      <c r="TCI2"/>
      <c r="TCJ2"/>
      <c r="TCK2"/>
      <c r="TCL2"/>
      <c r="TCM2"/>
      <c r="TCN2"/>
      <c r="TCO2"/>
      <c r="TCP2"/>
      <c r="TCQ2"/>
      <c r="TCR2"/>
      <c r="TCS2"/>
      <c r="TCT2"/>
      <c r="TCU2"/>
      <c r="TCV2"/>
      <c r="TCW2"/>
      <c r="TCX2"/>
      <c r="TCY2"/>
      <c r="TCZ2"/>
      <c r="TDA2"/>
      <c r="TDB2"/>
      <c r="TDC2"/>
      <c r="TDD2"/>
      <c r="TDE2"/>
      <c r="TDF2"/>
      <c r="TDG2"/>
      <c r="TDH2"/>
      <c r="TDI2"/>
      <c r="TDJ2"/>
      <c r="TDK2"/>
      <c r="TDL2"/>
      <c r="TDM2"/>
      <c r="TDN2"/>
      <c r="TDO2"/>
      <c r="TDP2"/>
      <c r="TDQ2"/>
      <c r="TDR2"/>
      <c r="TDS2"/>
      <c r="TDT2"/>
      <c r="TDU2"/>
      <c r="TDV2"/>
      <c r="TDW2"/>
      <c r="TDX2"/>
      <c r="TDY2"/>
      <c r="TDZ2"/>
      <c r="TEA2"/>
      <c r="TEB2"/>
      <c r="TEC2"/>
      <c r="TED2"/>
      <c r="TEE2"/>
      <c r="TEF2"/>
      <c r="TEG2"/>
      <c r="TEH2"/>
      <c r="TEI2"/>
      <c r="TEJ2"/>
      <c r="TEK2"/>
      <c r="TEL2"/>
      <c r="TEM2"/>
      <c r="TEN2"/>
      <c r="TEO2"/>
      <c r="TEP2"/>
      <c r="TEQ2"/>
      <c r="TER2"/>
      <c r="TES2"/>
      <c r="TET2"/>
      <c r="TEU2"/>
      <c r="TEV2"/>
      <c r="TEW2"/>
      <c r="TEX2"/>
      <c r="TEY2"/>
      <c r="TEZ2"/>
      <c r="TFA2"/>
      <c r="TFB2"/>
      <c r="TFC2"/>
      <c r="TFD2"/>
      <c r="TFE2"/>
      <c r="TFF2"/>
      <c r="TFG2"/>
      <c r="TFH2"/>
      <c r="TFI2"/>
      <c r="TFJ2"/>
      <c r="TFK2"/>
      <c r="TFL2"/>
      <c r="TFM2"/>
      <c r="TFN2"/>
      <c r="TFO2"/>
      <c r="TFP2"/>
      <c r="TFQ2"/>
      <c r="TFR2"/>
      <c r="TFS2"/>
      <c r="TFT2"/>
      <c r="TFU2"/>
      <c r="TFV2"/>
      <c r="TFW2"/>
      <c r="TFX2"/>
      <c r="TFY2"/>
      <c r="TFZ2"/>
      <c r="TGA2"/>
      <c r="TGB2"/>
      <c r="TGC2"/>
      <c r="TGD2"/>
      <c r="TGE2"/>
      <c r="TGF2"/>
      <c r="TGG2"/>
      <c r="TGH2"/>
      <c r="TGI2"/>
      <c r="TGJ2"/>
      <c r="TGK2"/>
      <c r="TGL2"/>
      <c r="TGM2"/>
      <c r="TGN2"/>
      <c r="TGO2"/>
      <c r="TGP2"/>
      <c r="TGQ2"/>
      <c r="TGR2"/>
      <c r="TGS2"/>
      <c r="TGT2"/>
      <c r="TGU2"/>
      <c r="TGV2"/>
      <c r="TGW2"/>
      <c r="TGX2"/>
      <c r="TGY2"/>
      <c r="TGZ2"/>
      <c r="THA2"/>
      <c r="THB2"/>
      <c r="THC2"/>
      <c r="THD2"/>
      <c r="THE2"/>
      <c r="THF2"/>
      <c r="THG2"/>
      <c r="THH2"/>
      <c r="THI2"/>
      <c r="THJ2"/>
      <c r="THK2"/>
      <c r="THL2"/>
      <c r="THM2"/>
      <c r="THN2"/>
      <c r="THO2"/>
      <c r="THP2"/>
      <c r="THQ2"/>
      <c r="THR2"/>
      <c r="THS2"/>
      <c r="THT2"/>
      <c r="THU2"/>
      <c r="THV2"/>
      <c r="THW2"/>
      <c r="THX2"/>
      <c r="THY2"/>
      <c r="THZ2"/>
      <c r="TIA2"/>
      <c r="TIB2"/>
      <c r="TIC2"/>
      <c r="TID2"/>
      <c r="TIE2"/>
      <c r="TIF2"/>
      <c r="TIG2"/>
      <c r="TIH2"/>
      <c r="TII2"/>
      <c r="TIJ2"/>
      <c r="TIK2"/>
      <c r="TIL2"/>
      <c r="TIM2"/>
      <c r="TIN2"/>
      <c r="TIO2"/>
      <c r="TIP2"/>
      <c r="TIQ2"/>
      <c r="TIR2"/>
      <c r="TIS2"/>
      <c r="TIT2"/>
      <c r="TIU2"/>
      <c r="TIV2"/>
      <c r="TIW2"/>
      <c r="TIX2"/>
      <c r="TIY2"/>
      <c r="TIZ2"/>
      <c r="TJA2"/>
      <c r="TJB2"/>
      <c r="TJC2"/>
      <c r="TJD2"/>
      <c r="TJE2"/>
      <c r="TJF2"/>
      <c r="TJG2"/>
      <c r="TJH2"/>
      <c r="TJI2"/>
      <c r="TJJ2"/>
      <c r="TJK2"/>
      <c r="TJL2"/>
      <c r="TJM2"/>
      <c r="TJN2"/>
      <c r="TJO2"/>
      <c r="TJP2"/>
      <c r="TJQ2"/>
      <c r="TJR2"/>
      <c r="TJS2"/>
      <c r="TJT2"/>
      <c r="TJU2"/>
      <c r="TJV2"/>
      <c r="TJW2"/>
      <c r="TJX2"/>
      <c r="TJY2"/>
      <c r="TJZ2"/>
      <c r="TKA2"/>
      <c r="TKB2"/>
      <c r="TKC2"/>
      <c r="TKD2"/>
      <c r="TKE2"/>
      <c r="TKF2"/>
      <c r="TKG2"/>
      <c r="TKH2"/>
      <c r="TKI2"/>
      <c r="TKJ2"/>
      <c r="TKK2"/>
      <c r="TKL2"/>
      <c r="TKM2"/>
      <c r="TKN2"/>
      <c r="TKO2"/>
      <c r="TKP2"/>
      <c r="TKQ2"/>
      <c r="TKR2"/>
      <c r="TKS2"/>
      <c r="TKT2"/>
      <c r="TKU2"/>
      <c r="TKV2"/>
      <c r="TKW2"/>
      <c r="TKX2"/>
      <c r="TKY2"/>
      <c r="TKZ2"/>
      <c r="TLA2"/>
      <c r="TLB2"/>
      <c r="TLC2"/>
      <c r="TLD2"/>
      <c r="TLE2"/>
      <c r="TLF2"/>
      <c r="TLG2"/>
      <c r="TLH2"/>
      <c r="TLI2"/>
      <c r="TLJ2"/>
      <c r="TLK2"/>
      <c r="TLL2"/>
      <c r="TLM2"/>
      <c r="TLN2"/>
      <c r="TLO2"/>
      <c r="TLP2"/>
      <c r="TLQ2"/>
      <c r="TLR2"/>
      <c r="TLS2"/>
      <c r="TLT2"/>
      <c r="TLU2"/>
      <c r="TLV2"/>
      <c r="TLW2"/>
      <c r="TLX2"/>
      <c r="TLY2"/>
      <c r="TLZ2"/>
      <c r="TMA2"/>
      <c r="TMB2"/>
      <c r="TMC2"/>
      <c r="TMD2"/>
      <c r="TME2"/>
      <c r="TMF2"/>
      <c r="TMG2"/>
      <c r="TMH2"/>
      <c r="TMI2"/>
      <c r="TMJ2"/>
      <c r="TMK2"/>
      <c r="TML2"/>
      <c r="TMM2"/>
      <c r="TMN2"/>
      <c r="TMO2"/>
      <c r="TMP2"/>
      <c r="TMQ2"/>
      <c r="TMR2"/>
      <c r="TMS2"/>
      <c r="TMT2"/>
      <c r="TMU2"/>
      <c r="TMV2"/>
      <c r="TMW2"/>
      <c r="TMX2"/>
      <c r="TMY2"/>
      <c r="TMZ2"/>
      <c r="TNA2"/>
      <c r="TNB2"/>
      <c r="TNC2"/>
      <c r="TND2"/>
      <c r="TNE2"/>
      <c r="TNF2"/>
      <c r="TNG2"/>
      <c r="TNH2"/>
      <c r="TNI2"/>
      <c r="TNJ2"/>
      <c r="TNK2"/>
      <c r="TNL2"/>
      <c r="TNM2"/>
      <c r="TNN2"/>
      <c r="TNO2"/>
      <c r="TNP2"/>
      <c r="TNQ2"/>
      <c r="TNR2"/>
      <c r="TNS2"/>
      <c r="TNT2"/>
      <c r="TNU2"/>
      <c r="TNV2"/>
      <c r="TNW2"/>
      <c r="TNX2"/>
      <c r="TNY2"/>
      <c r="TNZ2"/>
      <c r="TOA2"/>
      <c r="TOB2"/>
      <c r="TOC2"/>
      <c r="TOD2"/>
      <c r="TOE2"/>
      <c r="TOF2"/>
      <c r="TOG2"/>
      <c r="TOH2"/>
      <c r="TOI2"/>
      <c r="TOJ2"/>
      <c r="TOK2"/>
      <c r="TOL2"/>
      <c r="TOM2"/>
      <c r="TON2"/>
      <c r="TOO2"/>
      <c r="TOP2"/>
      <c r="TOQ2"/>
      <c r="TOR2"/>
      <c r="TOS2"/>
      <c r="TOT2"/>
      <c r="TOU2"/>
      <c r="TOV2"/>
      <c r="TOW2"/>
      <c r="TOX2"/>
      <c r="TOY2"/>
      <c r="TOZ2"/>
      <c r="TPA2"/>
      <c r="TPB2"/>
      <c r="TPC2"/>
      <c r="TPD2"/>
      <c r="TPE2"/>
      <c r="TPF2"/>
      <c r="TPG2"/>
      <c r="TPH2"/>
      <c r="TPI2"/>
      <c r="TPJ2"/>
      <c r="TPK2"/>
      <c r="TPL2"/>
      <c r="TPM2"/>
      <c r="TPN2"/>
      <c r="TPO2"/>
      <c r="TPP2"/>
      <c r="TPQ2"/>
      <c r="TPR2"/>
      <c r="TPS2"/>
      <c r="TPT2"/>
      <c r="TPU2"/>
      <c r="TPV2"/>
      <c r="TPW2"/>
      <c r="TPX2"/>
      <c r="TPY2"/>
      <c r="TPZ2"/>
      <c r="TQA2"/>
      <c r="TQB2"/>
      <c r="TQC2"/>
      <c r="TQD2"/>
      <c r="TQE2"/>
      <c r="TQF2"/>
      <c r="TQG2"/>
      <c r="TQH2"/>
      <c r="TQI2"/>
      <c r="TQJ2"/>
      <c r="TQK2"/>
      <c r="TQL2"/>
      <c r="TQM2"/>
      <c r="TQN2"/>
      <c r="TQO2"/>
      <c r="TQP2"/>
      <c r="TQQ2"/>
      <c r="TQR2"/>
      <c r="TQS2"/>
      <c r="TQT2"/>
      <c r="TQU2"/>
      <c r="TQV2"/>
      <c r="TQW2"/>
      <c r="TQX2"/>
      <c r="TQY2"/>
      <c r="TQZ2"/>
      <c r="TRA2"/>
      <c r="TRB2"/>
      <c r="TRC2"/>
      <c r="TRD2"/>
      <c r="TRE2"/>
      <c r="TRF2"/>
      <c r="TRG2"/>
      <c r="TRH2"/>
      <c r="TRI2"/>
      <c r="TRJ2"/>
      <c r="TRK2"/>
      <c r="TRL2"/>
      <c r="TRM2"/>
      <c r="TRN2"/>
      <c r="TRO2"/>
      <c r="TRP2"/>
      <c r="TRQ2"/>
      <c r="TRR2"/>
      <c r="TRS2"/>
      <c r="TRT2"/>
      <c r="TRU2"/>
      <c r="TRV2"/>
      <c r="TRW2"/>
      <c r="TRX2"/>
      <c r="TRY2"/>
      <c r="TRZ2"/>
      <c r="TSA2"/>
      <c r="TSB2"/>
      <c r="TSC2"/>
      <c r="TSD2"/>
      <c r="TSE2"/>
      <c r="TSF2"/>
      <c r="TSG2"/>
      <c r="TSH2"/>
      <c r="TSI2"/>
      <c r="TSJ2"/>
      <c r="TSK2"/>
      <c r="TSL2"/>
      <c r="TSM2"/>
      <c r="TSN2"/>
      <c r="TSO2"/>
      <c r="TSP2"/>
      <c r="TSQ2"/>
      <c r="TSR2"/>
      <c r="TSS2"/>
      <c r="TST2"/>
      <c r="TSU2"/>
      <c r="TSV2"/>
      <c r="TSW2"/>
      <c r="TSX2"/>
      <c r="TSY2"/>
      <c r="TSZ2"/>
      <c r="TTA2"/>
      <c r="TTB2"/>
      <c r="TTC2"/>
      <c r="TTD2"/>
      <c r="TTE2"/>
      <c r="TTF2"/>
      <c r="TTG2"/>
      <c r="TTH2"/>
      <c r="TTI2"/>
      <c r="TTJ2"/>
      <c r="TTK2"/>
      <c r="TTL2"/>
      <c r="TTM2"/>
      <c r="TTN2"/>
      <c r="TTO2"/>
      <c r="TTP2"/>
      <c r="TTQ2"/>
      <c r="TTR2"/>
      <c r="TTS2"/>
      <c r="TTT2"/>
      <c r="TTU2"/>
      <c r="TTV2"/>
      <c r="TTW2"/>
      <c r="TTX2"/>
      <c r="TTY2"/>
      <c r="TTZ2"/>
      <c r="TUA2"/>
      <c r="TUB2"/>
      <c r="TUC2"/>
      <c r="TUD2"/>
      <c r="TUE2"/>
      <c r="TUF2"/>
      <c r="TUG2"/>
      <c r="TUH2"/>
      <c r="TUI2"/>
      <c r="TUJ2"/>
      <c r="TUK2"/>
      <c r="TUL2"/>
      <c r="TUM2"/>
      <c r="TUN2"/>
      <c r="TUO2"/>
      <c r="TUP2"/>
      <c r="TUQ2"/>
      <c r="TUR2"/>
      <c r="TUS2"/>
      <c r="TUT2"/>
      <c r="TUU2"/>
      <c r="TUV2"/>
      <c r="TUW2"/>
      <c r="TUX2"/>
      <c r="TUY2"/>
      <c r="TUZ2"/>
      <c r="TVA2"/>
      <c r="TVB2"/>
      <c r="TVC2"/>
      <c r="TVD2"/>
      <c r="TVE2"/>
      <c r="TVF2"/>
      <c r="TVG2"/>
      <c r="TVH2"/>
      <c r="TVI2"/>
      <c r="TVJ2"/>
      <c r="TVK2"/>
      <c r="TVL2"/>
      <c r="TVM2"/>
      <c r="TVN2"/>
      <c r="TVO2"/>
      <c r="TVP2"/>
      <c r="TVQ2"/>
      <c r="TVR2"/>
      <c r="TVS2"/>
      <c r="TVT2"/>
      <c r="TVU2"/>
      <c r="TVV2"/>
      <c r="TVW2"/>
      <c r="TVX2"/>
      <c r="TVY2"/>
      <c r="TVZ2"/>
      <c r="TWA2"/>
      <c r="TWB2"/>
      <c r="TWC2"/>
      <c r="TWD2"/>
      <c r="TWE2"/>
      <c r="TWF2"/>
      <c r="TWG2"/>
      <c r="TWH2"/>
      <c r="TWI2"/>
      <c r="TWJ2"/>
      <c r="TWK2"/>
      <c r="TWL2"/>
      <c r="TWM2"/>
      <c r="TWN2"/>
      <c r="TWO2"/>
      <c r="TWP2"/>
      <c r="TWQ2"/>
      <c r="TWR2"/>
      <c r="TWS2"/>
      <c r="TWT2"/>
      <c r="TWU2"/>
      <c r="TWV2"/>
      <c r="TWW2"/>
      <c r="TWX2"/>
      <c r="TWY2"/>
      <c r="TWZ2"/>
      <c r="TXA2"/>
      <c r="TXB2"/>
      <c r="TXC2"/>
      <c r="TXD2"/>
      <c r="TXE2"/>
      <c r="TXF2"/>
      <c r="TXG2"/>
      <c r="TXH2"/>
      <c r="TXI2"/>
      <c r="TXJ2"/>
      <c r="TXK2"/>
      <c r="TXL2"/>
      <c r="TXM2"/>
      <c r="TXN2"/>
      <c r="TXO2"/>
      <c r="TXP2"/>
      <c r="TXQ2"/>
      <c r="TXR2"/>
      <c r="TXS2"/>
      <c r="TXT2"/>
      <c r="TXU2"/>
      <c r="TXV2"/>
      <c r="TXW2"/>
      <c r="TXX2"/>
      <c r="TXY2"/>
      <c r="TXZ2"/>
      <c r="TYA2"/>
      <c r="TYB2"/>
      <c r="TYC2"/>
      <c r="TYD2"/>
      <c r="TYE2"/>
      <c r="TYF2"/>
      <c r="TYG2"/>
      <c r="TYH2"/>
      <c r="TYI2"/>
      <c r="TYJ2"/>
      <c r="TYK2"/>
      <c r="TYL2"/>
      <c r="TYM2"/>
      <c r="TYN2"/>
      <c r="TYO2"/>
      <c r="TYP2"/>
      <c r="TYQ2"/>
      <c r="TYR2"/>
      <c r="TYS2"/>
      <c r="TYT2"/>
      <c r="TYU2"/>
      <c r="TYV2"/>
      <c r="TYW2"/>
      <c r="TYX2"/>
      <c r="TYY2"/>
      <c r="TYZ2"/>
      <c r="TZA2"/>
      <c r="TZB2"/>
      <c r="TZC2"/>
      <c r="TZD2"/>
      <c r="TZE2"/>
      <c r="TZF2"/>
      <c r="TZG2"/>
      <c r="TZH2"/>
      <c r="TZI2"/>
      <c r="TZJ2"/>
      <c r="TZK2"/>
      <c r="TZL2"/>
      <c r="TZM2"/>
      <c r="TZN2"/>
      <c r="TZO2"/>
      <c r="TZP2"/>
      <c r="TZQ2"/>
      <c r="TZR2"/>
      <c r="TZS2"/>
      <c r="TZT2"/>
      <c r="TZU2"/>
      <c r="TZV2"/>
      <c r="TZW2"/>
      <c r="TZX2"/>
      <c r="TZY2"/>
      <c r="TZZ2"/>
      <c r="UAA2"/>
      <c r="UAB2"/>
      <c r="UAC2"/>
      <c r="UAD2"/>
      <c r="UAE2"/>
      <c r="UAF2"/>
      <c r="UAG2"/>
      <c r="UAH2"/>
      <c r="UAI2"/>
      <c r="UAJ2"/>
      <c r="UAK2"/>
      <c r="UAL2"/>
      <c r="UAM2"/>
      <c r="UAN2"/>
      <c r="UAO2"/>
      <c r="UAP2"/>
      <c r="UAQ2"/>
      <c r="UAR2"/>
      <c r="UAS2"/>
      <c r="UAT2"/>
      <c r="UAU2"/>
      <c r="UAV2"/>
      <c r="UAW2"/>
      <c r="UAX2"/>
      <c r="UAY2"/>
      <c r="UAZ2"/>
      <c r="UBA2"/>
      <c r="UBB2"/>
      <c r="UBC2"/>
      <c r="UBD2"/>
      <c r="UBE2"/>
      <c r="UBF2"/>
      <c r="UBG2"/>
      <c r="UBH2"/>
      <c r="UBI2"/>
      <c r="UBJ2"/>
      <c r="UBK2"/>
      <c r="UBL2"/>
      <c r="UBM2"/>
      <c r="UBN2"/>
      <c r="UBO2"/>
      <c r="UBP2"/>
      <c r="UBQ2"/>
      <c r="UBR2"/>
      <c r="UBS2"/>
      <c r="UBT2"/>
      <c r="UBU2"/>
      <c r="UBV2"/>
      <c r="UBW2"/>
      <c r="UBX2"/>
      <c r="UBY2"/>
      <c r="UBZ2"/>
      <c r="UCA2"/>
      <c r="UCB2"/>
      <c r="UCC2"/>
      <c r="UCD2"/>
      <c r="UCE2"/>
      <c r="UCF2"/>
      <c r="UCG2"/>
      <c r="UCH2"/>
      <c r="UCI2"/>
      <c r="UCJ2"/>
      <c r="UCK2"/>
      <c r="UCL2"/>
      <c r="UCM2"/>
      <c r="UCN2"/>
      <c r="UCO2"/>
      <c r="UCP2"/>
      <c r="UCQ2"/>
      <c r="UCR2"/>
      <c r="UCS2"/>
      <c r="UCT2"/>
      <c r="UCU2"/>
      <c r="UCV2"/>
      <c r="UCW2"/>
      <c r="UCX2"/>
      <c r="UCY2"/>
      <c r="UCZ2"/>
      <c r="UDA2"/>
      <c r="UDB2"/>
      <c r="UDC2"/>
      <c r="UDD2"/>
      <c r="UDE2"/>
      <c r="UDF2"/>
      <c r="UDG2"/>
      <c r="UDH2"/>
      <c r="UDI2"/>
      <c r="UDJ2"/>
      <c r="UDK2"/>
      <c r="UDL2"/>
      <c r="UDM2"/>
      <c r="UDN2"/>
      <c r="UDO2"/>
      <c r="UDP2"/>
      <c r="UDQ2"/>
      <c r="UDR2"/>
      <c r="UDS2"/>
      <c r="UDT2"/>
      <c r="UDU2"/>
      <c r="UDV2"/>
      <c r="UDW2"/>
      <c r="UDX2"/>
      <c r="UDY2"/>
      <c r="UDZ2"/>
      <c r="UEA2"/>
      <c r="UEB2"/>
      <c r="UEC2"/>
      <c r="UED2"/>
      <c r="UEE2"/>
      <c r="UEF2"/>
      <c r="UEG2"/>
      <c r="UEH2"/>
      <c r="UEI2"/>
      <c r="UEJ2"/>
      <c r="UEK2"/>
      <c r="UEL2"/>
      <c r="UEM2"/>
      <c r="UEN2"/>
      <c r="UEO2"/>
      <c r="UEP2"/>
      <c r="UEQ2"/>
      <c r="UER2"/>
      <c r="UES2"/>
      <c r="UET2"/>
      <c r="UEU2"/>
      <c r="UEV2"/>
      <c r="UEW2"/>
      <c r="UEX2"/>
      <c r="UEY2"/>
      <c r="UEZ2"/>
      <c r="UFA2"/>
      <c r="UFB2"/>
      <c r="UFC2"/>
      <c r="UFD2"/>
      <c r="UFE2"/>
      <c r="UFF2"/>
      <c r="UFG2"/>
      <c r="UFH2"/>
      <c r="UFI2"/>
      <c r="UFJ2"/>
      <c r="UFK2"/>
      <c r="UFL2"/>
      <c r="UFM2"/>
      <c r="UFN2"/>
      <c r="UFO2"/>
      <c r="UFP2"/>
      <c r="UFQ2"/>
      <c r="UFR2"/>
      <c r="UFS2"/>
      <c r="UFT2"/>
      <c r="UFU2"/>
      <c r="UFV2"/>
      <c r="UFW2"/>
      <c r="UFX2"/>
      <c r="UFY2"/>
      <c r="UFZ2"/>
      <c r="UGA2"/>
      <c r="UGB2"/>
      <c r="UGC2"/>
      <c r="UGD2"/>
      <c r="UGE2"/>
      <c r="UGF2"/>
      <c r="UGG2"/>
      <c r="UGH2"/>
      <c r="UGI2"/>
      <c r="UGJ2"/>
      <c r="UGK2"/>
      <c r="UGL2"/>
      <c r="UGM2"/>
      <c r="UGN2"/>
      <c r="UGO2"/>
      <c r="UGP2"/>
      <c r="UGQ2"/>
      <c r="UGR2"/>
      <c r="UGS2"/>
      <c r="UGT2"/>
      <c r="UGU2"/>
      <c r="UGV2"/>
      <c r="UGW2"/>
      <c r="UGX2"/>
      <c r="UGY2"/>
      <c r="UGZ2"/>
      <c r="UHA2"/>
      <c r="UHB2"/>
      <c r="UHC2"/>
      <c r="UHD2"/>
      <c r="UHE2"/>
      <c r="UHF2"/>
      <c r="UHG2"/>
      <c r="UHH2"/>
      <c r="UHI2"/>
      <c r="UHJ2"/>
      <c r="UHK2"/>
      <c r="UHL2"/>
      <c r="UHM2"/>
      <c r="UHN2"/>
      <c r="UHO2"/>
      <c r="UHP2"/>
      <c r="UHQ2"/>
      <c r="UHR2"/>
      <c r="UHS2"/>
      <c r="UHT2"/>
      <c r="UHU2"/>
      <c r="UHV2"/>
      <c r="UHW2"/>
      <c r="UHX2"/>
      <c r="UHY2"/>
      <c r="UHZ2"/>
      <c r="UIA2"/>
      <c r="UIB2"/>
      <c r="UIC2"/>
      <c r="UID2"/>
      <c r="UIE2"/>
      <c r="UIF2"/>
      <c r="UIG2"/>
      <c r="UIH2"/>
      <c r="UII2"/>
      <c r="UIJ2"/>
      <c r="UIK2"/>
      <c r="UIL2"/>
      <c r="UIM2"/>
      <c r="UIN2"/>
      <c r="UIO2"/>
      <c r="UIP2"/>
      <c r="UIQ2"/>
      <c r="UIR2"/>
      <c r="UIS2"/>
      <c r="UIT2"/>
      <c r="UIU2"/>
      <c r="UIV2"/>
      <c r="UIW2"/>
      <c r="UIX2"/>
      <c r="UIY2"/>
      <c r="UIZ2"/>
      <c r="UJA2"/>
      <c r="UJB2"/>
      <c r="UJC2"/>
      <c r="UJD2"/>
      <c r="UJE2"/>
      <c r="UJF2"/>
      <c r="UJG2"/>
      <c r="UJH2"/>
      <c r="UJI2"/>
      <c r="UJJ2"/>
      <c r="UJK2"/>
      <c r="UJL2"/>
      <c r="UJM2"/>
      <c r="UJN2"/>
      <c r="UJO2"/>
      <c r="UJP2"/>
      <c r="UJQ2"/>
      <c r="UJR2"/>
      <c r="UJS2"/>
      <c r="UJT2"/>
      <c r="UJU2"/>
      <c r="UJV2"/>
      <c r="UJW2"/>
      <c r="UJX2"/>
      <c r="UJY2"/>
      <c r="UJZ2"/>
      <c r="UKA2"/>
      <c r="UKB2"/>
      <c r="UKC2"/>
      <c r="UKD2"/>
      <c r="UKE2"/>
      <c r="UKF2"/>
      <c r="UKG2"/>
      <c r="UKH2"/>
      <c r="UKI2"/>
      <c r="UKJ2"/>
      <c r="UKK2"/>
      <c r="UKL2"/>
      <c r="UKM2"/>
      <c r="UKN2"/>
      <c r="UKO2"/>
      <c r="UKP2"/>
      <c r="UKQ2"/>
      <c r="UKR2"/>
      <c r="UKS2"/>
      <c r="UKT2"/>
      <c r="UKU2"/>
      <c r="UKV2"/>
      <c r="UKW2"/>
      <c r="UKX2"/>
      <c r="UKY2"/>
      <c r="UKZ2"/>
      <c r="ULA2"/>
      <c r="ULB2"/>
      <c r="ULC2"/>
      <c r="ULD2"/>
      <c r="ULE2"/>
      <c r="ULF2"/>
      <c r="ULG2"/>
      <c r="ULH2"/>
      <c r="ULI2"/>
      <c r="ULJ2"/>
      <c r="ULK2"/>
      <c r="ULL2"/>
      <c r="ULM2"/>
      <c r="ULN2"/>
      <c r="ULO2"/>
      <c r="ULP2"/>
      <c r="ULQ2"/>
      <c r="ULR2"/>
      <c r="ULS2"/>
      <c r="ULT2"/>
      <c r="ULU2"/>
      <c r="ULV2"/>
      <c r="ULW2"/>
      <c r="ULX2"/>
      <c r="ULY2"/>
      <c r="ULZ2"/>
      <c r="UMA2"/>
      <c r="UMB2"/>
      <c r="UMC2"/>
      <c r="UMD2"/>
      <c r="UME2"/>
      <c r="UMF2"/>
      <c r="UMG2"/>
      <c r="UMH2"/>
      <c r="UMI2"/>
      <c r="UMJ2"/>
      <c r="UMK2"/>
      <c r="UML2"/>
      <c r="UMM2"/>
      <c r="UMN2"/>
      <c r="UMO2"/>
      <c r="UMP2"/>
      <c r="UMQ2"/>
      <c r="UMR2"/>
      <c r="UMS2"/>
      <c r="UMT2"/>
      <c r="UMU2"/>
      <c r="UMV2"/>
      <c r="UMW2"/>
      <c r="UMX2"/>
      <c r="UMY2"/>
      <c r="UMZ2"/>
      <c r="UNA2"/>
      <c r="UNB2"/>
      <c r="UNC2"/>
      <c r="UND2"/>
      <c r="UNE2"/>
      <c r="UNF2"/>
      <c r="UNG2"/>
      <c r="UNH2"/>
      <c r="UNI2"/>
      <c r="UNJ2"/>
      <c r="UNK2"/>
      <c r="UNL2"/>
      <c r="UNM2"/>
      <c r="UNN2"/>
      <c r="UNO2"/>
      <c r="UNP2"/>
      <c r="UNQ2"/>
      <c r="UNR2"/>
      <c r="UNS2"/>
      <c r="UNT2"/>
      <c r="UNU2"/>
      <c r="UNV2"/>
      <c r="UNW2"/>
      <c r="UNX2"/>
      <c r="UNY2"/>
      <c r="UNZ2"/>
      <c r="UOA2"/>
      <c r="UOB2"/>
      <c r="UOC2"/>
      <c r="UOD2"/>
      <c r="UOE2"/>
      <c r="UOF2"/>
      <c r="UOG2"/>
      <c r="UOH2"/>
      <c r="UOI2"/>
      <c r="UOJ2"/>
      <c r="UOK2"/>
      <c r="UOL2"/>
      <c r="UOM2"/>
      <c r="UON2"/>
      <c r="UOO2"/>
      <c r="UOP2"/>
      <c r="UOQ2"/>
      <c r="UOR2"/>
      <c r="UOS2"/>
      <c r="UOT2"/>
      <c r="UOU2"/>
      <c r="UOV2"/>
      <c r="UOW2"/>
      <c r="UOX2"/>
      <c r="UOY2"/>
      <c r="UOZ2"/>
      <c r="UPA2"/>
      <c r="UPB2"/>
      <c r="UPC2"/>
      <c r="UPD2"/>
      <c r="UPE2"/>
      <c r="UPF2"/>
      <c r="UPG2"/>
      <c r="UPH2"/>
      <c r="UPI2"/>
      <c r="UPJ2"/>
      <c r="UPK2"/>
      <c r="UPL2"/>
      <c r="UPM2"/>
      <c r="UPN2"/>
      <c r="UPO2"/>
      <c r="UPP2"/>
      <c r="UPQ2"/>
      <c r="UPR2"/>
      <c r="UPS2"/>
      <c r="UPT2"/>
      <c r="UPU2"/>
      <c r="UPV2"/>
      <c r="UPW2"/>
      <c r="UPX2"/>
      <c r="UPY2"/>
      <c r="UPZ2"/>
      <c r="UQA2"/>
      <c r="UQB2"/>
      <c r="UQC2"/>
      <c r="UQD2"/>
      <c r="UQE2"/>
      <c r="UQF2"/>
      <c r="UQG2"/>
      <c r="UQH2"/>
      <c r="UQI2"/>
      <c r="UQJ2"/>
      <c r="UQK2"/>
      <c r="UQL2"/>
      <c r="UQM2"/>
      <c r="UQN2"/>
      <c r="UQO2"/>
      <c r="UQP2"/>
      <c r="UQQ2"/>
      <c r="UQR2"/>
      <c r="UQS2"/>
      <c r="UQT2"/>
      <c r="UQU2"/>
      <c r="UQV2"/>
      <c r="UQW2"/>
      <c r="UQX2"/>
      <c r="UQY2"/>
      <c r="UQZ2"/>
      <c r="URA2"/>
      <c r="URB2"/>
      <c r="URC2"/>
      <c r="URD2"/>
      <c r="URE2"/>
      <c r="URF2"/>
      <c r="URG2"/>
      <c r="URH2"/>
      <c r="URI2"/>
      <c r="URJ2"/>
      <c r="URK2"/>
      <c r="URL2"/>
      <c r="URM2"/>
      <c r="URN2"/>
      <c r="URO2"/>
      <c r="URP2"/>
      <c r="URQ2"/>
      <c r="URR2"/>
      <c r="URS2"/>
      <c r="URT2"/>
      <c r="URU2"/>
      <c r="URV2"/>
      <c r="URW2"/>
      <c r="URX2"/>
      <c r="URY2"/>
      <c r="URZ2"/>
      <c r="USA2"/>
      <c r="USB2"/>
      <c r="USC2"/>
      <c r="USD2"/>
      <c r="USE2"/>
      <c r="USF2"/>
      <c r="USG2"/>
      <c r="USH2"/>
      <c r="USI2"/>
      <c r="USJ2"/>
      <c r="USK2"/>
      <c r="USL2"/>
      <c r="USM2"/>
      <c r="USN2"/>
      <c r="USO2"/>
      <c r="USP2"/>
      <c r="USQ2"/>
      <c r="USR2"/>
      <c r="USS2"/>
      <c r="UST2"/>
      <c r="USU2"/>
      <c r="USV2"/>
      <c r="USW2"/>
      <c r="USX2"/>
      <c r="USY2"/>
      <c r="USZ2"/>
      <c r="UTA2"/>
      <c r="UTB2"/>
      <c r="UTC2"/>
      <c r="UTD2"/>
      <c r="UTE2"/>
      <c r="UTF2"/>
      <c r="UTG2"/>
      <c r="UTH2"/>
      <c r="UTI2"/>
      <c r="UTJ2"/>
      <c r="UTK2"/>
      <c r="UTL2"/>
      <c r="UTM2"/>
      <c r="UTN2"/>
      <c r="UTO2"/>
      <c r="UTP2"/>
      <c r="UTQ2"/>
      <c r="UTR2"/>
      <c r="UTS2"/>
      <c r="UTT2"/>
      <c r="UTU2"/>
      <c r="UTV2"/>
      <c r="UTW2"/>
      <c r="UTX2"/>
      <c r="UTY2"/>
      <c r="UTZ2"/>
      <c r="UUA2"/>
      <c r="UUB2"/>
      <c r="UUC2"/>
      <c r="UUD2"/>
      <c r="UUE2"/>
      <c r="UUF2"/>
      <c r="UUG2"/>
      <c r="UUH2"/>
      <c r="UUI2"/>
      <c r="UUJ2"/>
      <c r="UUK2"/>
      <c r="UUL2"/>
      <c r="UUM2"/>
      <c r="UUN2"/>
      <c r="UUO2"/>
      <c r="UUP2"/>
      <c r="UUQ2"/>
      <c r="UUR2"/>
      <c r="UUS2"/>
      <c r="UUT2"/>
      <c r="UUU2"/>
      <c r="UUV2"/>
      <c r="UUW2"/>
      <c r="UUX2"/>
      <c r="UUY2"/>
      <c r="UUZ2"/>
      <c r="UVA2"/>
      <c r="UVB2"/>
      <c r="UVC2"/>
      <c r="UVD2"/>
      <c r="UVE2"/>
      <c r="UVF2"/>
      <c r="UVG2"/>
      <c r="UVH2"/>
      <c r="UVI2"/>
      <c r="UVJ2"/>
      <c r="UVK2"/>
      <c r="UVL2"/>
      <c r="UVM2"/>
      <c r="UVN2"/>
      <c r="UVO2"/>
      <c r="UVP2"/>
      <c r="UVQ2"/>
      <c r="UVR2"/>
      <c r="UVS2"/>
      <c r="UVT2"/>
      <c r="UVU2"/>
      <c r="UVV2"/>
      <c r="UVW2"/>
      <c r="UVX2"/>
      <c r="UVY2"/>
      <c r="UVZ2"/>
      <c r="UWA2"/>
      <c r="UWB2"/>
      <c r="UWC2"/>
      <c r="UWD2"/>
      <c r="UWE2"/>
      <c r="UWF2"/>
      <c r="UWG2"/>
      <c r="UWH2"/>
      <c r="UWI2"/>
      <c r="UWJ2"/>
      <c r="UWK2"/>
      <c r="UWL2"/>
      <c r="UWM2"/>
      <c r="UWN2"/>
      <c r="UWO2"/>
      <c r="UWP2"/>
      <c r="UWQ2"/>
      <c r="UWR2"/>
      <c r="UWS2"/>
      <c r="UWT2"/>
      <c r="UWU2"/>
      <c r="UWV2"/>
      <c r="UWW2"/>
      <c r="UWX2"/>
      <c r="UWY2"/>
      <c r="UWZ2"/>
      <c r="UXA2"/>
      <c r="UXB2"/>
      <c r="UXC2"/>
      <c r="UXD2"/>
      <c r="UXE2"/>
      <c r="UXF2"/>
      <c r="UXG2"/>
      <c r="UXH2"/>
      <c r="UXI2"/>
      <c r="UXJ2"/>
      <c r="UXK2"/>
      <c r="UXL2"/>
      <c r="UXM2"/>
      <c r="UXN2"/>
      <c r="UXO2"/>
      <c r="UXP2"/>
      <c r="UXQ2"/>
      <c r="UXR2"/>
      <c r="UXS2"/>
      <c r="UXT2"/>
      <c r="UXU2"/>
      <c r="UXV2"/>
      <c r="UXW2"/>
      <c r="UXX2"/>
      <c r="UXY2"/>
      <c r="UXZ2"/>
      <c r="UYA2"/>
      <c r="UYB2"/>
      <c r="UYC2"/>
      <c r="UYD2"/>
      <c r="UYE2"/>
      <c r="UYF2"/>
      <c r="UYG2"/>
      <c r="UYH2"/>
      <c r="UYI2"/>
      <c r="UYJ2"/>
      <c r="UYK2"/>
      <c r="UYL2"/>
      <c r="UYM2"/>
      <c r="UYN2"/>
      <c r="UYO2"/>
      <c r="UYP2"/>
      <c r="UYQ2"/>
      <c r="UYR2"/>
      <c r="UYS2"/>
      <c r="UYT2"/>
      <c r="UYU2"/>
      <c r="UYV2"/>
      <c r="UYW2"/>
      <c r="UYX2"/>
      <c r="UYY2"/>
      <c r="UYZ2"/>
      <c r="UZA2"/>
      <c r="UZB2"/>
      <c r="UZC2"/>
      <c r="UZD2"/>
      <c r="UZE2"/>
      <c r="UZF2"/>
      <c r="UZG2"/>
      <c r="UZH2"/>
      <c r="UZI2"/>
      <c r="UZJ2"/>
      <c r="UZK2"/>
      <c r="UZL2"/>
      <c r="UZM2"/>
      <c r="UZN2"/>
      <c r="UZO2"/>
      <c r="UZP2"/>
      <c r="UZQ2"/>
      <c r="UZR2"/>
      <c r="UZS2"/>
      <c r="UZT2"/>
      <c r="UZU2"/>
      <c r="UZV2"/>
      <c r="UZW2"/>
      <c r="UZX2"/>
      <c r="UZY2"/>
      <c r="UZZ2"/>
      <c r="VAA2"/>
      <c r="VAB2"/>
      <c r="VAC2"/>
      <c r="VAD2"/>
      <c r="VAE2"/>
      <c r="VAF2"/>
      <c r="VAG2"/>
      <c r="VAH2"/>
      <c r="VAI2"/>
      <c r="VAJ2"/>
      <c r="VAK2"/>
      <c r="VAL2"/>
      <c r="VAM2"/>
      <c r="VAN2"/>
      <c r="VAO2"/>
      <c r="VAP2"/>
      <c r="VAQ2"/>
      <c r="VAR2"/>
      <c r="VAS2"/>
      <c r="VAT2"/>
      <c r="VAU2"/>
      <c r="VAV2"/>
      <c r="VAW2"/>
      <c r="VAX2"/>
      <c r="VAY2"/>
      <c r="VAZ2"/>
      <c r="VBA2"/>
      <c r="VBB2"/>
      <c r="VBC2"/>
      <c r="VBD2"/>
      <c r="VBE2"/>
      <c r="VBF2"/>
      <c r="VBG2"/>
      <c r="VBH2"/>
      <c r="VBI2"/>
      <c r="VBJ2"/>
      <c r="VBK2"/>
      <c r="VBL2"/>
      <c r="VBM2"/>
      <c r="VBN2"/>
      <c r="VBO2"/>
      <c r="VBP2"/>
      <c r="VBQ2"/>
      <c r="VBR2"/>
      <c r="VBS2"/>
      <c r="VBT2"/>
      <c r="VBU2"/>
      <c r="VBV2"/>
      <c r="VBW2"/>
      <c r="VBX2"/>
      <c r="VBY2"/>
      <c r="VBZ2"/>
      <c r="VCA2"/>
      <c r="VCB2"/>
      <c r="VCC2"/>
      <c r="VCD2"/>
      <c r="VCE2"/>
      <c r="VCF2"/>
      <c r="VCG2"/>
      <c r="VCH2"/>
      <c r="VCI2"/>
      <c r="VCJ2"/>
      <c r="VCK2"/>
      <c r="VCL2"/>
      <c r="VCM2"/>
      <c r="VCN2"/>
      <c r="VCO2"/>
      <c r="VCP2"/>
      <c r="VCQ2"/>
      <c r="VCR2"/>
      <c r="VCS2"/>
      <c r="VCT2"/>
      <c r="VCU2"/>
      <c r="VCV2"/>
      <c r="VCW2"/>
      <c r="VCX2"/>
      <c r="VCY2"/>
      <c r="VCZ2"/>
      <c r="VDA2"/>
      <c r="VDB2"/>
      <c r="VDC2"/>
      <c r="VDD2"/>
      <c r="VDE2"/>
      <c r="VDF2"/>
      <c r="VDG2"/>
      <c r="VDH2"/>
      <c r="VDI2"/>
      <c r="VDJ2"/>
      <c r="VDK2"/>
      <c r="VDL2"/>
      <c r="VDM2"/>
      <c r="VDN2"/>
      <c r="VDO2"/>
      <c r="VDP2"/>
      <c r="VDQ2"/>
      <c r="VDR2"/>
      <c r="VDS2"/>
      <c r="VDT2"/>
      <c r="VDU2"/>
      <c r="VDV2"/>
      <c r="VDW2"/>
      <c r="VDX2"/>
      <c r="VDY2"/>
      <c r="VDZ2"/>
      <c r="VEA2"/>
      <c r="VEB2"/>
      <c r="VEC2"/>
      <c r="VED2"/>
      <c r="VEE2"/>
      <c r="VEF2"/>
      <c r="VEG2"/>
      <c r="VEH2"/>
      <c r="VEI2"/>
      <c r="VEJ2"/>
      <c r="VEK2"/>
      <c r="VEL2"/>
      <c r="VEM2"/>
      <c r="VEN2"/>
      <c r="VEO2"/>
      <c r="VEP2"/>
      <c r="VEQ2"/>
      <c r="VER2"/>
      <c r="VES2"/>
      <c r="VET2"/>
      <c r="VEU2"/>
      <c r="VEV2"/>
      <c r="VEW2"/>
      <c r="VEX2"/>
      <c r="VEY2"/>
      <c r="VEZ2"/>
      <c r="VFA2"/>
      <c r="VFB2"/>
      <c r="VFC2"/>
      <c r="VFD2"/>
      <c r="VFE2"/>
      <c r="VFF2"/>
      <c r="VFG2"/>
      <c r="VFH2"/>
      <c r="VFI2"/>
      <c r="VFJ2"/>
      <c r="VFK2"/>
      <c r="VFL2"/>
      <c r="VFM2"/>
      <c r="VFN2"/>
      <c r="VFO2"/>
      <c r="VFP2"/>
      <c r="VFQ2"/>
      <c r="VFR2"/>
      <c r="VFS2"/>
      <c r="VFT2"/>
      <c r="VFU2"/>
      <c r="VFV2"/>
      <c r="VFW2"/>
      <c r="VFX2"/>
      <c r="VFY2"/>
      <c r="VFZ2"/>
      <c r="VGA2"/>
      <c r="VGB2"/>
      <c r="VGC2"/>
      <c r="VGD2"/>
      <c r="VGE2"/>
      <c r="VGF2"/>
      <c r="VGG2"/>
      <c r="VGH2"/>
      <c r="VGI2"/>
      <c r="VGJ2"/>
      <c r="VGK2"/>
      <c r="VGL2"/>
      <c r="VGM2"/>
      <c r="VGN2"/>
      <c r="VGO2"/>
      <c r="VGP2"/>
      <c r="VGQ2"/>
      <c r="VGR2"/>
      <c r="VGS2"/>
      <c r="VGT2"/>
      <c r="VGU2"/>
      <c r="VGV2"/>
      <c r="VGW2"/>
      <c r="VGX2"/>
      <c r="VGY2"/>
      <c r="VGZ2"/>
      <c r="VHA2"/>
      <c r="VHB2"/>
      <c r="VHC2"/>
      <c r="VHD2"/>
      <c r="VHE2"/>
      <c r="VHF2"/>
      <c r="VHG2"/>
      <c r="VHH2"/>
      <c r="VHI2"/>
      <c r="VHJ2"/>
      <c r="VHK2"/>
      <c r="VHL2"/>
      <c r="VHM2"/>
      <c r="VHN2"/>
      <c r="VHO2"/>
      <c r="VHP2"/>
      <c r="VHQ2"/>
      <c r="VHR2"/>
      <c r="VHS2"/>
      <c r="VHT2"/>
      <c r="VHU2"/>
      <c r="VHV2"/>
      <c r="VHW2"/>
      <c r="VHX2"/>
      <c r="VHY2"/>
      <c r="VHZ2"/>
      <c r="VIA2"/>
      <c r="VIB2"/>
      <c r="VIC2"/>
      <c r="VID2"/>
      <c r="VIE2"/>
      <c r="VIF2"/>
      <c r="VIG2"/>
      <c r="VIH2"/>
      <c r="VII2"/>
      <c r="VIJ2"/>
      <c r="VIK2"/>
      <c r="VIL2"/>
      <c r="VIM2"/>
      <c r="VIN2"/>
      <c r="VIO2"/>
      <c r="VIP2"/>
      <c r="VIQ2"/>
      <c r="VIR2"/>
      <c r="VIS2"/>
      <c r="VIT2"/>
      <c r="VIU2"/>
      <c r="VIV2"/>
      <c r="VIW2"/>
      <c r="VIX2"/>
      <c r="VIY2"/>
      <c r="VIZ2"/>
      <c r="VJA2"/>
      <c r="VJB2"/>
      <c r="VJC2"/>
      <c r="VJD2"/>
      <c r="VJE2"/>
      <c r="VJF2"/>
      <c r="VJG2"/>
      <c r="VJH2"/>
      <c r="VJI2"/>
      <c r="VJJ2"/>
      <c r="VJK2"/>
      <c r="VJL2"/>
      <c r="VJM2"/>
      <c r="VJN2"/>
      <c r="VJO2"/>
      <c r="VJP2"/>
      <c r="VJQ2"/>
      <c r="VJR2"/>
      <c r="VJS2"/>
      <c r="VJT2"/>
      <c r="VJU2"/>
      <c r="VJV2"/>
      <c r="VJW2"/>
      <c r="VJX2"/>
      <c r="VJY2"/>
      <c r="VJZ2"/>
      <c r="VKA2"/>
      <c r="VKB2"/>
      <c r="VKC2"/>
      <c r="VKD2"/>
      <c r="VKE2"/>
      <c r="VKF2"/>
      <c r="VKG2"/>
      <c r="VKH2"/>
      <c r="VKI2"/>
      <c r="VKJ2"/>
      <c r="VKK2"/>
      <c r="VKL2"/>
      <c r="VKM2"/>
      <c r="VKN2"/>
      <c r="VKO2"/>
      <c r="VKP2"/>
      <c r="VKQ2"/>
      <c r="VKR2"/>
      <c r="VKS2"/>
      <c r="VKT2"/>
      <c r="VKU2"/>
      <c r="VKV2"/>
      <c r="VKW2"/>
      <c r="VKX2"/>
      <c r="VKY2"/>
      <c r="VKZ2"/>
      <c r="VLA2"/>
      <c r="VLB2"/>
      <c r="VLC2"/>
      <c r="VLD2"/>
      <c r="VLE2"/>
      <c r="VLF2"/>
      <c r="VLG2"/>
      <c r="VLH2"/>
      <c r="VLI2"/>
      <c r="VLJ2"/>
      <c r="VLK2"/>
      <c r="VLL2"/>
      <c r="VLM2"/>
      <c r="VLN2"/>
      <c r="VLO2"/>
      <c r="VLP2"/>
      <c r="VLQ2"/>
      <c r="VLR2"/>
      <c r="VLS2"/>
      <c r="VLT2"/>
      <c r="VLU2"/>
      <c r="VLV2"/>
      <c r="VLW2"/>
      <c r="VLX2"/>
      <c r="VLY2"/>
      <c r="VLZ2"/>
      <c r="VMA2"/>
      <c r="VMB2"/>
      <c r="VMC2"/>
      <c r="VMD2"/>
      <c r="VME2"/>
      <c r="VMF2"/>
      <c r="VMG2"/>
      <c r="VMH2"/>
      <c r="VMI2"/>
      <c r="VMJ2"/>
      <c r="VMK2"/>
      <c r="VML2"/>
      <c r="VMM2"/>
      <c r="VMN2"/>
      <c r="VMO2"/>
      <c r="VMP2"/>
      <c r="VMQ2"/>
      <c r="VMR2"/>
      <c r="VMS2"/>
      <c r="VMT2"/>
      <c r="VMU2"/>
      <c r="VMV2"/>
      <c r="VMW2"/>
      <c r="VMX2"/>
      <c r="VMY2"/>
      <c r="VMZ2"/>
      <c r="VNA2"/>
      <c r="VNB2"/>
      <c r="VNC2"/>
      <c r="VND2"/>
      <c r="VNE2"/>
      <c r="VNF2"/>
      <c r="VNG2"/>
      <c r="VNH2"/>
      <c r="VNI2"/>
      <c r="VNJ2"/>
      <c r="VNK2"/>
      <c r="VNL2"/>
      <c r="VNM2"/>
      <c r="VNN2"/>
      <c r="VNO2"/>
      <c r="VNP2"/>
      <c r="VNQ2"/>
      <c r="VNR2"/>
      <c r="VNS2"/>
      <c r="VNT2"/>
      <c r="VNU2"/>
      <c r="VNV2"/>
      <c r="VNW2"/>
      <c r="VNX2"/>
      <c r="VNY2"/>
      <c r="VNZ2"/>
      <c r="VOA2"/>
      <c r="VOB2"/>
      <c r="VOC2"/>
      <c r="VOD2"/>
      <c r="VOE2"/>
      <c r="VOF2"/>
      <c r="VOG2"/>
      <c r="VOH2"/>
      <c r="VOI2"/>
      <c r="VOJ2"/>
      <c r="VOK2"/>
      <c r="VOL2"/>
      <c r="VOM2"/>
      <c r="VON2"/>
      <c r="VOO2"/>
      <c r="VOP2"/>
      <c r="VOQ2"/>
      <c r="VOR2"/>
      <c r="VOS2"/>
      <c r="VOT2"/>
      <c r="VOU2"/>
      <c r="VOV2"/>
      <c r="VOW2"/>
      <c r="VOX2"/>
      <c r="VOY2"/>
      <c r="VOZ2"/>
      <c r="VPA2"/>
      <c r="VPB2"/>
      <c r="VPC2"/>
      <c r="VPD2"/>
      <c r="VPE2"/>
      <c r="VPF2"/>
      <c r="VPG2"/>
      <c r="VPH2"/>
      <c r="VPI2"/>
      <c r="VPJ2"/>
      <c r="VPK2"/>
      <c r="VPL2"/>
      <c r="VPM2"/>
      <c r="VPN2"/>
      <c r="VPO2"/>
      <c r="VPP2"/>
      <c r="VPQ2"/>
      <c r="VPR2"/>
      <c r="VPS2"/>
      <c r="VPT2"/>
      <c r="VPU2"/>
      <c r="VPV2"/>
      <c r="VPW2"/>
      <c r="VPX2"/>
      <c r="VPY2"/>
      <c r="VPZ2"/>
      <c r="VQA2"/>
      <c r="VQB2"/>
      <c r="VQC2"/>
      <c r="VQD2"/>
      <c r="VQE2"/>
      <c r="VQF2"/>
      <c r="VQG2"/>
      <c r="VQH2"/>
      <c r="VQI2"/>
      <c r="VQJ2"/>
      <c r="VQK2"/>
      <c r="VQL2"/>
      <c r="VQM2"/>
      <c r="VQN2"/>
      <c r="VQO2"/>
      <c r="VQP2"/>
      <c r="VQQ2"/>
      <c r="VQR2"/>
      <c r="VQS2"/>
      <c r="VQT2"/>
      <c r="VQU2"/>
      <c r="VQV2"/>
      <c r="VQW2"/>
      <c r="VQX2"/>
      <c r="VQY2"/>
      <c r="VQZ2"/>
      <c r="VRA2"/>
      <c r="VRB2"/>
      <c r="VRC2"/>
      <c r="VRD2"/>
      <c r="VRE2"/>
      <c r="VRF2"/>
      <c r="VRG2"/>
      <c r="VRH2"/>
      <c r="VRI2"/>
      <c r="VRJ2"/>
      <c r="VRK2"/>
      <c r="VRL2"/>
      <c r="VRM2"/>
      <c r="VRN2"/>
      <c r="VRO2"/>
      <c r="VRP2"/>
      <c r="VRQ2"/>
      <c r="VRR2"/>
      <c r="VRS2"/>
      <c r="VRT2"/>
      <c r="VRU2"/>
      <c r="VRV2"/>
      <c r="VRW2"/>
      <c r="VRX2"/>
      <c r="VRY2"/>
      <c r="VRZ2"/>
      <c r="VSA2"/>
      <c r="VSB2"/>
      <c r="VSC2"/>
      <c r="VSD2"/>
      <c r="VSE2"/>
      <c r="VSF2"/>
      <c r="VSG2"/>
      <c r="VSH2"/>
      <c r="VSI2"/>
      <c r="VSJ2"/>
      <c r="VSK2"/>
      <c r="VSL2"/>
      <c r="VSM2"/>
      <c r="VSN2"/>
      <c r="VSO2"/>
      <c r="VSP2"/>
      <c r="VSQ2"/>
      <c r="VSR2"/>
      <c r="VSS2"/>
      <c r="VST2"/>
      <c r="VSU2"/>
      <c r="VSV2"/>
      <c r="VSW2"/>
      <c r="VSX2"/>
      <c r="VSY2"/>
      <c r="VSZ2"/>
      <c r="VTA2"/>
      <c r="VTB2"/>
      <c r="VTC2"/>
      <c r="VTD2"/>
      <c r="VTE2"/>
      <c r="VTF2"/>
      <c r="VTG2"/>
      <c r="VTH2"/>
      <c r="VTI2"/>
      <c r="VTJ2"/>
      <c r="VTK2"/>
      <c r="VTL2"/>
      <c r="VTM2"/>
      <c r="VTN2"/>
      <c r="VTO2"/>
      <c r="VTP2"/>
      <c r="VTQ2"/>
      <c r="VTR2"/>
      <c r="VTS2"/>
      <c r="VTT2"/>
      <c r="VTU2"/>
      <c r="VTV2"/>
      <c r="VTW2"/>
      <c r="VTX2"/>
      <c r="VTY2"/>
      <c r="VTZ2"/>
      <c r="VUA2"/>
      <c r="VUB2"/>
      <c r="VUC2"/>
      <c r="VUD2"/>
      <c r="VUE2"/>
      <c r="VUF2"/>
      <c r="VUG2"/>
      <c r="VUH2"/>
      <c r="VUI2"/>
      <c r="VUJ2"/>
      <c r="VUK2"/>
      <c r="VUL2"/>
      <c r="VUM2"/>
      <c r="VUN2"/>
      <c r="VUO2"/>
      <c r="VUP2"/>
      <c r="VUQ2"/>
      <c r="VUR2"/>
      <c r="VUS2"/>
      <c r="VUT2"/>
      <c r="VUU2"/>
      <c r="VUV2"/>
      <c r="VUW2"/>
      <c r="VUX2"/>
      <c r="VUY2"/>
      <c r="VUZ2"/>
      <c r="VVA2"/>
      <c r="VVB2"/>
      <c r="VVC2"/>
      <c r="VVD2"/>
      <c r="VVE2"/>
      <c r="VVF2"/>
      <c r="VVG2"/>
      <c r="VVH2"/>
      <c r="VVI2"/>
      <c r="VVJ2"/>
      <c r="VVK2"/>
      <c r="VVL2"/>
      <c r="VVM2"/>
      <c r="VVN2"/>
      <c r="VVO2"/>
      <c r="VVP2"/>
      <c r="VVQ2"/>
      <c r="VVR2"/>
      <c r="VVS2"/>
      <c r="VVT2"/>
      <c r="VVU2"/>
      <c r="VVV2"/>
      <c r="VVW2"/>
      <c r="VVX2"/>
      <c r="VVY2"/>
      <c r="VVZ2"/>
      <c r="VWA2"/>
      <c r="VWB2"/>
      <c r="VWC2"/>
      <c r="VWD2"/>
      <c r="VWE2"/>
      <c r="VWF2"/>
      <c r="VWG2"/>
      <c r="VWH2"/>
      <c r="VWI2"/>
      <c r="VWJ2"/>
      <c r="VWK2"/>
      <c r="VWL2"/>
      <c r="VWM2"/>
      <c r="VWN2"/>
      <c r="VWO2"/>
      <c r="VWP2"/>
      <c r="VWQ2"/>
      <c r="VWR2"/>
      <c r="VWS2"/>
      <c r="VWT2"/>
      <c r="VWU2"/>
      <c r="VWV2"/>
      <c r="VWW2"/>
      <c r="VWX2"/>
      <c r="VWY2"/>
      <c r="VWZ2"/>
      <c r="VXA2"/>
      <c r="VXB2"/>
      <c r="VXC2"/>
      <c r="VXD2"/>
      <c r="VXE2"/>
      <c r="VXF2"/>
      <c r="VXG2"/>
      <c r="VXH2"/>
      <c r="VXI2"/>
      <c r="VXJ2"/>
      <c r="VXK2"/>
      <c r="VXL2"/>
      <c r="VXM2"/>
      <c r="VXN2"/>
      <c r="VXO2"/>
      <c r="VXP2"/>
      <c r="VXQ2"/>
      <c r="VXR2"/>
      <c r="VXS2"/>
      <c r="VXT2"/>
      <c r="VXU2"/>
      <c r="VXV2"/>
      <c r="VXW2"/>
      <c r="VXX2"/>
      <c r="VXY2"/>
      <c r="VXZ2"/>
      <c r="VYA2"/>
      <c r="VYB2"/>
      <c r="VYC2"/>
      <c r="VYD2"/>
      <c r="VYE2"/>
      <c r="VYF2"/>
      <c r="VYG2"/>
      <c r="VYH2"/>
      <c r="VYI2"/>
      <c r="VYJ2"/>
      <c r="VYK2"/>
      <c r="VYL2"/>
      <c r="VYM2"/>
      <c r="VYN2"/>
      <c r="VYO2"/>
      <c r="VYP2"/>
      <c r="VYQ2"/>
      <c r="VYR2"/>
      <c r="VYS2"/>
      <c r="VYT2"/>
      <c r="VYU2"/>
      <c r="VYV2"/>
      <c r="VYW2"/>
      <c r="VYX2"/>
      <c r="VYY2"/>
      <c r="VYZ2"/>
      <c r="VZA2"/>
      <c r="VZB2"/>
      <c r="VZC2"/>
      <c r="VZD2"/>
      <c r="VZE2"/>
      <c r="VZF2"/>
      <c r="VZG2"/>
      <c r="VZH2"/>
      <c r="VZI2"/>
      <c r="VZJ2"/>
      <c r="VZK2"/>
      <c r="VZL2"/>
      <c r="VZM2"/>
      <c r="VZN2"/>
      <c r="VZO2"/>
      <c r="VZP2"/>
      <c r="VZQ2"/>
      <c r="VZR2"/>
      <c r="VZS2"/>
      <c r="VZT2"/>
      <c r="VZU2"/>
      <c r="VZV2"/>
      <c r="VZW2"/>
      <c r="VZX2"/>
      <c r="VZY2"/>
      <c r="VZZ2"/>
      <c r="WAA2"/>
      <c r="WAB2"/>
      <c r="WAC2"/>
      <c r="WAD2"/>
      <c r="WAE2"/>
      <c r="WAF2"/>
      <c r="WAG2"/>
      <c r="WAH2"/>
      <c r="WAI2"/>
      <c r="WAJ2"/>
      <c r="WAK2"/>
      <c r="WAL2"/>
      <c r="WAM2"/>
      <c r="WAN2"/>
      <c r="WAO2"/>
      <c r="WAP2"/>
      <c r="WAQ2"/>
      <c r="WAR2"/>
      <c r="WAS2"/>
      <c r="WAT2"/>
      <c r="WAU2"/>
      <c r="WAV2"/>
      <c r="WAW2"/>
      <c r="WAX2"/>
      <c r="WAY2"/>
      <c r="WAZ2"/>
      <c r="WBA2"/>
      <c r="WBB2"/>
      <c r="WBC2"/>
      <c r="WBD2"/>
      <c r="WBE2"/>
      <c r="WBF2"/>
      <c r="WBG2"/>
      <c r="WBH2"/>
      <c r="WBI2"/>
      <c r="WBJ2"/>
      <c r="WBK2"/>
      <c r="WBL2"/>
      <c r="WBM2"/>
      <c r="WBN2"/>
      <c r="WBO2"/>
      <c r="WBP2"/>
      <c r="WBQ2"/>
      <c r="WBR2"/>
      <c r="WBS2"/>
      <c r="WBT2"/>
      <c r="WBU2"/>
      <c r="WBV2"/>
      <c r="WBW2"/>
      <c r="WBX2"/>
      <c r="WBY2"/>
      <c r="WBZ2"/>
      <c r="WCA2"/>
      <c r="WCB2"/>
      <c r="WCC2"/>
      <c r="WCD2"/>
      <c r="WCE2"/>
      <c r="WCF2"/>
      <c r="WCG2"/>
      <c r="WCH2"/>
      <c r="WCI2"/>
      <c r="WCJ2"/>
      <c r="WCK2"/>
      <c r="WCL2"/>
      <c r="WCM2"/>
      <c r="WCN2"/>
      <c r="WCO2"/>
      <c r="WCP2"/>
      <c r="WCQ2"/>
      <c r="WCR2"/>
      <c r="WCS2"/>
      <c r="WCT2"/>
      <c r="WCU2"/>
      <c r="WCV2"/>
      <c r="WCW2"/>
      <c r="WCX2"/>
      <c r="WCY2"/>
      <c r="WCZ2"/>
      <c r="WDA2"/>
      <c r="WDB2"/>
      <c r="WDC2"/>
      <c r="WDD2"/>
      <c r="WDE2"/>
      <c r="WDF2"/>
      <c r="WDG2"/>
      <c r="WDH2"/>
      <c r="WDI2"/>
      <c r="WDJ2"/>
      <c r="WDK2"/>
      <c r="WDL2"/>
      <c r="WDM2"/>
      <c r="WDN2"/>
      <c r="WDO2"/>
      <c r="WDP2"/>
      <c r="WDQ2"/>
      <c r="WDR2"/>
      <c r="WDS2"/>
      <c r="WDT2"/>
      <c r="WDU2"/>
      <c r="WDV2"/>
      <c r="WDW2"/>
      <c r="WDX2"/>
      <c r="WDY2"/>
      <c r="WDZ2"/>
      <c r="WEA2"/>
      <c r="WEB2"/>
      <c r="WEC2"/>
      <c r="WED2"/>
      <c r="WEE2"/>
      <c r="WEF2"/>
      <c r="WEG2"/>
      <c r="WEH2"/>
      <c r="WEI2"/>
      <c r="WEJ2"/>
      <c r="WEK2"/>
      <c r="WEL2"/>
      <c r="WEM2"/>
      <c r="WEN2"/>
      <c r="WEO2"/>
      <c r="WEP2"/>
      <c r="WEQ2"/>
      <c r="WER2"/>
      <c r="WES2"/>
      <c r="WET2"/>
      <c r="WEU2"/>
      <c r="WEV2"/>
      <c r="WEW2"/>
      <c r="WEX2"/>
      <c r="WEY2"/>
      <c r="WEZ2"/>
      <c r="WFA2"/>
      <c r="WFB2"/>
      <c r="WFC2"/>
      <c r="WFD2"/>
      <c r="WFE2"/>
      <c r="WFF2"/>
      <c r="WFG2"/>
      <c r="WFH2"/>
      <c r="WFI2"/>
      <c r="WFJ2"/>
      <c r="WFK2"/>
      <c r="WFL2"/>
      <c r="WFM2"/>
      <c r="WFN2"/>
      <c r="WFO2"/>
      <c r="WFP2"/>
      <c r="WFQ2"/>
      <c r="WFR2"/>
      <c r="WFS2"/>
      <c r="WFT2"/>
      <c r="WFU2"/>
      <c r="WFV2"/>
      <c r="WFW2"/>
      <c r="WFX2"/>
      <c r="WFY2"/>
      <c r="WFZ2"/>
      <c r="WGA2"/>
      <c r="WGB2"/>
      <c r="WGC2"/>
      <c r="WGD2"/>
      <c r="WGE2"/>
      <c r="WGF2"/>
      <c r="WGG2"/>
      <c r="WGH2"/>
      <c r="WGI2"/>
      <c r="WGJ2"/>
      <c r="WGK2"/>
      <c r="WGL2"/>
      <c r="WGM2"/>
      <c r="WGN2"/>
      <c r="WGO2"/>
      <c r="WGP2"/>
      <c r="WGQ2"/>
      <c r="WGR2"/>
      <c r="WGS2"/>
      <c r="WGT2"/>
      <c r="WGU2"/>
      <c r="WGV2"/>
      <c r="WGW2"/>
      <c r="WGX2"/>
      <c r="WGY2"/>
      <c r="WGZ2"/>
      <c r="WHA2"/>
      <c r="WHB2"/>
      <c r="WHC2"/>
      <c r="WHD2"/>
      <c r="WHE2"/>
      <c r="WHF2"/>
      <c r="WHG2"/>
      <c r="WHH2"/>
      <c r="WHI2"/>
      <c r="WHJ2"/>
      <c r="WHK2"/>
      <c r="WHL2"/>
      <c r="WHM2"/>
      <c r="WHN2"/>
      <c r="WHO2"/>
      <c r="WHP2"/>
      <c r="WHQ2"/>
      <c r="WHR2"/>
      <c r="WHS2"/>
      <c r="WHT2"/>
      <c r="WHU2"/>
      <c r="WHV2"/>
      <c r="WHW2"/>
      <c r="WHX2"/>
      <c r="WHY2"/>
      <c r="WHZ2"/>
      <c r="WIA2"/>
      <c r="WIB2"/>
      <c r="WIC2"/>
      <c r="WID2"/>
      <c r="WIE2"/>
      <c r="WIF2"/>
      <c r="WIG2"/>
      <c r="WIH2"/>
      <c r="WII2"/>
      <c r="WIJ2"/>
      <c r="WIK2"/>
      <c r="WIL2"/>
      <c r="WIM2"/>
      <c r="WIN2"/>
      <c r="WIO2"/>
      <c r="WIP2"/>
      <c r="WIQ2"/>
      <c r="WIR2"/>
      <c r="WIS2"/>
      <c r="WIT2"/>
      <c r="WIU2"/>
      <c r="WIV2"/>
      <c r="WIW2"/>
      <c r="WIX2"/>
      <c r="WIY2"/>
      <c r="WIZ2"/>
      <c r="WJA2"/>
      <c r="WJB2"/>
      <c r="WJC2"/>
      <c r="WJD2"/>
      <c r="WJE2"/>
      <c r="WJF2"/>
      <c r="WJG2"/>
      <c r="WJH2"/>
      <c r="WJI2"/>
      <c r="WJJ2"/>
      <c r="WJK2"/>
      <c r="WJL2"/>
      <c r="WJM2"/>
      <c r="WJN2"/>
      <c r="WJO2"/>
      <c r="WJP2"/>
      <c r="WJQ2"/>
      <c r="WJR2"/>
      <c r="WJS2"/>
      <c r="WJT2"/>
      <c r="WJU2"/>
      <c r="WJV2"/>
      <c r="WJW2"/>
      <c r="WJX2"/>
      <c r="WJY2"/>
      <c r="WJZ2"/>
      <c r="WKA2"/>
      <c r="WKB2"/>
      <c r="WKC2"/>
      <c r="WKD2"/>
      <c r="WKE2"/>
      <c r="WKF2"/>
      <c r="WKG2"/>
      <c r="WKH2"/>
      <c r="WKI2"/>
      <c r="WKJ2"/>
      <c r="WKK2"/>
      <c r="WKL2"/>
      <c r="WKM2"/>
      <c r="WKN2"/>
      <c r="WKO2"/>
      <c r="WKP2"/>
      <c r="WKQ2"/>
      <c r="WKR2"/>
      <c r="WKS2"/>
      <c r="WKT2"/>
      <c r="WKU2"/>
      <c r="WKV2"/>
      <c r="WKW2"/>
      <c r="WKX2"/>
      <c r="WKY2"/>
      <c r="WKZ2"/>
      <c r="WLA2"/>
      <c r="WLB2"/>
      <c r="WLC2"/>
      <c r="WLD2"/>
      <c r="WLE2"/>
      <c r="WLF2"/>
      <c r="WLG2"/>
      <c r="WLH2"/>
      <c r="WLI2"/>
      <c r="WLJ2"/>
      <c r="WLK2"/>
      <c r="WLL2"/>
      <c r="WLM2"/>
      <c r="WLN2"/>
      <c r="WLO2"/>
      <c r="WLP2"/>
      <c r="WLQ2"/>
      <c r="WLR2"/>
      <c r="WLS2"/>
      <c r="WLT2"/>
      <c r="WLU2"/>
      <c r="WLV2"/>
      <c r="WLW2"/>
      <c r="WLX2"/>
      <c r="WLY2"/>
      <c r="WLZ2"/>
      <c r="WMA2"/>
      <c r="WMB2"/>
      <c r="WMC2"/>
      <c r="WMD2"/>
      <c r="WME2"/>
      <c r="WMF2"/>
      <c r="WMG2"/>
      <c r="WMH2"/>
      <c r="WMI2"/>
      <c r="WMJ2"/>
      <c r="WMK2"/>
      <c r="WML2"/>
      <c r="WMM2"/>
      <c r="WMN2"/>
      <c r="WMO2"/>
      <c r="WMP2"/>
      <c r="WMQ2"/>
      <c r="WMR2"/>
      <c r="WMS2"/>
      <c r="WMT2"/>
      <c r="WMU2"/>
      <c r="WMV2"/>
      <c r="WMW2"/>
      <c r="WMX2"/>
      <c r="WMY2"/>
      <c r="WMZ2"/>
      <c r="WNA2"/>
      <c r="WNB2"/>
      <c r="WNC2"/>
      <c r="WND2"/>
      <c r="WNE2"/>
      <c r="WNF2"/>
      <c r="WNG2"/>
      <c r="WNH2"/>
      <c r="WNI2"/>
      <c r="WNJ2"/>
      <c r="WNK2"/>
      <c r="WNL2"/>
      <c r="WNM2"/>
      <c r="WNN2"/>
      <c r="WNO2"/>
      <c r="WNP2"/>
      <c r="WNQ2"/>
      <c r="WNR2"/>
      <c r="WNS2"/>
      <c r="WNT2"/>
      <c r="WNU2"/>
      <c r="WNV2"/>
      <c r="WNW2"/>
      <c r="WNX2"/>
      <c r="WNY2"/>
      <c r="WNZ2"/>
      <c r="WOA2"/>
      <c r="WOB2"/>
      <c r="WOC2"/>
      <c r="WOD2"/>
      <c r="WOE2"/>
      <c r="WOF2"/>
      <c r="WOG2"/>
      <c r="WOH2"/>
      <c r="WOI2"/>
      <c r="WOJ2"/>
      <c r="WOK2"/>
      <c r="WOL2"/>
      <c r="WOM2"/>
      <c r="WON2"/>
      <c r="WOO2"/>
      <c r="WOP2"/>
      <c r="WOQ2"/>
      <c r="WOR2"/>
      <c r="WOS2"/>
      <c r="WOT2"/>
      <c r="WOU2"/>
      <c r="WOV2"/>
      <c r="WOW2"/>
      <c r="WOX2"/>
      <c r="WOY2"/>
      <c r="WOZ2"/>
      <c r="WPA2"/>
      <c r="WPB2"/>
      <c r="WPC2"/>
      <c r="WPD2"/>
      <c r="WPE2"/>
      <c r="WPF2"/>
      <c r="WPG2"/>
      <c r="WPH2"/>
      <c r="WPI2"/>
      <c r="WPJ2"/>
      <c r="WPK2"/>
      <c r="WPL2"/>
      <c r="WPM2"/>
      <c r="WPN2"/>
      <c r="WPO2"/>
      <c r="WPP2"/>
      <c r="WPQ2"/>
      <c r="WPR2"/>
      <c r="WPS2"/>
      <c r="WPT2"/>
      <c r="WPU2"/>
      <c r="WPV2"/>
      <c r="WPW2"/>
      <c r="WPX2"/>
      <c r="WPY2"/>
      <c r="WPZ2"/>
      <c r="WQA2"/>
      <c r="WQB2"/>
      <c r="WQC2"/>
      <c r="WQD2"/>
      <c r="WQE2"/>
      <c r="WQF2"/>
      <c r="WQG2"/>
      <c r="WQH2"/>
      <c r="WQI2"/>
      <c r="WQJ2"/>
      <c r="WQK2"/>
      <c r="WQL2"/>
      <c r="WQM2"/>
      <c r="WQN2"/>
      <c r="WQO2"/>
      <c r="WQP2"/>
      <c r="WQQ2"/>
      <c r="WQR2"/>
      <c r="WQS2"/>
      <c r="WQT2"/>
      <c r="WQU2"/>
      <c r="WQV2"/>
      <c r="WQW2"/>
      <c r="WQX2"/>
      <c r="WQY2"/>
      <c r="WQZ2"/>
      <c r="WRA2"/>
      <c r="WRB2"/>
      <c r="WRC2"/>
      <c r="WRD2"/>
      <c r="WRE2"/>
      <c r="WRF2"/>
      <c r="WRG2"/>
      <c r="WRH2"/>
      <c r="WRI2"/>
      <c r="WRJ2"/>
      <c r="WRK2"/>
      <c r="WRL2"/>
      <c r="WRM2"/>
      <c r="WRN2"/>
      <c r="WRO2"/>
      <c r="WRP2"/>
      <c r="WRQ2"/>
      <c r="WRR2"/>
      <c r="WRS2"/>
      <c r="WRT2"/>
      <c r="WRU2"/>
      <c r="WRV2"/>
      <c r="WRW2"/>
      <c r="WRX2"/>
      <c r="WRY2"/>
      <c r="WRZ2"/>
      <c r="WSA2"/>
      <c r="WSB2"/>
      <c r="WSC2"/>
      <c r="WSD2"/>
      <c r="WSE2"/>
      <c r="WSF2"/>
      <c r="WSG2"/>
      <c r="WSH2"/>
      <c r="WSI2"/>
      <c r="WSJ2"/>
      <c r="WSK2"/>
      <c r="WSL2"/>
      <c r="WSM2"/>
      <c r="WSN2"/>
      <c r="WSO2"/>
      <c r="WSP2"/>
      <c r="WSQ2"/>
      <c r="WSR2"/>
      <c r="WSS2"/>
      <c r="WST2"/>
      <c r="WSU2"/>
      <c r="WSV2"/>
      <c r="WSW2"/>
      <c r="WSX2"/>
      <c r="WSY2"/>
      <c r="WSZ2"/>
      <c r="WTA2"/>
      <c r="WTB2"/>
      <c r="WTC2"/>
      <c r="WTD2"/>
      <c r="WTE2"/>
      <c r="WTF2"/>
      <c r="WTG2"/>
      <c r="WTH2"/>
      <c r="WTI2"/>
      <c r="WTJ2"/>
      <c r="WTK2"/>
      <c r="WTL2"/>
      <c r="WTM2"/>
      <c r="WTN2"/>
      <c r="WTO2"/>
      <c r="WTP2"/>
      <c r="WTQ2"/>
      <c r="WTR2"/>
      <c r="WTS2"/>
      <c r="WTT2"/>
      <c r="WTU2"/>
      <c r="WTV2"/>
      <c r="WTW2"/>
      <c r="WTX2"/>
      <c r="WTY2"/>
      <c r="WTZ2"/>
      <c r="WUA2"/>
      <c r="WUB2"/>
      <c r="WUC2"/>
      <c r="WUD2"/>
      <c r="WUE2"/>
      <c r="WUF2"/>
      <c r="WUG2"/>
      <c r="WUH2"/>
      <c r="WUI2"/>
      <c r="WUJ2"/>
      <c r="WUK2"/>
      <c r="WUL2"/>
      <c r="WUM2"/>
      <c r="WUN2"/>
      <c r="WUO2"/>
      <c r="WUP2"/>
      <c r="WUQ2"/>
      <c r="WUR2"/>
      <c r="WUS2"/>
      <c r="WUT2"/>
      <c r="WUU2"/>
      <c r="WUV2"/>
      <c r="WUW2"/>
      <c r="WUX2"/>
      <c r="WUY2"/>
      <c r="WUZ2"/>
      <c r="WVA2"/>
      <c r="WVB2"/>
      <c r="WVC2"/>
      <c r="WVD2"/>
      <c r="WVE2"/>
      <c r="WVF2"/>
      <c r="WVG2"/>
      <c r="WVH2"/>
      <c r="WVI2"/>
      <c r="WVJ2"/>
      <c r="WVK2"/>
      <c r="WVL2"/>
      <c r="WVM2"/>
      <c r="WVN2"/>
      <c r="WVO2"/>
      <c r="WVP2"/>
      <c r="WVQ2"/>
      <c r="WVR2"/>
      <c r="WVS2"/>
      <c r="WVT2"/>
      <c r="WVU2"/>
      <c r="WVV2"/>
      <c r="WVW2"/>
      <c r="WVX2"/>
      <c r="WVY2"/>
      <c r="WVZ2"/>
      <c r="WWA2"/>
      <c r="WWB2"/>
      <c r="WWC2"/>
      <c r="WWD2"/>
      <c r="WWE2"/>
      <c r="WWF2"/>
      <c r="WWG2"/>
      <c r="WWH2"/>
      <c r="WWI2"/>
      <c r="WWJ2"/>
      <c r="WWK2"/>
      <c r="WWL2"/>
      <c r="WWM2"/>
      <c r="WWN2"/>
      <c r="WWO2"/>
      <c r="WWP2"/>
      <c r="WWQ2"/>
      <c r="WWR2"/>
      <c r="WWS2"/>
      <c r="WWT2"/>
      <c r="WWU2"/>
      <c r="WWV2"/>
      <c r="WWW2"/>
      <c r="WWX2"/>
      <c r="WWY2"/>
      <c r="WWZ2"/>
      <c r="WXA2"/>
      <c r="WXB2"/>
      <c r="WXC2"/>
      <c r="WXD2"/>
      <c r="WXE2"/>
      <c r="WXF2"/>
      <c r="WXG2"/>
      <c r="WXH2"/>
      <c r="WXI2"/>
      <c r="WXJ2"/>
      <c r="WXK2"/>
      <c r="WXL2"/>
      <c r="WXM2"/>
      <c r="WXN2"/>
      <c r="WXO2"/>
      <c r="WXP2"/>
      <c r="WXQ2"/>
      <c r="WXR2"/>
      <c r="WXS2"/>
      <c r="WXT2"/>
      <c r="WXU2"/>
      <c r="WXV2"/>
      <c r="WXW2"/>
      <c r="WXX2"/>
      <c r="WXY2"/>
      <c r="WXZ2"/>
      <c r="WYA2"/>
      <c r="WYB2"/>
      <c r="WYC2"/>
      <c r="WYD2"/>
      <c r="WYE2"/>
      <c r="WYF2"/>
      <c r="WYG2"/>
      <c r="WYH2"/>
      <c r="WYI2"/>
      <c r="WYJ2"/>
      <c r="WYK2"/>
      <c r="WYL2"/>
      <c r="WYM2"/>
      <c r="WYN2"/>
      <c r="WYO2"/>
      <c r="WYP2"/>
      <c r="WYQ2"/>
      <c r="WYR2"/>
      <c r="WYS2"/>
      <c r="WYT2"/>
      <c r="WYU2"/>
      <c r="WYV2"/>
      <c r="WYW2"/>
      <c r="WYX2"/>
      <c r="WYY2"/>
      <c r="WYZ2"/>
      <c r="WZA2"/>
      <c r="WZB2"/>
      <c r="WZC2"/>
      <c r="WZD2"/>
      <c r="WZE2"/>
      <c r="WZF2"/>
      <c r="WZG2"/>
      <c r="WZH2"/>
      <c r="WZI2"/>
      <c r="WZJ2"/>
      <c r="WZK2"/>
      <c r="WZL2"/>
      <c r="WZM2"/>
      <c r="WZN2"/>
      <c r="WZO2"/>
      <c r="WZP2"/>
      <c r="WZQ2"/>
      <c r="WZR2"/>
      <c r="WZS2"/>
      <c r="WZT2"/>
      <c r="WZU2"/>
      <c r="WZV2"/>
      <c r="WZW2"/>
      <c r="WZX2"/>
      <c r="WZY2"/>
      <c r="WZZ2"/>
      <c r="XAA2"/>
      <c r="XAB2"/>
      <c r="XAC2"/>
      <c r="XAD2"/>
      <c r="XAE2"/>
      <c r="XAF2"/>
      <c r="XAG2"/>
      <c r="XAH2"/>
      <c r="XAI2"/>
      <c r="XAJ2"/>
      <c r="XAK2"/>
      <c r="XAL2"/>
      <c r="XAM2"/>
      <c r="XAN2"/>
      <c r="XAO2"/>
      <c r="XAP2"/>
      <c r="XAQ2"/>
      <c r="XAR2"/>
      <c r="XAS2"/>
      <c r="XAT2"/>
      <c r="XAU2"/>
      <c r="XAV2"/>
      <c r="XAW2"/>
      <c r="XAX2"/>
      <c r="XAY2"/>
      <c r="XAZ2"/>
      <c r="XBA2"/>
      <c r="XBB2"/>
      <c r="XBC2"/>
      <c r="XBD2"/>
      <c r="XBE2"/>
      <c r="XBF2"/>
      <c r="XBG2"/>
      <c r="XBH2"/>
      <c r="XBI2"/>
      <c r="XBJ2"/>
      <c r="XBK2"/>
      <c r="XBL2"/>
      <c r="XBM2"/>
      <c r="XBN2"/>
      <c r="XBO2"/>
      <c r="XBP2"/>
      <c r="XBQ2"/>
      <c r="XBR2"/>
      <c r="XBS2"/>
      <c r="XBT2"/>
      <c r="XBU2"/>
      <c r="XBV2"/>
      <c r="XBW2"/>
      <c r="XBX2"/>
      <c r="XBY2"/>
      <c r="XBZ2"/>
      <c r="XCA2"/>
      <c r="XCB2"/>
      <c r="XCC2"/>
      <c r="XCD2"/>
      <c r="XCE2"/>
      <c r="XCF2"/>
      <c r="XCG2"/>
      <c r="XCH2"/>
      <c r="XCI2"/>
      <c r="XCJ2"/>
      <c r="XCK2"/>
      <c r="XCL2"/>
      <c r="XCM2"/>
      <c r="XCN2"/>
      <c r="XCO2"/>
      <c r="XCP2"/>
      <c r="XCQ2"/>
      <c r="XCR2"/>
      <c r="XCS2"/>
      <c r="XCT2"/>
      <c r="XCU2"/>
      <c r="XCV2"/>
      <c r="XCW2"/>
      <c r="XCX2"/>
      <c r="XCY2"/>
      <c r="XCZ2"/>
      <c r="XDA2"/>
      <c r="XDB2"/>
      <c r="XDC2"/>
      <c r="XDD2"/>
      <c r="XDE2"/>
      <c r="XDF2"/>
      <c r="XDG2"/>
      <c r="XDH2"/>
      <c r="XDI2"/>
      <c r="XDJ2"/>
      <c r="XDK2"/>
      <c r="XDL2"/>
      <c r="XDM2"/>
      <c r="XDN2"/>
      <c r="XDO2"/>
      <c r="XDP2"/>
      <c r="XDQ2"/>
      <c r="XDR2"/>
      <c r="XDS2"/>
      <c r="XDT2"/>
      <c r="XDU2"/>
      <c r="XDV2"/>
      <c r="XDW2"/>
      <c r="XDX2"/>
      <c r="XDY2"/>
      <c r="XDZ2"/>
      <c r="XEA2"/>
      <c r="XEB2"/>
      <c r="XEC2"/>
      <c r="XED2"/>
      <c r="XEE2"/>
      <c r="XEF2"/>
      <c r="XEG2"/>
      <c r="XEH2"/>
      <c r="XEI2"/>
      <c r="XEJ2"/>
      <c r="XEK2"/>
      <c r="XEL2"/>
      <c r="XEM2"/>
      <c r="XEN2"/>
      <c r="XEO2"/>
      <c r="XEP2"/>
      <c r="XEQ2"/>
      <c r="XER2"/>
      <c r="XES2"/>
      <c r="XET2"/>
      <c r="XEU2"/>
      <c r="XEV2"/>
      <c r="XEW2"/>
      <c r="XEX2"/>
      <c r="XEY2"/>
      <c r="XEZ2"/>
      <c r="XFA2"/>
      <c r="XFB2"/>
      <c r="XFC2"/>
      <c r="XFD2"/>
    </row>
    <row r="3" spans="1:16384" s="40" customFormat="1" ht="15" customHeight="1" x14ac:dyDescent="0.25">
      <c r="A3" s="65" t="str">
        <f>'Sups'' Final Roster 0823-0829'!A3</f>
        <v>Campero Juarez Maria Guadalupe</v>
      </c>
      <c r="B3" s="51" t="str">
        <f>'Sups'' Final Roster 0823-0829'!B3</f>
        <v>Corbera Susana Sofía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4"/>
      <c r="N3" s="48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  <c r="BSH3"/>
      <c r="BSI3"/>
      <c r="BSJ3"/>
      <c r="BSK3"/>
      <c r="BSL3"/>
      <c r="BSM3"/>
      <c r="BSN3"/>
      <c r="BSO3"/>
      <c r="BSP3"/>
      <c r="BSQ3"/>
      <c r="BSR3"/>
      <c r="BSS3"/>
      <c r="BST3"/>
      <c r="BSU3"/>
      <c r="BSV3"/>
      <c r="BSW3"/>
      <c r="BSX3"/>
      <c r="BSY3"/>
      <c r="BSZ3"/>
      <c r="BTA3"/>
      <c r="BTB3"/>
      <c r="BTC3"/>
      <c r="BTD3"/>
      <c r="BTE3"/>
      <c r="BTF3"/>
      <c r="BTG3"/>
      <c r="BTH3"/>
      <c r="BTI3"/>
      <c r="BTJ3"/>
      <c r="BTK3"/>
      <c r="BTL3"/>
      <c r="BTM3"/>
      <c r="BTN3"/>
      <c r="BTO3"/>
      <c r="BTP3"/>
      <c r="BTQ3"/>
      <c r="BTR3"/>
      <c r="BTS3"/>
      <c r="BTT3"/>
      <c r="BTU3"/>
      <c r="BTV3"/>
      <c r="BTW3"/>
      <c r="BTX3"/>
      <c r="BTY3"/>
      <c r="BTZ3"/>
      <c r="BUA3"/>
      <c r="BUB3"/>
      <c r="BUC3"/>
      <c r="BUD3"/>
      <c r="BUE3"/>
      <c r="BUF3"/>
      <c r="BUG3"/>
      <c r="BUH3"/>
      <c r="BUI3"/>
      <c r="BUJ3"/>
      <c r="BUK3"/>
      <c r="BUL3"/>
      <c r="BUM3"/>
      <c r="BUN3"/>
      <c r="BUO3"/>
      <c r="BUP3"/>
      <c r="BUQ3"/>
      <c r="BUR3"/>
      <c r="BUS3"/>
      <c r="BUT3"/>
      <c r="BUU3"/>
      <c r="BUV3"/>
      <c r="BUW3"/>
      <c r="BUX3"/>
      <c r="BUY3"/>
      <c r="BUZ3"/>
      <c r="BVA3"/>
      <c r="BVB3"/>
      <c r="BVC3"/>
      <c r="BVD3"/>
      <c r="BVE3"/>
      <c r="BVF3"/>
      <c r="BVG3"/>
      <c r="BVH3"/>
      <c r="BVI3"/>
      <c r="BVJ3"/>
      <c r="BVK3"/>
      <c r="BVL3"/>
      <c r="BVM3"/>
      <c r="BVN3"/>
      <c r="BVO3"/>
      <c r="BVP3"/>
      <c r="BVQ3"/>
      <c r="BVR3"/>
      <c r="BVS3"/>
      <c r="BVT3"/>
      <c r="BVU3"/>
      <c r="BVV3"/>
      <c r="BVW3"/>
      <c r="BVX3"/>
      <c r="BVY3"/>
      <c r="BVZ3"/>
      <c r="BWA3"/>
      <c r="BWB3"/>
      <c r="BWC3"/>
      <c r="BWD3"/>
      <c r="BWE3"/>
      <c r="BWF3"/>
      <c r="BWG3"/>
      <c r="BWH3"/>
      <c r="BWI3"/>
      <c r="BWJ3"/>
      <c r="BWK3"/>
      <c r="BWL3"/>
      <c r="BWM3"/>
      <c r="BWN3"/>
      <c r="BWO3"/>
      <c r="BWP3"/>
      <c r="BWQ3"/>
      <c r="BWR3"/>
      <c r="BWS3"/>
      <c r="BWT3"/>
      <c r="BWU3"/>
      <c r="BWV3"/>
      <c r="BWW3"/>
      <c r="BWX3"/>
      <c r="BWY3"/>
      <c r="BWZ3"/>
      <c r="BXA3"/>
      <c r="BXB3"/>
      <c r="BXC3"/>
      <c r="BXD3"/>
      <c r="BXE3"/>
      <c r="BXF3"/>
      <c r="BXG3"/>
      <c r="BXH3"/>
      <c r="BXI3"/>
      <c r="BXJ3"/>
      <c r="BXK3"/>
      <c r="BXL3"/>
      <c r="BXM3"/>
      <c r="BXN3"/>
      <c r="BXO3"/>
      <c r="BXP3"/>
      <c r="BXQ3"/>
      <c r="BXR3"/>
      <c r="BXS3"/>
      <c r="BXT3"/>
      <c r="BXU3"/>
      <c r="BXV3"/>
      <c r="BXW3"/>
      <c r="BXX3"/>
      <c r="BXY3"/>
      <c r="BXZ3"/>
      <c r="BYA3"/>
      <c r="BYB3"/>
      <c r="BYC3"/>
      <c r="BYD3"/>
      <c r="BYE3"/>
      <c r="BYF3"/>
      <c r="BYG3"/>
      <c r="BYH3"/>
      <c r="BYI3"/>
      <c r="BYJ3"/>
      <c r="BYK3"/>
      <c r="BYL3"/>
      <c r="BYM3"/>
      <c r="BYN3"/>
      <c r="BYO3"/>
      <c r="BYP3"/>
      <c r="BYQ3"/>
      <c r="BYR3"/>
      <c r="BYS3"/>
      <c r="BYT3"/>
      <c r="BYU3"/>
      <c r="BYV3"/>
      <c r="BYW3"/>
      <c r="BYX3"/>
      <c r="BYY3"/>
      <c r="BYZ3"/>
      <c r="BZA3"/>
      <c r="BZB3"/>
      <c r="BZC3"/>
      <c r="BZD3"/>
      <c r="BZE3"/>
      <c r="BZF3"/>
      <c r="BZG3"/>
      <c r="BZH3"/>
      <c r="BZI3"/>
      <c r="BZJ3"/>
      <c r="BZK3"/>
      <c r="BZL3"/>
      <c r="BZM3"/>
      <c r="BZN3"/>
      <c r="BZO3"/>
      <c r="BZP3"/>
      <c r="BZQ3"/>
      <c r="BZR3"/>
      <c r="BZS3"/>
      <c r="BZT3"/>
      <c r="BZU3"/>
      <c r="BZV3"/>
      <c r="BZW3"/>
      <c r="BZX3"/>
      <c r="BZY3"/>
      <c r="BZZ3"/>
      <c r="CAA3"/>
      <c r="CAB3"/>
      <c r="CAC3"/>
      <c r="CAD3"/>
      <c r="CAE3"/>
      <c r="CAF3"/>
      <c r="CAG3"/>
      <c r="CAH3"/>
      <c r="CAI3"/>
      <c r="CAJ3"/>
      <c r="CAK3"/>
      <c r="CAL3"/>
      <c r="CAM3"/>
      <c r="CAN3"/>
      <c r="CAO3"/>
      <c r="CAP3"/>
      <c r="CAQ3"/>
      <c r="CAR3"/>
      <c r="CAS3"/>
      <c r="CAT3"/>
      <c r="CAU3"/>
      <c r="CAV3"/>
      <c r="CAW3"/>
      <c r="CAX3"/>
      <c r="CAY3"/>
      <c r="CAZ3"/>
      <c r="CBA3"/>
      <c r="CBB3"/>
      <c r="CBC3"/>
      <c r="CBD3"/>
      <c r="CBE3"/>
      <c r="CBF3"/>
      <c r="CBG3"/>
      <c r="CBH3"/>
      <c r="CBI3"/>
      <c r="CBJ3"/>
      <c r="CBK3"/>
      <c r="CBL3"/>
      <c r="CBM3"/>
      <c r="CBN3"/>
      <c r="CBO3"/>
      <c r="CBP3"/>
      <c r="CBQ3"/>
      <c r="CBR3"/>
      <c r="CBS3"/>
      <c r="CBT3"/>
      <c r="CBU3"/>
      <c r="CBV3"/>
      <c r="CBW3"/>
      <c r="CBX3"/>
      <c r="CBY3"/>
      <c r="CBZ3"/>
      <c r="CCA3"/>
      <c r="CCB3"/>
      <c r="CCC3"/>
      <c r="CCD3"/>
      <c r="CCE3"/>
      <c r="CCF3"/>
      <c r="CCG3"/>
      <c r="CCH3"/>
      <c r="CCI3"/>
      <c r="CCJ3"/>
      <c r="CCK3"/>
      <c r="CCL3"/>
      <c r="CCM3"/>
      <c r="CCN3"/>
      <c r="CCO3"/>
      <c r="CCP3"/>
      <c r="CCQ3"/>
      <c r="CCR3"/>
      <c r="CCS3"/>
      <c r="CCT3"/>
      <c r="CCU3"/>
      <c r="CCV3"/>
      <c r="CCW3"/>
      <c r="CCX3"/>
      <c r="CCY3"/>
      <c r="CCZ3"/>
      <c r="CDA3"/>
      <c r="CDB3"/>
      <c r="CDC3"/>
      <c r="CDD3"/>
      <c r="CDE3"/>
      <c r="CDF3"/>
      <c r="CDG3"/>
      <c r="CDH3"/>
      <c r="CDI3"/>
      <c r="CDJ3"/>
      <c r="CDK3"/>
      <c r="CDL3"/>
      <c r="CDM3"/>
      <c r="CDN3"/>
      <c r="CDO3"/>
      <c r="CDP3"/>
      <c r="CDQ3"/>
      <c r="CDR3"/>
      <c r="CDS3"/>
      <c r="CDT3"/>
      <c r="CDU3"/>
      <c r="CDV3"/>
      <c r="CDW3"/>
      <c r="CDX3"/>
      <c r="CDY3"/>
      <c r="CDZ3"/>
      <c r="CEA3"/>
      <c r="CEB3"/>
      <c r="CEC3"/>
      <c r="CED3"/>
      <c r="CEE3"/>
      <c r="CEF3"/>
      <c r="CEG3"/>
      <c r="CEH3"/>
      <c r="CEI3"/>
      <c r="CEJ3"/>
      <c r="CEK3"/>
      <c r="CEL3"/>
      <c r="CEM3"/>
      <c r="CEN3"/>
      <c r="CEO3"/>
      <c r="CEP3"/>
      <c r="CEQ3"/>
      <c r="CER3"/>
      <c r="CES3"/>
      <c r="CET3"/>
      <c r="CEU3"/>
      <c r="CEV3"/>
      <c r="CEW3"/>
      <c r="CEX3"/>
      <c r="CEY3"/>
      <c r="CEZ3"/>
      <c r="CFA3"/>
      <c r="CFB3"/>
      <c r="CFC3"/>
      <c r="CFD3"/>
      <c r="CFE3"/>
      <c r="CFF3"/>
      <c r="CFG3"/>
      <c r="CFH3"/>
      <c r="CFI3"/>
      <c r="CFJ3"/>
      <c r="CFK3"/>
      <c r="CFL3"/>
      <c r="CFM3"/>
      <c r="CFN3"/>
      <c r="CFO3"/>
      <c r="CFP3"/>
      <c r="CFQ3"/>
      <c r="CFR3"/>
      <c r="CFS3"/>
      <c r="CFT3"/>
      <c r="CFU3"/>
      <c r="CFV3"/>
      <c r="CFW3"/>
      <c r="CFX3"/>
      <c r="CFY3"/>
      <c r="CFZ3"/>
      <c r="CGA3"/>
      <c r="CGB3"/>
      <c r="CGC3"/>
      <c r="CGD3"/>
      <c r="CGE3"/>
      <c r="CGF3"/>
      <c r="CGG3"/>
      <c r="CGH3"/>
      <c r="CGI3"/>
      <c r="CGJ3"/>
      <c r="CGK3"/>
      <c r="CGL3"/>
      <c r="CGM3"/>
      <c r="CGN3"/>
      <c r="CGO3"/>
      <c r="CGP3"/>
      <c r="CGQ3"/>
      <c r="CGR3"/>
      <c r="CGS3"/>
      <c r="CGT3"/>
      <c r="CGU3"/>
      <c r="CGV3"/>
      <c r="CGW3"/>
      <c r="CGX3"/>
      <c r="CGY3"/>
      <c r="CGZ3"/>
      <c r="CHA3"/>
      <c r="CHB3"/>
      <c r="CHC3"/>
      <c r="CHD3"/>
      <c r="CHE3"/>
      <c r="CHF3"/>
      <c r="CHG3"/>
      <c r="CHH3"/>
      <c r="CHI3"/>
      <c r="CHJ3"/>
      <c r="CHK3"/>
      <c r="CHL3"/>
      <c r="CHM3"/>
      <c r="CHN3"/>
      <c r="CHO3"/>
      <c r="CHP3"/>
      <c r="CHQ3"/>
      <c r="CHR3"/>
      <c r="CHS3"/>
      <c r="CHT3"/>
      <c r="CHU3"/>
      <c r="CHV3"/>
      <c r="CHW3"/>
      <c r="CHX3"/>
      <c r="CHY3"/>
      <c r="CHZ3"/>
      <c r="CIA3"/>
      <c r="CIB3"/>
      <c r="CIC3"/>
      <c r="CID3"/>
      <c r="CIE3"/>
      <c r="CIF3"/>
      <c r="CIG3"/>
      <c r="CIH3"/>
      <c r="CII3"/>
      <c r="CIJ3"/>
      <c r="CIK3"/>
      <c r="CIL3"/>
      <c r="CIM3"/>
      <c r="CIN3"/>
      <c r="CIO3"/>
      <c r="CIP3"/>
      <c r="CIQ3"/>
      <c r="CIR3"/>
      <c r="CIS3"/>
      <c r="CIT3"/>
      <c r="CIU3"/>
      <c r="CIV3"/>
      <c r="CIW3"/>
      <c r="CIX3"/>
      <c r="CIY3"/>
      <c r="CIZ3"/>
      <c r="CJA3"/>
      <c r="CJB3"/>
      <c r="CJC3"/>
      <c r="CJD3"/>
      <c r="CJE3"/>
      <c r="CJF3"/>
      <c r="CJG3"/>
      <c r="CJH3"/>
      <c r="CJI3"/>
      <c r="CJJ3"/>
      <c r="CJK3"/>
      <c r="CJL3"/>
      <c r="CJM3"/>
      <c r="CJN3"/>
      <c r="CJO3"/>
      <c r="CJP3"/>
      <c r="CJQ3"/>
      <c r="CJR3"/>
      <c r="CJS3"/>
      <c r="CJT3"/>
      <c r="CJU3"/>
      <c r="CJV3"/>
      <c r="CJW3"/>
      <c r="CJX3"/>
      <c r="CJY3"/>
      <c r="CJZ3"/>
      <c r="CKA3"/>
      <c r="CKB3"/>
      <c r="CKC3"/>
      <c r="CKD3"/>
      <c r="CKE3"/>
      <c r="CKF3"/>
      <c r="CKG3"/>
      <c r="CKH3"/>
      <c r="CKI3"/>
      <c r="CKJ3"/>
      <c r="CKK3"/>
      <c r="CKL3"/>
      <c r="CKM3"/>
      <c r="CKN3"/>
      <c r="CKO3"/>
      <c r="CKP3"/>
      <c r="CKQ3"/>
      <c r="CKR3"/>
      <c r="CKS3"/>
      <c r="CKT3"/>
      <c r="CKU3"/>
      <c r="CKV3"/>
      <c r="CKW3"/>
      <c r="CKX3"/>
      <c r="CKY3"/>
      <c r="CKZ3"/>
      <c r="CLA3"/>
      <c r="CLB3"/>
      <c r="CLC3"/>
      <c r="CLD3"/>
      <c r="CLE3"/>
      <c r="CLF3"/>
      <c r="CLG3"/>
      <c r="CLH3"/>
      <c r="CLI3"/>
      <c r="CLJ3"/>
      <c r="CLK3"/>
      <c r="CLL3"/>
      <c r="CLM3"/>
      <c r="CLN3"/>
      <c r="CLO3"/>
      <c r="CLP3"/>
      <c r="CLQ3"/>
      <c r="CLR3"/>
      <c r="CLS3"/>
      <c r="CLT3"/>
      <c r="CLU3"/>
      <c r="CLV3"/>
      <c r="CLW3"/>
      <c r="CLX3"/>
      <c r="CLY3"/>
      <c r="CLZ3"/>
      <c r="CMA3"/>
      <c r="CMB3"/>
      <c r="CMC3"/>
      <c r="CMD3"/>
      <c r="CME3"/>
      <c r="CMF3"/>
      <c r="CMG3"/>
      <c r="CMH3"/>
      <c r="CMI3"/>
      <c r="CMJ3"/>
      <c r="CMK3"/>
      <c r="CML3"/>
      <c r="CMM3"/>
      <c r="CMN3"/>
      <c r="CMO3"/>
      <c r="CMP3"/>
      <c r="CMQ3"/>
      <c r="CMR3"/>
      <c r="CMS3"/>
      <c r="CMT3"/>
      <c r="CMU3"/>
      <c r="CMV3"/>
      <c r="CMW3"/>
      <c r="CMX3"/>
      <c r="CMY3"/>
      <c r="CMZ3"/>
      <c r="CNA3"/>
      <c r="CNB3"/>
      <c r="CNC3"/>
      <c r="CND3"/>
      <c r="CNE3"/>
      <c r="CNF3"/>
      <c r="CNG3"/>
      <c r="CNH3"/>
      <c r="CNI3"/>
      <c r="CNJ3"/>
      <c r="CNK3"/>
      <c r="CNL3"/>
      <c r="CNM3"/>
      <c r="CNN3"/>
      <c r="CNO3"/>
      <c r="CNP3"/>
      <c r="CNQ3"/>
      <c r="CNR3"/>
      <c r="CNS3"/>
      <c r="CNT3"/>
      <c r="CNU3"/>
      <c r="CNV3"/>
      <c r="CNW3"/>
      <c r="CNX3"/>
      <c r="CNY3"/>
      <c r="CNZ3"/>
      <c r="COA3"/>
      <c r="COB3"/>
      <c r="COC3"/>
      <c r="COD3"/>
      <c r="COE3"/>
      <c r="COF3"/>
      <c r="COG3"/>
      <c r="COH3"/>
      <c r="COI3"/>
      <c r="COJ3"/>
      <c r="COK3"/>
      <c r="COL3"/>
      <c r="COM3"/>
      <c r="CON3"/>
      <c r="COO3"/>
      <c r="COP3"/>
      <c r="COQ3"/>
      <c r="COR3"/>
      <c r="COS3"/>
      <c r="COT3"/>
      <c r="COU3"/>
      <c r="COV3"/>
      <c r="COW3"/>
      <c r="COX3"/>
      <c r="COY3"/>
      <c r="COZ3"/>
      <c r="CPA3"/>
      <c r="CPB3"/>
      <c r="CPC3"/>
      <c r="CPD3"/>
      <c r="CPE3"/>
      <c r="CPF3"/>
      <c r="CPG3"/>
      <c r="CPH3"/>
      <c r="CPI3"/>
      <c r="CPJ3"/>
      <c r="CPK3"/>
      <c r="CPL3"/>
      <c r="CPM3"/>
      <c r="CPN3"/>
      <c r="CPO3"/>
      <c r="CPP3"/>
      <c r="CPQ3"/>
      <c r="CPR3"/>
      <c r="CPS3"/>
      <c r="CPT3"/>
      <c r="CPU3"/>
      <c r="CPV3"/>
      <c r="CPW3"/>
      <c r="CPX3"/>
      <c r="CPY3"/>
      <c r="CPZ3"/>
      <c r="CQA3"/>
      <c r="CQB3"/>
      <c r="CQC3"/>
      <c r="CQD3"/>
      <c r="CQE3"/>
      <c r="CQF3"/>
      <c r="CQG3"/>
      <c r="CQH3"/>
      <c r="CQI3"/>
      <c r="CQJ3"/>
      <c r="CQK3"/>
      <c r="CQL3"/>
      <c r="CQM3"/>
      <c r="CQN3"/>
      <c r="CQO3"/>
      <c r="CQP3"/>
      <c r="CQQ3"/>
      <c r="CQR3"/>
      <c r="CQS3"/>
      <c r="CQT3"/>
      <c r="CQU3"/>
      <c r="CQV3"/>
      <c r="CQW3"/>
      <c r="CQX3"/>
      <c r="CQY3"/>
      <c r="CQZ3"/>
      <c r="CRA3"/>
      <c r="CRB3"/>
      <c r="CRC3"/>
      <c r="CRD3"/>
      <c r="CRE3"/>
      <c r="CRF3"/>
      <c r="CRG3"/>
      <c r="CRH3"/>
      <c r="CRI3"/>
      <c r="CRJ3"/>
      <c r="CRK3"/>
      <c r="CRL3"/>
      <c r="CRM3"/>
      <c r="CRN3"/>
      <c r="CRO3"/>
      <c r="CRP3"/>
      <c r="CRQ3"/>
      <c r="CRR3"/>
      <c r="CRS3"/>
      <c r="CRT3"/>
      <c r="CRU3"/>
      <c r="CRV3"/>
      <c r="CRW3"/>
      <c r="CRX3"/>
      <c r="CRY3"/>
      <c r="CRZ3"/>
      <c r="CSA3"/>
      <c r="CSB3"/>
      <c r="CSC3"/>
      <c r="CSD3"/>
      <c r="CSE3"/>
      <c r="CSF3"/>
      <c r="CSG3"/>
      <c r="CSH3"/>
      <c r="CSI3"/>
      <c r="CSJ3"/>
      <c r="CSK3"/>
      <c r="CSL3"/>
      <c r="CSM3"/>
      <c r="CSN3"/>
      <c r="CSO3"/>
      <c r="CSP3"/>
      <c r="CSQ3"/>
      <c r="CSR3"/>
      <c r="CSS3"/>
      <c r="CST3"/>
      <c r="CSU3"/>
      <c r="CSV3"/>
      <c r="CSW3"/>
      <c r="CSX3"/>
      <c r="CSY3"/>
      <c r="CSZ3"/>
      <c r="CTA3"/>
      <c r="CTB3"/>
      <c r="CTC3"/>
      <c r="CTD3"/>
      <c r="CTE3"/>
      <c r="CTF3"/>
      <c r="CTG3"/>
      <c r="CTH3"/>
      <c r="CTI3"/>
      <c r="CTJ3"/>
      <c r="CTK3"/>
      <c r="CTL3"/>
      <c r="CTM3"/>
      <c r="CTN3"/>
      <c r="CTO3"/>
      <c r="CTP3"/>
      <c r="CTQ3"/>
      <c r="CTR3"/>
      <c r="CTS3"/>
      <c r="CTT3"/>
      <c r="CTU3"/>
      <c r="CTV3"/>
      <c r="CTW3"/>
      <c r="CTX3"/>
      <c r="CTY3"/>
      <c r="CTZ3"/>
      <c r="CUA3"/>
      <c r="CUB3"/>
      <c r="CUC3"/>
      <c r="CUD3"/>
      <c r="CUE3"/>
      <c r="CUF3"/>
      <c r="CUG3"/>
      <c r="CUH3"/>
      <c r="CUI3"/>
      <c r="CUJ3"/>
      <c r="CUK3"/>
      <c r="CUL3"/>
      <c r="CUM3"/>
      <c r="CUN3"/>
      <c r="CUO3"/>
      <c r="CUP3"/>
      <c r="CUQ3"/>
      <c r="CUR3"/>
      <c r="CUS3"/>
      <c r="CUT3"/>
      <c r="CUU3"/>
      <c r="CUV3"/>
      <c r="CUW3"/>
      <c r="CUX3"/>
      <c r="CUY3"/>
      <c r="CUZ3"/>
      <c r="CVA3"/>
      <c r="CVB3"/>
      <c r="CVC3"/>
      <c r="CVD3"/>
      <c r="CVE3"/>
      <c r="CVF3"/>
      <c r="CVG3"/>
      <c r="CVH3"/>
      <c r="CVI3"/>
      <c r="CVJ3"/>
      <c r="CVK3"/>
      <c r="CVL3"/>
      <c r="CVM3"/>
      <c r="CVN3"/>
      <c r="CVO3"/>
      <c r="CVP3"/>
      <c r="CVQ3"/>
      <c r="CVR3"/>
      <c r="CVS3"/>
      <c r="CVT3"/>
      <c r="CVU3"/>
      <c r="CVV3"/>
      <c r="CVW3"/>
      <c r="CVX3"/>
      <c r="CVY3"/>
      <c r="CVZ3"/>
      <c r="CWA3"/>
      <c r="CWB3"/>
      <c r="CWC3"/>
      <c r="CWD3"/>
      <c r="CWE3"/>
      <c r="CWF3"/>
      <c r="CWG3"/>
      <c r="CWH3"/>
      <c r="CWI3"/>
      <c r="CWJ3"/>
      <c r="CWK3"/>
      <c r="CWL3"/>
      <c r="CWM3"/>
      <c r="CWN3"/>
      <c r="CWO3"/>
      <c r="CWP3"/>
      <c r="CWQ3"/>
      <c r="CWR3"/>
      <c r="CWS3"/>
      <c r="CWT3"/>
      <c r="CWU3"/>
      <c r="CWV3"/>
      <c r="CWW3"/>
      <c r="CWX3"/>
      <c r="CWY3"/>
      <c r="CWZ3"/>
      <c r="CXA3"/>
      <c r="CXB3"/>
      <c r="CXC3"/>
      <c r="CXD3"/>
      <c r="CXE3"/>
      <c r="CXF3"/>
      <c r="CXG3"/>
      <c r="CXH3"/>
      <c r="CXI3"/>
      <c r="CXJ3"/>
      <c r="CXK3"/>
      <c r="CXL3"/>
      <c r="CXM3"/>
      <c r="CXN3"/>
      <c r="CXO3"/>
      <c r="CXP3"/>
      <c r="CXQ3"/>
      <c r="CXR3"/>
      <c r="CXS3"/>
      <c r="CXT3"/>
      <c r="CXU3"/>
      <c r="CXV3"/>
      <c r="CXW3"/>
      <c r="CXX3"/>
      <c r="CXY3"/>
      <c r="CXZ3"/>
      <c r="CYA3"/>
      <c r="CYB3"/>
      <c r="CYC3"/>
      <c r="CYD3"/>
      <c r="CYE3"/>
      <c r="CYF3"/>
      <c r="CYG3"/>
      <c r="CYH3"/>
      <c r="CYI3"/>
      <c r="CYJ3"/>
      <c r="CYK3"/>
      <c r="CYL3"/>
      <c r="CYM3"/>
      <c r="CYN3"/>
      <c r="CYO3"/>
      <c r="CYP3"/>
      <c r="CYQ3"/>
      <c r="CYR3"/>
      <c r="CYS3"/>
      <c r="CYT3"/>
      <c r="CYU3"/>
      <c r="CYV3"/>
      <c r="CYW3"/>
      <c r="CYX3"/>
      <c r="CYY3"/>
      <c r="CYZ3"/>
      <c r="CZA3"/>
      <c r="CZB3"/>
      <c r="CZC3"/>
      <c r="CZD3"/>
      <c r="CZE3"/>
      <c r="CZF3"/>
      <c r="CZG3"/>
      <c r="CZH3"/>
      <c r="CZI3"/>
      <c r="CZJ3"/>
      <c r="CZK3"/>
      <c r="CZL3"/>
      <c r="CZM3"/>
      <c r="CZN3"/>
      <c r="CZO3"/>
      <c r="CZP3"/>
      <c r="CZQ3"/>
      <c r="CZR3"/>
      <c r="CZS3"/>
      <c r="CZT3"/>
      <c r="CZU3"/>
      <c r="CZV3"/>
      <c r="CZW3"/>
      <c r="CZX3"/>
      <c r="CZY3"/>
      <c r="CZZ3"/>
      <c r="DAA3"/>
      <c r="DAB3"/>
      <c r="DAC3"/>
      <c r="DAD3"/>
      <c r="DAE3"/>
      <c r="DAF3"/>
      <c r="DAG3"/>
      <c r="DAH3"/>
      <c r="DAI3"/>
      <c r="DAJ3"/>
      <c r="DAK3"/>
      <c r="DAL3"/>
      <c r="DAM3"/>
      <c r="DAN3"/>
      <c r="DAO3"/>
      <c r="DAP3"/>
      <c r="DAQ3"/>
      <c r="DAR3"/>
      <c r="DAS3"/>
      <c r="DAT3"/>
      <c r="DAU3"/>
      <c r="DAV3"/>
      <c r="DAW3"/>
      <c r="DAX3"/>
      <c r="DAY3"/>
      <c r="DAZ3"/>
      <c r="DBA3"/>
      <c r="DBB3"/>
      <c r="DBC3"/>
      <c r="DBD3"/>
      <c r="DBE3"/>
      <c r="DBF3"/>
      <c r="DBG3"/>
      <c r="DBH3"/>
      <c r="DBI3"/>
      <c r="DBJ3"/>
      <c r="DBK3"/>
      <c r="DBL3"/>
      <c r="DBM3"/>
      <c r="DBN3"/>
      <c r="DBO3"/>
      <c r="DBP3"/>
      <c r="DBQ3"/>
      <c r="DBR3"/>
      <c r="DBS3"/>
      <c r="DBT3"/>
      <c r="DBU3"/>
      <c r="DBV3"/>
      <c r="DBW3"/>
      <c r="DBX3"/>
      <c r="DBY3"/>
      <c r="DBZ3"/>
      <c r="DCA3"/>
      <c r="DCB3"/>
      <c r="DCC3"/>
      <c r="DCD3"/>
      <c r="DCE3"/>
      <c r="DCF3"/>
      <c r="DCG3"/>
      <c r="DCH3"/>
      <c r="DCI3"/>
      <c r="DCJ3"/>
      <c r="DCK3"/>
      <c r="DCL3"/>
      <c r="DCM3"/>
      <c r="DCN3"/>
      <c r="DCO3"/>
      <c r="DCP3"/>
      <c r="DCQ3"/>
      <c r="DCR3"/>
      <c r="DCS3"/>
      <c r="DCT3"/>
      <c r="DCU3"/>
      <c r="DCV3"/>
      <c r="DCW3"/>
      <c r="DCX3"/>
      <c r="DCY3"/>
      <c r="DCZ3"/>
      <c r="DDA3"/>
      <c r="DDB3"/>
      <c r="DDC3"/>
      <c r="DDD3"/>
      <c r="DDE3"/>
      <c r="DDF3"/>
      <c r="DDG3"/>
      <c r="DDH3"/>
      <c r="DDI3"/>
      <c r="DDJ3"/>
      <c r="DDK3"/>
      <c r="DDL3"/>
      <c r="DDM3"/>
      <c r="DDN3"/>
      <c r="DDO3"/>
      <c r="DDP3"/>
      <c r="DDQ3"/>
      <c r="DDR3"/>
      <c r="DDS3"/>
      <c r="DDT3"/>
      <c r="DDU3"/>
      <c r="DDV3"/>
      <c r="DDW3"/>
      <c r="DDX3"/>
      <c r="DDY3"/>
      <c r="DDZ3"/>
      <c r="DEA3"/>
      <c r="DEB3"/>
      <c r="DEC3"/>
      <c r="DED3"/>
      <c r="DEE3"/>
      <c r="DEF3"/>
      <c r="DEG3"/>
      <c r="DEH3"/>
      <c r="DEI3"/>
      <c r="DEJ3"/>
      <c r="DEK3"/>
      <c r="DEL3"/>
      <c r="DEM3"/>
      <c r="DEN3"/>
      <c r="DEO3"/>
      <c r="DEP3"/>
      <c r="DEQ3"/>
      <c r="DER3"/>
      <c r="DES3"/>
      <c r="DET3"/>
      <c r="DEU3"/>
      <c r="DEV3"/>
      <c r="DEW3"/>
      <c r="DEX3"/>
      <c r="DEY3"/>
      <c r="DEZ3"/>
      <c r="DFA3"/>
      <c r="DFB3"/>
      <c r="DFC3"/>
      <c r="DFD3"/>
      <c r="DFE3"/>
      <c r="DFF3"/>
      <c r="DFG3"/>
      <c r="DFH3"/>
      <c r="DFI3"/>
      <c r="DFJ3"/>
      <c r="DFK3"/>
      <c r="DFL3"/>
      <c r="DFM3"/>
      <c r="DFN3"/>
      <c r="DFO3"/>
      <c r="DFP3"/>
      <c r="DFQ3"/>
      <c r="DFR3"/>
      <c r="DFS3"/>
      <c r="DFT3"/>
      <c r="DFU3"/>
      <c r="DFV3"/>
      <c r="DFW3"/>
      <c r="DFX3"/>
      <c r="DFY3"/>
      <c r="DFZ3"/>
      <c r="DGA3"/>
      <c r="DGB3"/>
      <c r="DGC3"/>
      <c r="DGD3"/>
      <c r="DGE3"/>
      <c r="DGF3"/>
      <c r="DGG3"/>
      <c r="DGH3"/>
      <c r="DGI3"/>
      <c r="DGJ3"/>
      <c r="DGK3"/>
      <c r="DGL3"/>
      <c r="DGM3"/>
      <c r="DGN3"/>
      <c r="DGO3"/>
      <c r="DGP3"/>
      <c r="DGQ3"/>
      <c r="DGR3"/>
      <c r="DGS3"/>
      <c r="DGT3"/>
      <c r="DGU3"/>
      <c r="DGV3"/>
      <c r="DGW3"/>
      <c r="DGX3"/>
      <c r="DGY3"/>
      <c r="DGZ3"/>
      <c r="DHA3"/>
      <c r="DHB3"/>
      <c r="DHC3"/>
      <c r="DHD3"/>
      <c r="DHE3"/>
      <c r="DHF3"/>
      <c r="DHG3"/>
      <c r="DHH3"/>
      <c r="DHI3"/>
      <c r="DHJ3"/>
      <c r="DHK3"/>
      <c r="DHL3"/>
      <c r="DHM3"/>
      <c r="DHN3"/>
      <c r="DHO3"/>
      <c r="DHP3"/>
      <c r="DHQ3"/>
      <c r="DHR3"/>
      <c r="DHS3"/>
      <c r="DHT3"/>
      <c r="DHU3"/>
      <c r="DHV3"/>
      <c r="DHW3"/>
      <c r="DHX3"/>
      <c r="DHY3"/>
      <c r="DHZ3"/>
      <c r="DIA3"/>
      <c r="DIB3"/>
      <c r="DIC3"/>
      <c r="DID3"/>
      <c r="DIE3"/>
      <c r="DIF3"/>
      <c r="DIG3"/>
      <c r="DIH3"/>
      <c r="DII3"/>
      <c r="DIJ3"/>
      <c r="DIK3"/>
      <c r="DIL3"/>
      <c r="DIM3"/>
      <c r="DIN3"/>
      <c r="DIO3"/>
      <c r="DIP3"/>
      <c r="DIQ3"/>
      <c r="DIR3"/>
      <c r="DIS3"/>
      <c r="DIT3"/>
      <c r="DIU3"/>
      <c r="DIV3"/>
      <c r="DIW3"/>
      <c r="DIX3"/>
      <c r="DIY3"/>
      <c r="DIZ3"/>
      <c r="DJA3"/>
      <c r="DJB3"/>
      <c r="DJC3"/>
      <c r="DJD3"/>
      <c r="DJE3"/>
      <c r="DJF3"/>
      <c r="DJG3"/>
      <c r="DJH3"/>
      <c r="DJI3"/>
      <c r="DJJ3"/>
      <c r="DJK3"/>
      <c r="DJL3"/>
      <c r="DJM3"/>
      <c r="DJN3"/>
      <c r="DJO3"/>
      <c r="DJP3"/>
      <c r="DJQ3"/>
      <c r="DJR3"/>
      <c r="DJS3"/>
      <c r="DJT3"/>
      <c r="DJU3"/>
      <c r="DJV3"/>
      <c r="DJW3"/>
      <c r="DJX3"/>
      <c r="DJY3"/>
      <c r="DJZ3"/>
      <c r="DKA3"/>
      <c r="DKB3"/>
      <c r="DKC3"/>
      <c r="DKD3"/>
      <c r="DKE3"/>
      <c r="DKF3"/>
      <c r="DKG3"/>
      <c r="DKH3"/>
      <c r="DKI3"/>
      <c r="DKJ3"/>
      <c r="DKK3"/>
      <c r="DKL3"/>
      <c r="DKM3"/>
      <c r="DKN3"/>
      <c r="DKO3"/>
      <c r="DKP3"/>
      <c r="DKQ3"/>
      <c r="DKR3"/>
      <c r="DKS3"/>
      <c r="DKT3"/>
      <c r="DKU3"/>
      <c r="DKV3"/>
      <c r="DKW3"/>
      <c r="DKX3"/>
      <c r="DKY3"/>
      <c r="DKZ3"/>
      <c r="DLA3"/>
      <c r="DLB3"/>
      <c r="DLC3"/>
      <c r="DLD3"/>
      <c r="DLE3"/>
      <c r="DLF3"/>
      <c r="DLG3"/>
      <c r="DLH3"/>
      <c r="DLI3"/>
      <c r="DLJ3"/>
      <c r="DLK3"/>
      <c r="DLL3"/>
      <c r="DLM3"/>
      <c r="DLN3"/>
      <c r="DLO3"/>
      <c r="DLP3"/>
      <c r="DLQ3"/>
      <c r="DLR3"/>
      <c r="DLS3"/>
      <c r="DLT3"/>
      <c r="DLU3"/>
      <c r="DLV3"/>
      <c r="DLW3"/>
      <c r="DLX3"/>
      <c r="DLY3"/>
      <c r="DLZ3"/>
      <c r="DMA3"/>
      <c r="DMB3"/>
      <c r="DMC3"/>
      <c r="DMD3"/>
      <c r="DME3"/>
      <c r="DMF3"/>
      <c r="DMG3"/>
      <c r="DMH3"/>
      <c r="DMI3"/>
      <c r="DMJ3"/>
      <c r="DMK3"/>
      <c r="DML3"/>
      <c r="DMM3"/>
      <c r="DMN3"/>
      <c r="DMO3"/>
      <c r="DMP3"/>
      <c r="DMQ3"/>
      <c r="DMR3"/>
      <c r="DMS3"/>
      <c r="DMT3"/>
      <c r="DMU3"/>
      <c r="DMV3"/>
      <c r="DMW3"/>
      <c r="DMX3"/>
      <c r="DMY3"/>
      <c r="DMZ3"/>
      <c r="DNA3"/>
      <c r="DNB3"/>
      <c r="DNC3"/>
      <c r="DND3"/>
      <c r="DNE3"/>
      <c r="DNF3"/>
      <c r="DNG3"/>
      <c r="DNH3"/>
      <c r="DNI3"/>
      <c r="DNJ3"/>
      <c r="DNK3"/>
      <c r="DNL3"/>
      <c r="DNM3"/>
      <c r="DNN3"/>
      <c r="DNO3"/>
      <c r="DNP3"/>
      <c r="DNQ3"/>
      <c r="DNR3"/>
      <c r="DNS3"/>
      <c r="DNT3"/>
      <c r="DNU3"/>
      <c r="DNV3"/>
      <c r="DNW3"/>
      <c r="DNX3"/>
      <c r="DNY3"/>
      <c r="DNZ3"/>
      <c r="DOA3"/>
      <c r="DOB3"/>
      <c r="DOC3"/>
      <c r="DOD3"/>
      <c r="DOE3"/>
      <c r="DOF3"/>
      <c r="DOG3"/>
      <c r="DOH3"/>
      <c r="DOI3"/>
      <c r="DOJ3"/>
      <c r="DOK3"/>
      <c r="DOL3"/>
      <c r="DOM3"/>
      <c r="DON3"/>
      <c r="DOO3"/>
      <c r="DOP3"/>
      <c r="DOQ3"/>
      <c r="DOR3"/>
      <c r="DOS3"/>
      <c r="DOT3"/>
      <c r="DOU3"/>
      <c r="DOV3"/>
      <c r="DOW3"/>
      <c r="DOX3"/>
      <c r="DOY3"/>
      <c r="DOZ3"/>
      <c r="DPA3"/>
      <c r="DPB3"/>
      <c r="DPC3"/>
      <c r="DPD3"/>
      <c r="DPE3"/>
      <c r="DPF3"/>
      <c r="DPG3"/>
      <c r="DPH3"/>
      <c r="DPI3"/>
      <c r="DPJ3"/>
      <c r="DPK3"/>
      <c r="DPL3"/>
      <c r="DPM3"/>
      <c r="DPN3"/>
      <c r="DPO3"/>
      <c r="DPP3"/>
      <c r="DPQ3"/>
      <c r="DPR3"/>
      <c r="DPS3"/>
      <c r="DPT3"/>
      <c r="DPU3"/>
      <c r="DPV3"/>
      <c r="DPW3"/>
      <c r="DPX3"/>
      <c r="DPY3"/>
      <c r="DPZ3"/>
      <c r="DQA3"/>
      <c r="DQB3"/>
      <c r="DQC3"/>
      <c r="DQD3"/>
      <c r="DQE3"/>
      <c r="DQF3"/>
      <c r="DQG3"/>
      <c r="DQH3"/>
      <c r="DQI3"/>
      <c r="DQJ3"/>
      <c r="DQK3"/>
      <c r="DQL3"/>
      <c r="DQM3"/>
      <c r="DQN3"/>
      <c r="DQO3"/>
      <c r="DQP3"/>
      <c r="DQQ3"/>
      <c r="DQR3"/>
      <c r="DQS3"/>
      <c r="DQT3"/>
      <c r="DQU3"/>
      <c r="DQV3"/>
      <c r="DQW3"/>
      <c r="DQX3"/>
      <c r="DQY3"/>
      <c r="DQZ3"/>
      <c r="DRA3"/>
      <c r="DRB3"/>
      <c r="DRC3"/>
      <c r="DRD3"/>
      <c r="DRE3"/>
      <c r="DRF3"/>
      <c r="DRG3"/>
      <c r="DRH3"/>
      <c r="DRI3"/>
      <c r="DRJ3"/>
      <c r="DRK3"/>
      <c r="DRL3"/>
      <c r="DRM3"/>
      <c r="DRN3"/>
      <c r="DRO3"/>
      <c r="DRP3"/>
      <c r="DRQ3"/>
      <c r="DRR3"/>
      <c r="DRS3"/>
      <c r="DRT3"/>
      <c r="DRU3"/>
      <c r="DRV3"/>
      <c r="DRW3"/>
      <c r="DRX3"/>
      <c r="DRY3"/>
      <c r="DRZ3"/>
      <c r="DSA3"/>
      <c r="DSB3"/>
      <c r="DSC3"/>
      <c r="DSD3"/>
      <c r="DSE3"/>
      <c r="DSF3"/>
      <c r="DSG3"/>
      <c r="DSH3"/>
      <c r="DSI3"/>
      <c r="DSJ3"/>
      <c r="DSK3"/>
      <c r="DSL3"/>
      <c r="DSM3"/>
      <c r="DSN3"/>
      <c r="DSO3"/>
      <c r="DSP3"/>
      <c r="DSQ3"/>
      <c r="DSR3"/>
      <c r="DSS3"/>
      <c r="DST3"/>
      <c r="DSU3"/>
      <c r="DSV3"/>
      <c r="DSW3"/>
      <c r="DSX3"/>
      <c r="DSY3"/>
      <c r="DSZ3"/>
      <c r="DTA3"/>
      <c r="DTB3"/>
      <c r="DTC3"/>
      <c r="DTD3"/>
      <c r="DTE3"/>
      <c r="DTF3"/>
      <c r="DTG3"/>
      <c r="DTH3"/>
      <c r="DTI3"/>
      <c r="DTJ3"/>
      <c r="DTK3"/>
      <c r="DTL3"/>
      <c r="DTM3"/>
      <c r="DTN3"/>
      <c r="DTO3"/>
      <c r="DTP3"/>
      <c r="DTQ3"/>
      <c r="DTR3"/>
      <c r="DTS3"/>
      <c r="DTT3"/>
      <c r="DTU3"/>
      <c r="DTV3"/>
      <c r="DTW3"/>
      <c r="DTX3"/>
      <c r="DTY3"/>
      <c r="DTZ3"/>
      <c r="DUA3"/>
      <c r="DUB3"/>
      <c r="DUC3"/>
      <c r="DUD3"/>
      <c r="DUE3"/>
      <c r="DUF3"/>
      <c r="DUG3"/>
      <c r="DUH3"/>
      <c r="DUI3"/>
      <c r="DUJ3"/>
      <c r="DUK3"/>
      <c r="DUL3"/>
      <c r="DUM3"/>
      <c r="DUN3"/>
      <c r="DUO3"/>
      <c r="DUP3"/>
      <c r="DUQ3"/>
      <c r="DUR3"/>
      <c r="DUS3"/>
      <c r="DUT3"/>
      <c r="DUU3"/>
      <c r="DUV3"/>
      <c r="DUW3"/>
      <c r="DUX3"/>
      <c r="DUY3"/>
      <c r="DUZ3"/>
      <c r="DVA3"/>
      <c r="DVB3"/>
      <c r="DVC3"/>
      <c r="DVD3"/>
      <c r="DVE3"/>
      <c r="DVF3"/>
      <c r="DVG3"/>
      <c r="DVH3"/>
      <c r="DVI3"/>
      <c r="DVJ3"/>
      <c r="DVK3"/>
      <c r="DVL3"/>
      <c r="DVM3"/>
      <c r="DVN3"/>
      <c r="DVO3"/>
      <c r="DVP3"/>
      <c r="DVQ3"/>
      <c r="DVR3"/>
      <c r="DVS3"/>
      <c r="DVT3"/>
      <c r="DVU3"/>
      <c r="DVV3"/>
      <c r="DVW3"/>
      <c r="DVX3"/>
      <c r="DVY3"/>
      <c r="DVZ3"/>
      <c r="DWA3"/>
      <c r="DWB3"/>
      <c r="DWC3"/>
      <c r="DWD3"/>
      <c r="DWE3"/>
      <c r="DWF3"/>
      <c r="DWG3"/>
      <c r="DWH3"/>
      <c r="DWI3"/>
      <c r="DWJ3"/>
      <c r="DWK3"/>
      <c r="DWL3"/>
      <c r="DWM3"/>
      <c r="DWN3"/>
      <c r="DWO3"/>
      <c r="DWP3"/>
      <c r="DWQ3"/>
      <c r="DWR3"/>
      <c r="DWS3"/>
      <c r="DWT3"/>
      <c r="DWU3"/>
      <c r="DWV3"/>
      <c r="DWW3"/>
      <c r="DWX3"/>
      <c r="DWY3"/>
      <c r="DWZ3"/>
      <c r="DXA3"/>
      <c r="DXB3"/>
      <c r="DXC3"/>
      <c r="DXD3"/>
      <c r="DXE3"/>
      <c r="DXF3"/>
      <c r="DXG3"/>
      <c r="DXH3"/>
      <c r="DXI3"/>
      <c r="DXJ3"/>
      <c r="DXK3"/>
      <c r="DXL3"/>
      <c r="DXM3"/>
      <c r="DXN3"/>
      <c r="DXO3"/>
      <c r="DXP3"/>
      <c r="DXQ3"/>
      <c r="DXR3"/>
      <c r="DXS3"/>
      <c r="DXT3"/>
      <c r="DXU3"/>
      <c r="DXV3"/>
      <c r="DXW3"/>
      <c r="DXX3"/>
      <c r="DXY3"/>
      <c r="DXZ3"/>
      <c r="DYA3"/>
      <c r="DYB3"/>
      <c r="DYC3"/>
      <c r="DYD3"/>
      <c r="DYE3"/>
      <c r="DYF3"/>
      <c r="DYG3"/>
      <c r="DYH3"/>
      <c r="DYI3"/>
      <c r="DYJ3"/>
      <c r="DYK3"/>
      <c r="DYL3"/>
      <c r="DYM3"/>
      <c r="DYN3"/>
      <c r="DYO3"/>
      <c r="DYP3"/>
      <c r="DYQ3"/>
      <c r="DYR3"/>
      <c r="DYS3"/>
      <c r="DYT3"/>
      <c r="DYU3"/>
      <c r="DYV3"/>
      <c r="DYW3"/>
      <c r="DYX3"/>
      <c r="DYY3"/>
      <c r="DYZ3"/>
      <c r="DZA3"/>
      <c r="DZB3"/>
      <c r="DZC3"/>
      <c r="DZD3"/>
      <c r="DZE3"/>
      <c r="DZF3"/>
      <c r="DZG3"/>
      <c r="DZH3"/>
      <c r="DZI3"/>
      <c r="DZJ3"/>
      <c r="DZK3"/>
      <c r="DZL3"/>
      <c r="DZM3"/>
      <c r="DZN3"/>
      <c r="DZO3"/>
      <c r="DZP3"/>
      <c r="DZQ3"/>
      <c r="DZR3"/>
      <c r="DZS3"/>
      <c r="DZT3"/>
      <c r="DZU3"/>
      <c r="DZV3"/>
      <c r="DZW3"/>
      <c r="DZX3"/>
      <c r="DZY3"/>
      <c r="DZZ3"/>
      <c r="EAA3"/>
      <c r="EAB3"/>
      <c r="EAC3"/>
      <c r="EAD3"/>
      <c r="EAE3"/>
      <c r="EAF3"/>
      <c r="EAG3"/>
      <c r="EAH3"/>
      <c r="EAI3"/>
      <c r="EAJ3"/>
      <c r="EAK3"/>
      <c r="EAL3"/>
      <c r="EAM3"/>
      <c r="EAN3"/>
      <c r="EAO3"/>
      <c r="EAP3"/>
      <c r="EAQ3"/>
      <c r="EAR3"/>
      <c r="EAS3"/>
      <c r="EAT3"/>
      <c r="EAU3"/>
      <c r="EAV3"/>
      <c r="EAW3"/>
      <c r="EAX3"/>
      <c r="EAY3"/>
      <c r="EAZ3"/>
      <c r="EBA3"/>
      <c r="EBB3"/>
      <c r="EBC3"/>
      <c r="EBD3"/>
      <c r="EBE3"/>
      <c r="EBF3"/>
      <c r="EBG3"/>
      <c r="EBH3"/>
      <c r="EBI3"/>
      <c r="EBJ3"/>
      <c r="EBK3"/>
      <c r="EBL3"/>
      <c r="EBM3"/>
      <c r="EBN3"/>
      <c r="EBO3"/>
      <c r="EBP3"/>
      <c r="EBQ3"/>
      <c r="EBR3"/>
      <c r="EBS3"/>
      <c r="EBT3"/>
      <c r="EBU3"/>
      <c r="EBV3"/>
      <c r="EBW3"/>
      <c r="EBX3"/>
      <c r="EBY3"/>
      <c r="EBZ3"/>
      <c r="ECA3"/>
      <c r="ECB3"/>
      <c r="ECC3"/>
      <c r="ECD3"/>
      <c r="ECE3"/>
      <c r="ECF3"/>
      <c r="ECG3"/>
      <c r="ECH3"/>
      <c r="ECI3"/>
      <c r="ECJ3"/>
      <c r="ECK3"/>
      <c r="ECL3"/>
      <c r="ECM3"/>
      <c r="ECN3"/>
      <c r="ECO3"/>
      <c r="ECP3"/>
      <c r="ECQ3"/>
      <c r="ECR3"/>
      <c r="ECS3"/>
      <c r="ECT3"/>
      <c r="ECU3"/>
      <c r="ECV3"/>
      <c r="ECW3"/>
      <c r="ECX3"/>
      <c r="ECY3"/>
      <c r="ECZ3"/>
      <c r="EDA3"/>
      <c r="EDB3"/>
      <c r="EDC3"/>
      <c r="EDD3"/>
      <c r="EDE3"/>
      <c r="EDF3"/>
      <c r="EDG3"/>
      <c r="EDH3"/>
      <c r="EDI3"/>
      <c r="EDJ3"/>
      <c r="EDK3"/>
      <c r="EDL3"/>
      <c r="EDM3"/>
      <c r="EDN3"/>
      <c r="EDO3"/>
      <c r="EDP3"/>
      <c r="EDQ3"/>
      <c r="EDR3"/>
      <c r="EDS3"/>
      <c r="EDT3"/>
      <c r="EDU3"/>
      <c r="EDV3"/>
      <c r="EDW3"/>
      <c r="EDX3"/>
      <c r="EDY3"/>
      <c r="EDZ3"/>
      <c r="EEA3"/>
      <c r="EEB3"/>
      <c r="EEC3"/>
      <c r="EED3"/>
      <c r="EEE3"/>
      <c r="EEF3"/>
      <c r="EEG3"/>
      <c r="EEH3"/>
      <c r="EEI3"/>
      <c r="EEJ3"/>
      <c r="EEK3"/>
      <c r="EEL3"/>
      <c r="EEM3"/>
      <c r="EEN3"/>
      <c r="EEO3"/>
      <c r="EEP3"/>
      <c r="EEQ3"/>
      <c r="EER3"/>
      <c r="EES3"/>
      <c r="EET3"/>
      <c r="EEU3"/>
      <c r="EEV3"/>
      <c r="EEW3"/>
      <c r="EEX3"/>
      <c r="EEY3"/>
      <c r="EEZ3"/>
      <c r="EFA3"/>
      <c r="EFB3"/>
      <c r="EFC3"/>
      <c r="EFD3"/>
      <c r="EFE3"/>
      <c r="EFF3"/>
      <c r="EFG3"/>
      <c r="EFH3"/>
      <c r="EFI3"/>
      <c r="EFJ3"/>
      <c r="EFK3"/>
      <c r="EFL3"/>
      <c r="EFM3"/>
      <c r="EFN3"/>
      <c r="EFO3"/>
      <c r="EFP3"/>
      <c r="EFQ3"/>
      <c r="EFR3"/>
      <c r="EFS3"/>
      <c r="EFT3"/>
      <c r="EFU3"/>
      <c r="EFV3"/>
      <c r="EFW3"/>
      <c r="EFX3"/>
      <c r="EFY3"/>
      <c r="EFZ3"/>
      <c r="EGA3"/>
      <c r="EGB3"/>
      <c r="EGC3"/>
      <c r="EGD3"/>
      <c r="EGE3"/>
      <c r="EGF3"/>
      <c r="EGG3"/>
      <c r="EGH3"/>
      <c r="EGI3"/>
      <c r="EGJ3"/>
      <c r="EGK3"/>
      <c r="EGL3"/>
      <c r="EGM3"/>
      <c r="EGN3"/>
      <c r="EGO3"/>
      <c r="EGP3"/>
      <c r="EGQ3"/>
      <c r="EGR3"/>
      <c r="EGS3"/>
      <c r="EGT3"/>
      <c r="EGU3"/>
      <c r="EGV3"/>
      <c r="EGW3"/>
      <c r="EGX3"/>
      <c r="EGY3"/>
      <c r="EGZ3"/>
      <c r="EHA3"/>
      <c r="EHB3"/>
      <c r="EHC3"/>
      <c r="EHD3"/>
      <c r="EHE3"/>
      <c r="EHF3"/>
      <c r="EHG3"/>
      <c r="EHH3"/>
      <c r="EHI3"/>
      <c r="EHJ3"/>
      <c r="EHK3"/>
      <c r="EHL3"/>
      <c r="EHM3"/>
      <c r="EHN3"/>
      <c r="EHO3"/>
      <c r="EHP3"/>
      <c r="EHQ3"/>
      <c r="EHR3"/>
      <c r="EHS3"/>
      <c r="EHT3"/>
      <c r="EHU3"/>
      <c r="EHV3"/>
      <c r="EHW3"/>
      <c r="EHX3"/>
      <c r="EHY3"/>
      <c r="EHZ3"/>
      <c r="EIA3"/>
      <c r="EIB3"/>
      <c r="EIC3"/>
      <c r="EID3"/>
      <c r="EIE3"/>
      <c r="EIF3"/>
      <c r="EIG3"/>
      <c r="EIH3"/>
      <c r="EII3"/>
      <c r="EIJ3"/>
      <c r="EIK3"/>
      <c r="EIL3"/>
      <c r="EIM3"/>
      <c r="EIN3"/>
      <c r="EIO3"/>
      <c r="EIP3"/>
      <c r="EIQ3"/>
      <c r="EIR3"/>
      <c r="EIS3"/>
      <c r="EIT3"/>
      <c r="EIU3"/>
      <c r="EIV3"/>
      <c r="EIW3"/>
      <c r="EIX3"/>
      <c r="EIY3"/>
      <c r="EIZ3"/>
      <c r="EJA3"/>
      <c r="EJB3"/>
      <c r="EJC3"/>
      <c r="EJD3"/>
      <c r="EJE3"/>
      <c r="EJF3"/>
      <c r="EJG3"/>
      <c r="EJH3"/>
      <c r="EJI3"/>
      <c r="EJJ3"/>
      <c r="EJK3"/>
      <c r="EJL3"/>
      <c r="EJM3"/>
      <c r="EJN3"/>
      <c r="EJO3"/>
      <c r="EJP3"/>
      <c r="EJQ3"/>
      <c r="EJR3"/>
      <c r="EJS3"/>
      <c r="EJT3"/>
      <c r="EJU3"/>
      <c r="EJV3"/>
      <c r="EJW3"/>
      <c r="EJX3"/>
      <c r="EJY3"/>
      <c r="EJZ3"/>
      <c r="EKA3"/>
      <c r="EKB3"/>
      <c r="EKC3"/>
      <c r="EKD3"/>
      <c r="EKE3"/>
      <c r="EKF3"/>
      <c r="EKG3"/>
      <c r="EKH3"/>
      <c r="EKI3"/>
      <c r="EKJ3"/>
      <c r="EKK3"/>
      <c r="EKL3"/>
      <c r="EKM3"/>
      <c r="EKN3"/>
      <c r="EKO3"/>
      <c r="EKP3"/>
      <c r="EKQ3"/>
      <c r="EKR3"/>
      <c r="EKS3"/>
      <c r="EKT3"/>
      <c r="EKU3"/>
      <c r="EKV3"/>
      <c r="EKW3"/>
      <c r="EKX3"/>
      <c r="EKY3"/>
      <c r="EKZ3"/>
      <c r="ELA3"/>
      <c r="ELB3"/>
      <c r="ELC3"/>
      <c r="ELD3"/>
      <c r="ELE3"/>
      <c r="ELF3"/>
      <c r="ELG3"/>
      <c r="ELH3"/>
      <c r="ELI3"/>
      <c r="ELJ3"/>
      <c r="ELK3"/>
      <c r="ELL3"/>
      <c r="ELM3"/>
      <c r="ELN3"/>
      <c r="ELO3"/>
      <c r="ELP3"/>
      <c r="ELQ3"/>
      <c r="ELR3"/>
      <c r="ELS3"/>
      <c r="ELT3"/>
      <c r="ELU3"/>
      <c r="ELV3"/>
      <c r="ELW3"/>
      <c r="ELX3"/>
      <c r="ELY3"/>
      <c r="ELZ3"/>
      <c r="EMA3"/>
      <c r="EMB3"/>
      <c r="EMC3"/>
      <c r="EMD3"/>
      <c r="EME3"/>
      <c r="EMF3"/>
      <c r="EMG3"/>
      <c r="EMH3"/>
      <c r="EMI3"/>
      <c r="EMJ3"/>
      <c r="EMK3"/>
      <c r="EML3"/>
      <c r="EMM3"/>
      <c r="EMN3"/>
      <c r="EMO3"/>
      <c r="EMP3"/>
      <c r="EMQ3"/>
      <c r="EMR3"/>
      <c r="EMS3"/>
      <c r="EMT3"/>
      <c r="EMU3"/>
      <c r="EMV3"/>
      <c r="EMW3"/>
      <c r="EMX3"/>
      <c r="EMY3"/>
      <c r="EMZ3"/>
      <c r="ENA3"/>
      <c r="ENB3"/>
      <c r="ENC3"/>
      <c r="END3"/>
      <c r="ENE3"/>
      <c r="ENF3"/>
      <c r="ENG3"/>
      <c r="ENH3"/>
      <c r="ENI3"/>
      <c r="ENJ3"/>
      <c r="ENK3"/>
      <c r="ENL3"/>
      <c r="ENM3"/>
      <c r="ENN3"/>
      <c r="ENO3"/>
      <c r="ENP3"/>
      <c r="ENQ3"/>
      <c r="ENR3"/>
      <c r="ENS3"/>
      <c r="ENT3"/>
      <c r="ENU3"/>
      <c r="ENV3"/>
      <c r="ENW3"/>
      <c r="ENX3"/>
      <c r="ENY3"/>
      <c r="ENZ3"/>
      <c r="EOA3"/>
      <c r="EOB3"/>
      <c r="EOC3"/>
      <c r="EOD3"/>
      <c r="EOE3"/>
      <c r="EOF3"/>
      <c r="EOG3"/>
      <c r="EOH3"/>
      <c r="EOI3"/>
      <c r="EOJ3"/>
      <c r="EOK3"/>
      <c r="EOL3"/>
      <c r="EOM3"/>
      <c r="EON3"/>
      <c r="EOO3"/>
      <c r="EOP3"/>
      <c r="EOQ3"/>
      <c r="EOR3"/>
      <c r="EOS3"/>
      <c r="EOT3"/>
      <c r="EOU3"/>
      <c r="EOV3"/>
      <c r="EOW3"/>
      <c r="EOX3"/>
      <c r="EOY3"/>
      <c r="EOZ3"/>
      <c r="EPA3"/>
      <c r="EPB3"/>
      <c r="EPC3"/>
      <c r="EPD3"/>
      <c r="EPE3"/>
      <c r="EPF3"/>
      <c r="EPG3"/>
      <c r="EPH3"/>
      <c r="EPI3"/>
      <c r="EPJ3"/>
      <c r="EPK3"/>
      <c r="EPL3"/>
      <c r="EPM3"/>
      <c r="EPN3"/>
      <c r="EPO3"/>
      <c r="EPP3"/>
      <c r="EPQ3"/>
      <c r="EPR3"/>
      <c r="EPS3"/>
      <c r="EPT3"/>
      <c r="EPU3"/>
      <c r="EPV3"/>
      <c r="EPW3"/>
      <c r="EPX3"/>
      <c r="EPY3"/>
      <c r="EPZ3"/>
      <c r="EQA3"/>
      <c r="EQB3"/>
      <c r="EQC3"/>
      <c r="EQD3"/>
      <c r="EQE3"/>
      <c r="EQF3"/>
      <c r="EQG3"/>
      <c r="EQH3"/>
      <c r="EQI3"/>
      <c r="EQJ3"/>
      <c r="EQK3"/>
      <c r="EQL3"/>
      <c r="EQM3"/>
      <c r="EQN3"/>
      <c r="EQO3"/>
      <c r="EQP3"/>
      <c r="EQQ3"/>
      <c r="EQR3"/>
      <c r="EQS3"/>
      <c r="EQT3"/>
      <c r="EQU3"/>
      <c r="EQV3"/>
      <c r="EQW3"/>
      <c r="EQX3"/>
      <c r="EQY3"/>
      <c r="EQZ3"/>
      <c r="ERA3"/>
      <c r="ERB3"/>
      <c r="ERC3"/>
      <c r="ERD3"/>
      <c r="ERE3"/>
      <c r="ERF3"/>
      <c r="ERG3"/>
      <c r="ERH3"/>
      <c r="ERI3"/>
      <c r="ERJ3"/>
      <c r="ERK3"/>
      <c r="ERL3"/>
      <c r="ERM3"/>
      <c r="ERN3"/>
      <c r="ERO3"/>
      <c r="ERP3"/>
      <c r="ERQ3"/>
      <c r="ERR3"/>
      <c r="ERS3"/>
      <c r="ERT3"/>
      <c r="ERU3"/>
      <c r="ERV3"/>
      <c r="ERW3"/>
      <c r="ERX3"/>
      <c r="ERY3"/>
      <c r="ERZ3"/>
      <c r="ESA3"/>
      <c r="ESB3"/>
      <c r="ESC3"/>
      <c r="ESD3"/>
      <c r="ESE3"/>
      <c r="ESF3"/>
      <c r="ESG3"/>
      <c r="ESH3"/>
      <c r="ESI3"/>
      <c r="ESJ3"/>
      <c r="ESK3"/>
      <c r="ESL3"/>
      <c r="ESM3"/>
      <c r="ESN3"/>
      <c r="ESO3"/>
      <c r="ESP3"/>
      <c r="ESQ3"/>
      <c r="ESR3"/>
      <c r="ESS3"/>
      <c r="EST3"/>
      <c r="ESU3"/>
      <c r="ESV3"/>
      <c r="ESW3"/>
      <c r="ESX3"/>
      <c r="ESY3"/>
      <c r="ESZ3"/>
      <c r="ETA3"/>
      <c r="ETB3"/>
      <c r="ETC3"/>
      <c r="ETD3"/>
      <c r="ETE3"/>
      <c r="ETF3"/>
      <c r="ETG3"/>
      <c r="ETH3"/>
      <c r="ETI3"/>
      <c r="ETJ3"/>
      <c r="ETK3"/>
      <c r="ETL3"/>
      <c r="ETM3"/>
      <c r="ETN3"/>
      <c r="ETO3"/>
      <c r="ETP3"/>
      <c r="ETQ3"/>
      <c r="ETR3"/>
      <c r="ETS3"/>
      <c r="ETT3"/>
      <c r="ETU3"/>
      <c r="ETV3"/>
      <c r="ETW3"/>
      <c r="ETX3"/>
      <c r="ETY3"/>
      <c r="ETZ3"/>
      <c r="EUA3"/>
      <c r="EUB3"/>
      <c r="EUC3"/>
      <c r="EUD3"/>
      <c r="EUE3"/>
      <c r="EUF3"/>
      <c r="EUG3"/>
      <c r="EUH3"/>
      <c r="EUI3"/>
      <c r="EUJ3"/>
      <c r="EUK3"/>
      <c r="EUL3"/>
      <c r="EUM3"/>
      <c r="EUN3"/>
      <c r="EUO3"/>
      <c r="EUP3"/>
      <c r="EUQ3"/>
      <c r="EUR3"/>
      <c r="EUS3"/>
      <c r="EUT3"/>
      <c r="EUU3"/>
      <c r="EUV3"/>
      <c r="EUW3"/>
      <c r="EUX3"/>
      <c r="EUY3"/>
      <c r="EUZ3"/>
      <c r="EVA3"/>
      <c r="EVB3"/>
      <c r="EVC3"/>
      <c r="EVD3"/>
      <c r="EVE3"/>
      <c r="EVF3"/>
      <c r="EVG3"/>
      <c r="EVH3"/>
      <c r="EVI3"/>
      <c r="EVJ3"/>
      <c r="EVK3"/>
      <c r="EVL3"/>
      <c r="EVM3"/>
      <c r="EVN3"/>
      <c r="EVO3"/>
      <c r="EVP3"/>
      <c r="EVQ3"/>
      <c r="EVR3"/>
      <c r="EVS3"/>
      <c r="EVT3"/>
      <c r="EVU3"/>
      <c r="EVV3"/>
      <c r="EVW3"/>
      <c r="EVX3"/>
      <c r="EVY3"/>
      <c r="EVZ3"/>
      <c r="EWA3"/>
      <c r="EWB3"/>
      <c r="EWC3"/>
      <c r="EWD3"/>
      <c r="EWE3"/>
      <c r="EWF3"/>
      <c r="EWG3"/>
      <c r="EWH3"/>
      <c r="EWI3"/>
      <c r="EWJ3"/>
      <c r="EWK3"/>
      <c r="EWL3"/>
      <c r="EWM3"/>
      <c r="EWN3"/>
      <c r="EWO3"/>
      <c r="EWP3"/>
      <c r="EWQ3"/>
      <c r="EWR3"/>
      <c r="EWS3"/>
      <c r="EWT3"/>
      <c r="EWU3"/>
      <c r="EWV3"/>
      <c r="EWW3"/>
      <c r="EWX3"/>
      <c r="EWY3"/>
      <c r="EWZ3"/>
      <c r="EXA3"/>
      <c r="EXB3"/>
      <c r="EXC3"/>
      <c r="EXD3"/>
      <c r="EXE3"/>
      <c r="EXF3"/>
      <c r="EXG3"/>
      <c r="EXH3"/>
      <c r="EXI3"/>
      <c r="EXJ3"/>
      <c r="EXK3"/>
      <c r="EXL3"/>
      <c r="EXM3"/>
      <c r="EXN3"/>
      <c r="EXO3"/>
      <c r="EXP3"/>
      <c r="EXQ3"/>
      <c r="EXR3"/>
      <c r="EXS3"/>
      <c r="EXT3"/>
      <c r="EXU3"/>
      <c r="EXV3"/>
      <c r="EXW3"/>
      <c r="EXX3"/>
      <c r="EXY3"/>
      <c r="EXZ3"/>
      <c r="EYA3"/>
      <c r="EYB3"/>
      <c r="EYC3"/>
      <c r="EYD3"/>
      <c r="EYE3"/>
      <c r="EYF3"/>
      <c r="EYG3"/>
      <c r="EYH3"/>
      <c r="EYI3"/>
      <c r="EYJ3"/>
      <c r="EYK3"/>
      <c r="EYL3"/>
      <c r="EYM3"/>
      <c r="EYN3"/>
      <c r="EYO3"/>
      <c r="EYP3"/>
      <c r="EYQ3"/>
      <c r="EYR3"/>
      <c r="EYS3"/>
      <c r="EYT3"/>
      <c r="EYU3"/>
      <c r="EYV3"/>
      <c r="EYW3"/>
      <c r="EYX3"/>
      <c r="EYY3"/>
      <c r="EYZ3"/>
      <c r="EZA3"/>
      <c r="EZB3"/>
      <c r="EZC3"/>
      <c r="EZD3"/>
      <c r="EZE3"/>
      <c r="EZF3"/>
      <c r="EZG3"/>
      <c r="EZH3"/>
      <c r="EZI3"/>
      <c r="EZJ3"/>
      <c r="EZK3"/>
      <c r="EZL3"/>
      <c r="EZM3"/>
      <c r="EZN3"/>
      <c r="EZO3"/>
      <c r="EZP3"/>
      <c r="EZQ3"/>
      <c r="EZR3"/>
      <c r="EZS3"/>
      <c r="EZT3"/>
      <c r="EZU3"/>
      <c r="EZV3"/>
      <c r="EZW3"/>
      <c r="EZX3"/>
      <c r="EZY3"/>
      <c r="EZZ3"/>
      <c r="FAA3"/>
      <c r="FAB3"/>
      <c r="FAC3"/>
      <c r="FAD3"/>
      <c r="FAE3"/>
      <c r="FAF3"/>
      <c r="FAG3"/>
      <c r="FAH3"/>
      <c r="FAI3"/>
      <c r="FAJ3"/>
      <c r="FAK3"/>
      <c r="FAL3"/>
      <c r="FAM3"/>
      <c r="FAN3"/>
      <c r="FAO3"/>
      <c r="FAP3"/>
      <c r="FAQ3"/>
      <c r="FAR3"/>
      <c r="FAS3"/>
      <c r="FAT3"/>
      <c r="FAU3"/>
      <c r="FAV3"/>
      <c r="FAW3"/>
      <c r="FAX3"/>
      <c r="FAY3"/>
      <c r="FAZ3"/>
      <c r="FBA3"/>
      <c r="FBB3"/>
      <c r="FBC3"/>
      <c r="FBD3"/>
      <c r="FBE3"/>
      <c r="FBF3"/>
      <c r="FBG3"/>
      <c r="FBH3"/>
      <c r="FBI3"/>
      <c r="FBJ3"/>
      <c r="FBK3"/>
      <c r="FBL3"/>
      <c r="FBM3"/>
      <c r="FBN3"/>
      <c r="FBO3"/>
      <c r="FBP3"/>
      <c r="FBQ3"/>
      <c r="FBR3"/>
      <c r="FBS3"/>
      <c r="FBT3"/>
      <c r="FBU3"/>
      <c r="FBV3"/>
      <c r="FBW3"/>
      <c r="FBX3"/>
      <c r="FBY3"/>
      <c r="FBZ3"/>
      <c r="FCA3"/>
      <c r="FCB3"/>
      <c r="FCC3"/>
      <c r="FCD3"/>
      <c r="FCE3"/>
      <c r="FCF3"/>
      <c r="FCG3"/>
      <c r="FCH3"/>
      <c r="FCI3"/>
      <c r="FCJ3"/>
      <c r="FCK3"/>
      <c r="FCL3"/>
      <c r="FCM3"/>
      <c r="FCN3"/>
      <c r="FCO3"/>
      <c r="FCP3"/>
      <c r="FCQ3"/>
      <c r="FCR3"/>
      <c r="FCS3"/>
      <c r="FCT3"/>
      <c r="FCU3"/>
      <c r="FCV3"/>
      <c r="FCW3"/>
      <c r="FCX3"/>
      <c r="FCY3"/>
      <c r="FCZ3"/>
      <c r="FDA3"/>
      <c r="FDB3"/>
      <c r="FDC3"/>
      <c r="FDD3"/>
      <c r="FDE3"/>
      <c r="FDF3"/>
      <c r="FDG3"/>
      <c r="FDH3"/>
      <c r="FDI3"/>
      <c r="FDJ3"/>
      <c r="FDK3"/>
      <c r="FDL3"/>
      <c r="FDM3"/>
      <c r="FDN3"/>
      <c r="FDO3"/>
      <c r="FDP3"/>
      <c r="FDQ3"/>
      <c r="FDR3"/>
      <c r="FDS3"/>
      <c r="FDT3"/>
      <c r="FDU3"/>
      <c r="FDV3"/>
      <c r="FDW3"/>
      <c r="FDX3"/>
      <c r="FDY3"/>
      <c r="FDZ3"/>
      <c r="FEA3"/>
      <c r="FEB3"/>
      <c r="FEC3"/>
      <c r="FED3"/>
      <c r="FEE3"/>
      <c r="FEF3"/>
      <c r="FEG3"/>
      <c r="FEH3"/>
      <c r="FEI3"/>
      <c r="FEJ3"/>
      <c r="FEK3"/>
      <c r="FEL3"/>
      <c r="FEM3"/>
      <c r="FEN3"/>
      <c r="FEO3"/>
      <c r="FEP3"/>
      <c r="FEQ3"/>
      <c r="FER3"/>
      <c r="FES3"/>
      <c r="FET3"/>
      <c r="FEU3"/>
      <c r="FEV3"/>
      <c r="FEW3"/>
      <c r="FEX3"/>
      <c r="FEY3"/>
      <c r="FEZ3"/>
      <c r="FFA3"/>
      <c r="FFB3"/>
      <c r="FFC3"/>
      <c r="FFD3"/>
      <c r="FFE3"/>
      <c r="FFF3"/>
      <c r="FFG3"/>
      <c r="FFH3"/>
      <c r="FFI3"/>
      <c r="FFJ3"/>
      <c r="FFK3"/>
      <c r="FFL3"/>
      <c r="FFM3"/>
      <c r="FFN3"/>
      <c r="FFO3"/>
      <c r="FFP3"/>
      <c r="FFQ3"/>
      <c r="FFR3"/>
      <c r="FFS3"/>
      <c r="FFT3"/>
      <c r="FFU3"/>
      <c r="FFV3"/>
      <c r="FFW3"/>
      <c r="FFX3"/>
      <c r="FFY3"/>
      <c r="FFZ3"/>
      <c r="FGA3"/>
      <c r="FGB3"/>
      <c r="FGC3"/>
      <c r="FGD3"/>
      <c r="FGE3"/>
      <c r="FGF3"/>
      <c r="FGG3"/>
      <c r="FGH3"/>
      <c r="FGI3"/>
      <c r="FGJ3"/>
      <c r="FGK3"/>
      <c r="FGL3"/>
      <c r="FGM3"/>
      <c r="FGN3"/>
      <c r="FGO3"/>
      <c r="FGP3"/>
      <c r="FGQ3"/>
      <c r="FGR3"/>
      <c r="FGS3"/>
      <c r="FGT3"/>
      <c r="FGU3"/>
      <c r="FGV3"/>
      <c r="FGW3"/>
      <c r="FGX3"/>
      <c r="FGY3"/>
      <c r="FGZ3"/>
      <c r="FHA3"/>
      <c r="FHB3"/>
      <c r="FHC3"/>
      <c r="FHD3"/>
      <c r="FHE3"/>
      <c r="FHF3"/>
      <c r="FHG3"/>
      <c r="FHH3"/>
      <c r="FHI3"/>
      <c r="FHJ3"/>
      <c r="FHK3"/>
      <c r="FHL3"/>
      <c r="FHM3"/>
      <c r="FHN3"/>
      <c r="FHO3"/>
      <c r="FHP3"/>
      <c r="FHQ3"/>
      <c r="FHR3"/>
      <c r="FHS3"/>
      <c r="FHT3"/>
      <c r="FHU3"/>
      <c r="FHV3"/>
      <c r="FHW3"/>
      <c r="FHX3"/>
      <c r="FHY3"/>
      <c r="FHZ3"/>
      <c r="FIA3"/>
      <c r="FIB3"/>
      <c r="FIC3"/>
      <c r="FID3"/>
      <c r="FIE3"/>
      <c r="FIF3"/>
      <c r="FIG3"/>
      <c r="FIH3"/>
      <c r="FII3"/>
      <c r="FIJ3"/>
      <c r="FIK3"/>
      <c r="FIL3"/>
      <c r="FIM3"/>
      <c r="FIN3"/>
      <c r="FIO3"/>
      <c r="FIP3"/>
      <c r="FIQ3"/>
      <c r="FIR3"/>
      <c r="FIS3"/>
      <c r="FIT3"/>
      <c r="FIU3"/>
      <c r="FIV3"/>
      <c r="FIW3"/>
      <c r="FIX3"/>
      <c r="FIY3"/>
      <c r="FIZ3"/>
      <c r="FJA3"/>
      <c r="FJB3"/>
      <c r="FJC3"/>
      <c r="FJD3"/>
      <c r="FJE3"/>
      <c r="FJF3"/>
      <c r="FJG3"/>
      <c r="FJH3"/>
      <c r="FJI3"/>
      <c r="FJJ3"/>
      <c r="FJK3"/>
      <c r="FJL3"/>
      <c r="FJM3"/>
      <c r="FJN3"/>
      <c r="FJO3"/>
      <c r="FJP3"/>
      <c r="FJQ3"/>
      <c r="FJR3"/>
      <c r="FJS3"/>
      <c r="FJT3"/>
      <c r="FJU3"/>
      <c r="FJV3"/>
      <c r="FJW3"/>
      <c r="FJX3"/>
      <c r="FJY3"/>
      <c r="FJZ3"/>
      <c r="FKA3"/>
      <c r="FKB3"/>
      <c r="FKC3"/>
      <c r="FKD3"/>
      <c r="FKE3"/>
      <c r="FKF3"/>
      <c r="FKG3"/>
      <c r="FKH3"/>
      <c r="FKI3"/>
      <c r="FKJ3"/>
      <c r="FKK3"/>
      <c r="FKL3"/>
      <c r="FKM3"/>
      <c r="FKN3"/>
      <c r="FKO3"/>
      <c r="FKP3"/>
      <c r="FKQ3"/>
      <c r="FKR3"/>
      <c r="FKS3"/>
      <c r="FKT3"/>
      <c r="FKU3"/>
      <c r="FKV3"/>
      <c r="FKW3"/>
      <c r="FKX3"/>
      <c r="FKY3"/>
      <c r="FKZ3"/>
      <c r="FLA3"/>
      <c r="FLB3"/>
      <c r="FLC3"/>
      <c r="FLD3"/>
      <c r="FLE3"/>
      <c r="FLF3"/>
      <c r="FLG3"/>
      <c r="FLH3"/>
      <c r="FLI3"/>
      <c r="FLJ3"/>
      <c r="FLK3"/>
      <c r="FLL3"/>
      <c r="FLM3"/>
      <c r="FLN3"/>
      <c r="FLO3"/>
      <c r="FLP3"/>
      <c r="FLQ3"/>
      <c r="FLR3"/>
      <c r="FLS3"/>
      <c r="FLT3"/>
      <c r="FLU3"/>
      <c r="FLV3"/>
      <c r="FLW3"/>
      <c r="FLX3"/>
      <c r="FLY3"/>
      <c r="FLZ3"/>
      <c r="FMA3"/>
      <c r="FMB3"/>
      <c r="FMC3"/>
      <c r="FMD3"/>
      <c r="FME3"/>
      <c r="FMF3"/>
      <c r="FMG3"/>
      <c r="FMH3"/>
      <c r="FMI3"/>
      <c r="FMJ3"/>
      <c r="FMK3"/>
      <c r="FML3"/>
      <c r="FMM3"/>
      <c r="FMN3"/>
      <c r="FMO3"/>
      <c r="FMP3"/>
      <c r="FMQ3"/>
      <c r="FMR3"/>
      <c r="FMS3"/>
      <c r="FMT3"/>
      <c r="FMU3"/>
      <c r="FMV3"/>
      <c r="FMW3"/>
      <c r="FMX3"/>
      <c r="FMY3"/>
      <c r="FMZ3"/>
      <c r="FNA3"/>
      <c r="FNB3"/>
      <c r="FNC3"/>
      <c r="FND3"/>
      <c r="FNE3"/>
      <c r="FNF3"/>
      <c r="FNG3"/>
      <c r="FNH3"/>
      <c r="FNI3"/>
      <c r="FNJ3"/>
      <c r="FNK3"/>
      <c r="FNL3"/>
      <c r="FNM3"/>
      <c r="FNN3"/>
      <c r="FNO3"/>
      <c r="FNP3"/>
      <c r="FNQ3"/>
      <c r="FNR3"/>
      <c r="FNS3"/>
      <c r="FNT3"/>
      <c r="FNU3"/>
      <c r="FNV3"/>
      <c r="FNW3"/>
      <c r="FNX3"/>
      <c r="FNY3"/>
      <c r="FNZ3"/>
      <c r="FOA3"/>
      <c r="FOB3"/>
      <c r="FOC3"/>
      <c r="FOD3"/>
      <c r="FOE3"/>
      <c r="FOF3"/>
      <c r="FOG3"/>
      <c r="FOH3"/>
      <c r="FOI3"/>
      <c r="FOJ3"/>
      <c r="FOK3"/>
      <c r="FOL3"/>
      <c r="FOM3"/>
      <c r="FON3"/>
      <c r="FOO3"/>
      <c r="FOP3"/>
      <c r="FOQ3"/>
      <c r="FOR3"/>
      <c r="FOS3"/>
      <c r="FOT3"/>
      <c r="FOU3"/>
      <c r="FOV3"/>
      <c r="FOW3"/>
      <c r="FOX3"/>
      <c r="FOY3"/>
      <c r="FOZ3"/>
      <c r="FPA3"/>
      <c r="FPB3"/>
      <c r="FPC3"/>
      <c r="FPD3"/>
      <c r="FPE3"/>
      <c r="FPF3"/>
      <c r="FPG3"/>
      <c r="FPH3"/>
      <c r="FPI3"/>
      <c r="FPJ3"/>
      <c r="FPK3"/>
      <c r="FPL3"/>
      <c r="FPM3"/>
      <c r="FPN3"/>
      <c r="FPO3"/>
      <c r="FPP3"/>
      <c r="FPQ3"/>
      <c r="FPR3"/>
      <c r="FPS3"/>
      <c r="FPT3"/>
      <c r="FPU3"/>
      <c r="FPV3"/>
      <c r="FPW3"/>
      <c r="FPX3"/>
      <c r="FPY3"/>
      <c r="FPZ3"/>
      <c r="FQA3"/>
      <c r="FQB3"/>
      <c r="FQC3"/>
      <c r="FQD3"/>
      <c r="FQE3"/>
      <c r="FQF3"/>
      <c r="FQG3"/>
      <c r="FQH3"/>
      <c r="FQI3"/>
      <c r="FQJ3"/>
      <c r="FQK3"/>
      <c r="FQL3"/>
      <c r="FQM3"/>
      <c r="FQN3"/>
      <c r="FQO3"/>
      <c r="FQP3"/>
      <c r="FQQ3"/>
      <c r="FQR3"/>
      <c r="FQS3"/>
      <c r="FQT3"/>
      <c r="FQU3"/>
      <c r="FQV3"/>
      <c r="FQW3"/>
      <c r="FQX3"/>
      <c r="FQY3"/>
      <c r="FQZ3"/>
      <c r="FRA3"/>
      <c r="FRB3"/>
      <c r="FRC3"/>
      <c r="FRD3"/>
      <c r="FRE3"/>
      <c r="FRF3"/>
      <c r="FRG3"/>
      <c r="FRH3"/>
      <c r="FRI3"/>
      <c r="FRJ3"/>
      <c r="FRK3"/>
      <c r="FRL3"/>
      <c r="FRM3"/>
      <c r="FRN3"/>
      <c r="FRO3"/>
      <c r="FRP3"/>
      <c r="FRQ3"/>
      <c r="FRR3"/>
      <c r="FRS3"/>
      <c r="FRT3"/>
      <c r="FRU3"/>
      <c r="FRV3"/>
      <c r="FRW3"/>
      <c r="FRX3"/>
      <c r="FRY3"/>
      <c r="FRZ3"/>
      <c r="FSA3"/>
      <c r="FSB3"/>
      <c r="FSC3"/>
      <c r="FSD3"/>
      <c r="FSE3"/>
      <c r="FSF3"/>
      <c r="FSG3"/>
      <c r="FSH3"/>
      <c r="FSI3"/>
      <c r="FSJ3"/>
      <c r="FSK3"/>
      <c r="FSL3"/>
      <c r="FSM3"/>
      <c r="FSN3"/>
      <c r="FSO3"/>
      <c r="FSP3"/>
      <c r="FSQ3"/>
      <c r="FSR3"/>
      <c r="FSS3"/>
      <c r="FST3"/>
      <c r="FSU3"/>
      <c r="FSV3"/>
      <c r="FSW3"/>
      <c r="FSX3"/>
      <c r="FSY3"/>
      <c r="FSZ3"/>
      <c r="FTA3"/>
      <c r="FTB3"/>
      <c r="FTC3"/>
      <c r="FTD3"/>
      <c r="FTE3"/>
      <c r="FTF3"/>
      <c r="FTG3"/>
      <c r="FTH3"/>
      <c r="FTI3"/>
      <c r="FTJ3"/>
      <c r="FTK3"/>
      <c r="FTL3"/>
      <c r="FTM3"/>
      <c r="FTN3"/>
      <c r="FTO3"/>
      <c r="FTP3"/>
      <c r="FTQ3"/>
      <c r="FTR3"/>
      <c r="FTS3"/>
      <c r="FTT3"/>
      <c r="FTU3"/>
      <c r="FTV3"/>
      <c r="FTW3"/>
      <c r="FTX3"/>
      <c r="FTY3"/>
      <c r="FTZ3"/>
      <c r="FUA3"/>
      <c r="FUB3"/>
      <c r="FUC3"/>
      <c r="FUD3"/>
      <c r="FUE3"/>
      <c r="FUF3"/>
      <c r="FUG3"/>
      <c r="FUH3"/>
      <c r="FUI3"/>
      <c r="FUJ3"/>
      <c r="FUK3"/>
      <c r="FUL3"/>
      <c r="FUM3"/>
      <c r="FUN3"/>
      <c r="FUO3"/>
      <c r="FUP3"/>
      <c r="FUQ3"/>
      <c r="FUR3"/>
      <c r="FUS3"/>
      <c r="FUT3"/>
      <c r="FUU3"/>
      <c r="FUV3"/>
      <c r="FUW3"/>
      <c r="FUX3"/>
      <c r="FUY3"/>
      <c r="FUZ3"/>
      <c r="FVA3"/>
      <c r="FVB3"/>
      <c r="FVC3"/>
      <c r="FVD3"/>
      <c r="FVE3"/>
      <c r="FVF3"/>
      <c r="FVG3"/>
      <c r="FVH3"/>
      <c r="FVI3"/>
      <c r="FVJ3"/>
      <c r="FVK3"/>
      <c r="FVL3"/>
      <c r="FVM3"/>
      <c r="FVN3"/>
      <c r="FVO3"/>
      <c r="FVP3"/>
      <c r="FVQ3"/>
      <c r="FVR3"/>
      <c r="FVS3"/>
      <c r="FVT3"/>
      <c r="FVU3"/>
      <c r="FVV3"/>
      <c r="FVW3"/>
      <c r="FVX3"/>
      <c r="FVY3"/>
      <c r="FVZ3"/>
      <c r="FWA3"/>
      <c r="FWB3"/>
      <c r="FWC3"/>
      <c r="FWD3"/>
      <c r="FWE3"/>
      <c r="FWF3"/>
      <c r="FWG3"/>
      <c r="FWH3"/>
      <c r="FWI3"/>
      <c r="FWJ3"/>
      <c r="FWK3"/>
      <c r="FWL3"/>
      <c r="FWM3"/>
      <c r="FWN3"/>
      <c r="FWO3"/>
      <c r="FWP3"/>
      <c r="FWQ3"/>
      <c r="FWR3"/>
      <c r="FWS3"/>
      <c r="FWT3"/>
      <c r="FWU3"/>
      <c r="FWV3"/>
      <c r="FWW3"/>
      <c r="FWX3"/>
      <c r="FWY3"/>
      <c r="FWZ3"/>
      <c r="FXA3"/>
      <c r="FXB3"/>
      <c r="FXC3"/>
      <c r="FXD3"/>
      <c r="FXE3"/>
      <c r="FXF3"/>
      <c r="FXG3"/>
      <c r="FXH3"/>
      <c r="FXI3"/>
      <c r="FXJ3"/>
      <c r="FXK3"/>
      <c r="FXL3"/>
      <c r="FXM3"/>
      <c r="FXN3"/>
      <c r="FXO3"/>
      <c r="FXP3"/>
      <c r="FXQ3"/>
      <c r="FXR3"/>
      <c r="FXS3"/>
      <c r="FXT3"/>
      <c r="FXU3"/>
      <c r="FXV3"/>
      <c r="FXW3"/>
      <c r="FXX3"/>
      <c r="FXY3"/>
      <c r="FXZ3"/>
      <c r="FYA3"/>
      <c r="FYB3"/>
      <c r="FYC3"/>
      <c r="FYD3"/>
      <c r="FYE3"/>
      <c r="FYF3"/>
      <c r="FYG3"/>
      <c r="FYH3"/>
      <c r="FYI3"/>
      <c r="FYJ3"/>
      <c r="FYK3"/>
      <c r="FYL3"/>
      <c r="FYM3"/>
      <c r="FYN3"/>
      <c r="FYO3"/>
      <c r="FYP3"/>
      <c r="FYQ3"/>
      <c r="FYR3"/>
      <c r="FYS3"/>
      <c r="FYT3"/>
      <c r="FYU3"/>
      <c r="FYV3"/>
      <c r="FYW3"/>
      <c r="FYX3"/>
      <c r="FYY3"/>
      <c r="FYZ3"/>
      <c r="FZA3"/>
      <c r="FZB3"/>
      <c r="FZC3"/>
      <c r="FZD3"/>
      <c r="FZE3"/>
      <c r="FZF3"/>
      <c r="FZG3"/>
      <c r="FZH3"/>
      <c r="FZI3"/>
      <c r="FZJ3"/>
      <c r="FZK3"/>
      <c r="FZL3"/>
      <c r="FZM3"/>
      <c r="FZN3"/>
      <c r="FZO3"/>
      <c r="FZP3"/>
      <c r="FZQ3"/>
      <c r="FZR3"/>
      <c r="FZS3"/>
      <c r="FZT3"/>
      <c r="FZU3"/>
      <c r="FZV3"/>
      <c r="FZW3"/>
      <c r="FZX3"/>
      <c r="FZY3"/>
      <c r="FZZ3"/>
      <c r="GAA3"/>
      <c r="GAB3"/>
      <c r="GAC3"/>
      <c r="GAD3"/>
      <c r="GAE3"/>
      <c r="GAF3"/>
      <c r="GAG3"/>
      <c r="GAH3"/>
      <c r="GAI3"/>
      <c r="GAJ3"/>
      <c r="GAK3"/>
      <c r="GAL3"/>
      <c r="GAM3"/>
      <c r="GAN3"/>
      <c r="GAO3"/>
      <c r="GAP3"/>
      <c r="GAQ3"/>
      <c r="GAR3"/>
      <c r="GAS3"/>
      <c r="GAT3"/>
      <c r="GAU3"/>
      <c r="GAV3"/>
      <c r="GAW3"/>
      <c r="GAX3"/>
      <c r="GAY3"/>
      <c r="GAZ3"/>
      <c r="GBA3"/>
      <c r="GBB3"/>
      <c r="GBC3"/>
      <c r="GBD3"/>
      <c r="GBE3"/>
      <c r="GBF3"/>
      <c r="GBG3"/>
      <c r="GBH3"/>
      <c r="GBI3"/>
      <c r="GBJ3"/>
      <c r="GBK3"/>
      <c r="GBL3"/>
      <c r="GBM3"/>
      <c r="GBN3"/>
      <c r="GBO3"/>
      <c r="GBP3"/>
      <c r="GBQ3"/>
      <c r="GBR3"/>
      <c r="GBS3"/>
      <c r="GBT3"/>
      <c r="GBU3"/>
      <c r="GBV3"/>
      <c r="GBW3"/>
      <c r="GBX3"/>
      <c r="GBY3"/>
      <c r="GBZ3"/>
      <c r="GCA3"/>
      <c r="GCB3"/>
      <c r="GCC3"/>
      <c r="GCD3"/>
      <c r="GCE3"/>
      <c r="GCF3"/>
      <c r="GCG3"/>
      <c r="GCH3"/>
      <c r="GCI3"/>
      <c r="GCJ3"/>
      <c r="GCK3"/>
      <c r="GCL3"/>
      <c r="GCM3"/>
      <c r="GCN3"/>
      <c r="GCO3"/>
      <c r="GCP3"/>
      <c r="GCQ3"/>
      <c r="GCR3"/>
      <c r="GCS3"/>
      <c r="GCT3"/>
      <c r="GCU3"/>
      <c r="GCV3"/>
      <c r="GCW3"/>
      <c r="GCX3"/>
      <c r="GCY3"/>
      <c r="GCZ3"/>
      <c r="GDA3"/>
      <c r="GDB3"/>
      <c r="GDC3"/>
      <c r="GDD3"/>
      <c r="GDE3"/>
      <c r="GDF3"/>
      <c r="GDG3"/>
      <c r="GDH3"/>
      <c r="GDI3"/>
      <c r="GDJ3"/>
      <c r="GDK3"/>
      <c r="GDL3"/>
      <c r="GDM3"/>
      <c r="GDN3"/>
      <c r="GDO3"/>
      <c r="GDP3"/>
      <c r="GDQ3"/>
      <c r="GDR3"/>
      <c r="GDS3"/>
      <c r="GDT3"/>
      <c r="GDU3"/>
      <c r="GDV3"/>
      <c r="GDW3"/>
      <c r="GDX3"/>
      <c r="GDY3"/>
      <c r="GDZ3"/>
      <c r="GEA3"/>
      <c r="GEB3"/>
      <c r="GEC3"/>
      <c r="GED3"/>
      <c r="GEE3"/>
      <c r="GEF3"/>
      <c r="GEG3"/>
      <c r="GEH3"/>
      <c r="GEI3"/>
      <c r="GEJ3"/>
      <c r="GEK3"/>
      <c r="GEL3"/>
      <c r="GEM3"/>
      <c r="GEN3"/>
      <c r="GEO3"/>
      <c r="GEP3"/>
      <c r="GEQ3"/>
      <c r="GER3"/>
      <c r="GES3"/>
      <c r="GET3"/>
      <c r="GEU3"/>
      <c r="GEV3"/>
      <c r="GEW3"/>
      <c r="GEX3"/>
      <c r="GEY3"/>
      <c r="GEZ3"/>
      <c r="GFA3"/>
      <c r="GFB3"/>
      <c r="GFC3"/>
      <c r="GFD3"/>
      <c r="GFE3"/>
      <c r="GFF3"/>
      <c r="GFG3"/>
      <c r="GFH3"/>
      <c r="GFI3"/>
      <c r="GFJ3"/>
      <c r="GFK3"/>
      <c r="GFL3"/>
      <c r="GFM3"/>
      <c r="GFN3"/>
      <c r="GFO3"/>
      <c r="GFP3"/>
      <c r="GFQ3"/>
      <c r="GFR3"/>
      <c r="GFS3"/>
      <c r="GFT3"/>
      <c r="GFU3"/>
      <c r="GFV3"/>
      <c r="GFW3"/>
      <c r="GFX3"/>
      <c r="GFY3"/>
      <c r="GFZ3"/>
      <c r="GGA3"/>
      <c r="GGB3"/>
      <c r="GGC3"/>
      <c r="GGD3"/>
      <c r="GGE3"/>
      <c r="GGF3"/>
      <c r="GGG3"/>
      <c r="GGH3"/>
      <c r="GGI3"/>
      <c r="GGJ3"/>
      <c r="GGK3"/>
      <c r="GGL3"/>
      <c r="GGM3"/>
      <c r="GGN3"/>
      <c r="GGO3"/>
      <c r="GGP3"/>
      <c r="GGQ3"/>
      <c r="GGR3"/>
      <c r="GGS3"/>
      <c r="GGT3"/>
      <c r="GGU3"/>
      <c r="GGV3"/>
      <c r="GGW3"/>
      <c r="GGX3"/>
      <c r="GGY3"/>
      <c r="GGZ3"/>
      <c r="GHA3"/>
      <c r="GHB3"/>
      <c r="GHC3"/>
      <c r="GHD3"/>
      <c r="GHE3"/>
      <c r="GHF3"/>
      <c r="GHG3"/>
      <c r="GHH3"/>
      <c r="GHI3"/>
      <c r="GHJ3"/>
      <c r="GHK3"/>
      <c r="GHL3"/>
      <c r="GHM3"/>
      <c r="GHN3"/>
      <c r="GHO3"/>
      <c r="GHP3"/>
      <c r="GHQ3"/>
      <c r="GHR3"/>
      <c r="GHS3"/>
      <c r="GHT3"/>
      <c r="GHU3"/>
      <c r="GHV3"/>
      <c r="GHW3"/>
      <c r="GHX3"/>
      <c r="GHY3"/>
      <c r="GHZ3"/>
      <c r="GIA3"/>
      <c r="GIB3"/>
      <c r="GIC3"/>
      <c r="GID3"/>
      <c r="GIE3"/>
      <c r="GIF3"/>
      <c r="GIG3"/>
      <c r="GIH3"/>
      <c r="GII3"/>
      <c r="GIJ3"/>
      <c r="GIK3"/>
      <c r="GIL3"/>
      <c r="GIM3"/>
      <c r="GIN3"/>
      <c r="GIO3"/>
      <c r="GIP3"/>
      <c r="GIQ3"/>
      <c r="GIR3"/>
      <c r="GIS3"/>
      <c r="GIT3"/>
      <c r="GIU3"/>
      <c r="GIV3"/>
      <c r="GIW3"/>
      <c r="GIX3"/>
      <c r="GIY3"/>
      <c r="GIZ3"/>
      <c r="GJA3"/>
      <c r="GJB3"/>
      <c r="GJC3"/>
      <c r="GJD3"/>
      <c r="GJE3"/>
      <c r="GJF3"/>
      <c r="GJG3"/>
      <c r="GJH3"/>
      <c r="GJI3"/>
      <c r="GJJ3"/>
      <c r="GJK3"/>
      <c r="GJL3"/>
      <c r="GJM3"/>
      <c r="GJN3"/>
      <c r="GJO3"/>
      <c r="GJP3"/>
      <c r="GJQ3"/>
      <c r="GJR3"/>
      <c r="GJS3"/>
      <c r="GJT3"/>
      <c r="GJU3"/>
      <c r="GJV3"/>
      <c r="GJW3"/>
      <c r="GJX3"/>
      <c r="GJY3"/>
      <c r="GJZ3"/>
      <c r="GKA3"/>
      <c r="GKB3"/>
      <c r="GKC3"/>
      <c r="GKD3"/>
      <c r="GKE3"/>
      <c r="GKF3"/>
      <c r="GKG3"/>
      <c r="GKH3"/>
      <c r="GKI3"/>
      <c r="GKJ3"/>
      <c r="GKK3"/>
      <c r="GKL3"/>
      <c r="GKM3"/>
      <c r="GKN3"/>
      <c r="GKO3"/>
      <c r="GKP3"/>
      <c r="GKQ3"/>
      <c r="GKR3"/>
      <c r="GKS3"/>
      <c r="GKT3"/>
      <c r="GKU3"/>
      <c r="GKV3"/>
      <c r="GKW3"/>
      <c r="GKX3"/>
      <c r="GKY3"/>
      <c r="GKZ3"/>
      <c r="GLA3"/>
      <c r="GLB3"/>
      <c r="GLC3"/>
      <c r="GLD3"/>
      <c r="GLE3"/>
      <c r="GLF3"/>
      <c r="GLG3"/>
      <c r="GLH3"/>
      <c r="GLI3"/>
      <c r="GLJ3"/>
      <c r="GLK3"/>
      <c r="GLL3"/>
      <c r="GLM3"/>
      <c r="GLN3"/>
      <c r="GLO3"/>
      <c r="GLP3"/>
      <c r="GLQ3"/>
      <c r="GLR3"/>
      <c r="GLS3"/>
      <c r="GLT3"/>
      <c r="GLU3"/>
      <c r="GLV3"/>
      <c r="GLW3"/>
      <c r="GLX3"/>
      <c r="GLY3"/>
      <c r="GLZ3"/>
      <c r="GMA3"/>
      <c r="GMB3"/>
      <c r="GMC3"/>
      <c r="GMD3"/>
      <c r="GME3"/>
      <c r="GMF3"/>
      <c r="GMG3"/>
      <c r="GMH3"/>
      <c r="GMI3"/>
      <c r="GMJ3"/>
      <c r="GMK3"/>
      <c r="GML3"/>
      <c r="GMM3"/>
      <c r="GMN3"/>
      <c r="GMO3"/>
      <c r="GMP3"/>
      <c r="GMQ3"/>
      <c r="GMR3"/>
      <c r="GMS3"/>
      <c r="GMT3"/>
      <c r="GMU3"/>
      <c r="GMV3"/>
      <c r="GMW3"/>
      <c r="GMX3"/>
      <c r="GMY3"/>
      <c r="GMZ3"/>
      <c r="GNA3"/>
      <c r="GNB3"/>
      <c r="GNC3"/>
      <c r="GND3"/>
      <c r="GNE3"/>
      <c r="GNF3"/>
      <c r="GNG3"/>
      <c r="GNH3"/>
      <c r="GNI3"/>
      <c r="GNJ3"/>
      <c r="GNK3"/>
      <c r="GNL3"/>
      <c r="GNM3"/>
      <c r="GNN3"/>
      <c r="GNO3"/>
      <c r="GNP3"/>
      <c r="GNQ3"/>
      <c r="GNR3"/>
      <c r="GNS3"/>
      <c r="GNT3"/>
      <c r="GNU3"/>
      <c r="GNV3"/>
      <c r="GNW3"/>
      <c r="GNX3"/>
      <c r="GNY3"/>
      <c r="GNZ3"/>
      <c r="GOA3"/>
      <c r="GOB3"/>
      <c r="GOC3"/>
      <c r="GOD3"/>
      <c r="GOE3"/>
      <c r="GOF3"/>
      <c r="GOG3"/>
      <c r="GOH3"/>
      <c r="GOI3"/>
      <c r="GOJ3"/>
      <c r="GOK3"/>
      <c r="GOL3"/>
      <c r="GOM3"/>
      <c r="GON3"/>
      <c r="GOO3"/>
      <c r="GOP3"/>
      <c r="GOQ3"/>
      <c r="GOR3"/>
      <c r="GOS3"/>
      <c r="GOT3"/>
      <c r="GOU3"/>
      <c r="GOV3"/>
      <c r="GOW3"/>
      <c r="GOX3"/>
      <c r="GOY3"/>
      <c r="GOZ3"/>
      <c r="GPA3"/>
      <c r="GPB3"/>
      <c r="GPC3"/>
      <c r="GPD3"/>
      <c r="GPE3"/>
      <c r="GPF3"/>
      <c r="GPG3"/>
      <c r="GPH3"/>
      <c r="GPI3"/>
      <c r="GPJ3"/>
      <c r="GPK3"/>
      <c r="GPL3"/>
      <c r="GPM3"/>
      <c r="GPN3"/>
      <c r="GPO3"/>
      <c r="GPP3"/>
      <c r="GPQ3"/>
      <c r="GPR3"/>
      <c r="GPS3"/>
      <c r="GPT3"/>
      <c r="GPU3"/>
      <c r="GPV3"/>
      <c r="GPW3"/>
      <c r="GPX3"/>
      <c r="GPY3"/>
      <c r="GPZ3"/>
      <c r="GQA3"/>
      <c r="GQB3"/>
      <c r="GQC3"/>
      <c r="GQD3"/>
      <c r="GQE3"/>
      <c r="GQF3"/>
      <c r="GQG3"/>
      <c r="GQH3"/>
      <c r="GQI3"/>
      <c r="GQJ3"/>
      <c r="GQK3"/>
      <c r="GQL3"/>
      <c r="GQM3"/>
      <c r="GQN3"/>
      <c r="GQO3"/>
      <c r="GQP3"/>
      <c r="GQQ3"/>
      <c r="GQR3"/>
      <c r="GQS3"/>
      <c r="GQT3"/>
      <c r="GQU3"/>
      <c r="GQV3"/>
      <c r="GQW3"/>
      <c r="GQX3"/>
      <c r="GQY3"/>
      <c r="GQZ3"/>
      <c r="GRA3"/>
      <c r="GRB3"/>
      <c r="GRC3"/>
      <c r="GRD3"/>
      <c r="GRE3"/>
      <c r="GRF3"/>
      <c r="GRG3"/>
      <c r="GRH3"/>
      <c r="GRI3"/>
      <c r="GRJ3"/>
      <c r="GRK3"/>
      <c r="GRL3"/>
      <c r="GRM3"/>
      <c r="GRN3"/>
      <c r="GRO3"/>
      <c r="GRP3"/>
      <c r="GRQ3"/>
      <c r="GRR3"/>
      <c r="GRS3"/>
      <c r="GRT3"/>
      <c r="GRU3"/>
      <c r="GRV3"/>
      <c r="GRW3"/>
      <c r="GRX3"/>
      <c r="GRY3"/>
      <c r="GRZ3"/>
      <c r="GSA3"/>
      <c r="GSB3"/>
      <c r="GSC3"/>
      <c r="GSD3"/>
      <c r="GSE3"/>
      <c r="GSF3"/>
      <c r="GSG3"/>
      <c r="GSH3"/>
      <c r="GSI3"/>
      <c r="GSJ3"/>
      <c r="GSK3"/>
      <c r="GSL3"/>
      <c r="GSM3"/>
      <c r="GSN3"/>
      <c r="GSO3"/>
      <c r="GSP3"/>
      <c r="GSQ3"/>
      <c r="GSR3"/>
      <c r="GSS3"/>
      <c r="GST3"/>
      <c r="GSU3"/>
      <c r="GSV3"/>
      <c r="GSW3"/>
      <c r="GSX3"/>
      <c r="GSY3"/>
      <c r="GSZ3"/>
      <c r="GTA3"/>
      <c r="GTB3"/>
      <c r="GTC3"/>
      <c r="GTD3"/>
      <c r="GTE3"/>
      <c r="GTF3"/>
      <c r="GTG3"/>
      <c r="GTH3"/>
      <c r="GTI3"/>
      <c r="GTJ3"/>
      <c r="GTK3"/>
      <c r="GTL3"/>
      <c r="GTM3"/>
      <c r="GTN3"/>
      <c r="GTO3"/>
      <c r="GTP3"/>
      <c r="GTQ3"/>
      <c r="GTR3"/>
      <c r="GTS3"/>
      <c r="GTT3"/>
      <c r="GTU3"/>
      <c r="GTV3"/>
      <c r="GTW3"/>
      <c r="GTX3"/>
      <c r="GTY3"/>
      <c r="GTZ3"/>
      <c r="GUA3"/>
      <c r="GUB3"/>
      <c r="GUC3"/>
      <c r="GUD3"/>
      <c r="GUE3"/>
      <c r="GUF3"/>
      <c r="GUG3"/>
      <c r="GUH3"/>
      <c r="GUI3"/>
      <c r="GUJ3"/>
      <c r="GUK3"/>
      <c r="GUL3"/>
      <c r="GUM3"/>
      <c r="GUN3"/>
      <c r="GUO3"/>
      <c r="GUP3"/>
      <c r="GUQ3"/>
      <c r="GUR3"/>
      <c r="GUS3"/>
      <c r="GUT3"/>
      <c r="GUU3"/>
      <c r="GUV3"/>
      <c r="GUW3"/>
      <c r="GUX3"/>
      <c r="GUY3"/>
      <c r="GUZ3"/>
      <c r="GVA3"/>
      <c r="GVB3"/>
      <c r="GVC3"/>
      <c r="GVD3"/>
      <c r="GVE3"/>
      <c r="GVF3"/>
      <c r="GVG3"/>
      <c r="GVH3"/>
      <c r="GVI3"/>
      <c r="GVJ3"/>
      <c r="GVK3"/>
      <c r="GVL3"/>
      <c r="GVM3"/>
      <c r="GVN3"/>
      <c r="GVO3"/>
      <c r="GVP3"/>
      <c r="GVQ3"/>
      <c r="GVR3"/>
      <c r="GVS3"/>
      <c r="GVT3"/>
      <c r="GVU3"/>
      <c r="GVV3"/>
      <c r="GVW3"/>
      <c r="GVX3"/>
      <c r="GVY3"/>
      <c r="GVZ3"/>
      <c r="GWA3"/>
      <c r="GWB3"/>
      <c r="GWC3"/>
      <c r="GWD3"/>
      <c r="GWE3"/>
      <c r="GWF3"/>
      <c r="GWG3"/>
      <c r="GWH3"/>
      <c r="GWI3"/>
      <c r="GWJ3"/>
      <c r="GWK3"/>
      <c r="GWL3"/>
      <c r="GWM3"/>
      <c r="GWN3"/>
      <c r="GWO3"/>
      <c r="GWP3"/>
      <c r="GWQ3"/>
      <c r="GWR3"/>
      <c r="GWS3"/>
      <c r="GWT3"/>
      <c r="GWU3"/>
      <c r="GWV3"/>
      <c r="GWW3"/>
      <c r="GWX3"/>
      <c r="GWY3"/>
      <c r="GWZ3"/>
      <c r="GXA3"/>
      <c r="GXB3"/>
      <c r="GXC3"/>
      <c r="GXD3"/>
      <c r="GXE3"/>
      <c r="GXF3"/>
      <c r="GXG3"/>
      <c r="GXH3"/>
      <c r="GXI3"/>
      <c r="GXJ3"/>
      <c r="GXK3"/>
      <c r="GXL3"/>
      <c r="GXM3"/>
      <c r="GXN3"/>
      <c r="GXO3"/>
      <c r="GXP3"/>
      <c r="GXQ3"/>
      <c r="GXR3"/>
      <c r="GXS3"/>
      <c r="GXT3"/>
      <c r="GXU3"/>
      <c r="GXV3"/>
      <c r="GXW3"/>
      <c r="GXX3"/>
      <c r="GXY3"/>
      <c r="GXZ3"/>
      <c r="GYA3"/>
      <c r="GYB3"/>
      <c r="GYC3"/>
      <c r="GYD3"/>
      <c r="GYE3"/>
      <c r="GYF3"/>
      <c r="GYG3"/>
      <c r="GYH3"/>
      <c r="GYI3"/>
      <c r="GYJ3"/>
      <c r="GYK3"/>
      <c r="GYL3"/>
      <c r="GYM3"/>
      <c r="GYN3"/>
      <c r="GYO3"/>
      <c r="GYP3"/>
      <c r="GYQ3"/>
      <c r="GYR3"/>
      <c r="GYS3"/>
      <c r="GYT3"/>
      <c r="GYU3"/>
      <c r="GYV3"/>
      <c r="GYW3"/>
      <c r="GYX3"/>
      <c r="GYY3"/>
      <c r="GYZ3"/>
      <c r="GZA3"/>
      <c r="GZB3"/>
      <c r="GZC3"/>
      <c r="GZD3"/>
      <c r="GZE3"/>
      <c r="GZF3"/>
      <c r="GZG3"/>
      <c r="GZH3"/>
      <c r="GZI3"/>
      <c r="GZJ3"/>
      <c r="GZK3"/>
      <c r="GZL3"/>
      <c r="GZM3"/>
      <c r="GZN3"/>
      <c r="GZO3"/>
      <c r="GZP3"/>
      <c r="GZQ3"/>
      <c r="GZR3"/>
      <c r="GZS3"/>
      <c r="GZT3"/>
      <c r="GZU3"/>
      <c r="GZV3"/>
      <c r="GZW3"/>
      <c r="GZX3"/>
      <c r="GZY3"/>
      <c r="GZZ3"/>
      <c r="HAA3"/>
      <c r="HAB3"/>
      <c r="HAC3"/>
      <c r="HAD3"/>
      <c r="HAE3"/>
      <c r="HAF3"/>
      <c r="HAG3"/>
      <c r="HAH3"/>
      <c r="HAI3"/>
      <c r="HAJ3"/>
      <c r="HAK3"/>
      <c r="HAL3"/>
      <c r="HAM3"/>
      <c r="HAN3"/>
      <c r="HAO3"/>
      <c r="HAP3"/>
      <c r="HAQ3"/>
      <c r="HAR3"/>
      <c r="HAS3"/>
      <c r="HAT3"/>
      <c r="HAU3"/>
      <c r="HAV3"/>
      <c r="HAW3"/>
      <c r="HAX3"/>
      <c r="HAY3"/>
      <c r="HAZ3"/>
      <c r="HBA3"/>
      <c r="HBB3"/>
      <c r="HBC3"/>
      <c r="HBD3"/>
      <c r="HBE3"/>
      <c r="HBF3"/>
      <c r="HBG3"/>
      <c r="HBH3"/>
      <c r="HBI3"/>
      <c r="HBJ3"/>
      <c r="HBK3"/>
      <c r="HBL3"/>
      <c r="HBM3"/>
      <c r="HBN3"/>
      <c r="HBO3"/>
      <c r="HBP3"/>
      <c r="HBQ3"/>
      <c r="HBR3"/>
      <c r="HBS3"/>
      <c r="HBT3"/>
      <c r="HBU3"/>
      <c r="HBV3"/>
      <c r="HBW3"/>
      <c r="HBX3"/>
      <c r="HBY3"/>
      <c r="HBZ3"/>
      <c r="HCA3"/>
      <c r="HCB3"/>
      <c r="HCC3"/>
      <c r="HCD3"/>
      <c r="HCE3"/>
      <c r="HCF3"/>
      <c r="HCG3"/>
      <c r="HCH3"/>
      <c r="HCI3"/>
      <c r="HCJ3"/>
      <c r="HCK3"/>
      <c r="HCL3"/>
      <c r="HCM3"/>
      <c r="HCN3"/>
      <c r="HCO3"/>
      <c r="HCP3"/>
      <c r="HCQ3"/>
      <c r="HCR3"/>
      <c r="HCS3"/>
      <c r="HCT3"/>
      <c r="HCU3"/>
      <c r="HCV3"/>
      <c r="HCW3"/>
      <c r="HCX3"/>
      <c r="HCY3"/>
      <c r="HCZ3"/>
      <c r="HDA3"/>
      <c r="HDB3"/>
      <c r="HDC3"/>
      <c r="HDD3"/>
      <c r="HDE3"/>
      <c r="HDF3"/>
      <c r="HDG3"/>
      <c r="HDH3"/>
      <c r="HDI3"/>
      <c r="HDJ3"/>
      <c r="HDK3"/>
      <c r="HDL3"/>
      <c r="HDM3"/>
      <c r="HDN3"/>
      <c r="HDO3"/>
      <c r="HDP3"/>
      <c r="HDQ3"/>
      <c r="HDR3"/>
      <c r="HDS3"/>
      <c r="HDT3"/>
      <c r="HDU3"/>
      <c r="HDV3"/>
      <c r="HDW3"/>
      <c r="HDX3"/>
      <c r="HDY3"/>
      <c r="HDZ3"/>
      <c r="HEA3"/>
      <c r="HEB3"/>
      <c r="HEC3"/>
      <c r="HED3"/>
      <c r="HEE3"/>
      <c r="HEF3"/>
      <c r="HEG3"/>
      <c r="HEH3"/>
      <c r="HEI3"/>
      <c r="HEJ3"/>
      <c r="HEK3"/>
      <c r="HEL3"/>
      <c r="HEM3"/>
      <c r="HEN3"/>
      <c r="HEO3"/>
      <c r="HEP3"/>
      <c r="HEQ3"/>
      <c r="HER3"/>
      <c r="HES3"/>
      <c r="HET3"/>
      <c r="HEU3"/>
      <c r="HEV3"/>
      <c r="HEW3"/>
      <c r="HEX3"/>
      <c r="HEY3"/>
      <c r="HEZ3"/>
      <c r="HFA3"/>
      <c r="HFB3"/>
      <c r="HFC3"/>
      <c r="HFD3"/>
      <c r="HFE3"/>
      <c r="HFF3"/>
      <c r="HFG3"/>
      <c r="HFH3"/>
      <c r="HFI3"/>
      <c r="HFJ3"/>
      <c r="HFK3"/>
      <c r="HFL3"/>
      <c r="HFM3"/>
      <c r="HFN3"/>
      <c r="HFO3"/>
      <c r="HFP3"/>
      <c r="HFQ3"/>
      <c r="HFR3"/>
      <c r="HFS3"/>
      <c r="HFT3"/>
      <c r="HFU3"/>
      <c r="HFV3"/>
      <c r="HFW3"/>
      <c r="HFX3"/>
      <c r="HFY3"/>
      <c r="HFZ3"/>
      <c r="HGA3"/>
      <c r="HGB3"/>
      <c r="HGC3"/>
      <c r="HGD3"/>
      <c r="HGE3"/>
      <c r="HGF3"/>
      <c r="HGG3"/>
      <c r="HGH3"/>
      <c r="HGI3"/>
      <c r="HGJ3"/>
      <c r="HGK3"/>
      <c r="HGL3"/>
      <c r="HGM3"/>
      <c r="HGN3"/>
      <c r="HGO3"/>
      <c r="HGP3"/>
      <c r="HGQ3"/>
      <c r="HGR3"/>
      <c r="HGS3"/>
      <c r="HGT3"/>
      <c r="HGU3"/>
      <c r="HGV3"/>
      <c r="HGW3"/>
      <c r="HGX3"/>
      <c r="HGY3"/>
      <c r="HGZ3"/>
      <c r="HHA3"/>
      <c r="HHB3"/>
      <c r="HHC3"/>
      <c r="HHD3"/>
      <c r="HHE3"/>
      <c r="HHF3"/>
      <c r="HHG3"/>
      <c r="HHH3"/>
      <c r="HHI3"/>
      <c r="HHJ3"/>
      <c r="HHK3"/>
      <c r="HHL3"/>
      <c r="HHM3"/>
      <c r="HHN3"/>
      <c r="HHO3"/>
      <c r="HHP3"/>
      <c r="HHQ3"/>
      <c r="HHR3"/>
      <c r="HHS3"/>
      <c r="HHT3"/>
      <c r="HHU3"/>
      <c r="HHV3"/>
      <c r="HHW3"/>
      <c r="HHX3"/>
      <c r="HHY3"/>
      <c r="HHZ3"/>
      <c r="HIA3"/>
      <c r="HIB3"/>
      <c r="HIC3"/>
      <c r="HID3"/>
      <c r="HIE3"/>
      <c r="HIF3"/>
      <c r="HIG3"/>
      <c r="HIH3"/>
      <c r="HII3"/>
      <c r="HIJ3"/>
      <c r="HIK3"/>
      <c r="HIL3"/>
      <c r="HIM3"/>
      <c r="HIN3"/>
      <c r="HIO3"/>
      <c r="HIP3"/>
      <c r="HIQ3"/>
      <c r="HIR3"/>
      <c r="HIS3"/>
      <c r="HIT3"/>
      <c r="HIU3"/>
      <c r="HIV3"/>
      <c r="HIW3"/>
      <c r="HIX3"/>
      <c r="HIY3"/>
      <c r="HIZ3"/>
      <c r="HJA3"/>
      <c r="HJB3"/>
      <c r="HJC3"/>
      <c r="HJD3"/>
      <c r="HJE3"/>
      <c r="HJF3"/>
      <c r="HJG3"/>
      <c r="HJH3"/>
      <c r="HJI3"/>
      <c r="HJJ3"/>
      <c r="HJK3"/>
      <c r="HJL3"/>
      <c r="HJM3"/>
      <c r="HJN3"/>
      <c r="HJO3"/>
      <c r="HJP3"/>
      <c r="HJQ3"/>
      <c r="HJR3"/>
      <c r="HJS3"/>
      <c r="HJT3"/>
      <c r="HJU3"/>
      <c r="HJV3"/>
      <c r="HJW3"/>
      <c r="HJX3"/>
      <c r="HJY3"/>
      <c r="HJZ3"/>
      <c r="HKA3"/>
      <c r="HKB3"/>
      <c r="HKC3"/>
      <c r="HKD3"/>
      <c r="HKE3"/>
      <c r="HKF3"/>
      <c r="HKG3"/>
      <c r="HKH3"/>
      <c r="HKI3"/>
      <c r="HKJ3"/>
      <c r="HKK3"/>
      <c r="HKL3"/>
      <c r="HKM3"/>
      <c r="HKN3"/>
      <c r="HKO3"/>
      <c r="HKP3"/>
      <c r="HKQ3"/>
      <c r="HKR3"/>
      <c r="HKS3"/>
      <c r="HKT3"/>
      <c r="HKU3"/>
      <c r="HKV3"/>
      <c r="HKW3"/>
      <c r="HKX3"/>
      <c r="HKY3"/>
      <c r="HKZ3"/>
      <c r="HLA3"/>
      <c r="HLB3"/>
      <c r="HLC3"/>
      <c r="HLD3"/>
      <c r="HLE3"/>
      <c r="HLF3"/>
      <c r="HLG3"/>
      <c r="HLH3"/>
      <c r="HLI3"/>
      <c r="HLJ3"/>
      <c r="HLK3"/>
      <c r="HLL3"/>
      <c r="HLM3"/>
      <c r="HLN3"/>
      <c r="HLO3"/>
      <c r="HLP3"/>
      <c r="HLQ3"/>
      <c r="HLR3"/>
      <c r="HLS3"/>
      <c r="HLT3"/>
      <c r="HLU3"/>
      <c r="HLV3"/>
      <c r="HLW3"/>
      <c r="HLX3"/>
      <c r="HLY3"/>
      <c r="HLZ3"/>
      <c r="HMA3"/>
      <c r="HMB3"/>
      <c r="HMC3"/>
      <c r="HMD3"/>
      <c r="HME3"/>
      <c r="HMF3"/>
      <c r="HMG3"/>
      <c r="HMH3"/>
      <c r="HMI3"/>
      <c r="HMJ3"/>
      <c r="HMK3"/>
      <c r="HML3"/>
      <c r="HMM3"/>
      <c r="HMN3"/>
      <c r="HMO3"/>
      <c r="HMP3"/>
      <c r="HMQ3"/>
      <c r="HMR3"/>
      <c r="HMS3"/>
      <c r="HMT3"/>
      <c r="HMU3"/>
      <c r="HMV3"/>
      <c r="HMW3"/>
      <c r="HMX3"/>
      <c r="HMY3"/>
      <c r="HMZ3"/>
      <c r="HNA3"/>
      <c r="HNB3"/>
      <c r="HNC3"/>
      <c r="HND3"/>
      <c r="HNE3"/>
      <c r="HNF3"/>
      <c r="HNG3"/>
      <c r="HNH3"/>
      <c r="HNI3"/>
      <c r="HNJ3"/>
      <c r="HNK3"/>
      <c r="HNL3"/>
      <c r="HNM3"/>
      <c r="HNN3"/>
      <c r="HNO3"/>
      <c r="HNP3"/>
      <c r="HNQ3"/>
      <c r="HNR3"/>
      <c r="HNS3"/>
      <c r="HNT3"/>
      <c r="HNU3"/>
      <c r="HNV3"/>
      <c r="HNW3"/>
      <c r="HNX3"/>
      <c r="HNY3"/>
      <c r="HNZ3"/>
      <c r="HOA3"/>
      <c r="HOB3"/>
      <c r="HOC3"/>
      <c r="HOD3"/>
      <c r="HOE3"/>
      <c r="HOF3"/>
      <c r="HOG3"/>
      <c r="HOH3"/>
      <c r="HOI3"/>
      <c r="HOJ3"/>
      <c r="HOK3"/>
      <c r="HOL3"/>
      <c r="HOM3"/>
      <c r="HON3"/>
      <c r="HOO3"/>
      <c r="HOP3"/>
      <c r="HOQ3"/>
      <c r="HOR3"/>
      <c r="HOS3"/>
      <c r="HOT3"/>
      <c r="HOU3"/>
      <c r="HOV3"/>
      <c r="HOW3"/>
      <c r="HOX3"/>
      <c r="HOY3"/>
      <c r="HOZ3"/>
      <c r="HPA3"/>
      <c r="HPB3"/>
      <c r="HPC3"/>
      <c r="HPD3"/>
      <c r="HPE3"/>
      <c r="HPF3"/>
      <c r="HPG3"/>
      <c r="HPH3"/>
      <c r="HPI3"/>
      <c r="HPJ3"/>
      <c r="HPK3"/>
      <c r="HPL3"/>
      <c r="HPM3"/>
      <c r="HPN3"/>
      <c r="HPO3"/>
      <c r="HPP3"/>
      <c r="HPQ3"/>
      <c r="HPR3"/>
      <c r="HPS3"/>
      <c r="HPT3"/>
      <c r="HPU3"/>
      <c r="HPV3"/>
      <c r="HPW3"/>
      <c r="HPX3"/>
      <c r="HPY3"/>
      <c r="HPZ3"/>
      <c r="HQA3"/>
      <c r="HQB3"/>
      <c r="HQC3"/>
      <c r="HQD3"/>
      <c r="HQE3"/>
      <c r="HQF3"/>
      <c r="HQG3"/>
      <c r="HQH3"/>
      <c r="HQI3"/>
      <c r="HQJ3"/>
      <c r="HQK3"/>
      <c r="HQL3"/>
      <c r="HQM3"/>
      <c r="HQN3"/>
      <c r="HQO3"/>
      <c r="HQP3"/>
      <c r="HQQ3"/>
      <c r="HQR3"/>
      <c r="HQS3"/>
      <c r="HQT3"/>
      <c r="HQU3"/>
      <c r="HQV3"/>
      <c r="HQW3"/>
      <c r="HQX3"/>
      <c r="HQY3"/>
      <c r="HQZ3"/>
      <c r="HRA3"/>
      <c r="HRB3"/>
      <c r="HRC3"/>
      <c r="HRD3"/>
      <c r="HRE3"/>
      <c r="HRF3"/>
      <c r="HRG3"/>
      <c r="HRH3"/>
      <c r="HRI3"/>
      <c r="HRJ3"/>
      <c r="HRK3"/>
      <c r="HRL3"/>
      <c r="HRM3"/>
      <c r="HRN3"/>
      <c r="HRO3"/>
      <c r="HRP3"/>
      <c r="HRQ3"/>
      <c r="HRR3"/>
      <c r="HRS3"/>
      <c r="HRT3"/>
      <c r="HRU3"/>
      <c r="HRV3"/>
      <c r="HRW3"/>
      <c r="HRX3"/>
      <c r="HRY3"/>
      <c r="HRZ3"/>
      <c r="HSA3"/>
      <c r="HSB3"/>
      <c r="HSC3"/>
      <c r="HSD3"/>
      <c r="HSE3"/>
      <c r="HSF3"/>
      <c r="HSG3"/>
      <c r="HSH3"/>
      <c r="HSI3"/>
      <c r="HSJ3"/>
      <c r="HSK3"/>
      <c r="HSL3"/>
      <c r="HSM3"/>
      <c r="HSN3"/>
      <c r="HSO3"/>
      <c r="HSP3"/>
      <c r="HSQ3"/>
      <c r="HSR3"/>
      <c r="HSS3"/>
      <c r="HST3"/>
      <c r="HSU3"/>
      <c r="HSV3"/>
      <c r="HSW3"/>
      <c r="HSX3"/>
      <c r="HSY3"/>
      <c r="HSZ3"/>
      <c r="HTA3"/>
      <c r="HTB3"/>
      <c r="HTC3"/>
      <c r="HTD3"/>
      <c r="HTE3"/>
      <c r="HTF3"/>
      <c r="HTG3"/>
      <c r="HTH3"/>
      <c r="HTI3"/>
      <c r="HTJ3"/>
      <c r="HTK3"/>
      <c r="HTL3"/>
      <c r="HTM3"/>
      <c r="HTN3"/>
      <c r="HTO3"/>
      <c r="HTP3"/>
      <c r="HTQ3"/>
      <c r="HTR3"/>
      <c r="HTS3"/>
      <c r="HTT3"/>
      <c r="HTU3"/>
      <c r="HTV3"/>
      <c r="HTW3"/>
      <c r="HTX3"/>
      <c r="HTY3"/>
      <c r="HTZ3"/>
      <c r="HUA3"/>
      <c r="HUB3"/>
      <c r="HUC3"/>
      <c r="HUD3"/>
      <c r="HUE3"/>
      <c r="HUF3"/>
      <c r="HUG3"/>
      <c r="HUH3"/>
      <c r="HUI3"/>
      <c r="HUJ3"/>
      <c r="HUK3"/>
      <c r="HUL3"/>
      <c r="HUM3"/>
      <c r="HUN3"/>
      <c r="HUO3"/>
      <c r="HUP3"/>
      <c r="HUQ3"/>
      <c r="HUR3"/>
      <c r="HUS3"/>
      <c r="HUT3"/>
      <c r="HUU3"/>
      <c r="HUV3"/>
      <c r="HUW3"/>
      <c r="HUX3"/>
      <c r="HUY3"/>
      <c r="HUZ3"/>
      <c r="HVA3"/>
      <c r="HVB3"/>
      <c r="HVC3"/>
      <c r="HVD3"/>
      <c r="HVE3"/>
      <c r="HVF3"/>
      <c r="HVG3"/>
      <c r="HVH3"/>
      <c r="HVI3"/>
      <c r="HVJ3"/>
      <c r="HVK3"/>
      <c r="HVL3"/>
      <c r="HVM3"/>
      <c r="HVN3"/>
      <c r="HVO3"/>
      <c r="HVP3"/>
      <c r="HVQ3"/>
      <c r="HVR3"/>
      <c r="HVS3"/>
      <c r="HVT3"/>
      <c r="HVU3"/>
      <c r="HVV3"/>
      <c r="HVW3"/>
      <c r="HVX3"/>
      <c r="HVY3"/>
      <c r="HVZ3"/>
      <c r="HWA3"/>
      <c r="HWB3"/>
      <c r="HWC3"/>
      <c r="HWD3"/>
      <c r="HWE3"/>
      <c r="HWF3"/>
      <c r="HWG3"/>
      <c r="HWH3"/>
      <c r="HWI3"/>
      <c r="HWJ3"/>
      <c r="HWK3"/>
      <c r="HWL3"/>
      <c r="HWM3"/>
      <c r="HWN3"/>
      <c r="HWO3"/>
      <c r="HWP3"/>
      <c r="HWQ3"/>
      <c r="HWR3"/>
      <c r="HWS3"/>
      <c r="HWT3"/>
      <c r="HWU3"/>
      <c r="HWV3"/>
      <c r="HWW3"/>
      <c r="HWX3"/>
      <c r="HWY3"/>
      <c r="HWZ3"/>
      <c r="HXA3"/>
      <c r="HXB3"/>
      <c r="HXC3"/>
      <c r="HXD3"/>
      <c r="HXE3"/>
      <c r="HXF3"/>
      <c r="HXG3"/>
      <c r="HXH3"/>
      <c r="HXI3"/>
      <c r="HXJ3"/>
      <c r="HXK3"/>
      <c r="HXL3"/>
      <c r="HXM3"/>
      <c r="HXN3"/>
      <c r="HXO3"/>
      <c r="HXP3"/>
      <c r="HXQ3"/>
      <c r="HXR3"/>
      <c r="HXS3"/>
      <c r="HXT3"/>
      <c r="HXU3"/>
      <c r="HXV3"/>
      <c r="HXW3"/>
      <c r="HXX3"/>
      <c r="HXY3"/>
      <c r="HXZ3"/>
      <c r="HYA3"/>
      <c r="HYB3"/>
      <c r="HYC3"/>
      <c r="HYD3"/>
      <c r="HYE3"/>
      <c r="HYF3"/>
      <c r="HYG3"/>
      <c r="HYH3"/>
      <c r="HYI3"/>
      <c r="HYJ3"/>
      <c r="HYK3"/>
      <c r="HYL3"/>
      <c r="HYM3"/>
      <c r="HYN3"/>
      <c r="HYO3"/>
      <c r="HYP3"/>
      <c r="HYQ3"/>
      <c r="HYR3"/>
      <c r="HYS3"/>
      <c r="HYT3"/>
      <c r="HYU3"/>
      <c r="HYV3"/>
      <c r="HYW3"/>
      <c r="HYX3"/>
      <c r="HYY3"/>
      <c r="HYZ3"/>
      <c r="HZA3"/>
      <c r="HZB3"/>
      <c r="HZC3"/>
      <c r="HZD3"/>
      <c r="HZE3"/>
      <c r="HZF3"/>
      <c r="HZG3"/>
      <c r="HZH3"/>
      <c r="HZI3"/>
      <c r="HZJ3"/>
      <c r="HZK3"/>
      <c r="HZL3"/>
      <c r="HZM3"/>
      <c r="HZN3"/>
      <c r="HZO3"/>
      <c r="HZP3"/>
      <c r="HZQ3"/>
      <c r="HZR3"/>
      <c r="HZS3"/>
      <c r="HZT3"/>
      <c r="HZU3"/>
      <c r="HZV3"/>
      <c r="HZW3"/>
      <c r="HZX3"/>
      <c r="HZY3"/>
      <c r="HZZ3"/>
      <c r="IAA3"/>
      <c r="IAB3"/>
      <c r="IAC3"/>
      <c r="IAD3"/>
      <c r="IAE3"/>
      <c r="IAF3"/>
      <c r="IAG3"/>
      <c r="IAH3"/>
      <c r="IAI3"/>
      <c r="IAJ3"/>
      <c r="IAK3"/>
      <c r="IAL3"/>
      <c r="IAM3"/>
      <c r="IAN3"/>
      <c r="IAO3"/>
      <c r="IAP3"/>
      <c r="IAQ3"/>
      <c r="IAR3"/>
      <c r="IAS3"/>
      <c r="IAT3"/>
      <c r="IAU3"/>
      <c r="IAV3"/>
      <c r="IAW3"/>
      <c r="IAX3"/>
      <c r="IAY3"/>
      <c r="IAZ3"/>
      <c r="IBA3"/>
      <c r="IBB3"/>
      <c r="IBC3"/>
      <c r="IBD3"/>
      <c r="IBE3"/>
      <c r="IBF3"/>
      <c r="IBG3"/>
      <c r="IBH3"/>
      <c r="IBI3"/>
      <c r="IBJ3"/>
      <c r="IBK3"/>
      <c r="IBL3"/>
      <c r="IBM3"/>
      <c r="IBN3"/>
      <c r="IBO3"/>
      <c r="IBP3"/>
      <c r="IBQ3"/>
      <c r="IBR3"/>
      <c r="IBS3"/>
      <c r="IBT3"/>
      <c r="IBU3"/>
      <c r="IBV3"/>
      <c r="IBW3"/>
      <c r="IBX3"/>
      <c r="IBY3"/>
      <c r="IBZ3"/>
      <c r="ICA3"/>
      <c r="ICB3"/>
      <c r="ICC3"/>
      <c r="ICD3"/>
      <c r="ICE3"/>
      <c r="ICF3"/>
      <c r="ICG3"/>
      <c r="ICH3"/>
      <c r="ICI3"/>
      <c r="ICJ3"/>
      <c r="ICK3"/>
      <c r="ICL3"/>
      <c r="ICM3"/>
      <c r="ICN3"/>
      <c r="ICO3"/>
      <c r="ICP3"/>
      <c r="ICQ3"/>
      <c r="ICR3"/>
      <c r="ICS3"/>
      <c r="ICT3"/>
      <c r="ICU3"/>
      <c r="ICV3"/>
      <c r="ICW3"/>
      <c r="ICX3"/>
      <c r="ICY3"/>
      <c r="ICZ3"/>
      <c r="IDA3"/>
      <c r="IDB3"/>
      <c r="IDC3"/>
      <c r="IDD3"/>
      <c r="IDE3"/>
      <c r="IDF3"/>
      <c r="IDG3"/>
      <c r="IDH3"/>
      <c r="IDI3"/>
      <c r="IDJ3"/>
      <c r="IDK3"/>
      <c r="IDL3"/>
      <c r="IDM3"/>
      <c r="IDN3"/>
      <c r="IDO3"/>
      <c r="IDP3"/>
      <c r="IDQ3"/>
      <c r="IDR3"/>
      <c r="IDS3"/>
      <c r="IDT3"/>
      <c r="IDU3"/>
      <c r="IDV3"/>
      <c r="IDW3"/>
      <c r="IDX3"/>
      <c r="IDY3"/>
      <c r="IDZ3"/>
      <c r="IEA3"/>
      <c r="IEB3"/>
      <c r="IEC3"/>
      <c r="IED3"/>
      <c r="IEE3"/>
      <c r="IEF3"/>
      <c r="IEG3"/>
      <c r="IEH3"/>
      <c r="IEI3"/>
      <c r="IEJ3"/>
      <c r="IEK3"/>
      <c r="IEL3"/>
      <c r="IEM3"/>
      <c r="IEN3"/>
      <c r="IEO3"/>
      <c r="IEP3"/>
      <c r="IEQ3"/>
      <c r="IER3"/>
      <c r="IES3"/>
      <c r="IET3"/>
      <c r="IEU3"/>
      <c r="IEV3"/>
      <c r="IEW3"/>
      <c r="IEX3"/>
      <c r="IEY3"/>
      <c r="IEZ3"/>
      <c r="IFA3"/>
      <c r="IFB3"/>
      <c r="IFC3"/>
      <c r="IFD3"/>
      <c r="IFE3"/>
      <c r="IFF3"/>
      <c r="IFG3"/>
      <c r="IFH3"/>
      <c r="IFI3"/>
      <c r="IFJ3"/>
      <c r="IFK3"/>
      <c r="IFL3"/>
      <c r="IFM3"/>
      <c r="IFN3"/>
      <c r="IFO3"/>
      <c r="IFP3"/>
      <c r="IFQ3"/>
      <c r="IFR3"/>
      <c r="IFS3"/>
      <c r="IFT3"/>
      <c r="IFU3"/>
      <c r="IFV3"/>
      <c r="IFW3"/>
      <c r="IFX3"/>
      <c r="IFY3"/>
      <c r="IFZ3"/>
      <c r="IGA3"/>
      <c r="IGB3"/>
      <c r="IGC3"/>
      <c r="IGD3"/>
      <c r="IGE3"/>
      <c r="IGF3"/>
      <c r="IGG3"/>
      <c r="IGH3"/>
      <c r="IGI3"/>
      <c r="IGJ3"/>
      <c r="IGK3"/>
      <c r="IGL3"/>
      <c r="IGM3"/>
      <c r="IGN3"/>
      <c r="IGO3"/>
      <c r="IGP3"/>
      <c r="IGQ3"/>
      <c r="IGR3"/>
      <c r="IGS3"/>
      <c r="IGT3"/>
      <c r="IGU3"/>
      <c r="IGV3"/>
      <c r="IGW3"/>
      <c r="IGX3"/>
      <c r="IGY3"/>
      <c r="IGZ3"/>
      <c r="IHA3"/>
      <c r="IHB3"/>
      <c r="IHC3"/>
      <c r="IHD3"/>
      <c r="IHE3"/>
      <c r="IHF3"/>
      <c r="IHG3"/>
      <c r="IHH3"/>
      <c r="IHI3"/>
      <c r="IHJ3"/>
      <c r="IHK3"/>
      <c r="IHL3"/>
      <c r="IHM3"/>
      <c r="IHN3"/>
      <c r="IHO3"/>
      <c r="IHP3"/>
      <c r="IHQ3"/>
      <c r="IHR3"/>
      <c r="IHS3"/>
      <c r="IHT3"/>
      <c r="IHU3"/>
      <c r="IHV3"/>
      <c r="IHW3"/>
      <c r="IHX3"/>
      <c r="IHY3"/>
      <c r="IHZ3"/>
      <c r="IIA3"/>
      <c r="IIB3"/>
      <c r="IIC3"/>
      <c r="IID3"/>
      <c r="IIE3"/>
      <c r="IIF3"/>
      <c r="IIG3"/>
      <c r="IIH3"/>
      <c r="III3"/>
      <c r="IIJ3"/>
      <c r="IIK3"/>
      <c r="IIL3"/>
      <c r="IIM3"/>
      <c r="IIN3"/>
      <c r="IIO3"/>
      <c r="IIP3"/>
      <c r="IIQ3"/>
      <c r="IIR3"/>
      <c r="IIS3"/>
      <c r="IIT3"/>
      <c r="IIU3"/>
      <c r="IIV3"/>
      <c r="IIW3"/>
      <c r="IIX3"/>
      <c r="IIY3"/>
      <c r="IIZ3"/>
      <c r="IJA3"/>
      <c r="IJB3"/>
      <c r="IJC3"/>
      <c r="IJD3"/>
      <c r="IJE3"/>
      <c r="IJF3"/>
      <c r="IJG3"/>
      <c r="IJH3"/>
      <c r="IJI3"/>
      <c r="IJJ3"/>
      <c r="IJK3"/>
      <c r="IJL3"/>
      <c r="IJM3"/>
      <c r="IJN3"/>
      <c r="IJO3"/>
      <c r="IJP3"/>
      <c r="IJQ3"/>
      <c r="IJR3"/>
      <c r="IJS3"/>
      <c r="IJT3"/>
      <c r="IJU3"/>
      <c r="IJV3"/>
      <c r="IJW3"/>
      <c r="IJX3"/>
      <c r="IJY3"/>
      <c r="IJZ3"/>
      <c r="IKA3"/>
      <c r="IKB3"/>
      <c r="IKC3"/>
      <c r="IKD3"/>
      <c r="IKE3"/>
      <c r="IKF3"/>
      <c r="IKG3"/>
      <c r="IKH3"/>
      <c r="IKI3"/>
      <c r="IKJ3"/>
      <c r="IKK3"/>
      <c r="IKL3"/>
      <c r="IKM3"/>
      <c r="IKN3"/>
      <c r="IKO3"/>
      <c r="IKP3"/>
      <c r="IKQ3"/>
      <c r="IKR3"/>
      <c r="IKS3"/>
      <c r="IKT3"/>
      <c r="IKU3"/>
      <c r="IKV3"/>
      <c r="IKW3"/>
      <c r="IKX3"/>
      <c r="IKY3"/>
      <c r="IKZ3"/>
      <c r="ILA3"/>
      <c r="ILB3"/>
      <c r="ILC3"/>
      <c r="ILD3"/>
      <c r="ILE3"/>
      <c r="ILF3"/>
      <c r="ILG3"/>
      <c r="ILH3"/>
      <c r="ILI3"/>
      <c r="ILJ3"/>
      <c r="ILK3"/>
      <c r="ILL3"/>
      <c r="ILM3"/>
      <c r="ILN3"/>
      <c r="ILO3"/>
      <c r="ILP3"/>
      <c r="ILQ3"/>
      <c r="ILR3"/>
      <c r="ILS3"/>
      <c r="ILT3"/>
      <c r="ILU3"/>
      <c r="ILV3"/>
      <c r="ILW3"/>
      <c r="ILX3"/>
      <c r="ILY3"/>
      <c r="ILZ3"/>
      <c r="IMA3"/>
      <c r="IMB3"/>
      <c r="IMC3"/>
      <c r="IMD3"/>
      <c r="IME3"/>
      <c r="IMF3"/>
      <c r="IMG3"/>
      <c r="IMH3"/>
      <c r="IMI3"/>
      <c r="IMJ3"/>
      <c r="IMK3"/>
      <c r="IML3"/>
      <c r="IMM3"/>
      <c r="IMN3"/>
      <c r="IMO3"/>
      <c r="IMP3"/>
      <c r="IMQ3"/>
      <c r="IMR3"/>
      <c r="IMS3"/>
      <c r="IMT3"/>
      <c r="IMU3"/>
      <c r="IMV3"/>
      <c r="IMW3"/>
      <c r="IMX3"/>
      <c r="IMY3"/>
      <c r="IMZ3"/>
      <c r="INA3"/>
      <c r="INB3"/>
      <c r="INC3"/>
      <c r="IND3"/>
      <c r="INE3"/>
      <c r="INF3"/>
      <c r="ING3"/>
      <c r="INH3"/>
      <c r="INI3"/>
      <c r="INJ3"/>
      <c r="INK3"/>
      <c r="INL3"/>
      <c r="INM3"/>
      <c r="INN3"/>
      <c r="INO3"/>
      <c r="INP3"/>
      <c r="INQ3"/>
      <c r="INR3"/>
      <c r="INS3"/>
      <c r="INT3"/>
      <c r="INU3"/>
      <c r="INV3"/>
      <c r="INW3"/>
      <c r="INX3"/>
      <c r="INY3"/>
      <c r="INZ3"/>
      <c r="IOA3"/>
      <c r="IOB3"/>
      <c r="IOC3"/>
      <c r="IOD3"/>
      <c r="IOE3"/>
      <c r="IOF3"/>
      <c r="IOG3"/>
      <c r="IOH3"/>
      <c r="IOI3"/>
      <c r="IOJ3"/>
      <c r="IOK3"/>
      <c r="IOL3"/>
      <c r="IOM3"/>
      <c r="ION3"/>
      <c r="IOO3"/>
      <c r="IOP3"/>
      <c r="IOQ3"/>
      <c r="IOR3"/>
      <c r="IOS3"/>
      <c r="IOT3"/>
      <c r="IOU3"/>
      <c r="IOV3"/>
      <c r="IOW3"/>
      <c r="IOX3"/>
      <c r="IOY3"/>
      <c r="IOZ3"/>
      <c r="IPA3"/>
      <c r="IPB3"/>
      <c r="IPC3"/>
      <c r="IPD3"/>
      <c r="IPE3"/>
      <c r="IPF3"/>
      <c r="IPG3"/>
      <c r="IPH3"/>
      <c r="IPI3"/>
      <c r="IPJ3"/>
      <c r="IPK3"/>
      <c r="IPL3"/>
      <c r="IPM3"/>
      <c r="IPN3"/>
      <c r="IPO3"/>
      <c r="IPP3"/>
      <c r="IPQ3"/>
      <c r="IPR3"/>
      <c r="IPS3"/>
      <c r="IPT3"/>
      <c r="IPU3"/>
      <c r="IPV3"/>
      <c r="IPW3"/>
      <c r="IPX3"/>
      <c r="IPY3"/>
      <c r="IPZ3"/>
      <c r="IQA3"/>
      <c r="IQB3"/>
      <c r="IQC3"/>
      <c r="IQD3"/>
      <c r="IQE3"/>
      <c r="IQF3"/>
      <c r="IQG3"/>
      <c r="IQH3"/>
      <c r="IQI3"/>
      <c r="IQJ3"/>
      <c r="IQK3"/>
      <c r="IQL3"/>
      <c r="IQM3"/>
      <c r="IQN3"/>
      <c r="IQO3"/>
      <c r="IQP3"/>
      <c r="IQQ3"/>
      <c r="IQR3"/>
      <c r="IQS3"/>
      <c r="IQT3"/>
      <c r="IQU3"/>
      <c r="IQV3"/>
      <c r="IQW3"/>
      <c r="IQX3"/>
      <c r="IQY3"/>
      <c r="IQZ3"/>
      <c r="IRA3"/>
      <c r="IRB3"/>
      <c r="IRC3"/>
      <c r="IRD3"/>
      <c r="IRE3"/>
      <c r="IRF3"/>
      <c r="IRG3"/>
      <c r="IRH3"/>
      <c r="IRI3"/>
      <c r="IRJ3"/>
      <c r="IRK3"/>
      <c r="IRL3"/>
      <c r="IRM3"/>
      <c r="IRN3"/>
      <c r="IRO3"/>
      <c r="IRP3"/>
      <c r="IRQ3"/>
      <c r="IRR3"/>
      <c r="IRS3"/>
      <c r="IRT3"/>
      <c r="IRU3"/>
      <c r="IRV3"/>
      <c r="IRW3"/>
      <c r="IRX3"/>
      <c r="IRY3"/>
      <c r="IRZ3"/>
      <c r="ISA3"/>
      <c r="ISB3"/>
      <c r="ISC3"/>
      <c r="ISD3"/>
      <c r="ISE3"/>
      <c r="ISF3"/>
      <c r="ISG3"/>
      <c r="ISH3"/>
      <c r="ISI3"/>
      <c r="ISJ3"/>
      <c r="ISK3"/>
      <c r="ISL3"/>
      <c r="ISM3"/>
      <c r="ISN3"/>
      <c r="ISO3"/>
      <c r="ISP3"/>
      <c r="ISQ3"/>
      <c r="ISR3"/>
      <c r="ISS3"/>
      <c r="IST3"/>
      <c r="ISU3"/>
      <c r="ISV3"/>
      <c r="ISW3"/>
      <c r="ISX3"/>
      <c r="ISY3"/>
      <c r="ISZ3"/>
      <c r="ITA3"/>
      <c r="ITB3"/>
      <c r="ITC3"/>
      <c r="ITD3"/>
      <c r="ITE3"/>
      <c r="ITF3"/>
      <c r="ITG3"/>
      <c r="ITH3"/>
      <c r="ITI3"/>
      <c r="ITJ3"/>
      <c r="ITK3"/>
      <c r="ITL3"/>
      <c r="ITM3"/>
      <c r="ITN3"/>
      <c r="ITO3"/>
      <c r="ITP3"/>
      <c r="ITQ3"/>
      <c r="ITR3"/>
      <c r="ITS3"/>
      <c r="ITT3"/>
      <c r="ITU3"/>
      <c r="ITV3"/>
      <c r="ITW3"/>
      <c r="ITX3"/>
      <c r="ITY3"/>
      <c r="ITZ3"/>
      <c r="IUA3"/>
      <c r="IUB3"/>
      <c r="IUC3"/>
      <c r="IUD3"/>
      <c r="IUE3"/>
      <c r="IUF3"/>
      <c r="IUG3"/>
      <c r="IUH3"/>
      <c r="IUI3"/>
      <c r="IUJ3"/>
      <c r="IUK3"/>
      <c r="IUL3"/>
      <c r="IUM3"/>
      <c r="IUN3"/>
      <c r="IUO3"/>
      <c r="IUP3"/>
      <c r="IUQ3"/>
      <c r="IUR3"/>
      <c r="IUS3"/>
      <c r="IUT3"/>
      <c r="IUU3"/>
      <c r="IUV3"/>
      <c r="IUW3"/>
      <c r="IUX3"/>
      <c r="IUY3"/>
      <c r="IUZ3"/>
      <c r="IVA3"/>
      <c r="IVB3"/>
      <c r="IVC3"/>
      <c r="IVD3"/>
      <c r="IVE3"/>
      <c r="IVF3"/>
      <c r="IVG3"/>
      <c r="IVH3"/>
      <c r="IVI3"/>
      <c r="IVJ3"/>
      <c r="IVK3"/>
      <c r="IVL3"/>
      <c r="IVM3"/>
      <c r="IVN3"/>
      <c r="IVO3"/>
      <c r="IVP3"/>
      <c r="IVQ3"/>
      <c r="IVR3"/>
      <c r="IVS3"/>
      <c r="IVT3"/>
      <c r="IVU3"/>
      <c r="IVV3"/>
      <c r="IVW3"/>
      <c r="IVX3"/>
      <c r="IVY3"/>
      <c r="IVZ3"/>
      <c r="IWA3"/>
      <c r="IWB3"/>
      <c r="IWC3"/>
      <c r="IWD3"/>
      <c r="IWE3"/>
      <c r="IWF3"/>
      <c r="IWG3"/>
      <c r="IWH3"/>
      <c r="IWI3"/>
      <c r="IWJ3"/>
      <c r="IWK3"/>
      <c r="IWL3"/>
      <c r="IWM3"/>
      <c r="IWN3"/>
      <c r="IWO3"/>
      <c r="IWP3"/>
      <c r="IWQ3"/>
      <c r="IWR3"/>
      <c r="IWS3"/>
      <c r="IWT3"/>
      <c r="IWU3"/>
      <c r="IWV3"/>
      <c r="IWW3"/>
      <c r="IWX3"/>
      <c r="IWY3"/>
      <c r="IWZ3"/>
      <c r="IXA3"/>
      <c r="IXB3"/>
      <c r="IXC3"/>
      <c r="IXD3"/>
      <c r="IXE3"/>
      <c r="IXF3"/>
      <c r="IXG3"/>
      <c r="IXH3"/>
      <c r="IXI3"/>
      <c r="IXJ3"/>
      <c r="IXK3"/>
      <c r="IXL3"/>
      <c r="IXM3"/>
      <c r="IXN3"/>
      <c r="IXO3"/>
      <c r="IXP3"/>
      <c r="IXQ3"/>
      <c r="IXR3"/>
      <c r="IXS3"/>
      <c r="IXT3"/>
      <c r="IXU3"/>
      <c r="IXV3"/>
      <c r="IXW3"/>
      <c r="IXX3"/>
      <c r="IXY3"/>
      <c r="IXZ3"/>
      <c r="IYA3"/>
      <c r="IYB3"/>
      <c r="IYC3"/>
      <c r="IYD3"/>
      <c r="IYE3"/>
      <c r="IYF3"/>
      <c r="IYG3"/>
      <c r="IYH3"/>
      <c r="IYI3"/>
      <c r="IYJ3"/>
      <c r="IYK3"/>
      <c r="IYL3"/>
      <c r="IYM3"/>
      <c r="IYN3"/>
      <c r="IYO3"/>
      <c r="IYP3"/>
      <c r="IYQ3"/>
      <c r="IYR3"/>
      <c r="IYS3"/>
      <c r="IYT3"/>
      <c r="IYU3"/>
      <c r="IYV3"/>
      <c r="IYW3"/>
      <c r="IYX3"/>
      <c r="IYY3"/>
      <c r="IYZ3"/>
      <c r="IZA3"/>
      <c r="IZB3"/>
      <c r="IZC3"/>
      <c r="IZD3"/>
      <c r="IZE3"/>
      <c r="IZF3"/>
      <c r="IZG3"/>
      <c r="IZH3"/>
      <c r="IZI3"/>
      <c r="IZJ3"/>
      <c r="IZK3"/>
      <c r="IZL3"/>
      <c r="IZM3"/>
      <c r="IZN3"/>
      <c r="IZO3"/>
      <c r="IZP3"/>
      <c r="IZQ3"/>
      <c r="IZR3"/>
      <c r="IZS3"/>
      <c r="IZT3"/>
      <c r="IZU3"/>
      <c r="IZV3"/>
      <c r="IZW3"/>
      <c r="IZX3"/>
      <c r="IZY3"/>
      <c r="IZZ3"/>
      <c r="JAA3"/>
      <c r="JAB3"/>
      <c r="JAC3"/>
      <c r="JAD3"/>
      <c r="JAE3"/>
      <c r="JAF3"/>
      <c r="JAG3"/>
      <c r="JAH3"/>
      <c r="JAI3"/>
      <c r="JAJ3"/>
      <c r="JAK3"/>
      <c r="JAL3"/>
      <c r="JAM3"/>
      <c r="JAN3"/>
      <c r="JAO3"/>
      <c r="JAP3"/>
      <c r="JAQ3"/>
      <c r="JAR3"/>
      <c r="JAS3"/>
      <c r="JAT3"/>
      <c r="JAU3"/>
      <c r="JAV3"/>
      <c r="JAW3"/>
      <c r="JAX3"/>
      <c r="JAY3"/>
      <c r="JAZ3"/>
      <c r="JBA3"/>
      <c r="JBB3"/>
      <c r="JBC3"/>
      <c r="JBD3"/>
      <c r="JBE3"/>
      <c r="JBF3"/>
      <c r="JBG3"/>
      <c r="JBH3"/>
      <c r="JBI3"/>
      <c r="JBJ3"/>
      <c r="JBK3"/>
      <c r="JBL3"/>
      <c r="JBM3"/>
      <c r="JBN3"/>
      <c r="JBO3"/>
      <c r="JBP3"/>
      <c r="JBQ3"/>
      <c r="JBR3"/>
      <c r="JBS3"/>
      <c r="JBT3"/>
      <c r="JBU3"/>
      <c r="JBV3"/>
      <c r="JBW3"/>
      <c r="JBX3"/>
      <c r="JBY3"/>
      <c r="JBZ3"/>
      <c r="JCA3"/>
      <c r="JCB3"/>
      <c r="JCC3"/>
      <c r="JCD3"/>
      <c r="JCE3"/>
      <c r="JCF3"/>
      <c r="JCG3"/>
      <c r="JCH3"/>
      <c r="JCI3"/>
      <c r="JCJ3"/>
      <c r="JCK3"/>
      <c r="JCL3"/>
      <c r="JCM3"/>
      <c r="JCN3"/>
      <c r="JCO3"/>
      <c r="JCP3"/>
      <c r="JCQ3"/>
      <c r="JCR3"/>
      <c r="JCS3"/>
      <c r="JCT3"/>
      <c r="JCU3"/>
      <c r="JCV3"/>
      <c r="JCW3"/>
      <c r="JCX3"/>
      <c r="JCY3"/>
      <c r="JCZ3"/>
      <c r="JDA3"/>
      <c r="JDB3"/>
      <c r="JDC3"/>
      <c r="JDD3"/>
      <c r="JDE3"/>
      <c r="JDF3"/>
      <c r="JDG3"/>
      <c r="JDH3"/>
      <c r="JDI3"/>
      <c r="JDJ3"/>
      <c r="JDK3"/>
      <c r="JDL3"/>
      <c r="JDM3"/>
      <c r="JDN3"/>
      <c r="JDO3"/>
      <c r="JDP3"/>
      <c r="JDQ3"/>
      <c r="JDR3"/>
      <c r="JDS3"/>
      <c r="JDT3"/>
      <c r="JDU3"/>
      <c r="JDV3"/>
      <c r="JDW3"/>
      <c r="JDX3"/>
      <c r="JDY3"/>
      <c r="JDZ3"/>
      <c r="JEA3"/>
      <c r="JEB3"/>
      <c r="JEC3"/>
      <c r="JED3"/>
      <c r="JEE3"/>
      <c r="JEF3"/>
      <c r="JEG3"/>
      <c r="JEH3"/>
      <c r="JEI3"/>
      <c r="JEJ3"/>
      <c r="JEK3"/>
      <c r="JEL3"/>
      <c r="JEM3"/>
      <c r="JEN3"/>
      <c r="JEO3"/>
      <c r="JEP3"/>
      <c r="JEQ3"/>
      <c r="JER3"/>
      <c r="JES3"/>
      <c r="JET3"/>
      <c r="JEU3"/>
      <c r="JEV3"/>
      <c r="JEW3"/>
      <c r="JEX3"/>
      <c r="JEY3"/>
      <c r="JEZ3"/>
      <c r="JFA3"/>
      <c r="JFB3"/>
      <c r="JFC3"/>
      <c r="JFD3"/>
      <c r="JFE3"/>
      <c r="JFF3"/>
      <c r="JFG3"/>
      <c r="JFH3"/>
      <c r="JFI3"/>
      <c r="JFJ3"/>
      <c r="JFK3"/>
      <c r="JFL3"/>
      <c r="JFM3"/>
      <c r="JFN3"/>
      <c r="JFO3"/>
      <c r="JFP3"/>
      <c r="JFQ3"/>
      <c r="JFR3"/>
      <c r="JFS3"/>
      <c r="JFT3"/>
      <c r="JFU3"/>
      <c r="JFV3"/>
      <c r="JFW3"/>
      <c r="JFX3"/>
      <c r="JFY3"/>
      <c r="JFZ3"/>
      <c r="JGA3"/>
      <c r="JGB3"/>
      <c r="JGC3"/>
      <c r="JGD3"/>
      <c r="JGE3"/>
      <c r="JGF3"/>
      <c r="JGG3"/>
      <c r="JGH3"/>
      <c r="JGI3"/>
      <c r="JGJ3"/>
      <c r="JGK3"/>
      <c r="JGL3"/>
      <c r="JGM3"/>
      <c r="JGN3"/>
      <c r="JGO3"/>
      <c r="JGP3"/>
      <c r="JGQ3"/>
      <c r="JGR3"/>
      <c r="JGS3"/>
      <c r="JGT3"/>
      <c r="JGU3"/>
      <c r="JGV3"/>
      <c r="JGW3"/>
      <c r="JGX3"/>
      <c r="JGY3"/>
      <c r="JGZ3"/>
      <c r="JHA3"/>
      <c r="JHB3"/>
      <c r="JHC3"/>
      <c r="JHD3"/>
      <c r="JHE3"/>
      <c r="JHF3"/>
      <c r="JHG3"/>
      <c r="JHH3"/>
      <c r="JHI3"/>
      <c r="JHJ3"/>
      <c r="JHK3"/>
      <c r="JHL3"/>
      <c r="JHM3"/>
      <c r="JHN3"/>
      <c r="JHO3"/>
      <c r="JHP3"/>
      <c r="JHQ3"/>
      <c r="JHR3"/>
      <c r="JHS3"/>
      <c r="JHT3"/>
      <c r="JHU3"/>
      <c r="JHV3"/>
      <c r="JHW3"/>
      <c r="JHX3"/>
      <c r="JHY3"/>
      <c r="JHZ3"/>
      <c r="JIA3"/>
      <c r="JIB3"/>
      <c r="JIC3"/>
      <c r="JID3"/>
      <c r="JIE3"/>
      <c r="JIF3"/>
      <c r="JIG3"/>
      <c r="JIH3"/>
      <c r="JII3"/>
      <c r="JIJ3"/>
      <c r="JIK3"/>
      <c r="JIL3"/>
      <c r="JIM3"/>
      <c r="JIN3"/>
      <c r="JIO3"/>
      <c r="JIP3"/>
      <c r="JIQ3"/>
      <c r="JIR3"/>
      <c r="JIS3"/>
      <c r="JIT3"/>
      <c r="JIU3"/>
      <c r="JIV3"/>
      <c r="JIW3"/>
      <c r="JIX3"/>
      <c r="JIY3"/>
      <c r="JIZ3"/>
      <c r="JJA3"/>
      <c r="JJB3"/>
      <c r="JJC3"/>
      <c r="JJD3"/>
      <c r="JJE3"/>
      <c r="JJF3"/>
      <c r="JJG3"/>
      <c r="JJH3"/>
      <c r="JJI3"/>
      <c r="JJJ3"/>
      <c r="JJK3"/>
      <c r="JJL3"/>
      <c r="JJM3"/>
      <c r="JJN3"/>
      <c r="JJO3"/>
      <c r="JJP3"/>
      <c r="JJQ3"/>
      <c r="JJR3"/>
      <c r="JJS3"/>
      <c r="JJT3"/>
      <c r="JJU3"/>
      <c r="JJV3"/>
      <c r="JJW3"/>
      <c r="JJX3"/>
      <c r="JJY3"/>
      <c r="JJZ3"/>
      <c r="JKA3"/>
      <c r="JKB3"/>
      <c r="JKC3"/>
      <c r="JKD3"/>
      <c r="JKE3"/>
      <c r="JKF3"/>
      <c r="JKG3"/>
      <c r="JKH3"/>
      <c r="JKI3"/>
      <c r="JKJ3"/>
      <c r="JKK3"/>
      <c r="JKL3"/>
      <c r="JKM3"/>
      <c r="JKN3"/>
      <c r="JKO3"/>
      <c r="JKP3"/>
      <c r="JKQ3"/>
      <c r="JKR3"/>
      <c r="JKS3"/>
      <c r="JKT3"/>
      <c r="JKU3"/>
      <c r="JKV3"/>
      <c r="JKW3"/>
      <c r="JKX3"/>
      <c r="JKY3"/>
      <c r="JKZ3"/>
      <c r="JLA3"/>
      <c r="JLB3"/>
      <c r="JLC3"/>
      <c r="JLD3"/>
      <c r="JLE3"/>
      <c r="JLF3"/>
      <c r="JLG3"/>
      <c r="JLH3"/>
      <c r="JLI3"/>
      <c r="JLJ3"/>
      <c r="JLK3"/>
      <c r="JLL3"/>
      <c r="JLM3"/>
      <c r="JLN3"/>
      <c r="JLO3"/>
      <c r="JLP3"/>
      <c r="JLQ3"/>
      <c r="JLR3"/>
      <c r="JLS3"/>
      <c r="JLT3"/>
      <c r="JLU3"/>
      <c r="JLV3"/>
      <c r="JLW3"/>
      <c r="JLX3"/>
      <c r="JLY3"/>
      <c r="JLZ3"/>
      <c r="JMA3"/>
      <c r="JMB3"/>
      <c r="JMC3"/>
      <c r="JMD3"/>
      <c r="JME3"/>
      <c r="JMF3"/>
      <c r="JMG3"/>
      <c r="JMH3"/>
      <c r="JMI3"/>
      <c r="JMJ3"/>
      <c r="JMK3"/>
      <c r="JML3"/>
      <c r="JMM3"/>
      <c r="JMN3"/>
      <c r="JMO3"/>
      <c r="JMP3"/>
      <c r="JMQ3"/>
      <c r="JMR3"/>
      <c r="JMS3"/>
      <c r="JMT3"/>
      <c r="JMU3"/>
      <c r="JMV3"/>
      <c r="JMW3"/>
      <c r="JMX3"/>
      <c r="JMY3"/>
      <c r="JMZ3"/>
      <c r="JNA3"/>
      <c r="JNB3"/>
      <c r="JNC3"/>
      <c r="JND3"/>
      <c r="JNE3"/>
      <c r="JNF3"/>
      <c r="JNG3"/>
      <c r="JNH3"/>
      <c r="JNI3"/>
      <c r="JNJ3"/>
      <c r="JNK3"/>
      <c r="JNL3"/>
      <c r="JNM3"/>
      <c r="JNN3"/>
      <c r="JNO3"/>
      <c r="JNP3"/>
      <c r="JNQ3"/>
      <c r="JNR3"/>
      <c r="JNS3"/>
      <c r="JNT3"/>
      <c r="JNU3"/>
      <c r="JNV3"/>
      <c r="JNW3"/>
      <c r="JNX3"/>
      <c r="JNY3"/>
      <c r="JNZ3"/>
      <c r="JOA3"/>
      <c r="JOB3"/>
      <c r="JOC3"/>
      <c r="JOD3"/>
      <c r="JOE3"/>
      <c r="JOF3"/>
      <c r="JOG3"/>
      <c r="JOH3"/>
      <c r="JOI3"/>
      <c r="JOJ3"/>
      <c r="JOK3"/>
      <c r="JOL3"/>
      <c r="JOM3"/>
      <c r="JON3"/>
      <c r="JOO3"/>
      <c r="JOP3"/>
      <c r="JOQ3"/>
      <c r="JOR3"/>
      <c r="JOS3"/>
      <c r="JOT3"/>
      <c r="JOU3"/>
      <c r="JOV3"/>
      <c r="JOW3"/>
      <c r="JOX3"/>
      <c r="JOY3"/>
      <c r="JOZ3"/>
      <c r="JPA3"/>
      <c r="JPB3"/>
      <c r="JPC3"/>
      <c r="JPD3"/>
      <c r="JPE3"/>
      <c r="JPF3"/>
      <c r="JPG3"/>
      <c r="JPH3"/>
      <c r="JPI3"/>
      <c r="JPJ3"/>
      <c r="JPK3"/>
      <c r="JPL3"/>
      <c r="JPM3"/>
      <c r="JPN3"/>
      <c r="JPO3"/>
      <c r="JPP3"/>
      <c r="JPQ3"/>
      <c r="JPR3"/>
      <c r="JPS3"/>
      <c r="JPT3"/>
      <c r="JPU3"/>
      <c r="JPV3"/>
      <c r="JPW3"/>
      <c r="JPX3"/>
      <c r="JPY3"/>
      <c r="JPZ3"/>
      <c r="JQA3"/>
      <c r="JQB3"/>
      <c r="JQC3"/>
      <c r="JQD3"/>
      <c r="JQE3"/>
      <c r="JQF3"/>
      <c r="JQG3"/>
      <c r="JQH3"/>
      <c r="JQI3"/>
      <c r="JQJ3"/>
      <c r="JQK3"/>
      <c r="JQL3"/>
      <c r="JQM3"/>
      <c r="JQN3"/>
      <c r="JQO3"/>
      <c r="JQP3"/>
      <c r="JQQ3"/>
      <c r="JQR3"/>
      <c r="JQS3"/>
      <c r="JQT3"/>
      <c r="JQU3"/>
      <c r="JQV3"/>
      <c r="JQW3"/>
      <c r="JQX3"/>
      <c r="JQY3"/>
      <c r="JQZ3"/>
      <c r="JRA3"/>
      <c r="JRB3"/>
      <c r="JRC3"/>
      <c r="JRD3"/>
      <c r="JRE3"/>
      <c r="JRF3"/>
      <c r="JRG3"/>
      <c r="JRH3"/>
      <c r="JRI3"/>
      <c r="JRJ3"/>
      <c r="JRK3"/>
      <c r="JRL3"/>
      <c r="JRM3"/>
      <c r="JRN3"/>
      <c r="JRO3"/>
      <c r="JRP3"/>
      <c r="JRQ3"/>
      <c r="JRR3"/>
      <c r="JRS3"/>
      <c r="JRT3"/>
      <c r="JRU3"/>
      <c r="JRV3"/>
      <c r="JRW3"/>
      <c r="JRX3"/>
      <c r="JRY3"/>
      <c r="JRZ3"/>
      <c r="JSA3"/>
      <c r="JSB3"/>
      <c r="JSC3"/>
      <c r="JSD3"/>
      <c r="JSE3"/>
      <c r="JSF3"/>
      <c r="JSG3"/>
      <c r="JSH3"/>
      <c r="JSI3"/>
      <c r="JSJ3"/>
      <c r="JSK3"/>
      <c r="JSL3"/>
      <c r="JSM3"/>
      <c r="JSN3"/>
      <c r="JSO3"/>
      <c r="JSP3"/>
      <c r="JSQ3"/>
      <c r="JSR3"/>
      <c r="JSS3"/>
      <c r="JST3"/>
      <c r="JSU3"/>
      <c r="JSV3"/>
      <c r="JSW3"/>
      <c r="JSX3"/>
      <c r="JSY3"/>
      <c r="JSZ3"/>
      <c r="JTA3"/>
      <c r="JTB3"/>
      <c r="JTC3"/>
      <c r="JTD3"/>
      <c r="JTE3"/>
      <c r="JTF3"/>
      <c r="JTG3"/>
      <c r="JTH3"/>
      <c r="JTI3"/>
      <c r="JTJ3"/>
      <c r="JTK3"/>
      <c r="JTL3"/>
      <c r="JTM3"/>
      <c r="JTN3"/>
      <c r="JTO3"/>
      <c r="JTP3"/>
      <c r="JTQ3"/>
      <c r="JTR3"/>
      <c r="JTS3"/>
      <c r="JTT3"/>
      <c r="JTU3"/>
      <c r="JTV3"/>
      <c r="JTW3"/>
      <c r="JTX3"/>
      <c r="JTY3"/>
      <c r="JTZ3"/>
      <c r="JUA3"/>
      <c r="JUB3"/>
      <c r="JUC3"/>
      <c r="JUD3"/>
      <c r="JUE3"/>
      <c r="JUF3"/>
      <c r="JUG3"/>
      <c r="JUH3"/>
      <c r="JUI3"/>
      <c r="JUJ3"/>
      <c r="JUK3"/>
      <c r="JUL3"/>
      <c r="JUM3"/>
      <c r="JUN3"/>
      <c r="JUO3"/>
      <c r="JUP3"/>
      <c r="JUQ3"/>
      <c r="JUR3"/>
      <c r="JUS3"/>
      <c r="JUT3"/>
      <c r="JUU3"/>
      <c r="JUV3"/>
      <c r="JUW3"/>
      <c r="JUX3"/>
      <c r="JUY3"/>
      <c r="JUZ3"/>
      <c r="JVA3"/>
      <c r="JVB3"/>
      <c r="JVC3"/>
      <c r="JVD3"/>
      <c r="JVE3"/>
      <c r="JVF3"/>
      <c r="JVG3"/>
      <c r="JVH3"/>
      <c r="JVI3"/>
      <c r="JVJ3"/>
      <c r="JVK3"/>
      <c r="JVL3"/>
      <c r="JVM3"/>
      <c r="JVN3"/>
      <c r="JVO3"/>
      <c r="JVP3"/>
      <c r="JVQ3"/>
      <c r="JVR3"/>
      <c r="JVS3"/>
      <c r="JVT3"/>
      <c r="JVU3"/>
      <c r="JVV3"/>
      <c r="JVW3"/>
      <c r="JVX3"/>
      <c r="JVY3"/>
      <c r="JVZ3"/>
      <c r="JWA3"/>
      <c r="JWB3"/>
      <c r="JWC3"/>
      <c r="JWD3"/>
      <c r="JWE3"/>
      <c r="JWF3"/>
      <c r="JWG3"/>
      <c r="JWH3"/>
      <c r="JWI3"/>
      <c r="JWJ3"/>
      <c r="JWK3"/>
      <c r="JWL3"/>
      <c r="JWM3"/>
      <c r="JWN3"/>
      <c r="JWO3"/>
      <c r="JWP3"/>
      <c r="JWQ3"/>
      <c r="JWR3"/>
      <c r="JWS3"/>
      <c r="JWT3"/>
      <c r="JWU3"/>
      <c r="JWV3"/>
      <c r="JWW3"/>
      <c r="JWX3"/>
      <c r="JWY3"/>
      <c r="JWZ3"/>
      <c r="JXA3"/>
      <c r="JXB3"/>
      <c r="JXC3"/>
      <c r="JXD3"/>
      <c r="JXE3"/>
      <c r="JXF3"/>
      <c r="JXG3"/>
      <c r="JXH3"/>
      <c r="JXI3"/>
      <c r="JXJ3"/>
      <c r="JXK3"/>
      <c r="JXL3"/>
      <c r="JXM3"/>
      <c r="JXN3"/>
      <c r="JXO3"/>
      <c r="JXP3"/>
      <c r="JXQ3"/>
      <c r="JXR3"/>
      <c r="JXS3"/>
      <c r="JXT3"/>
      <c r="JXU3"/>
      <c r="JXV3"/>
      <c r="JXW3"/>
      <c r="JXX3"/>
      <c r="JXY3"/>
      <c r="JXZ3"/>
      <c r="JYA3"/>
      <c r="JYB3"/>
      <c r="JYC3"/>
      <c r="JYD3"/>
      <c r="JYE3"/>
      <c r="JYF3"/>
      <c r="JYG3"/>
      <c r="JYH3"/>
      <c r="JYI3"/>
      <c r="JYJ3"/>
      <c r="JYK3"/>
      <c r="JYL3"/>
      <c r="JYM3"/>
      <c r="JYN3"/>
      <c r="JYO3"/>
      <c r="JYP3"/>
      <c r="JYQ3"/>
      <c r="JYR3"/>
      <c r="JYS3"/>
      <c r="JYT3"/>
      <c r="JYU3"/>
      <c r="JYV3"/>
      <c r="JYW3"/>
      <c r="JYX3"/>
      <c r="JYY3"/>
      <c r="JYZ3"/>
      <c r="JZA3"/>
      <c r="JZB3"/>
      <c r="JZC3"/>
      <c r="JZD3"/>
      <c r="JZE3"/>
      <c r="JZF3"/>
      <c r="JZG3"/>
      <c r="JZH3"/>
      <c r="JZI3"/>
      <c r="JZJ3"/>
      <c r="JZK3"/>
      <c r="JZL3"/>
      <c r="JZM3"/>
      <c r="JZN3"/>
      <c r="JZO3"/>
      <c r="JZP3"/>
      <c r="JZQ3"/>
      <c r="JZR3"/>
      <c r="JZS3"/>
      <c r="JZT3"/>
      <c r="JZU3"/>
      <c r="JZV3"/>
      <c r="JZW3"/>
      <c r="JZX3"/>
      <c r="JZY3"/>
      <c r="JZZ3"/>
      <c r="KAA3"/>
      <c r="KAB3"/>
      <c r="KAC3"/>
      <c r="KAD3"/>
      <c r="KAE3"/>
      <c r="KAF3"/>
      <c r="KAG3"/>
      <c r="KAH3"/>
      <c r="KAI3"/>
      <c r="KAJ3"/>
      <c r="KAK3"/>
      <c r="KAL3"/>
      <c r="KAM3"/>
      <c r="KAN3"/>
      <c r="KAO3"/>
      <c r="KAP3"/>
      <c r="KAQ3"/>
      <c r="KAR3"/>
      <c r="KAS3"/>
      <c r="KAT3"/>
      <c r="KAU3"/>
      <c r="KAV3"/>
      <c r="KAW3"/>
      <c r="KAX3"/>
      <c r="KAY3"/>
      <c r="KAZ3"/>
      <c r="KBA3"/>
      <c r="KBB3"/>
      <c r="KBC3"/>
      <c r="KBD3"/>
      <c r="KBE3"/>
      <c r="KBF3"/>
      <c r="KBG3"/>
      <c r="KBH3"/>
      <c r="KBI3"/>
      <c r="KBJ3"/>
      <c r="KBK3"/>
      <c r="KBL3"/>
      <c r="KBM3"/>
      <c r="KBN3"/>
      <c r="KBO3"/>
      <c r="KBP3"/>
      <c r="KBQ3"/>
      <c r="KBR3"/>
      <c r="KBS3"/>
      <c r="KBT3"/>
      <c r="KBU3"/>
      <c r="KBV3"/>
      <c r="KBW3"/>
      <c r="KBX3"/>
      <c r="KBY3"/>
      <c r="KBZ3"/>
      <c r="KCA3"/>
      <c r="KCB3"/>
      <c r="KCC3"/>
      <c r="KCD3"/>
      <c r="KCE3"/>
      <c r="KCF3"/>
      <c r="KCG3"/>
      <c r="KCH3"/>
      <c r="KCI3"/>
      <c r="KCJ3"/>
      <c r="KCK3"/>
      <c r="KCL3"/>
      <c r="KCM3"/>
      <c r="KCN3"/>
      <c r="KCO3"/>
      <c r="KCP3"/>
      <c r="KCQ3"/>
      <c r="KCR3"/>
      <c r="KCS3"/>
      <c r="KCT3"/>
      <c r="KCU3"/>
      <c r="KCV3"/>
      <c r="KCW3"/>
      <c r="KCX3"/>
      <c r="KCY3"/>
      <c r="KCZ3"/>
      <c r="KDA3"/>
      <c r="KDB3"/>
      <c r="KDC3"/>
      <c r="KDD3"/>
      <c r="KDE3"/>
      <c r="KDF3"/>
      <c r="KDG3"/>
      <c r="KDH3"/>
      <c r="KDI3"/>
      <c r="KDJ3"/>
      <c r="KDK3"/>
      <c r="KDL3"/>
      <c r="KDM3"/>
      <c r="KDN3"/>
      <c r="KDO3"/>
      <c r="KDP3"/>
      <c r="KDQ3"/>
      <c r="KDR3"/>
      <c r="KDS3"/>
      <c r="KDT3"/>
      <c r="KDU3"/>
      <c r="KDV3"/>
      <c r="KDW3"/>
      <c r="KDX3"/>
      <c r="KDY3"/>
      <c r="KDZ3"/>
      <c r="KEA3"/>
      <c r="KEB3"/>
      <c r="KEC3"/>
      <c r="KED3"/>
      <c r="KEE3"/>
      <c r="KEF3"/>
      <c r="KEG3"/>
      <c r="KEH3"/>
      <c r="KEI3"/>
      <c r="KEJ3"/>
      <c r="KEK3"/>
      <c r="KEL3"/>
      <c r="KEM3"/>
      <c r="KEN3"/>
      <c r="KEO3"/>
      <c r="KEP3"/>
      <c r="KEQ3"/>
      <c r="KER3"/>
      <c r="KES3"/>
      <c r="KET3"/>
      <c r="KEU3"/>
      <c r="KEV3"/>
      <c r="KEW3"/>
      <c r="KEX3"/>
      <c r="KEY3"/>
      <c r="KEZ3"/>
      <c r="KFA3"/>
      <c r="KFB3"/>
      <c r="KFC3"/>
      <c r="KFD3"/>
      <c r="KFE3"/>
      <c r="KFF3"/>
      <c r="KFG3"/>
      <c r="KFH3"/>
      <c r="KFI3"/>
      <c r="KFJ3"/>
      <c r="KFK3"/>
      <c r="KFL3"/>
      <c r="KFM3"/>
      <c r="KFN3"/>
      <c r="KFO3"/>
      <c r="KFP3"/>
      <c r="KFQ3"/>
      <c r="KFR3"/>
      <c r="KFS3"/>
      <c r="KFT3"/>
      <c r="KFU3"/>
      <c r="KFV3"/>
      <c r="KFW3"/>
      <c r="KFX3"/>
      <c r="KFY3"/>
      <c r="KFZ3"/>
      <c r="KGA3"/>
      <c r="KGB3"/>
      <c r="KGC3"/>
      <c r="KGD3"/>
      <c r="KGE3"/>
      <c r="KGF3"/>
      <c r="KGG3"/>
      <c r="KGH3"/>
      <c r="KGI3"/>
      <c r="KGJ3"/>
      <c r="KGK3"/>
      <c r="KGL3"/>
      <c r="KGM3"/>
      <c r="KGN3"/>
      <c r="KGO3"/>
      <c r="KGP3"/>
      <c r="KGQ3"/>
      <c r="KGR3"/>
      <c r="KGS3"/>
      <c r="KGT3"/>
      <c r="KGU3"/>
      <c r="KGV3"/>
      <c r="KGW3"/>
      <c r="KGX3"/>
      <c r="KGY3"/>
      <c r="KGZ3"/>
      <c r="KHA3"/>
      <c r="KHB3"/>
      <c r="KHC3"/>
      <c r="KHD3"/>
      <c r="KHE3"/>
      <c r="KHF3"/>
      <c r="KHG3"/>
      <c r="KHH3"/>
      <c r="KHI3"/>
      <c r="KHJ3"/>
      <c r="KHK3"/>
      <c r="KHL3"/>
      <c r="KHM3"/>
      <c r="KHN3"/>
      <c r="KHO3"/>
      <c r="KHP3"/>
      <c r="KHQ3"/>
      <c r="KHR3"/>
      <c r="KHS3"/>
      <c r="KHT3"/>
      <c r="KHU3"/>
      <c r="KHV3"/>
      <c r="KHW3"/>
      <c r="KHX3"/>
      <c r="KHY3"/>
      <c r="KHZ3"/>
      <c r="KIA3"/>
      <c r="KIB3"/>
      <c r="KIC3"/>
      <c r="KID3"/>
      <c r="KIE3"/>
      <c r="KIF3"/>
      <c r="KIG3"/>
      <c r="KIH3"/>
      <c r="KII3"/>
      <c r="KIJ3"/>
      <c r="KIK3"/>
      <c r="KIL3"/>
      <c r="KIM3"/>
      <c r="KIN3"/>
      <c r="KIO3"/>
      <c r="KIP3"/>
      <c r="KIQ3"/>
      <c r="KIR3"/>
      <c r="KIS3"/>
      <c r="KIT3"/>
      <c r="KIU3"/>
      <c r="KIV3"/>
      <c r="KIW3"/>
      <c r="KIX3"/>
      <c r="KIY3"/>
      <c r="KIZ3"/>
      <c r="KJA3"/>
      <c r="KJB3"/>
      <c r="KJC3"/>
      <c r="KJD3"/>
      <c r="KJE3"/>
      <c r="KJF3"/>
      <c r="KJG3"/>
      <c r="KJH3"/>
      <c r="KJI3"/>
      <c r="KJJ3"/>
      <c r="KJK3"/>
      <c r="KJL3"/>
      <c r="KJM3"/>
      <c r="KJN3"/>
      <c r="KJO3"/>
      <c r="KJP3"/>
      <c r="KJQ3"/>
      <c r="KJR3"/>
      <c r="KJS3"/>
      <c r="KJT3"/>
      <c r="KJU3"/>
      <c r="KJV3"/>
      <c r="KJW3"/>
      <c r="KJX3"/>
      <c r="KJY3"/>
      <c r="KJZ3"/>
      <c r="KKA3"/>
      <c r="KKB3"/>
      <c r="KKC3"/>
      <c r="KKD3"/>
      <c r="KKE3"/>
      <c r="KKF3"/>
      <c r="KKG3"/>
      <c r="KKH3"/>
      <c r="KKI3"/>
      <c r="KKJ3"/>
      <c r="KKK3"/>
      <c r="KKL3"/>
      <c r="KKM3"/>
      <c r="KKN3"/>
      <c r="KKO3"/>
      <c r="KKP3"/>
      <c r="KKQ3"/>
      <c r="KKR3"/>
      <c r="KKS3"/>
      <c r="KKT3"/>
      <c r="KKU3"/>
      <c r="KKV3"/>
      <c r="KKW3"/>
      <c r="KKX3"/>
      <c r="KKY3"/>
      <c r="KKZ3"/>
      <c r="KLA3"/>
      <c r="KLB3"/>
      <c r="KLC3"/>
      <c r="KLD3"/>
      <c r="KLE3"/>
      <c r="KLF3"/>
      <c r="KLG3"/>
      <c r="KLH3"/>
      <c r="KLI3"/>
      <c r="KLJ3"/>
      <c r="KLK3"/>
      <c r="KLL3"/>
      <c r="KLM3"/>
      <c r="KLN3"/>
      <c r="KLO3"/>
      <c r="KLP3"/>
      <c r="KLQ3"/>
      <c r="KLR3"/>
      <c r="KLS3"/>
      <c r="KLT3"/>
      <c r="KLU3"/>
      <c r="KLV3"/>
      <c r="KLW3"/>
      <c r="KLX3"/>
      <c r="KLY3"/>
      <c r="KLZ3"/>
      <c r="KMA3"/>
      <c r="KMB3"/>
      <c r="KMC3"/>
      <c r="KMD3"/>
      <c r="KME3"/>
      <c r="KMF3"/>
      <c r="KMG3"/>
      <c r="KMH3"/>
      <c r="KMI3"/>
      <c r="KMJ3"/>
      <c r="KMK3"/>
      <c r="KML3"/>
      <c r="KMM3"/>
      <c r="KMN3"/>
      <c r="KMO3"/>
      <c r="KMP3"/>
      <c r="KMQ3"/>
      <c r="KMR3"/>
      <c r="KMS3"/>
      <c r="KMT3"/>
      <c r="KMU3"/>
      <c r="KMV3"/>
      <c r="KMW3"/>
      <c r="KMX3"/>
      <c r="KMY3"/>
      <c r="KMZ3"/>
      <c r="KNA3"/>
      <c r="KNB3"/>
      <c r="KNC3"/>
      <c r="KND3"/>
      <c r="KNE3"/>
      <c r="KNF3"/>
      <c r="KNG3"/>
      <c r="KNH3"/>
      <c r="KNI3"/>
      <c r="KNJ3"/>
      <c r="KNK3"/>
      <c r="KNL3"/>
      <c r="KNM3"/>
      <c r="KNN3"/>
      <c r="KNO3"/>
      <c r="KNP3"/>
      <c r="KNQ3"/>
      <c r="KNR3"/>
      <c r="KNS3"/>
      <c r="KNT3"/>
      <c r="KNU3"/>
      <c r="KNV3"/>
      <c r="KNW3"/>
      <c r="KNX3"/>
      <c r="KNY3"/>
      <c r="KNZ3"/>
      <c r="KOA3"/>
      <c r="KOB3"/>
      <c r="KOC3"/>
      <c r="KOD3"/>
      <c r="KOE3"/>
      <c r="KOF3"/>
      <c r="KOG3"/>
      <c r="KOH3"/>
      <c r="KOI3"/>
      <c r="KOJ3"/>
      <c r="KOK3"/>
      <c r="KOL3"/>
      <c r="KOM3"/>
      <c r="KON3"/>
      <c r="KOO3"/>
      <c r="KOP3"/>
      <c r="KOQ3"/>
      <c r="KOR3"/>
      <c r="KOS3"/>
      <c r="KOT3"/>
      <c r="KOU3"/>
      <c r="KOV3"/>
      <c r="KOW3"/>
      <c r="KOX3"/>
      <c r="KOY3"/>
      <c r="KOZ3"/>
      <c r="KPA3"/>
      <c r="KPB3"/>
      <c r="KPC3"/>
      <c r="KPD3"/>
      <c r="KPE3"/>
      <c r="KPF3"/>
      <c r="KPG3"/>
      <c r="KPH3"/>
      <c r="KPI3"/>
      <c r="KPJ3"/>
      <c r="KPK3"/>
      <c r="KPL3"/>
      <c r="KPM3"/>
      <c r="KPN3"/>
      <c r="KPO3"/>
      <c r="KPP3"/>
      <c r="KPQ3"/>
      <c r="KPR3"/>
      <c r="KPS3"/>
      <c r="KPT3"/>
      <c r="KPU3"/>
      <c r="KPV3"/>
      <c r="KPW3"/>
      <c r="KPX3"/>
      <c r="KPY3"/>
      <c r="KPZ3"/>
      <c r="KQA3"/>
      <c r="KQB3"/>
      <c r="KQC3"/>
      <c r="KQD3"/>
      <c r="KQE3"/>
      <c r="KQF3"/>
      <c r="KQG3"/>
      <c r="KQH3"/>
      <c r="KQI3"/>
      <c r="KQJ3"/>
      <c r="KQK3"/>
      <c r="KQL3"/>
      <c r="KQM3"/>
      <c r="KQN3"/>
      <c r="KQO3"/>
      <c r="KQP3"/>
      <c r="KQQ3"/>
      <c r="KQR3"/>
      <c r="KQS3"/>
      <c r="KQT3"/>
      <c r="KQU3"/>
      <c r="KQV3"/>
      <c r="KQW3"/>
      <c r="KQX3"/>
      <c r="KQY3"/>
      <c r="KQZ3"/>
      <c r="KRA3"/>
      <c r="KRB3"/>
      <c r="KRC3"/>
      <c r="KRD3"/>
      <c r="KRE3"/>
      <c r="KRF3"/>
      <c r="KRG3"/>
      <c r="KRH3"/>
      <c r="KRI3"/>
      <c r="KRJ3"/>
      <c r="KRK3"/>
      <c r="KRL3"/>
      <c r="KRM3"/>
      <c r="KRN3"/>
      <c r="KRO3"/>
      <c r="KRP3"/>
      <c r="KRQ3"/>
      <c r="KRR3"/>
      <c r="KRS3"/>
      <c r="KRT3"/>
      <c r="KRU3"/>
      <c r="KRV3"/>
      <c r="KRW3"/>
      <c r="KRX3"/>
      <c r="KRY3"/>
      <c r="KRZ3"/>
      <c r="KSA3"/>
      <c r="KSB3"/>
      <c r="KSC3"/>
      <c r="KSD3"/>
      <c r="KSE3"/>
      <c r="KSF3"/>
      <c r="KSG3"/>
      <c r="KSH3"/>
      <c r="KSI3"/>
      <c r="KSJ3"/>
      <c r="KSK3"/>
      <c r="KSL3"/>
      <c r="KSM3"/>
      <c r="KSN3"/>
      <c r="KSO3"/>
      <c r="KSP3"/>
      <c r="KSQ3"/>
      <c r="KSR3"/>
      <c r="KSS3"/>
      <c r="KST3"/>
      <c r="KSU3"/>
      <c r="KSV3"/>
      <c r="KSW3"/>
      <c r="KSX3"/>
      <c r="KSY3"/>
      <c r="KSZ3"/>
      <c r="KTA3"/>
      <c r="KTB3"/>
      <c r="KTC3"/>
      <c r="KTD3"/>
      <c r="KTE3"/>
      <c r="KTF3"/>
      <c r="KTG3"/>
      <c r="KTH3"/>
      <c r="KTI3"/>
      <c r="KTJ3"/>
      <c r="KTK3"/>
      <c r="KTL3"/>
      <c r="KTM3"/>
      <c r="KTN3"/>
      <c r="KTO3"/>
      <c r="KTP3"/>
      <c r="KTQ3"/>
      <c r="KTR3"/>
      <c r="KTS3"/>
      <c r="KTT3"/>
      <c r="KTU3"/>
      <c r="KTV3"/>
      <c r="KTW3"/>
      <c r="KTX3"/>
      <c r="KTY3"/>
      <c r="KTZ3"/>
      <c r="KUA3"/>
      <c r="KUB3"/>
      <c r="KUC3"/>
      <c r="KUD3"/>
      <c r="KUE3"/>
      <c r="KUF3"/>
      <c r="KUG3"/>
      <c r="KUH3"/>
      <c r="KUI3"/>
      <c r="KUJ3"/>
      <c r="KUK3"/>
      <c r="KUL3"/>
      <c r="KUM3"/>
      <c r="KUN3"/>
      <c r="KUO3"/>
      <c r="KUP3"/>
      <c r="KUQ3"/>
      <c r="KUR3"/>
      <c r="KUS3"/>
      <c r="KUT3"/>
      <c r="KUU3"/>
      <c r="KUV3"/>
      <c r="KUW3"/>
      <c r="KUX3"/>
      <c r="KUY3"/>
      <c r="KUZ3"/>
      <c r="KVA3"/>
      <c r="KVB3"/>
      <c r="KVC3"/>
      <c r="KVD3"/>
      <c r="KVE3"/>
      <c r="KVF3"/>
      <c r="KVG3"/>
      <c r="KVH3"/>
      <c r="KVI3"/>
      <c r="KVJ3"/>
      <c r="KVK3"/>
      <c r="KVL3"/>
      <c r="KVM3"/>
      <c r="KVN3"/>
      <c r="KVO3"/>
      <c r="KVP3"/>
      <c r="KVQ3"/>
      <c r="KVR3"/>
      <c r="KVS3"/>
      <c r="KVT3"/>
      <c r="KVU3"/>
      <c r="KVV3"/>
      <c r="KVW3"/>
      <c r="KVX3"/>
      <c r="KVY3"/>
      <c r="KVZ3"/>
      <c r="KWA3"/>
      <c r="KWB3"/>
      <c r="KWC3"/>
      <c r="KWD3"/>
      <c r="KWE3"/>
      <c r="KWF3"/>
      <c r="KWG3"/>
      <c r="KWH3"/>
      <c r="KWI3"/>
      <c r="KWJ3"/>
      <c r="KWK3"/>
      <c r="KWL3"/>
      <c r="KWM3"/>
      <c r="KWN3"/>
      <c r="KWO3"/>
      <c r="KWP3"/>
      <c r="KWQ3"/>
      <c r="KWR3"/>
      <c r="KWS3"/>
      <c r="KWT3"/>
      <c r="KWU3"/>
      <c r="KWV3"/>
      <c r="KWW3"/>
      <c r="KWX3"/>
      <c r="KWY3"/>
      <c r="KWZ3"/>
      <c r="KXA3"/>
      <c r="KXB3"/>
      <c r="KXC3"/>
      <c r="KXD3"/>
      <c r="KXE3"/>
      <c r="KXF3"/>
      <c r="KXG3"/>
      <c r="KXH3"/>
      <c r="KXI3"/>
      <c r="KXJ3"/>
      <c r="KXK3"/>
      <c r="KXL3"/>
      <c r="KXM3"/>
      <c r="KXN3"/>
      <c r="KXO3"/>
      <c r="KXP3"/>
      <c r="KXQ3"/>
      <c r="KXR3"/>
      <c r="KXS3"/>
      <c r="KXT3"/>
      <c r="KXU3"/>
      <c r="KXV3"/>
      <c r="KXW3"/>
      <c r="KXX3"/>
      <c r="KXY3"/>
      <c r="KXZ3"/>
      <c r="KYA3"/>
      <c r="KYB3"/>
      <c r="KYC3"/>
      <c r="KYD3"/>
      <c r="KYE3"/>
      <c r="KYF3"/>
      <c r="KYG3"/>
      <c r="KYH3"/>
      <c r="KYI3"/>
      <c r="KYJ3"/>
      <c r="KYK3"/>
      <c r="KYL3"/>
      <c r="KYM3"/>
      <c r="KYN3"/>
      <c r="KYO3"/>
      <c r="KYP3"/>
      <c r="KYQ3"/>
      <c r="KYR3"/>
      <c r="KYS3"/>
      <c r="KYT3"/>
      <c r="KYU3"/>
      <c r="KYV3"/>
      <c r="KYW3"/>
      <c r="KYX3"/>
      <c r="KYY3"/>
      <c r="KYZ3"/>
      <c r="KZA3"/>
      <c r="KZB3"/>
      <c r="KZC3"/>
      <c r="KZD3"/>
      <c r="KZE3"/>
      <c r="KZF3"/>
      <c r="KZG3"/>
      <c r="KZH3"/>
      <c r="KZI3"/>
      <c r="KZJ3"/>
      <c r="KZK3"/>
      <c r="KZL3"/>
      <c r="KZM3"/>
      <c r="KZN3"/>
      <c r="KZO3"/>
      <c r="KZP3"/>
      <c r="KZQ3"/>
      <c r="KZR3"/>
      <c r="KZS3"/>
      <c r="KZT3"/>
      <c r="KZU3"/>
      <c r="KZV3"/>
      <c r="KZW3"/>
      <c r="KZX3"/>
      <c r="KZY3"/>
      <c r="KZZ3"/>
      <c r="LAA3"/>
      <c r="LAB3"/>
      <c r="LAC3"/>
      <c r="LAD3"/>
      <c r="LAE3"/>
      <c r="LAF3"/>
      <c r="LAG3"/>
      <c r="LAH3"/>
      <c r="LAI3"/>
      <c r="LAJ3"/>
      <c r="LAK3"/>
      <c r="LAL3"/>
      <c r="LAM3"/>
      <c r="LAN3"/>
      <c r="LAO3"/>
      <c r="LAP3"/>
      <c r="LAQ3"/>
      <c r="LAR3"/>
      <c r="LAS3"/>
      <c r="LAT3"/>
      <c r="LAU3"/>
      <c r="LAV3"/>
      <c r="LAW3"/>
      <c r="LAX3"/>
      <c r="LAY3"/>
      <c r="LAZ3"/>
      <c r="LBA3"/>
      <c r="LBB3"/>
      <c r="LBC3"/>
      <c r="LBD3"/>
      <c r="LBE3"/>
      <c r="LBF3"/>
      <c r="LBG3"/>
      <c r="LBH3"/>
      <c r="LBI3"/>
      <c r="LBJ3"/>
      <c r="LBK3"/>
      <c r="LBL3"/>
      <c r="LBM3"/>
      <c r="LBN3"/>
      <c r="LBO3"/>
      <c r="LBP3"/>
      <c r="LBQ3"/>
      <c r="LBR3"/>
      <c r="LBS3"/>
      <c r="LBT3"/>
      <c r="LBU3"/>
      <c r="LBV3"/>
      <c r="LBW3"/>
      <c r="LBX3"/>
      <c r="LBY3"/>
      <c r="LBZ3"/>
      <c r="LCA3"/>
      <c r="LCB3"/>
      <c r="LCC3"/>
      <c r="LCD3"/>
      <c r="LCE3"/>
      <c r="LCF3"/>
      <c r="LCG3"/>
      <c r="LCH3"/>
      <c r="LCI3"/>
      <c r="LCJ3"/>
      <c r="LCK3"/>
      <c r="LCL3"/>
      <c r="LCM3"/>
      <c r="LCN3"/>
      <c r="LCO3"/>
      <c r="LCP3"/>
      <c r="LCQ3"/>
      <c r="LCR3"/>
      <c r="LCS3"/>
      <c r="LCT3"/>
      <c r="LCU3"/>
      <c r="LCV3"/>
      <c r="LCW3"/>
      <c r="LCX3"/>
      <c r="LCY3"/>
      <c r="LCZ3"/>
      <c r="LDA3"/>
      <c r="LDB3"/>
      <c r="LDC3"/>
      <c r="LDD3"/>
      <c r="LDE3"/>
      <c r="LDF3"/>
      <c r="LDG3"/>
      <c r="LDH3"/>
      <c r="LDI3"/>
      <c r="LDJ3"/>
      <c r="LDK3"/>
      <c r="LDL3"/>
      <c r="LDM3"/>
      <c r="LDN3"/>
      <c r="LDO3"/>
      <c r="LDP3"/>
      <c r="LDQ3"/>
      <c r="LDR3"/>
      <c r="LDS3"/>
      <c r="LDT3"/>
      <c r="LDU3"/>
      <c r="LDV3"/>
      <c r="LDW3"/>
      <c r="LDX3"/>
      <c r="LDY3"/>
      <c r="LDZ3"/>
      <c r="LEA3"/>
      <c r="LEB3"/>
      <c r="LEC3"/>
      <c r="LED3"/>
      <c r="LEE3"/>
      <c r="LEF3"/>
      <c r="LEG3"/>
      <c r="LEH3"/>
      <c r="LEI3"/>
      <c r="LEJ3"/>
      <c r="LEK3"/>
      <c r="LEL3"/>
      <c r="LEM3"/>
      <c r="LEN3"/>
      <c r="LEO3"/>
      <c r="LEP3"/>
      <c r="LEQ3"/>
      <c r="LER3"/>
      <c r="LES3"/>
      <c r="LET3"/>
      <c r="LEU3"/>
      <c r="LEV3"/>
      <c r="LEW3"/>
      <c r="LEX3"/>
      <c r="LEY3"/>
      <c r="LEZ3"/>
      <c r="LFA3"/>
      <c r="LFB3"/>
      <c r="LFC3"/>
      <c r="LFD3"/>
      <c r="LFE3"/>
      <c r="LFF3"/>
      <c r="LFG3"/>
      <c r="LFH3"/>
      <c r="LFI3"/>
      <c r="LFJ3"/>
      <c r="LFK3"/>
      <c r="LFL3"/>
      <c r="LFM3"/>
      <c r="LFN3"/>
      <c r="LFO3"/>
      <c r="LFP3"/>
      <c r="LFQ3"/>
      <c r="LFR3"/>
      <c r="LFS3"/>
      <c r="LFT3"/>
      <c r="LFU3"/>
      <c r="LFV3"/>
      <c r="LFW3"/>
      <c r="LFX3"/>
      <c r="LFY3"/>
      <c r="LFZ3"/>
      <c r="LGA3"/>
      <c r="LGB3"/>
      <c r="LGC3"/>
      <c r="LGD3"/>
      <c r="LGE3"/>
      <c r="LGF3"/>
      <c r="LGG3"/>
      <c r="LGH3"/>
      <c r="LGI3"/>
      <c r="LGJ3"/>
      <c r="LGK3"/>
      <c r="LGL3"/>
      <c r="LGM3"/>
      <c r="LGN3"/>
      <c r="LGO3"/>
      <c r="LGP3"/>
      <c r="LGQ3"/>
      <c r="LGR3"/>
      <c r="LGS3"/>
      <c r="LGT3"/>
      <c r="LGU3"/>
      <c r="LGV3"/>
      <c r="LGW3"/>
      <c r="LGX3"/>
      <c r="LGY3"/>
      <c r="LGZ3"/>
      <c r="LHA3"/>
      <c r="LHB3"/>
      <c r="LHC3"/>
      <c r="LHD3"/>
      <c r="LHE3"/>
      <c r="LHF3"/>
      <c r="LHG3"/>
      <c r="LHH3"/>
      <c r="LHI3"/>
      <c r="LHJ3"/>
      <c r="LHK3"/>
      <c r="LHL3"/>
      <c r="LHM3"/>
      <c r="LHN3"/>
      <c r="LHO3"/>
      <c r="LHP3"/>
      <c r="LHQ3"/>
      <c r="LHR3"/>
      <c r="LHS3"/>
      <c r="LHT3"/>
      <c r="LHU3"/>
      <c r="LHV3"/>
      <c r="LHW3"/>
      <c r="LHX3"/>
      <c r="LHY3"/>
      <c r="LHZ3"/>
      <c r="LIA3"/>
      <c r="LIB3"/>
      <c r="LIC3"/>
      <c r="LID3"/>
      <c r="LIE3"/>
      <c r="LIF3"/>
      <c r="LIG3"/>
      <c r="LIH3"/>
      <c r="LII3"/>
      <c r="LIJ3"/>
      <c r="LIK3"/>
      <c r="LIL3"/>
      <c r="LIM3"/>
      <c r="LIN3"/>
      <c r="LIO3"/>
      <c r="LIP3"/>
      <c r="LIQ3"/>
      <c r="LIR3"/>
      <c r="LIS3"/>
      <c r="LIT3"/>
      <c r="LIU3"/>
      <c r="LIV3"/>
      <c r="LIW3"/>
      <c r="LIX3"/>
      <c r="LIY3"/>
      <c r="LIZ3"/>
      <c r="LJA3"/>
      <c r="LJB3"/>
      <c r="LJC3"/>
      <c r="LJD3"/>
      <c r="LJE3"/>
      <c r="LJF3"/>
      <c r="LJG3"/>
      <c r="LJH3"/>
      <c r="LJI3"/>
      <c r="LJJ3"/>
      <c r="LJK3"/>
      <c r="LJL3"/>
      <c r="LJM3"/>
      <c r="LJN3"/>
      <c r="LJO3"/>
      <c r="LJP3"/>
      <c r="LJQ3"/>
      <c r="LJR3"/>
      <c r="LJS3"/>
      <c r="LJT3"/>
      <c r="LJU3"/>
      <c r="LJV3"/>
      <c r="LJW3"/>
      <c r="LJX3"/>
      <c r="LJY3"/>
      <c r="LJZ3"/>
      <c r="LKA3"/>
      <c r="LKB3"/>
      <c r="LKC3"/>
      <c r="LKD3"/>
      <c r="LKE3"/>
      <c r="LKF3"/>
      <c r="LKG3"/>
      <c r="LKH3"/>
      <c r="LKI3"/>
      <c r="LKJ3"/>
      <c r="LKK3"/>
      <c r="LKL3"/>
      <c r="LKM3"/>
      <c r="LKN3"/>
      <c r="LKO3"/>
      <c r="LKP3"/>
      <c r="LKQ3"/>
      <c r="LKR3"/>
      <c r="LKS3"/>
      <c r="LKT3"/>
      <c r="LKU3"/>
      <c r="LKV3"/>
      <c r="LKW3"/>
      <c r="LKX3"/>
      <c r="LKY3"/>
      <c r="LKZ3"/>
      <c r="LLA3"/>
      <c r="LLB3"/>
      <c r="LLC3"/>
      <c r="LLD3"/>
      <c r="LLE3"/>
      <c r="LLF3"/>
      <c r="LLG3"/>
      <c r="LLH3"/>
      <c r="LLI3"/>
      <c r="LLJ3"/>
      <c r="LLK3"/>
      <c r="LLL3"/>
      <c r="LLM3"/>
      <c r="LLN3"/>
      <c r="LLO3"/>
      <c r="LLP3"/>
      <c r="LLQ3"/>
      <c r="LLR3"/>
      <c r="LLS3"/>
      <c r="LLT3"/>
      <c r="LLU3"/>
      <c r="LLV3"/>
      <c r="LLW3"/>
      <c r="LLX3"/>
      <c r="LLY3"/>
      <c r="LLZ3"/>
      <c r="LMA3"/>
      <c r="LMB3"/>
      <c r="LMC3"/>
      <c r="LMD3"/>
      <c r="LME3"/>
      <c r="LMF3"/>
      <c r="LMG3"/>
      <c r="LMH3"/>
      <c r="LMI3"/>
      <c r="LMJ3"/>
      <c r="LMK3"/>
      <c r="LML3"/>
      <c r="LMM3"/>
      <c r="LMN3"/>
      <c r="LMO3"/>
      <c r="LMP3"/>
      <c r="LMQ3"/>
      <c r="LMR3"/>
      <c r="LMS3"/>
      <c r="LMT3"/>
      <c r="LMU3"/>
      <c r="LMV3"/>
      <c r="LMW3"/>
      <c r="LMX3"/>
      <c r="LMY3"/>
      <c r="LMZ3"/>
      <c r="LNA3"/>
      <c r="LNB3"/>
      <c r="LNC3"/>
      <c r="LND3"/>
      <c r="LNE3"/>
      <c r="LNF3"/>
      <c r="LNG3"/>
      <c r="LNH3"/>
      <c r="LNI3"/>
      <c r="LNJ3"/>
      <c r="LNK3"/>
      <c r="LNL3"/>
      <c r="LNM3"/>
      <c r="LNN3"/>
      <c r="LNO3"/>
      <c r="LNP3"/>
      <c r="LNQ3"/>
      <c r="LNR3"/>
      <c r="LNS3"/>
      <c r="LNT3"/>
      <c r="LNU3"/>
      <c r="LNV3"/>
      <c r="LNW3"/>
      <c r="LNX3"/>
      <c r="LNY3"/>
      <c r="LNZ3"/>
      <c r="LOA3"/>
      <c r="LOB3"/>
      <c r="LOC3"/>
      <c r="LOD3"/>
      <c r="LOE3"/>
      <c r="LOF3"/>
      <c r="LOG3"/>
      <c r="LOH3"/>
      <c r="LOI3"/>
      <c r="LOJ3"/>
      <c r="LOK3"/>
      <c r="LOL3"/>
      <c r="LOM3"/>
      <c r="LON3"/>
      <c r="LOO3"/>
      <c r="LOP3"/>
      <c r="LOQ3"/>
      <c r="LOR3"/>
      <c r="LOS3"/>
      <c r="LOT3"/>
      <c r="LOU3"/>
      <c r="LOV3"/>
      <c r="LOW3"/>
      <c r="LOX3"/>
      <c r="LOY3"/>
      <c r="LOZ3"/>
      <c r="LPA3"/>
      <c r="LPB3"/>
      <c r="LPC3"/>
      <c r="LPD3"/>
      <c r="LPE3"/>
      <c r="LPF3"/>
      <c r="LPG3"/>
      <c r="LPH3"/>
      <c r="LPI3"/>
      <c r="LPJ3"/>
      <c r="LPK3"/>
      <c r="LPL3"/>
      <c r="LPM3"/>
      <c r="LPN3"/>
      <c r="LPO3"/>
      <c r="LPP3"/>
      <c r="LPQ3"/>
      <c r="LPR3"/>
      <c r="LPS3"/>
      <c r="LPT3"/>
      <c r="LPU3"/>
      <c r="LPV3"/>
      <c r="LPW3"/>
      <c r="LPX3"/>
      <c r="LPY3"/>
      <c r="LPZ3"/>
      <c r="LQA3"/>
      <c r="LQB3"/>
      <c r="LQC3"/>
      <c r="LQD3"/>
      <c r="LQE3"/>
      <c r="LQF3"/>
      <c r="LQG3"/>
      <c r="LQH3"/>
      <c r="LQI3"/>
      <c r="LQJ3"/>
      <c r="LQK3"/>
      <c r="LQL3"/>
      <c r="LQM3"/>
      <c r="LQN3"/>
      <c r="LQO3"/>
      <c r="LQP3"/>
      <c r="LQQ3"/>
      <c r="LQR3"/>
      <c r="LQS3"/>
      <c r="LQT3"/>
      <c r="LQU3"/>
      <c r="LQV3"/>
      <c r="LQW3"/>
      <c r="LQX3"/>
      <c r="LQY3"/>
      <c r="LQZ3"/>
      <c r="LRA3"/>
      <c r="LRB3"/>
      <c r="LRC3"/>
      <c r="LRD3"/>
      <c r="LRE3"/>
      <c r="LRF3"/>
      <c r="LRG3"/>
      <c r="LRH3"/>
      <c r="LRI3"/>
      <c r="LRJ3"/>
      <c r="LRK3"/>
      <c r="LRL3"/>
      <c r="LRM3"/>
      <c r="LRN3"/>
      <c r="LRO3"/>
      <c r="LRP3"/>
      <c r="LRQ3"/>
      <c r="LRR3"/>
      <c r="LRS3"/>
      <c r="LRT3"/>
      <c r="LRU3"/>
      <c r="LRV3"/>
      <c r="LRW3"/>
      <c r="LRX3"/>
      <c r="LRY3"/>
      <c r="LRZ3"/>
      <c r="LSA3"/>
      <c r="LSB3"/>
      <c r="LSC3"/>
      <c r="LSD3"/>
      <c r="LSE3"/>
      <c r="LSF3"/>
      <c r="LSG3"/>
      <c r="LSH3"/>
      <c r="LSI3"/>
      <c r="LSJ3"/>
      <c r="LSK3"/>
      <c r="LSL3"/>
      <c r="LSM3"/>
      <c r="LSN3"/>
      <c r="LSO3"/>
      <c r="LSP3"/>
      <c r="LSQ3"/>
      <c r="LSR3"/>
      <c r="LSS3"/>
      <c r="LST3"/>
      <c r="LSU3"/>
      <c r="LSV3"/>
      <c r="LSW3"/>
      <c r="LSX3"/>
      <c r="LSY3"/>
      <c r="LSZ3"/>
      <c r="LTA3"/>
      <c r="LTB3"/>
      <c r="LTC3"/>
      <c r="LTD3"/>
      <c r="LTE3"/>
      <c r="LTF3"/>
      <c r="LTG3"/>
      <c r="LTH3"/>
      <c r="LTI3"/>
      <c r="LTJ3"/>
      <c r="LTK3"/>
      <c r="LTL3"/>
      <c r="LTM3"/>
      <c r="LTN3"/>
      <c r="LTO3"/>
      <c r="LTP3"/>
      <c r="LTQ3"/>
      <c r="LTR3"/>
      <c r="LTS3"/>
      <c r="LTT3"/>
      <c r="LTU3"/>
      <c r="LTV3"/>
      <c r="LTW3"/>
      <c r="LTX3"/>
      <c r="LTY3"/>
      <c r="LTZ3"/>
      <c r="LUA3"/>
      <c r="LUB3"/>
      <c r="LUC3"/>
      <c r="LUD3"/>
      <c r="LUE3"/>
      <c r="LUF3"/>
      <c r="LUG3"/>
      <c r="LUH3"/>
      <c r="LUI3"/>
      <c r="LUJ3"/>
      <c r="LUK3"/>
      <c r="LUL3"/>
      <c r="LUM3"/>
      <c r="LUN3"/>
      <c r="LUO3"/>
      <c r="LUP3"/>
      <c r="LUQ3"/>
      <c r="LUR3"/>
      <c r="LUS3"/>
      <c r="LUT3"/>
      <c r="LUU3"/>
      <c r="LUV3"/>
      <c r="LUW3"/>
      <c r="LUX3"/>
      <c r="LUY3"/>
      <c r="LUZ3"/>
      <c r="LVA3"/>
      <c r="LVB3"/>
      <c r="LVC3"/>
      <c r="LVD3"/>
      <c r="LVE3"/>
      <c r="LVF3"/>
      <c r="LVG3"/>
      <c r="LVH3"/>
      <c r="LVI3"/>
      <c r="LVJ3"/>
      <c r="LVK3"/>
      <c r="LVL3"/>
      <c r="LVM3"/>
      <c r="LVN3"/>
      <c r="LVO3"/>
      <c r="LVP3"/>
      <c r="LVQ3"/>
      <c r="LVR3"/>
      <c r="LVS3"/>
      <c r="LVT3"/>
      <c r="LVU3"/>
      <c r="LVV3"/>
      <c r="LVW3"/>
      <c r="LVX3"/>
      <c r="LVY3"/>
      <c r="LVZ3"/>
      <c r="LWA3"/>
      <c r="LWB3"/>
      <c r="LWC3"/>
      <c r="LWD3"/>
      <c r="LWE3"/>
      <c r="LWF3"/>
      <c r="LWG3"/>
      <c r="LWH3"/>
      <c r="LWI3"/>
      <c r="LWJ3"/>
      <c r="LWK3"/>
      <c r="LWL3"/>
      <c r="LWM3"/>
      <c r="LWN3"/>
      <c r="LWO3"/>
      <c r="LWP3"/>
      <c r="LWQ3"/>
      <c r="LWR3"/>
      <c r="LWS3"/>
      <c r="LWT3"/>
      <c r="LWU3"/>
      <c r="LWV3"/>
      <c r="LWW3"/>
      <c r="LWX3"/>
      <c r="LWY3"/>
      <c r="LWZ3"/>
      <c r="LXA3"/>
      <c r="LXB3"/>
      <c r="LXC3"/>
      <c r="LXD3"/>
      <c r="LXE3"/>
      <c r="LXF3"/>
      <c r="LXG3"/>
      <c r="LXH3"/>
      <c r="LXI3"/>
      <c r="LXJ3"/>
      <c r="LXK3"/>
      <c r="LXL3"/>
      <c r="LXM3"/>
      <c r="LXN3"/>
      <c r="LXO3"/>
      <c r="LXP3"/>
      <c r="LXQ3"/>
      <c r="LXR3"/>
      <c r="LXS3"/>
      <c r="LXT3"/>
      <c r="LXU3"/>
      <c r="LXV3"/>
      <c r="LXW3"/>
      <c r="LXX3"/>
      <c r="LXY3"/>
      <c r="LXZ3"/>
      <c r="LYA3"/>
      <c r="LYB3"/>
      <c r="LYC3"/>
      <c r="LYD3"/>
      <c r="LYE3"/>
      <c r="LYF3"/>
      <c r="LYG3"/>
      <c r="LYH3"/>
      <c r="LYI3"/>
      <c r="LYJ3"/>
      <c r="LYK3"/>
      <c r="LYL3"/>
      <c r="LYM3"/>
      <c r="LYN3"/>
      <c r="LYO3"/>
      <c r="LYP3"/>
      <c r="LYQ3"/>
      <c r="LYR3"/>
      <c r="LYS3"/>
      <c r="LYT3"/>
      <c r="LYU3"/>
      <c r="LYV3"/>
      <c r="LYW3"/>
      <c r="LYX3"/>
      <c r="LYY3"/>
      <c r="LYZ3"/>
      <c r="LZA3"/>
      <c r="LZB3"/>
      <c r="LZC3"/>
      <c r="LZD3"/>
      <c r="LZE3"/>
      <c r="LZF3"/>
      <c r="LZG3"/>
      <c r="LZH3"/>
      <c r="LZI3"/>
      <c r="LZJ3"/>
      <c r="LZK3"/>
      <c r="LZL3"/>
      <c r="LZM3"/>
      <c r="LZN3"/>
      <c r="LZO3"/>
      <c r="LZP3"/>
      <c r="LZQ3"/>
      <c r="LZR3"/>
      <c r="LZS3"/>
      <c r="LZT3"/>
      <c r="LZU3"/>
      <c r="LZV3"/>
      <c r="LZW3"/>
      <c r="LZX3"/>
      <c r="LZY3"/>
      <c r="LZZ3"/>
      <c r="MAA3"/>
      <c r="MAB3"/>
      <c r="MAC3"/>
      <c r="MAD3"/>
      <c r="MAE3"/>
      <c r="MAF3"/>
      <c r="MAG3"/>
      <c r="MAH3"/>
      <c r="MAI3"/>
      <c r="MAJ3"/>
      <c r="MAK3"/>
      <c r="MAL3"/>
      <c r="MAM3"/>
      <c r="MAN3"/>
      <c r="MAO3"/>
      <c r="MAP3"/>
      <c r="MAQ3"/>
      <c r="MAR3"/>
      <c r="MAS3"/>
      <c r="MAT3"/>
      <c r="MAU3"/>
      <c r="MAV3"/>
      <c r="MAW3"/>
      <c r="MAX3"/>
      <c r="MAY3"/>
      <c r="MAZ3"/>
      <c r="MBA3"/>
      <c r="MBB3"/>
      <c r="MBC3"/>
      <c r="MBD3"/>
      <c r="MBE3"/>
      <c r="MBF3"/>
      <c r="MBG3"/>
      <c r="MBH3"/>
      <c r="MBI3"/>
      <c r="MBJ3"/>
      <c r="MBK3"/>
      <c r="MBL3"/>
      <c r="MBM3"/>
      <c r="MBN3"/>
      <c r="MBO3"/>
      <c r="MBP3"/>
      <c r="MBQ3"/>
      <c r="MBR3"/>
      <c r="MBS3"/>
      <c r="MBT3"/>
      <c r="MBU3"/>
      <c r="MBV3"/>
      <c r="MBW3"/>
      <c r="MBX3"/>
      <c r="MBY3"/>
      <c r="MBZ3"/>
      <c r="MCA3"/>
      <c r="MCB3"/>
      <c r="MCC3"/>
      <c r="MCD3"/>
      <c r="MCE3"/>
      <c r="MCF3"/>
      <c r="MCG3"/>
      <c r="MCH3"/>
      <c r="MCI3"/>
      <c r="MCJ3"/>
      <c r="MCK3"/>
      <c r="MCL3"/>
      <c r="MCM3"/>
      <c r="MCN3"/>
      <c r="MCO3"/>
      <c r="MCP3"/>
      <c r="MCQ3"/>
      <c r="MCR3"/>
      <c r="MCS3"/>
      <c r="MCT3"/>
      <c r="MCU3"/>
      <c r="MCV3"/>
      <c r="MCW3"/>
      <c r="MCX3"/>
      <c r="MCY3"/>
      <c r="MCZ3"/>
      <c r="MDA3"/>
      <c r="MDB3"/>
      <c r="MDC3"/>
      <c r="MDD3"/>
      <c r="MDE3"/>
      <c r="MDF3"/>
      <c r="MDG3"/>
      <c r="MDH3"/>
      <c r="MDI3"/>
      <c r="MDJ3"/>
      <c r="MDK3"/>
      <c r="MDL3"/>
      <c r="MDM3"/>
      <c r="MDN3"/>
      <c r="MDO3"/>
      <c r="MDP3"/>
      <c r="MDQ3"/>
      <c r="MDR3"/>
      <c r="MDS3"/>
      <c r="MDT3"/>
      <c r="MDU3"/>
      <c r="MDV3"/>
      <c r="MDW3"/>
      <c r="MDX3"/>
      <c r="MDY3"/>
      <c r="MDZ3"/>
      <c r="MEA3"/>
      <c r="MEB3"/>
      <c r="MEC3"/>
      <c r="MED3"/>
      <c r="MEE3"/>
      <c r="MEF3"/>
      <c r="MEG3"/>
      <c r="MEH3"/>
      <c r="MEI3"/>
      <c r="MEJ3"/>
      <c r="MEK3"/>
      <c r="MEL3"/>
      <c r="MEM3"/>
      <c r="MEN3"/>
      <c r="MEO3"/>
      <c r="MEP3"/>
      <c r="MEQ3"/>
      <c r="MER3"/>
      <c r="MES3"/>
      <c r="MET3"/>
      <c r="MEU3"/>
      <c r="MEV3"/>
      <c r="MEW3"/>
      <c r="MEX3"/>
      <c r="MEY3"/>
      <c r="MEZ3"/>
      <c r="MFA3"/>
      <c r="MFB3"/>
      <c r="MFC3"/>
      <c r="MFD3"/>
      <c r="MFE3"/>
      <c r="MFF3"/>
      <c r="MFG3"/>
      <c r="MFH3"/>
      <c r="MFI3"/>
      <c r="MFJ3"/>
      <c r="MFK3"/>
      <c r="MFL3"/>
      <c r="MFM3"/>
      <c r="MFN3"/>
      <c r="MFO3"/>
      <c r="MFP3"/>
      <c r="MFQ3"/>
      <c r="MFR3"/>
      <c r="MFS3"/>
      <c r="MFT3"/>
      <c r="MFU3"/>
      <c r="MFV3"/>
      <c r="MFW3"/>
      <c r="MFX3"/>
      <c r="MFY3"/>
      <c r="MFZ3"/>
      <c r="MGA3"/>
      <c r="MGB3"/>
      <c r="MGC3"/>
      <c r="MGD3"/>
      <c r="MGE3"/>
      <c r="MGF3"/>
      <c r="MGG3"/>
      <c r="MGH3"/>
      <c r="MGI3"/>
      <c r="MGJ3"/>
      <c r="MGK3"/>
      <c r="MGL3"/>
      <c r="MGM3"/>
      <c r="MGN3"/>
      <c r="MGO3"/>
      <c r="MGP3"/>
      <c r="MGQ3"/>
      <c r="MGR3"/>
      <c r="MGS3"/>
      <c r="MGT3"/>
      <c r="MGU3"/>
      <c r="MGV3"/>
      <c r="MGW3"/>
      <c r="MGX3"/>
      <c r="MGY3"/>
      <c r="MGZ3"/>
      <c r="MHA3"/>
      <c r="MHB3"/>
      <c r="MHC3"/>
      <c r="MHD3"/>
      <c r="MHE3"/>
      <c r="MHF3"/>
      <c r="MHG3"/>
      <c r="MHH3"/>
      <c r="MHI3"/>
      <c r="MHJ3"/>
      <c r="MHK3"/>
      <c r="MHL3"/>
      <c r="MHM3"/>
      <c r="MHN3"/>
      <c r="MHO3"/>
      <c r="MHP3"/>
      <c r="MHQ3"/>
      <c r="MHR3"/>
      <c r="MHS3"/>
      <c r="MHT3"/>
      <c r="MHU3"/>
      <c r="MHV3"/>
      <c r="MHW3"/>
      <c r="MHX3"/>
      <c r="MHY3"/>
      <c r="MHZ3"/>
      <c r="MIA3"/>
      <c r="MIB3"/>
      <c r="MIC3"/>
      <c r="MID3"/>
      <c r="MIE3"/>
      <c r="MIF3"/>
      <c r="MIG3"/>
      <c r="MIH3"/>
      <c r="MII3"/>
      <c r="MIJ3"/>
      <c r="MIK3"/>
      <c r="MIL3"/>
      <c r="MIM3"/>
      <c r="MIN3"/>
      <c r="MIO3"/>
      <c r="MIP3"/>
      <c r="MIQ3"/>
      <c r="MIR3"/>
      <c r="MIS3"/>
      <c r="MIT3"/>
      <c r="MIU3"/>
      <c r="MIV3"/>
      <c r="MIW3"/>
      <c r="MIX3"/>
      <c r="MIY3"/>
      <c r="MIZ3"/>
      <c r="MJA3"/>
      <c r="MJB3"/>
      <c r="MJC3"/>
      <c r="MJD3"/>
      <c r="MJE3"/>
      <c r="MJF3"/>
      <c r="MJG3"/>
      <c r="MJH3"/>
      <c r="MJI3"/>
      <c r="MJJ3"/>
      <c r="MJK3"/>
      <c r="MJL3"/>
      <c r="MJM3"/>
      <c r="MJN3"/>
      <c r="MJO3"/>
      <c r="MJP3"/>
      <c r="MJQ3"/>
      <c r="MJR3"/>
      <c r="MJS3"/>
      <c r="MJT3"/>
      <c r="MJU3"/>
      <c r="MJV3"/>
      <c r="MJW3"/>
      <c r="MJX3"/>
      <c r="MJY3"/>
      <c r="MJZ3"/>
      <c r="MKA3"/>
      <c r="MKB3"/>
      <c r="MKC3"/>
      <c r="MKD3"/>
      <c r="MKE3"/>
      <c r="MKF3"/>
      <c r="MKG3"/>
      <c r="MKH3"/>
      <c r="MKI3"/>
      <c r="MKJ3"/>
      <c r="MKK3"/>
      <c r="MKL3"/>
      <c r="MKM3"/>
      <c r="MKN3"/>
      <c r="MKO3"/>
      <c r="MKP3"/>
      <c r="MKQ3"/>
      <c r="MKR3"/>
      <c r="MKS3"/>
      <c r="MKT3"/>
      <c r="MKU3"/>
      <c r="MKV3"/>
      <c r="MKW3"/>
      <c r="MKX3"/>
      <c r="MKY3"/>
      <c r="MKZ3"/>
      <c r="MLA3"/>
      <c r="MLB3"/>
      <c r="MLC3"/>
      <c r="MLD3"/>
      <c r="MLE3"/>
      <c r="MLF3"/>
      <c r="MLG3"/>
      <c r="MLH3"/>
      <c r="MLI3"/>
      <c r="MLJ3"/>
      <c r="MLK3"/>
      <c r="MLL3"/>
      <c r="MLM3"/>
      <c r="MLN3"/>
      <c r="MLO3"/>
      <c r="MLP3"/>
      <c r="MLQ3"/>
      <c r="MLR3"/>
      <c r="MLS3"/>
      <c r="MLT3"/>
      <c r="MLU3"/>
      <c r="MLV3"/>
      <c r="MLW3"/>
      <c r="MLX3"/>
      <c r="MLY3"/>
      <c r="MLZ3"/>
      <c r="MMA3"/>
      <c r="MMB3"/>
      <c r="MMC3"/>
      <c r="MMD3"/>
      <c r="MME3"/>
      <c r="MMF3"/>
      <c r="MMG3"/>
      <c r="MMH3"/>
      <c r="MMI3"/>
      <c r="MMJ3"/>
      <c r="MMK3"/>
      <c r="MML3"/>
      <c r="MMM3"/>
      <c r="MMN3"/>
      <c r="MMO3"/>
      <c r="MMP3"/>
      <c r="MMQ3"/>
      <c r="MMR3"/>
      <c r="MMS3"/>
      <c r="MMT3"/>
      <c r="MMU3"/>
      <c r="MMV3"/>
      <c r="MMW3"/>
      <c r="MMX3"/>
      <c r="MMY3"/>
      <c r="MMZ3"/>
      <c r="MNA3"/>
      <c r="MNB3"/>
      <c r="MNC3"/>
      <c r="MND3"/>
      <c r="MNE3"/>
      <c r="MNF3"/>
      <c r="MNG3"/>
      <c r="MNH3"/>
      <c r="MNI3"/>
      <c r="MNJ3"/>
      <c r="MNK3"/>
      <c r="MNL3"/>
      <c r="MNM3"/>
      <c r="MNN3"/>
      <c r="MNO3"/>
      <c r="MNP3"/>
      <c r="MNQ3"/>
      <c r="MNR3"/>
      <c r="MNS3"/>
      <c r="MNT3"/>
      <c r="MNU3"/>
      <c r="MNV3"/>
      <c r="MNW3"/>
      <c r="MNX3"/>
      <c r="MNY3"/>
      <c r="MNZ3"/>
      <c r="MOA3"/>
      <c r="MOB3"/>
      <c r="MOC3"/>
      <c r="MOD3"/>
      <c r="MOE3"/>
      <c r="MOF3"/>
      <c r="MOG3"/>
      <c r="MOH3"/>
      <c r="MOI3"/>
      <c r="MOJ3"/>
      <c r="MOK3"/>
      <c r="MOL3"/>
      <c r="MOM3"/>
      <c r="MON3"/>
      <c r="MOO3"/>
      <c r="MOP3"/>
      <c r="MOQ3"/>
      <c r="MOR3"/>
      <c r="MOS3"/>
      <c r="MOT3"/>
      <c r="MOU3"/>
      <c r="MOV3"/>
      <c r="MOW3"/>
      <c r="MOX3"/>
      <c r="MOY3"/>
      <c r="MOZ3"/>
      <c r="MPA3"/>
      <c r="MPB3"/>
      <c r="MPC3"/>
      <c r="MPD3"/>
      <c r="MPE3"/>
      <c r="MPF3"/>
      <c r="MPG3"/>
      <c r="MPH3"/>
      <c r="MPI3"/>
      <c r="MPJ3"/>
      <c r="MPK3"/>
      <c r="MPL3"/>
      <c r="MPM3"/>
      <c r="MPN3"/>
      <c r="MPO3"/>
      <c r="MPP3"/>
      <c r="MPQ3"/>
      <c r="MPR3"/>
      <c r="MPS3"/>
      <c r="MPT3"/>
      <c r="MPU3"/>
      <c r="MPV3"/>
      <c r="MPW3"/>
      <c r="MPX3"/>
      <c r="MPY3"/>
      <c r="MPZ3"/>
      <c r="MQA3"/>
      <c r="MQB3"/>
      <c r="MQC3"/>
      <c r="MQD3"/>
      <c r="MQE3"/>
      <c r="MQF3"/>
      <c r="MQG3"/>
      <c r="MQH3"/>
      <c r="MQI3"/>
      <c r="MQJ3"/>
      <c r="MQK3"/>
      <c r="MQL3"/>
      <c r="MQM3"/>
      <c r="MQN3"/>
      <c r="MQO3"/>
      <c r="MQP3"/>
      <c r="MQQ3"/>
      <c r="MQR3"/>
      <c r="MQS3"/>
      <c r="MQT3"/>
      <c r="MQU3"/>
      <c r="MQV3"/>
      <c r="MQW3"/>
      <c r="MQX3"/>
      <c r="MQY3"/>
      <c r="MQZ3"/>
      <c r="MRA3"/>
      <c r="MRB3"/>
      <c r="MRC3"/>
      <c r="MRD3"/>
      <c r="MRE3"/>
      <c r="MRF3"/>
      <c r="MRG3"/>
      <c r="MRH3"/>
      <c r="MRI3"/>
      <c r="MRJ3"/>
      <c r="MRK3"/>
      <c r="MRL3"/>
      <c r="MRM3"/>
      <c r="MRN3"/>
      <c r="MRO3"/>
      <c r="MRP3"/>
      <c r="MRQ3"/>
      <c r="MRR3"/>
      <c r="MRS3"/>
      <c r="MRT3"/>
      <c r="MRU3"/>
      <c r="MRV3"/>
      <c r="MRW3"/>
      <c r="MRX3"/>
      <c r="MRY3"/>
      <c r="MRZ3"/>
      <c r="MSA3"/>
      <c r="MSB3"/>
      <c r="MSC3"/>
      <c r="MSD3"/>
      <c r="MSE3"/>
      <c r="MSF3"/>
      <c r="MSG3"/>
      <c r="MSH3"/>
      <c r="MSI3"/>
      <c r="MSJ3"/>
      <c r="MSK3"/>
      <c r="MSL3"/>
      <c r="MSM3"/>
      <c r="MSN3"/>
      <c r="MSO3"/>
      <c r="MSP3"/>
      <c r="MSQ3"/>
      <c r="MSR3"/>
      <c r="MSS3"/>
      <c r="MST3"/>
      <c r="MSU3"/>
      <c r="MSV3"/>
      <c r="MSW3"/>
      <c r="MSX3"/>
      <c r="MSY3"/>
      <c r="MSZ3"/>
      <c r="MTA3"/>
      <c r="MTB3"/>
      <c r="MTC3"/>
      <c r="MTD3"/>
      <c r="MTE3"/>
      <c r="MTF3"/>
      <c r="MTG3"/>
      <c r="MTH3"/>
      <c r="MTI3"/>
      <c r="MTJ3"/>
      <c r="MTK3"/>
      <c r="MTL3"/>
      <c r="MTM3"/>
      <c r="MTN3"/>
      <c r="MTO3"/>
      <c r="MTP3"/>
      <c r="MTQ3"/>
      <c r="MTR3"/>
      <c r="MTS3"/>
      <c r="MTT3"/>
      <c r="MTU3"/>
      <c r="MTV3"/>
      <c r="MTW3"/>
      <c r="MTX3"/>
      <c r="MTY3"/>
      <c r="MTZ3"/>
      <c r="MUA3"/>
      <c r="MUB3"/>
      <c r="MUC3"/>
      <c r="MUD3"/>
      <c r="MUE3"/>
      <c r="MUF3"/>
      <c r="MUG3"/>
      <c r="MUH3"/>
      <c r="MUI3"/>
      <c r="MUJ3"/>
      <c r="MUK3"/>
      <c r="MUL3"/>
      <c r="MUM3"/>
      <c r="MUN3"/>
      <c r="MUO3"/>
      <c r="MUP3"/>
      <c r="MUQ3"/>
      <c r="MUR3"/>
      <c r="MUS3"/>
      <c r="MUT3"/>
      <c r="MUU3"/>
      <c r="MUV3"/>
      <c r="MUW3"/>
      <c r="MUX3"/>
      <c r="MUY3"/>
      <c r="MUZ3"/>
      <c r="MVA3"/>
      <c r="MVB3"/>
      <c r="MVC3"/>
      <c r="MVD3"/>
      <c r="MVE3"/>
      <c r="MVF3"/>
      <c r="MVG3"/>
      <c r="MVH3"/>
      <c r="MVI3"/>
      <c r="MVJ3"/>
      <c r="MVK3"/>
      <c r="MVL3"/>
      <c r="MVM3"/>
      <c r="MVN3"/>
      <c r="MVO3"/>
      <c r="MVP3"/>
      <c r="MVQ3"/>
      <c r="MVR3"/>
      <c r="MVS3"/>
      <c r="MVT3"/>
      <c r="MVU3"/>
      <c r="MVV3"/>
      <c r="MVW3"/>
      <c r="MVX3"/>
      <c r="MVY3"/>
      <c r="MVZ3"/>
      <c r="MWA3"/>
      <c r="MWB3"/>
      <c r="MWC3"/>
      <c r="MWD3"/>
      <c r="MWE3"/>
      <c r="MWF3"/>
      <c r="MWG3"/>
      <c r="MWH3"/>
      <c r="MWI3"/>
      <c r="MWJ3"/>
      <c r="MWK3"/>
      <c r="MWL3"/>
      <c r="MWM3"/>
      <c r="MWN3"/>
      <c r="MWO3"/>
      <c r="MWP3"/>
      <c r="MWQ3"/>
      <c r="MWR3"/>
      <c r="MWS3"/>
      <c r="MWT3"/>
      <c r="MWU3"/>
      <c r="MWV3"/>
      <c r="MWW3"/>
      <c r="MWX3"/>
      <c r="MWY3"/>
      <c r="MWZ3"/>
      <c r="MXA3"/>
      <c r="MXB3"/>
      <c r="MXC3"/>
      <c r="MXD3"/>
      <c r="MXE3"/>
      <c r="MXF3"/>
      <c r="MXG3"/>
      <c r="MXH3"/>
      <c r="MXI3"/>
      <c r="MXJ3"/>
      <c r="MXK3"/>
      <c r="MXL3"/>
      <c r="MXM3"/>
      <c r="MXN3"/>
      <c r="MXO3"/>
      <c r="MXP3"/>
      <c r="MXQ3"/>
      <c r="MXR3"/>
      <c r="MXS3"/>
      <c r="MXT3"/>
      <c r="MXU3"/>
      <c r="MXV3"/>
      <c r="MXW3"/>
      <c r="MXX3"/>
      <c r="MXY3"/>
      <c r="MXZ3"/>
      <c r="MYA3"/>
      <c r="MYB3"/>
      <c r="MYC3"/>
      <c r="MYD3"/>
      <c r="MYE3"/>
      <c r="MYF3"/>
      <c r="MYG3"/>
      <c r="MYH3"/>
      <c r="MYI3"/>
      <c r="MYJ3"/>
      <c r="MYK3"/>
      <c r="MYL3"/>
      <c r="MYM3"/>
      <c r="MYN3"/>
      <c r="MYO3"/>
      <c r="MYP3"/>
      <c r="MYQ3"/>
      <c r="MYR3"/>
      <c r="MYS3"/>
      <c r="MYT3"/>
      <c r="MYU3"/>
      <c r="MYV3"/>
      <c r="MYW3"/>
      <c r="MYX3"/>
      <c r="MYY3"/>
      <c r="MYZ3"/>
      <c r="MZA3"/>
      <c r="MZB3"/>
      <c r="MZC3"/>
      <c r="MZD3"/>
      <c r="MZE3"/>
      <c r="MZF3"/>
      <c r="MZG3"/>
      <c r="MZH3"/>
      <c r="MZI3"/>
      <c r="MZJ3"/>
      <c r="MZK3"/>
      <c r="MZL3"/>
      <c r="MZM3"/>
      <c r="MZN3"/>
      <c r="MZO3"/>
      <c r="MZP3"/>
      <c r="MZQ3"/>
      <c r="MZR3"/>
      <c r="MZS3"/>
      <c r="MZT3"/>
      <c r="MZU3"/>
      <c r="MZV3"/>
      <c r="MZW3"/>
      <c r="MZX3"/>
      <c r="MZY3"/>
      <c r="MZZ3"/>
      <c r="NAA3"/>
      <c r="NAB3"/>
      <c r="NAC3"/>
      <c r="NAD3"/>
      <c r="NAE3"/>
      <c r="NAF3"/>
      <c r="NAG3"/>
      <c r="NAH3"/>
      <c r="NAI3"/>
      <c r="NAJ3"/>
      <c r="NAK3"/>
      <c r="NAL3"/>
      <c r="NAM3"/>
      <c r="NAN3"/>
      <c r="NAO3"/>
      <c r="NAP3"/>
      <c r="NAQ3"/>
      <c r="NAR3"/>
      <c r="NAS3"/>
      <c r="NAT3"/>
      <c r="NAU3"/>
      <c r="NAV3"/>
      <c r="NAW3"/>
      <c r="NAX3"/>
      <c r="NAY3"/>
      <c r="NAZ3"/>
      <c r="NBA3"/>
      <c r="NBB3"/>
      <c r="NBC3"/>
      <c r="NBD3"/>
      <c r="NBE3"/>
      <c r="NBF3"/>
      <c r="NBG3"/>
      <c r="NBH3"/>
      <c r="NBI3"/>
      <c r="NBJ3"/>
      <c r="NBK3"/>
      <c r="NBL3"/>
      <c r="NBM3"/>
      <c r="NBN3"/>
      <c r="NBO3"/>
      <c r="NBP3"/>
      <c r="NBQ3"/>
      <c r="NBR3"/>
      <c r="NBS3"/>
      <c r="NBT3"/>
      <c r="NBU3"/>
      <c r="NBV3"/>
      <c r="NBW3"/>
      <c r="NBX3"/>
      <c r="NBY3"/>
      <c r="NBZ3"/>
      <c r="NCA3"/>
      <c r="NCB3"/>
      <c r="NCC3"/>
      <c r="NCD3"/>
      <c r="NCE3"/>
      <c r="NCF3"/>
      <c r="NCG3"/>
      <c r="NCH3"/>
      <c r="NCI3"/>
      <c r="NCJ3"/>
      <c r="NCK3"/>
      <c r="NCL3"/>
      <c r="NCM3"/>
      <c r="NCN3"/>
      <c r="NCO3"/>
      <c r="NCP3"/>
      <c r="NCQ3"/>
      <c r="NCR3"/>
      <c r="NCS3"/>
      <c r="NCT3"/>
      <c r="NCU3"/>
      <c r="NCV3"/>
      <c r="NCW3"/>
      <c r="NCX3"/>
      <c r="NCY3"/>
      <c r="NCZ3"/>
      <c r="NDA3"/>
      <c r="NDB3"/>
      <c r="NDC3"/>
      <c r="NDD3"/>
      <c r="NDE3"/>
      <c r="NDF3"/>
      <c r="NDG3"/>
      <c r="NDH3"/>
      <c r="NDI3"/>
      <c r="NDJ3"/>
      <c r="NDK3"/>
      <c r="NDL3"/>
      <c r="NDM3"/>
      <c r="NDN3"/>
      <c r="NDO3"/>
      <c r="NDP3"/>
      <c r="NDQ3"/>
      <c r="NDR3"/>
      <c r="NDS3"/>
      <c r="NDT3"/>
      <c r="NDU3"/>
      <c r="NDV3"/>
      <c r="NDW3"/>
      <c r="NDX3"/>
      <c r="NDY3"/>
      <c r="NDZ3"/>
      <c r="NEA3"/>
      <c r="NEB3"/>
      <c r="NEC3"/>
      <c r="NED3"/>
      <c r="NEE3"/>
      <c r="NEF3"/>
      <c r="NEG3"/>
      <c r="NEH3"/>
      <c r="NEI3"/>
      <c r="NEJ3"/>
      <c r="NEK3"/>
      <c r="NEL3"/>
      <c r="NEM3"/>
      <c r="NEN3"/>
      <c r="NEO3"/>
      <c r="NEP3"/>
      <c r="NEQ3"/>
      <c r="NER3"/>
      <c r="NES3"/>
      <c r="NET3"/>
      <c r="NEU3"/>
      <c r="NEV3"/>
      <c r="NEW3"/>
      <c r="NEX3"/>
      <c r="NEY3"/>
      <c r="NEZ3"/>
      <c r="NFA3"/>
      <c r="NFB3"/>
      <c r="NFC3"/>
      <c r="NFD3"/>
      <c r="NFE3"/>
      <c r="NFF3"/>
      <c r="NFG3"/>
      <c r="NFH3"/>
      <c r="NFI3"/>
      <c r="NFJ3"/>
      <c r="NFK3"/>
      <c r="NFL3"/>
      <c r="NFM3"/>
      <c r="NFN3"/>
      <c r="NFO3"/>
      <c r="NFP3"/>
      <c r="NFQ3"/>
      <c r="NFR3"/>
      <c r="NFS3"/>
      <c r="NFT3"/>
      <c r="NFU3"/>
      <c r="NFV3"/>
      <c r="NFW3"/>
      <c r="NFX3"/>
      <c r="NFY3"/>
      <c r="NFZ3"/>
      <c r="NGA3"/>
      <c r="NGB3"/>
      <c r="NGC3"/>
      <c r="NGD3"/>
      <c r="NGE3"/>
      <c r="NGF3"/>
      <c r="NGG3"/>
      <c r="NGH3"/>
      <c r="NGI3"/>
      <c r="NGJ3"/>
      <c r="NGK3"/>
      <c r="NGL3"/>
      <c r="NGM3"/>
      <c r="NGN3"/>
      <c r="NGO3"/>
      <c r="NGP3"/>
      <c r="NGQ3"/>
      <c r="NGR3"/>
      <c r="NGS3"/>
      <c r="NGT3"/>
      <c r="NGU3"/>
      <c r="NGV3"/>
      <c r="NGW3"/>
      <c r="NGX3"/>
      <c r="NGY3"/>
      <c r="NGZ3"/>
      <c r="NHA3"/>
      <c r="NHB3"/>
      <c r="NHC3"/>
      <c r="NHD3"/>
      <c r="NHE3"/>
      <c r="NHF3"/>
      <c r="NHG3"/>
      <c r="NHH3"/>
      <c r="NHI3"/>
      <c r="NHJ3"/>
      <c r="NHK3"/>
      <c r="NHL3"/>
      <c r="NHM3"/>
      <c r="NHN3"/>
      <c r="NHO3"/>
      <c r="NHP3"/>
      <c r="NHQ3"/>
      <c r="NHR3"/>
      <c r="NHS3"/>
      <c r="NHT3"/>
      <c r="NHU3"/>
      <c r="NHV3"/>
      <c r="NHW3"/>
      <c r="NHX3"/>
      <c r="NHY3"/>
      <c r="NHZ3"/>
      <c r="NIA3"/>
      <c r="NIB3"/>
      <c r="NIC3"/>
      <c r="NID3"/>
      <c r="NIE3"/>
      <c r="NIF3"/>
      <c r="NIG3"/>
      <c r="NIH3"/>
      <c r="NII3"/>
      <c r="NIJ3"/>
      <c r="NIK3"/>
      <c r="NIL3"/>
      <c r="NIM3"/>
      <c r="NIN3"/>
      <c r="NIO3"/>
      <c r="NIP3"/>
      <c r="NIQ3"/>
      <c r="NIR3"/>
      <c r="NIS3"/>
      <c r="NIT3"/>
      <c r="NIU3"/>
      <c r="NIV3"/>
      <c r="NIW3"/>
      <c r="NIX3"/>
      <c r="NIY3"/>
      <c r="NIZ3"/>
      <c r="NJA3"/>
      <c r="NJB3"/>
      <c r="NJC3"/>
      <c r="NJD3"/>
      <c r="NJE3"/>
      <c r="NJF3"/>
      <c r="NJG3"/>
      <c r="NJH3"/>
      <c r="NJI3"/>
      <c r="NJJ3"/>
      <c r="NJK3"/>
      <c r="NJL3"/>
      <c r="NJM3"/>
      <c r="NJN3"/>
      <c r="NJO3"/>
      <c r="NJP3"/>
      <c r="NJQ3"/>
      <c r="NJR3"/>
      <c r="NJS3"/>
      <c r="NJT3"/>
      <c r="NJU3"/>
      <c r="NJV3"/>
      <c r="NJW3"/>
      <c r="NJX3"/>
      <c r="NJY3"/>
      <c r="NJZ3"/>
      <c r="NKA3"/>
      <c r="NKB3"/>
      <c r="NKC3"/>
      <c r="NKD3"/>
      <c r="NKE3"/>
      <c r="NKF3"/>
      <c r="NKG3"/>
      <c r="NKH3"/>
      <c r="NKI3"/>
      <c r="NKJ3"/>
      <c r="NKK3"/>
      <c r="NKL3"/>
      <c r="NKM3"/>
      <c r="NKN3"/>
      <c r="NKO3"/>
      <c r="NKP3"/>
      <c r="NKQ3"/>
      <c r="NKR3"/>
      <c r="NKS3"/>
      <c r="NKT3"/>
      <c r="NKU3"/>
      <c r="NKV3"/>
      <c r="NKW3"/>
      <c r="NKX3"/>
      <c r="NKY3"/>
      <c r="NKZ3"/>
      <c r="NLA3"/>
      <c r="NLB3"/>
      <c r="NLC3"/>
      <c r="NLD3"/>
      <c r="NLE3"/>
      <c r="NLF3"/>
      <c r="NLG3"/>
      <c r="NLH3"/>
      <c r="NLI3"/>
      <c r="NLJ3"/>
      <c r="NLK3"/>
      <c r="NLL3"/>
      <c r="NLM3"/>
      <c r="NLN3"/>
      <c r="NLO3"/>
      <c r="NLP3"/>
      <c r="NLQ3"/>
      <c r="NLR3"/>
      <c r="NLS3"/>
      <c r="NLT3"/>
      <c r="NLU3"/>
      <c r="NLV3"/>
      <c r="NLW3"/>
      <c r="NLX3"/>
      <c r="NLY3"/>
      <c r="NLZ3"/>
      <c r="NMA3"/>
      <c r="NMB3"/>
      <c r="NMC3"/>
      <c r="NMD3"/>
      <c r="NME3"/>
      <c r="NMF3"/>
      <c r="NMG3"/>
      <c r="NMH3"/>
      <c r="NMI3"/>
      <c r="NMJ3"/>
      <c r="NMK3"/>
      <c r="NML3"/>
      <c r="NMM3"/>
      <c r="NMN3"/>
      <c r="NMO3"/>
      <c r="NMP3"/>
      <c r="NMQ3"/>
      <c r="NMR3"/>
      <c r="NMS3"/>
      <c r="NMT3"/>
      <c r="NMU3"/>
      <c r="NMV3"/>
      <c r="NMW3"/>
      <c r="NMX3"/>
      <c r="NMY3"/>
      <c r="NMZ3"/>
      <c r="NNA3"/>
      <c r="NNB3"/>
      <c r="NNC3"/>
      <c r="NND3"/>
      <c r="NNE3"/>
      <c r="NNF3"/>
      <c r="NNG3"/>
      <c r="NNH3"/>
      <c r="NNI3"/>
      <c r="NNJ3"/>
      <c r="NNK3"/>
      <c r="NNL3"/>
      <c r="NNM3"/>
      <c r="NNN3"/>
      <c r="NNO3"/>
      <c r="NNP3"/>
      <c r="NNQ3"/>
      <c r="NNR3"/>
      <c r="NNS3"/>
      <c r="NNT3"/>
      <c r="NNU3"/>
      <c r="NNV3"/>
      <c r="NNW3"/>
      <c r="NNX3"/>
      <c r="NNY3"/>
      <c r="NNZ3"/>
      <c r="NOA3"/>
      <c r="NOB3"/>
      <c r="NOC3"/>
      <c r="NOD3"/>
      <c r="NOE3"/>
      <c r="NOF3"/>
      <c r="NOG3"/>
      <c r="NOH3"/>
      <c r="NOI3"/>
      <c r="NOJ3"/>
      <c r="NOK3"/>
      <c r="NOL3"/>
      <c r="NOM3"/>
      <c r="NON3"/>
      <c r="NOO3"/>
      <c r="NOP3"/>
      <c r="NOQ3"/>
      <c r="NOR3"/>
      <c r="NOS3"/>
      <c r="NOT3"/>
      <c r="NOU3"/>
      <c r="NOV3"/>
      <c r="NOW3"/>
      <c r="NOX3"/>
      <c r="NOY3"/>
      <c r="NOZ3"/>
      <c r="NPA3"/>
      <c r="NPB3"/>
      <c r="NPC3"/>
      <c r="NPD3"/>
      <c r="NPE3"/>
      <c r="NPF3"/>
      <c r="NPG3"/>
      <c r="NPH3"/>
      <c r="NPI3"/>
      <c r="NPJ3"/>
      <c r="NPK3"/>
      <c r="NPL3"/>
      <c r="NPM3"/>
      <c r="NPN3"/>
      <c r="NPO3"/>
      <c r="NPP3"/>
      <c r="NPQ3"/>
      <c r="NPR3"/>
      <c r="NPS3"/>
      <c r="NPT3"/>
      <c r="NPU3"/>
      <c r="NPV3"/>
      <c r="NPW3"/>
      <c r="NPX3"/>
      <c r="NPY3"/>
      <c r="NPZ3"/>
      <c r="NQA3"/>
      <c r="NQB3"/>
      <c r="NQC3"/>
      <c r="NQD3"/>
      <c r="NQE3"/>
      <c r="NQF3"/>
      <c r="NQG3"/>
      <c r="NQH3"/>
      <c r="NQI3"/>
      <c r="NQJ3"/>
      <c r="NQK3"/>
      <c r="NQL3"/>
      <c r="NQM3"/>
      <c r="NQN3"/>
      <c r="NQO3"/>
      <c r="NQP3"/>
      <c r="NQQ3"/>
      <c r="NQR3"/>
      <c r="NQS3"/>
      <c r="NQT3"/>
      <c r="NQU3"/>
      <c r="NQV3"/>
      <c r="NQW3"/>
      <c r="NQX3"/>
      <c r="NQY3"/>
      <c r="NQZ3"/>
      <c r="NRA3"/>
      <c r="NRB3"/>
      <c r="NRC3"/>
      <c r="NRD3"/>
      <c r="NRE3"/>
      <c r="NRF3"/>
      <c r="NRG3"/>
      <c r="NRH3"/>
      <c r="NRI3"/>
      <c r="NRJ3"/>
      <c r="NRK3"/>
      <c r="NRL3"/>
      <c r="NRM3"/>
      <c r="NRN3"/>
      <c r="NRO3"/>
      <c r="NRP3"/>
      <c r="NRQ3"/>
      <c r="NRR3"/>
      <c r="NRS3"/>
      <c r="NRT3"/>
      <c r="NRU3"/>
      <c r="NRV3"/>
      <c r="NRW3"/>
      <c r="NRX3"/>
      <c r="NRY3"/>
      <c r="NRZ3"/>
      <c r="NSA3"/>
      <c r="NSB3"/>
      <c r="NSC3"/>
      <c r="NSD3"/>
      <c r="NSE3"/>
      <c r="NSF3"/>
      <c r="NSG3"/>
      <c r="NSH3"/>
      <c r="NSI3"/>
      <c r="NSJ3"/>
      <c r="NSK3"/>
      <c r="NSL3"/>
      <c r="NSM3"/>
      <c r="NSN3"/>
      <c r="NSO3"/>
      <c r="NSP3"/>
      <c r="NSQ3"/>
      <c r="NSR3"/>
      <c r="NSS3"/>
      <c r="NST3"/>
      <c r="NSU3"/>
      <c r="NSV3"/>
      <c r="NSW3"/>
      <c r="NSX3"/>
      <c r="NSY3"/>
      <c r="NSZ3"/>
      <c r="NTA3"/>
      <c r="NTB3"/>
      <c r="NTC3"/>
      <c r="NTD3"/>
      <c r="NTE3"/>
      <c r="NTF3"/>
      <c r="NTG3"/>
      <c r="NTH3"/>
      <c r="NTI3"/>
      <c r="NTJ3"/>
      <c r="NTK3"/>
      <c r="NTL3"/>
      <c r="NTM3"/>
      <c r="NTN3"/>
      <c r="NTO3"/>
      <c r="NTP3"/>
      <c r="NTQ3"/>
      <c r="NTR3"/>
      <c r="NTS3"/>
      <c r="NTT3"/>
      <c r="NTU3"/>
      <c r="NTV3"/>
      <c r="NTW3"/>
      <c r="NTX3"/>
      <c r="NTY3"/>
      <c r="NTZ3"/>
      <c r="NUA3"/>
      <c r="NUB3"/>
      <c r="NUC3"/>
      <c r="NUD3"/>
      <c r="NUE3"/>
      <c r="NUF3"/>
      <c r="NUG3"/>
      <c r="NUH3"/>
      <c r="NUI3"/>
      <c r="NUJ3"/>
      <c r="NUK3"/>
      <c r="NUL3"/>
      <c r="NUM3"/>
      <c r="NUN3"/>
      <c r="NUO3"/>
      <c r="NUP3"/>
      <c r="NUQ3"/>
      <c r="NUR3"/>
      <c r="NUS3"/>
      <c r="NUT3"/>
      <c r="NUU3"/>
      <c r="NUV3"/>
      <c r="NUW3"/>
      <c r="NUX3"/>
      <c r="NUY3"/>
      <c r="NUZ3"/>
      <c r="NVA3"/>
      <c r="NVB3"/>
      <c r="NVC3"/>
      <c r="NVD3"/>
      <c r="NVE3"/>
      <c r="NVF3"/>
      <c r="NVG3"/>
      <c r="NVH3"/>
      <c r="NVI3"/>
      <c r="NVJ3"/>
      <c r="NVK3"/>
      <c r="NVL3"/>
      <c r="NVM3"/>
      <c r="NVN3"/>
      <c r="NVO3"/>
      <c r="NVP3"/>
      <c r="NVQ3"/>
      <c r="NVR3"/>
      <c r="NVS3"/>
      <c r="NVT3"/>
      <c r="NVU3"/>
      <c r="NVV3"/>
      <c r="NVW3"/>
      <c r="NVX3"/>
      <c r="NVY3"/>
      <c r="NVZ3"/>
      <c r="NWA3"/>
      <c r="NWB3"/>
      <c r="NWC3"/>
      <c r="NWD3"/>
      <c r="NWE3"/>
      <c r="NWF3"/>
      <c r="NWG3"/>
      <c r="NWH3"/>
      <c r="NWI3"/>
      <c r="NWJ3"/>
      <c r="NWK3"/>
      <c r="NWL3"/>
      <c r="NWM3"/>
      <c r="NWN3"/>
      <c r="NWO3"/>
      <c r="NWP3"/>
      <c r="NWQ3"/>
      <c r="NWR3"/>
      <c r="NWS3"/>
      <c r="NWT3"/>
      <c r="NWU3"/>
      <c r="NWV3"/>
      <c r="NWW3"/>
      <c r="NWX3"/>
      <c r="NWY3"/>
      <c r="NWZ3"/>
      <c r="NXA3"/>
      <c r="NXB3"/>
      <c r="NXC3"/>
      <c r="NXD3"/>
      <c r="NXE3"/>
      <c r="NXF3"/>
      <c r="NXG3"/>
      <c r="NXH3"/>
      <c r="NXI3"/>
      <c r="NXJ3"/>
      <c r="NXK3"/>
      <c r="NXL3"/>
      <c r="NXM3"/>
      <c r="NXN3"/>
      <c r="NXO3"/>
      <c r="NXP3"/>
      <c r="NXQ3"/>
      <c r="NXR3"/>
      <c r="NXS3"/>
      <c r="NXT3"/>
      <c r="NXU3"/>
      <c r="NXV3"/>
      <c r="NXW3"/>
      <c r="NXX3"/>
      <c r="NXY3"/>
      <c r="NXZ3"/>
      <c r="NYA3"/>
      <c r="NYB3"/>
      <c r="NYC3"/>
      <c r="NYD3"/>
      <c r="NYE3"/>
      <c r="NYF3"/>
      <c r="NYG3"/>
      <c r="NYH3"/>
      <c r="NYI3"/>
      <c r="NYJ3"/>
      <c r="NYK3"/>
      <c r="NYL3"/>
      <c r="NYM3"/>
      <c r="NYN3"/>
      <c r="NYO3"/>
      <c r="NYP3"/>
      <c r="NYQ3"/>
      <c r="NYR3"/>
      <c r="NYS3"/>
      <c r="NYT3"/>
      <c r="NYU3"/>
      <c r="NYV3"/>
      <c r="NYW3"/>
      <c r="NYX3"/>
      <c r="NYY3"/>
      <c r="NYZ3"/>
      <c r="NZA3"/>
      <c r="NZB3"/>
      <c r="NZC3"/>
      <c r="NZD3"/>
      <c r="NZE3"/>
      <c r="NZF3"/>
      <c r="NZG3"/>
      <c r="NZH3"/>
      <c r="NZI3"/>
      <c r="NZJ3"/>
      <c r="NZK3"/>
      <c r="NZL3"/>
      <c r="NZM3"/>
      <c r="NZN3"/>
      <c r="NZO3"/>
      <c r="NZP3"/>
      <c r="NZQ3"/>
      <c r="NZR3"/>
      <c r="NZS3"/>
      <c r="NZT3"/>
      <c r="NZU3"/>
      <c r="NZV3"/>
      <c r="NZW3"/>
      <c r="NZX3"/>
      <c r="NZY3"/>
      <c r="NZZ3"/>
      <c r="OAA3"/>
      <c r="OAB3"/>
      <c r="OAC3"/>
      <c r="OAD3"/>
      <c r="OAE3"/>
      <c r="OAF3"/>
      <c r="OAG3"/>
      <c r="OAH3"/>
      <c r="OAI3"/>
      <c r="OAJ3"/>
      <c r="OAK3"/>
      <c r="OAL3"/>
      <c r="OAM3"/>
      <c r="OAN3"/>
      <c r="OAO3"/>
      <c r="OAP3"/>
      <c r="OAQ3"/>
      <c r="OAR3"/>
      <c r="OAS3"/>
      <c r="OAT3"/>
      <c r="OAU3"/>
      <c r="OAV3"/>
      <c r="OAW3"/>
      <c r="OAX3"/>
      <c r="OAY3"/>
      <c r="OAZ3"/>
      <c r="OBA3"/>
      <c r="OBB3"/>
      <c r="OBC3"/>
      <c r="OBD3"/>
      <c r="OBE3"/>
      <c r="OBF3"/>
      <c r="OBG3"/>
      <c r="OBH3"/>
      <c r="OBI3"/>
      <c r="OBJ3"/>
      <c r="OBK3"/>
      <c r="OBL3"/>
      <c r="OBM3"/>
      <c r="OBN3"/>
      <c r="OBO3"/>
      <c r="OBP3"/>
      <c r="OBQ3"/>
      <c r="OBR3"/>
      <c r="OBS3"/>
      <c r="OBT3"/>
      <c r="OBU3"/>
      <c r="OBV3"/>
      <c r="OBW3"/>
      <c r="OBX3"/>
      <c r="OBY3"/>
      <c r="OBZ3"/>
      <c r="OCA3"/>
      <c r="OCB3"/>
      <c r="OCC3"/>
      <c r="OCD3"/>
      <c r="OCE3"/>
      <c r="OCF3"/>
      <c r="OCG3"/>
      <c r="OCH3"/>
      <c r="OCI3"/>
      <c r="OCJ3"/>
      <c r="OCK3"/>
      <c r="OCL3"/>
      <c r="OCM3"/>
      <c r="OCN3"/>
      <c r="OCO3"/>
      <c r="OCP3"/>
      <c r="OCQ3"/>
      <c r="OCR3"/>
      <c r="OCS3"/>
      <c r="OCT3"/>
      <c r="OCU3"/>
      <c r="OCV3"/>
      <c r="OCW3"/>
      <c r="OCX3"/>
      <c r="OCY3"/>
      <c r="OCZ3"/>
      <c r="ODA3"/>
      <c r="ODB3"/>
      <c r="ODC3"/>
      <c r="ODD3"/>
      <c r="ODE3"/>
      <c r="ODF3"/>
      <c r="ODG3"/>
      <c r="ODH3"/>
      <c r="ODI3"/>
      <c r="ODJ3"/>
      <c r="ODK3"/>
      <c r="ODL3"/>
      <c r="ODM3"/>
      <c r="ODN3"/>
      <c r="ODO3"/>
      <c r="ODP3"/>
      <c r="ODQ3"/>
      <c r="ODR3"/>
      <c r="ODS3"/>
      <c r="ODT3"/>
      <c r="ODU3"/>
      <c r="ODV3"/>
      <c r="ODW3"/>
      <c r="ODX3"/>
      <c r="ODY3"/>
      <c r="ODZ3"/>
      <c r="OEA3"/>
      <c r="OEB3"/>
      <c r="OEC3"/>
      <c r="OED3"/>
      <c r="OEE3"/>
      <c r="OEF3"/>
      <c r="OEG3"/>
      <c r="OEH3"/>
      <c r="OEI3"/>
      <c r="OEJ3"/>
      <c r="OEK3"/>
      <c r="OEL3"/>
      <c r="OEM3"/>
      <c r="OEN3"/>
      <c r="OEO3"/>
      <c r="OEP3"/>
      <c r="OEQ3"/>
      <c r="OER3"/>
      <c r="OES3"/>
      <c r="OET3"/>
      <c r="OEU3"/>
      <c r="OEV3"/>
      <c r="OEW3"/>
      <c r="OEX3"/>
      <c r="OEY3"/>
      <c r="OEZ3"/>
      <c r="OFA3"/>
      <c r="OFB3"/>
      <c r="OFC3"/>
      <c r="OFD3"/>
      <c r="OFE3"/>
      <c r="OFF3"/>
      <c r="OFG3"/>
      <c r="OFH3"/>
      <c r="OFI3"/>
      <c r="OFJ3"/>
      <c r="OFK3"/>
      <c r="OFL3"/>
      <c r="OFM3"/>
      <c r="OFN3"/>
      <c r="OFO3"/>
      <c r="OFP3"/>
      <c r="OFQ3"/>
      <c r="OFR3"/>
      <c r="OFS3"/>
      <c r="OFT3"/>
      <c r="OFU3"/>
      <c r="OFV3"/>
      <c r="OFW3"/>
      <c r="OFX3"/>
      <c r="OFY3"/>
      <c r="OFZ3"/>
      <c r="OGA3"/>
      <c r="OGB3"/>
      <c r="OGC3"/>
      <c r="OGD3"/>
      <c r="OGE3"/>
      <c r="OGF3"/>
      <c r="OGG3"/>
      <c r="OGH3"/>
      <c r="OGI3"/>
      <c r="OGJ3"/>
      <c r="OGK3"/>
      <c r="OGL3"/>
      <c r="OGM3"/>
      <c r="OGN3"/>
      <c r="OGO3"/>
      <c r="OGP3"/>
      <c r="OGQ3"/>
      <c r="OGR3"/>
      <c r="OGS3"/>
      <c r="OGT3"/>
      <c r="OGU3"/>
      <c r="OGV3"/>
      <c r="OGW3"/>
      <c r="OGX3"/>
      <c r="OGY3"/>
      <c r="OGZ3"/>
      <c r="OHA3"/>
      <c r="OHB3"/>
      <c r="OHC3"/>
      <c r="OHD3"/>
      <c r="OHE3"/>
      <c r="OHF3"/>
      <c r="OHG3"/>
      <c r="OHH3"/>
      <c r="OHI3"/>
      <c r="OHJ3"/>
      <c r="OHK3"/>
      <c r="OHL3"/>
      <c r="OHM3"/>
      <c r="OHN3"/>
      <c r="OHO3"/>
      <c r="OHP3"/>
      <c r="OHQ3"/>
      <c r="OHR3"/>
      <c r="OHS3"/>
      <c r="OHT3"/>
      <c r="OHU3"/>
      <c r="OHV3"/>
      <c r="OHW3"/>
      <c r="OHX3"/>
      <c r="OHY3"/>
      <c r="OHZ3"/>
      <c r="OIA3"/>
      <c r="OIB3"/>
      <c r="OIC3"/>
      <c r="OID3"/>
      <c r="OIE3"/>
      <c r="OIF3"/>
      <c r="OIG3"/>
      <c r="OIH3"/>
      <c r="OII3"/>
      <c r="OIJ3"/>
      <c r="OIK3"/>
      <c r="OIL3"/>
      <c r="OIM3"/>
      <c r="OIN3"/>
      <c r="OIO3"/>
      <c r="OIP3"/>
      <c r="OIQ3"/>
      <c r="OIR3"/>
      <c r="OIS3"/>
      <c r="OIT3"/>
      <c r="OIU3"/>
      <c r="OIV3"/>
      <c r="OIW3"/>
      <c r="OIX3"/>
      <c r="OIY3"/>
      <c r="OIZ3"/>
      <c r="OJA3"/>
      <c r="OJB3"/>
      <c r="OJC3"/>
      <c r="OJD3"/>
      <c r="OJE3"/>
      <c r="OJF3"/>
      <c r="OJG3"/>
      <c r="OJH3"/>
      <c r="OJI3"/>
      <c r="OJJ3"/>
      <c r="OJK3"/>
      <c r="OJL3"/>
      <c r="OJM3"/>
      <c r="OJN3"/>
      <c r="OJO3"/>
      <c r="OJP3"/>
      <c r="OJQ3"/>
      <c r="OJR3"/>
      <c r="OJS3"/>
      <c r="OJT3"/>
      <c r="OJU3"/>
      <c r="OJV3"/>
      <c r="OJW3"/>
      <c r="OJX3"/>
      <c r="OJY3"/>
      <c r="OJZ3"/>
      <c r="OKA3"/>
      <c r="OKB3"/>
      <c r="OKC3"/>
      <c r="OKD3"/>
      <c r="OKE3"/>
      <c r="OKF3"/>
      <c r="OKG3"/>
      <c r="OKH3"/>
      <c r="OKI3"/>
      <c r="OKJ3"/>
      <c r="OKK3"/>
      <c r="OKL3"/>
      <c r="OKM3"/>
      <c r="OKN3"/>
      <c r="OKO3"/>
      <c r="OKP3"/>
      <c r="OKQ3"/>
      <c r="OKR3"/>
      <c r="OKS3"/>
      <c r="OKT3"/>
      <c r="OKU3"/>
      <c r="OKV3"/>
      <c r="OKW3"/>
      <c r="OKX3"/>
      <c r="OKY3"/>
      <c r="OKZ3"/>
      <c r="OLA3"/>
      <c r="OLB3"/>
      <c r="OLC3"/>
      <c r="OLD3"/>
      <c r="OLE3"/>
      <c r="OLF3"/>
      <c r="OLG3"/>
      <c r="OLH3"/>
      <c r="OLI3"/>
      <c r="OLJ3"/>
      <c r="OLK3"/>
      <c r="OLL3"/>
      <c r="OLM3"/>
      <c r="OLN3"/>
      <c r="OLO3"/>
      <c r="OLP3"/>
      <c r="OLQ3"/>
      <c r="OLR3"/>
      <c r="OLS3"/>
      <c r="OLT3"/>
      <c r="OLU3"/>
      <c r="OLV3"/>
      <c r="OLW3"/>
      <c r="OLX3"/>
      <c r="OLY3"/>
      <c r="OLZ3"/>
      <c r="OMA3"/>
      <c r="OMB3"/>
      <c r="OMC3"/>
      <c r="OMD3"/>
      <c r="OME3"/>
      <c r="OMF3"/>
      <c r="OMG3"/>
      <c r="OMH3"/>
      <c r="OMI3"/>
      <c r="OMJ3"/>
      <c r="OMK3"/>
      <c r="OML3"/>
      <c r="OMM3"/>
      <c r="OMN3"/>
      <c r="OMO3"/>
      <c r="OMP3"/>
      <c r="OMQ3"/>
      <c r="OMR3"/>
      <c r="OMS3"/>
      <c r="OMT3"/>
      <c r="OMU3"/>
      <c r="OMV3"/>
      <c r="OMW3"/>
      <c r="OMX3"/>
      <c r="OMY3"/>
      <c r="OMZ3"/>
      <c r="ONA3"/>
      <c r="ONB3"/>
      <c r="ONC3"/>
      <c r="OND3"/>
      <c r="ONE3"/>
      <c r="ONF3"/>
      <c r="ONG3"/>
      <c r="ONH3"/>
      <c r="ONI3"/>
      <c r="ONJ3"/>
      <c r="ONK3"/>
      <c r="ONL3"/>
      <c r="ONM3"/>
      <c r="ONN3"/>
      <c r="ONO3"/>
      <c r="ONP3"/>
      <c r="ONQ3"/>
      <c r="ONR3"/>
      <c r="ONS3"/>
      <c r="ONT3"/>
      <c r="ONU3"/>
      <c r="ONV3"/>
      <c r="ONW3"/>
      <c r="ONX3"/>
      <c r="ONY3"/>
      <c r="ONZ3"/>
      <c r="OOA3"/>
      <c r="OOB3"/>
      <c r="OOC3"/>
      <c r="OOD3"/>
      <c r="OOE3"/>
      <c r="OOF3"/>
      <c r="OOG3"/>
      <c r="OOH3"/>
      <c r="OOI3"/>
      <c r="OOJ3"/>
      <c r="OOK3"/>
      <c r="OOL3"/>
      <c r="OOM3"/>
      <c r="OON3"/>
      <c r="OOO3"/>
      <c r="OOP3"/>
      <c r="OOQ3"/>
      <c r="OOR3"/>
      <c r="OOS3"/>
      <c r="OOT3"/>
      <c r="OOU3"/>
      <c r="OOV3"/>
      <c r="OOW3"/>
      <c r="OOX3"/>
      <c r="OOY3"/>
      <c r="OOZ3"/>
      <c r="OPA3"/>
      <c r="OPB3"/>
      <c r="OPC3"/>
      <c r="OPD3"/>
      <c r="OPE3"/>
      <c r="OPF3"/>
      <c r="OPG3"/>
      <c r="OPH3"/>
      <c r="OPI3"/>
      <c r="OPJ3"/>
      <c r="OPK3"/>
      <c r="OPL3"/>
      <c r="OPM3"/>
      <c r="OPN3"/>
      <c r="OPO3"/>
      <c r="OPP3"/>
      <c r="OPQ3"/>
      <c r="OPR3"/>
      <c r="OPS3"/>
      <c r="OPT3"/>
      <c r="OPU3"/>
      <c r="OPV3"/>
      <c r="OPW3"/>
      <c r="OPX3"/>
      <c r="OPY3"/>
      <c r="OPZ3"/>
      <c r="OQA3"/>
      <c r="OQB3"/>
      <c r="OQC3"/>
      <c r="OQD3"/>
      <c r="OQE3"/>
      <c r="OQF3"/>
      <c r="OQG3"/>
      <c r="OQH3"/>
      <c r="OQI3"/>
      <c r="OQJ3"/>
      <c r="OQK3"/>
      <c r="OQL3"/>
      <c r="OQM3"/>
      <c r="OQN3"/>
      <c r="OQO3"/>
      <c r="OQP3"/>
      <c r="OQQ3"/>
      <c r="OQR3"/>
      <c r="OQS3"/>
      <c r="OQT3"/>
      <c r="OQU3"/>
      <c r="OQV3"/>
      <c r="OQW3"/>
      <c r="OQX3"/>
      <c r="OQY3"/>
      <c r="OQZ3"/>
      <c r="ORA3"/>
      <c r="ORB3"/>
      <c r="ORC3"/>
      <c r="ORD3"/>
      <c r="ORE3"/>
      <c r="ORF3"/>
      <c r="ORG3"/>
      <c r="ORH3"/>
      <c r="ORI3"/>
      <c r="ORJ3"/>
      <c r="ORK3"/>
      <c r="ORL3"/>
      <c r="ORM3"/>
      <c r="ORN3"/>
      <c r="ORO3"/>
      <c r="ORP3"/>
      <c r="ORQ3"/>
      <c r="ORR3"/>
      <c r="ORS3"/>
      <c r="ORT3"/>
      <c r="ORU3"/>
      <c r="ORV3"/>
      <c r="ORW3"/>
      <c r="ORX3"/>
      <c r="ORY3"/>
      <c r="ORZ3"/>
      <c r="OSA3"/>
      <c r="OSB3"/>
      <c r="OSC3"/>
      <c r="OSD3"/>
      <c r="OSE3"/>
      <c r="OSF3"/>
      <c r="OSG3"/>
      <c r="OSH3"/>
      <c r="OSI3"/>
      <c r="OSJ3"/>
      <c r="OSK3"/>
      <c r="OSL3"/>
      <c r="OSM3"/>
      <c r="OSN3"/>
      <c r="OSO3"/>
      <c r="OSP3"/>
      <c r="OSQ3"/>
      <c r="OSR3"/>
      <c r="OSS3"/>
      <c r="OST3"/>
      <c r="OSU3"/>
      <c r="OSV3"/>
      <c r="OSW3"/>
      <c r="OSX3"/>
      <c r="OSY3"/>
      <c r="OSZ3"/>
      <c r="OTA3"/>
      <c r="OTB3"/>
      <c r="OTC3"/>
      <c r="OTD3"/>
      <c r="OTE3"/>
      <c r="OTF3"/>
      <c r="OTG3"/>
      <c r="OTH3"/>
      <c r="OTI3"/>
      <c r="OTJ3"/>
      <c r="OTK3"/>
      <c r="OTL3"/>
      <c r="OTM3"/>
      <c r="OTN3"/>
      <c r="OTO3"/>
      <c r="OTP3"/>
      <c r="OTQ3"/>
      <c r="OTR3"/>
      <c r="OTS3"/>
      <c r="OTT3"/>
      <c r="OTU3"/>
      <c r="OTV3"/>
      <c r="OTW3"/>
      <c r="OTX3"/>
      <c r="OTY3"/>
      <c r="OTZ3"/>
      <c r="OUA3"/>
      <c r="OUB3"/>
      <c r="OUC3"/>
      <c r="OUD3"/>
      <c r="OUE3"/>
      <c r="OUF3"/>
      <c r="OUG3"/>
      <c r="OUH3"/>
      <c r="OUI3"/>
      <c r="OUJ3"/>
      <c r="OUK3"/>
      <c r="OUL3"/>
      <c r="OUM3"/>
      <c r="OUN3"/>
      <c r="OUO3"/>
      <c r="OUP3"/>
      <c r="OUQ3"/>
      <c r="OUR3"/>
      <c r="OUS3"/>
      <c r="OUT3"/>
      <c r="OUU3"/>
      <c r="OUV3"/>
      <c r="OUW3"/>
      <c r="OUX3"/>
      <c r="OUY3"/>
      <c r="OUZ3"/>
      <c r="OVA3"/>
      <c r="OVB3"/>
      <c r="OVC3"/>
      <c r="OVD3"/>
      <c r="OVE3"/>
      <c r="OVF3"/>
      <c r="OVG3"/>
      <c r="OVH3"/>
      <c r="OVI3"/>
      <c r="OVJ3"/>
      <c r="OVK3"/>
      <c r="OVL3"/>
      <c r="OVM3"/>
      <c r="OVN3"/>
      <c r="OVO3"/>
      <c r="OVP3"/>
      <c r="OVQ3"/>
      <c r="OVR3"/>
      <c r="OVS3"/>
      <c r="OVT3"/>
      <c r="OVU3"/>
      <c r="OVV3"/>
      <c r="OVW3"/>
      <c r="OVX3"/>
      <c r="OVY3"/>
      <c r="OVZ3"/>
      <c r="OWA3"/>
      <c r="OWB3"/>
      <c r="OWC3"/>
      <c r="OWD3"/>
      <c r="OWE3"/>
      <c r="OWF3"/>
      <c r="OWG3"/>
      <c r="OWH3"/>
      <c r="OWI3"/>
      <c r="OWJ3"/>
      <c r="OWK3"/>
      <c r="OWL3"/>
      <c r="OWM3"/>
      <c r="OWN3"/>
      <c r="OWO3"/>
      <c r="OWP3"/>
      <c r="OWQ3"/>
      <c r="OWR3"/>
      <c r="OWS3"/>
      <c r="OWT3"/>
      <c r="OWU3"/>
      <c r="OWV3"/>
      <c r="OWW3"/>
      <c r="OWX3"/>
      <c r="OWY3"/>
      <c r="OWZ3"/>
      <c r="OXA3"/>
      <c r="OXB3"/>
      <c r="OXC3"/>
      <c r="OXD3"/>
      <c r="OXE3"/>
      <c r="OXF3"/>
      <c r="OXG3"/>
      <c r="OXH3"/>
      <c r="OXI3"/>
      <c r="OXJ3"/>
      <c r="OXK3"/>
      <c r="OXL3"/>
      <c r="OXM3"/>
      <c r="OXN3"/>
      <c r="OXO3"/>
      <c r="OXP3"/>
      <c r="OXQ3"/>
      <c r="OXR3"/>
      <c r="OXS3"/>
      <c r="OXT3"/>
      <c r="OXU3"/>
      <c r="OXV3"/>
      <c r="OXW3"/>
      <c r="OXX3"/>
      <c r="OXY3"/>
      <c r="OXZ3"/>
      <c r="OYA3"/>
      <c r="OYB3"/>
      <c r="OYC3"/>
      <c r="OYD3"/>
      <c r="OYE3"/>
      <c r="OYF3"/>
      <c r="OYG3"/>
      <c r="OYH3"/>
      <c r="OYI3"/>
      <c r="OYJ3"/>
      <c r="OYK3"/>
      <c r="OYL3"/>
      <c r="OYM3"/>
      <c r="OYN3"/>
      <c r="OYO3"/>
      <c r="OYP3"/>
      <c r="OYQ3"/>
      <c r="OYR3"/>
      <c r="OYS3"/>
      <c r="OYT3"/>
      <c r="OYU3"/>
      <c r="OYV3"/>
      <c r="OYW3"/>
      <c r="OYX3"/>
      <c r="OYY3"/>
      <c r="OYZ3"/>
      <c r="OZA3"/>
      <c r="OZB3"/>
      <c r="OZC3"/>
      <c r="OZD3"/>
      <c r="OZE3"/>
      <c r="OZF3"/>
      <c r="OZG3"/>
      <c r="OZH3"/>
      <c r="OZI3"/>
      <c r="OZJ3"/>
      <c r="OZK3"/>
      <c r="OZL3"/>
      <c r="OZM3"/>
      <c r="OZN3"/>
      <c r="OZO3"/>
      <c r="OZP3"/>
      <c r="OZQ3"/>
      <c r="OZR3"/>
      <c r="OZS3"/>
      <c r="OZT3"/>
      <c r="OZU3"/>
      <c r="OZV3"/>
      <c r="OZW3"/>
      <c r="OZX3"/>
      <c r="OZY3"/>
      <c r="OZZ3"/>
      <c r="PAA3"/>
      <c r="PAB3"/>
      <c r="PAC3"/>
      <c r="PAD3"/>
      <c r="PAE3"/>
      <c r="PAF3"/>
      <c r="PAG3"/>
      <c r="PAH3"/>
      <c r="PAI3"/>
      <c r="PAJ3"/>
      <c r="PAK3"/>
      <c r="PAL3"/>
      <c r="PAM3"/>
      <c r="PAN3"/>
      <c r="PAO3"/>
      <c r="PAP3"/>
      <c r="PAQ3"/>
      <c r="PAR3"/>
      <c r="PAS3"/>
      <c r="PAT3"/>
      <c r="PAU3"/>
      <c r="PAV3"/>
      <c r="PAW3"/>
      <c r="PAX3"/>
      <c r="PAY3"/>
      <c r="PAZ3"/>
      <c r="PBA3"/>
      <c r="PBB3"/>
      <c r="PBC3"/>
      <c r="PBD3"/>
      <c r="PBE3"/>
      <c r="PBF3"/>
      <c r="PBG3"/>
      <c r="PBH3"/>
      <c r="PBI3"/>
      <c r="PBJ3"/>
      <c r="PBK3"/>
      <c r="PBL3"/>
      <c r="PBM3"/>
      <c r="PBN3"/>
      <c r="PBO3"/>
      <c r="PBP3"/>
      <c r="PBQ3"/>
      <c r="PBR3"/>
      <c r="PBS3"/>
      <c r="PBT3"/>
      <c r="PBU3"/>
      <c r="PBV3"/>
      <c r="PBW3"/>
      <c r="PBX3"/>
      <c r="PBY3"/>
      <c r="PBZ3"/>
      <c r="PCA3"/>
      <c r="PCB3"/>
      <c r="PCC3"/>
      <c r="PCD3"/>
      <c r="PCE3"/>
      <c r="PCF3"/>
      <c r="PCG3"/>
      <c r="PCH3"/>
      <c r="PCI3"/>
      <c r="PCJ3"/>
      <c r="PCK3"/>
      <c r="PCL3"/>
      <c r="PCM3"/>
      <c r="PCN3"/>
      <c r="PCO3"/>
      <c r="PCP3"/>
      <c r="PCQ3"/>
      <c r="PCR3"/>
      <c r="PCS3"/>
      <c r="PCT3"/>
      <c r="PCU3"/>
      <c r="PCV3"/>
      <c r="PCW3"/>
      <c r="PCX3"/>
      <c r="PCY3"/>
      <c r="PCZ3"/>
      <c r="PDA3"/>
      <c r="PDB3"/>
      <c r="PDC3"/>
      <c r="PDD3"/>
      <c r="PDE3"/>
      <c r="PDF3"/>
      <c r="PDG3"/>
      <c r="PDH3"/>
      <c r="PDI3"/>
      <c r="PDJ3"/>
      <c r="PDK3"/>
      <c r="PDL3"/>
      <c r="PDM3"/>
      <c r="PDN3"/>
      <c r="PDO3"/>
      <c r="PDP3"/>
      <c r="PDQ3"/>
      <c r="PDR3"/>
      <c r="PDS3"/>
      <c r="PDT3"/>
      <c r="PDU3"/>
      <c r="PDV3"/>
      <c r="PDW3"/>
      <c r="PDX3"/>
      <c r="PDY3"/>
      <c r="PDZ3"/>
      <c r="PEA3"/>
      <c r="PEB3"/>
      <c r="PEC3"/>
      <c r="PED3"/>
      <c r="PEE3"/>
      <c r="PEF3"/>
      <c r="PEG3"/>
      <c r="PEH3"/>
      <c r="PEI3"/>
      <c r="PEJ3"/>
      <c r="PEK3"/>
      <c r="PEL3"/>
      <c r="PEM3"/>
      <c r="PEN3"/>
      <c r="PEO3"/>
      <c r="PEP3"/>
      <c r="PEQ3"/>
      <c r="PER3"/>
      <c r="PES3"/>
      <c r="PET3"/>
      <c r="PEU3"/>
      <c r="PEV3"/>
      <c r="PEW3"/>
      <c r="PEX3"/>
      <c r="PEY3"/>
      <c r="PEZ3"/>
      <c r="PFA3"/>
      <c r="PFB3"/>
      <c r="PFC3"/>
      <c r="PFD3"/>
      <c r="PFE3"/>
      <c r="PFF3"/>
      <c r="PFG3"/>
      <c r="PFH3"/>
      <c r="PFI3"/>
      <c r="PFJ3"/>
      <c r="PFK3"/>
      <c r="PFL3"/>
      <c r="PFM3"/>
      <c r="PFN3"/>
      <c r="PFO3"/>
      <c r="PFP3"/>
      <c r="PFQ3"/>
      <c r="PFR3"/>
      <c r="PFS3"/>
      <c r="PFT3"/>
      <c r="PFU3"/>
      <c r="PFV3"/>
      <c r="PFW3"/>
      <c r="PFX3"/>
      <c r="PFY3"/>
      <c r="PFZ3"/>
      <c r="PGA3"/>
      <c r="PGB3"/>
      <c r="PGC3"/>
      <c r="PGD3"/>
      <c r="PGE3"/>
      <c r="PGF3"/>
      <c r="PGG3"/>
      <c r="PGH3"/>
      <c r="PGI3"/>
      <c r="PGJ3"/>
      <c r="PGK3"/>
      <c r="PGL3"/>
      <c r="PGM3"/>
      <c r="PGN3"/>
      <c r="PGO3"/>
      <c r="PGP3"/>
      <c r="PGQ3"/>
      <c r="PGR3"/>
      <c r="PGS3"/>
      <c r="PGT3"/>
      <c r="PGU3"/>
      <c r="PGV3"/>
      <c r="PGW3"/>
      <c r="PGX3"/>
      <c r="PGY3"/>
      <c r="PGZ3"/>
      <c r="PHA3"/>
      <c r="PHB3"/>
      <c r="PHC3"/>
      <c r="PHD3"/>
      <c r="PHE3"/>
      <c r="PHF3"/>
      <c r="PHG3"/>
      <c r="PHH3"/>
      <c r="PHI3"/>
      <c r="PHJ3"/>
      <c r="PHK3"/>
      <c r="PHL3"/>
      <c r="PHM3"/>
      <c r="PHN3"/>
      <c r="PHO3"/>
      <c r="PHP3"/>
      <c r="PHQ3"/>
      <c r="PHR3"/>
      <c r="PHS3"/>
      <c r="PHT3"/>
      <c r="PHU3"/>
      <c r="PHV3"/>
      <c r="PHW3"/>
      <c r="PHX3"/>
      <c r="PHY3"/>
      <c r="PHZ3"/>
      <c r="PIA3"/>
      <c r="PIB3"/>
      <c r="PIC3"/>
      <c r="PID3"/>
      <c r="PIE3"/>
      <c r="PIF3"/>
      <c r="PIG3"/>
      <c r="PIH3"/>
      <c r="PII3"/>
      <c r="PIJ3"/>
      <c r="PIK3"/>
      <c r="PIL3"/>
      <c r="PIM3"/>
      <c r="PIN3"/>
      <c r="PIO3"/>
      <c r="PIP3"/>
      <c r="PIQ3"/>
      <c r="PIR3"/>
      <c r="PIS3"/>
      <c r="PIT3"/>
      <c r="PIU3"/>
      <c r="PIV3"/>
      <c r="PIW3"/>
      <c r="PIX3"/>
      <c r="PIY3"/>
      <c r="PIZ3"/>
      <c r="PJA3"/>
      <c r="PJB3"/>
      <c r="PJC3"/>
      <c r="PJD3"/>
      <c r="PJE3"/>
      <c r="PJF3"/>
      <c r="PJG3"/>
      <c r="PJH3"/>
      <c r="PJI3"/>
      <c r="PJJ3"/>
      <c r="PJK3"/>
      <c r="PJL3"/>
      <c r="PJM3"/>
      <c r="PJN3"/>
      <c r="PJO3"/>
      <c r="PJP3"/>
      <c r="PJQ3"/>
      <c r="PJR3"/>
      <c r="PJS3"/>
      <c r="PJT3"/>
      <c r="PJU3"/>
      <c r="PJV3"/>
      <c r="PJW3"/>
      <c r="PJX3"/>
      <c r="PJY3"/>
      <c r="PJZ3"/>
      <c r="PKA3"/>
      <c r="PKB3"/>
      <c r="PKC3"/>
      <c r="PKD3"/>
      <c r="PKE3"/>
      <c r="PKF3"/>
      <c r="PKG3"/>
      <c r="PKH3"/>
      <c r="PKI3"/>
      <c r="PKJ3"/>
      <c r="PKK3"/>
      <c r="PKL3"/>
      <c r="PKM3"/>
      <c r="PKN3"/>
      <c r="PKO3"/>
      <c r="PKP3"/>
      <c r="PKQ3"/>
      <c r="PKR3"/>
      <c r="PKS3"/>
      <c r="PKT3"/>
      <c r="PKU3"/>
      <c r="PKV3"/>
      <c r="PKW3"/>
      <c r="PKX3"/>
      <c r="PKY3"/>
      <c r="PKZ3"/>
      <c r="PLA3"/>
      <c r="PLB3"/>
      <c r="PLC3"/>
      <c r="PLD3"/>
      <c r="PLE3"/>
      <c r="PLF3"/>
      <c r="PLG3"/>
      <c r="PLH3"/>
      <c r="PLI3"/>
      <c r="PLJ3"/>
      <c r="PLK3"/>
      <c r="PLL3"/>
      <c r="PLM3"/>
      <c r="PLN3"/>
      <c r="PLO3"/>
      <c r="PLP3"/>
      <c r="PLQ3"/>
      <c r="PLR3"/>
      <c r="PLS3"/>
      <c r="PLT3"/>
      <c r="PLU3"/>
      <c r="PLV3"/>
      <c r="PLW3"/>
      <c r="PLX3"/>
      <c r="PLY3"/>
      <c r="PLZ3"/>
      <c r="PMA3"/>
      <c r="PMB3"/>
      <c r="PMC3"/>
      <c r="PMD3"/>
      <c r="PME3"/>
      <c r="PMF3"/>
      <c r="PMG3"/>
      <c r="PMH3"/>
      <c r="PMI3"/>
      <c r="PMJ3"/>
      <c r="PMK3"/>
      <c r="PML3"/>
      <c r="PMM3"/>
      <c r="PMN3"/>
      <c r="PMO3"/>
      <c r="PMP3"/>
      <c r="PMQ3"/>
      <c r="PMR3"/>
      <c r="PMS3"/>
      <c r="PMT3"/>
      <c r="PMU3"/>
      <c r="PMV3"/>
      <c r="PMW3"/>
      <c r="PMX3"/>
      <c r="PMY3"/>
      <c r="PMZ3"/>
      <c r="PNA3"/>
      <c r="PNB3"/>
      <c r="PNC3"/>
      <c r="PND3"/>
      <c r="PNE3"/>
      <c r="PNF3"/>
      <c r="PNG3"/>
      <c r="PNH3"/>
      <c r="PNI3"/>
      <c r="PNJ3"/>
      <c r="PNK3"/>
      <c r="PNL3"/>
      <c r="PNM3"/>
      <c r="PNN3"/>
      <c r="PNO3"/>
      <c r="PNP3"/>
      <c r="PNQ3"/>
      <c r="PNR3"/>
      <c r="PNS3"/>
      <c r="PNT3"/>
      <c r="PNU3"/>
      <c r="PNV3"/>
      <c r="PNW3"/>
      <c r="PNX3"/>
      <c r="PNY3"/>
      <c r="PNZ3"/>
      <c r="POA3"/>
      <c r="POB3"/>
      <c r="POC3"/>
      <c r="POD3"/>
      <c r="POE3"/>
      <c r="POF3"/>
      <c r="POG3"/>
      <c r="POH3"/>
      <c r="POI3"/>
      <c r="POJ3"/>
      <c r="POK3"/>
      <c r="POL3"/>
      <c r="POM3"/>
      <c r="PON3"/>
      <c r="POO3"/>
      <c r="POP3"/>
      <c r="POQ3"/>
      <c r="POR3"/>
      <c r="POS3"/>
      <c r="POT3"/>
      <c r="POU3"/>
      <c r="POV3"/>
      <c r="POW3"/>
      <c r="POX3"/>
      <c r="POY3"/>
      <c r="POZ3"/>
      <c r="PPA3"/>
      <c r="PPB3"/>
      <c r="PPC3"/>
      <c r="PPD3"/>
      <c r="PPE3"/>
      <c r="PPF3"/>
      <c r="PPG3"/>
      <c r="PPH3"/>
      <c r="PPI3"/>
      <c r="PPJ3"/>
      <c r="PPK3"/>
      <c r="PPL3"/>
      <c r="PPM3"/>
      <c r="PPN3"/>
      <c r="PPO3"/>
      <c r="PPP3"/>
      <c r="PPQ3"/>
      <c r="PPR3"/>
      <c r="PPS3"/>
      <c r="PPT3"/>
      <c r="PPU3"/>
      <c r="PPV3"/>
      <c r="PPW3"/>
      <c r="PPX3"/>
      <c r="PPY3"/>
      <c r="PPZ3"/>
      <c r="PQA3"/>
      <c r="PQB3"/>
      <c r="PQC3"/>
      <c r="PQD3"/>
      <c r="PQE3"/>
      <c r="PQF3"/>
      <c r="PQG3"/>
      <c r="PQH3"/>
      <c r="PQI3"/>
      <c r="PQJ3"/>
      <c r="PQK3"/>
      <c r="PQL3"/>
      <c r="PQM3"/>
      <c r="PQN3"/>
      <c r="PQO3"/>
      <c r="PQP3"/>
      <c r="PQQ3"/>
      <c r="PQR3"/>
      <c r="PQS3"/>
      <c r="PQT3"/>
      <c r="PQU3"/>
      <c r="PQV3"/>
      <c r="PQW3"/>
      <c r="PQX3"/>
      <c r="PQY3"/>
      <c r="PQZ3"/>
      <c r="PRA3"/>
      <c r="PRB3"/>
      <c r="PRC3"/>
      <c r="PRD3"/>
      <c r="PRE3"/>
      <c r="PRF3"/>
      <c r="PRG3"/>
      <c r="PRH3"/>
      <c r="PRI3"/>
      <c r="PRJ3"/>
      <c r="PRK3"/>
      <c r="PRL3"/>
      <c r="PRM3"/>
      <c r="PRN3"/>
      <c r="PRO3"/>
      <c r="PRP3"/>
      <c r="PRQ3"/>
      <c r="PRR3"/>
      <c r="PRS3"/>
      <c r="PRT3"/>
      <c r="PRU3"/>
      <c r="PRV3"/>
      <c r="PRW3"/>
      <c r="PRX3"/>
      <c r="PRY3"/>
      <c r="PRZ3"/>
      <c r="PSA3"/>
      <c r="PSB3"/>
      <c r="PSC3"/>
      <c r="PSD3"/>
      <c r="PSE3"/>
      <c r="PSF3"/>
      <c r="PSG3"/>
      <c r="PSH3"/>
      <c r="PSI3"/>
      <c r="PSJ3"/>
      <c r="PSK3"/>
      <c r="PSL3"/>
      <c r="PSM3"/>
      <c r="PSN3"/>
      <c r="PSO3"/>
      <c r="PSP3"/>
      <c r="PSQ3"/>
      <c r="PSR3"/>
      <c r="PSS3"/>
      <c r="PST3"/>
      <c r="PSU3"/>
      <c r="PSV3"/>
      <c r="PSW3"/>
      <c r="PSX3"/>
      <c r="PSY3"/>
      <c r="PSZ3"/>
      <c r="PTA3"/>
      <c r="PTB3"/>
      <c r="PTC3"/>
      <c r="PTD3"/>
      <c r="PTE3"/>
      <c r="PTF3"/>
      <c r="PTG3"/>
      <c r="PTH3"/>
      <c r="PTI3"/>
      <c r="PTJ3"/>
      <c r="PTK3"/>
      <c r="PTL3"/>
      <c r="PTM3"/>
      <c r="PTN3"/>
      <c r="PTO3"/>
      <c r="PTP3"/>
      <c r="PTQ3"/>
      <c r="PTR3"/>
      <c r="PTS3"/>
      <c r="PTT3"/>
      <c r="PTU3"/>
      <c r="PTV3"/>
      <c r="PTW3"/>
      <c r="PTX3"/>
      <c r="PTY3"/>
      <c r="PTZ3"/>
      <c r="PUA3"/>
      <c r="PUB3"/>
      <c r="PUC3"/>
      <c r="PUD3"/>
      <c r="PUE3"/>
      <c r="PUF3"/>
      <c r="PUG3"/>
      <c r="PUH3"/>
      <c r="PUI3"/>
      <c r="PUJ3"/>
      <c r="PUK3"/>
      <c r="PUL3"/>
      <c r="PUM3"/>
      <c r="PUN3"/>
      <c r="PUO3"/>
      <c r="PUP3"/>
      <c r="PUQ3"/>
      <c r="PUR3"/>
      <c r="PUS3"/>
      <c r="PUT3"/>
      <c r="PUU3"/>
      <c r="PUV3"/>
      <c r="PUW3"/>
      <c r="PUX3"/>
      <c r="PUY3"/>
      <c r="PUZ3"/>
      <c r="PVA3"/>
      <c r="PVB3"/>
      <c r="PVC3"/>
      <c r="PVD3"/>
      <c r="PVE3"/>
      <c r="PVF3"/>
      <c r="PVG3"/>
      <c r="PVH3"/>
      <c r="PVI3"/>
      <c r="PVJ3"/>
      <c r="PVK3"/>
      <c r="PVL3"/>
      <c r="PVM3"/>
      <c r="PVN3"/>
      <c r="PVO3"/>
      <c r="PVP3"/>
      <c r="PVQ3"/>
      <c r="PVR3"/>
      <c r="PVS3"/>
      <c r="PVT3"/>
      <c r="PVU3"/>
      <c r="PVV3"/>
      <c r="PVW3"/>
      <c r="PVX3"/>
      <c r="PVY3"/>
      <c r="PVZ3"/>
      <c r="PWA3"/>
      <c r="PWB3"/>
      <c r="PWC3"/>
      <c r="PWD3"/>
      <c r="PWE3"/>
      <c r="PWF3"/>
      <c r="PWG3"/>
      <c r="PWH3"/>
      <c r="PWI3"/>
      <c r="PWJ3"/>
      <c r="PWK3"/>
      <c r="PWL3"/>
      <c r="PWM3"/>
      <c r="PWN3"/>
      <c r="PWO3"/>
      <c r="PWP3"/>
      <c r="PWQ3"/>
      <c r="PWR3"/>
      <c r="PWS3"/>
      <c r="PWT3"/>
      <c r="PWU3"/>
      <c r="PWV3"/>
      <c r="PWW3"/>
      <c r="PWX3"/>
      <c r="PWY3"/>
      <c r="PWZ3"/>
      <c r="PXA3"/>
      <c r="PXB3"/>
      <c r="PXC3"/>
      <c r="PXD3"/>
      <c r="PXE3"/>
      <c r="PXF3"/>
      <c r="PXG3"/>
      <c r="PXH3"/>
      <c r="PXI3"/>
      <c r="PXJ3"/>
      <c r="PXK3"/>
      <c r="PXL3"/>
      <c r="PXM3"/>
      <c r="PXN3"/>
      <c r="PXO3"/>
      <c r="PXP3"/>
      <c r="PXQ3"/>
      <c r="PXR3"/>
      <c r="PXS3"/>
      <c r="PXT3"/>
      <c r="PXU3"/>
      <c r="PXV3"/>
      <c r="PXW3"/>
      <c r="PXX3"/>
      <c r="PXY3"/>
      <c r="PXZ3"/>
      <c r="PYA3"/>
      <c r="PYB3"/>
      <c r="PYC3"/>
      <c r="PYD3"/>
      <c r="PYE3"/>
      <c r="PYF3"/>
      <c r="PYG3"/>
      <c r="PYH3"/>
      <c r="PYI3"/>
      <c r="PYJ3"/>
      <c r="PYK3"/>
      <c r="PYL3"/>
      <c r="PYM3"/>
      <c r="PYN3"/>
      <c r="PYO3"/>
      <c r="PYP3"/>
      <c r="PYQ3"/>
      <c r="PYR3"/>
      <c r="PYS3"/>
      <c r="PYT3"/>
      <c r="PYU3"/>
      <c r="PYV3"/>
      <c r="PYW3"/>
      <c r="PYX3"/>
      <c r="PYY3"/>
      <c r="PYZ3"/>
      <c r="PZA3"/>
      <c r="PZB3"/>
      <c r="PZC3"/>
      <c r="PZD3"/>
      <c r="PZE3"/>
      <c r="PZF3"/>
      <c r="PZG3"/>
      <c r="PZH3"/>
      <c r="PZI3"/>
      <c r="PZJ3"/>
      <c r="PZK3"/>
      <c r="PZL3"/>
      <c r="PZM3"/>
      <c r="PZN3"/>
      <c r="PZO3"/>
      <c r="PZP3"/>
      <c r="PZQ3"/>
      <c r="PZR3"/>
      <c r="PZS3"/>
      <c r="PZT3"/>
      <c r="PZU3"/>
      <c r="PZV3"/>
      <c r="PZW3"/>
      <c r="PZX3"/>
      <c r="PZY3"/>
      <c r="PZZ3"/>
      <c r="QAA3"/>
      <c r="QAB3"/>
      <c r="QAC3"/>
      <c r="QAD3"/>
      <c r="QAE3"/>
      <c r="QAF3"/>
      <c r="QAG3"/>
      <c r="QAH3"/>
      <c r="QAI3"/>
      <c r="QAJ3"/>
      <c r="QAK3"/>
      <c r="QAL3"/>
      <c r="QAM3"/>
      <c r="QAN3"/>
      <c r="QAO3"/>
      <c r="QAP3"/>
      <c r="QAQ3"/>
      <c r="QAR3"/>
      <c r="QAS3"/>
      <c r="QAT3"/>
      <c r="QAU3"/>
      <c r="QAV3"/>
      <c r="QAW3"/>
      <c r="QAX3"/>
      <c r="QAY3"/>
      <c r="QAZ3"/>
      <c r="QBA3"/>
      <c r="QBB3"/>
      <c r="QBC3"/>
      <c r="QBD3"/>
      <c r="QBE3"/>
      <c r="QBF3"/>
      <c r="QBG3"/>
      <c r="QBH3"/>
      <c r="QBI3"/>
      <c r="QBJ3"/>
      <c r="QBK3"/>
      <c r="QBL3"/>
      <c r="QBM3"/>
      <c r="QBN3"/>
      <c r="QBO3"/>
      <c r="QBP3"/>
      <c r="QBQ3"/>
      <c r="QBR3"/>
      <c r="QBS3"/>
      <c r="QBT3"/>
      <c r="QBU3"/>
      <c r="QBV3"/>
      <c r="QBW3"/>
      <c r="QBX3"/>
      <c r="QBY3"/>
      <c r="QBZ3"/>
      <c r="QCA3"/>
      <c r="QCB3"/>
      <c r="QCC3"/>
      <c r="QCD3"/>
      <c r="QCE3"/>
      <c r="QCF3"/>
      <c r="QCG3"/>
      <c r="QCH3"/>
      <c r="QCI3"/>
      <c r="QCJ3"/>
      <c r="QCK3"/>
      <c r="QCL3"/>
      <c r="QCM3"/>
      <c r="QCN3"/>
      <c r="QCO3"/>
      <c r="QCP3"/>
      <c r="QCQ3"/>
      <c r="QCR3"/>
      <c r="QCS3"/>
      <c r="QCT3"/>
      <c r="QCU3"/>
      <c r="QCV3"/>
      <c r="QCW3"/>
      <c r="QCX3"/>
      <c r="QCY3"/>
      <c r="QCZ3"/>
      <c r="QDA3"/>
      <c r="QDB3"/>
      <c r="QDC3"/>
      <c r="QDD3"/>
      <c r="QDE3"/>
      <c r="QDF3"/>
      <c r="QDG3"/>
      <c r="QDH3"/>
      <c r="QDI3"/>
      <c r="QDJ3"/>
      <c r="QDK3"/>
      <c r="QDL3"/>
      <c r="QDM3"/>
      <c r="QDN3"/>
      <c r="QDO3"/>
      <c r="QDP3"/>
      <c r="QDQ3"/>
      <c r="QDR3"/>
      <c r="QDS3"/>
      <c r="QDT3"/>
      <c r="QDU3"/>
      <c r="QDV3"/>
      <c r="QDW3"/>
      <c r="QDX3"/>
      <c r="QDY3"/>
      <c r="QDZ3"/>
      <c r="QEA3"/>
      <c r="QEB3"/>
      <c r="QEC3"/>
      <c r="QED3"/>
      <c r="QEE3"/>
      <c r="QEF3"/>
      <c r="QEG3"/>
      <c r="QEH3"/>
      <c r="QEI3"/>
      <c r="QEJ3"/>
      <c r="QEK3"/>
      <c r="QEL3"/>
      <c r="QEM3"/>
      <c r="QEN3"/>
      <c r="QEO3"/>
      <c r="QEP3"/>
      <c r="QEQ3"/>
      <c r="QER3"/>
      <c r="QES3"/>
      <c r="QET3"/>
      <c r="QEU3"/>
      <c r="QEV3"/>
      <c r="QEW3"/>
      <c r="QEX3"/>
      <c r="QEY3"/>
      <c r="QEZ3"/>
      <c r="QFA3"/>
      <c r="QFB3"/>
      <c r="QFC3"/>
      <c r="QFD3"/>
      <c r="QFE3"/>
      <c r="QFF3"/>
      <c r="QFG3"/>
      <c r="QFH3"/>
      <c r="QFI3"/>
      <c r="QFJ3"/>
      <c r="QFK3"/>
      <c r="QFL3"/>
      <c r="QFM3"/>
      <c r="QFN3"/>
      <c r="QFO3"/>
      <c r="QFP3"/>
      <c r="QFQ3"/>
      <c r="QFR3"/>
      <c r="QFS3"/>
      <c r="QFT3"/>
      <c r="QFU3"/>
      <c r="QFV3"/>
      <c r="QFW3"/>
      <c r="QFX3"/>
      <c r="QFY3"/>
      <c r="QFZ3"/>
      <c r="QGA3"/>
      <c r="QGB3"/>
      <c r="QGC3"/>
      <c r="QGD3"/>
      <c r="QGE3"/>
      <c r="QGF3"/>
      <c r="QGG3"/>
      <c r="QGH3"/>
      <c r="QGI3"/>
      <c r="QGJ3"/>
      <c r="QGK3"/>
      <c r="QGL3"/>
      <c r="QGM3"/>
      <c r="QGN3"/>
      <c r="QGO3"/>
      <c r="QGP3"/>
      <c r="QGQ3"/>
      <c r="QGR3"/>
      <c r="QGS3"/>
      <c r="QGT3"/>
      <c r="QGU3"/>
      <c r="QGV3"/>
      <c r="QGW3"/>
      <c r="QGX3"/>
      <c r="QGY3"/>
      <c r="QGZ3"/>
      <c r="QHA3"/>
      <c r="QHB3"/>
      <c r="QHC3"/>
      <c r="QHD3"/>
      <c r="QHE3"/>
      <c r="QHF3"/>
      <c r="QHG3"/>
      <c r="QHH3"/>
      <c r="QHI3"/>
      <c r="QHJ3"/>
      <c r="QHK3"/>
      <c r="QHL3"/>
      <c r="QHM3"/>
      <c r="QHN3"/>
      <c r="QHO3"/>
      <c r="QHP3"/>
      <c r="QHQ3"/>
      <c r="QHR3"/>
      <c r="QHS3"/>
      <c r="QHT3"/>
      <c r="QHU3"/>
      <c r="QHV3"/>
      <c r="QHW3"/>
      <c r="QHX3"/>
      <c r="QHY3"/>
      <c r="QHZ3"/>
      <c r="QIA3"/>
      <c r="QIB3"/>
      <c r="QIC3"/>
      <c r="QID3"/>
      <c r="QIE3"/>
      <c r="QIF3"/>
      <c r="QIG3"/>
      <c r="QIH3"/>
      <c r="QII3"/>
      <c r="QIJ3"/>
      <c r="QIK3"/>
      <c r="QIL3"/>
      <c r="QIM3"/>
      <c r="QIN3"/>
      <c r="QIO3"/>
      <c r="QIP3"/>
      <c r="QIQ3"/>
      <c r="QIR3"/>
      <c r="QIS3"/>
      <c r="QIT3"/>
      <c r="QIU3"/>
      <c r="QIV3"/>
      <c r="QIW3"/>
      <c r="QIX3"/>
      <c r="QIY3"/>
      <c r="QIZ3"/>
      <c r="QJA3"/>
      <c r="QJB3"/>
      <c r="QJC3"/>
      <c r="QJD3"/>
      <c r="QJE3"/>
      <c r="QJF3"/>
      <c r="QJG3"/>
      <c r="QJH3"/>
      <c r="QJI3"/>
      <c r="QJJ3"/>
      <c r="QJK3"/>
      <c r="QJL3"/>
      <c r="QJM3"/>
      <c r="QJN3"/>
      <c r="QJO3"/>
      <c r="QJP3"/>
      <c r="QJQ3"/>
      <c r="QJR3"/>
      <c r="QJS3"/>
      <c r="QJT3"/>
      <c r="QJU3"/>
      <c r="QJV3"/>
      <c r="QJW3"/>
      <c r="QJX3"/>
      <c r="QJY3"/>
      <c r="QJZ3"/>
      <c r="QKA3"/>
      <c r="QKB3"/>
      <c r="QKC3"/>
      <c r="QKD3"/>
      <c r="QKE3"/>
      <c r="QKF3"/>
      <c r="QKG3"/>
      <c r="QKH3"/>
      <c r="QKI3"/>
      <c r="QKJ3"/>
      <c r="QKK3"/>
      <c r="QKL3"/>
      <c r="QKM3"/>
      <c r="QKN3"/>
      <c r="QKO3"/>
      <c r="QKP3"/>
      <c r="QKQ3"/>
      <c r="QKR3"/>
      <c r="QKS3"/>
      <c r="QKT3"/>
      <c r="QKU3"/>
      <c r="QKV3"/>
      <c r="QKW3"/>
      <c r="QKX3"/>
      <c r="QKY3"/>
      <c r="QKZ3"/>
      <c r="QLA3"/>
      <c r="QLB3"/>
      <c r="QLC3"/>
      <c r="QLD3"/>
      <c r="QLE3"/>
      <c r="QLF3"/>
      <c r="QLG3"/>
      <c r="QLH3"/>
      <c r="QLI3"/>
      <c r="QLJ3"/>
      <c r="QLK3"/>
      <c r="QLL3"/>
      <c r="QLM3"/>
      <c r="QLN3"/>
      <c r="QLO3"/>
      <c r="QLP3"/>
      <c r="QLQ3"/>
      <c r="QLR3"/>
      <c r="QLS3"/>
      <c r="QLT3"/>
      <c r="QLU3"/>
      <c r="QLV3"/>
      <c r="QLW3"/>
      <c r="QLX3"/>
      <c r="QLY3"/>
      <c r="QLZ3"/>
      <c r="QMA3"/>
      <c r="QMB3"/>
      <c r="QMC3"/>
      <c r="QMD3"/>
      <c r="QME3"/>
      <c r="QMF3"/>
      <c r="QMG3"/>
      <c r="QMH3"/>
      <c r="QMI3"/>
      <c r="QMJ3"/>
      <c r="QMK3"/>
      <c r="QML3"/>
      <c r="QMM3"/>
      <c r="QMN3"/>
      <c r="QMO3"/>
      <c r="QMP3"/>
      <c r="QMQ3"/>
      <c r="QMR3"/>
      <c r="QMS3"/>
      <c r="QMT3"/>
      <c r="QMU3"/>
      <c r="QMV3"/>
      <c r="QMW3"/>
      <c r="QMX3"/>
      <c r="QMY3"/>
      <c r="QMZ3"/>
      <c r="QNA3"/>
      <c r="QNB3"/>
      <c r="QNC3"/>
      <c r="QND3"/>
      <c r="QNE3"/>
      <c r="QNF3"/>
      <c r="QNG3"/>
      <c r="QNH3"/>
      <c r="QNI3"/>
      <c r="QNJ3"/>
      <c r="QNK3"/>
      <c r="QNL3"/>
      <c r="QNM3"/>
      <c r="QNN3"/>
      <c r="QNO3"/>
      <c r="QNP3"/>
      <c r="QNQ3"/>
      <c r="QNR3"/>
      <c r="QNS3"/>
      <c r="QNT3"/>
      <c r="QNU3"/>
      <c r="QNV3"/>
      <c r="QNW3"/>
      <c r="QNX3"/>
      <c r="QNY3"/>
      <c r="QNZ3"/>
      <c r="QOA3"/>
      <c r="QOB3"/>
      <c r="QOC3"/>
      <c r="QOD3"/>
      <c r="QOE3"/>
      <c r="QOF3"/>
      <c r="QOG3"/>
      <c r="QOH3"/>
      <c r="QOI3"/>
      <c r="QOJ3"/>
      <c r="QOK3"/>
      <c r="QOL3"/>
      <c r="QOM3"/>
      <c r="QON3"/>
      <c r="QOO3"/>
      <c r="QOP3"/>
      <c r="QOQ3"/>
      <c r="QOR3"/>
      <c r="QOS3"/>
      <c r="QOT3"/>
      <c r="QOU3"/>
      <c r="QOV3"/>
      <c r="QOW3"/>
      <c r="QOX3"/>
      <c r="QOY3"/>
      <c r="QOZ3"/>
      <c r="QPA3"/>
      <c r="QPB3"/>
      <c r="QPC3"/>
      <c r="QPD3"/>
      <c r="QPE3"/>
      <c r="QPF3"/>
      <c r="QPG3"/>
      <c r="QPH3"/>
      <c r="QPI3"/>
      <c r="QPJ3"/>
      <c r="QPK3"/>
      <c r="QPL3"/>
      <c r="QPM3"/>
      <c r="QPN3"/>
      <c r="QPO3"/>
      <c r="QPP3"/>
      <c r="QPQ3"/>
      <c r="QPR3"/>
      <c r="QPS3"/>
      <c r="QPT3"/>
      <c r="QPU3"/>
      <c r="QPV3"/>
      <c r="QPW3"/>
      <c r="QPX3"/>
      <c r="QPY3"/>
      <c r="QPZ3"/>
      <c r="QQA3"/>
      <c r="QQB3"/>
      <c r="QQC3"/>
      <c r="QQD3"/>
      <c r="QQE3"/>
      <c r="QQF3"/>
      <c r="QQG3"/>
      <c r="QQH3"/>
      <c r="QQI3"/>
      <c r="QQJ3"/>
      <c r="QQK3"/>
      <c r="QQL3"/>
      <c r="QQM3"/>
      <c r="QQN3"/>
      <c r="QQO3"/>
      <c r="QQP3"/>
      <c r="QQQ3"/>
      <c r="QQR3"/>
      <c r="QQS3"/>
      <c r="QQT3"/>
      <c r="QQU3"/>
      <c r="QQV3"/>
      <c r="QQW3"/>
      <c r="QQX3"/>
      <c r="QQY3"/>
      <c r="QQZ3"/>
      <c r="QRA3"/>
      <c r="QRB3"/>
      <c r="QRC3"/>
      <c r="QRD3"/>
      <c r="QRE3"/>
      <c r="QRF3"/>
      <c r="QRG3"/>
      <c r="QRH3"/>
      <c r="QRI3"/>
      <c r="QRJ3"/>
      <c r="QRK3"/>
      <c r="QRL3"/>
      <c r="QRM3"/>
      <c r="QRN3"/>
      <c r="QRO3"/>
      <c r="QRP3"/>
      <c r="QRQ3"/>
      <c r="QRR3"/>
      <c r="QRS3"/>
      <c r="QRT3"/>
      <c r="QRU3"/>
      <c r="QRV3"/>
      <c r="QRW3"/>
      <c r="QRX3"/>
      <c r="QRY3"/>
      <c r="QRZ3"/>
      <c r="QSA3"/>
      <c r="QSB3"/>
      <c r="QSC3"/>
      <c r="QSD3"/>
      <c r="QSE3"/>
      <c r="QSF3"/>
      <c r="QSG3"/>
      <c r="QSH3"/>
      <c r="QSI3"/>
      <c r="QSJ3"/>
      <c r="QSK3"/>
      <c r="QSL3"/>
      <c r="QSM3"/>
      <c r="QSN3"/>
      <c r="QSO3"/>
      <c r="QSP3"/>
      <c r="QSQ3"/>
      <c r="QSR3"/>
      <c r="QSS3"/>
      <c r="QST3"/>
      <c r="QSU3"/>
      <c r="QSV3"/>
      <c r="QSW3"/>
      <c r="QSX3"/>
      <c r="QSY3"/>
      <c r="QSZ3"/>
      <c r="QTA3"/>
      <c r="QTB3"/>
      <c r="QTC3"/>
      <c r="QTD3"/>
      <c r="QTE3"/>
      <c r="QTF3"/>
      <c r="QTG3"/>
      <c r="QTH3"/>
      <c r="QTI3"/>
      <c r="QTJ3"/>
      <c r="QTK3"/>
      <c r="QTL3"/>
      <c r="QTM3"/>
      <c r="QTN3"/>
      <c r="QTO3"/>
      <c r="QTP3"/>
      <c r="QTQ3"/>
      <c r="QTR3"/>
      <c r="QTS3"/>
      <c r="QTT3"/>
      <c r="QTU3"/>
      <c r="QTV3"/>
      <c r="QTW3"/>
      <c r="QTX3"/>
      <c r="QTY3"/>
      <c r="QTZ3"/>
      <c r="QUA3"/>
      <c r="QUB3"/>
      <c r="QUC3"/>
      <c r="QUD3"/>
      <c r="QUE3"/>
      <c r="QUF3"/>
      <c r="QUG3"/>
      <c r="QUH3"/>
      <c r="QUI3"/>
      <c r="QUJ3"/>
      <c r="QUK3"/>
      <c r="QUL3"/>
      <c r="QUM3"/>
      <c r="QUN3"/>
      <c r="QUO3"/>
      <c r="QUP3"/>
      <c r="QUQ3"/>
      <c r="QUR3"/>
      <c r="QUS3"/>
      <c r="QUT3"/>
      <c r="QUU3"/>
      <c r="QUV3"/>
      <c r="QUW3"/>
      <c r="QUX3"/>
      <c r="QUY3"/>
      <c r="QUZ3"/>
      <c r="QVA3"/>
      <c r="QVB3"/>
      <c r="QVC3"/>
      <c r="QVD3"/>
      <c r="QVE3"/>
      <c r="QVF3"/>
      <c r="QVG3"/>
      <c r="QVH3"/>
      <c r="QVI3"/>
      <c r="QVJ3"/>
      <c r="QVK3"/>
      <c r="QVL3"/>
      <c r="QVM3"/>
      <c r="QVN3"/>
      <c r="QVO3"/>
      <c r="QVP3"/>
      <c r="QVQ3"/>
      <c r="QVR3"/>
      <c r="QVS3"/>
      <c r="QVT3"/>
      <c r="QVU3"/>
      <c r="QVV3"/>
      <c r="QVW3"/>
      <c r="QVX3"/>
      <c r="QVY3"/>
      <c r="QVZ3"/>
      <c r="QWA3"/>
      <c r="QWB3"/>
      <c r="QWC3"/>
      <c r="QWD3"/>
      <c r="QWE3"/>
      <c r="QWF3"/>
      <c r="QWG3"/>
      <c r="QWH3"/>
      <c r="QWI3"/>
      <c r="QWJ3"/>
      <c r="QWK3"/>
      <c r="QWL3"/>
      <c r="QWM3"/>
      <c r="QWN3"/>
      <c r="QWO3"/>
      <c r="QWP3"/>
      <c r="QWQ3"/>
      <c r="QWR3"/>
      <c r="QWS3"/>
      <c r="QWT3"/>
      <c r="QWU3"/>
      <c r="QWV3"/>
      <c r="QWW3"/>
      <c r="QWX3"/>
      <c r="QWY3"/>
      <c r="QWZ3"/>
      <c r="QXA3"/>
      <c r="QXB3"/>
      <c r="QXC3"/>
      <c r="QXD3"/>
      <c r="QXE3"/>
      <c r="QXF3"/>
      <c r="QXG3"/>
      <c r="QXH3"/>
      <c r="QXI3"/>
      <c r="QXJ3"/>
      <c r="QXK3"/>
      <c r="QXL3"/>
      <c r="QXM3"/>
      <c r="QXN3"/>
      <c r="QXO3"/>
      <c r="QXP3"/>
      <c r="QXQ3"/>
      <c r="QXR3"/>
      <c r="QXS3"/>
      <c r="QXT3"/>
      <c r="QXU3"/>
      <c r="QXV3"/>
      <c r="QXW3"/>
      <c r="QXX3"/>
      <c r="QXY3"/>
      <c r="QXZ3"/>
      <c r="QYA3"/>
      <c r="QYB3"/>
      <c r="QYC3"/>
      <c r="QYD3"/>
      <c r="QYE3"/>
      <c r="QYF3"/>
      <c r="QYG3"/>
      <c r="QYH3"/>
      <c r="QYI3"/>
      <c r="QYJ3"/>
      <c r="QYK3"/>
      <c r="QYL3"/>
      <c r="QYM3"/>
      <c r="QYN3"/>
      <c r="QYO3"/>
      <c r="QYP3"/>
      <c r="QYQ3"/>
      <c r="QYR3"/>
      <c r="QYS3"/>
      <c r="QYT3"/>
      <c r="QYU3"/>
      <c r="QYV3"/>
      <c r="QYW3"/>
      <c r="QYX3"/>
      <c r="QYY3"/>
      <c r="QYZ3"/>
      <c r="QZA3"/>
      <c r="QZB3"/>
      <c r="QZC3"/>
      <c r="QZD3"/>
      <c r="QZE3"/>
      <c r="QZF3"/>
      <c r="QZG3"/>
      <c r="QZH3"/>
      <c r="QZI3"/>
      <c r="QZJ3"/>
      <c r="QZK3"/>
      <c r="QZL3"/>
      <c r="QZM3"/>
      <c r="QZN3"/>
      <c r="QZO3"/>
      <c r="QZP3"/>
      <c r="QZQ3"/>
      <c r="QZR3"/>
      <c r="QZS3"/>
      <c r="QZT3"/>
      <c r="QZU3"/>
      <c r="QZV3"/>
      <c r="QZW3"/>
      <c r="QZX3"/>
      <c r="QZY3"/>
      <c r="QZZ3"/>
      <c r="RAA3"/>
      <c r="RAB3"/>
      <c r="RAC3"/>
      <c r="RAD3"/>
      <c r="RAE3"/>
      <c r="RAF3"/>
      <c r="RAG3"/>
      <c r="RAH3"/>
      <c r="RAI3"/>
      <c r="RAJ3"/>
      <c r="RAK3"/>
      <c r="RAL3"/>
      <c r="RAM3"/>
      <c r="RAN3"/>
      <c r="RAO3"/>
      <c r="RAP3"/>
      <c r="RAQ3"/>
      <c r="RAR3"/>
      <c r="RAS3"/>
      <c r="RAT3"/>
      <c r="RAU3"/>
      <c r="RAV3"/>
      <c r="RAW3"/>
      <c r="RAX3"/>
      <c r="RAY3"/>
      <c r="RAZ3"/>
      <c r="RBA3"/>
      <c r="RBB3"/>
      <c r="RBC3"/>
      <c r="RBD3"/>
      <c r="RBE3"/>
      <c r="RBF3"/>
      <c r="RBG3"/>
      <c r="RBH3"/>
      <c r="RBI3"/>
      <c r="RBJ3"/>
      <c r="RBK3"/>
      <c r="RBL3"/>
      <c r="RBM3"/>
      <c r="RBN3"/>
      <c r="RBO3"/>
      <c r="RBP3"/>
      <c r="RBQ3"/>
      <c r="RBR3"/>
      <c r="RBS3"/>
      <c r="RBT3"/>
      <c r="RBU3"/>
      <c r="RBV3"/>
      <c r="RBW3"/>
      <c r="RBX3"/>
      <c r="RBY3"/>
      <c r="RBZ3"/>
      <c r="RCA3"/>
      <c r="RCB3"/>
      <c r="RCC3"/>
      <c r="RCD3"/>
      <c r="RCE3"/>
      <c r="RCF3"/>
      <c r="RCG3"/>
      <c r="RCH3"/>
      <c r="RCI3"/>
      <c r="RCJ3"/>
      <c r="RCK3"/>
      <c r="RCL3"/>
      <c r="RCM3"/>
      <c r="RCN3"/>
      <c r="RCO3"/>
      <c r="RCP3"/>
      <c r="RCQ3"/>
      <c r="RCR3"/>
      <c r="RCS3"/>
      <c r="RCT3"/>
      <c r="RCU3"/>
      <c r="RCV3"/>
      <c r="RCW3"/>
      <c r="RCX3"/>
      <c r="RCY3"/>
      <c r="RCZ3"/>
      <c r="RDA3"/>
      <c r="RDB3"/>
      <c r="RDC3"/>
      <c r="RDD3"/>
      <c r="RDE3"/>
      <c r="RDF3"/>
      <c r="RDG3"/>
      <c r="RDH3"/>
      <c r="RDI3"/>
      <c r="RDJ3"/>
      <c r="RDK3"/>
      <c r="RDL3"/>
      <c r="RDM3"/>
      <c r="RDN3"/>
      <c r="RDO3"/>
      <c r="RDP3"/>
      <c r="RDQ3"/>
      <c r="RDR3"/>
      <c r="RDS3"/>
      <c r="RDT3"/>
      <c r="RDU3"/>
      <c r="RDV3"/>
      <c r="RDW3"/>
      <c r="RDX3"/>
      <c r="RDY3"/>
      <c r="RDZ3"/>
      <c r="REA3"/>
      <c r="REB3"/>
      <c r="REC3"/>
      <c r="RED3"/>
      <c r="REE3"/>
      <c r="REF3"/>
      <c r="REG3"/>
      <c r="REH3"/>
      <c r="REI3"/>
      <c r="REJ3"/>
      <c r="REK3"/>
      <c r="REL3"/>
      <c r="REM3"/>
      <c r="REN3"/>
      <c r="REO3"/>
      <c r="REP3"/>
      <c r="REQ3"/>
      <c r="RER3"/>
      <c r="RES3"/>
      <c r="RET3"/>
      <c r="REU3"/>
      <c r="REV3"/>
      <c r="REW3"/>
      <c r="REX3"/>
      <c r="REY3"/>
      <c r="REZ3"/>
      <c r="RFA3"/>
      <c r="RFB3"/>
      <c r="RFC3"/>
      <c r="RFD3"/>
      <c r="RFE3"/>
      <c r="RFF3"/>
      <c r="RFG3"/>
      <c r="RFH3"/>
      <c r="RFI3"/>
      <c r="RFJ3"/>
      <c r="RFK3"/>
      <c r="RFL3"/>
      <c r="RFM3"/>
      <c r="RFN3"/>
      <c r="RFO3"/>
      <c r="RFP3"/>
      <c r="RFQ3"/>
      <c r="RFR3"/>
      <c r="RFS3"/>
      <c r="RFT3"/>
      <c r="RFU3"/>
      <c r="RFV3"/>
      <c r="RFW3"/>
      <c r="RFX3"/>
      <c r="RFY3"/>
      <c r="RFZ3"/>
      <c r="RGA3"/>
      <c r="RGB3"/>
      <c r="RGC3"/>
      <c r="RGD3"/>
      <c r="RGE3"/>
      <c r="RGF3"/>
      <c r="RGG3"/>
      <c r="RGH3"/>
      <c r="RGI3"/>
      <c r="RGJ3"/>
      <c r="RGK3"/>
      <c r="RGL3"/>
      <c r="RGM3"/>
      <c r="RGN3"/>
      <c r="RGO3"/>
      <c r="RGP3"/>
      <c r="RGQ3"/>
      <c r="RGR3"/>
      <c r="RGS3"/>
      <c r="RGT3"/>
      <c r="RGU3"/>
      <c r="RGV3"/>
      <c r="RGW3"/>
      <c r="RGX3"/>
      <c r="RGY3"/>
      <c r="RGZ3"/>
      <c r="RHA3"/>
      <c r="RHB3"/>
      <c r="RHC3"/>
      <c r="RHD3"/>
      <c r="RHE3"/>
      <c r="RHF3"/>
      <c r="RHG3"/>
      <c r="RHH3"/>
      <c r="RHI3"/>
      <c r="RHJ3"/>
      <c r="RHK3"/>
      <c r="RHL3"/>
      <c r="RHM3"/>
      <c r="RHN3"/>
      <c r="RHO3"/>
      <c r="RHP3"/>
      <c r="RHQ3"/>
      <c r="RHR3"/>
      <c r="RHS3"/>
      <c r="RHT3"/>
      <c r="RHU3"/>
      <c r="RHV3"/>
      <c r="RHW3"/>
      <c r="RHX3"/>
      <c r="RHY3"/>
      <c r="RHZ3"/>
      <c r="RIA3"/>
      <c r="RIB3"/>
      <c r="RIC3"/>
      <c r="RID3"/>
      <c r="RIE3"/>
      <c r="RIF3"/>
      <c r="RIG3"/>
      <c r="RIH3"/>
      <c r="RII3"/>
      <c r="RIJ3"/>
      <c r="RIK3"/>
      <c r="RIL3"/>
      <c r="RIM3"/>
      <c r="RIN3"/>
      <c r="RIO3"/>
      <c r="RIP3"/>
      <c r="RIQ3"/>
      <c r="RIR3"/>
      <c r="RIS3"/>
      <c r="RIT3"/>
      <c r="RIU3"/>
      <c r="RIV3"/>
      <c r="RIW3"/>
      <c r="RIX3"/>
      <c r="RIY3"/>
      <c r="RIZ3"/>
      <c r="RJA3"/>
      <c r="RJB3"/>
      <c r="RJC3"/>
      <c r="RJD3"/>
      <c r="RJE3"/>
      <c r="RJF3"/>
      <c r="RJG3"/>
      <c r="RJH3"/>
      <c r="RJI3"/>
      <c r="RJJ3"/>
      <c r="RJK3"/>
      <c r="RJL3"/>
      <c r="RJM3"/>
      <c r="RJN3"/>
      <c r="RJO3"/>
      <c r="RJP3"/>
      <c r="RJQ3"/>
      <c r="RJR3"/>
      <c r="RJS3"/>
      <c r="RJT3"/>
      <c r="RJU3"/>
      <c r="RJV3"/>
      <c r="RJW3"/>
      <c r="RJX3"/>
      <c r="RJY3"/>
      <c r="RJZ3"/>
      <c r="RKA3"/>
      <c r="RKB3"/>
      <c r="RKC3"/>
      <c r="RKD3"/>
      <c r="RKE3"/>
      <c r="RKF3"/>
      <c r="RKG3"/>
      <c r="RKH3"/>
      <c r="RKI3"/>
      <c r="RKJ3"/>
      <c r="RKK3"/>
      <c r="RKL3"/>
      <c r="RKM3"/>
      <c r="RKN3"/>
      <c r="RKO3"/>
      <c r="RKP3"/>
      <c r="RKQ3"/>
      <c r="RKR3"/>
      <c r="RKS3"/>
      <c r="RKT3"/>
      <c r="RKU3"/>
      <c r="RKV3"/>
      <c r="RKW3"/>
      <c r="RKX3"/>
      <c r="RKY3"/>
      <c r="RKZ3"/>
      <c r="RLA3"/>
      <c r="RLB3"/>
      <c r="RLC3"/>
      <c r="RLD3"/>
      <c r="RLE3"/>
      <c r="RLF3"/>
      <c r="RLG3"/>
      <c r="RLH3"/>
      <c r="RLI3"/>
      <c r="RLJ3"/>
      <c r="RLK3"/>
      <c r="RLL3"/>
      <c r="RLM3"/>
      <c r="RLN3"/>
      <c r="RLO3"/>
      <c r="RLP3"/>
      <c r="RLQ3"/>
      <c r="RLR3"/>
      <c r="RLS3"/>
      <c r="RLT3"/>
      <c r="RLU3"/>
      <c r="RLV3"/>
      <c r="RLW3"/>
      <c r="RLX3"/>
      <c r="RLY3"/>
      <c r="RLZ3"/>
      <c r="RMA3"/>
      <c r="RMB3"/>
      <c r="RMC3"/>
      <c r="RMD3"/>
      <c r="RME3"/>
      <c r="RMF3"/>
      <c r="RMG3"/>
      <c r="RMH3"/>
      <c r="RMI3"/>
      <c r="RMJ3"/>
      <c r="RMK3"/>
      <c r="RML3"/>
      <c r="RMM3"/>
      <c r="RMN3"/>
      <c r="RMO3"/>
      <c r="RMP3"/>
      <c r="RMQ3"/>
      <c r="RMR3"/>
      <c r="RMS3"/>
      <c r="RMT3"/>
      <c r="RMU3"/>
      <c r="RMV3"/>
      <c r="RMW3"/>
      <c r="RMX3"/>
      <c r="RMY3"/>
      <c r="RMZ3"/>
      <c r="RNA3"/>
      <c r="RNB3"/>
      <c r="RNC3"/>
      <c r="RND3"/>
      <c r="RNE3"/>
      <c r="RNF3"/>
      <c r="RNG3"/>
      <c r="RNH3"/>
      <c r="RNI3"/>
      <c r="RNJ3"/>
      <c r="RNK3"/>
      <c r="RNL3"/>
      <c r="RNM3"/>
      <c r="RNN3"/>
      <c r="RNO3"/>
      <c r="RNP3"/>
      <c r="RNQ3"/>
      <c r="RNR3"/>
      <c r="RNS3"/>
      <c r="RNT3"/>
      <c r="RNU3"/>
      <c r="RNV3"/>
      <c r="RNW3"/>
      <c r="RNX3"/>
      <c r="RNY3"/>
      <c r="RNZ3"/>
      <c r="ROA3"/>
      <c r="ROB3"/>
      <c r="ROC3"/>
      <c r="ROD3"/>
      <c r="ROE3"/>
      <c r="ROF3"/>
      <c r="ROG3"/>
      <c r="ROH3"/>
      <c r="ROI3"/>
      <c r="ROJ3"/>
      <c r="ROK3"/>
      <c r="ROL3"/>
      <c r="ROM3"/>
      <c r="RON3"/>
      <c r="ROO3"/>
      <c r="ROP3"/>
      <c r="ROQ3"/>
      <c r="ROR3"/>
      <c r="ROS3"/>
      <c r="ROT3"/>
      <c r="ROU3"/>
      <c r="ROV3"/>
      <c r="ROW3"/>
      <c r="ROX3"/>
      <c r="ROY3"/>
      <c r="ROZ3"/>
      <c r="RPA3"/>
      <c r="RPB3"/>
      <c r="RPC3"/>
      <c r="RPD3"/>
      <c r="RPE3"/>
      <c r="RPF3"/>
      <c r="RPG3"/>
      <c r="RPH3"/>
      <c r="RPI3"/>
      <c r="RPJ3"/>
      <c r="RPK3"/>
      <c r="RPL3"/>
      <c r="RPM3"/>
      <c r="RPN3"/>
      <c r="RPO3"/>
      <c r="RPP3"/>
      <c r="RPQ3"/>
      <c r="RPR3"/>
      <c r="RPS3"/>
      <c r="RPT3"/>
      <c r="RPU3"/>
      <c r="RPV3"/>
      <c r="RPW3"/>
      <c r="RPX3"/>
      <c r="RPY3"/>
      <c r="RPZ3"/>
      <c r="RQA3"/>
      <c r="RQB3"/>
      <c r="RQC3"/>
      <c r="RQD3"/>
      <c r="RQE3"/>
      <c r="RQF3"/>
      <c r="RQG3"/>
      <c r="RQH3"/>
      <c r="RQI3"/>
      <c r="RQJ3"/>
      <c r="RQK3"/>
      <c r="RQL3"/>
      <c r="RQM3"/>
      <c r="RQN3"/>
      <c r="RQO3"/>
      <c r="RQP3"/>
      <c r="RQQ3"/>
      <c r="RQR3"/>
      <c r="RQS3"/>
      <c r="RQT3"/>
      <c r="RQU3"/>
      <c r="RQV3"/>
      <c r="RQW3"/>
      <c r="RQX3"/>
      <c r="RQY3"/>
      <c r="RQZ3"/>
      <c r="RRA3"/>
      <c r="RRB3"/>
      <c r="RRC3"/>
      <c r="RRD3"/>
      <c r="RRE3"/>
      <c r="RRF3"/>
      <c r="RRG3"/>
      <c r="RRH3"/>
      <c r="RRI3"/>
      <c r="RRJ3"/>
      <c r="RRK3"/>
      <c r="RRL3"/>
      <c r="RRM3"/>
      <c r="RRN3"/>
      <c r="RRO3"/>
      <c r="RRP3"/>
      <c r="RRQ3"/>
      <c r="RRR3"/>
      <c r="RRS3"/>
      <c r="RRT3"/>
      <c r="RRU3"/>
      <c r="RRV3"/>
      <c r="RRW3"/>
      <c r="RRX3"/>
      <c r="RRY3"/>
      <c r="RRZ3"/>
      <c r="RSA3"/>
      <c r="RSB3"/>
      <c r="RSC3"/>
      <c r="RSD3"/>
      <c r="RSE3"/>
      <c r="RSF3"/>
      <c r="RSG3"/>
      <c r="RSH3"/>
      <c r="RSI3"/>
      <c r="RSJ3"/>
      <c r="RSK3"/>
      <c r="RSL3"/>
      <c r="RSM3"/>
      <c r="RSN3"/>
      <c r="RSO3"/>
      <c r="RSP3"/>
      <c r="RSQ3"/>
      <c r="RSR3"/>
      <c r="RSS3"/>
      <c r="RST3"/>
      <c r="RSU3"/>
      <c r="RSV3"/>
      <c r="RSW3"/>
      <c r="RSX3"/>
      <c r="RSY3"/>
      <c r="RSZ3"/>
      <c r="RTA3"/>
      <c r="RTB3"/>
      <c r="RTC3"/>
      <c r="RTD3"/>
      <c r="RTE3"/>
      <c r="RTF3"/>
      <c r="RTG3"/>
      <c r="RTH3"/>
      <c r="RTI3"/>
      <c r="RTJ3"/>
      <c r="RTK3"/>
      <c r="RTL3"/>
      <c r="RTM3"/>
      <c r="RTN3"/>
      <c r="RTO3"/>
      <c r="RTP3"/>
      <c r="RTQ3"/>
      <c r="RTR3"/>
      <c r="RTS3"/>
      <c r="RTT3"/>
      <c r="RTU3"/>
      <c r="RTV3"/>
      <c r="RTW3"/>
      <c r="RTX3"/>
      <c r="RTY3"/>
      <c r="RTZ3"/>
      <c r="RUA3"/>
      <c r="RUB3"/>
      <c r="RUC3"/>
      <c r="RUD3"/>
      <c r="RUE3"/>
      <c r="RUF3"/>
      <c r="RUG3"/>
      <c r="RUH3"/>
      <c r="RUI3"/>
      <c r="RUJ3"/>
      <c r="RUK3"/>
      <c r="RUL3"/>
      <c r="RUM3"/>
      <c r="RUN3"/>
      <c r="RUO3"/>
      <c r="RUP3"/>
      <c r="RUQ3"/>
      <c r="RUR3"/>
      <c r="RUS3"/>
      <c r="RUT3"/>
      <c r="RUU3"/>
      <c r="RUV3"/>
      <c r="RUW3"/>
      <c r="RUX3"/>
      <c r="RUY3"/>
      <c r="RUZ3"/>
      <c r="RVA3"/>
      <c r="RVB3"/>
      <c r="RVC3"/>
      <c r="RVD3"/>
      <c r="RVE3"/>
      <c r="RVF3"/>
      <c r="RVG3"/>
      <c r="RVH3"/>
      <c r="RVI3"/>
      <c r="RVJ3"/>
      <c r="RVK3"/>
      <c r="RVL3"/>
      <c r="RVM3"/>
      <c r="RVN3"/>
      <c r="RVO3"/>
      <c r="RVP3"/>
      <c r="RVQ3"/>
      <c r="RVR3"/>
      <c r="RVS3"/>
      <c r="RVT3"/>
      <c r="RVU3"/>
      <c r="RVV3"/>
      <c r="RVW3"/>
      <c r="RVX3"/>
      <c r="RVY3"/>
      <c r="RVZ3"/>
      <c r="RWA3"/>
      <c r="RWB3"/>
      <c r="RWC3"/>
      <c r="RWD3"/>
      <c r="RWE3"/>
      <c r="RWF3"/>
      <c r="RWG3"/>
      <c r="RWH3"/>
      <c r="RWI3"/>
      <c r="RWJ3"/>
      <c r="RWK3"/>
      <c r="RWL3"/>
      <c r="RWM3"/>
      <c r="RWN3"/>
      <c r="RWO3"/>
      <c r="RWP3"/>
      <c r="RWQ3"/>
      <c r="RWR3"/>
      <c r="RWS3"/>
      <c r="RWT3"/>
      <c r="RWU3"/>
      <c r="RWV3"/>
      <c r="RWW3"/>
      <c r="RWX3"/>
      <c r="RWY3"/>
      <c r="RWZ3"/>
      <c r="RXA3"/>
      <c r="RXB3"/>
      <c r="RXC3"/>
      <c r="RXD3"/>
      <c r="RXE3"/>
      <c r="RXF3"/>
      <c r="RXG3"/>
      <c r="RXH3"/>
      <c r="RXI3"/>
      <c r="RXJ3"/>
      <c r="RXK3"/>
      <c r="RXL3"/>
      <c r="RXM3"/>
      <c r="RXN3"/>
      <c r="RXO3"/>
      <c r="RXP3"/>
      <c r="RXQ3"/>
      <c r="RXR3"/>
      <c r="RXS3"/>
      <c r="RXT3"/>
      <c r="RXU3"/>
      <c r="RXV3"/>
      <c r="RXW3"/>
      <c r="RXX3"/>
      <c r="RXY3"/>
      <c r="RXZ3"/>
      <c r="RYA3"/>
      <c r="RYB3"/>
      <c r="RYC3"/>
      <c r="RYD3"/>
      <c r="RYE3"/>
      <c r="RYF3"/>
      <c r="RYG3"/>
      <c r="RYH3"/>
      <c r="RYI3"/>
      <c r="RYJ3"/>
      <c r="RYK3"/>
      <c r="RYL3"/>
      <c r="RYM3"/>
      <c r="RYN3"/>
      <c r="RYO3"/>
      <c r="RYP3"/>
      <c r="RYQ3"/>
      <c r="RYR3"/>
      <c r="RYS3"/>
      <c r="RYT3"/>
      <c r="RYU3"/>
      <c r="RYV3"/>
      <c r="RYW3"/>
      <c r="RYX3"/>
      <c r="RYY3"/>
      <c r="RYZ3"/>
      <c r="RZA3"/>
      <c r="RZB3"/>
      <c r="RZC3"/>
      <c r="RZD3"/>
      <c r="RZE3"/>
      <c r="RZF3"/>
      <c r="RZG3"/>
      <c r="RZH3"/>
      <c r="RZI3"/>
      <c r="RZJ3"/>
      <c r="RZK3"/>
      <c r="RZL3"/>
      <c r="RZM3"/>
      <c r="RZN3"/>
      <c r="RZO3"/>
      <c r="RZP3"/>
      <c r="RZQ3"/>
      <c r="RZR3"/>
      <c r="RZS3"/>
      <c r="RZT3"/>
      <c r="RZU3"/>
      <c r="RZV3"/>
      <c r="RZW3"/>
      <c r="RZX3"/>
      <c r="RZY3"/>
      <c r="RZZ3"/>
      <c r="SAA3"/>
      <c r="SAB3"/>
      <c r="SAC3"/>
      <c r="SAD3"/>
      <c r="SAE3"/>
      <c r="SAF3"/>
      <c r="SAG3"/>
      <c r="SAH3"/>
      <c r="SAI3"/>
      <c r="SAJ3"/>
      <c r="SAK3"/>
      <c r="SAL3"/>
      <c r="SAM3"/>
      <c r="SAN3"/>
      <c r="SAO3"/>
      <c r="SAP3"/>
      <c r="SAQ3"/>
      <c r="SAR3"/>
      <c r="SAS3"/>
      <c r="SAT3"/>
      <c r="SAU3"/>
      <c r="SAV3"/>
      <c r="SAW3"/>
      <c r="SAX3"/>
      <c r="SAY3"/>
      <c r="SAZ3"/>
      <c r="SBA3"/>
      <c r="SBB3"/>
      <c r="SBC3"/>
      <c r="SBD3"/>
      <c r="SBE3"/>
      <c r="SBF3"/>
      <c r="SBG3"/>
      <c r="SBH3"/>
      <c r="SBI3"/>
      <c r="SBJ3"/>
      <c r="SBK3"/>
      <c r="SBL3"/>
      <c r="SBM3"/>
      <c r="SBN3"/>
      <c r="SBO3"/>
      <c r="SBP3"/>
      <c r="SBQ3"/>
      <c r="SBR3"/>
      <c r="SBS3"/>
      <c r="SBT3"/>
      <c r="SBU3"/>
      <c r="SBV3"/>
      <c r="SBW3"/>
      <c r="SBX3"/>
      <c r="SBY3"/>
      <c r="SBZ3"/>
      <c r="SCA3"/>
      <c r="SCB3"/>
      <c r="SCC3"/>
      <c r="SCD3"/>
      <c r="SCE3"/>
      <c r="SCF3"/>
      <c r="SCG3"/>
      <c r="SCH3"/>
      <c r="SCI3"/>
      <c r="SCJ3"/>
      <c r="SCK3"/>
      <c r="SCL3"/>
      <c r="SCM3"/>
      <c r="SCN3"/>
      <c r="SCO3"/>
      <c r="SCP3"/>
      <c r="SCQ3"/>
      <c r="SCR3"/>
      <c r="SCS3"/>
      <c r="SCT3"/>
      <c r="SCU3"/>
      <c r="SCV3"/>
      <c r="SCW3"/>
      <c r="SCX3"/>
      <c r="SCY3"/>
      <c r="SCZ3"/>
      <c r="SDA3"/>
      <c r="SDB3"/>
      <c r="SDC3"/>
      <c r="SDD3"/>
      <c r="SDE3"/>
      <c r="SDF3"/>
      <c r="SDG3"/>
      <c r="SDH3"/>
      <c r="SDI3"/>
      <c r="SDJ3"/>
      <c r="SDK3"/>
      <c r="SDL3"/>
      <c r="SDM3"/>
      <c r="SDN3"/>
      <c r="SDO3"/>
      <c r="SDP3"/>
      <c r="SDQ3"/>
      <c r="SDR3"/>
      <c r="SDS3"/>
      <c r="SDT3"/>
      <c r="SDU3"/>
      <c r="SDV3"/>
      <c r="SDW3"/>
      <c r="SDX3"/>
      <c r="SDY3"/>
      <c r="SDZ3"/>
      <c r="SEA3"/>
      <c r="SEB3"/>
      <c r="SEC3"/>
      <c r="SED3"/>
      <c r="SEE3"/>
      <c r="SEF3"/>
      <c r="SEG3"/>
      <c r="SEH3"/>
      <c r="SEI3"/>
      <c r="SEJ3"/>
      <c r="SEK3"/>
      <c r="SEL3"/>
      <c r="SEM3"/>
      <c r="SEN3"/>
      <c r="SEO3"/>
      <c r="SEP3"/>
      <c r="SEQ3"/>
      <c r="SER3"/>
      <c r="SES3"/>
      <c r="SET3"/>
      <c r="SEU3"/>
      <c r="SEV3"/>
      <c r="SEW3"/>
      <c r="SEX3"/>
      <c r="SEY3"/>
      <c r="SEZ3"/>
      <c r="SFA3"/>
      <c r="SFB3"/>
      <c r="SFC3"/>
      <c r="SFD3"/>
      <c r="SFE3"/>
      <c r="SFF3"/>
      <c r="SFG3"/>
      <c r="SFH3"/>
      <c r="SFI3"/>
      <c r="SFJ3"/>
      <c r="SFK3"/>
      <c r="SFL3"/>
      <c r="SFM3"/>
      <c r="SFN3"/>
      <c r="SFO3"/>
      <c r="SFP3"/>
      <c r="SFQ3"/>
      <c r="SFR3"/>
      <c r="SFS3"/>
      <c r="SFT3"/>
      <c r="SFU3"/>
      <c r="SFV3"/>
      <c r="SFW3"/>
      <c r="SFX3"/>
      <c r="SFY3"/>
      <c r="SFZ3"/>
      <c r="SGA3"/>
      <c r="SGB3"/>
      <c r="SGC3"/>
      <c r="SGD3"/>
      <c r="SGE3"/>
      <c r="SGF3"/>
      <c r="SGG3"/>
      <c r="SGH3"/>
      <c r="SGI3"/>
      <c r="SGJ3"/>
      <c r="SGK3"/>
      <c r="SGL3"/>
      <c r="SGM3"/>
      <c r="SGN3"/>
      <c r="SGO3"/>
      <c r="SGP3"/>
      <c r="SGQ3"/>
      <c r="SGR3"/>
      <c r="SGS3"/>
      <c r="SGT3"/>
      <c r="SGU3"/>
      <c r="SGV3"/>
      <c r="SGW3"/>
      <c r="SGX3"/>
      <c r="SGY3"/>
      <c r="SGZ3"/>
      <c r="SHA3"/>
      <c r="SHB3"/>
      <c r="SHC3"/>
      <c r="SHD3"/>
      <c r="SHE3"/>
      <c r="SHF3"/>
      <c r="SHG3"/>
      <c r="SHH3"/>
      <c r="SHI3"/>
      <c r="SHJ3"/>
      <c r="SHK3"/>
      <c r="SHL3"/>
      <c r="SHM3"/>
      <c r="SHN3"/>
      <c r="SHO3"/>
      <c r="SHP3"/>
      <c r="SHQ3"/>
      <c r="SHR3"/>
      <c r="SHS3"/>
      <c r="SHT3"/>
      <c r="SHU3"/>
      <c r="SHV3"/>
      <c r="SHW3"/>
      <c r="SHX3"/>
      <c r="SHY3"/>
      <c r="SHZ3"/>
      <c r="SIA3"/>
      <c r="SIB3"/>
      <c r="SIC3"/>
      <c r="SID3"/>
      <c r="SIE3"/>
      <c r="SIF3"/>
      <c r="SIG3"/>
      <c r="SIH3"/>
      <c r="SII3"/>
      <c r="SIJ3"/>
      <c r="SIK3"/>
      <c r="SIL3"/>
      <c r="SIM3"/>
      <c r="SIN3"/>
      <c r="SIO3"/>
      <c r="SIP3"/>
      <c r="SIQ3"/>
      <c r="SIR3"/>
      <c r="SIS3"/>
      <c r="SIT3"/>
      <c r="SIU3"/>
      <c r="SIV3"/>
      <c r="SIW3"/>
      <c r="SIX3"/>
      <c r="SIY3"/>
      <c r="SIZ3"/>
      <c r="SJA3"/>
      <c r="SJB3"/>
      <c r="SJC3"/>
      <c r="SJD3"/>
      <c r="SJE3"/>
      <c r="SJF3"/>
      <c r="SJG3"/>
      <c r="SJH3"/>
      <c r="SJI3"/>
      <c r="SJJ3"/>
      <c r="SJK3"/>
      <c r="SJL3"/>
      <c r="SJM3"/>
      <c r="SJN3"/>
      <c r="SJO3"/>
      <c r="SJP3"/>
      <c r="SJQ3"/>
      <c r="SJR3"/>
      <c r="SJS3"/>
      <c r="SJT3"/>
      <c r="SJU3"/>
      <c r="SJV3"/>
      <c r="SJW3"/>
      <c r="SJX3"/>
      <c r="SJY3"/>
      <c r="SJZ3"/>
      <c r="SKA3"/>
      <c r="SKB3"/>
      <c r="SKC3"/>
      <c r="SKD3"/>
      <c r="SKE3"/>
      <c r="SKF3"/>
      <c r="SKG3"/>
      <c r="SKH3"/>
      <c r="SKI3"/>
      <c r="SKJ3"/>
      <c r="SKK3"/>
      <c r="SKL3"/>
      <c r="SKM3"/>
      <c r="SKN3"/>
      <c r="SKO3"/>
      <c r="SKP3"/>
      <c r="SKQ3"/>
      <c r="SKR3"/>
      <c r="SKS3"/>
      <c r="SKT3"/>
      <c r="SKU3"/>
      <c r="SKV3"/>
      <c r="SKW3"/>
      <c r="SKX3"/>
      <c r="SKY3"/>
      <c r="SKZ3"/>
      <c r="SLA3"/>
      <c r="SLB3"/>
      <c r="SLC3"/>
      <c r="SLD3"/>
      <c r="SLE3"/>
      <c r="SLF3"/>
      <c r="SLG3"/>
      <c r="SLH3"/>
      <c r="SLI3"/>
      <c r="SLJ3"/>
      <c r="SLK3"/>
      <c r="SLL3"/>
      <c r="SLM3"/>
      <c r="SLN3"/>
      <c r="SLO3"/>
      <c r="SLP3"/>
      <c r="SLQ3"/>
      <c r="SLR3"/>
      <c r="SLS3"/>
      <c r="SLT3"/>
      <c r="SLU3"/>
      <c r="SLV3"/>
      <c r="SLW3"/>
      <c r="SLX3"/>
      <c r="SLY3"/>
      <c r="SLZ3"/>
      <c r="SMA3"/>
      <c r="SMB3"/>
      <c r="SMC3"/>
      <c r="SMD3"/>
      <c r="SME3"/>
      <c r="SMF3"/>
      <c r="SMG3"/>
      <c r="SMH3"/>
      <c r="SMI3"/>
      <c r="SMJ3"/>
      <c r="SMK3"/>
      <c r="SML3"/>
      <c r="SMM3"/>
      <c r="SMN3"/>
      <c r="SMO3"/>
      <c r="SMP3"/>
      <c r="SMQ3"/>
      <c r="SMR3"/>
      <c r="SMS3"/>
      <c r="SMT3"/>
      <c r="SMU3"/>
      <c r="SMV3"/>
      <c r="SMW3"/>
      <c r="SMX3"/>
      <c r="SMY3"/>
      <c r="SMZ3"/>
      <c r="SNA3"/>
      <c r="SNB3"/>
      <c r="SNC3"/>
      <c r="SND3"/>
      <c r="SNE3"/>
      <c r="SNF3"/>
      <c r="SNG3"/>
      <c r="SNH3"/>
      <c r="SNI3"/>
      <c r="SNJ3"/>
      <c r="SNK3"/>
      <c r="SNL3"/>
      <c r="SNM3"/>
      <c r="SNN3"/>
      <c r="SNO3"/>
      <c r="SNP3"/>
      <c r="SNQ3"/>
      <c r="SNR3"/>
      <c r="SNS3"/>
      <c r="SNT3"/>
      <c r="SNU3"/>
      <c r="SNV3"/>
      <c r="SNW3"/>
      <c r="SNX3"/>
      <c r="SNY3"/>
      <c r="SNZ3"/>
      <c r="SOA3"/>
      <c r="SOB3"/>
      <c r="SOC3"/>
      <c r="SOD3"/>
      <c r="SOE3"/>
      <c r="SOF3"/>
      <c r="SOG3"/>
      <c r="SOH3"/>
      <c r="SOI3"/>
      <c r="SOJ3"/>
      <c r="SOK3"/>
      <c r="SOL3"/>
      <c r="SOM3"/>
      <c r="SON3"/>
      <c r="SOO3"/>
      <c r="SOP3"/>
      <c r="SOQ3"/>
      <c r="SOR3"/>
      <c r="SOS3"/>
      <c r="SOT3"/>
      <c r="SOU3"/>
      <c r="SOV3"/>
      <c r="SOW3"/>
      <c r="SOX3"/>
      <c r="SOY3"/>
      <c r="SOZ3"/>
      <c r="SPA3"/>
      <c r="SPB3"/>
      <c r="SPC3"/>
      <c r="SPD3"/>
      <c r="SPE3"/>
      <c r="SPF3"/>
      <c r="SPG3"/>
      <c r="SPH3"/>
      <c r="SPI3"/>
      <c r="SPJ3"/>
      <c r="SPK3"/>
      <c r="SPL3"/>
      <c r="SPM3"/>
      <c r="SPN3"/>
      <c r="SPO3"/>
      <c r="SPP3"/>
      <c r="SPQ3"/>
      <c r="SPR3"/>
      <c r="SPS3"/>
      <c r="SPT3"/>
      <c r="SPU3"/>
      <c r="SPV3"/>
      <c r="SPW3"/>
      <c r="SPX3"/>
      <c r="SPY3"/>
      <c r="SPZ3"/>
      <c r="SQA3"/>
      <c r="SQB3"/>
      <c r="SQC3"/>
      <c r="SQD3"/>
      <c r="SQE3"/>
      <c r="SQF3"/>
      <c r="SQG3"/>
      <c r="SQH3"/>
      <c r="SQI3"/>
      <c r="SQJ3"/>
      <c r="SQK3"/>
      <c r="SQL3"/>
      <c r="SQM3"/>
      <c r="SQN3"/>
      <c r="SQO3"/>
      <c r="SQP3"/>
      <c r="SQQ3"/>
      <c r="SQR3"/>
      <c r="SQS3"/>
      <c r="SQT3"/>
      <c r="SQU3"/>
      <c r="SQV3"/>
      <c r="SQW3"/>
      <c r="SQX3"/>
      <c r="SQY3"/>
      <c r="SQZ3"/>
      <c r="SRA3"/>
      <c r="SRB3"/>
      <c r="SRC3"/>
      <c r="SRD3"/>
      <c r="SRE3"/>
      <c r="SRF3"/>
      <c r="SRG3"/>
      <c r="SRH3"/>
      <c r="SRI3"/>
      <c r="SRJ3"/>
      <c r="SRK3"/>
      <c r="SRL3"/>
      <c r="SRM3"/>
      <c r="SRN3"/>
      <c r="SRO3"/>
      <c r="SRP3"/>
      <c r="SRQ3"/>
      <c r="SRR3"/>
      <c r="SRS3"/>
      <c r="SRT3"/>
      <c r="SRU3"/>
      <c r="SRV3"/>
      <c r="SRW3"/>
      <c r="SRX3"/>
      <c r="SRY3"/>
      <c r="SRZ3"/>
      <c r="SSA3"/>
      <c r="SSB3"/>
      <c r="SSC3"/>
      <c r="SSD3"/>
      <c r="SSE3"/>
      <c r="SSF3"/>
      <c r="SSG3"/>
      <c r="SSH3"/>
      <c r="SSI3"/>
      <c r="SSJ3"/>
      <c r="SSK3"/>
      <c r="SSL3"/>
      <c r="SSM3"/>
      <c r="SSN3"/>
      <c r="SSO3"/>
      <c r="SSP3"/>
      <c r="SSQ3"/>
      <c r="SSR3"/>
      <c r="SSS3"/>
      <c r="SST3"/>
      <c r="SSU3"/>
      <c r="SSV3"/>
      <c r="SSW3"/>
      <c r="SSX3"/>
      <c r="SSY3"/>
      <c r="SSZ3"/>
      <c r="STA3"/>
      <c r="STB3"/>
      <c r="STC3"/>
      <c r="STD3"/>
      <c r="STE3"/>
      <c r="STF3"/>
      <c r="STG3"/>
      <c r="STH3"/>
      <c r="STI3"/>
      <c r="STJ3"/>
      <c r="STK3"/>
      <c r="STL3"/>
      <c r="STM3"/>
      <c r="STN3"/>
      <c r="STO3"/>
      <c r="STP3"/>
      <c r="STQ3"/>
      <c r="STR3"/>
      <c r="STS3"/>
      <c r="STT3"/>
      <c r="STU3"/>
      <c r="STV3"/>
      <c r="STW3"/>
      <c r="STX3"/>
      <c r="STY3"/>
      <c r="STZ3"/>
      <c r="SUA3"/>
      <c r="SUB3"/>
      <c r="SUC3"/>
      <c r="SUD3"/>
      <c r="SUE3"/>
      <c r="SUF3"/>
      <c r="SUG3"/>
      <c r="SUH3"/>
      <c r="SUI3"/>
      <c r="SUJ3"/>
      <c r="SUK3"/>
      <c r="SUL3"/>
      <c r="SUM3"/>
      <c r="SUN3"/>
      <c r="SUO3"/>
      <c r="SUP3"/>
      <c r="SUQ3"/>
      <c r="SUR3"/>
      <c r="SUS3"/>
      <c r="SUT3"/>
      <c r="SUU3"/>
      <c r="SUV3"/>
      <c r="SUW3"/>
      <c r="SUX3"/>
      <c r="SUY3"/>
      <c r="SUZ3"/>
      <c r="SVA3"/>
      <c r="SVB3"/>
      <c r="SVC3"/>
      <c r="SVD3"/>
      <c r="SVE3"/>
      <c r="SVF3"/>
      <c r="SVG3"/>
      <c r="SVH3"/>
      <c r="SVI3"/>
      <c r="SVJ3"/>
      <c r="SVK3"/>
      <c r="SVL3"/>
      <c r="SVM3"/>
      <c r="SVN3"/>
      <c r="SVO3"/>
      <c r="SVP3"/>
      <c r="SVQ3"/>
      <c r="SVR3"/>
      <c r="SVS3"/>
      <c r="SVT3"/>
      <c r="SVU3"/>
      <c r="SVV3"/>
      <c r="SVW3"/>
      <c r="SVX3"/>
      <c r="SVY3"/>
      <c r="SVZ3"/>
      <c r="SWA3"/>
      <c r="SWB3"/>
      <c r="SWC3"/>
      <c r="SWD3"/>
      <c r="SWE3"/>
      <c r="SWF3"/>
      <c r="SWG3"/>
      <c r="SWH3"/>
      <c r="SWI3"/>
      <c r="SWJ3"/>
      <c r="SWK3"/>
      <c r="SWL3"/>
      <c r="SWM3"/>
      <c r="SWN3"/>
      <c r="SWO3"/>
      <c r="SWP3"/>
      <c r="SWQ3"/>
      <c r="SWR3"/>
      <c r="SWS3"/>
      <c r="SWT3"/>
      <c r="SWU3"/>
      <c r="SWV3"/>
      <c r="SWW3"/>
      <c r="SWX3"/>
      <c r="SWY3"/>
      <c r="SWZ3"/>
      <c r="SXA3"/>
      <c r="SXB3"/>
      <c r="SXC3"/>
      <c r="SXD3"/>
      <c r="SXE3"/>
      <c r="SXF3"/>
      <c r="SXG3"/>
      <c r="SXH3"/>
      <c r="SXI3"/>
      <c r="SXJ3"/>
      <c r="SXK3"/>
      <c r="SXL3"/>
      <c r="SXM3"/>
      <c r="SXN3"/>
      <c r="SXO3"/>
      <c r="SXP3"/>
      <c r="SXQ3"/>
      <c r="SXR3"/>
      <c r="SXS3"/>
      <c r="SXT3"/>
      <c r="SXU3"/>
      <c r="SXV3"/>
      <c r="SXW3"/>
      <c r="SXX3"/>
      <c r="SXY3"/>
      <c r="SXZ3"/>
      <c r="SYA3"/>
      <c r="SYB3"/>
      <c r="SYC3"/>
      <c r="SYD3"/>
      <c r="SYE3"/>
      <c r="SYF3"/>
      <c r="SYG3"/>
      <c r="SYH3"/>
      <c r="SYI3"/>
      <c r="SYJ3"/>
      <c r="SYK3"/>
      <c r="SYL3"/>
      <c r="SYM3"/>
      <c r="SYN3"/>
      <c r="SYO3"/>
      <c r="SYP3"/>
      <c r="SYQ3"/>
      <c r="SYR3"/>
      <c r="SYS3"/>
      <c r="SYT3"/>
      <c r="SYU3"/>
      <c r="SYV3"/>
      <c r="SYW3"/>
      <c r="SYX3"/>
      <c r="SYY3"/>
      <c r="SYZ3"/>
      <c r="SZA3"/>
      <c r="SZB3"/>
      <c r="SZC3"/>
      <c r="SZD3"/>
      <c r="SZE3"/>
      <c r="SZF3"/>
      <c r="SZG3"/>
      <c r="SZH3"/>
      <c r="SZI3"/>
      <c r="SZJ3"/>
      <c r="SZK3"/>
      <c r="SZL3"/>
      <c r="SZM3"/>
      <c r="SZN3"/>
      <c r="SZO3"/>
      <c r="SZP3"/>
      <c r="SZQ3"/>
      <c r="SZR3"/>
      <c r="SZS3"/>
      <c r="SZT3"/>
      <c r="SZU3"/>
      <c r="SZV3"/>
      <c r="SZW3"/>
      <c r="SZX3"/>
      <c r="SZY3"/>
      <c r="SZZ3"/>
      <c r="TAA3"/>
      <c r="TAB3"/>
      <c r="TAC3"/>
      <c r="TAD3"/>
      <c r="TAE3"/>
      <c r="TAF3"/>
      <c r="TAG3"/>
      <c r="TAH3"/>
      <c r="TAI3"/>
      <c r="TAJ3"/>
      <c r="TAK3"/>
      <c r="TAL3"/>
      <c r="TAM3"/>
      <c r="TAN3"/>
      <c r="TAO3"/>
      <c r="TAP3"/>
      <c r="TAQ3"/>
      <c r="TAR3"/>
      <c r="TAS3"/>
      <c r="TAT3"/>
      <c r="TAU3"/>
      <c r="TAV3"/>
      <c r="TAW3"/>
      <c r="TAX3"/>
      <c r="TAY3"/>
      <c r="TAZ3"/>
      <c r="TBA3"/>
      <c r="TBB3"/>
      <c r="TBC3"/>
      <c r="TBD3"/>
      <c r="TBE3"/>
      <c r="TBF3"/>
      <c r="TBG3"/>
      <c r="TBH3"/>
      <c r="TBI3"/>
      <c r="TBJ3"/>
      <c r="TBK3"/>
      <c r="TBL3"/>
      <c r="TBM3"/>
      <c r="TBN3"/>
      <c r="TBO3"/>
      <c r="TBP3"/>
      <c r="TBQ3"/>
      <c r="TBR3"/>
      <c r="TBS3"/>
      <c r="TBT3"/>
      <c r="TBU3"/>
      <c r="TBV3"/>
      <c r="TBW3"/>
      <c r="TBX3"/>
      <c r="TBY3"/>
      <c r="TBZ3"/>
      <c r="TCA3"/>
      <c r="TCB3"/>
      <c r="TCC3"/>
      <c r="TCD3"/>
      <c r="TCE3"/>
      <c r="TCF3"/>
      <c r="TCG3"/>
      <c r="TCH3"/>
      <c r="TCI3"/>
      <c r="TCJ3"/>
      <c r="TCK3"/>
      <c r="TCL3"/>
      <c r="TCM3"/>
      <c r="TCN3"/>
      <c r="TCO3"/>
      <c r="TCP3"/>
      <c r="TCQ3"/>
      <c r="TCR3"/>
      <c r="TCS3"/>
      <c r="TCT3"/>
      <c r="TCU3"/>
      <c r="TCV3"/>
      <c r="TCW3"/>
      <c r="TCX3"/>
      <c r="TCY3"/>
      <c r="TCZ3"/>
      <c r="TDA3"/>
      <c r="TDB3"/>
      <c r="TDC3"/>
      <c r="TDD3"/>
      <c r="TDE3"/>
      <c r="TDF3"/>
      <c r="TDG3"/>
      <c r="TDH3"/>
      <c r="TDI3"/>
      <c r="TDJ3"/>
      <c r="TDK3"/>
      <c r="TDL3"/>
      <c r="TDM3"/>
      <c r="TDN3"/>
      <c r="TDO3"/>
      <c r="TDP3"/>
      <c r="TDQ3"/>
      <c r="TDR3"/>
      <c r="TDS3"/>
      <c r="TDT3"/>
      <c r="TDU3"/>
      <c r="TDV3"/>
      <c r="TDW3"/>
      <c r="TDX3"/>
      <c r="TDY3"/>
      <c r="TDZ3"/>
      <c r="TEA3"/>
      <c r="TEB3"/>
      <c r="TEC3"/>
      <c r="TED3"/>
      <c r="TEE3"/>
      <c r="TEF3"/>
      <c r="TEG3"/>
      <c r="TEH3"/>
      <c r="TEI3"/>
      <c r="TEJ3"/>
      <c r="TEK3"/>
      <c r="TEL3"/>
      <c r="TEM3"/>
      <c r="TEN3"/>
      <c r="TEO3"/>
      <c r="TEP3"/>
      <c r="TEQ3"/>
      <c r="TER3"/>
      <c r="TES3"/>
      <c r="TET3"/>
      <c r="TEU3"/>
      <c r="TEV3"/>
      <c r="TEW3"/>
      <c r="TEX3"/>
      <c r="TEY3"/>
      <c r="TEZ3"/>
      <c r="TFA3"/>
      <c r="TFB3"/>
      <c r="TFC3"/>
      <c r="TFD3"/>
      <c r="TFE3"/>
      <c r="TFF3"/>
      <c r="TFG3"/>
      <c r="TFH3"/>
      <c r="TFI3"/>
      <c r="TFJ3"/>
      <c r="TFK3"/>
      <c r="TFL3"/>
      <c r="TFM3"/>
      <c r="TFN3"/>
      <c r="TFO3"/>
      <c r="TFP3"/>
      <c r="TFQ3"/>
      <c r="TFR3"/>
      <c r="TFS3"/>
      <c r="TFT3"/>
      <c r="TFU3"/>
      <c r="TFV3"/>
      <c r="TFW3"/>
      <c r="TFX3"/>
      <c r="TFY3"/>
      <c r="TFZ3"/>
      <c r="TGA3"/>
      <c r="TGB3"/>
      <c r="TGC3"/>
      <c r="TGD3"/>
      <c r="TGE3"/>
      <c r="TGF3"/>
      <c r="TGG3"/>
      <c r="TGH3"/>
      <c r="TGI3"/>
      <c r="TGJ3"/>
      <c r="TGK3"/>
      <c r="TGL3"/>
      <c r="TGM3"/>
      <c r="TGN3"/>
      <c r="TGO3"/>
      <c r="TGP3"/>
      <c r="TGQ3"/>
      <c r="TGR3"/>
      <c r="TGS3"/>
      <c r="TGT3"/>
      <c r="TGU3"/>
      <c r="TGV3"/>
      <c r="TGW3"/>
      <c r="TGX3"/>
      <c r="TGY3"/>
      <c r="TGZ3"/>
      <c r="THA3"/>
      <c r="THB3"/>
      <c r="THC3"/>
      <c r="THD3"/>
      <c r="THE3"/>
      <c r="THF3"/>
      <c r="THG3"/>
      <c r="THH3"/>
      <c r="THI3"/>
      <c r="THJ3"/>
      <c r="THK3"/>
      <c r="THL3"/>
      <c r="THM3"/>
      <c r="THN3"/>
      <c r="THO3"/>
      <c r="THP3"/>
      <c r="THQ3"/>
      <c r="THR3"/>
      <c r="THS3"/>
      <c r="THT3"/>
      <c r="THU3"/>
      <c r="THV3"/>
      <c r="THW3"/>
      <c r="THX3"/>
      <c r="THY3"/>
      <c r="THZ3"/>
      <c r="TIA3"/>
      <c r="TIB3"/>
      <c r="TIC3"/>
      <c r="TID3"/>
      <c r="TIE3"/>
      <c r="TIF3"/>
      <c r="TIG3"/>
      <c r="TIH3"/>
      <c r="TII3"/>
      <c r="TIJ3"/>
      <c r="TIK3"/>
      <c r="TIL3"/>
      <c r="TIM3"/>
      <c r="TIN3"/>
      <c r="TIO3"/>
      <c r="TIP3"/>
      <c r="TIQ3"/>
      <c r="TIR3"/>
      <c r="TIS3"/>
      <c r="TIT3"/>
      <c r="TIU3"/>
      <c r="TIV3"/>
      <c r="TIW3"/>
      <c r="TIX3"/>
      <c r="TIY3"/>
      <c r="TIZ3"/>
      <c r="TJA3"/>
      <c r="TJB3"/>
      <c r="TJC3"/>
      <c r="TJD3"/>
      <c r="TJE3"/>
      <c r="TJF3"/>
      <c r="TJG3"/>
      <c r="TJH3"/>
      <c r="TJI3"/>
      <c r="TJJ3"/>
      <c r="TJK3"/>
      <c r="TJL3"/>
      <c r="TJM3"/>
      <c r="TJN3"/>
      <c r="TJO3"/>
      <c r="TJP3"/>
      <c r="TJQ3"/>
      <c r="TJR3"/>
      <c r="TJS3"/>
      <c r="TJT3"/>
      <c r="TJU3"/>
      <c r="TJV3"/>
      <c r="TJW3"/>
      <c r="TJX3"/>
      <c r="TJY3"/>
      <c r="TJZ3"/>
      <c r="TKA3"/>
      <c r="TKB3"/>
      <c r="TKC3"/>
      <c r="TKD3"/>
      <c r="TKE3"/>
      <c r="TKF3"/>
      <c r="TKG3"/>
      <c r="TKH3"/>
      <c r="TKI3"/>
      <c r="TKJ3"/>
      <c r="TKK3"/>
      <c r="TKL3"/>
      <c r="TKM3"/>
      <c r="TKN3"/>
      <c r="TKO3"/>
      <c r="TKP3"/>
      <c r="TKQ3"/>
      <c r="TKR3"/>
      <c r="TKS3"/>
      <c r="TKT3"/>
      <c r="TKU3"/>
      <c r="TKV3"/>
      <c r="TKW3"/>
      <c r="TKX3"/>
      <c r="TKY3"/>
      <c r="TKZ3"/>
      <c r="TLA3"/>
      <c r="TLB3"/>
      <c r="TLC3"/>
      <c r="TLD3"/>
      <c r="TLE3"/>
      <c r="TLF3"/>
      <c r="TLG3"/>
      <c r="TLH3"/>
      <c r="TLI3"/>
      <c r="TLJ3"/>
      <c r="TLK3"/>
      <c r="TLL3"/>
      <c r="TLM3"/>
      <c r="TLN3"/>
      <c r="TLO3"/>
      <c r="TLP3"/>
      <c r="TLQ3"/>
      <c r="TLR3"/>
      <c r="TLS3"/>
      <c r="TLT3"/>
      <c r="TLU3"/>
      <c r="TLV3"/>
      <c r="TLW3"/>
      <c r="TLX3"/>
      <c r="TLY3"/>
      <c r="TLZ3"/>
      <c r="TMA3"/>
      <c r="TMB3"/>
      <c r="TMC3"/>
      <c r="TMD3"/>
      <c r="TME3"/>
      <c r="TMF3"/>
      <c r="TMG3"/>
      <c r="TMH3"/>
      <c r="TMI3"/>
      <c r="TMJ3"/>
      <c r="TMK3"/>
      <c r="TML3"/>
      <c r="TMM3"/>
      <c r="TMN3"/>
      <c r="TMO3"/>
      <c r="TMP3"/>
      <c r="TMQ3"/>
      <c r="TMR3"/>
      <c r="TMS3"/>
      <c r="TMT3"/>
      <c r="TMU3"/>
      <c r="TMV3"/>
      <c r="TMW3"/>
      <c r="TMX3"/>
      <c r="TMY3"/>
      <c r="TMZ3"/>
      <c r="TNA3"/>
      <c r="TNB3"/>
      <c r="TNC3"/>
      <c r="TND3"/>
      <c r="TNE3"/>
      <c r="TNF3"/>
      <c r="TNG3"/>
      <c r="TNH3"/>
      <c r="TNI3"/>
      <c r="TNJ3"/>
      <c r="TNK3"/>
      <c r="TNL3"/>
      <c r="TNM3"/>
      <c r="TNN3"/>
      <c r="TNO3"/>
      <c r="TNP3"/>
      <c r="TNQ3"/>
      <c r="TNR3"/>
      <c r="TNS3"/>
      <c r="TNT3"/>
      <c r="TNU3"/>
      <c r="TNV3"/>
      <c r="TNW3"/>
      <c r="TNX3"/>
      <c r="TNY3"/>
      <c r="TNZ3"/>
      <c r="TOA3"/>
      <c r="TOB3"/>
      <c r="TOC3"/>
      <c r="TOD3"/>
      <c r="TOE3"/>
      <c r="TOF3"/>
      <c r="TOG3"/>
      <c r="TOH3"/>
      <c r="TOI3"/>
      <c r="TOJ3"/>
      <c r="TOK3"/>
      <c r="TOL3"/>
      <c r="TOM3"/>
      <c r="TON3"/>
      <c r="TOO3"/>
      <c r="TOP3"/>
      <c r="TOQ3"/>
      <c r="TOR3"/>
      <c r="TOS3"/>
      <c r="TOT3"/>
      <c r="TOU3"/>
      <c r="TOV3"/>
      <c r="TOW3"/>
      <c r="TOX3"/>
      <c r="TOY3"/>
      <c r="TOZ3"/>
      <c r="TPA3"/>
      <c r="TPB3"/>
      <c r="TPC3"/>
      <c r="TPD3"/>
      <c r="TPE3"/>
      <c r="TPF3"/>
      <c r="TPG3"/>
      <c r="TPH3"/>
      <c r="TPI3"/>
      <c r="TPJ3"/>
      <c r="TPK3"/>
      <c r="TPL3"/>
      <c r="TPM3"/>
      <c r="TPN3"/>
      <c r="TPO3"/>
      <c r="TPP3"/>
      <c r="TPQ3"/>
      <c r="TPR3"/>
      <c r="TPS3"/>
      <c r="TPT3"/>
      <c r="TPU3"/>
      <c r="TPV3"/>
      <c r="TPW3"/>
      <c r="TPX3"/>
      <c r="TPY3"/>
      <c r="TPZ3"/>
      <c r="TQA3"/>
      <c r="TQB3"/>
      <c r="TQC3"/>
      <c r="TQD3"/>
      <c r="TQE3"/>
      <c r="TQF3"/>
      <c r="TQG3"/>
      <c r="TQH3"/>
      <c r="TQI3"/>
      <c r="TQJ3"/>
      <c r="TQK3"/>
      <c r="TQL3"/>
      <c r="TQM3"/>
      <c r="TQN3"/>
      <c r="TQO3"/>
      <c r="TQP3"/>
      <c r="TQQ3"/>
      <c r="TQR3"/>
      <c r="TQS3"/>
      <c r="TQT3"/>
      <c r="TQU3"/>
      <c r="TQV3"/>
      <c r="TQW3"/>
      <c r="TQX3"/>
      <c r="TQY3"/>
      <c r="TQZ3"/>
      <c r="TRA3"/>
      <c r="TRB3"/>
      <c r="TRC3"/>
      <c r="TRD3"/>
      <c r="TRE3"/>
      <c r="TRF3"/>
      <c r="TRG3"/>
      <c r="TRH3"/>
      <c r="TRI3"/>
      <c r="TRJ3"/>
      <c r="TRK3"/>
      <c r="TRL3"/>
      <c r="TRM3"/>
      <c r="TRN3"/>
      <c r="TRO3"/>
      <c r="TRP3"/>
      <c r="TRQ3"/>
      <c r="TRR3"/>
      <c r="TRS3"/>
      <c r="TRT3"/>
      <c r="TRU3"/>
      <c r="TRV3"/>
      <c r="TRW3"/>
      <c r="TRX3"/>
      <c r="TRY3"/>
      <c r="TRZ3"/>
      <c r="TSA3"/>
      <c r="TSB3"/>
      <c r="TSC3"/>
      <c r="TSD3"/>
      <c r="TSE3"/>
      <c r="TSF3"/>
      <c r="TSG3"/>
      <c r="TSH3"/>
      <c r="TSI3"/>
      <c r="TSJ3"/>
      <c r="TSK3"/>
      <c r="TSL3"/>
      <c r="TSM3"/>
      <c r="TSN3"/>
      <c r="TSO3"/>
      <c r="TSP3"/>
      <c r="TSQ3"/>
      <c r="TSR3"/>
      <c r="TSS3"/>
      <c r="TST3"/>
      <c r="TSU3"/>
      <c r="TSV3"/>
      <c r="TSW3"/>
      <c r="TSX3"/>
      <c r="TSY3"/>
      <c r="TSZ3"/>
      <c r="TTA3"/>
      <c r="TTB3"/>
      <c r="TTC3"/>
      <c r="TTD3"/>
      <c r="TTE3"/>
      <c r="TTF3"/>
      <c r="TTG3"/>
      <c r="TTH3"/>
      <c r="TTI3"/>
      <c r="TTJ3"/>
      <c r="TTK3"/>
      <c r="TTL3"/>
      <c r="TTM3"/>
      <c r="TTN3"/>
      <c r="TTO3"/>
      <c r="TTP3"/>
      <c r="TTQ3"/>
      <c r="TTR3"/>
      <c r="TTS3"/>
      <c r="TTT3"/>
      <c r="TTU3"/>
      <c r="TTV3"/>
      <c r="TTW3"/>
      <c r="TTX3"/>
      <c r="TTY3"/>
      <c r="TTZ3"/>
      <c r="TUA3"/>
      <c r="TUB3"/>
      <c r="TUC3"/>
      <c r="TUD3"/>
      <c r="TUE3"/>
      <c r="TUF3"/>
      <c r="TUG3"/>
      <c r="TUH3"/>
      <c r="TUI3"/>
      <c r="TUJ3"/>
      <c r="TUK3"/>
      <c r="TUL3"/>
      <c r="TUM3"/>
      <c r="TUN3"/>
      <c r="TUO3"/>
      <c r="TUP3"/>
      <c r="TUQ3"/>
      <c r="TUR3"/>
      <c r="TUS3"/>
      <c r="TUT3"/>
      <c r="TUU3"/>
      <c r="TUV3"/>
      <c r="TUW3"/>
      <c r="TUX3"/>
      <c r="TUY3"/>
      <c r="TUZ3"/>
      <c r="TVA3"/>
      <c r="TVB3"/>
      <c r="TVC3"/>
      <c r="TVD3"/>
      <c r="TVE3"/>
      <c r="TVF3"/>
      <c r="TVG3"/>
      <c r="TVH3"/>
      <c r="TVI3"/>
      <c r="TVJ3"/>
      <c r="TVK3"/>
      <c r="TVL3"/>
      <c r="TVM3"/>
      <c r="TVN3"/>
      <c r="TVO3"/>
      <c r="TVP3"/>
      <c r="TVQ3"/>
      <c r="TVR3"/>
      <c r="TVS3"/>
      <c r="TVT3"/>
      <c r="TVU3"/>
      <c r="TVV3"/>
      <c r="TVW3"/>
      <c r="TVX3"/>
      <c r="TVY3"/>
      <c r="TVZ3"/>
      <c r="TWA3"/>
      <c r="TWB3"/>
      <c r="TWC3"/>
      <c r="TWD3"/>
      <c r="TWE3"/>
      <c r="TWF3"/>
      <c r="TWG3"/>
      <c r="TWH3"/>
      <c r="TWI3"/>
      <c r="TWJ3"/>
      <c r="TWK3"/>
      <c r="TWL3"/>
      <c r="TWM3"/>
      <c r="TWN3"/>
      <c r="TWO3"/>
      <c r="TWP3"/>
      <c r="TWQ3"/>
      <c r="TWR3"/>
      <c r="TWS3"/>
      <c r="TWT3"/>
      <c r="TWU3"/>
      <c r="TWV3"/>
      <c r="TWW3"/>
      <c r="TWX3"/>
      <c r="TWY3"/>
      <c r="TWZ3"/>
      <c r="TXA3"/>
      <c r="TXB3"/>
      <c r="TXC3"/>
      <c r="TXD3"/>
      <c r="TXE3"/>
      <c r="TXF3"/>
      <c r="TXG3"/>
      <c r="TXH3"/>
      <c r="TXI3"/>
      <c r="TXJ3"/>
      <c r="TXK3"/>
      <c r="TXL3"/>
      <c r="TXM3"/>
      <c r="TXN3"/>
      <c r="TXO3"/>
      <c r="TXP3"/>
      <c r="TXQ3"/>
      <c r="TXR3"/>
      <c r="TXS3"/>
      <c r="TXT3"/>
      <c r="TXU3"/>
      <c r="TXV3"/>
      <c r="TXW3"/>
      <c r="TXX3"/>
      <c r="TXY3"/>
      <c r="TXZ3"/>
      <c r="TYA3"/>
      <c r="TYB3"/>
      <c r="TYC3"/>
      <c r="TYD3"/>
      <c r="TYE3"/>
      <c r="TYF3"/>
      <c r="TYG3"/>
      <c r="TYH3"/>
      <c r="TYI3"/>
      <c r="TYJ3"/>
      <c r="TYK3"/>
      <c r="TYL3"/>
      <c r="TYM3"/>
      <c r="TYN3"/>
      <c r="TYO3"/>
      <c r="TYP3"/>
      <c r="TYQ3"/>
      <c r="TYR3"/>
      <c r="TYS3"/>
      <c r="TYT3"/>
      <c r="TYU3"/>
      <c r="TYV3"/>
      <c r="TYW3"/>
      <c r="TYX3"/>
      <c r="TYY3"/>
      <c r="TYZ3"/>
      <c r="TZA3"/>
      <c r="TZB3"/>
      <c r="TZC3"/>
      <c r="TZD3"/>
      <c r="TZE3"/>
      <c r="TZF3"/>
      <c r="TZG3"/>
      <c r="TZH3"/>
      <c r="TZI3"/>
      <c r="TZJ3"/>
      <c r="TZK3"/>
      <c r="TZL3"/>
      <c r="TZM3"/>
      <c r="TZN3"/>
      <c r="TZO3"/>
      <c r="TZP3"/>
      <c r="TZQ3"/>
      <c r="TZR3"/>
      <c r="TZS3"/>
      <c r="TZT3"/>
      <c r="TZU3"/>
      <c r="TZV3"/>
      <c r="TZW3"/>
      <c r="TZX3"/>
      <c r="TZY3"/>
      <c r="TZZ3"/>
      <c r="UAA3"/>
      <c r="UAB3"/>
      <c r="UAC3"/>
      <c r="UAD3"/>
      <c r="UAE3"/>
      <c r="UAF3"/>
      <c r="UAG3"/>
      <c r="UAH3"/>
      <c r="UAI3"/>
      <c r="UAJ3"/>
      <c r="UAK3"/>
      <c r="UAL3"/>
      <c r="UAM3"/>
      <c r="UAN3"/>
      <c r="UAO3"/>
      <c r="UAP3"/>
      <c r="UAQ3"/>
      <c r="UAR3"/>
      <c r="UAS3"/>
      <c r="UAT3"/>
      <c r="UAU3"/>
      <c r="UAV3"/>
      <c r="UAW3"/>
      <c r="UAX3"/>
      <c r="UAY3"/>
      <c r="UAZ3"/>
      <c r="UBA3"/>
      <c r="UBB3"/>
      <c r="UBC3"/>
      <c r="UBD3"/>
      <c r="UBE3"/>
      <c r="UBF3"/>
      <c r="UBG3"/>
      <c r="UBH3"/>
      <c r="UBI3"/>
      <c r="UBJ3"/>
      <c r="UBK3"/>
      <c r="UBL3"/>
      <c r="UBM3"/>
      <c r="UBN3"/>
      <c r="UBO3"/>
      <c r="UBP3"/>
      <c r="UBQ3"/>
      <c r="UBR3"/>
      <c r="UBS3"/>
      <c r="UBT3"/>
      <c r="UBU3"/>
      <c r="UBV3"/>
      <c r="UBW3"/>
      <c r="UBX3"/>
      <c r="UBY3"/>
      <c r="UBZ3"/>
      <c r="UCA3"/>
      <c r="UCB3"/>
      <c r="UCC3"/>
      <c r="UCD3"/>
      <c r="UCE3"/>
      <c r="UCF3"/>
      <c r="UCG3"/>
      <c r="UCH3"/>
      <c r="UCI3"/>
      <c r="UCJ3"/>
      <c r="UCK3"/>
      <c r="UCL3"/>
      <c r="UCM3"/>
      <c r="UCN3"/>
      <c r="UCO3"/>
      <c r="UCP3"/>
      <c r="UCQ3"/>
      <c r="UCR3"/>
      <c r="UCS3"/>
      <c r="UCT3"/>
      <c r="UCU3"/>
      <c r="UCV3"/>
      <c r="UCW3"/>
      <c r="UCX3"/>
      <c r="UCY3"/>
      <c r="UCZ3"/>
      <c r="UDA3"/>
      <c r="UDB3"/>
      <c r="UDC3"/>
      <c r="UDD3"/>
      <c r="UDE3"/>
      <c r="UDF3"/>
      <c r="UDG3"/>
      <c r="UDH3"/>
      <c r="UDI3"/>
      <c r="UDJ3"/>
      <c r="UDK3"/>
      <c r="UDL3"/>
      <c r="UDM3"/>
      <c r="UDN3"/>
      <c r="UDO3"/>
      <c r="UDP3"/>
      <c r="UDQ3"/>
      <c r="UDR3"/>
      <c r="UDS3"/>
      <c r="UDT3"/>
      <c r="UDU3"/>
      <c r="UDV3"/>
      <c r="UDW3"/>
      <c r="UDX3"/>
      <c r="UDY3"/>
      <c r="UDZ3"/>
      <c r="UEA3"/>
      <c r="UEB3"/>
      <c r="UEC3"/>
      <c r="UED3"/>
      <c r="UEE3"/>
      <c r="UEF3"/>
      <c r="UEG3"/>
      <c r="UEH3"/>
      <c r="UEI3"/>
      <c r="UEJ3"/>
      <c r="UEK3"/>
      <c r="UEL3"/>
      <c r="UEM3"/>
      <c r="UEN3"/>
      <c r="UEO3"/>
      <c r="UEP3"/>
      <c r="UEQ3"/>
      <c r="UER3"/>
      <c r="UES3"/>
      <c r="UET3"/>
      <c r="UEU3"/>
      <c r="UEV3"/>
      <c r="UEW3"/>
      <c r="UEX3"/>
      <c r="UEY3"/>
      <c r="UEZ3"/>
      <c r="UFA3"/>
      <c r="UFB3"/>
      <c r="UFC3"/>
      <c r="UFD3"/>
      <c r="UFE3"/>
      <c r="UFF3"/>
      <c r="UFG3"/>
      <c r="UFH3"/>
      <c r="UFI3"/>
      <c r="UFJ3"/>
      <c r="UFK3"/>
      <c r="UFL3"/>
      <c r="UFM3"/>
      <c r="UFN3"/>
      <c r="UFO3"/>
      <c r="UFP3"/>
      <c r="UFQ3"/>
      <c r="UFR3"/>
      <c r="UFS3"/>
      <c r="UFT3"/>
      <c r="UFU3"/>
      <c r="UFV3"/>
      <c r="UFW3"/>
      <c r="UFX3"/>
      <c r="UFY3"/>
      <c r="UFZ3"/>
      <c r="UGA3"/>
      <c r="UGB3"/>
      <c r="UGC3"/>
      <c r="UGD3"/>
      <c r="UGE3"/>
      <c r="UGF3"/>
      <c r="UGG3"/>
      <c r="UGH3"/>
      <c r="UGI3"/>
      <c r="UGJ3"/>
      <c r="UGK3"/>
      <c r="UGL3"/>
      <c r="UGM3"/>
      <c r="UGN3"/>
      <c r="UGO3"/>
      <c r="UGP3"/>
      <c r="UGQ3"/>
      <c r="UGR3"/>
      <c r="UGS3"/>
      <c r="UGT3"/>
      <c r="UGU3"/>
      <c r="UGV3"/>
      <c r="UGW3"/>
      <c r="UGX3"/>
      <c r="UGY3"/>
      <c r="UGZ3"/>
      <c r="UHA3"/>
      <c r="UHB3"/>
      <c r="UHC3"/>
      <c r="UHD3"/>
      <c r="UHE3"/>
      <c r="UHF3"/>
      <c r="UHG3"/>
      <c r="UHH3"/>
      <c r="UHI3"/>
      <c r="UHJ3"/>
      <c r="UHK3"/>
      <c r="UHL3"/>
      <c r="UHM3"/>
      <c r="UHN3"/>
      <c r="UHO3"/>
      <c r="UHP3"/>
      <c r="UHQ3"/>
      <c r="UHR3"/>
      <c r="UHS3"/>
      <c r="UHT3"/>
      <c r="UHU3"/>
      <c r="UHV3"/>
      <c r="UHW3"/>
      <c r="UHX3"/>
      <c r="UHY3"/>
      <c r="UHZ3"/>
      <c r="UIA3"/>
      <c r="UIB3"/>
      <c r="UIC3"/>
      <c r="UID3"/>
      <c r="UIE3"/>
      <c r="UIF3"/>
      <c r="UIG3"/>
      <c r="UIH3"/>
      <c r="UII3"/>
      <c r="UIJ3"/>
      <c r="UIK3"/>
      <c r="UIL3"/>
      <c r="UIM3"/>
      <c r="UIN3"/>
      <c r="UIO3"/>
      <c r="UIP3"/>
      <c r="UIQ3"/>
      <c r="UIR3"/>
      <c r="UIS3"/>
      <c r="UIT3"/>
      <c r="UIU3"/>
      <c r="UIV3"/>
      <c r="UIW3"/>
      <c r="UIX3"/>
      <c r="UIY3"/>
      <c r="UIZ3"/>
      <c r="UJA3"/>
      <c r="UJB3"/>
      <c r="UJC3"/>
      <c r="UJD3"/>
      <c r="UJE3"/>
      <c r="UJF3"/>
      <c r="UJG3"/>
      <c r="UJH3"/>
      <c r="UJI3"/>
      <c r="UJJ3"/>
      <c r="UJK3"/>
      <c r="UJL3"/>
      <c r="UJM3"/>
      <c r="UJN3"/>
      <c r="UJO3"/>
      <c r="UJP3"/>
      <c r="UJQ3"/>
      <c r="UJR3"/>
      <c r="UJS3"/>
      <c r="UJT3"/>
      <c r="UJU3"/>
      <c r="UJV3"/>
      <c r="UJW3"/>
      <c r="UJX3"/>
      <c r="UJY3"/>
      <c r="UJZ3"/>
      <c r="UKA3"/>
      <c r="UKB3"/>
      <c r="UKC3"/>
      <c r="UKD3"/>
      <c r="UKE3"/>
      <c r="UKF3"/>
      <c r="UKG3"/>
      <c r="UKH3"/>
      <c r="UKI3"/>
      <c r="UKJ3"/>
      <c r="UKK3"/>
      <c r="UKL3"/>
      <c r="UKM3"/>
      <c r="UKN3"/>
      <c r="UKO3"/>
      <c r="UKP3"/>
      <c r="UKQ3"/>
      <c r="UKR3"/>
      <c r="UKS3"/>
      <c r="UKT3"/>
      <c r="UKU3"/>
      <c r="UKV3"/>
      <c r="UKW3"/>
      <c r="UKX3"/>
      <c r="UKY3"/>
      <c r="UKZ3"/>
      <c r="ULA3"/>
      <c r="ULB3"/>
      <c r="ULC3"/>
      <c r="ULD3"/>
      <c r="ULE3"/>
      <c r="ULF3"/>
      <c r="ULG3"/>
      <c r="ULH3"/>
      <c r="ULI3"/>
      <c r="ULJ3"/>
      <c r="ULK3"/>
      <c r="ULL3"/>
      <c r="ULM3"/>
      <c r="ULN3"/>
      <c r="ULO3"/>
      <c r="ULP3"/>
      <c r="ULQ3"/>
      <c r="ULR3"/>
      <c r="ULS3"/>
      <c r="ULT3"/>
      <c r="ULU3"/>
      <c r="ULV3"/>
      <c r="ULW3"/>
      <c r="ULX3"/>
      <c r="ULY3"/>
      <c r="ULZ3"/>
      <c r="UMA3"/>
      <c r="UMB3"/>
      <c r="UMC3"/>
      <c r="UMD3"/>
      <c r="UME3"/>
      <c r="UMF3"/>
      <c r="UMG3"/>
      <c r="UMH3"/>
      <c r="UMI3"/>
      <c r="UMJ3"/>
      <c r="UMK3"/>
      <c r="UML3"/>
      <c r="UMM3"/>
      <c r="UMN3"/>
      <c r="UMO3"/>
      <c r="UMP3"/>
      <c r="UMQ3"/>
      <c r="UMR3"/>
      <c r="UMS3"/>
      <c r="UMT3"/>
      <c r="UMU3"/>
      <c r="UMV3"/>
      <c r="UMW3"/>
      <c r="UMX3"/>
      <c r="UMY3"/>
      <c r="UMZ3"/>
      <c r="UNA3"/>
      <c r="UNB3"/>
      <c r="UNC3"/>
      <c r="UND3"/>
      <c r="UNE3"/>
      <c r="UNF3"/>
      <c r="UNG3"/>
      <c r="UNH3"/>
      <c r="UNI3"/>
      <c r="UNJ3"/>
      <c r="UNK3"/>
      <c r="UNL3"/>
      <c r="UNM3"/>
      <c r="UNN3"/>
      <c r="UNO3"/>
      <c r="UNP3"/>
      <c r="UNQ3"/>
      <c r="UNR3"/>
      <c r="UNS3"/>
      <c r="UNT3"/>
      <c r="UNU3"/>
      <c r="UNV3"/>
      <c r="UNW3"/>
      <c r="UNX3"/>
      <c r="UNY3"/>
      <c r="UNZ3"/>
      <c r="UOA3"/>
      <c r="UOB3"/>
      <c r="UOC3"/>
      <c r="UOD3"/>
      <c r="UOE3"/>
      <c r="UOF3"/>
      <c r="UOG3"/>
      <c r="UOH3"/>
      <c r="UOI3"/>
      <c r="UOJ3"/>
      <c r="UOK3"/>
      <c r="UOL3"/>
      <c r="UOM3"/>
      <c r="UON3"/>
      <c r="UOO3"/>
      <c r="UOP3"/>
      <c r="UOQ3"/>
      <c r="UOR3"/>
      <c r="UOS3"/>
      <c r="UOT3"/>
      <c r="UOU3"/>
      <c r="UOV3"/>
      <c r="UOW3"/>
      <c r="UOX3"/>
      <c r="UOY3"/>
      <c r="UOZ3"/>
      <c r="UPA3"/>
      <c r="UPB3"/>
      <c r="UPC3"/>
      <c r="UPD3"/>
      <c r="UPE3"/>
      <c r="UPF3"/>
      <c r="UPG3"/>
      <c r="UPH3"/>
      <c r="UPI3"/>
      <c r="UPJ3"/>
      <c r="UPK3"/>
      <c r="UPL3"/>
      <c r="UPM3"/>
      <c r="UPN3"/>
      <c r="UPO3"/>
      <c r="UPP3"/>
      <c r="UPQ3"/>
      <c r="UPR3"/>
      <c r="UPS3"/>
      <c r="UPT3"/>
      <c r="UPU3"/>
      <c r="UPV3"/>
      <c r="UPW3"/>
      <c r="UPX3"/>
      <c r="UPY3"/>
      <c r="UPZ3"/>
      <c r="UQA3"/>
      <c r="UQB3"/>
      <c r="UQC3"/>
      <c r="UQD3"/>
      <c r="UQE3"/>
      <c r="UQF3"/>
      <c r="UQG3"/>
      <c r="UQH3"/>
      <c r="UQI3"/>
      <c r="UQJ3"/>
      <c r="UQK3"/>
      <c r="UQL3"/>
      <c r="UQM3"/>
      <c r="UQN3"/>
      <c r="UQO3"/>
      <c r="UQP3"/>
      <c r="UQQ3"/>
      <c r="UQR3"/>
      <c r="UQS3"/>
      <c r="UQT3"/>
      <c r="UQU3"/>
      <c r="UQV3"/>
      <c r="UQW3"/>
      <c r="UQX3"/>
      <c r="UQY3"/>
      <c r="UQZ3"/>
      <c r="URA3"/>
      <c r="URB3"/>
      <c r="URC3"/>
      <c r="URD3"/>
      <c r="URE3"/>
      <c r="URF3"/>
      <c r="URG3"/>
      <c r="URH3"/>
      <c r="URI3"/>
      <c r="URJ3"/>
      <c r="URK3"/>
      <c r="URL3"/>
      <c r="URM3"/>
      <c r="URN3"/>
      <c r="URO3"/>
      <c r="URP3"/>
      <c r="URQ3"/>
      <c r="URR3"/>
      <c r="URS3"/>
      <c r="URT3"/>
      <c r="URU3"/>
      <c r="URV3"/>
      <c r="URW3"/>
      <c r="URX3"/>
      <c r="URY3"/>
      <c r="URZ3"/>
      <c r="USA3"/>
      <c r="USB3"/>
      <c r="USC3"/>
      <c r="USD3"/>
      <c r="USE3"/>
      <c r="USF3"/>
      <c r="USG3"/>
      <c r="USH3"/>
      <c r="USI3"/>
      <c r="USJ3"/>
      <c r="USK3"/>
      <c r="USL3"/>
      <c r="USM3"/>
      <c r="USN3"/>
      <c r="USO3"/>
      <c r="USP3"/>
      <c r="USQ3"/>
      <c r="USR3"/>
      <c r="USS3"/>
      <c r="UST3"/>
      <c r="USU3"/>
      <c r="USV3"/>
      <c r="USW3"/>
      <c r="USX3"/>
      <c r="USY3"/>
      <c r="USZ3"/>
      <c r="UTA3"/>
      <c r="UTB3"/>
      <c r="UTC3"/>
      <c r="UTD3"/>
      <c r="UTE3"/>
      <c r="UTF3"/>
      <c r="UTG3"/>
      <c r="UTH3"/>
      <c r="UTI3"/>
      <c r="UTJ3"/>
      <c r="UTK3"/>
      <c r="UTL3"/>
      <c r="UTM3"/>
      <c r="UTN3"/>
      <c r="UTO3"/>
      <c r="UTP3"/>
      <c r="UTQ3"/>
      <c r="UTR3"/>
      <c r="UTS3"/>
      <c r="UTT3"/>
      <c r="UTU3"/>
      <c r="UTV3"/>
      <c r="UTW3"/>
      <c r="UTX3"/>
      <c r="UTY3"/>
      <c r="UTZ3"/>
      <c r="UUA3"/>
      <c r="UUB3"/>
      <c r="UUC3"/>
      <c r="UUD3"/>
      <c r="UUE3"/>
      <c r="UUF3"/>
      <c r="UUG3"/>
      <c r="UUH3"/>
      <c r="UUI3"/>
      <c r="UUJ3"/>
      <c r="UUK3"/>
      <c r="UUL3"/>
      <c r="UUM3"/>
      <c r="UUN3"/>
      <c r="UUO3"/>
      <c r="UUP3"/>
      <c r="UUQ3"/>
      <c r="UUR3"/>
      <c r="UUS3"/>
      <c r="UUT3"/>
      <c r="UUU3"/>
      <c r="UUV3"/>
      <c r="UUW3"/>
      <c r="UUX3"/>
      <c r="UUY3"/>
      <c r="UUZ3"/>
      <c r="UVA3"/>
      <c r="UVB3"/>
      <c r="UVC3"/>
      <c r="UVD3"/>
      <c r="UVE3"/>
      <c r="UVF3"/>
      <c r="UVG3"/>
      <c r="UVH3"/>
      <c r="UVI3"/>
      <c r="UVJ3"/>
      <c r="UVK3"/>
      <c r="UVL3"/>
      <c r="UVM3"/>
      <c r="UVN3"/>
      <c r="UVO3"/>
      <c r="UVP3"/>
      <c r="UVQ3"/>
      <c r="UVR3"/>
      <c r="UVS3"/>
      <c r="UVT3"/>
      <c r="UVU3"/>
      <c r="UVV3"/>
      <c r="UVW3"/>
      <c r="UVX3"/>
      <c r="UVY3"/>
      <c r="UVZ3"/>
      <c r="UWA3"/>
      <c r="UWB3"/>
      <c r="UWC3"/>
      <c r="UWD3"/>
      <c r="UWE3"/>
      <c r="UWF3"/>
      <c r="UWG3"/>
      <c r="UWH3"/>
      <c r="UWI3"/>
      <c r="UWJ3"/>
      <c r="UWK3"/>
      <c r="UWL3"/>
      <c r="UWM3"/>
      <c r="UWN3"/>
      <c r="UWO3"/>
      <c r="UWP3"/>
      <c r="UWQ3"/>
      <c r="UWR3"/>
      <c r="UWS3"/>
      <c r="UWT3"/>
      <c r="UWU3"/>
      <c r="UWV3"/>
      <c r="UWW3"/>
      <c r="UWX3"/>
      <c r="UWY3"/>
      <c r="UWZ3"/>
      <c r="UXA3"/>
      <c r="UXB3"/>
      <c r="UXC3"/>
      <c r="UXD3"/>
      <c r="UXE3"/>
      <c r="UXF3"/>
      <c r="UXG3"/>
      <c r="UXH3"/>
      <c r="UXI3"/>
      <c r="UXJ3"/>
      <c r="UXK3"/>
      <c r="UXL3"/>
      <c r="UXM3"/>
      <c r="UXN3"/>
      <c r="UXO3"/>
      <c r="UXP3"/>
      <c r="UXQ3"/>
      <c r="UXR3"/>
      <c r="UXS3"/>
      <c r="UXT3"/>
      <c r="UXU3"/>
      <c r="UXV3"/>
      <c r="UXW3"/>
      <c r="UXX3"/>
      <c r="UXY3"/>
      <c r="UXZ3"/>
      <c r="UYA3"/>
      <c r="UYB3"/>
      <c r="UYC3"/>
      <c r="UYD3"/>
      <c r="UYE3"/>
      <c r="UYF3"/>
      <c r="UYG3"/>
      <c r="UYH3"/>
      <c r="UYI3"/>
      <c r="UYJ3"/>
      <c r="UYK3"/>
      <c r="UYL3"/>
      <c r="UYM3"/>
      <c r="UYN3"/>
      <c r="UYO3"/>
      <c r="UYP3"/>
      <c r="UYQ3"/>
      <c r="UYR3"/>
      <c r="UYS3"/>
      <c r="UYT3"/>
      <c r="UYU3"/>
      <c r="UYV3"/>
      <c r="UYW3"/>
      <c r="UYX3"/>
      <c r="UYY3"/>
      <c r="UYZ3"/>
      <c r="UZA3"/>
      <c r="UZB3"/>
      <c r="UZC3"/>
      <c r="UZD3"/>
      <c r="UZE3"/>
      <c r="UZF3"/>
      <c r="UZG3"/>
      <c r="UZH3"/>
      <c r="UZI3"/>
      <c r="UZJ3"/>
      <c r="UZK3"/>
      <c r="UZL3"/>
      <c r="UZM3"/>
      <c r="UZN3"/>
      <c r="UZO3"/>
      <c r="UZP3"/>
      <c r="UZQ3"/>
      <c r="UZR3"/>
      <c r="UZS3"/>
      <c r="UZT3"/>
      <c r="UZU3"/>
      <c r="UZV3"/>
      <c r="UZW3"/>
      <c r="UZX3"/>
      <c r="UZY3"/>
      <c r="UZZ3"/>
      <c r="VAA3"/>
      <c r="VAB3"/>
      <c r="VAC3"/>
      <c r="VAD3"/>
      <c r="VAE3"/>
      <c r="VAF3"/>
      <c r="VAG3"/>
      <c r="VAH3"/>
      <c r="VAI3"/>
      <c r="VAJ3"/>
      <c r="VAK3"/>
      <c r="VAL3"/>
      <c r="VAM3"/>
      <c r="VAN3"/>
      <c r="VAO3"/>
      <c r="VAP3"/>
      <c r="VAQ3"/>
      <c r="VAR3"/>
      <c r="VAS3"/>
      <c r="VAT3"/>
      <c r="VAU3"/>
      <c r="VAV3"/>
      <c r="VAW3"/>
      <c r="VAX3"/>
      <c r="VAY3"/>
      <c r="VAZ3"/>
      <c r="VBA3"/>
      <c r="VBB3"/>
      <c r="VBC3"/>
      <c r="VBD3"/>
      <c r="VBE3"/>
      <c r="VBF3"/>
      <c r="VBG3"/>
      <c r="VBH3"/>
      <c r="VBI3"/>
      <c r="VBJ3"/>
      <c r="VBK3"/>
      <c r="VBL3"/>
      <c r="VBM3"/>
      <c r="VBN3"/>
      <c r="VBO3"/>
      <c r="VBP3"/>
      <c r="VBQ3"/>
      <c r="VBR3"/>
      <c r="VBS3"/>
      <c r="VBT3"/>
      <c r="VBU3"/>
      <c r="VBV3"/>
      <c r="VBW3"/>
      <c r="VBX3"/>
      <c r="VBY3"/>
      <c r="VBZ3"/>
      <c r="VCA3"/>
      <c r="VCB3"/>
      <c r="VCC3"/>
      <c r="VCD3"/>
      <c r="VCE3"/>
      <c r="VCF3"/>
      <c r="VCG3"/>
      <c r="VCH3"/>
      <c r="VCI3"/>
      <c r="VCJ3"/>
      <c r="VCK3"/>
      <c r="VCL3"/>
      <c r="VCM3"/>
      <c r="VCN3"/>
      <c r="VCO3"/>
      <c r="VCP3"/>
      <c r="VCQ3"/>
      <c r="VCR3"/>
      <c r="VCS3"/>
      <c r="VCT3"/>
      <c r="VCU3"/>
      <c r="VCV3"/>
      <c r="VCW3"/>
      <c r="VCX3"/>
      <c r="VCY3"/>
      <c r="VCZ3"/>
      <c r="VDA3"/>
      <c r="VDB3"/>
      <c r="VDC3"/>
      <c r="VDD3"/>
      <c r="VDE3"/>
      <c r="VDF3"/>
      <c r="VDG3"/>
      <c r="VDH3"/>
      <c r="VDI3"/>
      <c r="VDJ3"/>
      <c r="VDK3"/>
      <c r="VDL3"/>
      <c r="VDM3"/>
      <c r="VDN3"/>
      <c r="VDO3"/>
      <c r="VDP3"/>
      <c r="VDQ3"/>
      <c r="VDR3"/>
      <c r="VDS3"/>
      <c r="VDT3"/>
      <c r="VDU3"/>
      <c r="VDV3"/>
      <c r="VDW3"/>
      <c r="VDX3"/>
      <c r="VDY3"/>
      <c r="VDZ3"/>
      <c r="VEA3"/>
      <c r="VEB3"/>
      <c r="VEC3"/>
      <c r="VED3"/>
      <c r="VEE3"/>
      <c r="VEF3"/>
      <c r="VEG3"/>
      <c r="VEH3"/>
      <c r="VEI3"/>
      <c r="VEJ3"/>
      <c r="VEK3"/>
      <c r="VEL3"/>
      <c r="VEM3"/>
      <c r="VEN3"/>
      <c r="VEO3"/>
      <c r="VEP3"/>
      <c r="VEQ3"/>
      <c r="VER3"/>
      <c r="VES3"/>
      <c r="VET3"/>
      <c r="VEU3"/>
      <c r="VEV3"/>
      <c r="VEW3"/>
      <c r="VEX3"/>
      <c r="VEY3"/>
      <c r="VEZ3"/>
      <c r="VFA3"/>
      <c r="VFB3"/>
      <c r="VFC3"/>
      <c r="VFD3"/>
      <c r="VFE3"/>
      <c r="VFF3"/>
      <c r="VFG3"/>
      <c r="VFH3"/>
      <c r="VFI3"/>
      <c r="VFJ3"/>
      <c r="VFK3"/>
      <c r="VFL3"/>
      <c r="VFM3"/>
      <c r="VFN3"/>
      <c r="VFO3"/>
      <c r="VFP3"/>
      <c r="VFQ3"/>
      <c r="VFR3"/>
      <c r="VFS3"/>
      <c r="VFT3"/>
      <c r="VFU3"/>
      <c r="VFV3"/>
      <c r="VFW3"/>
      <c r="VFX3"/>
      <c r="VFY3"/>
      <c r="VFZ3"/>
      <c r="VGA3"/>
      <c r="VGB3"/>
      <c r="VGC3"/>
      <c r="VGD3"/>
      <c r="VGE3"/>
      <c r="VGF3"/>
      <c r="VGG3"/>
      <c r="VGH3"/>
      <c r="VGI3"/>
      <c r="VGJ3"/>
      <c r="VGK3"/>
      <c r="VGL3"/>
      <c r="VGM3"/>
      <c r="VGN3"/>
      <c r="VGO3"/>
      <c r="VGP3"/>
      <c r="VGQ3"/>
      <c r="VGR3"/>
      <c r="VGS3"/>
      <c r="VGT3"/>
      <c r="VGU3"/>
      <c r="VGV3"/>
      <c r="VGW3"/>
      <c r="VGX3"/>
      <c r="VGY3"/>
      <c r="VGZ3"/>
      <c r="VHA3"/>
      <c r="VHB3"/>
      <c r="VHC3"/>
      <c r="VHD3"/>
      <c r="VHE3"/>
      <c r="VHF3"/>
      <c r="VHG3"/>
      <c r="VHH3"/>
      <c r="VHI3"/>
      <c r="VHJ3"/>
      <c r="VHK3"/>
      <c r="VHL3"/>
      <c r="VHM3"/>
      <c r="VHN3"/>
      <c r="VHO3"/>
      <c r="VHP3"/>
      <c r="VHQ3"/>
      <c r="VHR3"/>
      <c r="VHS3"/>
      <c r="VHT3"/>
      <c r="VHU3"/>
      <c r="VHV3"/>
      <c r="VHW3"/>
      <c r="VHX3"/>
      <c r="VHY3"/>
      <c r="VHZ3"/>
      <c r="VIA3"/>
      <c r="VIB3"/>
      <c r="VIC3"/>
      <c r="VID3"/>
      <c r="VIE3"/>
      <c r="VIF3"/>
      <c r="VIG3"/>
      <c r="VIH3"/>
      <c r="VII3"/>
      <c r="VIJ3"/>
      <c r="VIK3"/>
      <c r="VIL3"/>
      <c r="VIM3"/>
      <c r="VIN3"/>
      <c r="VIO3"/>
      <c r="VIP3"/>
      <c r="VIQ3"/>
      <c r="VIR3"/>
      <c r="VIS3"/>
      <c r="VIT3"/>
      <c r="VIU3"/>
      <c r="VIV3"/>
      <c r="VIW3"/>
      <c r="VIX3"/>
      <c r="VIY3"/>
      <c r="VIZ3"/>
      <c r="VJA3"/>
      <c r="VJB3"/>
      <c r="VJC3"/>
      <c r="VJD3"/>
      <c r="VJE3"/>
      <c r="VJF3"/>
      <c r="VJG3"/>
      <c r="VJH3"/>
      <c r="VJI3"/>
      <c r="VJJ3"/>
      <c r="VJK3"/>
      <c r="VJL3"/>
      <c r="VJM3"/>
      <c r="VJN3"/>
      <c r="VJO3"/>
      <c r="VJP3"/>
      <c r="VJQ3"/>
      <c r="VJR3"/>
      <c r="VJS3"/>
      <c r="VJT3"/>
      <c r="VJU3"/>
      <c r="VJV3"/>
      <c r="VJW3"/>
      <c r="VJX3"/>
      <c r="VJY3"/>
      <c r="VJZ3"/>
      <c r="VKA3"/>
      <c r="VKB3"/>
      <c r="VKC3"/>
      <c r="VKD3"/>
      <c r="VKE3"/>
      <c r="VKF3"/>
      <c r="VKG3"/>
      <c r="VKH3"/>
      <c r="VKI3"/>
      <c r="VKJ3"/>
      <c r="VKK3"/>
      <c r="VKL3"/>
      <c r="VKM3"/>
      <c r="VKN3"/>
      <c r="VKO3"/>
      <c r="VKP3"/>
      <c r="VKQ3"/>
      <c r="VKR3"/>
      <c r="VKS3"/>
      <c r="VKT3"/>
      <c r="VKU3"/>
      <c r="VKV3"/>
      <c r="VKW3"/>
      <c r="VKX3"/>
      <c r="VKY3"/>
      <c r="VKZ3"/>
      <c r="VLA3"/>
      <c r="VLB3"/>
      <c r="VLC3"/>
      <c r="VLD3"/>
      <c r="VLE3"/>
      <c r="VLF3"/>
      <c r="VLG3"/>
      <c r="VLH3"/>
      <c r="VLI3"/>
      <c r="VLJ3"/>
      <c r="VLK3"/>
      <c r="VLL3"/>
      <c r="VLM3"/>
      <c r="VLN3"/>
      <c r="VLO3"/>
      <c r="VLP3"/>
      <c r="VLQ3"/>
      <c r="VLR3"/>
      <c r="VLS3"/>
      <c r="VLT3"/>
      <c r="VLU3"/>
      <c r="VLV3"/>
      <c r="VLW3"/>
      <c r="VLX3"/>
      <c r="VLY3"/>
      <c r="VLZ3"/>
      <c r="VMA3"/>
      <c r="VMB3"/>
      <c r="VMC3"/>
      <c r="VMD3"/>
      <c r="VME3"/>
      <c r="VMF3"/>
      <c r="VMG3"/>
      <c r="VMH3"/>
      <c r="VMI3"/>
      <c r="VMJ3"/>
      <c r="VMK3"/>
      <c r="VML3"/>
      <c r="VMM3"/>
      <c r="VMN3"/>
      <c r="VMO3"/>
      <c r="VMP3"/>
      <c r="VMQ3"/>
      <c r="VMR3"/>
      <c r="VMS3"/>
      <c r="VMT3"/>
      <c r="VMU3"/>
      <c r="VMV3"/>
      <c r="VMW3"/>
      <c r="VMX3"/>
      <c r="VMY3"/>
      <c r="VMZ3"/>
      <c r="VNA3"/>
      <c r="VNB3"/>
      <c r="VNC3"/>
      <c r="VND3"/>
      <c r="VNE3"/>
      <c r="VNF3"/>
      <c r="VNG3"/>
      <c r="VNH3"/>
      <c r="VNI3"/>
      <c r="VNJ3"/>
      <c r="VNK3"/>
      <c r="VNL3"/>
      <c r="VNM3"/>
      <c r="VNN3"/>
      <c r="VNO3"/>
      <c r="VNP3"/>
      <c r="VNQ3"/>
      <c r="VNR3"/>
      <c r="VNS3"/>
      <c r="VNT3"/>
      <c r="VNU3"/>
      <c r="VNV3"/>
      <c r="VNW3"/>
      <c r="VNX3"/>
      <c r="VNY3"/>
      <c r="VNZ3"/>
      <c r="VOA3"/>
      <c r="VOB3"/>
      <c r="VOC3"/>
      <c r="VOD3"/>
      <c r="VOE3"/>
      <c r="VOF3"/>
      <c r="VOG3"/>
      <c r="VOH3"/>
      <c r="VOI3"/>
      <c r="VOJ3"/>
      <c r="VOK3"/>
      <c r="VOL3"/>
      <c r="VOM3"/>
      <c r="VON3"/>
      <c r="VOO3"/>
      <c r="VOP3"/>
      <c r="VOQ3"/>
      <c r="VOR3"/>
      <c r="VOS3"/>
      <c r="VOT3"/>
      <c r="VOU3"/>
      <c r="VOV3"/>
      <c r="VOW3"/>
      <c r="VOX3"/>
      <c r="VOY3"/>
      <c r="VOZ3"/>
      <c r="VPA3"/>
      <c r="VPB3"/>
      <c r="VPC3"/>
      <c r="VPD3"/>
      <c r="VPE3"/>
      <c r="VPF3"/>
      <c r="VPG3"/>
      <c r="VPH3"/>
      <c r="VPI3"/>
      <c r="VPJ3"/>
      <c r="VPK3"/>
      <c r="VPL3"/>
      <c r="VPM3"/>
      <c r="VPN3"/>
      <c r="VPO3"/>
      <c r="VPP3"/>
      <c r="VPQ3"/>
      <c r="VPR3"/>
      <c r="VPS3"/>
      <c r="VPT3"/>
      <c r="VPU3"/>
      <c r="VPV3"/>
      <c r="VPW3"/>
      <c r="VPX3"/>
      <c r="VPY3"/>
      <c r="VPZ3"/>
      <c r="VQA3"/>
      <c r="VQB3"/>
      <c r="VQC3"/>
      <c r="VQD3"/>
      <c r="VQE3"/>
      <c r="VQF3"/>
      <c r="VQG3"/>
      <c r="VQH3"/>
      <c r="VQI3"/>
      <c r="VQJ3"/>
      <c r="VQK3"/>
      <c r="VQL3"/>
      <c r="VQM3"/>
      <c r="VQN3"/>
      <c r="VQO3"/>
      <c r="VQP3"/>
      <c r="VQQ3"/>
      <c r="VQR3"/>
      <c r="VQS3"/>
      <c r="VQT3"/>
      <c r="VQU3"/>
      <c r="VQV3"/>
      <c r="VQW3"/>
      <c r="VQX3"/>
      <c r="VQY3"/>
      <c r="VQZ3"/>
      <c r="VRA3"/>
      <c r="VRB3"/>
      <c r="VRC3"/>
      <c r="VRD3"/>
      <c r="VRE3"/>
      <c r="VRF3"/>
      <c r="VRG3"/>
      <c r="VRH3"/>
      <c r="VRI3"/>
      <c r="VRJ3"/>
      <c r="VRK3"/>
      <c r="VRL3"/>
      <c r="VRM3"/>
      <c r="VRN3"/>
      <c r="VRO3"/>
      <c r="VRP3"/>
      <c r="VRQ3"/>
      <c r="VRR3"/>
      <c r="VRS3"/>
      <c r="VRT3"/>
      <c r="VRU3"/>
      <c r="VRV3"/>
      <c r="VRW3"/>
      <c r="VRX3"/>
      <c r="VRY3"/>
      <c r="VRZ3"/>
      <c r="VSA3"/>
      <c r="VSB3"/>
      <c r="VSC3"/>
      <c r="VSD3"/>
      <c r="VSE3"/>
      <c r="VSF3"/>
      <c r="VSG3"/>
      <c r="VSH3"/>
      <c r="VSI3"/>
      <c r="VSJ3"/>
      <c r="VSK3"/>
      <c r="VSL3"/>
      <c r="VSM3"/>
      <c r="VSN3"/>
      <c r="VSO3"/>
      <c r="VSP3"/>
      <c r="VSQ3"/>
      <c r="VSR3"/>
      <c r="VSS3"/>
      <c r="VST3"/>
      <c r="VSU3"/>
      <c r="VSV3"/>
      <c r="VSW3"/>
      <c r="VSX3"/>
      <c r="VSY3"/>
      <c r="VSZ3"/>
      <c r="VTA3"/>
      <c r="VTB3"/>
      <c r="VTC3"/>
      <c r="VTD3"/>
      <c r="VTE3"/>
      <c r="VTF3"/>
      <c r="VTG3"/>
      <c r="VTH3"/>
      <c r="VTI3"/>
      <c r="VTJ3"/>
      <c r="VTK3"/>
      <c r="VTL3"/>
      <c r="VTM3"/>
      <c r="VTN3"/>
      <c r="VTO3"/>
      <c r="VTP3"/>
      <c r="VTQ3"/>
      <c r="VTR3"/>
      <c r="VTS3"/>
      <c r="VTT3"/>
      <c r="VTU3"/>
      <c r="VTV3"/>
      <c r="VTW3"/>
      <c r="VTX3"/>
      <c r="VTY3"/>
      <c r="VTZ3"/>
      <c r="VUA3"/>
      <c r="VUB3"/>
      <c r="VUC3"/>
      <c r="VUD3"/>
      <c r="VUE3"/>
      <c r="VUF3"/>
      <c r="VUG3"/>
      <c r="VUH3"/>
      <c r="VUI3"/>
      <c r="VUJ3"/>
      <c r="VUK3"/>
      <c r="VUL3"/>
      <c r="VUM3"/>
      <c r="VUN3"/>
      <c r="VUO3"/>
      <c r="VUP3"/>
      <c r="VUQ3"/>
      <c r="VUR3"/>
      <c r="VUS3"/>
      <c r="VUT3"/>
      <c r="VUU3"/>
      <c r="VUV3"/>
      <c r="VUW3"/>
      <c r="VUX3"/>
      <c r="VUY3"/>
      <c r="VUZ3"/>
      <c r="VVA3"/>
      <c r="VVB3"/>
      <c r="VVC3"/>
      <c r="VVD3"/>
      <c r="VVE3"/>
      <c r="VVF3"/>
      <c r="VVG3"/>
      <c r="VVH3"/>
      <c r="VVI3"/>
      <c r="VVJ3"/>
      <c r="VVK3"/>
      <c r="VVL3"/>
      <c r="VVM3"/>
      <c r="VVN3"/>
      <c r="VVO3"/>
      <c r="VVP3"/>
      <c r="VVQ3"/>
      <c r="VVR3"/>
      <c r="VVS3"/>
      <c r="VVT3"/>
      <c r="VVU3"/>
      <c r="VVV3"/>
      <c r="VVW3"/>
      <c r="VVX3"/>
      <c r="VVY3"/>
      <c r="VVZ3"/>
      <c r="VWA3"/>
      <c r="VWB3"/>
      <c r="VWC3"/>
      <c r="VWD3"/>
      <c r="VWE3"/>
      <c r="VWF3"/>
      <c r="VWG3"/>
      <c r="VWH3"/>
      <c r="VWI3"/>
      <c r="VWJ3"/>
      <c r="VWK3"/>
      <c r="VWL3"/>
      <c r="VWM3"/>
      <c r="VWN3"/>
      <c r="VWO3"/>
      <c r="VWP3"/>
      <c r="VWQ3"/>
      <c r="VWR3"/>
      <c r="VWS3"/>
      <c r="VWT3"/>
      <c r="VWU3"/>
      <c r="VWV3"/>
      <c r="VWW3"/>
      <c r="VWX3"/>
      <c r="VWY3"/>
      <c r="VWZ3"/>
      <c r="VXA3"/>
      <c r="VXB3"/>
      <c r="VXC3"/>
      <c r="VXD3"/>
      <c r="VXE3"/>
      <c r="VXF3"/>
      <c r="VXG3"/>
      <c r="VXH3"/>
      <c r="VXI3"/>
      <c r="VXJ3"/>
      <c r="VXK3"/>
      <c r="VXL3"/>
      <c r="VXM3"/>
      <c r="VXN3"/>
      <c r="VXO3"/>
      <c r="VXP3"/>
      <c r="VXQ3"/>
      <c r="VXR3"/>
      <c r="VXS3"/>
      <c r="VXT3"/>
      <c r="VXU3"/>
      <c r="VXV3"/>
      <c r="VXW3"/>
      <c r="VXX3"/>
      <c r="VXY3"/>
      <c r="VXZ3"/>
      <c r="VYA3"/>
      <c r="VYB3"/>
      <c r="VYC3"/>
      <c r="VYD3"/>
      <c r="VYE3"/>
      <c r="VYF3"/>
      <c r="VYG3"/>
      <c r="VYH3"/>
      <c r="VYI3"/>
      <c r="VYJ3"/>
      <c r="VYK3"/>
      <c r="VYL3"/>
      <c r="VYM3"/>
      <c r="VYN3"/>
      <c r="VYO3"/>
      <c r="VYP3"/>
      <c r="VYQ3"/>
      <c r="VYR3"/>
      <c r="VYS3"/>
      <c r="VYT3"/>
      <c r="VYU3"/>
      <c r="VYV3"/>
      <c r="VYW3"/>
      <c r="VYX3"/>
      <c r="VYY3"/>
      <c r="VYZ3"/>
      <c r="VZA3"/>
      <c r="VZB3"/>
      <c r="VZC3"/>
      <c r="VZD3"/>
      <c r="VZE3"/>
      <c r="VZF3"/>
      <c r="VZG3"/>
      <c r="VZH3"/>
      <c r="VZI3"/>
      <c r="VZJ3"/>
      <c r="VZK3"/>
      <c r="VZL3"/>
      <c r="VZM3"/>
      <c r="VZN3"/>
      <c r="VZO3"/>
      <c r="VZP3"/>
      <c r="VZQ3"/>
      <c r="VZR3"/>
      <c r="VZS3"/>
      <c r="VZT3"/>
      <c r="VZU3"/>
      <c r="VZV3"/>
      <c r="VZW3"/>
      <c r="VZX3"/>
      <c r="VZY3"/>
      <c r="VZZ3"/>
      <c r="WAA3"/>
      <c r="WAB3"/>
      <c r="WAC3"/>
      <c r="WAD3"/>
      <c r="WAE3"/>
      <c r="WAF3"/>
      <c r="WAG3"/>
      <c r="WAH3"/>
      <c r="WAI3"/>
      <c r="WAJ3"/>
      <c r="WAK3"/>
      <c r="WAL3"/>
      <c r="WAM3"/>
      <c r="WAN3"/>
      <c r="WAO3"/>
      <c r="WAP3"/>
      <c r="WAQ3"/>
      <c r="WAR3"/>
      <c r="WAS3"/>
      <c r="WAT3"/>
      <c r="WAU3"/>
      <c r="WAV3"/>
      <c r="WAW3"/>
      <c r="WAX3"/>
      <c r="WAY3"/>
      <c r="WAZ3"/>
      <c r="WBA3"/>
      <c r="WBB3"/>
      <c r="WBC3"/>
      <c r="WBD3"/>
      <c r="WBE3"/>
      <c r="WBF3"/>
      <c r="WBG3"/>
      <c r="WBH3"/>
      <c r="WBI3"/>
      <c r="WBJ3"/>
      <c r="WBK3"/>
      <c r="WBL3"/>
      <c r="WBM3"/>
      <c r="WBN3"/>
      <c r="WBO3"/>
      <c r="WBP3"/>
      <c r="WBQ3"/>
      <c r="WBR3"/>
      <c r="WBS3"/>
      <c r="WBT3"/>
      <c r="WBU3"/>
      <c r="WBV3"/>
      <c r="WBW3"/>
      <c r="WBX3"/>
      <c r="WBY3"/>
      <c r="WBZ3"/>
      <c r="WCA3"/>
      <c r="WCB3"/>
      <c r="WCC3"/>
      <c r="WCD3"/>
      <c r="WCE3"/>
      <c r="WCF3"/>
      <c r="WCG3"/>
      <c r="WCH3"/>
      <c r="WCI3"/>
      <c r="WCJ3"/>
      <c r="WCK3"/>
      <c r="WCL3"/>
      <c r="WCM3"/>
      <c r="WCN3"/>
      <c r="WCO3"/>
      <c r="WCP3"/>
      <c r="WCQ3"/>
      <c r="WCR3"/>
      <c r="WCS3"/>
      <c r="WCT3"/>
      <c r="WCU3"/>
      <c r="WCV3"/>
      <c r="WCW3"/>
      <c r="WCX3"/>
      <c r="WCY3"/>
      <c r="WCZ3"/>
      <c r="WDA3"/>
      <c r="WDB3"/>
      <c r="WDC3"/>
      <c r="WDD3"/>
      <c r="WDE3"/>
      <c r="WDF3"/>
      <c r="WDG3"/>
      <c r="WDH3"/>
      <c r="WDI3"/>
      <c r="WDJ3"/>
      <c r="WDK3"/>
      <c r="WDL3"/>
      <c r="WDM3"/>
      <c r="WDN3"/>
      <c r="WDO3"/>
      <c r="WDP3"/>
      <c r="WDQ3"/>
      <c r="WDR3"/>
      <c r="WDS3"/>
      <c r="WDT3"/>
      <c r="WDU3"/>
      <c r="WDV3"/>
      <c r="WDW3"/>
      <c r="WDX3"/>
      <c r="WDY3"/>
      <c r="WDZ3"/>
      <c r="WEA3"/>
      <c r="WEB3"/>
      <c r="WEC3"/>
      <c r="WED3"/>
      <c r="WEE3"/>
      <c r="WEF3"/>
      <c r="WEG3"/>
      <c r="WEH3"/>
      <c r="WEI3"/>
      <c r="WEJ3"/>
      <c r="WEK3"/>
      <c r="WEL3"/>
      <c r="WEM3"/>
      <c r="WEN3"/>
      <c r="WEO3"/>
      <c r="WEP3"/>
      <c r="WEQ3"/>
      <c r="WER3"/>
      <c r="WES3"/>
      <c r="WET3"/>
      <c r="WEU3"/>
      <c r="WEV3"/>
      <c r="WEW3"/>
      <c r="WEX3"/>
      <c r="WEY3"/>
      <c r="WEZ3"/>
      <c r="WFA3"/>
      <c r="WFB3"/>
      <c r="WFC3"/>
      <c r="WFD3"/>
      <c r="WFE3"/>
      <c r="WFF3"/>
      <c r="WFG3"/>
      <c r="WFH3"/>
      <c r="WFI3"/>
      <c r="WFJ3"/>
      <c r="WFK3"/>
      <c r="WFL3"/>
      <c r="WFM3"/>
      <c r="WFN3"/>
      <c r="WFO3"/>
      <c r="WFP3"/>
      <c r="WFQ3"/>
      <c r="WFR3"/>
      <c r="WFS3"/>
      <c r="WFT3"/>
      <c r="WFU3"/>
      <c r="WFV3"/>
      <c r="WFW3"/>
      <c r="WFX3"/>
      <c r="WFY3"/>
      <c r="WFZ3"/>
      <c r="WGA3"/>
      <c r="WGB3"/>
      <c r="WGC3"/>
      <c r="WGD3"/>
      <c r="WGE3"/>
      <c r="WGF3"/>
      <c r="WGG3"/>
      <c r="WGH3"/>
      <c r="WGI3"/>
      <c r="WGJ3"/>
      <c r="WGK3"/>
      <c r="WGL3"/>
      <c r="WGM3"/>
      <c r="WGN3"/>
      <c r="WGO3"/>
      <c r="WGP3"/>
      <c r="WGQ3"/>
      <c r="WGR3"/>
      <c r="WGS3"/>
      <c r="WGT3"/>
      <c r="WGU3"/>
      <c r="WGV3"/>
      <c r="WGW3"/>
      <c r="WGX3"/>
      <c r="WGY3"/>
      <c r="WGZ3"/>
      <c r="WHA3"/>
      <c r="WHB3"/>
      <c r="WHC3"/>
      <c r="WHD3"/>
      <c r="WHE3"/>
      <c r="WHF3"/>
      <c r="WHG3"/>
      <c r="WHH3"/>
      <c r="WHI3"/>
      <c r="WHJ3"/>
      <c r="WHK3"/>
      <c r="WHL3"/>
      <c r="WHM3"/>
      <c r="WHN3"/>
      <c r="WHO3"/>
      <c r="WHP3"/>
      <c r="WHQ3"/>
      <c r="WHR3"/>
      <c r="WHS3"/>
      <c r="WHT3"/>
      <c r="WHU3"/>
      <c r="WHV3"/>
      <c r="WHW3"/>
      <c r="WHX3"/>
      <c r="WHY3"/>
      <c r="WHZ3"/>
      <c r="WIA3"/>
      <c r="WIB3"/>
      <c r="WIC3"/>
      <c r="WID3"/>
      <c r="WIE3"/>
      <c r="WIF3"/>
      <c r="WIG3"/>
      <c r="WIH3"/>
      <c r="WII3"/>
      <c r="WIJ3"/>
      <c r="WIK3"/>
      <c r="WIL3"/>
      <c r="WIM3"/>
      <c r="WIN3"/>
      <c r="WIO3"/>
      <c r="WIP3"/>
      <c r="WIQ3"/>
      <c r="WIR3"/>
      <c r="WIS3"/>
      <c r="WIT3"/>
      <c r="WIU3"/>
      <c r="WIV3"/>
      <c r="WIW3"/>
      <c r="WIX3"/>
      <c r="WIY3"/>
      <c r="WIZ3"/>
      <c r="WJA3"/>
      <c r="WJB3"/>
      <c r="WJC3"/>
      <c r="WJD3"/>
      <c r="WJE3"/>
      <c r="WJF3"/>
      <c r="WJG3"/>
      <c r="WJH3"/>
      <c r="WJI3"/>
      <c r="WJJ3"/>
      <c r="WJK3"/>
      <c r="WJL3"/>
      <c r="WJM3"/>
      <c r="WJN3"/>
      <c r="WJO3"/>
      <c r="WJP3"/>
      <c r="WJQ3"/>
      <c r="WJR3"/>
      <c r="WJS3"/>
      <c r="WJT3"/>
      <c r="WJU3"/>
      <c r="WJV3"/>
      <c r="WJW3"/>
      <c r="WJX3"/>
      <c r="WJY3"/>
      <c r="WJZ3"/>
      <c r="WKA3"/>
      <c r="WKB3"/>
      <c r="WKC3"/>
      <c r="WKD3"/>
      <c r="WKE3"/>
      <c r="WKF3"/>
      <c r="WKG3"/>
      <c r="WKH3"/>
      <c r="WKI3"/>
      <c r="WKJ3"/>
      <c r="WKK3"/>
      <c r="WKL3"/>
      <c r="WKM3"/>
      <c r="WKN3"/>
      <c r="WKO3"/>
      <c r="WKP3"/>
      <c r="WKQ3"/>
      <c r="WKR3"/>
      <c r="WKS3"/>
      <c r="WKT3"/>
      <c r="WKU3"/>
      <c r="WKV3"/>
      <c r="WKW3"/>
      <c r="WKX3"/>
      <c r="WKY3"/>
      <c r="WKZ3"/>
      <c r="WLA3"/>
      <c r="WLB3"/>
      <c r="WLC3"/>
      <c r="WLD3"/>
      <c r="WLE3"/>
      <c r="WLF3"/>
      <c r="WLG3"/>
      <c r="WLH3"/>
      <c r="WLI3"/>
      <c r="WLJ3"/>
      <c r="WLK3"/>
      <c r="WLL3"/>
      <c r="WLM3"/>
      <c r="WLN3"/>
      <c r="WLO3"/>
      <c r="WLP3"/>
      <c r="WLQ3"/>
      <c r="WLR3"/>
      <c r="WLS3"/>
      <c r="WLT3"/>
      <c r="WLU3"/>
      <c r="WLV3"/>
      <c r="WLW3"/>
      <c r="WLX3"/>
      <c r="WLY3"/>
      <c r="WLZ3"/>
      <c r="WMA3"/>
      <c r="WMB3"/>
      <c r="WMC3"/>
      <c r="WMD3"/>
      <c r="WME3"/>
      <c r="WMF3"/>
      <c r="WMG3"/>
      <c r="WMH3"/>
      <c r="WMI3"/>
      <c r="WMJ3"/>
      <c r="WMK3"/>
      <c r="WML3"/>
      <c r="WMM3"/>
      <c r="WMN3"/>
      <c r="WMO3"/>
      <c r="WMP3"/>
      <c r="WMQ3"/>
      <c r="WMR3"/>
      <c r="WMS3"/>
      <c r="WMT3"/>
      <c r="WMU3"/>
      <c r="WMV3"/>
      <c r="WMW3"/>
      <c r="WMX3"/>
      <c r="WMY3"/>
      <c r="WMZ3"/>
      <c r="WNA3"/>
      <c r="WNB3"/>
      <c r="WNC3"/>
      <c r="WND3"/>
      <c r="WNE3"/>
      <c r="WNF3"/>
      <c r="WNG3"/>
      <c r="WNH3"/>
      <c r="WNI3"/>
      <c r="WNJ3"/>
      <c r="WNK3"/>
      <c r="WNL3"/>
      <c r="WNM3"/>
      <c r="WNN3"/>
      <c r="WNO3"/>
      <c r="WNP3"/>
      <c r="WNQ3"/>
      <c r="WNR3"/>
      <c r="WNS3"/>
      <c r="WNT3"/>
      <c r="WNU3"/>
      <c r="WNV3"/>
      <c r="WNW3"/>
      <c r="WNX3"/>
      <c r="WNY3"/>
      <c r="WNZ3"/>
      <c r="WOA3"/>
      <c r="WOB3"/>
      <c r="WOC3"/>
      <c r="WOD3"/>
      <c r="WOE3"/>
      <c r="WOF3"/>
      <c r="WOG3"/>
      <c r="WOH3"/>
      <c r="WOI3"/>
      <c r="WOJ3"/>
      <c r="WOK3"/>
      <c r="WOL3"/>
      <c r="WOM3"/>
      <c r="WON3"/>
      <c r="WOO3"/>
      <c r="WOP3"/>
      <c r="WOQ3"/>
      <c r="WOR3"/>
      <c r="WOS3"/>
      <c r="WOT3"/>
      <c r="WOU3"/>
      <c r="WOV3"/>
      <c r="WOW3"/>
      <c r="WOX3"/>
      <c r="WOY3"/>
      <c r="WOZ3"/>
      <c r="WPA3"/>
      <c r="WPB3"/>
      <c r="WPC3"/>
      <c r="WPD3"/>
      <c r="WPE3"/>
      <c r="WPF3"/>
      <c r="WPG3"/>
      <c r="WPH3"/>
      <c r="WPI3"/>
      <c r="WPJ3"/>
      <c r="WPK3"/>
      <c r="WPL3"/>
      <c r="WPM3"/>
      <c r="WPN3"/>
      <c r="WPO3"/>
      <c r="WPP3"/>
      <c r="WPQ3"/>
      <c r="WPR3"/>
      <c r="WPS3"/>
      <c r="WPT3"/>
      <c r="WPU3"/>
      <c r="WPV3"/>
      <c r="WPW3"/>
      <c r="WPX3"/>
      <c r="WPY3"/>
      <c r="WPZ3"/>
      <c r="WQA3"/>
      <c r="WQB3"/>
      <c r="WQC3"/>
      <c r="WQD3"/>
      <c r="WQE3"/>
      <c r="WQF3"/>
      <c r="WQG3"/>
      <c r="WQH3"/>
      <c r="WQI3"/>
      <c r="WQJ3"/>
      <c r="WQK3"/>
      <c r="WQL3"/>
      <c r="WQM3"/>
      <c r="WQN3"/>
      <c r="WQO3"/>
      <c r="WQP3"/>
      <c r="WQQ3"/>
      <c r="WQR3"/>
      <c r="WQS3"/>
      <c r="WQT3"/>
      <c r="WQU3"/>
      <c r="WQV3"/>
      <c r="WQW3"/>
      <c r="WQX3"/>
      <c r="WQY3"/>
      <c r="WQZ3"/>
      <c r="WRA3"/>
      <c r="WRB3"/>
      <c r="WRC3"/>
      <c r="WRD3"/>
      <c r="WRE3"/>
      <c r="WRF3"/>
      <c r="WRG3"/>
      <c r="WRH3"/>
      <c r="WRI3"/>
      <c r="WRJ3"/>
      <c r="WRK3"/>
      <c r="WRL3"/>
      <c r="WRM3"/>
      <c r="WRN3"/>
      <c r="WRO3"/>
      <c r="WRP3"/>
      <c r="WRQ3"/>
      <c r="WRR3"/>
      <c r="WRS3"/>
      <c r="WRT3"/>
      <c r="WRU3"/>
      <c r="WRV3"/>
      <c r="WRW3"/>
      <c r="WRX3"/>
      <c r="WRY3"/>
      <c r="WRZ3"/>
      <c r="WSA3"/>
      <c r="WSB3"/>
      <c r="WSC3"/>
      <c r="WSD3"/>
      <c r="WSE3"/>
      <c r="WSF3"/>
      <c r="WSG3"/>
      <c r="WSH3"/>
      <c r="WSI3"/>
      <c r="WSJ3"/>
      <c r="WSK3"/>
      <c r="WSL3"/>
      <c r="WSM3"/>
      <c r="WSN3"/>
      <c r="WSO3"/>
      <c r="WSP3"/>
      <c r="WSQ3"/>
      <c r="WSR3"/>
      <c r="WSS3"/>
      <c r="WST3"/>
      <c r="WSU3"/>
      <c r="WSV3"/>
      <c r="WSW3"/>
      <c r="WSX3"/>
      <c r="WSY3"/>
      <c r="WSZ3"/>
      <c r="WTA3"/>
      <c r="WTB3"/>
      <c r="WTC3"/>
      <c r="WTD3"/>
      <c r="WTE3"/>
      <c r="WTF3"/>
      <c r="WTG3"/>
      <c r="WTH3"/>
      <c r="WTI3"/>
      <c r="WTJ3"/>
      <c r="WTK3"/>
      <c r="WTL3"/>
      <c r="WTM3"/>
      <c r="WTN3"/>
      <c r="WTO3"/>
      <c r="WTP3"/>
      <c r="WTQ3"/>
      <c r="WTR3"/>
      <c r="WTS3"/>
      <c r="WTT3"/>
      <c r="WTU3"/>
      <c r="WTV3"/>
      <c r="WTW3"/>
      <c r="WTX3"/>
      <c r="WTY3"/>
      <c r="WTZ3"/>
      <c r="WUA3"/>
      <c r="WUB3"/>
      <c r="WUC3"/>
      <c r="WUD3"/>
      <c r="WUE3"/>
      <c r="WUF3"/>
      <c r="WUG3"/>
      <c r="WUH3"/>
      <c r="WUI3"/>
      <c r="WUJ3"/>
      <c r="WUK3"/>
      <c r="WUL3"/>
      <c r="WUM3"/>
      <c r="WUN3"/>
      <c r="WUO3"/>
      <c r="WUP3"/>
      <c r="WUQ3"/>
      <c r="WUR3"/>
      <c r="WUS3"/>
      <c r="WUT3"/>
      <c r="WUU3"/>
      <c r="WUV3"/>
      <c r="WUW3"/>
      <c r="WUX3"/>
      <c r="WUY3"/>
      <c r="WUZ3"/>
      <c r="WVA3"/>
      <c r="WVB3"/>
      <c r="WVC3"/>
      <c r="WVD3"/>
      <c r="WVE3"/>
      <c r="WVF3"/>
      <c r="WVG3"/>
      <c r="WVH3"/>
      <c r="WVI3"/>
      <c r="WVJ3"/>
      <c r="WVK3"/>
      <c r="WVL3"/>
      <c r="WVM3"/>
      <c r="WVN3"/>
      <c r="WVO3"/>
      <c r="WVP3"/>
      <c r="WVQ3"/>
      <c r="WVR3"/>
      <c r="WVS3"/>
      <c r="WVT3"/>
      <c r="WVU3"/>
      <c r="WVV3"/>
      <c r="WVW3"/>
      <c r="WVX3"/>
      <c r="WVY3"/>
      <c r="WVZ3"/>
      <c r="WWA3"/>
      <c r="WWB3"/>
      <c r="WWC3"/>
      <c r="WWD3"/>
      <c r="WWE3"/>
      <c r="WWF3"/>
      <c r="WWG3"/>
      <c r="WWH3"/>
      <c r="WWI3"/>
      <c r="WWJ3"/>
      <c r="WWK3"/>
      <c r="WWL3"/>
      <c r="WWM3"/>
      <c r="WWN3"/>
      <c r="WWO3"/>
      <c r="WWP3"/>
      <c r="WWQ3"/>
      <c r="WWR3"/>
      <c r="WWS3"/>
      <c r="WWT3"/>
      <c r="WWU3"/>
      <c r="WWV3"/>
      <c r="WWW3"/>
      <c r="WWX3"/>
      <c r="WWY3"/>
      <c r="WWZ3"/>
      <c r="WXA3"/>
      <c r="WXB3"/>
      <c r="WXC3"/>
      <c r="WXD3"/>
      <c r="WXE3"/>
      <c r="WXF3"/>
      <c r="WXG3"/>
      <c r="WXH3"/>
      <c r="WXI3"/>
      <c r="WXJ3"/>
      <c r="WXK3"/>
      <c r="WXL3"/>
      <c r="WXM3"/>
      <c r="WXN3"/>
      <c r="WXO3"/>
      <c r="WXP3"/>
      <c r="WXQ3"/>
      <c r="WXR3"/>
      <c r="WXS3"/>
      <c r="WXT3"/>
      <c r="WXU3"/>
      <c r="WXV3"/>
      <c r="WXW3"/>
      <c r="WXX3"/>
      <c r="WXY3"/>
      <c r="WXZ3"/>
      <c r="WYA3"/>
      <c r="WYB3"/>
      <c r="WYC3"/>
      <c r="WYD3"/>
      <c r="WYE3"/>
      <c r="WYF3"/>
      <c r="WYG3"/>
      <c r="WYH3"/>
      <c r="WYI3"/>
      <c r="WYJ3"/>
      <c r="WYK3"/>
      <c r="WYL3"/>
      <c r="WYM3"/>
      <c r="WYN3"/>
      <c r="WYO3"/>
      <c r="WYP3"/>
      <c r="WYQ3"/>
      <c r="WYR3"/>
      <c r="WYS3"/>
      <c r="WYT3"/>
      <c r="WYU3"/>
      <c r="WYV3"/>
      <c r="WYW3"/>
      <c r="WYX3"/>
      <c r="WYY3"/>
      <c r="WYZ3"/>
      <c r="WZA3"/>
      <c r="WZB3"/>
      <c r="WZC3"/>
      <c r="WZD3"/>
      <c r="WZE3"/>
      <c r="WZF3"/>
      <c r="WZG3"/>
      <c r="WZH3"/>
      <c r="WZI3"/>
      <c r="WZJ3"/>
      <c r="WZK3"/>
      <c r="WZL3"/>
      <c r="WZM3"/>
      <c r="WZN3"/>
      <c r="WZO3"/>
      <c r="WZP3"/>
      <c r="WZQ3"/>
      <c r="WZR3"/>
      <c r="WZS3"/>
      <c r="WZT3"/>
      <c r="WZU3"/>
      <c r="WZV3"/>
      <c r="WZW3"/>
      <c r="WZX3"/>
      <c r="WZY3"/>
      <c r="WZZ3"/>
      <c r="XAA3"/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/>
      <c r="XBJ3"/>
      <c r="XBK3"/>
      <c r="XBL3"/>
      <c r="XBM3"/>
      <c r="XBN3"/>
      <c r="XBO3"/>
      <c r="XBP3"/>
      <c r="XBQ3"/>
      <c r="XBR3"/>
      <c r="XBS3"/>
      <c r="XBT3"/>
      <c r="XBU3"/>
      <c r="XBV3"/>
      <c r="XBW3"/>
      <c r="XBX3"/>
      <c r="XBY3"/>
      <c r="XBZ3"/>
      <c r="XCA3"/>
      <c r="XCB3"/>
      <c r="XCC3"/>
      <c r="XCD3"/>
      <c r="XCE3"/>
      <c r="XCF3"/>
      <c r="XCG3"/>
      <c r="XCH3"/>
      <c r="XCI3"/>
      <c r="XCJ3"/>
      <c r="XCK3"/>
      <c r="XCL3"/>
      <c r="XCM3"/>
      <c r="XCN3"/>
      <c r="XCO3"/>
      <c r="XCP3"/>
      <c r="XCQ3"/>
      <c r="XCR3"/>
      <c r="XCS3"/>
      <c r="XCT3"/>
      <c r="XCU3"/>
      <c r="XCV3"/>
      <c r="XCW3"/>
      <c r="XCX3"/>
      <c r="XCY3"/>
      <c r="XCZ3"/>
      <c r="XDA3"/>
      <c r="XDB3"/>
      <c r="XDC3"/>
      <c r="XDD3"/>
      <c r="XDE3"/>
      <c r="XDF3"/>
      <c r="XDG3"/>
      <c r="XDH3"/>
      <c r="XDI3"/>
      <c r="XDJ3"/>
      <c r="XDK3"/>
      <c r="XDL3"/>
      <c r="XDM3"/>
      <c r="XDN3"/>
      <c r="XDO3"/>
      <c r="XDP3"/>
      <c r="XDQ3"/>
      <c r="XDR3"/>
      <c r="XDS3"/>
      <c r="XDT3"/>
      <c r="XDU3"/>
      <c r="XDV3"/>
      <c r="XDW3"/>
      <c r="XDX3"/>
      <c r="XDY3"/>
      <c r="XDZ3"/>
      <c r="XEA3"/>
      <c r="XEB3"/>
      <c r="XEC3"/>
      <c r="XED3"/>
      <c r="XEE3"/>
      <c r="XEF3"/>
      <c r="XEG3"/>
      <c r="XEH3"/>
      <c r="XEI3"/>
      <c r="XEJ3"/>
      <c r="XEK3"/>
      <c r="XEL3"/>
      <c r="XEM3"/>
      <c r="XEN3"/>
      <c r="XEO3"/>
      <c r="XEP3"/>
      <c r="XEQ3"/>
      <c r="XER3"/>
      <c r="XES3"/>
      <c r="XET3"/>
      <c r="XEU3"/>
      <c r="XEV3"/>
      <c r="XEW3"/>
      <c r="XEX3"/>
      <c r="XEY3"/>
      <c r="XEZ3"/>
      <c r="XFA3"/>
      <c r="XFB3"/>
      <c r="XFC3"/>
      <c r="XFD3"/>
    </row>
    <row r="4" spans="1:16384" s="40" customFormat="1" ht="15" customHeight="1" x14ac:dyDescent="0.25">
      <c r="A4" s="65" t="str">
        <f>'Sups'' Final Roster 0823-0829'!A4</f>
        <v>Campero Juarez Maria Guadalupe</v>
      </c>
      <c r="B4" s="51" t="str">
        <f>'Sups'' Final Roster 0823-0829'!B4</f>
        <v>Podazza Villagra Daniel Matias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  <c r="AML4"/>
      <c r="AMM4"/>
      <c r="AMN4"/>
      <c r="AMO4"/>
      <c r="AMP4"/>
      <c r="AMQ4"/>
      <c r="AMR4"/>
      <c r="AMS4"/>
      <c r="AMT4"/>
      <c r="AMU4"/>
      <c r="AMV4"/>
      <c r="AMW4"/>
      <c r="AMX4"/>
      <c r="AMY4"/>
      <c r="AMZ4"/>
      <c r="ANA4"/>
      <c r="ANB4"/>
      <c r="ANC4"/>
      <c r="AND4"/>
      <c r="ANE4"/>
      <c r="ANF4"/>
      <c r="ANG4"/>
      <c r="ANH4"/>
      <c r="ANI4"/>
      <c r="ANJ4"/>
      <c r="ANK4"/>
      <c r="ANL4"/>
      <c r="ANM4"/>
      <c r="ANN4"/>
      <c r="ANO4"/>
      <c r="ANP4"/>
      <c r="ANQ4"/>
      <c r="ANR4"/>
      <c r="ANS4"/>
      <c r="ANT4"/>
      <c r="ANU4"/>
      <c r="ANV4"/>
      <c r="ANW4"/>
      <c r="ANX4"/>
      <c r="ANY4"/>
      <c r="ANZ4"/>
      <c r="AOA4"/>
      <c r="AOB4"/>
      <c r="AOC4"/>
      <c r="AOD4"/>
      <c r="AOE4"/>
      <c r="AOF4"/>
      <c r="AOG4"/>
      <c r="AOH4"/>
      <c r="AOI4"/>
      <c r="AOJ4"/>
      <c r="AOK4"/>
      <c r="AOL4"/>
      <c r="AOM4"/>
      <c r="AON4"/>
      <c r="AOO4"/>
      <c r="AOP4"/>
      <c r="AOQ4"/>
      <c r="AOR4"/>
      <c r="AOS4"/>
      <c r="AOT4"/>
      <c r="AOU4"/>
      <c r="AOV4"/>
      <c r="AOW4"/>
      <c r="AOX4"/>
      <c r="AOY4"/>
      <c r="AOZ4"/>
      <c r="APA4"/>
      <c r="APB4"/>
      <c r="APC4"/>
      <c r="APD4"/>
      <c r="APE4"/>
      <c r="APF4"/>
      <c r="APG4"/>
      <c r="APH4"/>
      <c r="API4"/>
      <c r="APJ4"/>
      <c r="APK4"/>
      <c r="APL4"/>
      <c r="APM4"/>
      <c r="APN4"/>
      <c r="APO4"/>
      <c r="APP4"/>
      <c r="APQ4"/>
      <c r="APR4"/>
      <c r="APS4"/>
      <c r="APT4"/>
      <c r="APU4"/>
      <c r="APV4"/>
      <c r="APW4"/>
      <c r="APX4"/>
      <c r="APY4"/>
      <c r="APZ4"/>
      <c r="AQA4"/>
      <c r="AQB4"/>
      <c r="AQC4"/>
      <c r="AQD4"/>
      <c r="AQE4"/>
      <c r="AQF4"/>
      <c r="AQG4"/>
      <c r="AQH4"/>
      <c r="AQI4"/>
      <c r="AQJ4"/>
      <c r="AQK4"/>
      <c r="AQL4"/>
      <c r="AQM4"/>
      <c r="AQN4"/>
      <c r="AQO4"/>
      <c r="AQP4"/>
      <c r="AQQ4"/>
      <c r="AQR4"/>
      <c r="AQS4"/>
      <c r="AQT4"/>
      <c r="AQU4"/>
      <c r="AQV4"/>
      <c r="AQW4"/>
      <c r="AQX4"/>
      <c r="AQY4"/>
      <c r="AQZ4"/>
      <c r="ARA4"/>
      <c r="ARB4"/>
      <c r="ARC4"/>
      <c r="ARD4"/>
      <c r="ARE4"/>
      <c r="ARF4"/>
      <c r="ARG4"/>
      <c r="ARH4"/>
      <c r="ARI4"/>
      <c r="ARJ4"/>
      <c r="ARK4"/>
      <c r="ARL4"/>
      <c r="ARM4"/>
      <c r="ARN4"/>
      <c r="ARO4"/>
      <c r="ARP4"/>
      <c r="ARQ4"/>
      <c r="ARR4"/>
      <c r="ARS4"/>
      <c r="ART4"/>
      <c r="ARU4"/>
      <c r="ARV4"/>
      <c r="ARW4"/>
      <c r="ARX4"/>
      <c r="ARY4"/>
      <c r="ARZ4"/>
      <c r="ASA4"/>
      <c r="ASB4"/>
      <c r="ASC4"/>
      <c r="ASD4"/>
      <c r="ASE4"/>
      <c r="ASF4"/>
      <c r="ASG4"/>
      <c r="ASH4"/>
      <c r="ASI4"/>
      <c r="ASJ4"/>
      <c r="ASK4"/>
      <c r="ASL4"/>
      <c r="ASM4"/>
      <c r="ASN4"/>
      <c r="ASO4"/>
      <c r="ASP4"/>
      <c r="ASQ4"/>
      <c r="ASR4"/>
      <c r="ASS4"/>
      <c r="AST4"/>
      <c r="ASU4"/>
      <c r="ASV4"/>
      <c r="ASW4"/>
      <c r="ASX4"/>
      <c r="ASY4"/>
      <c r="ASZ4"/>
      <c r="ATA4"/>
      <c r="ATB4"/>
      <c r="ATC4"/>
      <c r="ATD4"/>
      <c r="ATE4"/>
      <c r="ATF4"/>
      <c r="ATG4"/>
      <c r="ATH4"/>
      <c r="ATI4"/>
      <c r="ATJ4"/>
      <c r="ATK4"/>
      <c r="ATL4"/>
      <c r="ATM4"/>
      <c r="ATN4"/>
      <c r="ATO4"/>
      <c r="ATP4"/>
      <c r="ATQ4"/>
      <c r="ATR4"/>
      <c r="ATS4"/>
      <c r="ATT4"/>
      <c r="ATU4"/>
      <c r="ATV4"/>
      <c r="ATW4"/>
      <c r="ATX4"/>
      <c r="ATY4"/>
      <c r="ATZ4"/>
      <c r="AUA4"/>
      <c r="AUB4"/>
      <c r="AUC4"/>
      <c r="AUD4"/>
      <c r="AUE4"/>
      <c r="AUF4"/>
      <c r="AUG4"/>
      <c r="AUH4"/>
      <c r="AUI4"/>
      <c r="AUJ4"/>
      <c r="AUK4"/>
      <c r="AUL4"/>
      <c r="AUM4"/>
      <c r="AUN4"/>
      <c r="AUO4"/>
      <c r="AUP4"/>
      <c r="AUQ4"/>
      <c r="AUR4"/>
      <c r="AUS4"/>
      <c r="AUT4"/>
      <c r="AUU4"/>
      <c r="AUV4"/>
      <c r="AUW4"/>
      <c r="AUX4"/>
      <c r="AUY4"/>
      <c r="AUZ4"/>
      <c r="AVA4"/>
      <c r="AVB4"/>
      <c r="AVC4"/>
      <c r="AVD4"/>
      <c r="AVE4"/>
      <c r="AVF4"/>
      <c r="AVG4"/>
      <c r="AVH4"/>
      <c r="AVI4"/>
      <c r="AVJ4"/>
      <c r="AVK4"/>
      <c r="AVL4"/>
      <c r="AVM4"/>
      <c r="AVN4"/>
      <c r="AVO4"/>
      <c r="AVP4"/>
      <c r="AVQ4"/>
      <c r="AVR4"/>
      <c r="AVS4"/>
      <c r="AVT4"/>
      <c r="AVU4"/>
      <c r="AVV4"/>
      <c r="AVW4"/>
      <c r="AVX4"/>
      <c r="AVY4"/>
      <c r="AVZ4"/>
      <c r="AWA4"/>
      <c r="AWB4"/>
      <c r="AWC4"/>
      <c r="AWD4"/>
      <c r="AWE4"/>
      <c r="AWF4"/>
      <c r="AWG4"/>
      <c r="AWH4"/>
      <c r="AWI4"/>
      <c r="AWJ4"/>
      <c r="AWK4"/>
      <c r="AWL4"/>
      <c r="AWM4"/>
      <c r="AWN4"/>
      <c r="AWO4"/>
      <c r="AWP4"/>
      <c r="AWQ4"/>
      <c r="AWR4"/>
      <c r="AWS4"/>
      <c r="AWT4"/>
      <c r="AWU4"/>
      <c r="AWV4"/>
      <c r="AWW4"/>
      <c r="AWX4"/>
      <c r="AWY4"/>
      <c r="AWZ4"/>
      <c r="AXA4"/>
      <c r="AXB4"/>
      <c r="AXC4"/>
      <c r="AXD4"/>
      <c r="AXE4"/>
      <c r="AXF4"/>
      <c r="AXG4"/>
      <c r="AXH4"/>
      <c r="AXI4"/>
      <c r="AXJ4"/>
      <c r="AXK4"/>
      <c r="AXL4"/>
      <c r="AXM4"/>
      <c r="AXN4"/>
      <c r="AXO4"/>
      <c r="AXP4"/>
      <c r="AXQ4"/>
      <c r="AXR4"/>
      <c r="AXS4"/>
      <c r="AXT4"/>
      <c r="AXU4"/>
      <c r="AXV4"/>
      <c r="AXW4"/>
      <c r="AXX4"/>
      <c r="AXY4"/>
      <c r="AXZ4"/>
      <c r="AYA4"/>
      <c r="AYB4"/>
      <c r="AYC4"/>
      <c r="AYD4"/>
      <c r="AYE4"/>
      <c r="AYF4"/>
      <c r="AYG4"/>
      <c r="AYH4"/>
      <c r="AYI4"/>
      <c r="AYJ4"/>
      <c r="AYK4"/>
      <c r="AYL4"/>
      <c r="AYM4"/>
      <c r="AYN4"/>
      <c r="AYO4"/>
      <c r="AYP4"/>
      <c r="AYQ4"/>
      <c r="AYR4"/>
      <c r="AYS4"/>
      <c r="AYT4"/>
      <c r="AYU4"/>
      <c r="AYV4"/>
      <c r="AYW4"/>
      <c r="AYX4"/>
      <c r="AYY4"/>
      <c r="AYZ4"/>
      <c r="AZA4"/>
      <c r="AZB4"/>
      <c r="AZC4"/>
      <c r="AZD4"/>
      <c r="AZE4"/>
      <c r="AZF4"/>
      <c r="AZG4"/>
      <c r="AZH4"/>
      <c r="AZI4"/>
      <c r="AZJ4"/>
      <c r="AZK4"/>
      <c r="AZL4"/>
      <c r="AZM4"/>
      <c r="AZN4"/>
      <c r="AZO4"/>
      <c r="AZP4"/>
      <c r="AZQ4"/>
      <c r="AZR4"/>
      <c r="AZS4"/>
      <c r="AZT4"/>
      <c r="AZU4"/>
      <c r="AZV4"/>
      <c r="AZW4"/>
      <c r="AZX4"/>
      <c r="AZY4"/>
      <c r="AZZ4"/>
      <c r="BAA4"/>
      <c r="BAB4"/>
      <c r="BAC4"/>
      <c r="BAD4"/>
      <c r="BAE4"/>
      <c r="BAF4"/>
      <c r="BAG4"/>
      <c r="BAH4"/>
      <c r="BAI4"/>
      <c r="BAJ4"/>
      <c r="BAK4"/>
      <c r="BAL4"/>
      <c r="BAM4"/>
      <c r="BAN4"/>
      <c r="BAO4"/>
      <c r="BAP4"/>
      <c r="BAQ4"/>
      <c r="BAR4"/>
      <c r="BAS4"/>
      <c r="BAT4"/>
      <c r="BAU4"/>
      <c r="BAV4"/>
      <c r="BAW4"/>
      <c r="BAX4"/>
      <c r="BAY4"/>
      <c r="BAZ4"/>
      <c r="BBA4"/>
      <c r="BBB4"/>
      <c r="BBC4"/>
      <c r="BBD4"/>
      <c r="BBE4"/>
      <c r="BBF4"/>
      <c r="BBG4"/>
      <c r="BBH4"/>
      <c r="BBI4"/>
      <c r="BBJ4"/>
      <c r="BBK4"/>
      <c r="BBL4"/>
      <c r="BBM4"/>
      <c r="BBN4"/>
      <c r="BBO4"/>
      <c r="BBP4"/>
      <c r="BBQ4"/>
      <c r="BBR4"/>
      <c r="BBS4"/>
      <c r="BBT4"/>
      <c r="BBU4"/>
      <c r="BBV4"/>
      <c r="BBW4"/>
      <c r="BBX4"/>
      <c r="BBY4"/>
      <c r="BBZ4"/>
      <c r="BCA4"/>
      <c r="BCB4"/>
      <c r="BCC4"/>
      <c r="BCD4"/>
      <c r="BCE4"/>
      <c r="BCF4"/>
      <c r="BCG4"/>
      <c r="BCH4"/>
      <c r="BCI4"/>
      <c r="BCJ4"/>
      <c r="BCK4"/>
      <c r="BCL4"/>
      <c r="BCM4"/>
      <c r="BCN4"/>
      <c r="BCO4"/>
      <c r="BCP4"/>
      <c r="BCQ4"/>
      <c r="BCR4"/>
      <c r="BCS4"/>
      <c r="BCT4"/>
      <c r="BCU4"/>
      <c r="BCV4"/>
      <c r="BCW4"/>
      <c r="BCX4"/>
      <c r="BCY4"/>
      <c r="BCZ4"/>
      <c r="BDA4"/>
      <c r="BDB4"/>
      <c r="BDC4"/>
      <c r="BDD4"/>
      <c r="BDE4"/>
      <c r="BDF4"/>
      <c r="BDG4"/>
      <c r="BDH4"/>
      <c r="BDI4"/>
      <c r="BDJ4"/>
      <c r="BDK4"/>
      <c r="BDL4"/>
      <c r="BDM4"/>
      <c r="BDN4"/>
      <c r="BDO4"/>
      <c r="BDP4"/>
      <c r="BDQ4"/>
      <c r="BDR4"/>
      <c r="BDS4"/>
      <c r="BDT4"/>
      <c r="BDU4"/>
      <c r="BDV4"/>
      <c r="BDW4"/>
      <c r="BDX4"/>
      <c r="BDY4"/>
      <c r="BDZ4"/>
      <c r="BEA4"/>
      <c r="BEB4"/>
      <c r="BEC4"/>
      <c r="BED4"/>
      <c r="BEE4"/>
      <c r="BEF4"/>
      <c r="BEG4"/>
      <c r="BEH4"/>
      <c r="BEI4"/>
      <c r="BEJ4"/>
      <c r="BEK4"/>
      <c r="BEL4"/>
      <c r="BEM4"/>
      <c r="BEN4"/>
      <c r="BEO4"/>
      <c r="BEP4"/>
      <c r="BEQ4"/>
      <c r="BER4"/>
      <c r="BES4"/>
      <c r="BET4"/>
      <c r="BEU4"/>
      <c r="BEV4"/>
      <c r="BEW4"/>
      <c r="BEX4"/>
      <c r="BEY4"/>
      <c r="BEZ4"/>
      <c r="BFA4"/>
      <c r="BFB4"/>
      <c r="BFC4"/>
      <c r="BFD4"/>
      <c r="BFE4"/>
      <c r="BFF4"/>
      <c r="BFG4"/>
      <c r="BFH4"/>
      <c r="BFI4"/>
      <c r="BFJ4"/>
      <c r="BFK4"/>
      <c r="BFL4"/>
      <c r="BFM4"/>
      <c r="BFN4"/>
      <c r="BFO4"/>
      <c r="BFP4"/>
      <c r="BFQ4"/>
      <c r="BFR4"/>
      <c r="BFS4"/>
      <c r="BFT4"/>
      <c r="BFU4"/>
      <c r="BFV4"/>
      <c r="BFW4"/>
      <c r="BFX4"/>
      <c r="BFY4"/>
      <c r="BFZ4"/>
      <c r="BGA4"/>
      <c r="BGB4"/>
      <c r="BGC4"/>
      <c r="BGD4"/>
      <c r="BGE4"/>
      <c r="BGF4"/>
      <c r="BGG4"/>
      <c r="BGH4"/>
      <c r="BGI4"/>
      <c r="BGJ4"/>
      <c r="BGK4"/>
      <c r="BGL4"/>
      <c r="BGM4"/>
      <c r="BGN4"/>
      <c r="BGO4"/>
      <c r="BGP4"/>
      <c r="BGQ4"/>
      <c r="BGR4"/>
      <c r="BGS4"/>
      <c r="BGT4"/>
      <c r="BGU4"/>
      <c r="BGV4"/>
      <c r="BGW4"/>
      <c r="BGX4"/>
      <c r="BGY4"/>
      <c r="BGZ4"/>
      <c r="BHA4"/>
      <c r="BHB4"/>
      <c r="BHC4"/>
      <c r="BHD4"/>
      <c r="BHE4"/>
      <c r="BHF4"/>
      <c r="BHG4"/>
      <c r="BHH4"/>
      <c r="BHI4"/>
      <c r="BHJ4"/>
      <c r="BHK4"/>
      <c r="BHL4"/>
      <c r="BHM4"/>
      <c r="BHN4"/>
      <c r="BHO4"/>
      <c r="BHP4"/>
      <c r="BHQ4"/>
      <c r="BHR4"/>
      <c r="BHS4"/>
      <c r="BHT4"/>
      <c r="BHU4"/>
      <c r="BHV4"/>
      <c r="BHW4"/>
      <c r="BHX4"/>
      <c r="BHY4"/>
      <c r="BHZ4"/>
      <c r="BIA4"/>
      <c r="BIB4"/>
      <c r="BIC4"/>
      <c r="BID4"/>
      <c r="BIE4"/>
      <c r="BIF4"/>
      <c r="BIG4"/>
      <c r="BIH4"/>
      <c r="BII4"/>
      <c r="BIJ4"/>
      <c r="BIK4"/>
      <c r="BIL4"/>
      <c r="BIM4"/>
      <c r="BIN4"/>
      <c r="BIO4"/>
      <c r="BIP4"/>
      <c r="BIQ4"/>
      <c r="BIR4"/>
      <c r="BIS4"/>
      <c r="BIT4"/>
      <c r="BIU4"/>
      <c r="BIV4"/>
      <c r="BIW4"/>
      <c r="BIX4"/>
      <c r="BIY4"/>
      <c r="BIZ4"/>
      <c r="BJA4"/>
      <c r="BJB4"/>
      <c r="BJC4"/>
      <c r="BJD4"/>
      <c r="BJE4"/>
      <c r="BJF4"/>
      <c r="BJG4"/>
      <c r="BJH4"/>
      <c r="BJI4"/>
      <c r="BJJ4"/>
      <c r="BJK4"/>
      <c r="BJL4"/>
      <c r="BJM4"/>
      <c r="BJN4"/>
      <c r="BJO4"/>
      <c r="BJP4"/>
      <c r="BJQ4"/>
      <c r="BJR4"/>
      <c r="BJS4"/>
      <c r="BJT4"/>
      <c r="BJU4"/>
      <c r="BJV4"/>
      <c r="BJW4"/>
      <c r="BJX4"/>
      <c r="BJY4"/>
      <c r="BJZ4"/>
      <c r="BKA4"/>
      <c r="BKB4"/>
      <c r="BKC4"/>
      <c r="BKD4"/>
      <c r="BKE4"/>
      <c r="BKF4"/>
      <c r="BKG4"/>
      <c r="BKH4"/>
      <c r="BKI4"/>
      <c r="BKJ4"/>
      <c r="BKK4"/>
      <c r="BKL4"/>
      <c r="BKM4"/>
      <c r="BKN4"/>
      <c r="BKO4"/>
      <c r="BKP4"/>
      <c r="BKQ4"/>
      <c r="BKR4"/>
      <c r="BKS4"/>
      <c r="BKT4"/>
      <c r="BKU4"/>
      <c r="BKV4"/>
      <c r="BKW4"/>
      <c r="BKX4"/>
      <c r="BKY4"/>
      <c r="BKZ4"/>
      <c r="BLA4"/>
      <c r="BLB4"/>
      <c r="BLC4"/>
      <c r="BLD4"/>
      <c r="BLE4"/>
      <c r="BLF4"/>
      <c r="BLG4"/>
      <c r="BLH4"/>
      <c r="BLI4"/>
      <c r="BLJ4"/>
      <c r="BLK4"/>
      <c r="BLL4"/>
      <c r="BLM4"/>
      <c r="BLN4"/>
      <c r="BLO4"/>
      <c r="BLP4"/>
      <c r="BLQ4"/>
      <c r="BLR4"/>
      <c r="BLS4"/>
      <c r="BLT4"/>
      <c r="BLU4"/>
      <c r="BLV4"/>
      <c r="BLW4"/>
      <c r="BLX4"/>
      <c r="BLY4"/>
      <c r="BLZ4"/>
      <c r="BMA4"/>
      <c r="BMB4"/>
      <c r="BMC4"/>
      <c r="BMD4"/>
      <c r="BME4"/>
      <c r="BMF4"/>
      <c r="BMG4"/>
      <c r="BMH4"/>
      <c r="BMI4"/>
      <c r="BMJ4"/>
      <c r="BMK4"/>
      <c r="BML4"/>
      <c r="BMM4"/>
      <c r="BMN4"/>
      <c r="BMO4"/>
      <c r="BMP4"/>
      <c r="BMQ4"/>
      <c r="BMR4"/>
      <c r="BMS4"/>
      <c r="BMT4"/>
      <c r="BMU4"/>
      <c r="BMV4"/>
      <c r="BMW4"/>
      <c r="BMX4"/>
      <c r="BMY4"/>
      <c r="BMZ4"/>
      <c r="BNA4"/>
      <c r="BNB4"/>
      <c r="BNC4"/>
      <c r="BND4"/>
      <c r="BNE4"/>
      <c r="BNF4"/>
      <c r="BNG4"/>
      <c r="BNH4"/>
      <c r="BNI4"/>
      <c r="BNJ4"/>
      <c r="BNK4"/>
      <c r="BNL4"/>
      <c r="BNM4"/>
      <c r="BNN4"/>
      <c r="BNO4"/>
      <c r="BNP4"/>
      <c r="BNQ4"/>
      <c r="BNR4"/>
      <c r="BNS4"/>
      <c r="BNT4"/>
      <c r="BNU4"/>
      <c r="BNV4"/>
      <c r="BNW4"/>
      <c r="BNX4"/>
      <c r="BNY4"/>
      <c r="BNZ4"/>
      <c r="BOA4"/>
      <c r="BOB4"/>
      <c r="BOC4"/>
      <c r="BOD4"/>
      <c r="BOE4"/>
      <c r="BOF4"/>
      <c r="BOG4"/>
      <c r="BOH4"/>
      <c r="BOI4"/>
      <c r="BOJ4"/>
      <c r="BOK4"/>
      <c r="BOL4"/>
      <c r="BOM4"/>
      <c r="BON4"/>
      <c r="BOO4"/>
      <c r="BOP4"/>
      <c r="BOQ4"/>
      <c r="BOR4"/>
      <c r="BOS4"/>
      <c r="BOT4"/>
      <c r="BOU4"/>
      <c r="BOV4"/>
      <c r="BOW4"/>
      <c r="BOX4"/>
      <c r="BOY4"/>
      <c r="BOZ4"/>
      <c r="BPA4"/>
      <c r="BPB4"/>
      <c r="BPC4"/>
      <c r="BPD4"/>
      <c r="BPE4"/>
      <c r="BPF4"/>
      <c r="BPG4"/>
      <c r="BPH4"/>
      <c r="BPI4"/>
      <c r="BPJ4"/>
      <c r="BPK4"/>
      <c r="BPL4"/>
      <c r="BPM4"/>
      <c r="BPN4"/>
      <c r="BPO4"/>
      <c r="BPP4"/>
      <c r="BPQ4"/>
      <c r="BPR4"/>
      <c r="BPS4"/>
      <c r="BPT4"/>
      <c r="BPU4"/>
      <c r="BPV4"/>
      <c r="BPW4"/>
      <c r="BPX4"/>
      <c r="BPY4"/>
      <c r="BPZ4"/>
      <c r="BQA4"/>
      <c r="BQB4"/>
      <c r="BQC4"/>
      <c r="BQD4"/>
      <c r="BQE4"/>
      <c r="BQF4"/>
      <c r="BQG4"/>
      <c r="BQH4"/>
      <c r="BQI4"/>
      <c r="BQJ4"/>
      <c r="BQK4"/>
      <c r="BQL4"/>
      <c r="BQM4"/>
      <c r="BQN4"/>
      <c r="BQO4"/>
      <c r="BQP4"/>
      <c r="BQQ4"/>
      <c r="BQR4"/>
      <c r="BQS4"/>
      <c r="BQT4"/>
      <c r="BQU4"/>
      <c r="BQV4"/>
      <c r="BQW4"/>
      <c r="BQX4"/>
      <c r="BQY4"/>
      <c r="BQZ4"/>
      <c r="BRA4"/>
      <c r="BRB4"/>
      <c r="BRC4"/>
      <c r="BRD4"/>
      <c r="BRE4"/>
      <c r="BRF4"/>
      <c r="BRG4"/>
      <c r="BRH4"/>
      <c r="BRI4"/>
      <c r="BRJ4"/>
      <c r="BRK4"/>
      <c r="BRL4"/>
      <c r="BRM4"/>
      <c r="BRN4"/>
      <c r="BRO4"/>
      <c r="BRP4"/>
      <c r="BRQ4"/>
      <c r="BRR4"/>
      <c r="BRS4"/>
      <c r="BRT4"/>
      <c r="BRU4"/>
      <c r="BRV4"/>
      <c r="BRW4"/>
      <c r="BRX4"/>
      <c r="BRY4"/>
      <c r="BRZ4"/>
      <c r="BSA4"/>
      <c r="BSB4"/>
      <c r="BSC4"/>
      <c r="BSD4"/>
      <c r="BSE4"/>
      <c r="BSF4"/>
      <c r="BSG4"/>
      <c r="BSH4"/>
      <c r="BSI4"/>
      <c r="BSJ4"/>
      <c r="BSK4"/>
      <c r="BSL4"/>
      <c r="BSM4"/>
      <c r="BSN4"/>
      <c r="BSO4"/>
      <c r="BSP4"/>
      <c r="BSQ4"/>
      <c r="BSR4"/>
      <c r="BSS4"/>
      <c r="BST4"/>
      <c r="BSU4"/>
      <c r="BSV4"/>
      <c r="BSW4"/>
      <c r="BSX4"/>
      <c r="BSY4"/>
      <c r="BSZ4"/>
      <c r="BTA4"/>
      <c r="BTB4"/>
      <c r="BTC4"/>
      <c r="BTD4"/>
      <c r="BTE4"/>
      <c r="BTF4"/>
      <c r="BTG4"/>
      <c r="BTH4"/>
      <c r="BTI4"/>
      <c r="BTJ4"/>
      <c r="BTK4"/>
      <c r="BTL4"/>
      <c r="BTM4"/>
      <c r="BTN4"/>
      <c r="BTO4"/>
      <c r="BTP4"/>
      <c r="BTQ4"/>
      <c r="BTR4"/>
      <c r="BTS4"/>
      <c r="BTT4"/>
      <c r="BTU4"/>
      <c r="BTV4"/>
      <c r="BTW4"/>
      <c r="BTX4"/>
      <c r="BTY4"/>
      <c r="BTZ4"/>
      <c r="BUA4"/>
      <c r="BUB4"/>
      <c r="BUC4"/>
      <c r="BUD4"/>
      <c r="BUE4"/>
      <c r="BUF4"/>
      <c r="BUG4"/>
      <c r="BUH4"/>
      <c r="BUI4"/>
      <c r="BUJ4"/>
      <c r="BUK4"/>
      <c r="BUL4"/>
      <c r="BUM4"/>
      <c r="BUN4"/>
      <c r="BUO4"/>
      <c r="BUP4"/>
      <c r="BUQ4"/>
      <c r="BUR4"/>
      <c r="BUS4"/>
      <c r="BUT4"/>
      <c r="BUU4"/>
      <c r="BUV4"/>
      <c r="BUW4"/>
      <c r="BUX4"/>
      <c r="BUY4"/>
      <c r="BUZ4"/>
      <c r="BVA4"/>
      <c r="BVB4"/>
      <c r="BVC4"/>
      <c r="BVD4"/>
      <c r="BVE4"/>
      <c r="BVF4"/>
      <c r="BVG4"/>
      <c r="BVH4"/>
      <c r="BVI4"/>
      <c r="BVJ4"/>
      <c r="BVK4"/>
      <c r="BVL4"/>
      <c r="BVM4"/>
      <c r="BVN4"/>
      <c r="BVO4"/>
      <c r="BVP4"/>
      <c r="BVQ4"/>
      <c r="BVR4"/>
      <c r="BVS4"/>
      <c r="BVT4"/>
      <c r="BVU4"/>
      <c r="BVV4"/>
      <c r="BVW4"/>
      <c r="BVX4"/>
      <c r="BVY4"/>
      <c r="BVZ4"/>
      <c r="BWA4"/>
      <c r="BWB4"/>
      <c r="BWC4"/>
      <c r="BWD4"/>
      <c r="BWE4"/>
      <c r="BWF4"/>
      <c r="BWG4"/>
      <c r="BWH4"/>
      <c r="BWI4"/>
      <c r="BWJ4"/>
      <c r="BWK4"/>
      <c r="BWL4"/>
      <c r="BWM4"/>
      <c r="BWN4"/>
      <c r="BWO4"/>
      <c r="BWP4"/>
      <c r="BWQ4"/>
      <c r="BWR4"/>
      <c r="BWS4"/>
      <c r="BWT4"/>
      <c r="BWU4"/>
      <c r="BWV4"/>
      <c r="BWW4"/>
      <c r="BWX4"/>
      <c r="BWY4"/>
      <c r="BWZ4"/>
      <c r="BXA4"/>
      <c r="BXB4"/>
      <c r="BXC4"/>
      <c r="BXD4"/>
      <c r="BXE4"/>
      <c r="BXF4"/>
      <c r="BXG4"/>
      <c r="BXH4"/>
      <c r="BXI4"/>
      <c r="BXJ4"/>
      <c r="BXK4"/>
      <c r="BXL4"/>
      <c r="BXM4"/>
      <c r="BXN4"/>
      <c r="BXO4"/>
      <c r="BXP4"/>
      <c r="BXQ4"/>
      <c r="BXR4"/>
      <c r="BXS4"/>
      <c r="BXT4"/>
      <c r="BXU4"/>
      <c r="BXV4"/>
      <c r="BXW4"/>
      <c r="BXX4"/>
      <c r="BXY4"/>
      <c r="BXZ4"/>
      <c r="BYA4"/>
      <c r="BYB4"/>
      <c r="BYC4"/>
      <c r="BYD4"/>
      <c r="BYE4"/>
      <c r="BYF4"/>
      <c r="BYG4"/>
      <c r="BYH4"/>
      <c r="BYI4"/>
      <c r="BYJ4"/>
      <c r="BYK4"/>
      <c r="BYL4"/>
      <c r="BYM4"/>
      <c r="BYN4"/>
      <c r="BYO4"/>
      <c r="BYP4"/>
      <c r="BYQ4"/>
      <c r="BYR4"/>
      <c r="BYS4"/>
      <c r="BYT4"/>
      <c r="BYU4"/>
      <c r="BYV4"/>
      <c r="BYW4"/>
      <c r="BYX4"/>
      <c r="BYY4"/>
      <c r="BYZ4"/>
      <c r="BZA4"/>
      <c r="BZB4"/>
      <c r="BZC4"/>
      <c r="BZD4"/>
      <c r="BZE4"/>
      <c r="BZF4"/>
      <c r="BZG4"/>
      <c r="BZH4"/>
      <c r="BZI4"/>
      <c r="BZJ4"/>
      <c r="BZK4"/>
      <c r="BZL4"/>
      <c r="BZM4"/>
      <c r="BZN4"/>
      <c r="BZO4"/>
      <c r="BZP4"/>
      <c r="BZQ4"/>
      <c r="BZR4"/>
      <c r="BZS4"/>
      <c r="BZT4"/>
      <c r="BZU4"/>
      <c r="BZV4"/>
      <c r="BZW4"/>
      <c r="BZX4"/>
      <c r="BZY4"/>
      <c r="BZZ4"/>
      <c r="CAA4"/>
      <c r="CAB4"/>
      <c r="CAC4"/>
      <c r="CAD4"/>
      <c r="CAE4"/>
      <c r="CAF4"/>
      <c r="CAG4"/>
      <c r="CAH4"/>
      <c r="CAI4"/>
      <c r="CAJ4"/>
      <c r="CAK4"/>
      <c r="CAL4"/>
      <c r="CAM4"/>
      <c r="CAN4"/>
      <c r="CAO4"/>
      <c r="CAP4"/>
      <c r="CAQ4"/>
      <c r="CAR4"/>
      <c r="CAS4"/>
      <c r="CAT4"/>
      <c r="CAU4"/>
      <c r="CAV4"/>
      <c r="CAW4"/>
      <c r="CAX4"/>
      <c r="CAY4"/>
      <c r="CAZ4"/>
      <c r="CBA4"/>
      <c r="CBB4"/>
      <c r="CBC4"/>
      <c r="CBD4"/>
      <c r="CBE4"/>
      <c r="CBF4"/>
      <c r="CBG4"/>
      <c r="CBH4"/>
      <c r="CBI4"/>
      <c r="CBJ4"/>
      <c r="CBK4"/>
      <c r="CBL4"/>
      <c r="CBM4"/>
      <c r="CBN4"/>
      <c r="CBO4"/>
      <c r="CBP4"/>
      <c r="CBQ4"/>
      <c r="CBR4"/>
      <c r="CBS4"/>
      <c r="CBT4"/>
      <c r="CBU4"/>
      <c r="CBV4"/>
      <c r="CBW4"/>
      <c r="CBX4"/>
      <c r="CBY4"/>
      <c r="CBZ4"/>
      <c r="CCA4"/>
      <c r="CCB4"/>
      <c r="CCC4"/>
      <c r="CCD4"/>
      <c r="CCE4"/>
      <c r="CCF4"/>
      <c r="CCG4"/>
      <c r="CCH4"/>
      <c r="CCI4"/>
      <c r="CCJ4"/>
      <c r="CCK4"/>
      <c r="CCL4"/>
      <c r="CCM4"/>
      <c r="CCN4"/>
      <c r="CCO4"/>
      <c r="CCP4"/>
      <c r="CCQ4"/>
      <c r="CCR4"/>
      <c r="CCS4"/>
      <c r="CCT4"/>
      <c r="CCU4"/>
      <c r="CCV4"/>
      <c r="CCW4"/>
      <c r="CCX4"/>
      <c r="CCY4"/>
      <c r="CCZ4"/>
      <c r="CDA4"/>
      <c r="CDB4"/>
      <c r="CDC4"/>
      <c r="CDD4"/>
      <c r="CDE4"/>
      <c r="CDF4"/>
      <c r="CDG4"/>
      <c r="CDH4"/>
      <c r="CDI4"/>
      <c r="CDJ4"/>
      <c r="CDK4"/>
      <c r="CDL4"/>
      <c r="CDM4"/>
      <c r="CDN4"/>
      <c r="CDO4"/>
      <c r="CDP4"/>
      <c r="CDQ4"/>
      <c r="CDR4"/>
      <c r="CDS4"/>
      <c r="CDT4"/>
      <c r="CDU4"/>
      <c r="CDV4"/>
      <c r="CDW4"/>
      <c r="CDX4"/>
      <c r="CDY4"/>
      <c r="CDZ4"/>
      <c r="CEA4"/>
      <c r="CEB4"/>
      <c r="CEC4"/>
      <c r="CED4"/>
      <c r="CEE4"/>
      <c r="CEF4"/>
      <c r="CEG4"/>
      <c r="CEH4"/>
      <c r="CEI4"/>
      <c r="CEJ4"/>
      <c r="CEK4"/>
      <c r="CEL4"/>
      <c r="CEM4"/>
      <c r="CEN4"/>
      <c r="CEO4"/>
      <c r="CEP4"/>
      <c r="CEQ4"/>
      <c r="CER4"/>
      <c r="CES4"/>
      <c r="CET4"/>
      <c r="CEU4"/>
      <c r="CEV4"/>
      <c r="CEW4"/>
      <c r="CEX4"/>
      <c r="CEY4"/>
      <c r="CEZ4"/>
      <c r="CFA4"/>
      <c r="CFB4"/>
      <c r="CFC4"/>
      <c r="CFD4"/>
      <c r="CFE4"/>
      <c r="CFF4"/>
      <c r="CFG4"/>
      <c r="CFH4"/>
      <c r="CFI4"/>
      <c r="CFJ4"/>
      <c r="CFK4"/>
      <c r="CFL4"/>
      <c r="CFM4"/>
      <c r="CFN4"/>
      <c r="CFO4"/>
      <c r="CFP4"/>
      <c r="CFQ4"/>
      <c r="CFR4"/>
      <c r="CFS4"/>
      <c r="CFT4"/>
      <c r="CFU4"/>
      <c r="CFV4"/>
      <c r="CFW4"/>
      <c r="CFX4"/>
      <c r="CFY4"/>
      <c r="CFZ4"/>
      <c r="CGA4"/>
      <c r="CGB4"/>
      <c r="CGC4"/>
      <c r="CGD4"/>
      <c r="CGE4"/>
      <c r="CGF4"/>
      <c r="CGG4"/>
      <c r="CGH4"/>
      <c r="CGI4"/>
      <c r="CGJ4"/>
      <c r="CGK4"/>
      <c r="CGL4"/>
      <c r="CGM4"/>
      <c r="CGN4"/>
      <c r="CGO4"/>
      <c r="CGP4"/>
      <c r="CGQ4"/>
      <c r="CGR4"/>
      <c r="CGS4"/>
      <c r="CGT4"/>
      <c r="CGU4"/>
      <c r="CGV4"/>
      <c r="CGW4"/>
      <c r="CGX4"/>
      <c r="CGY4"/>
      <c r="CGZ4"/>
      <c r="CHA4"/>
      <c r="CHB4"/>
      <c r="CHC4"/>
      <c r="CHD4"/>
      <c r="CHE4"/>
      <c r="CHF4"/>
      <c r="CHG4"/>
      <c r="CHH4"/>
      <c r="CHI4"/>
      <c r="CHJ4"/>
      <c r="CHK4"/>
      <c r="CHL4"/>
      <c r="CHM4"/>
      <c r="CHN4"/>
      <c r="CHO4"/>
      <c r="CHP4"/>
      <c r="CHQ4"/>
      <c r="CHR4"/>
      <c r="CHS4"/>
      <c r="CHT4"/>
      <c r="CHU4"/>
      <c r="CHV4"/>
      <c r="CHW4"/>
      <c r="CHX4"/>
      <c r="CHY4"/>
      <c r="CHZ4"/>
      <c r="CIA4"/>
      <c r="CIB4"/>
      <c r="CIC4"/>
      <c r="CID4"/>
      <c r="CIE4"/>
      <c r="CIF4"/>
      <c r="CIG4"/>
      <c r="CIH4"/>
      <c r="CII4"/>
      <c r="CIJ4"/>
      <c r="CIK4"/>
      <c r="CIL4"/>
      <c r="CIM4"/>
      <c r="CIN4"/>
      <c r="CIO4"/>
      <c r="CIP4"/>
      <c r="CIQ4"/>
      <c r="CIR4"/>
      <c r="CIS4"/>
      <c r="CIT4"/>
      <c r="CIU4"/>
      <c r="CIV4"/>
      <c r="CIW4"/>
      <c r="CIX4"/>
      <c r="CIY4"/>
      <c r="CIZ4"/>
      <c r="CJA4"/>
      <c r="CJB4"/>
      <c r="CJC4"/>
      <c r="CJD4"/>
      <c r="CJE4"/>
      <c r="CJF4"/>
      <c r="CJG4"/>
      <c r="CJH4"/>
      <c r="CJI4"/>
      <c r="CJJ4"/>
      <c r="CJK4"/>
      <c r="CJL4"/>
      <c r="CJM4"/>
      <c r="CJN4"/>
      <c r="CJO4"/>
      <c r="CJP4"/>
      <c r="CJQ4"/>
      <c r="CJR4"/>
      <c r="CJS4"/>
      <c r="CJT4"/>
      <c r="CJU4"/>
      <c r="CJV4"/>
      <c r="CJW4"/>
      <c r="CJX4"/>
      <c r="CJY4"/>
      <c r="CJZ4"/>
      <c r="CKA4"/>
      <c r="CKB4"/>
      <c r="CKC4"/>
      <c r="CKD4"/>
      <c r="CKE4"/>
      <c r="CKF4"/>
      <c r="CKG4"/>
      <c r="CKH4"/>
      <c r="CKI4"/>
      <c r="CKJ4"/>
      <c r="CKK4"/>
      <c r="CKL4"/>
      <c r="CKM4"/>
      <c r="CKN4"/>
      <c r="CKO4"/>
      <c r="CKP4"/>
      <c r="CKQ4"/>
      <c r="CKR4"/>
      <c r="CKS4"/>
      <c r="CKT4"/>
      <c r="CKU4"/>
      <c r="CKV4"/>
      <c r="CKW4"/>
      <c r="CKX4"/>
      <c r="CKY4"/>
      <c r="CKZ4"/>
      <c r="CLA4"/>
      <c r="CLB4"/>
      <c r="CLC4"/>
      <c r="CLD4"/>
      <c r="CLE4"/>
      <c r="CLF4"/>
      <c r="CLG4"/>
      <c r="CLH4"/>
      <c r="CLI4"/>
      <c r="CLJ4"/>
      <c r="CLK4"/>
      <c r="CLL4"/>
      <c r="CLM4"/>
      <c r="CLN4"/>
      <c r="CLO4"/>
      <c r="CLP4"/>
      <c r="CLQ4"/>
      <c r="CLR4"/>
      <c r="CLS4"/>
      <c r="CLT4"/>
      <c r="CLU4"/>
      <c r="CLV4"/>
      <c r="CLW4"/>
      <c r="CLX4"/>
      <c r="CLY4"/>
      <c r="CLZ4"/>
      <c r="CMA4"/>
      <c r="CMB4"/>
      <c r="CMC4"/>
      <c r="CMD4"/>
      <c r="CME4"/>
      <c r="CMF4"/>
      <c r="CMG4"/>
      <c r="CMH4"/>
      <c r="CMI4"/>
      <c r="CMJ4"/>
      <c r="CMK4"/>
      <c r="CML4"/>
      <c r="CMM4"/>
      <c r="CMN4"/>
      <c r="CMO4"/>
      <c r="CMP4"/>
      <c r="CMQ4"/>
      <c r="CMR4"/>
      <c r="CMS4"/>
      <c r="CMT4"/>
      <c r="CMU4"/>
      <c r="CMV4"/>
      <c r="CMW4"/>
      <c r="CMX4"/>
      <c r="CMY4"/>
      <c r="CMZ4"/>
      <c r="CNA4"/>
      <c r="CNB4"/>
      <c r="CNC4"/>
      <c r="CND4"/>
      <c r="CNE4"/>
      <c r="CNF4"/>
      <c r="CNG4"/>
      <c r="CNH4"/>
      <c r="CNI4"/>
      <c r="CNJ4"/>
      <c r="CNK4"/>
      <c r="CNL4"/>
      <c r="CNM4"/>
      <c r="CNN4"/>
      <c r="CNO4"/>
      <c r="CNP4"/>
      <c r="CNQ4"/>
      <c r="CNR4"/>
      <c r="CNS4"/>
      <c r="CNT4"/>
      <c r="CNU4"/>
      <c r="CNV4"/>
      <c r="CNW4"/>
      <c r="CNX4"/>
      <c r="CNY4"/>
      <c r="CNZ4"/>
      <c r="COA4"/>
      <c r="COB4"/>
      <c r="COC4"/>
      <c r="COD4"/>
      <c r="COE4"/>
      <c r="COF4"/>
      <c r="COG4"/>
      <c r="COH4"/>
      <c r="COI4"/>
      <c r="COJ4"/>
      <c r="COK4"/>
      <c r="COL4"/>
      <c r="COM4"/>
      <c r="CON4"/>
      <c r="COO4"/>
      <c r="COP4"/>
      <c r="COQ4"/>
      <c r="COR4"/>
      <c r="COS4"/>
      <c r="COT4"/>
      <c r="COU4"/>
      <c r="COV4"/>
      <c r="COW4"/>
      <c r="COX4"/>
      <c r="COY4"/>
      <c r="COZ4"/>
      <c r="CPA4"/>
      <c r="CPB4"/>
      <c r="CPC4"/>
      <c r="CPD4"/>
      <c r="CPE4"/>
      <c r="CPF4"/>
      <c r="CPG4"/>
      <c r="CPH4"/>
      <c r="CPI4"/>
      <c r="CPJ4"/>
      <c r="CPK4"/>
      <c r="CPL4"/>
      <c r="CPM4"/>
      <c r="CPN4"/>
      <c r="CPO4"/>
      <c r="CPP4"/>
      <c r="CPQ4"/>
      <c r="CPR4"/>
      <c r="CPS4"/>
      <c r="CPT4"/>
      <c r="CPU4"/>
      <c r="CPV4"/>
      <c r="CPW4"/>
      <c r="CPX4"/>
      <c r="CPY4"/>
      <c r="CPZ4"/>
      <c r="CQA4"/>
      <c r="CQB4"/>
      <c r="CQC4"/>
      <c r="CQD4"/>
      <c r="CQE4"/>
      <c r="CQF4"/>
      <c r="CQG4"/>
      <c r="CQH4"/>
      <c r="CQI4"/>
      <c r="CQJ4"/>
      <c r="CQK4"/>
      <c r="CQL4"/>
      <c r="CQM4"/>
      <c r="CQN4"/>
      <c r="CQO4"/>
      <c r="CQP4"/>
      <c r="CQQ4"/>
      <c r="CQR4"/>
      <c r="CQS4"/>
      <c r="CQT4"/>
      <c r="CQU4"/>
      <c r="CQV4"/>
      <c r="CQW4"/>
      <c r="CQX4"/>
      <c r="CQY4"/>
      <c r="CQZ4"/>
      <c r="CRA4"/>
      <c r="CRB4"/>
      <c r="CRC4"/>
      <c r="CRD4"/>
      <c r="CRE4"/>
      <c r="CRF4"/>
      <c r="CRG4"/>
      <c r="CRH4"/>
      <c r="CRI4"/>
      <c r="CRJ4"/>
      <c r="CRK4"/>
      <c r="CRL4"/>
      <c r="CRM4"/>
      <c r="CRN4"/>
      <c r="CRO4"/>
      <c r="CRP4"/>
      <c r="CRQ4"/>
      <c r="CRR4"/>
      <c r="CRS4"/>
      <c r="CRT4"/>
      <c r="CRU4"/>
      <c r="CRV4"/>
      <c r="CRW4"/>
      <c r="CRX4"/>
      <c r="CRY4"/>
      <c r="CRZ4"/>
      <c r="CSA4"/>
      <c r="CSB4"/>
      <c r="CSC4"/>
      <c r="CSD4"/>
      <c r="CSE4"/>
      <c r="CSF4"/>
      <c r="CSG4"/>
      <c r="CSH4"/>
      <c r="CSI4"/>
      <c r="CSJ4"/>
      <c r="CSK4"/>
      <c r="CSL4"/>
      <c r="CSM4"/>
      <c r="CSN4"/>
      <c r="CSO4"/>
      <c r="CSP4"/>
      <c r="CSQ4"/>
      <c r="CSR4"/>
      <c r="CSS4"/>
      <c r="CST4"/>
      <c r="CSU4"/>
      <c r="CSV4"/>
      <c r="CSW4"/>
      <c r="CSX4"/>
      <c r="CSY4"/>
      <c r="CSZ4"/>
      <c r="CTA4"/>
      <c r="CTB4"/>
      <c r="CTC4"/>
      <c r="CTD4"/>
      <c r="CTE4"/>
      <c r="CTF4"/>
      <c r="CTG4"/>
      <c r="CTH4"/>
      <c r="CTI4"/>
      <c r="CTJ4"/>
      <c r="CTK4"/>
      <c r="CTL4"/>
      <c r="CTM4"/>
      <c r="CTN4"/>
      <c r="CTO4"/>
      <c r="CTP4"/>
      <c r="CTQ4"/>
      <c r="CTR4"/>
      <c r="CTS4"/>
      <c r="CTT4"/>
      <c r="CTU4"/>
      <c r="CTV4"/>
      <c r="CTW4"/>
      <c r="CTX4"/>
      <c r="CTY4"/>
      <c r="CTZ4"/>
      <c r="CUA4"/>
      <c r="CUB4"/>
      <c r="CUC4"/>
      <c r="CUD4"/>
      <c r="CUE4"/>
      <c r="CUF4"/>
      <c r="CUG4"/>
      <c r="CUH4"/>
      <c r="CUI4"/>
      <c r="CUJ4"/>
      <c r="CUK4"/>
      <c r="CUL4"/>
      <c r="CUM4"/>
      <c r="CUN4"/>
      <c r="CUO4"/>
      <c r="CUP4"/>
      <c r="CUQ4"/>
      <c r="CUR4"/>
      <c r="CUS4"/>
      <c r="CUT4"/>
      <c r="CUU4"/>
      <c r="CUV4"/>
      <c r="CUW4"/>
      <c r="CUX4"/>
      <c r="CUY4"/>
      <c r="CUZ4"/>
      <c r="CVA4"/>
      <c r="CVB4"/>
      <c r="CVC4"/>
      <c r="CVD4"/>
      <c r="CVE4"/>
      <c r="CVF4"/>
      <c r="CVG4"/>
      <c r="CVH4"/>
      <c r="CVI4"/>
      <c r="CVJ4"/>
      <c r="CVK4"/>
      <c r="CVL4"/>
      <c r="CVM4"/>
      <c r="CVN4"/>
      <c r="CVO4"/>
      <c r="CVP4"/>
      <c r="CVQ4"/>
      <c r="CVR4"/>
      <c r="CVS4"/>
      <c r="CVT4"/>
      <c r="CVU4"/>
      <c r="CVV4"/>
      <c r="CVW4"/>
      <c r="CVX4"/>
      <c r="CVY4"/>
      <c r="CVZ4"/>
      <c r="CWA4"/>
      <c r="CWB4"/>
      <c r="CWC4"/>
      <c r="CWD4"/>
      <c r="CWE4"/>
      <c r="CWF4"/>
      <c r="CWG4"/>
      <c r="CWH4"/>
      <c r="CWI4"/>
      <c r="CWJ4"/>
      <c r="CWK4"/>
      <c r="CWL4"/>
      <c r="CWM4"/>
      <c r="CWN4"/>
      <c r="CWO4"/>
      <c r="CWP4"/>
      <c r="CWQ4"/>
      <c r="CWR4"/>
      <c r="CWS4"/>
      <c r="CWT4"/>
      <c r="CWU4"/>
      <c r="CWV4"/>
      <c r="CWW4"/>
      <c r="CWX4"/>
      <c r="CWY4"/>
      <c r="CWZ4"/>
      <c r="CXA4"/>
      <c r="CXB4"/>
      <c r="CXC4"/>
      <c r="CXD4"/>
      <c r="CXE4"/>
      <c r="CXF4"/>
      <c r="CXG4"/>
      <c r="CXH4"/>
      <c r="CXI4"/>
      <c r="CXJ4"/>
      <c r="CXK4"/>
      <c r="CXL4"/>
      <c r="CXM4"/>
      <c r="CXN4"/>
      <c r="CXO4"/>
      <c r="CXP4"/>
      <c r="CXQ4"/>
      <c r="CXR4"/>
      <c r="CXS4"/>
      <c r="CXT4"/>
      <c r="CXU4"/>
      <c r="CXV4"/>
      <c r="CXW4"/>
      <c r="CXX4"/>
      <c r="CXY4"/>
      <c r="CXZ4"/>
      <c r="CYA4"/>
      <c r="CYB4"/>
      <c r="CYC4"/>
      <c r="CYD4"/>
      <c r="CYE4"/>
      <c r="CYF4"/>
      <c r="CYG4"/>
      <c r="CYH4"/>
      <c r="CYI4"/>
      <c r="CYJ4"/>
      <c r="CYK4"/>
      <c r="CYL4"/>
      <c r="CYM4"/>
      <c r="CYN4"/>
      <c r="CYO4"/>
      <c r="CYP4"/>
      <c r="CYQ4"/>
      <c r="CYR4"/>
      <c r="CYS4"/>
      <c r="CYT4"/>
      <c r="CYU4"/>
      <c r="CYV4"/>
      <c r="CYW4"/>
      <c r="CYX4"/>
      <c r="CYY4"/>
      <c r="CYZ4"/>
      <c r="CZA4"/>
      <c r="CZB4"/>
      <c r="CZC4"/>
      <c r="CZD4"/>
      <c r="CZE4"/>
      <c r="CZF4"/>
      <c r="CZG4"/>
      <c r="CZH4"/>
      <c r="CZI4"/>
      <c r="CZJ4"/>
      <c r="CZK4"/>
      <c r="CZL4"/>
      <c r="CZM4"/>
      <c r="CZN4"/>
      <c r="CZO4"/>
      <c r="CZP4"/>
      <c r="CZQ4"/>
      <c r="CZR4"/>
      <c r="CZS4"/>
      <c r="CZT4"/>
      <c r="CZU4"/>
      <c r="CZV4"/>
      <c r="CZW4"/>
      <c r="CZX4"/>
      <c r="CZY4"/>
      <c r="CZZ4"/>
      <c r="DAA4"/>
      <c r="DAB4"/>
      <c r="DAC4"/>
      <c r="DAD4"/>
      <c r="DAE4"/>
      <c r="DAF4"/>
      <c r="DAG4"/>
      <c r="DAH4"/>
      <c r="DAI4"/>
      <c r="DAJ4"/>
      <c r="DAK4"/>
      <c r="DAL4"/>
      <c r="DAM4"/>
      <c r="DAN4"/>
      <c r="DAO4"/>
      <c r="DAP4"/>
      <c r="DAQ4"/>
      <c r="DAR4"/>
      <c r="DAS4"/>
      <c r="DAT4"/>
      <c r="DAU4"/>
      <c r="DAV4"/>
      <c r="DAW4"/>
      <c r="DAX4"/>
      <c r="DAY4"/>
      <c r="DAZ4"/>
      <c r="DBA4"/>
      <c r="DBB4"/>
      <c r="DBC4"/>
      <c r="DBD4"/>
      <c r="DBE4"/>
      <c r="DBF4"/>
      <c r="DBG4"/>
      <c r="DBH4"/>
      <c r="DBI4"/>
      <c r="DBJ4"/>
      <c r="DBK4"/>
      <c r="DBL4"/>
      <c r="DBM4"/>
      <c r="DBN4"/>
      <c r="DBO4"/>
      <c r="DBP4"/>
      <c r="DBQ4"/>
      <c r="DBR4"/>
      <c r="DBS4"/>
      <c r="DBT4"/>
      <c r="DBU4"/>
      <c r="DBV4"/>
      <c r="DBW4"/>
      <c r="DBX4"/>
      <c r="DBY4"/>
      <c r="DBZ4"/>
      <c r="DCA4"/>
      <c r="DCB4"/>
      <c r="DCC4"/>
      <c r="DCD4"/>
      <c r="DCE4"/>
      <c r="DCF4"/>
      <c r="DCG4"/>
      <c r="DCH4"/>
      <c r="DCI4"/>
      <c r="DCJ4"/>
      <c r="DCK4"/>
      <c r="DCL4"/>
      <c r="DCM4"/>
      <c r="DCN4"/>
      <c r="DCO4"/>
      <c r="DCP4"/>
      <c r="DCQ4"/>
      <c r="DCR4"/>
      <c r="DCS4"/>
      <c r="DCT4"/>
      <c r="DCU4"/>
      <c r="DCV4"/>
      <c r="DCW4"/>
      <c r="DCX4"/>
      <c r="DCY4"/>
      <c r="DCZ4"/>
      <c r="DDA4"/>
      <c r="DDB4"/>
      <c r="DDC4"/>
      <c r="DDD4"/>
      <c r="DDE4"/>
      <c r="DDF4"/>
      <c r="DDG4"/>
      <c r="DDH4"/>
      <c r="DDI4"/>
      <c r="DDJ4"/>
      <c r="DDK4"/>
      <c r="DDL4"/>
      <c r="DDM4"/>
      <c r="DDN4"/>
      <c r="DDO4"/>
      <c r="DDP4"/>
      <c r="DDQ4"/>
      <c r="DDR4"/>
      <c r="DDS4"/>
      <c r="DDT4"/>
      <c r="DDU4"/>
      <c r="DDV4"/>
      <c r="DDW4"/>
      <c r="DDX4"/>
      <c r="DDY4"/>
      <c r="DDZ4"/>
      <c r="DEA4"/>
      <c r="DEB4"/>
      <c r="DEC4"/>
      <c r="DED4"/>
      <c r="DEE4"/>
      <c r="DEF4"/>
      <c r="DEG4"/>
      <c r="DEH4"/>
      <c r="DEI4"/>
      <c r="DEJ4"/>
      <c r="DEK4"/>
      <c r="DEL4"/>
      <c r="DEM4"/>
      <c r="DEN4"/>
      <c r="DEO4"/>
      <c r="DEP4"/>
      <c r="DEQ4"/>
      <c r="DER4"/>
      <c r="DES4"/>
      <c r="DET4"/>
      <c r="DEU4"/>
      <c r="DEV4"/>
      <c r="DEW4"/>
      <c r="DEX4"/>
      <c r="DEY4"/>
      <c r="DEZ4"/>
      <c r="DFA4"/>
      <c r="DFB4"/>
      <c r="DFC4"/>
      <c r="DFD4"/>
      <c r="DFE4"/>
      <c r="DFF4"/>
      <c r="DFG4"/>
      <c r="DFH4"/>
      <c r="DFI4"/>
      <c r="DFJ4"/>
      <c r="DFK4"/>
      <c r="DFL4"/>
      <c r="DFM4"/>
      <c r="DFN4"/>
      <c r="DFO4"/>
      <c r="DFP4"/>
      <c r="DFQ4"/>
      <c r="DFR4"/>
      <c r="DFS4"/>
      <c r="DFT4"/>
      <c r="DFU4"/>
      <c r="DFV4"/>
      <c r="DFW4"/>
      <c r="DFX4"/>
      <c r="DFY4"/>
      <c r="DFZ4"/>
      <c r="DGA4"/>
      <c r="DGB4"/>
      <c r="DGC4"/>
      <c r="DGD4"/>
      <c r="DGE4"/>
      <c r="DGF4"/>
      <c r="DGG4"/>
      <c r="DGH4"/>
      <c r="DGI4"/>
      <c r="DGJ4"/>
      <c r="DGK4"/>
      <c r="DGL4"/>
      <c r="DGM4"/>
      <c r="DGN4"/>
      <c r="DGO4"/>
      <c r="DGP4"/>
      <c r="DGQ4"/>
      <c r="DGR4"/>
      <c r="DGS4"/>
      <c r="DGT4"/>
      <c r="DGU4"/>
      <c r="DGV4"/>
      <c r="DGW4"/>
      <c r="DGX4"/>
      <c r="DGY4"/>
      <c r="DGZ4"/>
      <c r="DHA4"/>
      <c r="DHB4"/>
      <c r="DHC4"/>
      <c r="DHD4"/>
      <c r="DHE4"/>
      <c r="DHF4"/>
      <c r="DHG4"/>
      <c r="DHH4"/>
      <c r="DHI4"/>
      <c r="DHJ4"/>
      <c r="DHK4"/>
      <c r="DHL4"/>
      <c r="DHM4"/>
      <c r="DHN4"/>
      <c r="DHO4"/>
      <c r="DHP4"/>
      <c r="DHQ4"/>
      <c r="DHR4"/>
      <c r="DHS4"/>
      <c r="DHT4"/>
      <c r="DHU4"/>
      <c r="DHV4"/>
      <c r="DHW4"/>
      <c r="DHX4"/>
      <c r="DHY4"/>
      <c r="DHZ4"/>
      <c r="DIA4"/>
      <c r="DIB4"/>
      <c r="DIC4"/>
      <c r="DID4"/>
      <c r="DIE4"/>
      <c r="DIF4"/>
      <c r="DIG4"/>
      <c r="DIH4"/>
      <c r="DII4"/>
      <c r="DIJ4"/>
      <c r="DIK4"/>
      <c r="DIL4"/>
      <c r="DIM4"/>
      <c r="DIN4"/>
      <c r="DIO4"/>
      <c r="DIP4"/>
      <c r="DIQ4"/>
      <c r="DIR4"/>
      <c r="DIS4"/>
      <c r="DIT4"/>
      <c r="DIU4"/>
      <c r="DIV4"/>
      <c r="DIW4"/>
      <c r="DIX4"/>
      <c r="DIY4"/>
      <c r="DIZ4"/>
      <c r="DJA4"/>
      <c r="DJB4"/>
      <c r="DJC4"/>
      <c r="DJD4"/>
      <c r="DJE4"/>
      <c r="DJF4"/>
      <c r="DJG4"/>
      <c r="DJH4"/>
      <c r="DJI4"/>
      <c r="DJJ4"/>
      <c r="DJK4"/>
      <c r="DJL4"/>
      <c r="DJM4"/>
      <c r="DJN4"/>
      <c r="DJO4"/>
      <c r="DJP4"/>
      <c r="DJQ4"/>
      <c r="DJR4"/>
      <c r="DJS4"/>
      <c r="DJT4"/>
      <c r="DJU4"/>
      <c r="DJV4"/>
      <c r="DJW4"/>
      <c r="DJX4"/>
      <c r="DJY4"/>
      <c r="DJZ4"/>
      <c r="DKA4"/>
      <c r="DKB4"/>
      <c r="DKC4"/>
      <c r="DKD4"/>
      <c r="DKE4"/>
      <c r="DKF4"/>
      <c r="DKG4"/>
      <c r="DKH4"/>
      <c r="DKI4"/>
      <c r="DKJ4"/>
      <c r="DKK4"/>
      <c r="DKL4"/>
      <c r="DKM4"/>
      <c r="DKN4"/>
      <c r="DKO4"/>
      <c r="DKP4"/>
      <c r="DKQ4"/>
      <c r="DKR4"/>
      <c r="DKS4"/>
      <c r="DKT4"/>
      <c r="DKU4"/>
      <c r="DKV4"/>
      <c r="DKW4"/>
      <c r="DKX4"/>
      <c r="DKY4"/>
      <c r="DKZ4"/>
      <c r="DLA4"/>
      <c r="DLB4"/>
      <c r="DLC4"/>
      <c r="DLD4"/>
      <c r="DLE4"/>
      <c r="DLF4"/>
      <c r="DLG4"/>
      <c r="DLH4"/>
      <c r="DLI4"/>
      <c r="DLJ4"/>
      <c r="DLK4"/>
      <c r="DLL4"/>
      <c r="DLM4"/>
      <c r="DLN4"/>
      <c r="DLO4"/>
      <c r="DLP4"/>
      <c r="DLQ4"/>
      <c r="DLR4"/>
      <c r="DLS4"/>
      <c r="DLT4"/>
      <c r="DLU4"/>
      <c r="DLV4"/>
      <c r="DLW4"/>
      <c r="DLX4"/>
      <c r="DLY4"/>
      <c r="DLZ4"/>
      <c r="DMA4"/>
      <c r="DMB4"/>
      <c r="DMC4"/>
      <c r="DMD4"/>
      <c r="DME4"/>
      <c r="DMF4"/>
      <c r="DMG4"/>
      <c r="DMH4"/>
      <c r="DMI4"/>
      <c r="DMJ4"/>
      <c r="DMK4"/>
      <c r="DML4"/>
      <c r="DMM4"/>
      <c r="DMN4"/>
      <c r="DMO4"/>
      <c r="DMP4"/>
      <c r="DMQ4"/>
      <c r="DMR4"/>
      <c r="DMS4"/>
      <c r="DMT4"/>
      <c r="DMU4"/>
      <c r="DMV4"/>
      <c r="DMW4"/>
      <c r="DMX4"/>
      <c r="DMY4"/>
      <c r="DMZ4"/>
      <c r="DNA4"/>
      <c r="DNB4"/>
      <c r="DNC4"/>
      <c r="DND4"/>
      <c r="DNE4"/>
      <c r="DNF4"/>
      <c r="DNG4"/>
      <c r="DNH4"/>
      <c r="DNI4"/>
      <c r="DNJ4"/>
      <c r="DNK4"/>
      <c r="DNL4"/>
      <c r="DNM4"/>
      <c r="DNN4"/>
      <c r="DNO4"/>
      <c r="DNP4"/>
      <c r="DNQ4"/>
      <c r="DNR4"/>
      <c r="DNS4"/>
      <c r="DNT4"/>
      <c r="DNU4"/>
      <c r="DNV4"/>
      <c r="DNW4"/>
      <c r="DNX4"/>
      <c r="DNY4"/>
      <c r="DNZ4"/>
      <c r="DOA4"/>
      <c r="DOB4"/>
      <c r="DOC4"/>
      <c r="DOD4"/>
      <c r="DOE4"/>
      <c r="DOF4"/>
      <c r="DOG4"/>
      <c r="DOH4"/>
      <c r="DOI4"/>
      <c r="DOJ4"/>
      <c r="DOK4"/>
      <c r="DOL4"/>
      <c r="DOM4"/>
      <c r="DON4"/>
      <c r="DOO4"/>
      <c r="DOP4"/>
      <c r="DOQ4"/>
      <c r="DOR4"/>
      <c r="DOS4"/>
      <c r="DOT4"/>
      <c r="DOU4"/>
      <c r="DOV4"/>
      <c r="DOW4"/>
      <c r="DOX4"/>
      <c r="DOY4"/>
      <c r="DOZ4"/>
      <c r="DPA4"/>
      <c r="DPB4"/>
      <c r="DPC4"/>
      <c r="DPD4"/>
      <c r="DPE4"/>
      <c r="DPF4"/>
      <c r="DPG4"/>
      <c r="DPH4"/>
      <c r="DPI4"/>
      <c r="DPJ4"/>
      <c r="DPK4"/>
      <c r="DPL4"/>
      <c r="DPM4"/>
      <c r="DPN4"/>
      <c r="DPO4"/>
      <c r="DPP4"/>
      <c r="DPQ4"/>
      <c r="DPR4"/>
      <c r="DPS4"/>
      <c r="DPT4"/>
      <c r="DPU4"/>
      <c r="DPV4"/>
      <c r="DPW4"/>
      <c r="DPX4"/>
      <c r="DPY4"/>
      <c r="DPZ4"/>
      <c r="DQA4"/>
      <c r="DQB4"/>
      <c r="DQC4"/>
      <c r="DQD4"/>
      <c r="DQE4"/>
      <c r="DQF4"/>
      <c r="DQG4"/>
      <c r="DQH4"/>
      <c r="DQI4"/>
      <c r="DQJ4"/>
      <c r="DQK4"/>
      <c r="DQL4"/>
      <c r="DQM4"/>
      <c r="DQN4"/>
      <c r="DQO4"/>
      <c r="DQP4"/>
      <c r="DQQ4"/>
      <c r="DQR4"/>
      <c r="DQS4"/>
      <c r="DQT4"/>
      <c r="DQU4"/>
      <c r="DQV4"/>
      <c r="DQW4"/>
      <c r="DQX4"/>
      <c r="DQY4"/>
      <c r="DQZ4"/>
      <c r="DRA4"/>
      <c r="DRB4"/>
      <c r="DRC4"/>
      <c r="DRD4"/>
      <c r="DRE4"/>
      <c r="DRF4"/>
      <c r="DRG4"/>
      <c r="DRH4"/>
      <c r="DRI4"/>
      <c r="DRJ4"/>
      <c r="DRK4"/>
      <c r="DRL4"/>
      <c r="DRM4"/>
      <c r="DRN4"/>
      <c r="DRO4"/>
      <c r="DRP4"/>
      <c r="DRQ4"/>
      <c r="DRR4"/>
      <c r="DRS4"/>
      <c r="DRT4"/>
      <c r="DRU4"/>
      <c r="DRV4"/>
      <c r="DRW4"/>
      <c r="DRX4"/>
      <c r="DRY4"/>
      <c r="DRZ4"/>
      <c r="DSA4"/>
      <c r="DSB4"/>
      <c r="DSC4"/>
      <c r="DSD4"/>
      <c r="DSE4"/>
      <c r="DSF4"/>
      <c r="DSG4"/>
      <c r="DSH4"/>
      <c r="DSI4"/>
      <c r="DSJ4"/>
      <c r="DSK4"/>
      <c r="DSL4"/>
      <c r="DSM4"/>
      <c r="DSN4"/>
      <c r="DSO4"/>
      <c r="DSP4"/>
      <c r="DSQ4"/>
      <c r="DSR4"/>
      <c r="DSS4"/>
      <c r="DST4"/>
      <c r="DSU4"/>
      <c r="DSV4"/>
      <c r="DSW4"/>
      <c r="DSX4"/>
      <c r="DSY4"/>
      <c r="DSZ4"/>
      <c r="DTA4"/>
      <c r="DTB4"/>
      <c r="DTC4"/>
      <c r="DTD4"/>
      <c r="DTE4"/>
      <c r="DTF4"/>
      <c r="DTG4"/>
      <c r="DTH4"/>
      <c r="DTI4"/>
      <c r="DTJ4"/>
      <c r="DTK4"/>
      <c r="DTL4"/>
      <c r="DTM4"/>
      <c r="DTN4"/>
      <c r="DTO4"/>
      <c r="DTP4"/>
      <c r="DTQ4"/>
      <c r="DTR4"/>
      <c r="DTS4"/>
      <c r="DTT4"/>
      <c r="DTU4"/>
      <c r="DTV4"/>
      <c r="DTW4"/>
      <c r="DTX4"/>
      <c r="DTY4"/>
      <c r="DTZ4"/>
      <c r="DUA4"/>
      <c r="DUB4"/>
      <c r="DUC4"/>
      <c r="DUD4"/>
      <c r="DUE4"/>
      <c r="DUF4"/>
      <c r="DUG4"/>
      <c r="DUH4"/>
      <c r="DUI4"/>
      <c r="DUJ4"/>
      <c r="DUK4"/>
      <c r="DUL4"/>
      <c r="DUM4"/>
      <c r="DUN4"/>
      <c r="DUO4"/>
      <c r="DUP4"/>
      <c r="DUQ4"/>
      <c r="DUR4"/>
      <c r="DUS4"/>
      <c r="DUT4"/>
      <c r="DUU4"/>
      <c r="DUV4"/>
      <c r="DUW4"/>
      <c r="DUX4"/>
      <c r="DUY4"/>
      <c r="DUZ4"/>
      <c r="DVA4"/>
      <c r="DVB4"/>
      <c r="DVC4"/>
      <c r="DVD4"/>
      <c r="DVE4"/>
      <c r="DVF4"/>
      <c r="DVG4"/>
      <c r="DVH4"/>
      <c r="DVI4"/>
      <c r="DVJ4"/>
      <c r="DVK4"/>
      <c r="DVL4"/>
      <c r="DVM4"/>
      <c r="DVN4"/>
      <c r="DVO4"/>
      <c r="DVP4"/>
      <c r="DVQ4"/>
      <c r="DVR4"/>
      <c r="DVS4"/>
      <c r="DVT4"/>
      <c r="DVU4"/>
      <c r="DVV4"/>
      <c r="DVW4"/>
      <c r="DVX4"/>
      <c r="DVY4"/>
      <c r="DVZ4"/>
      <c r="DWA4"/>
      <c r="DWB4"/>
      <c r="DWC4"/>
      <c r="DWD4"/>
      <c r="DWE4"/>
      <c r="DWF4"/>
      <c r="DWG4"/>
      <c r="DWH4"/>
      <c r="DWI4"/>
      <c r="DWJ4"/>
      <c r="DWK4"/>
      <c r="DWL4"/>
      <c r="DWM4"/>
      <c r="DWN4"/>
      <c r="DWO4"/>
      <c r="DWP4"/>
      <c r="DWQ4"/>
      <c r="DWR4"/>
      <c r="DWS4"/>
      <c r="DWT4"/>
      <c r="DWU4"/>
      <c r="DWV4"/>
      <c r="DWW4"/>
      <c r="DWX4"/>
      <c r="DWY4"/>
      <c r="DWZ4"/>
      <c r="DXA4"/>
      <c r="DXB4"/>
      <c r="DXC4"/>
      <c r="DXD4"/>
      <c r="DXE4"/>
      <c r="DXF4"/>
      <c r="DXG4"/>
      <c r="DXH4"/>
      <c r="DXI4"/>
      <c r="DXJ4"/>
      <c r="DXK4"/>
      <c r="DXL4"/>
      <c r="DXM4"/>
      <c r="DXN4"/>
      <c r="DXO4"/>
      <c r="DXP4"/>
      <c r="DXQ4"/>
      <c r="DXR4"/>
      <c r="DXS4"/>
      <c r="DXT4"/>
      <c r="DXU4"/>
      <c r="DXV4"/>
      <c r="DXW4"/>
      <c r="DXX4"/>
      <c r="DXY4"/>
      <c r="DXZ4"/>
      <c r="DYA4"/>
      <c r="DYB4"/>
      <c r="DYC4"/>
      <c r="DYD4"/>
      <c r="DYE4"/>
      <c r="DYF4"/>
      <c r="DYG4"/>
      <c r="DYH4"/>
      <c r="DYI4"/>
      <c r="DYJ4"/>
      <c r="DYK4"/>
      <c r="DYL4"/>
      <c r="DYM4"/>
      <c r="DYN4"/>
      <c r="DYO4"/>
      <c r="DYP4"/>
      <c r="DYQ4"/>
      <c r="DYR4"/>
      <c r="DYS4"/>
      <c r="DYT4"/>
      <c r="DYU4"/>
      <c r="DYV4"/>
      <c r="DYW4"/>
      <c r="DYX4"/>
      <c r="DYY4"/>
      <c r="DYZ4"/>
      <c r="DZA4"/>
      <c r="DZB4"/>
      <c r="DZC4"/>
      <c r="DZD4"/>
      <c r="DZE4"/>
      <c r="DZF4"/>
      <c r="DZG4"/>
      <c r="DZH4"/>
      <c r="DZI4"/>
      <c r="DZJ4"/>
      <c r="DZK4"/>
      <c r="DZL4"/>
      <c r="DZM4"/>
      <c r="DZN4"/>
      <c r="DZO4"/>
      <c r="DZP4"/>
      <c r="DZQ4"/>
      <c r="DZR4"/>
      <c r="DZS4"/>
      <c r="DZT4"/>
      <c r="DZU4"/>
      <c r="DZV4"/>
      <c r="DZW4"/>
      <c r="DZX4"/>
      <c r="DZY4"/>
      <c r="DZZ4"/>
      <c r="EAA4"/>
      <c r="EAB4"/>
      <c r="EAC4"/>
      <c r="EAD4"/>
      <c r="EAE4"/>
      <c r="EAF4"/>
      <c r="EAG4"/>
      <c r="EAH4"/>
      <c r="EAI4"/>
      <c r="EAJ4"/>
      <c r="EAK4"/>
      <c r="EAL4"/>
      <c r="EAM4"/>
      <c r="EAN4"/>
      <c r="EAO4"/>
      <c r="EAP4"/>
      <c r="EAQ4"/>
      <c r="EAR4"/>
      <c r="EAS4"/>
      <c r="EAT4"/>
      <c r="EAU4"/>
      <c r="EAV4"/>
      <c r="EAW4"/>
      <c r="EAX4"/>
      <c r="EAY4"/>
      <c r="EAZ4"/>
      <c r="EBA4"/>
      <c r="EBB4"/>
      <c r="EBC4"/>
      <c r="EBD4"/>
      <c r="EBE4"/>
      <c r="EBF4"/>
      <c r="EBG4"/>
      <c r="EBH4"/>
      <c r="EBI4"/>
      <c r="EBJ4"/>
      <c r="EBK4"/>
      <c r="EBL4"/>
      <c r="EBM4"/>
      <c r="EBN4"/>
      <c r="EBO4"/>
      <c r="EBP4"/>
      <c r="EBQ4"/>
      <c r="EBR4"/>
      <c r="EBS4"/>
      <c r="EBT4"/>
      <c r="EBU4"/>
      <c r="EBV4"/>
      <c r="EBW4"/>
      <c r="EBX4"/>
      <c r="EBY4"/>
      <c r="EBZ4"/>
      <c r="ECA4"/>
      <c r="ECB4"/>
      <c r="ECC4"/>
      <c r="ECD4"/>
      <c r="ECE4"/>
      <c r="ECF4"/>
      <c r="ECG4"/>
      <c r="ECH4"/>
      <c r="ECI4"/>
      <c r="ECJ4"/>
      <c r="ECK4"/>
      <c r="ECL4"/>
      <c r="ECM4"/>
      <c r="ECN4"/>
      <c r="ECO4"/>
      <c r="ECP4"/>
      <c r="ECQ4"/>
      <c r="ECR4"/>
      <c r="ECS4"/>
      <c r="ECT4"/>
      <c r="ECU4"/>
      <c r="ECV4"/>
      <c r="ECW4"/>
      <c r="ECX4"/>
      <c r="ECY4"/>
      <c r="ECZ4"/>
      <c r="EDA4"/>
      <c r="EDB4"/>
      <c r="EDC4"/>
      <c r="EDD4"/>
      <c r="EDE4"/>
      <c r="EDF4"/>
      <c r="EDG4"/>
      <c r="EDH4"/>
      <c r="EDI4"/>
      <c r="EDJ4"/>
      <c r="EDK4"/>
      <c r="EDL4"/>
      <c r="EDM4"/>
      <c r="EDN4"/>
      <c r="EDO4"/>
      <c r="EDP4"/>
      <c r="EDQ4"/>
      <c r="EDR4"/>
      <c r="EDS4"/>
      <c r="EDT4"/>
      <c r="EDU4"/>
      <c r="EDV4"/>
      <c r="EDW4"/>
      <c r="EDX4"/>
      <c r="EDY4"/>
      <c r="EDZ4"/>
      <c r="EEA4"/>
      <c r="EEB4"/>
      <c r="EEC4"/>
      <c r="EED4"/>
      <c r="EEE4"/>
      <c r="EEF4"/>
      <c r="EEG4"/>
      <c r="EEH4"/>
      <c r="EEI4"/>
      <c r="EEJ4"/>
      <c r="EEK4"/>
      <c r="EEL4"/>
      <c r="EEM4"/>
      <c r="EEN4"/>
      <c r="EEO4"/>
      <c r="EEP4"/>
      <c r="EEQ4"/>
      <c r="EER4"/>
      <c r="EES4"/>
      <c r="EET4"/>
      <c r="EEU4"/>
      <c r="EEV4"/>
      <c r="EEW4"/>
      <c r="EEX4"/>
      <c r="EEY4"/>
      <c r="EEZ4"/>
      <c r="EFA4"/>
      <c r="EFB4"/>
      <c r="EFC4"/>
      <c r="EFD4"/>
      <c r="EFE4"/>
      <c r="EFF4"/>
      <c r="EFG4"/>
      <c r="EFH4"/>
      <c r="EFI4"/>
      <c r="EFJ4"/>
      <c r="EFK4"/>
      <c r="EFL4"/>
      <c r="EFM4"/>
      <c r="EFN4"/>
      <c r="EFO4"/>
      <c r="EFP4"/>
      <c r="EFQ4"/>
      <c r="EFR4"/>
      <c r="EFS4"/>
      <c r="EFT4"/>
      <c r="EFU4"/>
      <c r="EFV4"/>
      <c r="EFW4"/>
      <c r="EFX4"/>
      <c r="EFY4"/>
      <c r="EFZ4"/>
      <c r="EGA4"/>
      <c r="EGB4"/>
      <c r="EGC4"/>
      <c r="EGD4"/>
      <c r="EGE4"/>
      <c r="EGF4"/>
      <c r="EGG4"/>
      <c r="EGH4"/>
      <c r="EGI4"/>
      <c r="EGJ4"/>
      <c r="EGK4"/>
      <c r="EGL4"/>
      <c r="EGM4"/>
      <c r="EGN4"/>
      <c r="EGO4"/>
      <c r="EGP4"/>
      <c r="EGQ4"/>
      <c r="EGR4"/>
      <c r="EGS4"/>
      <c r="EGT4"/>
      <c r="EGU4"/>
      <c r="EGV4"/>
      <c r="EGW4"/>
      <c r="EGX4"/>
      <c r="EGY4"/>
      <c r="EGZ4"/>
      <c r="EHA4"/>
      <c r="EHB4"/>
      <c r="EHC4"/>
      <c r="EHD4"/>
      <c r="EHE4"/>
      <c r="EHF4"/>
      <c r="EHG4"/>
      <c r="EHH4"/>
      <c r="EHI4"/>
      <c r="EHJ4"/>
      <c r="EHK4"/>
      <c r="EHL4"/>
      <c r="EHM4"/>
      <c r="EHN4"/>
      <c r="EHO4"/>
      <c r="EHP4"/>
      <c r="EHQ4"/>
      <c r="EHR4"/>
      <c r="EHS4"/>
      <c r="EHT4"/>
      <c r="EHU4"/>
      <c r="EHV4"/>
      <c r="EHW4"/>
      <c r="EHX4"/>
      <c r="EHY4"/>
      <c r="EHZ4"/>
      <c r="EIA4"/>
      <c r="EIB4"/>
      <c r="EIC4"/>
      <c r="EID4"/>
      <c r="EIE4"/>
      <c r="EIF4"/>
      <c r="EIG4"/>
      <c r="EIH4"/>
      <c r="EII4"/>
      <c r="EIJ4"/>
      <c r="EIK4"/>
      <c r="EIL4"/>
      <c r="EIM4"/>
      <c r="EIN4"/>
      <c r="EIO4"/>
      <c r="EIP4"/>
      <c r="EIQ4"/>
      <c r="EIR4"/>
      <c r="EIS4"/>
      <c r="EIT4"/>
      <c r="EIU4"/>
      <c r="EIV4"/>
      <c r="EIW4"/>
      <c r="EIX4"/>
      <c r="EIY4"/>
      <c r="EIZ4"/>
      <c r="EJA4"/>
      <c r="EJB4"/>
      <c r="EJC4"/>
      <c r="EJD4"/>
      <c r="EJE4"/>
      <c r="EJF4"/>
      <c r="EJG4"/>
      <c r="EJH4"/>
      <c r="EJI4"/>
      <c r="EJJ4"/>
      <c r="EJK4"/>
      <c r="EJL4"/>
      <c r="EJM4"/>
      <c r="EJN4"/>
      <c r="EJO4"/>
      <c r="EJP4"/>
      <c r="EJQ4"/>
      <c r="EJR4"/>
      <c r="EJS4"/>
      <c r="EJT4"/>
      <c r="EJU4"/>
      <c r="EJV4"/>
      <c r="EJW4"/>
      <c r="EJX4"/>
      <c r="EJY4"/>
      <c r="EJZ4"/>
      <c r="EKA4"/>
      <c r="EKB4"/>
      <c r="EKC4"/>
      <c r="EKD4"/>
      <c r="EKE4"/>
      <c r="EKF4"/>
      <c r="EKG4"/>
      <c r="EKH4"/>
      <c r="EKI4"/>
      <c r="EKJ4"/>
      <c r="EKK4"/>
      <c r="EKL4"/>
      <c r="EKM4"/>
      <c r="EKN4"/>
      <c r="EKO4"/>
      <c r="EKP4"/>
      <c r="EKQ4"/>
      <c r="EKR4"/>
      <c r="EKS4"/>
      <c r="EKT4"/>
      <c r="EKU4"/>
      <c r="EKV4"/>
      <c r="EKW4"/>
      <c r="EKX4"/>
      <c r="EKY4"/>
      <c r="EKZ4"/>
      <c r="ELA4"/>
      <c r="ELB4"/>
      <c r="ELC4"/>
      <c r="ELD4"/>
      <c r="ELE4"/>
      <c r="ELF4"/>
      <c r="ELG4"/>
      <c r="ELH4"/>
      <c r="ELI4"/>
      <c r="ELJ4"/>
      <c r="ELK4"/>
      <c r="ELL4"/>
      <c r="ELM4"/>
      <c r="ELN4"/>
      <c r="ELO4"/>
      <c r="ELP4"/>
      <c r="ELQ4"/>
      <c r="ELR4"/>
      <c r="ELS4"/>
      <c r="ELT4"/>
      <c r="ELU4"/>
      <c r="ELV4"/>
      <c r="ELW4"/>
      <c r="ELX4"/>
      <c r="ELY4"/>
      <c r="ELZ4"/>
      <c r="EMA4"/>
      <c r="EMB4"/>
      <c r="EMC4"/>
      <c r="EMD4"/>
      <c r="EME4"/>
      <c r="EMF4"/>
      <c r="EMG4"/>
      <c r="EMH4"/>
      <c r="EMI4"/>
      <c r="EMJ4"/>
      <c r="EMK4"/>
      <c r="EML4"/>
      <c r="EMM4"/>
      <c r="EMN4"/>
      <c r="EMO4"/>
      <c r="EMP4"/>
      <c r="EMQ4"/>
      <c r="EMR4"/>
      <c r="EMS4"/>
      <c r="EMT4"/>
      <c r="EMU4"/>
      <c r="EMV4"/>
      <c r="EMW4"/>
      <c r="EMX4"/>
      <c r="EMY4"/>
      <c r="EMZ4"/>
      <c r="ENA4"/>
      <c r="ENB4"/>
      <c r="ENC4"/>
      <c r="END4"/>
      <c r="ENE4"/>
      <c r="ENF4"/>
      <c r="ENG4"/>
      <c r="ENH4"/>
      <c r="ENI4"/>
      <c r="ENJ4"/>
      <c r="ENK4"/>
      <c r="ENL4"/>
      <c r="ENM4"/>
      <c r="ENN4"/>
      <c r="ENO4"/>
      <c r="ENP4"/>
      <c r="ENQ4"/>
      <c r="ENR4"/>
      <c r="ENS4"/>
      <c r="ENT4"/>
      <c r="ENU4"/>
      <c r="ENV4"/>
      <c r="ENW4"/>
      <c r="ENX4"/>
      <c r="ENY4"/>
      <c r="ENZ4"/>
      <c r="EOA4"/>
      <c r="EOB4"/>
      <c r="EOC4"/>
      <c r="EOD4"/>
      <c r="EOE4"/>
      <c r="EOF4"/>
      <c r="EOG4"/>
      <c r="EOH4"/>
      <c r="EOI4"/>
      <c r="EOJ4"/>
      <c r="EOK4"/>
      <c r="EOL4"/>
      <c r="EOM4"/>
      <c r="EON4"/>
      <c r="EOO4"/>
      <c r="EOP4"/>
      <c r="EOQ4"/>
      <c r="EOR4"/>
      <c r="EOS4"/>
      <c r="EOT4"/>
      <c r="EOU4"/>
      <c r="EOV4"/>
      <c r="EOW4"/>
      <c r="EOX4"/>
      <c r="EOY4"/>
      <c r="EOZ4"/>
      <c r="EPA4"/>
      <c r="EPB4"/>
      <c r="EPC4"/>
      <c r="EPD4"/>
      <c r="EPE4"/>
      <c r="EPF4"/>
      <c r="EPG4"/>
      <c r="EPH4"/>
      <c r="EPI4"/>
      <c r="EPJ4"/>
      <c r="EPK4"/>
      <c r="EPL4"/>
      <c r="EPM4"/>
      <c r="EPN4"/>
      <c r="EPO4"/>
      <c r="EPP4"/>
      <c r="EPQ4"/>
      <c r="EPR4"/>
      <c r="EPS4"/>
      <c r="EPT4"/>
      <c r="EPU4"/>
      <c r="EPV4"/>
      <c r="EPW4"/>
      <c r="EPX4"/>
      <c r="EPY4"/>
      <c r="EPZ4"/>
      <c r="EQA4"/>
      <c r="EQB4"/>
      <c r="EQC4"/>
      <c r="EQD4"/>
      <c r="EQE4"/>
      <c r="EQF4"/>
      <c r="EQG4"/>
      <c r="EQH4"/>
      <c r="EQI4"/>
      <c r="EQJ4"/>
      <c r="EQK4"/>
      <c r="EQL4"/>
      <c r="EQM4"/>
      <c r="EQN4"/>
      <c r="EQO4"/>
      <c r="EQP4"/>
      <c r="EQQ4"/>
      <c r="EQR4"/>
      <c r="EQS4"/>
      <c r="EQT4"/>
      <c r="EQU4"/>
      <c r="EQV4"/>
      <c r="EQW4"/>
      <c r="EQX4"/>
      <c r="EQY4"/>
      <c r="EQZ4"/>
      <c r="ERA4"/>
      <c r="ERB4"/>
      <c r="ERC4"/>
      <c r="ERD4"/>
      <c r="ERE4"/>
      <c r="ERF4"/>
      <c r="ERG4"/>
      <c r="ERH4"/>
      <c r="ERI4"/>
      <c r="ERJ4"/>
      <c r="ERK4"/>
      <c r="ERL4"/>
      <c r="ERM4"/>
      <c r="ERN4"/>
      <c r="ERO4"/>
      <c r="ERP4"/>
      <c r="ERQ4"/>
      <c r="ERR4"/>
      <c r="ERS4"/>
      <c r="ERT4"/>
      <c r="ERU4"/>
      <c r="ERV4"/>
      <c r="ERW4"/>
      <c r="ERX4"/>
      <c r="ERY4"/>
      <c r="ERZ4"/>
      <c r="ESA4"/>
      <c r="ESB4"/>
      <c r="ESC4"/>
      <c r="ESD4"/>
      <c r="ESE4"/>
      <c r="ESF4"/>
      <c r="ESG4"/>
      <c r="ESH4"/>
      <c r="ESI4"/>
      <c r="ESJ4"/>
      <c r="ESK4"/>
      <c r="ESL4"/>
      <c r="ESM4"/>
      <c r="ESN4"/>
      <c r="ESO4"/>
      <c r="ESP4"/>
      <c r="ESQ4"/>
      <c r="ESR4"/>
      <c r="ESS4"/>
      <c r="EST4"/>
      <c r="ESU4"/>
      <c r="ESV4"/>
      <c r="ESW4"/>
      <c r="ESX4"/>
      <c r="ESY4"/>
      <c r="ESZ4"/>
      <c r="ETA4"/>
      <c r="ETB4"/>
      <c r="ETC4"/>
      <c r="ETD4"/>
      <c r="ETE4"/>
      <c r="ETF4"/>
      <c r="ETG4"/>
      <c r="ETH4"/>
      <c r="ETI4"/>
      <c r="ETJ4"/>
      <c r="ETK4"/>
      <c r="ETL4"/>
      <c r="ETM4"/>
      <c r="ETN4"/>
      <c r="ETO4"/>
      <c r="ETP4"/>
      <c r="ETQ4"/>
      <c r="ETR4"/>
      <c r="ETS4"/>
      <c r="ETT4"/>
      <c r="ETU4"/>
      <c r="ETV4"/>
      <c r="ETW4"/>
      <c r="ETX4"/>
      <c r="ETY4"/>
      <c r="ETZ4"/>
      <c r="EUA4"/>
      <c r="EUB4"/>
      <c r="EUC4"/>
      <c r="EUD4"/>
      <c r="EUE4"/>
      <c r="EUF4"/>
      <c r="EUG4"/>
      <c r="EUH4"/>
      <c r="EUI4"/>
      <c r="EUJ4"/>
      <c r="EUK4"/>
      <c r="EUL4"/>
      <c r="EUM4"/>
      <c r="EUN4"/>
      <c r="EUO4"/>
      <c r="EUP4"/>
      <c r="EUQ4"/>
      <c r="EUR4"/>
      <c r="EUS4"/>
      <c r="EUT4"/>
      <c r="EUU4"/>
      <c r="EUV4"/>
      <c r="EUW4"/>
      <c r="EUX4"/>
      <c r="EUY4"/>
      <c r="EUZ4"/>
      <c r="EVA4"/>
      <c r="EVB4"/>
      <c r="EVC4"/>
      <c r="EVD4"/>
      <c r="EVE4"/>
      <c r="EVF4"/>
      <c r="EVG4"/>
      <c r="EVH4"/>
      <c r="EVI4"/>
      <c r="EVJ4"/>
      <c r="EVK4"/>
      <c r="EVL4"/>
      <c r="EVM4"/>
      <c r="EVN4"/>
      <c r="EVO4"/>
      <c r="EVP4"/>
      <c r="EVQ4"/>
      <c r="EVR4"/>
      <c r="EVS4"/>
      <c r="EVT4"/>
      <c r="EVU4"/>
      <c r="EVV4"/>
      <c r="EVW4"/>
      <c r="EVX4"/>
      <c r="EVY4"/>
      <c r="EVZ4"/>
      <c r="EWA4"/>
      <c r="EWB4"/>
      <c r="EWC4"/>
      <c r="EWD4"/>
      <c r="EWE4"/>
      <c r="EWF4"/>
      <c r="EWG4"/>
      <c r="EWH4"/>
      <c r="EWI4"/>
      <c r="EWJ4"/>
      <c r="EWK4"/>
      <c r="EWL4"/>
      <c r="EWM4"/>
      <c r="EWN4"/>
      <c r="EWO4"/>
      <c r="EWP4"/>
      <c r="EWQ4"/>
      <c r="EWR4"/>
      <c r="EWS4"/>
      <c r="EWT4"/>
      <c r="EWU4"/>
      <c r="EWV4"/>
      <c r="EWW4"/>
      <c r="EWX4"/>
      <c r="EWY4"/>
      <c r="EWZ4"/>
      <c r="EXA4"/>
      <c r="EXB4"/>
      <c r="EXC4"/>
      <c r="EXD4"/>
      <c r="EXE4"/>
      <c r="EXF4"/>
      <c r="EXG4"/>
      <c r="EXH4"/>
      <c r="EXI4"/>
      <c r="EXJ4"/>
      <c r="EXK4"/>
      <c r="EXL4"/>
      <c r="EXM4"/>
      <c r="EXN4"/>
      <c r="EXO4"/>
      <c r="EXP4"/>
      <c r="EXQ4"/>
      <c r="EXR4"/>
      <c r="EXS4"/>
      <c r="EXT4"/>
      <c r="EXU4"/>
      <c r="EXV4"/>
      <c r="EXW4"/>
      <c r="EXX4"/>
      <c r="EXY4"/>
      <c r="EXZ4"/>
      <c r="EYA4"/>
      <c r="EYB4"/>
      <c r="EYC4"/>
      <c r="EYD4"/>
      <c r="EYE4"/>
      <c r="EYF4"/>
      <c r="EYG4"/>
      <c r="EYH4"/>
      <c r="EYI4"/>
      <c r="EYJ4"/>
      <c r="EYK4"/>
      <c r="EYL4"/>
      <c r="EYM4"/>
      <c r="EYN4"/>
      <c r="EYO4"/>
      <c r="EYP4"/>
      <c r="EYQ4"/>
      <c r="EYR4"/>
      <c r="EYS4"/>
      <c r="EYT4"/>
      <c r="EYU4"/>
      <c r="EYV4"/>
      <c r="EYW4"/>
      <c r="EYX4"/>
      <c r="EYY4"/>
      <c r="EYZ4"/>
      <c r="EZA4"/>
      <c r="EZB4"/>
      <c r="EZC4"/>
      <c r="EZD4"/>
      <c r="EZE4"/>
      <c r="EZF4"/>
      <c r="EZG4"/>
      <c r="EZH4"/>
      <c r="EZI4"/>
      <c r="EZJ4"/>
      <c r="EZK4"/>
      <c r="EZL4"/>
      <c r="EZM4"/>
      <c r="EZN4"/>
      <c r="EZO4"/>
      <c r="EZP4"/>
      <c r="EZQ4"/>
      <c r="EZR4"/>
      <c r="EZS4"/>
      <c r="EZT4"/>
      <c r="EZU4"/>
      <c r="EZV4"/>
      <c r="EZW4"/>
      <c r="EZX4"/>
      <c r="EZY4"/>
      <c r="EZZ4"/>
      <c r="FAA4"/>
      <c r="FAB4"/>
      <c r="FAC4"/>
      <c r="FAD4"/>
      <c r="FAE4"/>
      <c r="FAF4"/>
      <c r="FAG4"/>
      <c r="FAH4"/>
      <c r="FAI4"/>
      <c r="FAJ4"/>
      <c r="FAK4"/>
      <c r="FAL4"/>
      <c r="FAM4"/>
      <c r="FAN4"/>
      <c r="FAO4"/>
      <c r="FAP4"/>
      <c r="FAQ4"/>
      <c r="FAR4"/>
      <c r="FAS4"/>
      <c r="FAT4"/>
      <c r="FAU4"/>
      <c r="FAV4"/>
      <c r="FAW4"/>
      <c r="FAX4"/>
      <c r="FAY4"/>
      <c r="FAZ4"/>
      <c r="FBA4"/>
      <c r="FBB4"/>
      <c r="FBC4"/>
      <c r="FBD4"/>
      <c r="FBE4"/>
      <c r="FBF4"/>
      <c r="FBG4"/>
      <c r="FBH4"/>
      <c r="FBI4"/>
      <c r="FBJ4"/>
      <c r="FBK4"/>
      <c r="FBL4"/>
      <c r="FBM4"/>
      <c r="FBN4"/>
      <c r="FBO4"/>
      <c r="FBP4"/>
      <c r="FBQ4"/>
      <c r="FBR4"/>
      <c r="FBS4"/>
      <c r="FBT4"/>
      <c r="FBU4"/>
      <c r="FBV4"/>
      <c r="FBW4"/>
      <c r="FBX4"/>
      <c r="FBY4"/>
      <c r="FBZ4"/>
      <c r="FCA4"/>
      <c r="FCB4"/>
      <c r="FCC4"/>
      <c r="FCD4"/>
      <c r="FCE4"/>
      <c r="FCF4"/>
      <c r="FCG4"/>
      <c r="FCH4"/>
      <c r="FCI4"/>
      <c r="FCJ4"/>
      <c r="FCK4"/>
      <c r="FCL4"/>
      <c r="FCM4"/>
      <c r="FCN4"/>
      <c r="FCO4"/>
      <c r="FCP4"/>
      <c r="FCQ4"/>
      <c r="FCR4"/>
      <c r="FCS4"/>
      <c r="FCT4"/>
      <c r="FCU4"/>
      <c r="FCV4"/>
      <c r="FCW4"/>
      <c r="FCX4"/>
      <c r="FCY4"/>
      <c r="FCZ4"/>
      <c r="FDA4"/>
      <c r="FDB4"/>
      <c r="FDC4"/>
      <c r="FDD4"/>
      <c r="FDE4"/>
      <c r="FDF4"/>
      <c r="FDG4"/>
      <c r="FDH4"/>
      <c r="FDI4"/>
      <c r="FDJ4"/>
      <c r="FDK4"/>
      <c r="FDL4"/>
      <c r="FDM4"/>
      <c r="FDN4"/>
      <c r="FDO4"/>
      <c r="FDP4"/>
      <c r="FDQ4"/>
      <c r="FDR4"/>
      <c r="FDS4"/>
      <c r="FDT4"/>
      <c r="FDU4"/>
      <c r="FDV4"/>
      <c r="FDW4"/>
      <c r="FDX4"/>
      <c r="FDY4"/>
      <c r="FDZ4"/>
      <c r="FEA4"/>
      <c r="FEB4"/>
      <c r="FEC4"/>
      <c r="FED4"/>
      <c r="FEE4"/>
      <c r="FEF4"/>
      <c r="FEG4"/>
      <c r="FEH4"/>
      <c r="FEI4"/>
      <c r="FEJ4"/>
      <c r="FEK4"/>
      <c r="FEL4"/>
      <c r="FEM4"/>
      <c r="FEN4"/>
      <c r="FEO4"/>
      <c r="FEP4"/>
      <c r="FEQ4"/>
      <c r="FER4"/>
      <c r="FES4"/>
      <c r="FET4"/>
      <c r="FEU4"/>
      <c r="FEV4"/>
      <c r="FEW4"/>
      <c r="FEX4"/>
      <c r="FEY4"/>
      <c r="FEZ4"/>
      <c r="FFA4"/>
      <c r="FFB4"/>
      <c r="FFC4"/>
      <c r="FFD4"/>
      <c r="FFE4"/>
      <c r="FFF4"/>
      <c r="FFG4"/>
      <c r="FFH4"/>
      <c r="FFI4"/>
      <c r="FFJ4"/>
      <c r="FFK4"/>
      <c r="FFL4"/>
      <c r="FFM4"/>
      <c r="FFN4"/>
      <c r="FFO4"/>
      <c r="FFP4"/>
      <c r="FFQ4"/>
      <c r="FFR4"/>
      <c r="FFS4"/>
      <c r="FFT4"/>
      <c r="FFU4"/>
      <c r="FFV4"/>
      <c r="FFW4"/>
      <c r="FFX4"/>
      <c r="FFY4"/>
      <c r="FFZ4"/>
      <c r="FGA4"/>
      <c r="FGB4"/>
      <c r="FGC4"/>
      <c r="FGD4"/>
      <c r="FGE4"/>
      <c r="FGF4"/>
      <c r="FGG4"/>
      <c r="FGH4"/>
      <c r="FGI4"/>
      <c r="FGJ4"/>
      <c r="FGK4"/>
      <c r="FGL4"/>
      <c r="FGM4"/>
      <c r="FGN4"/>
      <c r="FGO4"/>
      <c r="FGP4"/>
      <c r="FGQ4"/>
      <c r="FGR4"/>
      <c r="FGS4"/>
      <c r="FGT4"/>
      <c r="FGU4"/>
      <c r="FGV4"/>
      <c r="FGW4"/>
      <c r="FGX4"/>
      <c r="FGY4"/>
      <c r="FGZ4"/>
      <c r="FHA4"/>
      <c r="FHB4"/>
      <c r="FHC4"/>
      <c r="FHD4"/>
      <c r="FHE4"/>
      <c r="FHF4"/>
      <c r="FHG4"/>
      <c r="FHH4"/>
      <c r="FHI4"/>
      <c r="FHJ4"/>
      <c r="FHK4"/>
      <c r="FHL4"/>
      <c r="FHM4"/>
      <c r="FHN4"/>
      <c r="FHO4"/>
      <c r="FHP4"/>
      <c r="FHQ4"/>
      <c r="FHR4"/>
      <c r="FHS4"/>
      <c r="FHT4"/>
      <c r="FHU4"/>
      <c r="FHV4"/>
      <c r="FHW4"/>
      <c r="FHX4"/>
      <c r="FHY4"/>
      <c r="FHZ4"/>
      <c r="FIA4"/>
      <c r="FIB4"/>
      <c r="FIC4"/>
      <c r="FID4"/>
      <c r="FIE4"/>
      <c r="FIF4"/>
      <c r="FIG4"/>
      <c r="FIH4"/>
      <c r="FII4"/>
      <c r="FIJ4"/>
      <c r="FIK4"/>
      <c r="FIL4"/>
      <c r="FIM4"/>
      <c r="FIN4"/>
      <c r="FIO4"/>
      <c r="FIP4"/>
      <c r="FIQ4"/>
      <c r="FIR4"/>
      <c r="FIS4"/>
      <c r="FIT4"/>
      <c r="FIU4"/>
      <c r="FIV4"/>
      <c r="FIW4"/>
      <c r="FIX4"/>
      <c r="FIY4"/>
      <c r="FIZ4"/>
      <c r="FJA4"/>
      <c r="FJB4"/>
      <c r="FJC4"/>
      <c r="FJD4"/>
      <c r="FJE4"/>
      <c r="FJF4"/>
      <c r="FJG4"/>
      <c r="FJH4"/>
      <c r="FJI4"/>
      <c r="FJJ4"/>
      <c r="FJK4"/>
      <c r="FJL4"/>
      <c r="FJM4"/>
      <c r="FJN4"/>
      <c r="FJO4"/>
      <c r="FJP4"/>
      <c r="FJQ4"/>
      <c r="FJR4"/>
      <c r="FJS4"/>
      <c r="FJT4"/>
      <c r="FJU4"/>
      <c r="FJV4"/>
      <c r="FJW4"/>
      <c r="FJX4"/>
      <c r="FJY4"/>
      <c r="FJZ4"/>
      <c r="FKA4"/>
      <c r="FKB4"/>
      <c r="FKC4"/>
      <c r="FKD4"/>
      <c r="FKE4"/>
      <c r="FKF4"/>
      <c r="FKG4"/>
      <c r="FKH4"/>
      <c r="FKI4"/>
      <c r="FKJ4"/>
      <c r="FKK4"/>
      <c r="FKL4"/>
      <c r="FKM4"/>
      <c r="FKN4"/>
      <c r="FKO4"/>
      <c r="FKP4"/>
      <c r="FKQ4"/>
      <c r="FKR4"/>
      <c r="FKS4"/>
      <c r="FKT4"/>
      <c r="FKU4"/>
      <c r="FKV4"/>
      <c r="FKW4"/>
      <c r="FKX4"/>
      <c r="FKY4"/>
      <c r="FKZ4"/>
      <c r="FLA4"/>
      <c r="FLB4"/>
      <c r="FLC4"/>
      <c r="FLD4"/>
      <c r="FLE4"/>
      <c r="FLF4"/>
      <c r="FLG4"/>
      <c r="FLH4"/>
      <c r="FLI4"/>
      <c r="FLJ4"/>
      <c r="FLK4"/>
      <c r="FLL4"/>
      <c r="FLM4"/>
      <c r="FLN4"/>
      <c r="FLO4"/>
      <c r="FLP4"/>
      <c r="FLQ4"/>
      <c r="FLR4"/>
      <c r="FLS4"/>
      <c r="FLT4"/>
      <c r="FLU4"/>
      <c r="FLV4"/>
      <c r="FLW4"/>
      <c r="FLX4"/>
      <c r="FLY4"/>
      <c r="FLZ4"/>
      <c r="FMA4"/>
      <c r="FMB4"/>
      <c r="FMC4"/>
      <c r="FMD4"/>
      <c r="FME4"/>
      <c r="FMF4"/>
      <c r="FMG4"/>
      <c r="FMH4"/>
      <c r="FMI4"/>
      <c r="FMJ4"/>
      <c r="FMK4"/>
      <c r="FML4"/>
      <c r="FMM4"/>
      <c r="FMN4"/>
      <c r="FMO4"/>
      <c r="FMP4"/>
      <c r="FMQ4"/>
      <c r="FMR4"/>
      <c r="FMS4"/>
      <c r="FMT4"/>
      <c r="FMU4"/>
      <c r="FMV4"/>
      <c r="FMW4"/>
      <c r="FMX4"/>
      <c r="FMY4"/>
      <c r="FMZ4"/>
      <c r="FNA4"/>
      <c r="FNB4"/>
      <c r="FNC4"/>
      <c r="FND4"/>
      <c r="FNE4"/>
      <c r="FNF4"/>
      <c r="FNG4"/>
      <c r="FNH4"/>
      <c r="FNI4"/>
      <c r="FNJ4"/>
      <c r="FNK4"/>
      <c r="FNL4"/>
      <c r="FNM4"/>
      <c r="FNN4"/>
      <c r="FNO4"/>
      <c r="FNP4"/>
      <c r="FNQ4"/>
      <c r="FNR4"/>
      <c r="FNS4"/>
      <c r="FNT4"/>
      <c r="FNU4"/>
      <c r="FNV4"/>
      <c r="FNW4"/>
      <c r="FNX4"/>
      <c r="FNY4"/>
      <c r="FNZ4"/>
      <c r="FOA4"/>
      <c r="FOB4"/>
      <c r="FOC4"/>
      <c r="FOD4"/>
      <c r="FOE4"/>
      <c r="FOF4"/>
      <c r="FOG4"/>
      <c r="FOH4"/>
      <c r="FOI4"/>
      <c r="FOJ4"/>
      <c r="FOK4"/>
      <c r="FOL4"/>
      <c r="FOM4"/>
      <c r="FON4"/>
      <c r="FOO4"/>
      <c r="FOP4"/>
      <c r="FOQ4"/>
      <c r="FOR4"/>
      <c r="FOS4"/>
      <c r="FOT4"/>
      <c r="FOU4"/>
      <c r="FOV4"/>
      <c r="FOW4"/>
      <c r="FOX4"/>
      <c r="FOY4"/>
      <c r="FOZ4"/>
      <c r="FPA4"/>
      <c r="FPB4"/>
      <c r="FPC4"/>
      <c r="FPD4"/>
      <c r="FPE4"/>
      <c r="FPF4"/>
      <c r="FPG4"/>
      <c r="FPH4"/>
      <c r="FPI4"/>
      <c r="FPJ4"/>
      <c r="FPK4"/>
      <c r="FPL4"/>
      <c r="FPM4"/>
      <c r="FPN4"/>
      <c r="FPO4"/>
      <c r="FPP4"/>
      <c r="FPQ4"/>
      <c r="FPR4"/>
      <c r="FPS4"/>
      <c r="FPT4"/>
      <c r="FPU4"/>
      <c r="FPV4"/>
      <c r="FPW4"/>
      <c r="FPX4"/>
      <c r="FPY4"/>
      <c r="FPZ4"/>
      <c r="FQA4"/>
      <c r="FQB4"/>
      <c r="FQC4"/>
      <c r="FQD4"/>
      <c r="FQE4"/>
      <c r="FQF4"/>
      <c r="FQG4"/>
      <c r="FQH4"/>
      <c r="FQI4"/>
      <c r="FQJ4"/>
      <c r="FQK4"/>
      <c r="FQL4"/>
      <c r="FQM4"/>
      <c r="FQN4"/>
      <c r="FQO4"/>
      <c r="FQP4"/>
      <c r="FQQ4"/>
      <c r="FQR4"/>
      <c r="FQS4"/>
      <c r="FQT4"/>
      <c r="FQU4"/>
      <c r="FQV4"/>
      <c r="FQW4"/>
      <c r="FQX4"/>
      <c r="FQY4"/>
      <c r="FQZ4"/>
      <c r="FRA4"/>
      <c r="FRB4"/>
      <c r="FRC4"/>
      <c r="FRD4"/>
      <c r="FRE4"/>
      <c r="FRF4"/>
      <c r="FRG4"/>
      <c r="FRH4"/>
      <c r="FRI4"/>
      <c r="FRJ4"/>
      <c r="FRK4"/>
      <c r="FRL4"/>
      <c r="FRM4"/>
      <c r="FRN4"/>
      <c r="FRO4"/>
      <c r="FRP4"/>
      <c r="FRQ4"/>
      <c r="FRR4"/>
      <c r="FRS4"/>
      <c r="FRT4"/>
      <c r="FRU4"/>
      <c r="FRV4"/>
      <c r="FRW4"/>
      <c r="FRX4"/>
      <c r="FRY4"/>
      <c r="FRZ4"/>
      <c r="FSA4"/>
      <c r="FSB4"/>
      <c r="FSC4"/>
      <c r="FSD4"/>
      <c r="FSE4"/>
      <c r="FSF4"/>
      <c r="FSG4"/>
      <c r="FSH4"/>
      <c r="FSI4"/>
      <c r="FSJ4"/>
      <c r="FSK4"/>
      <c r="FSL4"/>
      <c r="FSM4"/>
      <c r="FSN4"/>
      <c r="FSO4"/>
      <c r="FSP4"/>
      <c r="FSQ4"/>
      <c r="FSR4"/>
      <c r="FSS4"/>
      <c r="FST4"/>
      <c r="FSU4"/>
      <c r="FSV4"/>
      <c r="FSW4"/>
      <c r="FSX4"/>
      <c r="FSY4"/>
      <c r="FSZ4"/>
      <c r="FTA4"/>
      <c r="FTB4"/>
      <c r="FTC4"/>
      <c r="FTD4"/>
      <c r="FTE4"/>
      <c r="FTF4"/>
      <c r="FTG4"/>
      <c r="FTH4"/>
      <c r="FTI4"/>
      <c r="FTJ4"/>
      <c r="FTK4"/>
      <c r="FTL4"/>
      <c r="FTM4"/>
      <c r="FTN4"/>
      <c r="FTO4"/>
      <c r="FTP4"/>
      <c r="FTQ4"/>
      <c r="FTR4"/>
      <c r="FTS4"/>
      <c r="FTT4"/>
      <c r="FTU4"/>
      <c r="FTV4"/>
      <c r="FTW4"/>
      <c r="FTX4"/>
      <c r="FTY4"/>
      <c r="FTZ4"/>
      <c r="FUA4"/>
      <c r="FUB4"/>
      <c r="FUC4"/>
      <c r="FUD4"/>
      <c r="FUE4"/>
      <c r="FUF4"/>
      <c r="FUG4"/>
      <c r="FUH4"/>
      <c r="FUI4"/>
      <c r="FUJ4"/>
      <c r="FUK4"/>
      <c r="FUL4"/>
      <c r="FUM4"/>
      <c r="FUN4"/>
      <c r="FUO4"/>
      <c r="FUP4"/>
      <c r="FUQ4"/>
      <c r="FUR4"/>
      <c r="FUS4"/>
      <c r="FUT4"/>
      <c r="FUU4"/>
      <c r="FUV4"/>
      <c r="FUW4"/>
      <c r="FUX4"/>
      <c r="FUY4"/>
      <c r="FUZ4"/>
      <c r="FVA4"/>
      <c r="FVB4"/>
      <c r="FVC4"/>
      <c r="FVD4"/>
      <c r="FVE4"/>
      <c r="FVF4"/>
      <c r="FVG4"/>
      <c r="FVH4"/>
      <c r="FVI4"/>
      <c r="FVJ4"/>
      <c r="FVK4"/>
      <c r="FVL4"/>
      <c r="FVM4"/>
      <c r="FVN4"/>
      <c r="FVO4"/>
      <c r="FVP4"/>
      <c r="FVQ4"/>
      <c r="FVR4"/>
      <c r="FVS4"/>
      <c r="FVT4"/>
      <c r="FVU4"/>
      <c r="FVV4"/>
      <c r="FVW4"/>
      <c r="FVX4"/>
      <c r="FVY4"/>
      <c r="FVZ4"/>
      <c r="FWA4"/>
      <c r="FWB4"/>
      <c r="FWC4"/>
      <c r="FWD4"/>
      <c r="FWE4"/>
      <c r="FWF4"/>
      <c r="FWG4"/>
      <c r="FWH4"/>
      <c r="FWI4"/>
      <c r="FWJ4"/>
      <c r="FWK4"/>
      <c r="FWL4"/>
      <c r="FWM4"/>
      <c r="FWN4"/>
      <c r="FWO4"/>
      <c r="FWP4"/>
      <c r="FWQ4"/>
      <c r="FWR4"/>
      <c r="FWS4"/>
      <c r="FWT4"/>
      <c r="FWU4"/>
      <c r="FWV4"/>
      <c r="FWW4"/>
      <c r="FWX4"/>
      <c r="FWY4"/>
      <c r="FWZ4"/>
      <c r="FXA4"/>
      <c r="FXB4"/>
      <c r="FXC4"/>
      <c r="FXD4"/>
      <c r="FXE4"/>
      <c r="FXF4"/>
      <c r="FXG4"/>
      <c r="FXH4"/>
      <c r="FXI4"/>
      <c r="FXJ4"/>
      <c r="FXK4"/>
      <c r="FXL4"/>
      <c r="FXM4"/>
      <c r="FXN4"/>
      <c r="FXO4"/>
      <c r="FXP4"/>
      <c r="FXQ4"/>
      <c r="FXR4"/>
      <c r="FXS4"/>
      <c r="FXT4"/>
      <c r="FXU4"/>
      <c r="FXV4"/>
      <c r="FXW4"/>
      <c r="FXX4"/>
      <c r="FXY4"/>
      <c r="FXZ4"/>
      <c r="FYA4"/>
      <c r="FYB4"/>
      <c r="FYC4"/>
      <c r="FYD4"/>
      <c r="FYE4"/>
      <c r="FYF4"/>
      <c r="FYG4"/>
      <c r="FYH4"/>
      <c r="FYI4"/>
      <c r="FYJ4"/>
      <c r="FYK4"/>
      <c r="FYL4"/>
      <c r="FYM4"/>
      <c r="FYN4"/>
      <c r="FYO4"/>
      <c r="FYP4"/>
      <c r="FYQ4"/>
      <c r="FYR4"/>
      <c r="FYS4"/>
      <c r="FYT4"/>
      <c r="FYU4"/>
      <c r="FYV4"/>
      <c r="FYW4"/>
      <c r="FYX4"/>
      <c r="FYY4"/>
      <c r="FYZ4"/>
      <c r="FZA4"/>
      <c r="FZB4"/>
      <c r="FZC4"/>
      <c r="FZD4"/>
      <c r="FZE4"/>
      <c r="FZF4"/>
      <c r="FZG4"/>
      <c r="FZH4"/>
      <c r="FZI4"/>
      <c r="FZJ4"/>
      <c r="FZK4"/>
      <c r="FZL4"/>
      <c r="FZM4"/>
      <c r="FZN4"/>
      <c r="FZO4"/>
      <c r="FZP4"/>
      <c r="FZQ4"/>
      <c r="FZR4"/>
      <c r="FZS4"/>
      <c r="FZT4"/>
      <c r="FZU4"/>
      <c r="FZV4"/>
      <c r="FZW4"/>
      <c r="FZX4"/>
      <c r="FZY4"/>
      <c r="FZZ4"/>
      <c r="GAA4"/>
      <c r="GAB4"/>
      <c r="GAC4"/>
      <c r="GAD4"/>
      <c r="GAE4"/>
      <c r="GAF4"/>
      <c r="GAG4"/>
      <c r="GAH4"/>
      <c r="GAI4"/>
      <c r="GAJ4"/>
      <c r="GAK4"/>
      <c r="GAL4"/>
      <c r="GAM4"/>
      <c r="GAN4"/>
      <c r="GAO4"/>
      <c r="GAP4"/>
      <c r="GAQ4"/>
      <c r="GAR4"/>
      <c r="GAS4"/>
      <c r="GAT4"/>
      <c r="GAU4"/>
      <c r="GAV4"/>
      <c r="GAW4"/>
      <c r="GAX4"/>
      <c r="GAY4"/>
      <c r="GAZ4"/>
      <c r="GBA4"/>
      <c r="GBB4"/>
      <c r="GBC4"/>
      <c r="GBD4"/>
      <c r="GBE4"/>
      <c r="GBF4"/>
      <c r="GBG4"/>
      <c r="GBH4"/>
      <c r="GBI4"/>
      <c r="GBJ4"/>
      <c r="GBK4"/>
      <c r="GBL4"/>
      <c r="GBM4"/>
      <c r="GBN4"/>
      <c r="GBO4"/>
      <c r="GBP4"/>
      <c r="GBQ4"/>
      <c r="GBR4"/>
      <c r="GBS4"/>
      <c r="GBT4"/>
      <c r="GBU4"/>
      <c r="GBV4"/>
      <c r="GBW4"/>
      <c r="GBX4"/>
      <c r="GBY4"/>
      <c r="GBZ4"/>
      <c r="GCA4"/>
      <c r="GCB4"/>
      <c r="GCC4"/>
      <c r="GCD4"/>
      <c r="GCE4"/>
      <c r="GCF4"/>
      <c r="GCG4"/>
      <c r="GCH4"/>
      <c r="GCI4"/>
      <c r="GCJ4"/>
      <c r="GCK4"/>
      <c r="GCL4"/>
      <c r="GCM4"/>
      <c r="GCN4"/>
      <c r="GCO4"/>
      <c r="GCP4"/>
      <c r="GCQ4"/>
      <c r="GCR4"/>
      <c r="GCS4"/>
      <c r="GCT4"/>
      <c r="GCU4"/>
      <c r="GCV4"/>
      <c r="GCW4"/>
      <c r="GCX4"/>
      <c r="GCY4"/>
      <c r="GCZ4"/>
      <c r="GDA4"/>
      <c r="GDB4"/>
      <c r="GDC4"/>
      <c r="GDD4"/>
      <c r="GDE4"/>
      <c r="GDF4"/>
      <c r="GDG4"/>
      <c r="GDH4"/>
      <c r="GDI4"/>
      <c r="GDJ4"/>
      <c r="GDK4"/>
      <c r="GDL4"/>
      <c r="GDM4"/>
      <c r="GDN4"/>
      <c r="GDO4"/>
      <c r="GDP4"/>
      <c r="GDQ4"/>
      <c r="GDR4"/>
      <c r="GDS4"/>
      <c r="GDT4"/>
      <c r="GDU4"/>
      <c r="GDV4"/>
      <c r="GDW4"/>
      <c r="GDX4"/>
      <c r="GDY4"/>
      <c r="GDZ4"/>
      <c r="GEA4"/>
      <c r="GEB4"/>
      <c r="GEC4"/>
      <c r="GED4"/>
      <c r="GEE4"/>
      <c r="GEF4"/>
      <c r="GEG4"/>
      <c r="GEH4"/>
      <c r="GEI4"/>
      <c r="GEJ4"/>
      <c r="GEK4"/>
      <c r="GEL4"/>
      <c r="GEM4"/>
      <c r="GEN4"/>
      <c r="GEO4"/>
      <c r="GEP4"/>
      <c r="GEQ4"/>
      <c r="GER4"/>
      <c r="GES4"/>
      <c r="GET4"/>
      <c r="GEU4"/>
      <c r="GEV4"/>
      <c r="GEW4"/>
      <c r="GEX4"/>
      <c r="GEY4"/>
      <c r="GEZ4"/>
      <c r="GFA4"/>
      <c r="GFB4"/>
      <c r="GFC4"/>
      <c r="GFD4"/>
      <c r="GFE4"/>
      <c r="GFF4"/>
      <c r="GFG4"/>
      <c r="GFH4"/>
      <c r="GFI4"/>
      <c r="GFJ4"/>
      <c r="GFK4"/>
      <c r="GFL4"/>
      <c r="GFM4"/>
      <c r="GFN4"/>
      <c r="GFO4"/>
      <c r="GFP4"/>
      <c r="GFQ4"/>
      <c r="GFR4"/>
      <c r="GFS4"/>
      <c r="GFT4"/>
      <c r="GFU4"/>
      <c r="GFV4"/>
      <c r="GFW4"/>
      <c r="GFX4"/>
      <c r="GFY4"/>
      <c r="GFZ4"/>
      <c r="GGA4"/>
      <c r="GGB4"/>
      <c r="GGC4"/>
      <c r="GGD4"/>
      <c r="GGE4"/>
      <c r="GGF4"/>
      <c r="GGG4"/>
      <c r="GGH4"/>
      <c r="GGI4"/>
      <c r="GGJ4"/>
      <c r="GGK4"/>
      <c r="GGL4"/>
      <c r="GGM4"/>
      <c r="GGN4"/>
      <c r="GGO4"/>
      <c r="GGP4"/>
      <c r="GGQ4"/>
      <c r="GGR4"/>
      <c r="GGS4"/>
      <c r="GGT4"/>
      <c r="GGU4"/>
      <c r="GGV4"/>
      <c r="GGW4"/>
      <c r="GGX4"/>
      <c r="GGY4"/>
      <c r="GGZ4"/>
      <c r="GHA4"/>
      <c r="GHB4"/>
      <c r="GHC4"/>
      <c r="GHD4"/>
      <c r="GHE4"/>
      <c r="GHF4"/>
      <c r="GHG4"/>
      <c r="GHH4"/>
      <c r="GHI4"/>
      <c r="GHJ4"/>
      <c r="GHK4"/>
      <c r="GHL4"/>
      <c r="GHM4"/>
      <c r="GHN4"/>
      <c r="GHO4"/>
      <c r="GHP4"/>
      <c r="GHQ4"/>
      <c r="GHR4"/>
      <c r="GHS4"/>
      <c r="GHT4"/>
      <c r="GHU4"/>
      <c r="GHV4"/>
      <c r="GHW4"/>
      <c r="GHX4"/>
      <c r="GHY4"/>
      <c r="GHZ4"/>
      <c r="GIA4"/>
      <c r="GIB4"/>
      <c r="GIC4"/>
      <c r="GID4"/>
      <c r="GIE4"/>
      <c r="GIF4"/>
      <c r="GIG4"/>
      <c r="GIH4"/>
      <c r="GII4"/>
      <c r="GIJ4"/>
      <c r="GIK4"/>
      <c r="GIL4"/>
      <c r="GIM4"/>
      <c r="GIN4"/>
      <c r="GIO4"/>
      <c r="GIP4"/>
      <c r="GIQ4"/>
      <c r="GIR4"/>
      <c r="GIS4"/>
      <c r="GIT4"/>
      <c r="GIU4"/>
      <c r="GIV4"/>
      <c r="GIW4"/>
      <c r="GIX4"/>
      <c r="GIY4"/>
      <c r="GIZ4"/>
      <c r="GJA4"/>
      <c r="GJB4"/>
      <c r="GJC4"/>
      <c r="GJD4"/>
      <c r="GJE4"/>
      <c r="GJF4"/>
      <c r="GJG4"/>
      <c r="GJH4"/>
      <c r="GJI4"/>
      <c r="GJJ4"/>
      <c r="GJK4"/>
      <c r="GJL4"/>
      <c r="GJM4"/>
      <c r="GJN4"/>
      <c r="GJO4"/>
      <c r="GJP4"/>
      <c r="GJQ4"/>
      <c r="GJR4"/>
      <c r="GJS4"/>
      <c r="GJT4"/>
      <c r="GJU4"/>
      <c r="GJV4"/>
      <c r="GJW4"/>
      <c r="GJX4"/>
      <c r="GJY4"/>
      <c r="GJZ4"/>
      <c r="GKA4"/>
      <c r="GKB4"/>
      <c r="GKC4"/>
      <c r="GKD4"/>
      <c r="GKE4"/>
      <c r="GKF4"/>
      <c r="GKG4"/>
      <c r="GKH4"/>
      <c r="GKI4"/>
      <c r="GKJ4"/>
      <c r="GKK4"/>
      <c r="GKL4"/>
      <c r="GKM4"/>
      <c r="GKN4"/>
      <c r="GKO4"/>
      <c r="GKP4"/>
      <c r="GKQ4"/>
      <c r="GKR4"/>
      <c r="GKS4"/>
      <c r="GKT4"/>
      <c r="GKU4"/>
      <c r="GKV4"/>
      <c r="GKW4"/>
      <c r="GKX4"/>
      <c r="GKY4"/>
      <c r="GKZ4"/>
      <c r="GLA4"/>
      <c r="GLB4"/>
      <c r="GLC4"/>
      <c r="GLD4"/>
      <c r="GLE4"/>
      <c r="GLF4"/>
      <c r="GLG4"/>
      <c r="GLH4"/>
      <c r="GLI4"/>
      <c r="GLJ4"/>
      <c r="GLK4"/>
      <c r="GLL4"/>
      <c r="GLM4"/>
      <c r="GLN4"/>
      <c r="GLO4"/>
      <c r="GLP4"/>
      <c r="GLQ4"/>
      <c r="GLR4"/>
      <c r="GLS4"/>
      <c r="GLT4"/>
      <c r="GLU4"/>
      <c r="GLV4"/>
      <c r="GLW4"/>
      <c r="GLX4"/>
      <c r="GLY4"/>
      <c r="GLZ4"/>
      <c r="GMA4"/>
      <c r="GMB4"/>
      <c r="GMC4"/>
      <c r="GMD4"/>
      <c r="GME4"/>
      <c r="GMF4"/>
      <c r="GMG4"/>
      <c r="GMH4"/>
      <c r="GMI4"/>
      <c r="GMJ4"/>
      <c r="GMK4"/>
      <c r="GML4"/>
      <c r="GMM4"/>
      <c r="GMN4"/>
      <c r="GMO4"/>
      <c r="GMP4"/>
      <c r="GMQ4"/>
      <c r="GMR4"/>
      <c r="GMS4"/>
      <c r="GMT4"/>
      <c r="GMU4"/>
      <c r="GMV4"/>
      <c r="GMW4"/>
      <c r="GMX4"/>
      <c r="GMY4"/>
      <c r="GMZ4"/>
      <c r="GNA4"/>
      <c r="GNB4"/>
      <c r="GNC4"/>
      <c r="GND4"/>
      <c r="GNE4"/>
      <c r="GNF4"/>
      <c r="GNG4"/>
      <c r="GNH4"/>
      <c r="GNI4"/>
      <c r="GNJ4"/>
      <c r="GNK4"/>
      <c r="GNL4"/>
      <c r="GNM4"/>
      <c r="GNN4"/>
      <c r="GNO4"/>
      <c r="GNP4"/>
      <c r="GNQ4"/>
      <c r="GNR4"/>
      <c r="GNS4"/>
      <c r="GNT4"/>
      <c r="GNU4"/>
      <c r="GNV4"/>
      <c r="GNW4"/>
      <c r="GNX4"/>
      <c r="GNY4"/>
      <c r="GNZ4"/>
      <c r="GOA4"/>
      <c r="GOB4"/>
      <c r="GOC4"/>
      <c r="GOD4"/>
      <c r="GOE4"/>
      <c r="GOF4"/>
      <c r="GOG4"/>
      <c r="GOH4"/>
      <c r="GOI4"/>
      <c r="GOJ4"/>
      <c r="GOK4"/>
      <c r="GOL4"/>
      <c r="GOM4"/>
      <c r="GON4"/>
      <c r="GOO4"/>
      <c r="GOP4"/>
      <c r="GOQ4"/>
      <c r="GOR4"/>
      <c r="GOS4"/>
      <c r="GOT4"/>
      <c r="GOU4"/>
      <c r="GOV4"/>
      <c r="GOW4"/>
      <c r="GOX4"/>
      <c r="GOY4"/>
      <c r="GOZ4"/>
      <c r="GPA4"/>
      <c r="GPB4"/>
      <c r="GPC4"/>
      <c r="GPD4"/>
      <c r="GPE4"/>
      <c r="GPF4"/>
      <c r="GPG4"/>
      <c r="GPH4"/>
      <c r="GPI4"/>
      <c r="GPJ4"/>
      <c r="GPK4"/>
      <c r="GPL4"/>
      <c r="GPM4"/>
      <c r="GPN4"/>
      <c r="GPO4"/>
      <c r="GPP4"/>
      <c r="GPQ4"/>
      <c r="GPR4"/>
      <c r="GPS4"/>
      <c r="GPT4"/>
      <c r="GPU4"/>
      <c r="GPV4"/>
      <c r="GPW4"/>
      <c r="GPX4"/>
      <c r="GPY4"/>
      <c r="GPZ4"/>
      <c r="GQA4"/>
      <c r="GQB4"/>
      <c r="GQC4"/>
      <c r="GQD4"/>
      <c r="GQE4"/>
      <c r="GQF4"/>
      <c r="GQG4"/>
      <c r="GQH4"/>
      <c r="GQI4"/>
      <c r="GQJ4"/>
      <c r="GQK4"/>
      <c r="GQL4"/>
      <c r="GQM4"/>
      <c r="GQN4"/>
      <c r="GQO4"/>
      <c r="GQP4"/>
      <c r="GQQ4"/>
      <c r="GQR4"/>
      <c r="GQS4"/>
      <c r="GQT4"/>
      <c r="GQU4"/>
      <c r="GQV4"/>
      <c r="GQW4"/>
      <c r="GQX4"/>
      <c r="GQY4"/>
      <c r="GQZ4"/>
      <c r="GRA4"/>
      <c r="GRB4"/>
      <c r="GRC4"/>
      <c r="GRD4"/>
      <c r="GRE4"/>
      <c r="GRF4"/>
      <c r="GRG4"/>
      <c r="GRH4"/>
      <c r="GRI4"/>
      <c r="GRJ4"/>
      <c r="GRK4"/>
      <c r="GRL4"/>
      <c r="GRM4"/>
      <c r="GRN4"/>
      <c r="GRO4"/>
      <c r="GRP4"/>
      <c r="GRQ4"/>
      <c r="GRR4"/>
      <c r="GRS4"/>
      <c r="GRT4"/>
      <c r="GRU4"/>
      <c r="GRV4"/>
      <c r="GRW4"/>
      <c r="GRX4"/>
      <c r="GRY4"/>
      <c r="GRZ4"/>
      <c r="GSA4"/>
      <c r="GSB4"/>
      <c r="GSC4"/>
      <c r="GSD4"/>
      <c r="GSE4"/>
      <c r="GSF4"/>
      <c r="GSG4"/>
      <c r="GSH4"/>
      <c r="GSI4"/>
      <c r="GSJ4"/>
      <c r="GSK4"/>
      <c r="GSL4"/>
      <c r="GSM4"/>
      <c r="GSN4"/>
      <c r="GSO4"/>
      <c r="GSP4"/>
      <c r="GSQ4"/>
      <c r="GSR4"/>
      <c r="GSS4"/>
      <c r="GST4"/>
      <c r="GSU4"/>
      <c r="GSV4"/>
      <c r="GSW4"/>
      <c r="GSX4"/>
      <c r="GSY4"/>
      <c r="GSZ4"/>
      <c r="GTA4"/>
      <c r="GTB4"/>
      <c r="GTC4"/>
      <c r="GTD4"/>
      <c r="GTE4"/>
      <c r="GTF4"/>
      <c r="GTG4"/>
      <c r="GTH4"/>
      <c r="GTI4"/>
      <c r="GTJ4"/>
      <c r="GTK4"/>
      <c r="GTL4"/>
      <c r="GTM4"/>
      <c r="GTN4"/>
      <c r="GTO4"/>
      <c r="GTP4"/>
      <c r="GTQ4"/>
      <c r="GTR4"/>
      <c r="GTS4"/>
      <c r="GTT4"/>
      <c r="GTU4"/>
      <c r="GTV4"/>
      <c r="GTW4"/>
      <c r="GTX4"/>
      <c r="GTY4"/>
      <c r="GTZ4"/>
      <c r="GUA4"/>
      <c r="GUB4"/>
      <c r="GUC4"/>
      <c r="GUD4"/>
      <c r="GUE4"/>
      <c r="GUF4"/>
      <c r="GUG4"/>
      <c r="GUH4"/>
      <c r="GUI4"/>
      <c r="GUJ4"/>
      <c r="GUK4"/>
      <c r="GUL4"/>
      <c r="GUM4"/>
      <c r="GUN4"/>
      <c r="GUO4"/>
      <c r="GUP4"/>
      <c r="GUQ4"/>
      <c r="GUR4"/>
      <c r="GUS4"/>
      <c r="GUT4"/>
      <c r="GUU4"/>
      <c r="GUV4"/>
      <c r="GUW4"/>
      <c r="GUX4"/>
      <c r="GUY4"/>
      <c r="GUZ4"/>
      <c r="GVA4"/>
      <c r="GVB4"/>
      <c r="GVC4"/>
      <c r="GVD4"/>
      <c r="GVE4"/>
      <c r="GVF4"/>
      <c r="GVG4"/>
      <c r="GVH4"/>
      <c r="GVI4"/>
      <c r="GVJ4"/>
      <c r="GVK4"/>
      <c r="GVL4"/>
      <c r="GVM4"/>
      <c r="GVN4"/>
      <c r="GVO4"/>
      <c r="GVP4"/>
      <c r="GVQ4"/>
      <c r="GVR4"/>
      <c r="GVS4"/>
      <c r="GVT4"/>
      <c r="GVU4"/>
      <c r="GVV4"/>
      <c r="GVW4"/>
      <c r="GVX4"/>
      <c r="GVY4"/>
      <c r="GVZ4"/>
      <c r="GWA4"/>
      <c r="GWB4"/>
      <c r="GWC4"/>
      <c r="GWD4"/>
      <c r="GWE4"/>
      <c r="GWF4"/>
      <c r="GWG4"/>
      <c r="GWH4"/>
      <c r="GWI4"/>
      <c r="GWJ4"/>
      <c r="GWK4"/>
      <c r="GWL4"/>
      <c r="GWM4"/>
      <c r="GWN4"/>
      <c r="GWO4"/>
      <c r="GWP4"/>
      <c r="GWQ4"/>
      <c r="GWR4"/>
      <c r="GWS4"/>
      <c r="GWT4"/>
      <c r="GWU4"/>
      <c r="GWV4"/>
      <c r="GWW4"/>
      <c r="GWX4"/>
      <c r="GWY4"/>
      <c r="GWZ4"/>
      <c r="GXA4"/>
      <c r="GXB4"/>
      <c r="GXC4"/>
      <c r="GXD4"/>
      <c r="GXE4"/>
      <c r="GXF4"/>
      <c r="GXG4"/>
      <c r="GXH4"/>
      <c r="GXI4"/>
      <c r="GXJ4"/>
      <c r="GXK4"/>
      <c r="GXL4"/>
      <c r="GXM4"/>
      <c r="GXN4"/>
      <c r="GXO4"/>
      <c r="GXP4"/>
      <c r="GXQ4"/>
      <c r="GXR4"/>
      <c r="GXS4"/>
      <c r="GXT4"/>
      <c r="GXU4"/>
      <c r="GXV4"/>
      <c r="GXW4"/>
      <c r="GXX4"/>
      <c r="GXY4"/>
      <c r="GXZ4"/>
      <c r="GYA4"/>
      <c r="GYB4"/>
      <c r="GYC4"/>
      <c r="GYD4"/>
      <c r="GYE4"/>
      <c r="GYF4"/>
      <c r="GYG4"/>
      <c r="GYH4"/>
      <c r="GYI4"/>
      <c r="GYJ4"/>
      <c r="GYK4"/>
      <c r="GYL4"/>
      <c r="GYM4"/>
      <c r="GYN4"/>
      <c r="GYO4"/>
      <c r="GYP4"/>
      <c r="GYQ4"/>
      <c r="GYR4"/>
      <c r="GYS4"/>
      <c r="GYT4"/>
      <c r="GYU4"/>
      <c r="GYV4"/>
      <c r="GYW4"/>
      <c r="GYX4"/>
      <c r="GYY4"/>
      <c r="GYZ4"/>
      <c r="GZA4"/>
      <c r="GZB4"/>
      <c r="GZC4"/>
      <c r="GZD4"/>
      <c r="GZE4"/>
      <c r="GZF4"/>
      <c r="GZG4"/>
      <c r="GZH4"/>
      <c r="GZI4"/>
      <c r="GZJ4"/>
      <c r="GZK4"/>
      <c r="GZL4"/>
      <c r="GZM4"/>
      <c r="GZN4"/>
      <c r="GZO4"/>
      <c r="GZP4"/>
      <c r="GZQ4"/>
      <c r="GZR4"/>
      <c r="GZS4"/>
      <c r="GZT4"/>
      <c r="GZU4"/>
      <c r="GZV4"/>
      <c r="GZW4"/>
      <c r="GZX4"/>
      <c r="GZY4"/>
      <c r="GZZ4"/>
      <c r="HAA4"/>
      <c r="HAB4"/>
      <c r="HAC4"/>
      <c r="HAD4"/>
      <c r="HAE4"/>
      <c r="HAF4"/>
      <c r="HAG4"/>
      <c r="HAH4"/>
      <c r="HAI4"/>
      <c r="HAJ4"/>
      <c r="HAK4"/>
      <c r="HAL4"/>
      <c r="HAM4"/>
      <c r="HAN4"/>
      <c r="HAO4"/>
      <c r="HAP4"/>
      <c r="HAQ4"/>
      <c r="HAR4"/>
      <c r="HAS4"/>
      <c r="HAT4"/>
      <c r="HAU4"/>
      <c r="HAV4"/>
      <c r="HAW4"/>
      <c r="HAX4"/>
      <c r="HAY4"/>
      <c r="HAZ4"/>
      <c r="HBA4"/>
      <c r="HBB4"/>
      <c r="HBC4"/>
      <c r="HBD4"/>
      <c r="HBE4"/>
      <c r="HBF4"/>
      <c r="HBG4"/>
      <c r="HBH4"/>
      <c r="HBI4"/>
      <c r="HBJ4"/>
      <c r="HBK4"/>
      <c r="HBL4"/>
      <c r="HBM4"/>
      <c r="HBN4"/>
      <c r="HBO4"/>
      <c r="HBP4"/>
      <c r="HBQ4"/>
      <c r="HBR4"/>
      <c r="HBS4"/>
      <c r="HBT4"/>
      <c r="HBU4"/>
      <c r="HBV4"/>
      <c r="HBW4"/>
      <c r="HBX4"/>
      <c r="HBY4"/>
      <c r="HBZ4"/>
      <c r="HCA4"/>
      <c r="HCB4"/>
      <c r="HCC4"/>
      <c r="HCD4"/>
      <c r="HCE4"/>
      <c r="HCF4"/>
      <c r="HCG4"/>
      <c r="HCH4"/>
      <c r="HCI4"/>
      <c r="HCJ4"/>
      <c r="HCK4"/>
      <c r="HCL4"/>
      <c r="HCM4"/>
      <c r="HCN4"/>
      <c r="HCO4"/>
      <c r="HCP4"/>
      <c r="HCQ4"/>
      <c r="HCR4"/>
      <c r="HCS4"/>
      <c r="HCT4"/>
      <c r="HCU4"/>
      <c r="HCV4"/>
      <c r="HCW4"/>
      <c r="HCX4"/>
      <c r="HCY4"/>
      <c r="HCZ4"/>
      <c r="HDA4"/>
      <c r="HDB4"/>
      <c r="HDC4"/>
      <c r="HDD4"/>
      <c r="HDE4"/>
      <c r="HDF4"/>
      <c r="HDG4"/>
      <c r="HDH4"/>
      <c r="HDI4"/>
      <c r="HDJ4"/>
      <c r="HDK4"/>
      <c r="HDL4"/>
      <c r="HDM4"/>
      <c r="HDN4"/>
      <c r="HDO4"/>
      <c r="HDP4"/>
      <c r="HDQ4"/>
      <c r="HDR4"/>
      <c r="HDS4"/>
      <c r="HDT4"/>
      <c r="HDU4"/>
      <c r="HDV4"/>
      <c r="HDW4"/>
      <c r="HDX4"/>
      <c r="HDY4"/>
      <c r="HDZ4"/>
      <c r="HEA4"/>
      <c r="HEB4"/>
      <c r="HEC4"/>
      <c r="HED4"/>
      <c r="HEE4"/>
      <c r="HEF4"/>
      <c r="HEG4"/>
      <c r="HEH4"/>
      <c r="HEI4"/>
      <c r="HEJ4"/>
      <c r="HEK4"/>
      <c r="HEL4"/>
      <c r="HEM4"/>
      <c r="HEN4"/>
      <c r="HEO4"/>
      <c r="HEP4"/>
      <c r="HEQ4"/>
      <c r="HER4"/>
      <c r="HES4"/>
      <c r="HET4"/>
      <c r="HEU4"/>
      <c r="HEV4"/>
      <c r="HEW4"/>
      <c r="HEX4"/>
      <c r="HEY4"/>
      <c r="HEZ4"/>
      <c r="HFA4"/>
      <c r="HFB4"/>
      <c r="HFC4"/>
      <c r="HFD4"/>
      <c r="HFE4"/>
      <c r="HFF4"/>
      <c r="HFG4"/>
      <c r="HFH4"/>
      <c r="HFI4"/>
      <c r="HFJ4"/>
      <c r="HFK4"/>
      <c r="HFL4"/>
      <c r="HFM4"/>
      <c r="HFN4"/>
      <c r="HFO4"/>
      <c r="HFP4"/>
      <c r="HFQ4"/>
      <c r="HFR4"/>
      <c r="HFS4"/>
      <c r="HFT4"/>
      <c r="HFU4"/>
      <c r="HFV4"/>
      <c r="HFW4"/>
      <c r="HFX4"/>
      <c r="HFY4"/>
      <c r="HFZ4"/>
      <c r="HGA4"/>
      <c r="HGB4"/>
      <c r="HGC4"/>
      <c r="HGD4"/>
      <c r="HGE4"/>
      <c r="HGF4"/>
      <c r="HGG4"/>
      <c r="HGH4"/>
      <c r="HGI4"/>
      <c r="HGJ4"/>
      <c r="HGK4"/>
      <c r="HGL4"/>
      <c r="HGM4"/>
      <c r="HGN4"/>
      <c r="HGO4"/>
      <c r="HGP4"/>
      <c r="HGQ4"/>
      <c r="HGR4"/>
      <c r="HGS4"/>
      <c r="HGT4"/>
      <c r="HGU4"/>
      <c r="HGV4"/>
      <c r="HGW4"/>
      <c r="HGX4"/>
      <c r="HGY4"/>
      <c r="HGZ4"/>
      <c r="HHA4"/>
      <c r="HHB4"/>
      <c r="HHC4"/>
      <c r="HHD4"/>
      <c r="HHE4"/>
      <c r="HHF4"/>
      <c r="HHG4"/>
      <c r="HHH4"/>
      <c r="HHI4"/>
      <c r="HHJ4"/>
      <c r="HHK4"/>
      <c r="HHL4"/>
      <c r="HHM4"/>
      <c r="HHN4"/>
      <c r="HHO4"/>
      <c r="HHP4"/>
      <c r="HHQ4"/>
      <c r="HHR4"/>
      <c r="HHS4"/>
      <c r="HHT4"/>
      <c r="HHU4"/>
      <c r="HHV4"/>
      <c r="HHW4"/>
      <c r="HHX4"/>
      <c r="HHY4"/>
      <c r="HHZ4"/>
      <c r="HIA4"/>
      <c r="HIB4"/>
      <c r="HIC4"/>
      <c r="HID4"/>
      <c r="HIE4"/>
      <c r="HIF4"/>
      <c r="HIG4"/>
      <c r="HIH4"/>
      <c r="HII4"/>
      <c r="HIJ4"/>
      <c r="HIK4"/>
      <c r="HIL4"/>
      <c r="HIM4"/>
      <c r="HIN4"/>
      <c r="HIO4"/>
      <c r="HIP4"/>
      <c r="HIQ4"/>
      <c r="HIR4"/>
      <c r="HIS4"/>
      <c r="HIT4"/>
      <c r="HIU4"/>
      <c r="HIV4"/>
      <c r="HIW4"/>
      <c r="HIX4"/>
      <c r="HIY4"/>
      <c r="HIZ4"/>
      <c r="HJA4"/>
      <c r="HJB4"/>
      <c r="HJC4"/>
      <c r="HJD4"/>
      <c r="HJE4"/>
      <c r="HJF4"/>
      <c r="HJG4"/>
      <c r="HJH4"/>
      <c r="HJI4"/>
      <c r="HJJ4"/>
      <c r="HJK4"/>
      <c r="HJL4"/>
      <c r="HJM4"/>
      <c r="HJN4"/>
      <c r="HJO4"/>
      <c r="HJP4"/>
      <c r="HJQ4"/>
      <c r="HJR4"/>
      <c r="HJS4"/>
      <c r="HJT4"/>
      <c r="HJU4"/>
      <c r="HJV4"/>
      <c r="HJW4"/>
      <c r="HJX4"/>
      <c r="HJY4"/>
      <c r="HJZ4"/>
      <c r="HKA4"/>
      <c r="HKB4"/>
      <c r="HKC4"/>
      <c r="HKD4"/>
      <c r="HKE4"/>
      <c r="HKF4"/>
      <c r="HKG4"/>
      <c r="HKH4"/>
      <c r="HKI4"/>
      <c r="HKJ4"/>
      <c r="HKK4"/>
      <c r="HKL4"/>
      <c r="HKM4"/>
      <c r="HKN4"/>
      <c r="HKO4"/>
      <c r="HKP4"/>
      <c r="HKQ4"/>
      <c r="HKR4"/>
      <c r="HKS4"/>
      <c r="HKT4"/>
      <c r="HKU4"/>
      <c r="HKV4"/>
      <c r="HKW4"/>
      <c r="HKX4"/>
      <c r="HKY4"/>
      <c r="HKZ4"/>
      <c r="HLA4"/>
      <c r="HLB4"/>
      <c r="HLC4"/>
      <c r="HLD4"/>
      <c r="HLE4"/>
      <c r="HLF4"/>
      <c r="HLG4"/>
      <c r="HLH4"/>
      <c r="HLI4"/>
      <c r="HLJ4"/>
      <c r="HLK4"/>
      <c r="HLL4"/>
      <c r="HLM4"/>
      <c r="HLN4"/>
      <c r="HLO4"/>
      <c r="HLP4"/>
      <c r="HLQ4"/>
      <c r="HLR4"/>
      <c r="HLS4"/>
      <c r="HLT4"/>
      <c r="HLU4"/>
      <c r="HLV4"/>
      <c r="HLW4"/>
      <c r="HLX4"/>
      <c r="HLY4"/>
      <c r="HLZ4"/>
      <c r="HMA4"/>
      <c r="HMB4"/>
      <c r="HMC4"/>
      <c r="HMD4"/>
      <c r="HME4"/>
      <c r="HMF4"/>
      <c r="HMG4"/>
      <c r="HMH4"/>
      <c r="HMI4"/>
      <c r="HMJ4"/>
      <c r="HMK4"/>
      <c r="HML4"/>
      <c r="HMM4"/>
      <c r="HMN4"/>
      <c r="HMO4"/>
      <c r="HMP4"/>
      <c r="HMQ4"/>
      <c r="HMR4"/>
      <c r="HMS4"/>
      <c r="HMT4"/>
      <c r="HMU4"/>
      <c r="HMV4"/>
      <c r="HMW4"/>
      <c r="HMX4"/>
      <c r="HMY4"/>
      <c r="HMZ4"/>
      <c r="HNA4"/>
      <c r="HNB4"/>
      <c r="HNC4"/>
      <c r="HND4"/>
      <c r="HNE4"/>
      <c r="HNF4"/>
      <c r="HNG4"/>
      <c r="HNH4"/>
      <c r="HNI4"/>
      <c r="HNJ4"/>
      <c r="HNK4"/>
      <c r="HNL4"/>
      <c r="HNM4"/>
      <c r="HNN4"/>
      <c r="HNO4"/>
      <c r="HNP4"/>
      <c r="HNQ4"/>
      <c r="HNR4"/>
      <c r="HNS4"/>
      <c r="HNT4"/>
      <c r="HNU4"/>
      <c r="HNV4"/>
      <c r="HNW4"/>
      <c r="HNX4"/>
      <c r="HNY4"/>
      <c r="HNZ4"/>
      <c r="HOA4"/>
      <c r="HOB4"/>
      <c r="HOC4"/>
      <c r="HOD4"/>
      <c r="HOE4"/>
      <c r="HOF4"/>
      <c r="HOG4"/>
      <c r="HOH4"/>
      <c r="HOI4"/>
      <c r="HOJ4"/>
      <c r="HOK4"/>
      <c r="HOL4"/>
      <c r="HOM4"/>
      <c r="HON4"/>
      <c r="HOO4"/>
      <c r="HOP4"/>
      <c r="HOQ4"/>
      <c r="HOR4"/>
      <c r="HOS4"/>
      <c r="HOT4"/>
      <c r="HOU4"/>
      <c r="HOV4"/>
      <c r="HOW4"/>
      <c r="HOX4"/>
      <c r="HOY4"/>
      <c r="HOZ4"/>
      <c r="HPA4"/>
      <c r="HPB4"/>
      <c r="HPC4"/>
      <c r="HPD4"/>
      <c r="HPE4"/>
      <c r="HPF4"/>
      <c r="HPG4"/>
      <c r="HPH4"/>
      <c r="HPI4"/>
      <c r="HPJ4"/>
      <c r="HPK4"/>
      <c r="HPL4"/>
      <c r="HPM4"/>
      <c r="HPN4"/>
      <c r="HPO4"/>
      <c r="HPP4"/>
      <c r="HPQ4"/>
      <c r="HPR4"/>
      <c r="HPS4"/>
      <c r="HPT4"/>
      <c r="HPU4"/>
      <c r="HPV4"/>
      <c r="HPW4"/>
      <c r="HPX4"/>
      <c r="HPY4"/>
      <c r="HPZ4"/>
      <c r="HQA4"/>
      <c r="HQB4"/>
      <c r="HQC4"/>
      <c r="HQD4"/>
      <c r="HQE4"/>
      <c r="HQF4"/>
      <c r="HQG4"/>
      <c r="HQH4"/>
      <c r="HQI4"/>
      <c r="HQJ4"/>
      <c r="HQK4"/>
      <c r="HQL4"/>
      <c r="HQM4"/>
      <c r="HQN4"/>
      <c r="HQO4"/>
      <c r="HQP4"/>
      <c r="HQQ4"/>
      <c r="HQR4"/>
      <c r="HQS4"/>
      <c r="HQT4"/>
      <c r="HQU4"/>
      <c r="HQV4"/>
      <c r="HQW4"/>
      <c r="HQX4"/>
      <c r="HQY4"/>
      <c r="HQZ4"/>
      <c r="HRA4"/>
      <c r="HRB4"/>
      <c r="HRC4"/>
      <c r="HRD4"/>
      <c r="HRE4"/>
      <c r="HRF4"/>
      <c r="HRG4"/>
      <c r="HRH4"/>
      <c r="HRI4"/>
      <c r="HRJ4"/>
      <c r="HRK4"/>
      <c r="HRL4"/>
      <c r="HRM4"/>
      <c r="HRN4"/>
      <c r="HRO4"/>
      <c r="HRP4"/>
      <c r="HRQ4"/>
      <c r="HRR4"/>
      <c r="HRS4"/>
      <c r="HRT4"/>
      <c r="HRU4"/>
      <c r="HRV4"/>
      <c r="HRW4"/>
      <c r="HRX4"/>
      <c r="HRY4"/>
      <c r="HRZ4"/>
      <c r="HSA4"/>
      <c r="HSB4"/>
      <c r="HSC4"/>
      <c r="HSD4"/>
      <c r="HSE4"/>
      <c r="HSF4"/>
      <c r="HSG4"/>
      <c r="HSH4"/>
      <c r="HSI4"/>
      <c r="HSJ4"/>
      <c r="HSK4"/>
      <c r="HSL4"/>
      <c r="HSM4"/>
      <c r="HSN4"/>
      <c r="HSO4"/>
      <c r="HSP4"/>
      <c r="HSQ4"/>
      <c r="HSR4"/>
      <c r="HSS4"/>
      <c r="HST4"/>
      <c r="HSU4"/>
      <c r="HSV4"/>
      <c r="HSW4"/>
      <c r="HSX4"/>
      <c r="HSY4"/>
      <c r="HSZ4"/>
      <c r="HTA4"/>
      <c r="HTB4"/>
      <c r="HTC4"/>
      <c r="HTD4"/>
      <c r="HTE4"/>
      <c r="HTF4"/>
      <c r="HTG4"/>
      <c r="HTH4"/>
      <c r="HTI4"/>
      <c r="HTJ4"/>
      <c r="HTK4"/>
      <c r="HTL4"/>
      <c r="HTM4"/>
      <c r="HTN4"/>
      <c r="HTO4"/>
      <c r="HTP4"/>
      <c r="HTQ4"/>
      <c r="HTR4"/>
      <c r="HTS4"/>
      <c r="HTT4"/>
      <c r="HTU4"/>
      <c r="HTV4"/>
      <c r="HTW4"/>
      <c r="HTX4"/>
      <c r="HTY4"/>
      <c r="HTZ4"/>
      <c r="HUA4"/>
      <c r="HUB4"/>
      <c r="HUC4"/>
      <c r="HUD4"/>
      <c r="HUE4"/>
      <c r="HUF4"/>
      <c r="HUG4"/>
      <c r="HUH4"/>
      <c r="HUI4"/>
      <c r="HUJ4"/>
      <c r="HUK4"/>
      <c r="HUL4"/>
      <c r="HUM4"/>
      <c r="HUN4"/>
      <c r="HUO4"/>
      <c r="HUP4"/>
      <c r="HUQ4"/>
      <c r="HUR4"/>
      <c r="HUS4"/>
      <c r="HUT4"/>
      <c r="HUU4"/>
      <c r="HUV4"/>
      <c r="HUW4"/>
      <c r="HUX4"/>
      <c r="HUY4"/>
      <c r="HUZ4"/>
      <c r="HVA4"/>
      <c r="HVB4"/>
      <c r="HVC4"/>
      <c r="HVD4"/>
      <c r="HVE4"/>
      <c r="HVF4"/>
      <c r="HVG4"/>
      <c r="HVH4"/>
      <c r="HVI4"/>
      <c r="HVJ4"/>
      <c r="HVK4"/>
      <c r="HVL4"/>
      <c r="HVM4"/>
      <c r="HVN4"/>
      <c r="HVO4"/>
      <c r="HVP4"/>
      <c r="HVQ4"/>
      <c r="HVR4"/>
      <c r="HVS4"/>
      <c r="HVT4"/>
      <c r="HVU4"/>
      <c r="HVV4"/>
      <c r="HVW4"/>
      <c r="HVX4"/>
      <c r="HVY4"/>
      <c r="HVZ4"/>
      <c r="HWA4"/>
      <c r="HWB4"/>
      <c r="HWC4"/>
      <c r="HWD4"/>
      <c r="HWE4"/>
      <c r="HWF4"/>
      <c r="HWG4"/>
      <c r="HWH4"/>
      <c r="HWI4"/>
      <c r="HWJ4"/>
      <c r="HWK4"/>
      <c r="HWL4"/>
      <c r="HWM4"/>
      <c r="HWN4"/>
      <c r="HWO4"/>
      <c r="HWP4"/>
      <c r="HWQ4"/>
      <c r="HWR4"/>
      <c r="HWS4"/>
      <c r="HWT4"/>
      <c r="HWU4"/>
      <c r="HWV4"/>
      <c r="HWW4"/>
      <c r="HWX4"/>
      <c r="HWY4"/>
      <c r="HWZ4"/>
      <c r="HXA4"/>
      <c r="HXB4"/>
      <c r="HXC4"/>
      <c r="HXD4"/>
      <c r="HXE4"/>
      <c r="HXF4"/>
      <c r="HXG4"/>
      <c r="HXH4"/>
      <c r="HXI4"/>
      <c r="HXJ4"/>
      <c r="HXK4"/>
      <c r="HXL4"/>
      <c r="HXM4"/>
      <c r="HXN4"/>
      <c r="HXO4"/>
      <c r="HXP4"/>
      <c r="HXQ4"/>
      <c r="HXR4"/>
      <c r="HXS4"/>
      <c r="HXT4"/>
      <c r="HXU4"/>
      <c r="HXV4"/>
      <c r="HXW4"/>
      <c r="HXX4"/>
      <c r="HXY4"/>
      <c r="HXZ4"/>
      <c r="HYA4"/>
      <c r="HYB4"/>
      <c r="HYC4"/>
      <c r="HYD4"/>
      <c r="HYE4"/>
      <c r="HYF4"/>
      <c r="HYG4"/>
      <c r="HYH4"/>
      <c r="HYI4"/>
      <c r="HYJ4"/>
      <c r="HYK4"/>
      <c r="HYL4"/>
      <c r="HYM4"/>
      <c r="HYN4"/>
      <c r="HYO4"/>
      <c r="HYP4"/>
      <c r="HYQ4"/>
      <c r="HYR4"/>
      <c r="HYS4"/>
      <c r="HYT4"/>
      <c r="HYU4"/>
      <c r="HYV4"/>
      <c r="HYW4"/>
      <c r="HYX4"/>
      <c r="HYY4"/>
      <c r="HYZ4"/>
      <c r="HZA4"/>
      <c r="HZB4"/>
      <c r="HZC4"/>
      <c r="HZD4"/>
      <c r="HZE4"/>
      <c r="HZF4"/>
      <c r="HZG4"/>
      <c r="HZH4"/>
      <c r="HZI4"/>
      <c r="HZJ4"/>
      <c r="HZK4"/>
      <c r="HZL4"/>
      <c r="HZM4"/>
      <c r="HZN4"/>
      <c r="HZO4"/>
      <c r="HZP4"/>
      <c r="HZQ4"/>
      <c r="HZR4"/>
      <c r="HZS4"/>
      <c r="HZT4"/>
      <c r="HZU4"/>
      <c r="HZV4"/>
      <c r="HZW4"/>
      <c r="HZX4"/>
      <c r="HZY4"/>
      <c r="HZZ4"/>
      <c r="IAA4"/>
      <c r="IAB4"/>
      <c r="IAC4"/>
      <c r="IAD4"/>
      <c r="IAE4"/>
      <c r="IAF4"/>
      <c r="IAG4"/>
      <c r="IAH4"/>
      <c r="IAI4"/>
      <c r="IAJ4"/>
      <c r="IAK4"/>
      <c r="IAL4"/>
      <c r="IAM4"/>
      <c r="IAN4"/>
      <c r="IAO4"/>
      <c r="IAP4"/>
      <c r="IAQ4"/>
      <c r="IAR4"/>
      <c r="IAS4"/>
      <c r="IAT4"/>
      <c r="IAU4"/>
      <c r="IAV4"/>
      <c r="IAW4"/>
      <c r="IAX4"/>
      <c r="IAY4"/>
      <c r="IAZ4"/>
      <c r="IBA4"/>
      <c r="IBB4"/>
      <c r="IBC4"/>
      <c r="IBD4"/>
      <c r="IBE4"/>
      <c r="IBF4"/>
      <c r="IBG4"/>
      <c r="IBH4"/>
      <c r="IBI4"/>
      <c r="IBJ4"/>
      <c r="IBK4"/>
      <c r="IBL4"/>
      <c r="IBM4"/>
      <c r="IBN4"/>
      <c r="IBO4"/>
      <c r="IBP4"/>
      <c r="IBQ4"/>
      <c r="IBR4"/>
      <c r="IBS4"/>
      <c r="IBT4"/>
      <c r="IBU4"/>
      <c r="IBV4"/>
      <c r="IBW4"/>
      <c r="IBX4"/>
      <c r="IBY4"/>
      <c r="IBZ4"/>
      <c r="ICA4"/>
      <c r="ICB4"/>
      <c r="ICC4"/>
      <c r="ICD4"/>
      <c r="ICE4"/>
      <c r="ICF4"/>
      <c r="ICG4"/>
      <c r="ICH4"/>
      <c r="ICI4"/>
      <c r="ICJ4"/>
      <c r="ICK4"/>
      <c r="ICL4"/>
      <c r="ICM4"/>
      <c r="ICN4"/>
      <c r="ICO4"/>
      <c r="ICP4"/>
      <c r="ICQ4"/>
      <c r="ICR4"/>
      <c r="ICS4"/>
      <c r="ICT4"/>
      <c r="ICU4"/>
      <c r="ICV4"/>
      <c r="ICW4"/>
      <c r="ICX4"/>
      <c r="ICY4"/>
      <c r="ICZ4"/>
      <c r="IDA4"/>
      <c r="IDB4"/>
      <c r="IDC4"/>
      <c r="IDD4"/>
      <c r="IDE4"/>
      <c r="IDF4"/>
      <c r="IDG4"/>
      <c r="IDH4"/>
      <c r="IDI4"/>
      <c r="IDJ4"/>
      <c r="IDK4"/>
      <c r="IDL4"/>
      <c r="IDM4"/>
      <c r="IDN4"/>
      <c r="IDO4"/>
      <c r="IDP4"/>
      <c r="IDQ4"/>
      <c r="IDR4"/>
      <c r="IDS4"/>
      <c r="IDT4"/>
      <c r="IDU4"/>
      <c r="IDV4"/>
      <c r="IDW4"/>
      <c r="IDX4"/>
      <c r="IDY4"/>
      <c r="IDZ4"/>
      <c r="IEA4"/>
      <c r="IEB4"/>
      <c r="IEC4"/>
      <c r="IED4"/>
      <c r="IEE4"/>
      <c r="IEF4"/>
      <c r="IEG4"/>
      <c r="IEH4"/>
      <c r="IEI4"/>
      <c r="IEJ4"/>
      <c r="IEK4"/>
      <c r="IEL4"/>
      <c r="IEM4"/>
      <c r="IEN4"/>
      <c r="IEO4"/>
      <c r="IEP4"/>
      <c r="IEQ4"/>
      <c r="IER4"/>
      <c r="IES4"/>
      <c r="IET4"/>
      <c r="IEU4"/>
      <c r="IEV4"/>
      <c r="IEW4"/>
      <c r="IEX4"/>
      <c r="IEY4"/>
      <c r="IEZ4"/>
      <c r="IFA4"/>
      <c r="IFB4"/>
      <c r="IFC4"/>
      <c r="IFD4"/>
      <c r="IFE4"/>
      <c r="IFF4"/>
      <c r="IFG4"/>
      <c r="IFH4"/>
      <c r="IFI4"/>
      <c r="IFJ4"/>
      <c r="IFK4"/>
      <c r="IFL4"/>
      <c r="IFM4"/>
      <c r="IFN4"/>
      <c r="IFO4"/>
      <c r="IFP4"/>
      <c r="IFQ4"/>
      <c r="IFR4"/>
      <c r="IFS4"/>
      <c r="IFT4"/>
      <c r="IFU4"/>
      <c r="IFV4"/>
      <c r="IFW4"/>
      <c r="IFX4"/>
      <c r="IFY4"/>
      <c r="IFZ4"/>
      <c r="IGA4"/>
      <c r="IGB4"/>
      <c r="IGC4"/>
      <c r="IGD4"/>
      <c r="IGE4"/>
      <c r="IGF4"/>
      <c r="IGG4"/>
      <c r="IGH4"/>
      <c r="IGI4"/>
      <c r="IGJ4"/>
      <c r="IGK4"/>
      <c r="IGL4"/>
      <c r="IGM4"/>
      <c r="IGN4"/>
      <c r="IGO4"/>
      <c r="IGP4"/>
      <c r="IGQ4"/>
      <c r="IGR4"/>
      <c r="IGS4"/>
      <c r="IGT4"/>
      <c r="IGU4"/>
      <c r="IGV4"/>
      <c r="IGW4"/>
      <c r="IGX4"/>
      <c r="IGY4"/>
      <c r="IGZ4"/>
      <c r="IHA4"/>
      <c r="IHB4"/>
      <c r="IHC4"/>
      <c r="IHD4"/>
      <c r="IHE4"/>
      <c r="IHF4"/>
      <c r="IHG4"/>
      <c r="IHH4"/>
      <c r="IHI4"/>
      <c r="IHJ4"/>
      <c r="IHK4"/>
      <c r="IHL4"/>
      <c r="IHM4"/>
      <c r="IHN4"/>
      <c r="IHO4"/>
      <c r="IHP4"/>
      <c r="IHQ4"/>
      <c r="IHR4"/>
      <c r="IHS4"/>
      <c r="IHT4"/>
      <c r="IHU4"/>
      <c r="IHV4"/>
      <c r="IHW4"/>
      <c r="IHX4"/>
      <c r="IHY4"/>
      <c r="IHZ4"/>
      <c r="IIA4"/>
      <c r="IIB4"/>
      <c r="IIC4"/>
      <c r="IID4"/>
      <c r="IIE4"/>
      <c r="IIF4"/>
      <c r="IIG4"/>
      <c r="IIH4"/>
      <c r="III4"/>
      <c r="IIJ4"/>
      <c r="IIK4"/>
      <c r="IIL4"/>
      <c r="IIM4"/>
      <c r="IIN4"/>
      <c r="IIO4"/>
      <c r="IIP4"/>
      <c r="IIQ4"/>
      <c r="IIR4"/>
      <c r="IIS4"/>
      <c r="IIT4"/>
      <c r="IIU4"/>
      <c r="IIV4"/>
      <c r="IIW4"/>
      <c r="IIX4"/>
      <c r="IIY4"/>
      <c r="IIZ4"/>
      <c r="IJA4"/>
      <c r="IJB4"/>
      <c r="IJC4"/>
      <c r="IJD4"/>
      <c r="IJE4"/>
      <c r="IJF4"/>
      <c r="IJG4"/>
      <c r="IJH4"/>
      <c r="IJI4"/>
      <c r="IJJ4"/>
      <c r="IJK4"/>
      <c r="IJL4"/>
      <c r="IJM4"/>
      <c r="IJN4"/>
      <c r="IJO4"/>
      <c r="IJP4"/>
      <c r="IJQ4"/>
      <c r="IJR4"/>
      <c r="IJS4"/>
      <c r="IJT4"/>
      <c r="IJU4"/>
      <c r="IJV4"/>
      <c r="IJW4"/>
      <c r="IJX4"/>
      <c r="IJY4"/>
      <c r="IJZ4"/>
      <c r="IKA4"/>
      <c r="IKB4"/>
      <c r="IKC4"/>
      <c r="IKD4"/>
      <c r="IKE4"/>
      <c r="IKF4"/>
      <c r="IKG4"/>
      <c r="IKH4"/>
      <c r="IKI4"/>
      <c r="IKJ4"/>
      <c r="IKK4"/>
      <c r="IKL4"/>
      <c r="IKM4"/>
      <c r="IKN4"/>
      <c r="IKO4"/>
      <c r="IKP4"/>
      <c r="IKQ4"/>
      <c r="IKR4"/>
      <c r="IKS4"/>
      <c r="IKT4"/>
      <c r="IKU4"/>
      <c r="IKV4"/>
      <c r="IKW4"/>
      <c r="IKX4"/>
      <c r="IKY4"/>
      <c r="IKZ4"/>
      <c r="ILA4"/>
      <c r="ILB4"/>
      <c r="ILC4"/>
      <c r="ILD4"/>
      <c r="ILE4"/>
      <c r="ILF4"/>
      <c r="ILG4"/>
      <c r="ILH4"/>
      <c r="ILI4"/>
      <c r="ILJ4"/>
      <c r="ILK4"/>
      <c r="ILL4"/>
      <c r="ILM4"/>
      <c r="ILN4"/>
      <c r="ILO4"/>
      <c r="ILP4"/>
      <c r="ILQ4"/>
      <c r="ILR4"/>
      <c r="ILS4"/>
      <c r="ILT4"/>
      <c r="ILU4"/>
      <c r="ILV4"/>
      <c r="ILW4"/>
      <c r="ILX4"/>
      <c r="ILY4"/>
      <c r="ILZ4"/>
      <c r="IMA4"/>
      <c r="IMB4"/>
      <c r="IMC4"/>
      <c r="IMD4"/>
      <c r="IME4"/>
      <c r="IMF4"/>
      <c r="IMG4"/>
      <c r="IMH4"/>
      <c r="IMI4"/>
      <c r="IMJ4"/>
      <c r="IMK4"/>
      <c r="IML4"/>
      <c r="IMM4"/>
      <c r="IMN4"/>
      <c r="IMO4"/>
      <c r="IMP4"/>
      <c r="IMQ4"/>
      <c r="IMR4"/>
      <c r="IMS4"/>
      <c r="IMT4"/>
      <c r="IMU4"/>
      <c r="IMV4"/>
      <c r="IMW4"/>
      <c r="IMX4"/>
      <c r="IMY4"/>
      <c r="IMZ4"/>
      <c r="INA4"/>
      <c r="INB4"/>
      <c r="INC4"/>
      <c r="IND4"/>
      <c r="INE4"/>
      <c r="INF4"/>
      <c r="ING4"/>
      <c r="INH4"/>
      <c r="INI4"/>
      <c r="INJ4"/>
      <c r="INK4"/>
      <c r="INL4"/>
      <c r="INM4"/>
      <c r="INN4"/>
      <c r="INO4"/>
      <c r="INP4"/>
      <c r="INQ4"/>
      <c r="INR4"/>
      <c r="INS4"/>
      <c r="INT4"/>
      <c r="INU4"/>
      <c r="INV4"/>
      <c r="INW4"/>
      <c r="INX4"/>
      <c r="INY4"/>
      <c r="INZ4"/>
      <c r="IOA4"/>
      <c r="IOB4"/>
      <c r="IOC4"/>
      <c r="IOD4"/>
      <c r="IOE4"/>
      <c r="IOF4"/>
      <c r="IOG4"/>
      <c r="IOH4"/>
      <c r="IOI4"/>
      <c r="IOJ4"/>
      <c r="IOK4"/>
      <c r="IOL4"/>
      <c r="IOM4"/>
      <c r="ION4"/>
      <c r="IOO4"/>
      <c r="IOP4"/>
      <c r="IOQ4"/>
      <c r="IOR4"/>
      <c r="IOS4"/>
      <c r="IOT4"/>
      <c r="IOU4"/>
      <c r="IOV4"/>
      <c r="IOW4"/>
      <c r="IOX4"/>
      <c r="IOY4"/>
      <c r="IOZ4"/>
      <c r="IPA4"/>
      <c r="IPB4"/>
      <c r="IPC4"/>
      <c r="IPD4"/>
      <c r="IPE4"/>
      <c r="IPF4"/>
      <c r="IPG4"/>
      <c r="IPH4"/>
      <c r="IPI4"/>
      <c r="IPJ4"/>
      <c r="IPK4"/>
      <c r="IPL4"/>
      <c r="IPM4"/>
      <c r="IPN4"/>
      <c r="IPO4"/>
      <c r="IPP4"/>
      <c r="IPQ4"/>
      <c r="IPR4"/>
      <c r="IPS4"/>
      <c r="IPT4"/>
      <c r="IPU4"/>
      <c r="IPV4"/>
      <c r="IPW4"/>
      <c r="IPX4"/>
      <c r="IPY4"/>
      <c r="IPZ4"/>
      <c r="IQA4"/>
      <c r="IQB4"/>
      <c r="IQC4"/>
      <c r="IQD4"/>
      <c r="IQE4"/>
      <c r="IQF4"/>
      <c r="IQG4"/>
      <c r="IQH4"/>
      <c r="IQI4"/>
      <c r="IQJ4"/>
      <c r="IQK4"/>
      <c r="IQL4"/>
      <c r="IQM4"/>
      <c r="IQN4"/>
      <c r="IQO4"/>
      <c r="IQP4"/>
      <c r="IQQ4"/>
      <c r="IQR4"/>
      <c r="IQS4"/>
      <c r="IQT4"/>
      <c r="IQU4"/>
      <c r="IQV4"/>
      <c r="IQW4"/>
      <c r="IQX4"/>
      <c r="IQY4"/>
      <c r="IQZ4"/>
      <c r="IRA4"/>
      <c r="IRB4"/>
      <c r="IRC4"/>
      <c r="IRD4"/>
      <c r="IRE4"/>
      <c r="IRF4"/>
      <c r="IRG4"/>
      <c r="IRH4"/>
      <c r="IRI4"/>
      <c r="IRJ4"/>
      <c r="IRK4"/>
      <c r="IRL4"/>
      <c r="IRM4"/>
      <c r="IRN4"/>
      <c r="IRO4"/>
      <c r="IRP4"/>
      <c r="IRQ4"/>
      <c r="IRR4"/>
      <c r="IRS4"/>
      <c r="IRT4"/>
      <c r="IRU4"/>
      <c r="IRV4"/>
      <c r="IRW4"/>
      <c r="IRX4"/>
      <c r="IRY4"/>
      <c r="IRZ4"/>
      <c r="ISA4"/>
      <c r="ISB4"/>
      <c r="ISC4"/>
      <c r="ISD4"/>
      <c r="ISE4"/>
      <c r="ISF4"/>
      <c r="ISG4"/>
      <c r="ISH4"/>
      <c r="ISI4"/>
      <c r="ISJ4"/>
      <c r="ISK4"/>
      <c r="ISL4"/>
      <c r="ISM4"/>
      <c r="ISN4"/>
      <c r="ISO4"/>
      <c r="ISP4"/>
      <c r="ISQ4"/>
      <c r="ISR4"/>
      <c r="ISS4"/>
      <c r="IST4"/>
      <c r="ISU4"/>
      <c r="ISV4"/>
      <c r="ISW4"/>
      <c r="ISX4"/>
      <c r="ISY4"/>
      <c r="ISZ4"/>
      <c r="ITA4"/>
      <c r="ITB4"/>
      <c r="ITC4"/>
      <c r="ITD4"/>
      <c r="ITE4"/>
      <c r="ITF4"/>
      <c r="ITG4"/>
      <c r="ITH4"/>
      <c r="ITI4"/>
      <c r="ITJ4"/>
      <c r="ITK4"/>
      <c r="ITL4"/>
      <c r="ITM4"/>
      <c r="ITN4"/>
      <c r="ITO4"/>
      <c r="ITP4"/>
      <c r="ITQ4"/>
      <c r="ITR4"/>
      <c r="ITS4"/>
      <c r="ITT4"/>
      <c r="ITU4"/>
      <c r="ITV4"/>
      <c r="ITW4"/>
      <c r="ITX4"/>
      <c r="ITY4"/>
      <c r="ITZ4"/>
      <c r="IUA4"/>
      <c r="IUB4"/>
      <c r="IUC4"/>
      <c r="IUD4"/>
      <c r="IUE4"/>
      <c r="IUF4"/>
      <c r="IUG4"/>
      <c r="IUH4"/>
      <c r="IUI4"/>
      <c r="IUJ4"/>
      <c r="IUK4"/>
      <c r="IUL4"/>
      <c r="IUM4"/>
      <c r="IUN4"/>
      <c r="IUO4"/>
      <c r="IUP4"/>
      <c r="IUQ4"/>
      <c r="IUR4"/>
      <c r="IUS4"/>
      <c r="IUT4"/>
      <c r="IUU4"/>
      <c r="IUV4"/>
      <c r="IUW4"/>
      <c r="IUX4"/>
      <c r="IUY4"/>
      <c r="IUZ4"/>
      <c r="IVA4"/>
      <c r="IVB4"/>
      <c r="IVC4"/>
      <c r="IVD4"/>
      <c r="IVE4"/>
      <c r="IVF4"/>
      <c r="IVG4"/>
      <c r="IVH4"/>
      <c r="IVI4"/>
      <c r="IVJ4"/>
      <c r="IVK4"/>
      <c r="IVL4"/>
      <c r="IVM4"/>
      <c r="IVN4"/>
      <c r="IVO4"/>
      <c r="IVP4"/>
      <c r="IVQ4"/>
      <c r="IVR4"/>
      <c r="IVS4"/>
      <c r="IVT4"/>
      <c r="IVU4"/>
      <c r="IVV4"/>
      <c r="IVW4"/>
      <c r="IVX4"/>
      <c r="IVY4"/>
      <c r="IVZ4"/>
      <c r="IWA4"/>
      <c r="IWB4"/>
      <c r="IWC4"/>
      <c r="IWD4"/>
      <c r="IWE4"/>
      <c r="IWF4"/>
      <c r="IWG4"/>
      <c r="IWH4"/>
      <c r="IWI4"/>
      <c r="IWJ4"/>
      <c r="IWK4"/>
      <c r="IWL4"/>
      <c r="IWM4"/>
      <c r="IWN4"/>
      <c r="IWO4"/>
      <c r="IWP4"/>
      <c r="IWQ4"/>
      <c r="IWR4"/>
      <c r="IWS4"/>
      <c r="IWT4"/>
      <c r="IWU4"/>
      <c r="IWV4"/>
      <c r="IWW4"/>
      <c r="IWX4"/>
      <c r="IWY4"/>
      <c r="IWZ4"/>
      <c r="IXA4"/>
      <c r="IXB4"/>
      <c r="IXC4"/>
      <c r="IXD4"/>
      <c r="IXE4"/>
      <c r="IXF4"/>
      <c r="IXG4"/>
      <c r="IXH4"/>
      <c r="IXI4"/>
      <c r="IXJ4"/>
      <c r="IXK4"/>
      <c r="IXL4"/>
      <c r="IXM4"/>
      <c r="IXN4"/>
      <c r="IXO4"/>
      <c r="IXP4"/>
      <c r="IXQ4"/>
      <c r="IXR4"/>
      <c r="IXS4"/>
      <c r="IXT4"/>
      <c r="IXU4"/>
      <c r="IXV4"/>
      <c r="IXW4"/>
      <c r="IXX4"/>
      <c r="IXY4"/>
      <c r="IXZ4"/>
      <c r="IYA4"/>
      <c r="IYB4"/>
      <c r="IYC4"/>
      <c r="IYD4"/>
      <c r="IYE4"/>
      <c r="IYF4"/>
      <c r="IYG4"/>
      <c r="IYH4"/>
      <c r="IYI4"/>
      <c r="IYJ4"/>
      <c r="IYK4"/>
      <c r="IYL4"/>
      <c r="IYM4"/>
      <c r="IYN4"/>
      <c r="IYO4"/>
      <c r="IYP4"/>
      <c r="IYQ4"/>
      <c r="IYR4"/>
      <c r="IYS4"/>
      <c r="IYT4"/>
      <c r="IYU4"/>
      <c r="IYV4"/>
      <c r="IYW4"/>
      <c r="IYX4"/>
      <c r="IYY4"/>
      <c r="IYZ4"/>
      <c r="IZA4"/>
      <c r="IZB4"/>
      <c r="IZC4"/>
      <c r="IZD4"/>
      <c r="IZE4"/>
      <c r="IZF4"/>
      <c r="IZG4"/>
      <c r="IZH4"/>
      <c r="IZI4"/>
      <c r="IZJ4"/>
      <c r="IZK4"/>
      <c r="IZL4"/>
      <c r="IZM4"/>
      <c r="IZN4"/>
      <c r="IZO4"/>
      <c r="IZP4"/>
      <c r="IZQ4"/>
      <c r="IZR4"/>
      <c r="IZS4"/>
      <c r="IZT4"/>
      <c r="IZU4"/>
      <c r="IZV4"/>
      <c r="IZW4"/>
      <c r="IZX4"/>
      <c r="IZY4"/>
      <c r="IZZ4"/>
      <c r="JAA4"/>
      <c r="JAB4"/>
      <c r="JAC4"/>
      <c r="JAD4"/>
      <c r="JAE4"/>
      <c r="JAF4"/>
      <c r="JAG4"/>
      <c r="JAH4"/>
      <c r="JAI4"/>
      <c r="JAJ4"/>
      <c r="JAK4"/>
      <c r="JAL4"/>
      <c r="JAM4"/>
      <c r="JAN4"/>
      <c r="JAO4"/>
      <c r="JAP4"/>
      <c r="JAQ4"/>
      <c r="JAR4"/>
      <c r="JAS4"/>
      <c r="JAT4"/>
      <c r="JAU4"/>
      <c r="JAV4"/>
      <c r="JAW4"/>
      <c r="JAX4"/>
      <c r="JAY4"/>
      <c r="JAZ4"/>
      <c r="JBA4"/>
      <c r="JBB4"/>
      <c r="JBC4"/>
      <c r="JBD4"/>
      <c r="JBE4"/>
      <c r="JBF4"/>
      <c r="JBG4"/>
      <c r="JBH4"/>
      <c r="JBI4"/>
      <c r="JBJ4"/>
      <c r="JBK4"/>
      <c r="JBL4"/>
      <c r="JBM4"/>
      <c r="JBN4"/>
      <c r="JBO4"/>
      <c r="JBP4"/>
      <c r="JBQ4"/>
      <c r="JBR4"/>
      <c r="JBS4"/>
      <c r="JBT4"/>
      <c r="JBU4"/>
      <c r="JBV4"/>
      <c r="JBW4"/>
      <c r="JBX4"/>
      <c r="JBY4"/>
      <c r="JBZ4"/>
      <c r="JCA4"/>
      <c r="JCB4"/>
      <c r="JCC4"/>
      <c r="JCD4"/>
      <c r="JCE4"/>
      <c r="JCF4"/>
      <c r="JCG4"/>
      <c r="JCH4"/>
      <c r="JCI4"/>
      <c r="JCJ4"/>
      <c r="JCK4"/>
      <c r="JCL4"/>
      <c r="JCM4"/>
      <c r="JCN4"/>
      <c r="JCO4"/>
      <c r="JCP4"/>
      <c r="JCQ4"/>
      <c r="JCR4"/>
      <c r="JCS4"/>
      <c r="JCT4"/>
      <c r="JCU4"/>
      <c r="JCV4"/>
      <c r="JCW4"/>
      <c r="JCX4"/>
      <c r="JCY4"/>
      <c r="JCZ4"/>
      <c r="JDA4"/>
      <c r="JDB4"/>
      <c r="JDC4"/>
      <c r="JDD4"/>
      <c r="JDE4"/>
      <c r="JDF4"/>
      <c r="JDG4"/>
      <c r="JDH4"/>
      <c r="JDI4"/>
      <c r="JDJ4"/>
      <c r="JDK4"/>
      <c r="JDL4"/>
      <c r="JDM4"/>
      <c r="JDN4"/>
      <c r="JDO4"/>
      <c r="JDP4"/>
      <c r="JDQ4"/>
      <c r="JDR4"/>
      <c r="JDS4"/>
      <c r="JDT4"/>
      <c r="JDU4"/>
      <c r="JDV4"/>
      <c r="JDW4"/>
      <c r="JDX4"/>
      <c r="JDY4"/>
      <c r="JDZ4"/>
      <c r="JEA4"/>
      <c r="JEB4"/>
      <c r="JEC4"/>
      <c r="JED4"/>
      <c r="JEE4"/>
      <c r="JEF4"/>
      <c r="JEG4"/>
      <c r="JEH4"/>
      <c r="JEI4"/>
      <c r="JEJ4"/>
      <c r="JEK4"/>
      <c r="JEL4"/>
      <c r="JEM4"/>
      <c r="JEN4"/>
      <c r="JEO4"/>
      <c r="JEP4"/>
      <c r="JEQ4"/>
      <c r="JER4"/>
      <c r="JES4"/>
      <c r="JET4"/>
      <c r="JEU4"/>
      <c r="JEV4"/>
      <c r="JEW4"/>
      <c r="JEX4"/>
      <c r="JEY4"/>
      <c r="JEZ4"/>
      <c r="JFA4"/>
      <c r="JFB4"/>
      <c r="JFC4"/>
      <c r="JFD4"/>
      <c r="JFE4"/>
      <c r="JFF4"/>
      <c r="JFG4"/>
      <c r="JFH4"/>
      <c r="JFI4"/>
      <c r="JFJ4"/>
      <c r="JFK4"/>
      <c r="JFL4"/>
      <c r="JFM4"/>
      <c r="JFN4"/>
      <c r="JFO4"/>
      <c r="JFP4"/>
      <c r="JFQ4"/>
      <c r="JFR4"/>
      <c r="JFS4"/>
      <c r="JFT4"/>
      <c r="JFU4"/>
      <c r="JFV4"/>
      <c r="JFW4"/>
      <c r="JFX4"/>
      <c r="JFY4"/>
      <c r="JFZ4"/>
      <c r="JGA4"/>
      <c r="JGB4"/>
      <c r="JGC4"/>
      <c r="JGD4"/>
      <c r="JGE4"/>
      <c r="JGF4"/>
      <c r="JGG4"/>
      <c r="JGH4"/>
      <c r="JGI4"/>
      <c r="JGJ4"/>
      <c r="JGK4"/>
      <c r="JGL4"/>
      <c r="JGM4"/>
      <c r="JGN4"/>
      <c r="JGO4"/>
      <c r="JGP4"/>
      <c r="JGQ4"/>
      <c r="JGR4"/>
      <c r="JGS4"/>
      <c r="JGT4"/>
      <c r="JGU4"/>
      <c r="JGV4"/>
      <c r="JGW4"/>
      <c r="JGX4"/>
      <c r="JGY4"/>
      <c r="JGZ4"/>
      <c r="JHA4"/>
      <c r="JHB4"/>
      <c r="JHC4"/>
      <c r="JHD4"/>
      <c r="JHE4"/>
      <c r="JHF4"/>
      <c r="JHG4"/>
      <c r="JHH4"/>
      <c r="JHI4"/>
      <c r="JHJ4"/>
      <c r="JHK4"/>
      <c r="JHL4"/>
      <c r="JHM4"/>
      <c r="JHN4"/>
      <c r="JHO4"/>
      <c r="JHP4"/>
      <c r="JHQ4"/>
      <c r="JHR4"/>
      <c r="JHS4"/>
      <c r="JHT4"/>
      <c r="JHU4"/>
      <c r="JHV4"/>
      <c r="JHW4"/>
      <c r="JHX4"/>
      <c r="JHY4"/>
      <c r="JHZ4"/>
      <c r="JIA4"/>
      <c r="JIB4"/>
      <c r="JIC4"/>
      <c r="JID4"/>
      <c r="JIE4"/>
      <c r="JIF4"/>
      <c r="JIG4"/>
      <c r="JIH4"/>
      <c r="JII4"/>
      <c r="JIJ4"/>
      <c r="JIK4"/>
      <c r="JIL4"/>
      <c r="JIM4"/>
      <c r="JIN4"/>
      <c r="JIO4"/>
      <c r="JIP4"/>
      <c r="JIQ4"/>
      <c r="JIR4"/>
      <c r="JIS4"/>
      <c r="JIT4"/>
      <c r="JIU4"/>
      <c r="JIV4"/>
      <c r="JIW4"/>
      <c r="JIX4"/>
      <c r="JIY4"/>
      <c r="JIZ4"/>
      <c r="JJA4"/>
      <c r="JJB4"/>
      <c r="JJC4"/>
      <c r="JJD4"/>
      <c r="JJE4"/>
      <c r="JJF4"/>
      <c r="JJG4"/>
      <c r="JJH4"/>
      <c r="JJI4"/>
      <c r="JJJ4"/>
      <c r="JJK4"/>
      <c r="JJL4"/>
      <c r="JJM4"/>
      <c r="JJN4"/>
      <c r="JJO4"/>
      <c r="JJP4"/>
      <c r="JJQ4"/>
      <c r="JJR4"/>
      <c r="JJS4"/>
      <c r="JJT4"/>
      <c r="JJU4"/>
      <c r="JJV4"/>
      <c r="JJW4"/>
      <c r="JJX4"/>
      <c r="JJY4"/>
      <c r="JJZ4"/>
      <c r="JKA4"/>
      <c r="JKB4"/>
      <c r="JKC4"/>
      <c r="JKD4"/>
      <c r="JKE4"/>
      <c r="JKF4"/>
      <c r="JKG4"/>
      <c r="JKH4"/>
      <c r="JKI4"/>
      <c r="JKJ4"/>
      <c r="JKK4"/>
      <c r="JKL4"/>
      <c r="JKM4"/>
      <c r="JKN4"/>
      <c r="JKO4"/>
      <c r="JKP4"/>
      <c r="JKQ4"/>
      <c r="JKR4"/>
      <c r="JKS4"/>
      <c r="JKT4"/>
      <c r="JKU4"/>
      <c r="JKV4"/>
      <c r="JKW4"/>
      <c r="JKX4"/>
      <c r="JKY4"/>
      <c r="JKZ4"/>
      <c r="JLA4"/>
      <c r="JLB4"/>
      <c r="JLC4"/>
      <c r="JLD4"/>
      <c r="JLE4"/>
      <c r="JLF4"/>
      <c r="JLG4"/>
      <c r="JLH4"/>
      <c r="JLI4"/>
      <c r="JLJ4"/>
      <c r="JLK4"/>
      <c r="JLL4"/>
      <c r="JLM4"/>
      <c r="JLN4"/>
      <c r="JLO4"/>
      <c r="JLP4"/>
      <c r="JLQ4"/>
      <c r="JLR4"/>
      <c r="JLS4"/>
      <c r="JLT4"/>
      <c r="JLU4"/>
      <c r="JLV4"/>
      <c r="JLW4"/>
      <c r="JLX4"/>
      <c r="JLY4"/>
      <c r="JLZ4"/>
      <c r="JMA4"/>
      <c r="JMB4"/>
      <c r="JMC4"/>
      <c r="JMD4"/>
      <c r="JME4"/>
      <c r="JMF4"/>
      <c r="JMG4"/>
      <c r="JMH4"/>
      <c r="JMI4"/>
      <c r="JMJ4"/>
      <c r="JMK4"/>
      <c r="JML4"/>
      <c r="JMM4"/>
      <c r="JMN4"/>
      <c r="JMO4"/>
      <c r="JMP4"/>
      <c r="JMQ4"/>
      <c r="JMR4"/>
      <c r="JMS4"/>
      <c r="JMT4"/>
      <c r="JMU4"/>
      <c r="JMV4"/>
      <c r="JMW4"/>
      <c r="JMX4"/>
      <c r="JMY4"/>
      <c r="JMZ4"/>
      <c r="JNA4"/>
      <c r="JNB4"/>
      <c r="JNC4"/>
      <c r="JND4"/>
      <c r="JNE4"/>
      <c r="JNF4"/>
      <c r="JNG4"/>
      <c r="JNH4"/>
      <c r="JNI4"/>
      <c r="JNJ4"/>
      <c r="JNK4"/>
      <c r="JNL4"/>
      <c r="JNM4"/>
      <c r="JNN4"/>
      <c r="JNO4"/>
      <c r="JNP4"/>
      <c r="JNQ4"/>
      <c r="JNR4"/>
      <c r="JNS4"/>
      <c r="JNT4"/>
      <c r="JNU4"/>
      <c r="JNV4"/>
      <c r="JNW4"/>
      <c r="JNX4"/>
      <c r="JNY4"/>
      <c r="JNZ4"/>
      <c r="JOA4"/>
      <c r="JOB4"/>
      <c r="JOC4"/>
      <c r="JOD4"/>
      <c r="JOE4"/>
      <c r="JOF4"/>
      <c r="JOG4"/>
      <c r="JOH4"/>
      <c r="JOI4"/>
      <c r="JOJ4"/>
      <c r="JOK4"/>
      <c r="JOL4"/>
      <c r="JOM4"/>
      <c r="JON4"/>
      <c r="JOO4"/>
      <c r="JOP4"/>
      <c r="JOQ4"/>
      <c r="JOR4"/>
      <c r="JOS4"/>
      <c r="JOT4"/>
      <c r="JOU4"/>
      <c r="JOV4"/>
      <c r="JOW4"/>
      <c r="JOX4"/>
      <c r="JOY4"/>
      <c r="JOZ4"/>
      <c r="JPA4"/>
      <c r="JPB4"/>
      <c r="JPC4"/>
      <c r="JPD4"/>
      <c r="JPE4"/>
      <c r="JPF4"/>
      <c r="JPG4"/>
      <c r="JPH4"/>
      <c r="JPI4"/>
      <c r="JPJ4"/>
      <c r="JPK4"/>
      <c r="JPL4"/>
      <c r="JPM4"/>
      <c r="JPN4"/>
      <c r="JPO4"/>
      <c r="JPP4"/>
      <c r="JPQ4"/>
      <c r="JPR4"/>
      <c r="JPS4"/>
      <c r="JPT4"/>
      <c r="JPU4"/>
      <c r="JPV4"/>
      <c r="JPW4"/>
      <c r="JPX4"/>
      <c r="JPY4"/>
      <c r="JPZ4"/>
      <c r="JQA4"/>
      <c r="JQB4"/>
      <c r="JQC4"/>
      <c r="JQD4"/>
      <c r="JQE4"/>
      <c r="JQF4"/>
      <c r="JQG4"/>
      <c r="JQH4"/>
      <c r="JQI4"/>
      <c r="JQJ4"/>
      <c r="JQK4"/>
      <c r="JQL4"/>
      <c r="JQM4"/>
      <c r="JQN4"/>
      <c r="JQO4"/>
      <c r="JQP4"/>
      <c r="JQQ4"/>
      <c r="JQR4"/>
      <c r="JQS4"/>
      <c r="JQT4"/>
      <c r="JQU4"/>
      <c r="JQV4"/>
      <c r="JQW4"/>
      <c r="JQX4"/>
      <c r="JQY4"/>
      <c r="JQZ4"/>
      <c r="JRA4"/>
      <c r="JRB4"/>
      <c r="JRC4"/>
      <c r="JRD4"/>
      <c r="JRE4"/>
      <c r="JRF4"/>
      <c r="JRG4"/>
      <c r="JRH4"/>
      <c r="JRI4"/>
      <c r="JRJ4"/>
      <c r="JRK4"/>
      <c r="JRL4"/>
      <c r="JRM4"/>
      <c r="JRN4"/>
      <c r="JRO4"/>
      <c r="JRP4"/>
      <c r="JRQ4"/>
      <c r="JRR4"/>
      <c r="JRS4"/>
      <c r="JRT4"/>
      <c r="JRU4"/>
      <c r="JRV4"/>
      <c r="JRW4"/>
      <c r="JRX4"/>
      <c r="JRY4"/>
      <c r="JRZ4"/>
      <c r="JSA4"/>
      <c r="JSB4"/>
      <c r="JSC4"/>
      <c r="JSD4"/>
      <c r="JSE4"/>
      <c r="JSF4"/>
      <c r="JSG4"/>
      <c r="JSH4"/>
      <c r="JSI4"/>
      <c r="JSJ4"/>
      <c r="JSK4"/>
      <c r="JSL4"/>
      <c r="JSM4"/>
      <c r="JSN4"/>
      <c r="JSO4"/>
      <c r="JSP4"/>
      <c r="JSQ4"/>
      <c r="JSR4"/>
      <c r="JSS4"/>
      <c r="JST4"/>
      <c r="JSU4"/>
      <c r="JSV4"/>
      <c r="JSW4"/>
      <c r="JSX4"/>
      <c r="JSY4"/>
      <c r="JSZ4"/>
      <c r="JTA4"/>
      <c r="JTB4"/>
      <c r="JTC4"/>
      <c r="JTD4"/>
      <c r="JTE4"/>
      <c r="JTF4"/>
      <c r="JTG4"/>
      <c r="JTH4"/>
      <c r="JTI4"/>
      <c r="JTJ4"/>
      <c r="JTK4"/>
      <c r="JTL4"/>
      <c r="JTM4"/>
      <c r="JTN4"/>
      <c r="JTO4"/>
      <c r="JTP4"/>
      <c r="JTQ4"/>
      <c r="JTR4"/>
      <c r="JTS4"/>
      <c r="JTT4"/>
      <c r="JTU4"/>
      <c r="JTV4"/>
      <c r="JTW4"/>
      <c r="JTX4"/>
      <c r="JTY4"/>
      <c r="JTZ4"/>
      <c r="JUA4"/>
      <c r="JUB4"/>
      <c r="JUC4"/>
      <c r="JUD4"/>
      <c r="JUE4"/>
      <c r="JUF4"/>
      <c r="JUG4"/>
      <c r="JUH4"/>
      <c r="JUI4"/>
      <c r="JUJ4"/>
      <c r="JUK4"/>
      <c r="JUL4"/>
      <c r="JUM4"/>
      <c r="JUN4"/>
      <c r="JUO4"/>
      <c r="JUP4"/>
      <c r="JUQ4"/>
      <c r="JUR4"/>
      <c r="JUS4"/>
      <c r="JUT4"/>
      <c r="JUU4"/>
      <c r="JUV4"/>
      <c r="JUW4"/>
      <c r="JUX4"/>
      <c r="JUY4"/>
      <c r="JUZ4"/>
      <c r="JVA4"/>
      <c r="JVB4"/>
      <c r="JVC4"/>
      <c r="JVD4"/>
      <c r="JVE4"/>
      <c r="JVF4"/>
      <c r="JVG4"/>
      <c r="JVH4"/>
      <c r="JVI4"/>
      <c r="JVJ4"/>
      <c r="JVK4"/>
      <c r="JVL4"/>
      <c r="JVM4"/>
      <c r="JVN4"/>
      <c r="JVO4"/>
      <c r="JVP4"/>
      <c r="JVQ4"/>
      <c r="JVR4"/>
      <c r="JVS4"/>
      <c r="JVT4"/>
      <c r="JVU4"/>
      <c r="JVV4"/>
      <c r="JVW4"/>
      <c r="JVX4"/>
      <c r="JVY4"/>
      <c r="JVZ4"/>
      <c r="JWA4"/>
      <c r="JWB4"/>
      <c r="JWC4"/>
      <c r="JWD4"/>
      <c r="JWE4"/>
      <c r="JWF4"/>
      <c r="JWG4"/>
      <c r="JWH4"/>
      <c r="JWI4"/>
      <c r="JWJ4"/>
      <c r="JWK4"/>
      <c r="JWL4"/>
      <c r="JWM4"/>
      <c r="JWN4"/>
      <c r="JWO4"/>
      <c r="JWP4"/>
      <c r="JWQ4"/>
      <c r="JWR4"/>
      <c r="JWS4"/>
      <c r="JWT4"/>
      <c r="JWU4"/>
      <c r="JWV4"/>
      <c r="JWW4"/>
      <c r="JWX4"/>
      <c r="JWY4"/>
      <c r="JWZ4"/>
      <c r="JXA4"/>
      <c r="JXB4"/>
      <c r="JXC4"/>
      <c r="JXD4"/>
      <c r="JXE4"/>
      <c r="JXF4"/>
      <c r="JXG4"/>
      <c r="JXH4"/>
      <c r="JXI4"/>
      <c r="JXJ4"/>
      <c r="JXK4"/>
      <c r="JXL4"/>
      <c r="JXM4"/>
      <c r="JXN4"/>
      <c r="JXO4"/>
      <c r="JXP4"/>
      <c r="JXQ4"/>
      <c r="JXR4"/>
      <c r="JXS4"/>
      <c r="JXT4"/>
      <c r="JXU4"/>
      <c r="JXV4"/>
      <c r="JXW4"/>
      <c r="JXX4"/>
      <c r="JXY4"/>
      <c r="JXZ4"/>
      <c r="JYA4"/>
      <c r="JYB4"/>
      <c r="JYC4"/>
      <c r="JYD4"/>
      <c r="JYE4"/>
      <c r="JYF4"/>
      <c r="JYG4"/>
      <c r="JYH4"/>
      <c r="JYI4"/>
      <c r="JYJ4"/>
      <c r="JYK4"/>
      <c r="JYL4"/>
      <c r="JYM4"/>
      <c r="JYN4"/>
      <c r="JYO4"/>
      <c r="JYP4"/>
      <c r="JYQ4"/>
      <c r="JYR4"/>
      <c r="JYS4"/>
      <c r="JYT4"/>
      <c r="JYU4"/>
      <c r="JYV4"/>
      <c r="JYW4"/>
      <c r="JYX4"/>
      <c r="JYY4"/>
      <c r="JYZ4"/>
      <c r="JZA4"/>
      <c r="JZB4"/>
      <c r="JZC4"/>
      <c r="JZD4"/>
      <c r="JZE4"/>
      <c r="JZF4"/>
      <c r="JZG4"/>
      <c r="JZH4"/>
      <c r="JZI4"/>
      <c r="JZJ4"/>
      <c r="JZK4"/>
      <c r="JZL4"/>
      <c r="JZM4"/>
      <c r="JZN4"/>
      <c r="JZO4"/>
      <c r="JZP4"/>
      <c r="JZQ4"/>
      <c r="JZR4"/>
      <c r="JZS4"/>
      <c r="JZT4"/>
      <c r="JZU4"/>
      <c r="JZV4"/>
      <c r="JZW4"/>
      <c r="JZX4"/>
      <c r="JZY4"/>
      <c r="JZZ4"/>
      <c r="KAA4"/>
      <c r="KAB4"/>
      <c r="KAC4"/>
      <c r="KAD4"/>
      <c r="KAE4"/>
      <c r="KAF4"/>
      <c r="KAG4"/>
      <c r="KAH4"/>
      <c r="KAI4"/>
      <c r="KAJ4"/>
      <c r="KAK4"/>
      <c r="KAL4"/>
      <c r="KAM4"/>
      <c r="KAN4"/>
      <c r="KAO4"/>
      <c r="KAP4"/>
      <c r="KAQ4"/>
      <c r="KAR4"/>
      <c r="KAS4"/>
      <c r="KAT4"/>
      <c r="KAU4"/>
      <c r="KAV4"/>
      <c r="KAW4"/>
      <c r="KAX4"/>
      <c r="KAY4"/>
      <c r="KAZ4"/>
      <c r="KBA4"/>
      <c r="KBB4"/>
      <c r="KBC4"/>
      <c r="KBD4"/>
      <c r="KBE4"/>
      <c r="KBF4"/>
      <c r="KBG4"/>
      <c r="KBH4"/>
      <c r="KBI4"/>
      <c r="KBJ4"/>
      <c r="KBK4"/>
      <c r="KBL4"/>
      <c r="KBM4"/>
      <c r="KBN4"/>
      <c r="KBO4"/>
      <c r="KBP4"/>
      <c r="KBQ4"/>
      <c r="KBR4"/>
      <c r="KBS4"/>
      <c r="KBT4"/>
      <c r="KBU4"/>
      <c r="KBV4"/>
      <c r="KBW4"/>
      <c r="KBX4"/>
      <c r="KBY4"/>
      <c r="KBZ4"/>
      <c r="KCA4"/>
      <c r="KCB4"/>
      <c r="KCC4"/>
      <c r="KCD4"/>
      <c r="KCE4"/>
      <c r="KCF4"/>
      <c r="KCG4"/>
      <c r="KCH4"/>
      <c r="KCI4"/>
      <c r="KCJ4"/>
      <c r="KCK4"/>
      <c r="KCL4"/>
      <c r="KCM4"/>
      <c r="KCN4"/>
      <c r="KCO4"/>
      <c r="KCP4"/>
      <c r="KCQ4"/>
      <c r="KCR4"/>
      <c r="KCS4"/>
      <c r="KCT4"/>
      <c r="KCU4"/>
      <c r="KCV4"/>
      <c r="KCW4"/>
      <c r="KCX4"/>
      <c r="KCY4"/>
      <c r="KCZ4"/>
      <c r="KDA4"/>
      <c r="KDB4"/>
      <c r="KDC4"/>
      <c r="KDD4"/>
      <c r="KDE4"/>
      <c r="KDF4"/>
      <c r="KDG4"/>
      <c r="KDH4"/>
      <c r="KDI4"/>
      <c r="KDJ4"/>
      <c r="KDK4"/>
      <c r="KDL4"/>
      <c r="KDM4"/>
      <c r="KDN4"/>
      <c r="KDO4"/>
      <c r="KDP4"/>
      <c r="KDQ4"/>
      <c r="KDR4"/>
      <c r="KDS4"/>
      <c r="KDT4"/>
      <c r="KDU4"/>
      <c r="KDV4"/>
      <c r="KDW4"/>
      <c r="KDX4"/>
      <c r="KDY4"/>
      <c r="KDZ4"/>
      <c r="KEA4"/>
      <c r="KEB4"/>
      <c r="KEC4"/>
      <c r="KED4"/>
      <c r="KEE4"/>
      <c r="KEF4"/>
      <c r="KEG4"/>
      <c r="KEH4"/>
      <c r="KEI4"/>
      <c r="KEJ4"/>
      <c r="KEK4"/>
      <c r="KEL4"/>
      <c r="KEM4"/>
      <c r="KEN4"/>
      <c r="KEO4"/>
      <c r="KEP4"/>
      <c r="KEQ4"/>
      <c r="KER4"/>
      <c r="KES4"/>
      <c r="KET4"/>
      <c r="KEU4"/>
      <c r="KEV4"/>
      <c r="KEW4"/>
      <c r="KEX4"/>
      <c r="KEY4"/>
      <c r="KEZ4"/>
      <c r="KFA4"/>
      <c r="KFB4"/>
      <c r="KFC4"/>
      <c r="KFD4"/>
      <c r="KFE4"/>
      <c r="KFF4"/>
      <c r="KFG4"/>
      <c r="KFH4"/>
      <c r="KFI4"/>
      <c r="KFJ4"/>
      <c r="KFK4"/>
      <c r="KFL4"/>
      <c r="KFM4"/>
      <c r="KFN4"/>
      <c r="KFO4"/>
      <c r="KFP4"/>
      <c r="KFQ4"/>
      <c r="KFR4"/>
      <c r="KFS4"/>
      <c r="KFT4"/>
      <c r="KFU4"/>
      <c r="KFV4"/>
      <c r="KFW4"/>
      <c r="KFX4"/>
      <c r="KFY4"/>
      <c r="KFZ4"/>
      <c r="KGA4"/>
      <c r="KGB4"/>
      <c r="KGC4"/>
      <c r="KGD4"/>
      <c r="KGE4"/>
      <c r="KGF4"/>
      <c r="KGG4"/>
      <c r="KGH4"/>
      <c r="KGI4"/>
      <c r="KGJ4"/>
      <c r="KGK4"/>
      <c r="KGL4"/>
      <c r="KGM4"/>
      <c r="KGN4"/>
      <c r="KGO4"/>
      <c r="KGP4"/>
      <c r="KGQ4"/>
      <c r="KGR4"/>
      <c r="KGS4"/>
      <c r="KGT4"/>
      <c r="KGU4"/>
      <c r="KGV4"/>
      <c r="KGW4"/>
      <c r="KGX4"/>
      <c r="KGY4"/>
      <c r="KGZ4"/>
      <c r="KHA4"/>
      <c r="KHB4"/>
      <c r="KHC4"/>
      <c r="KHD4"/>
      <c r="KHE4"/>
      <c r="KHF4"/>
      <c r="KHG4"/>
      <c r="KHH4"/>
      <c r="KHI4"/>
      <c r="KHJ4"/>
      <c r="KHK4"/>
      <c r="KHL4"/>
      <c r="KHM4"/>
      <c r="KHN4"/>
      <c r="KHO4"/>
      <c r="KHP4"/>
      <c r="KHQ4"/>
      <c r="KHR4"/>
      <c r="KHS4"/>
      <c r="KHT4"/>
      <c r="KHU4"/>
      <c r="KHV4"/>
      <c r="KHW4"/>
      <c r="KHX4"/>
      <c r="KHY4"/>
      <c r="KHZ4"/>
      <c r="KIA4"/>
      <c r="KIB4"/>
      <c r="KIC4"/>
      <c r="KID4"/>
      <c r="KIE4"/>
      <c r="KIF4"/>
      <c r="KIG4"/>
      <c r="KIH4"/>
      <c r="KII4"/>
      <c r="KIJ4"/>
      <c r="KIK4"/>
      <c r="KIL4"/>
      <c r="KIM4"/>
      <c r="KIN4"/>
      <c r="KIO4"/>
      <c r="KIP4"/>
      <c r="KIQ4"/>
      <c r="KIR4"/>
      <c r="KIS4"/>
      <c r="KIT4"/>
      <c r="KIU4"/>
      <c r="KIV4"/>
      <c r="KIW4"/>
      <c r="KIX4"/>
      <c r="KIY4"/>
      <c r="KIZ4"/>
      <c r="KJA4"/>
      <c r="KJB4"/>
      <c r="KJC4"/>
      <c r="KJD4"/>
      <c r="KJE4"/>
      <c r="KJF4"/>
      <c r="KJG4"/>
      <c r="KJH4"/>
      <c r="KJI4"/>
      <c r="KJJ4"/>
      <c r="KJK4"/>
      <c r="KJL4"/>
      <c r="KJM4"/>
      <c r="KJN4"/>
      <c r="KJO4"/>
      <c r="KJP4"/>
      <c r="KJQ4"/>
      <c r="KJR4"/>
      <c r="KJS4"/>
      <c r="KJT4"/>
      <c r="KJU4"/>
      <c r="KJV4"/>
      <c r="KJW4"/>
      <c r="KJX4"/>
      <c r="KJY4"/>
      <c r="KJZ4"/>
      <c r="KKA4"/>
      <c r="KKB4"/>
      <c r="KKC4"/>
      <c r="KKD4"/>
      <c r="KKE4"/>
      <c r="KKF4"/>
      <c r="KKG4"/>
      <c r="KKH4"/>
      <c r="KKI4"/>
      <c r="KKJ4"/>
      <c r="KKK4"/>
      <c r="KKL4"/>
      <c r="KKM4"/>
      <c r="KKN4"/>
      <c r="KKO4"/>
      <c r="KKP4"/>
      <c r="KKQ4"/>
      <c r="KKR4"/>
      <c r="KKS4"/>
      <c r="KKT4"/>
      <c r="KKU4"/>
      <c r="KKV4"/>
      <c r="KKW4"/>
      <c r="KKX4"/>
      <c r="KKY4"/>
      <c r="KKZ4"/>
      <c r="KLA4"/>
      <c r="KLB4"/>
      <c r="KLC4"/>
      <c r="KLD4"/>
      <c r="KLE4"/>
      <c r="KLF4"/>
      <c r="KLG4"/>
      <c r="KLH4"/>
      <c r="KLI4"/>
      <c r="KLJ4"/>
      <c r="KLK4"/>
      <c r="KLL4"/>
      <c r="KLM4"/>
      <c r="KLN4"/>
      <c r="KLO4"/>
      <c r="KLP4"/>
      <c r="KLQ4"/>
      <c r="KLR4"/>
      <c r="KLS4"/>
      <c r="KLT4"/>
      <c r="KLU4"/>
      <c r="KLV4"/>
      <c r="KLW4"/>
      <c r="KLX4"/>
      <c r="KLY4"/>
      <c r="KLZ4"/>
      <c r="KMA4"/>
      <c r="KMB4"/>
      <c r="KMC4"/>
      <c r="KMD4"/>
      <c r="KME4"/>
      <c r="KMF4"/>
      <c r="KMG4"/>
      <c r="KMH4"/>
      <c r="KMI4"/>
      <c r="KMJ4"/>
      <c r="KMK4"/>
      <c r="KML4"/>
      <c r="KMM4"/>
      <c r="KMN4"/>
      <c r="KMO4"/>
      <c r="KMP4"/>
      <c r="KMQ4"/>
      <c r="KMR4"/>
      <c r="KMS4"/>
      <c r="KMT4"/>
      <c r="KMU4"/>
      <c r="KMV4"/>
      <c r="KMW4"/>
      <c r="KMX4"/>
      <c r="KMY4"/>
      <c r="KMZ4"/>
      <c r="KNA4"/>
      <c r="KNB4"/>
      <c r="KNC4"/>
      <c r="KND4"/>
      <c r="KNE4"/>
      <c r="KNF4"/>
      <c r="KNG4"/>
      <c r="KNH4"/>
      <c r="KNI4"/>
      <c r="KNJ4"/>
      <c r="KNK4"/>
      <c r="KNL4"/>
      <c r="KNM4"/>
      <c r="KNN4"/>
      <c r="KNO4"/>
      <c r="KNP4"/>
      <c r="KNQ4"/>
      <c r="KNR4"/>
      <c r="KNS4"/>
      <c r="KNT4"/>
      <c r="KNU4"/>
      <c r="KNV4"/>
      <c r="KNW4"/>
      <c r="KNX4"/>
      <c r="KNY4"/>
      <c r="KNZ4"/>
      <c r="KOA4"/>
      <c r="KOB4"/>
      <c r="KOC4"/>
      <c r="KOD4"/>
      <c r="KOE4"/>
      <c r="KOF4"/>
      <c r="KOG4"/>
      <c r="KOH4"/>
      <c r="KOI4"/>
      <c r="KOJ4"/>
      <c r="KOK4"/>
      <c r="KOL4"/>
      <c r="KOM4"/>
      <c r="KON4"/>
      <c r="KOO4"/>
      <c r="KOP4"/>
      <c r="KOQ4"/>
      <c r="KOR4"/>
      <c r="KOS4"/>
      <c r="KOT4"/>
      <c r="KOU4"/>
      <c r="KOV4"/>
      <c r="KOW4"/>
      <c r="KOX4"/>
      <c r="KOY4"/>
      <c r="KOZ4"/>
      <c r="KPA4"/>
      <c r="KPB4"/>
      <c r="KPC4"/>
      <c r="KPD4"/>
      <c r="KPE4"/>
      <c r="KPF4"/>
      <c r="KPG4"/>
      <c r="KPH4"/>
      <c r="KPI4"/>
      <c r="KPJ4"/>
      <c r="KPK4"/>
      <c r="KPL4"/>
      <c r="KPM4"/>
      <c r="KPN4"/>
      <c r="KPO4"/>
      <c r="KPP4"/>
      <c r="KPQ4"/>
      <c r="KPR4"/>
      <c r="KPS4"/>
      <c r="KPT4"/>
      <c r="KPU4"/>
      <c r="KPV4"/>
      <c r="KPW4"/>
      <c r="KPX4"/>
      <c r="KPY4"/>
      <c r="KPZ4"/>
      <c r="KQA4"/>
      <c r="KQB4"/>
      <c r="KQC4"/>
      <c r="KQD4"/>
      <c r="KQE4"/>
      <c r="KQF4"/>
      <c r="KQG4"/>
      <c r="KQH4"/>
      <c r="KQI4"/>
      <c r="KQJ4"/>
      <c r="KQK4"/>
      <c r="KQL4"/>
      <c r="KQM4"/>
      <c r="KQN4"/>
      <c r="KQO4"/>
      <c r="KQP4"/>
      <c r="KQQ4"/>
      <c r="KQR4"/>
      <c r="KQS4"/>
      <c r="KQT4"/>
      <c r="KQU4"/>
      <c r="KQV4"/>
      <c r="KQW4"/>
      <c r="KQX4"/>
      <c r="KQY4"/>
      <c r="KQZ4"/>
      <c r="KRA4"/>
      <c r="KRB4"/>
      <c r="KRC4"/>
      <c r="KRD4"/>
      <c r="KRE4"/>
      <c r="KRF4"/>
      <c r="KRG4"/>
      <c r="KRH4"/>
      <c r="KRI4"/>
      <c r="KRJ4"/>
      <c r="KRK4"/>
      <c r="KRL4"/>
      <c r="KRM4"/>
      <c r="KRN4"/>
      <c r="KRO4"/>
      <c r="KRP4"/>
      <c r="KRQ4"/>
      <c r="KRR4"/>
      <c r="KRS4"/>
      <c r="KRT4"/>
      <c r="KRU4"/>
      <c r="KRV4"/>
      <c r="KRW4"/>
      <c r="KRX4"/>
      <c r="KRY4"/>
      <c r="KRZ4"/>
      <c r="KSA4"/>
      <c r="KSB4"/>
      <c r="KSC4"/>
      <c r="KSD4"/>
      <c r="KSE4"/>
      <c r="KSF4"/>
      <c r="KSG4"/>
      <c r="KSH4"/>
      <c r="KSI4"/>
      <c r="KSJ4"/>
      <c r="KSK4"/>
      <c r="KSL4"/>
      <c r="KSM4"/>
      <c r="KSN4"/>
      <c r="KSO4"/>
      <c r="KSP4"/>
      <c r="KSQ4"/>
      <c r="KSR4"/>
      <c r="KSS4"/>
      <c r="KST4"/>
      <c r="KSU4"/>
      <c r="KSV4"/>
      <c r="KSW4"/>
      <c r="KSX4"/>
      <c r="KSY4"/>
      <c r="KSZ4"/>
      <c r="KTA4"/>
      <c r="KTB4"/>
      <c r="KTC4"/>
      <c r="KTD4"/>
      <c r="KTE4"/>
      <c r="KTF4"/>
      <c r="KTG4"/>
      <c r="KTH4"/>
      <c r="KTI4"/>
      <c r="KTJ4"/>
      <c r="KTK4"/>
      <c r="KTL4"/>
      <c r="KTM4"/>
      <c r="KTN4"/>
      <c r="KTO4"/>
      <c r="KTP4"/>
      <c r="KTQ4"/>
      <c r="KTR4"/>
      <c r="KTS4"/>
      <c r="KTT4"/>
      <c r="KTU4"/>
      <c r="KTV4"/>
      <c r="KTW4"/>
      <c r="KTX4"/>
      <c r="KTY4"/>
      <c r="KTZ4"/>
      <c r="KUA4"/>
      <c r="KUB4"/>
      <c r="KUC4"/>
      <c r="KUD4"/>
      <c r="KUE4"/>
      <c r="KUF4"/>
      <c r="KUG4"/>
      <c r="KUH4"/>
      <c r="KUI4"/>
      <c r="KUJ4"/>
      <c r="KUK4"/>
      <c r="KUL4"/>
      <c r="KUM4"/>
      <c r="KUN4"/>
      <c r="KUO4"/>
      <c r="KUP4"/>
      <c r="KUQ4"/>
      <c r="KUR4"/>
      <c r="KUS4"/>
      <c r="KUT4"/>
      <c r="KUU4"/>
      <c r="KUV4"/>
      <c r="KUW4"/>
      <c r="KUX4"/>
      <c r="KUY4"/>
      <c r="KUZ4"/>
      <c r="KVA4"/>
      <c r="KVB4"/>
      <c r="KVC4"/>
      <c r="KVD4"/>
      <c r="KVE4"/>
      <c r="KVF4"/>
      <c r="KVG4"/>
      <c r="KVH4"/>
      <c r="KVI4"/>
      <c r="KVJ4"/>
      <c r="KVK4"/>
      <c r="KVL4"/>
      <c r="KVM4"/>
      <c r="KVN4"/>
      <c r="KVO4"/>
      <c r="KVP4"/>
      <c r="KVQ4"/>
      <c r="KVR4"/>
      <c r="KVS4"/>
      <c r="KVT4"/>
      <c r="KVU4"/>
      <c r="KVV4"/>
      <c r="KVW4"/>
      <c r="KVX4"/>
      <c r="KVY4"/>
      <c r="KVZ4"/>
      <c r="KWA4"/>
      <c r="KWB4"/>
      <c r="KWC4"/>
      <c r="KWD4"/>
      <c r="KWE4"/>
      <c r="KWF4"/>
      <c r="KWG4"/>
      <c r="KWH4"/>
      <c r="KWI4"/>
      <c r="KWJ4"/>
      <c r="KWK4"/>
      <c r="KWL4"/>
      <c r="KWM4"/>
      <c r="KWN4"/>
      <c r="KWO4"/>
      <c r="KWP4"/>
      <c r="KWQ4"/>
      <c r="KWR4"/>
      <c r="KWS4"/>
      <c r="KWT4"/>
      <c r="KWU4"/>
      <c r="KWV4"/>
      <c r="KWW4"/>
      <c r="KWX4"/>
      <c r="KWY4"/>
      <c r="KWZ4"/>
      <c r="KXA4"/>
      <c r="KXB4"/>
      <c r="KXC4"/>
      <c r="KXD4"/>
      <c r="KXE4"/>
      <c r="KXF4"/>
      <c r="KXG4"/>
      <c r="KXH4"/>
      <c r="KXI4"/>
      <c r="KXJ4"/>
      <c r="KXK4"/>
      <c r="KXL4"/>
      <c r="KXM4"/>
      <c r="KXN4"/>
      <c r="KXO4"/>
      <c r="KXP4"/>
      <c r="KXQ4"/>
      <c r="KXR4"/>
      <c r="KXS4"/>
      <c r="KXT4"/>
      <c r="KXU4"/>
      <c r="KXV4"/>
      <c r="KXW4"/>
      <c r="KXX4"/>
      <c r="KXY4"/>
      <c r="KXZ4"/>
      <c r="KYA4"/>
      <c r="KYB4"/>
      <c r="KYC4"/>
      <c r="KYD4"/>
      <c r="KYE4"/>
      <c r="KYF4"/>
      <c r="KYG4"/>
      <c r="KYH4"/>
      <c r="KYI4"/>
      <c r="KYJ4"/>
      <c r="KYK4"/>
      <c r="KYL4"/>
      <c r="KYM4"/>
      <c r="KYN4"/>
      <c r="KYO4"/>
      <c r="KYP4"/>
      <c r="KYQ4"/>
      <c r="KYR4"/>
      <c r="KYS4"/>
      <c r="KYT4"/>
      <c r="KYU4"/>
      <c r="KYV4"/>
      <c r="KYW4"/>
      <c r="KYX4"/>
      <c r="KYY4"/>
      <c r="KYZ4"/>
      <c r="KZA4"/>
      <c r="KZB4"/>
      <c r="KZC4"/>
      <c r="KZD4"/>
      <c r="KZE4"/>
      <c r="KZF4"/>
      <c r="KZG4"/>
      <c r="KZH4"/>
      <c r="KZI4"/>
      <c r="KZJ4"/>
      <c r="KZK4"/>
      <c r="KZL4"/>
      <c r="KZM4"/>
      <c r="KZN4"/>
      <c r="KZO4"/>
      <c r="KZP4"/>
      <c r="KZQ4"/>
      <c r="KZR4"/>
      <c r="KZS4"/>
      <c r="KZT4"/>
      <c r="KZU4"/>
      <c r="KZV4"/>
      <c r="KZW4"/>
      <c r="KZX4"/>
      <c r="KZY4"/>
      <c r="KZZ4"/>
      <c r="LAA4"/>
      <c r="LAB4"/>
      <c r="LAC4"/>
      <c r="LAD4"/>
      <c r="LAE4"/>
      <c r="LAF4"/>
      <c r="LAG4"/>
      <c r="LAH4"/>
      <c r="LAI4"/>
      <c r="LAJ4"/>
      <c r="LAK4"/>
      <c r="LAL4"/>
      <c r="LAM4"/>
      <c r="LAN4"/>
      <c r="LAO4"/>
      <c r="LAP4"/>
      <c r="LAQ4"/>
      <c r="LAR4"/>
      <c r="LAS4"/>
      <c r="LAT4"/>
      <c r="LAU4"/>
      <c r="LAV4"/>
      <c r="LAW4"/>
      <c r="LAX4"/>
      <c r="LAY4"/>
      <c r="LAZ4"/>
      <c r="LBA4"/>
      <c r="LBB4"/>
      <c r="LBC4"/>
      <c r="LBD4"/>
      <c r="LBE4"/>
      <c r="LBF4"/>
      <c r="LBG4"/>
      <c r="LBH4"/>
      <c r="LBI4"/>
      <c r="LBJ4"/>
      <c r="LBK4"/>
      <c r="LBL4"/>
      <c r="LBM4"/>
      <c r="LBN4"/>
      <c r="LBO4"/>
      <c r="LBP4"/>
      <c r="LBQ4"/>
      <c r="LBR4"/>
      <c r="LBS4"/>
      <c r="LBT4"/>
      <c r="LBU4"/>
      <c r="LBV4"/>
      <c r="LBW4"/>
      <c r="LBX4"/>
      <c r="LBY4"/>
      <c r="LBZ4"/>
      <c r="LCA4"/>
      <c r="LCB4"/>
      <c r="LCC4"/>
      <c r="LCD4"/>
      <c r="LCE4"/>
      <c r="LCF4"/>
      <c r="LCG4"/>
      <c r="LCH4"/>
      <c r="LCI4"/>
      <c r="LCJ4"/>
      <c r="LCK4"/>
      <c r="LCL4"/>
      <c r="LCM4"/>
      <c r="LCN4"/>
      <c r="LCO4"/>
      <c r="LCP4"/>
      <c r="LCQ4"/>
      <c r="LCR4"/>
      <c r="LCS4"/>
      <c r="LCT4"/>
      <c r="LCU4"/>
      <c r="LCV4"/>
      <c r="LCW4"/>
      <c r="LCX4"/>
      <c r="LCY4"/>
      <c r="LCZ4"/>
      <c r="LDA4"/>
      <c r="LDB4"/>
      <c r="LDC4"/>
      <c r="LDD4"/>
      <c r="LDE4"/>
      <c r="LDF4"/>
      <c r="LDG4"/>
      <c r="LDH4"/>
      <c r="LDI4"/>
      <c r="LDJ4"/>
      <c r="LDK4"/>
      <c r="LDL4"/>
      <c r="LDM4"/>
      <c r="LDN4"/>
      <c r="LDO4"/>
      <c r="LDP4"/>
      <c r="LDQ4"/>
      <c r="LDR4"/>
      <c r="LDS4"/>
      <c r="LDT4"/>
      <c r="LDU4"/>
      <c r="LDV4"/>
      <c r="LDW4"/>
      <c r="LDX4"/>
      <c r="LDY4"/>
      <c r="LDZ4"/>
      <c r="LEA4"/>
      <c r="LEB4"/>
      <c r="LEC4"/>
      <c r="LED4"/>
      <c r="LEE4"/>
      <c r="LEF4"/>
      <c r="LEG4"/>
      <c r="LEH4"/>
      <c r="LEI4"/>
      <c r="LEJ4"/>
      <c r="LEK4"/>
      <c r="LEL4"/>
      <c r="LEM4"/>
      <c r="LEN4"/>
      <c r="LEO4"/>
      <c r="LEP4"/>
      <c r="LEQ4"/>
      <c r="LER4"/>
      <c r="LES4"/>
      <c r="LET4"/>
      <c r="LEU4"/>
      <c r="LEV4"/>
      <c r="LEW4"/>
      <c r="LEX4"/>
      <c r="LEY4"/>
      <c r="LEZ4"/>
      <c r="LFA4"/>
      <c r="LFB4"/>
      <c r="LFC4"/>
      <c r="LFD4"/>
      <c r="LFE4"/>
      <c r="LFF4"/>
      <c r="LFG4"/>
      <c r="LFH4"/>
      <c r="LFI4"/>
      <c r="LFJ4"/>
      <c r="LFK4"/>
      <c r="LFL4"/>
      <c r="LFM4"/>
      <c r="LFN4"/>
      <c r="LFO4"/>
      <c r="LFP4"/>
      <c r="LFQ4"/>
      <c r="LFR4"/>
      <c r="LFS4"/>
      <c r="LFT4"/>
      <c r="LFU4"/>
      <c r="LFV4"/>
      <c r="LFW4"/>
      <c r="LFX4"/>
      <c r="LFY4"/>
      <c r="LFZ4"/>
      <c r="LGA4"/>
      <c r="LGB4"/>
      <c r="LGC4"/>
      <c r="LGD4"/>
      <c r="LGE4"/>
      <c r="LGF4"/>
      <c r="LGG4"/>
      <c r="LGH4"/>
      <c r="LGI4"/>
      <c r="LGJ4"/>
      <c r="LGK4"/>
      <c r="LGL4"/>
      <c r="LGM4"/>
      <c r="LGN4"/>
      <c r="LGO4"/>
      <c r="LGP4"/>
      <c r="LGQ4"/>
      <c r="LGR4"/>
      <c r="LGS4"/>
      <c r="LGT4"/>
      <c r="LGU4"/>
      <c r="LGV4"/>
      <c r="LGW4"/>
      <c r="LGX4"/>
      <c r="LGY4"/>
      <c r="LGZ4"/>
      <c r="LHA4"/>
      <c r="LHB4"/>
      <c r="LHC4"/>
      <c r="LHD4"/>
      <c r="LHE4"/>
      <c r="LHF4"/>
      <c r="LHG4"/>
      <c r="LHH4"/>
      <c r="LHI4"/>
      <c r="LHJ4"/>
      <c r="LHK4"/>
      <c r="LHL4"/>
      <c r="LHM4"/>
      <c r="LHN4"/>
      <c r="LHO4"/>
      <c r="LHP4"/>
      <c r="LHQ4"/>
      <c r="LHR4"/>
      <c r="LHS4"/>
      <c r="LHT4"/>
      <c r="LHU4"/>
      <c r="LHV4"/>
      <c r="LHW4"/>
      <c r="LHX4"/>
      <c r="LHY4"/>
      <c r="LHZ4"/>
      <c r="LIA4"/>
      <c r="LIB4"/>
      <c r="LIC4"/>
      <c r="LID4"/>
      <c r="LIE4"/>
      <c r="LIF4"/>
      <c r="LIG4"/>
      <c r="LIH4"/>
      <c r="LII4"/>
      <c r="LIJ4"/>
      <c r="LIK4"/>
      <c r="LIL4"/>
      <c r="LIM4"/>
      <c r="LIN4"/>
      <c r="LIO4"/>
      <c r="LIP4"/>
      <c r="LIQ4"/>
      <c r="LIR4"/>
      <c r="LIS4"/>
      <c r="LIT4"/>
      <c r="LIU4"/>
      <c r="LIV4"/>
      <c r="LIW4"/>
      <c r="LIX4"/>
      <c r="LIY4"/>
      <c r="LIZ4"/>
      <c r="LJA4"/>
      <c r="LJB4"/>
      <c r="LJC4"/>
      <c r="LJD4"/>
      <c r="LJE4"/>
      <c r="LJF4"/>
      <c r="LJG4"/>
      <c r="LJH4"/>
      <c r="LJI4"/>
      <c r="LJJ4"/>
      <c r="LJK4"/>
      <c r="LJL4"/>
      <c r="LJM4"/>
      <c r="LJN4"/>
      <c r="LJO4"/>
      <c r="LJP4"/>
      <c r="LJQ4"/>
      <c r="LJR4"/>
      <c r="LJS4"/>
      <c r="LJT4"/>
      <c r="LJU4"/>
      <c r="LJV4"/>
      <c r="LJW4"/>
      <c r="LJX4"/>
      <c r="LJY4"/>
      <c r="LJZ4"/>
      <c r="LKA4"/>
      <c r="LKB4"/>
      <c r="LKC4"/>
      <c r="LKD4"/>
      <c r="LKE4"/>
      <c r="LKF4"/>
      <c r="LKG4"/>
      <c r="LKH4"/>
      <c r="LKI4"/>
      <c r="LKJ4"/>
      <c r="LKK4"/>
      <c r="LKL4"/>
      <c r="LKM4"/>
      <c r="LKN4"/>
      <c r="LKO4"/>
      <c r="LKP4"/>
      <c r="LKQ4"/>
      <c r="LKR4"/>
      <c r="LKS4"/>
      <c r="LKT4"/>
      <c r="LKU4"/>
      <c r="LKV4"/>
      <c r="LKW4"/>
      <c r="LKX4"/>
      <c r="LKY4"/>
      <c r="LKZ4"/>
      <c r="LLA4"/>
      <c r="LLB4"/>
      <c r="LLC4"/>
      <c r="LLD4"/>
      <c r="LLE4"/>
      <c r="LLF4"/>
      <c r="LLG4"/>
      <c r="LLH4"/>
      <c r="LLI4"/>
      <c r="LLJ4"/>
      <c r="LLK4"/>
      <c r="LLL4"/>
      <c r="LLM4"/>
      <c r="LLN4"/>
      <c r="LLO4"/>
      <c r="LLP4"/>
      <c r="LLQ4"/>
      <c r="LLR4"/>
      <c r="LLS4"/>
      <c r="LLT4"/>
      <c r="LLU4"/>
      <c r="LLV4"/>
      <c r="LLW4"/>
      <c r="LLX4"/>
      <c r="LLY4"/>
      <c r="LLZ4"/>
      <c r="LMA4"/>
      <c r="LMB4"/>
      <c r="LMC4"/>
      <c r="LMD4"/>
      <c r="LME4"/>
      <c r="LMF4"/>
      <c r="LMG4"/>
      <c r="LMH4"/>
      <c r="LMI4"/>
      <c r="LMJ4"/>
      <c r="LMK4"/>
      <c r="LML4"/>
      <c r="LMM4"/>
      <c r="LMN4"/>
      <c r="LMO4"/>
      <c r="LMP4"/>
      <c r="LMQ4"/>
      <c r="LMR4"/>
      <c r="LMS4"/>
      <c r="LMT4"/>
      <c r="LMU4"/>
      <c r="LMV4"/>
      <c r="LMW4"/>
      <c r="LMX4"/>
      <c r="LMY4"/>
      <c r="LMZ4"/>
      <c r="LNA4"/>
      <c r="LNB4"/>
      <c r="LNC4"/>
      <c r="LND4"/>
      <c r="LNE4"/>
      <c r="LNF4"/>
      <c r="LNG4"/>
      <c r="LNH4"/>
      <c r="LNI4"/>
      <c r="LNJ4"/>
      <c r="LNK4"/>
      <c r="LNL4"/>
      <c r="LNM4"/>
      <c r="LNN4"/>
      <c r="LNO4"/>
      <c r="LNP4"/>
      <c r="LNQ4"/>
      <c r="LNR4"/>
      <c r="LNS4"/>
      <c r="LNT4"/>
      <c r="LNU4"/>
      <c r="LNV4"/>
      <c r="LNW4"/>
      <c r="LNX4"/>
      <c r="LNY4"/>
      <c r="LNZ4"/>
      <c r="LOA4"/>
      <c r="LOB4"/>
      <c r="LOC4"/>
      <c r="LOD4"/>
      <c r="LOE4"/>
      <c r="LOF4"/>
      <c r="LOG4"/>
      <c r="LOH4"/>
      <c r="LOI4"/>
      <c r="LOJ4"/>
      <c r="LOK4"/>
      <c r="LOL4"/>
      <c r="LOM4"/>
      <c r="LON4"/>
      <c r="LOO4"/>
      <c r="LOP4"/>
      <c r="LOQ4"/>
      <c r="LOR4"/>
      <c r="LOS4"/>
      <c r="LOT4"/>
      <c r="LOU4"/>
      <c r="LOV4"/>
      <c r="LOW4"/>
      <c r="LOX4"/>
      <c r="LOY4"/>
      <c r="LOZ4"/>
      <c r="LPA4"/>
      <c r="LPB4"/>
      <c r="LPC4"/>
      <c r="LPD4"/>
      <c r="LPE4"/>
      <c r="LPF4"/>
      <c r="LPG4"/>
      <c r="LPH4"/>
      <c r="LPI4"/>
      <c r="LPJ4"/>
      <c r="LPK4"/>
      <c r="LPL4"/>
      <c r="LPM4"/>
      <c r="LPN4"/>
      <c r="LPO4"/>
      <c r="LPP4"/>
      <c r="LPQ4"/>
      <c r="LPR4"/>
      <c r="LPS4"/>
      <c r="LPT4"/>
      <c r="LPU4"/>
      <c r="LPV4"/>
      <c r="LPW4"/>
      <c r="LPX4"/>
      <c r="LPY4"/>
      <c r="LPZ4"/>
      <c r="LQA4"/>
      <c r="LQB4"/>
      <c r="LQC4"/>
      <c r="LQD4"/>
      <c r="LQE4"/>
      <c r="LQF4"/>
      <c r="LQG4"/>
      <c r="LQH4"/>
      <c r="LQI4"/>
      <c r="LQJ4"/>
      <c r="LQK4"/>
      <c r="LQL4"/>
      <c r="LQM4"/>
      <c r="LQN4"/>
      <c r="LQO4"/>
      <c r="LQP4"/>
      <c r="LQQ4"/>
      <c r="LQR4"/>
      <c r="LQS4"/>
      <c r="LQT4"/>
      <c r="LQU4"/>
      <c r="LQV4"/>
      <c r="LQW4"/>
      <c r="LQX4"/>
      <c r="LQY4"/>
      <c r="LQZ4"/>
      <c r="LRA4"/>
      <c r="LRB4"/>
      <c r="LRC4"/>
      <c r="LRD4"/>
      <c r="LRE4"/>
      <c r="LRF4"/>
      <c r="LRG4"/>
      <c r="LRH4"/>
      <c r="LRI4"/>
      <c r="LRJ4"/>
      <c r="LRK4"/>
      <c r="LRL4"/>
      <c r="LRM4"/>
      <c r="LRN4"/>
      <c r="LRO4"/>
      <c r="LRP4"/>
      <c r="LRQ4"/>
      <c r="LRR4"/>
      <c r="LRS4"/>
      <c r="LRT4"/>
      <c r="LRU4"/>
      <c r="LRV4"/>
      <c r="LRW4"/>
      <c r="LRX4"/>
      <c r="LRY4"/>
      <c r="LRZ4"/>
      <c r="LSA4"/>
      <c r="LSB4"/>
      <c r="LSC4"/>
      <c r="LSD4"/>
      <c r="LSE4"/>
      <c r="LSF4"/>
      <c r="LSG4"/>
      <c r="LSH4"/>
      <c r="LSI4"/>
      <c r="LSJ4"/>
      <c r="LSK4"/>
      <c r="LSL4"/>
      <c r="LSM4"/>
      <c r="LSN4"/>
      <c r="LSO4"/>
      <c r="LSP4"/>
      <c r="LSQ4"/>
      <c r="LSR4"/>
      <c r="LSS4"/>
      <c r="LST4"/>
      <c r="LSU4"/>
      <c r="LSV4"/>
      <c r="LSW4"/>
      <c r="LSX4"/>
      <c r="LSY4"/>
      <c r="LSZ4"/>
      <c r="LTA4"/>
      <c r="LTB4"/>
      <c r="LTC4"/>
      <c r="LTD4"/>
      <c r="LTE4"/>
      <c r="LTF4"/>
      <c r="LTG4"/>
      <c r="LTH4"/>
      <c r="LTI4"/>
      <c r="LTJ4"/>
      <c r="LTK4"/>
      <c r="LTL4"/>
      <c r="LTM4"/>
      <c r="LTN4"/>
      <c r="LTO4"/>
      <c r="LTP4"/>
      <c r="LTQ4"/>
      <c r="LTR4"/>
      <c r="LTS4"/>
      <c r="LTT4"/>
      <c r="LTU4"/>
      <c r="LTV4"/>
      <c r="LTW4"/>
      <c r="LTX4"/>
      <c r="LTY4"/>
      <c r="LTZ4"/>
      <c r="LUA4"/>
      <c r="LUB4"/>
      <c r="LUC4"/>
      <c r="LUD4"/>
      <c r="LUE4"/>
      <c r="LUF4"/>
      <c r="LUG4"/>
      <c r="LUH4"/>
      <c r="LUI4"/>
      <c r="LUJ4"/>
      <c r="LUK4"/>
      <c r="LUL4"/>
      <c r="LUM4"/>
      <c r="LUN4"/>
      <c r="LUO4"/>
      <c r="LUP4"/>
      <c r="LUQ4"/>
      <c r="LUR4"/>
      <c r="LUS4"/>
      <c r="LUT4"/>
      <c r="LUU4"/>
      <c r="LUV4"/>
      <c r="LUW4"/>
      <c r="LUX4"/>
      <c r="LUY4"/>
      <c r="LUZ4"/>
      <c r="LVA4"/>
      <c r="LVB4"/>
      <c r="LVC4"/>
      <c r="LVD4"/>
      <c r="LVE4"/>
      <c r="LVF4"/>
      <c r="LVG4"/>
      <c r="LVH4"/>
      <c r="LVI4"/>
      <c r="LVJ4"/>
      <c r="LVK4"/>
      <c r="LVL4"/>
      <c r="LVM4"/>
      <c r="LVN4"/>
      <c r="LVO4"/>
      <c r="LVP4"/>
      <c r="LVQ4"/>
      <c r="LVR4"/>
      <c r="LVS4"/>
      <c r="LVT4"/>
      <c r="LVU4"/>
      <c r="LVV4"/>
      <c r="LVW4"/>
      <c r="LVX4"/>
      <c r="LVY4"/>
      <c r="LVZ4"/>
      <c r="LWA4"/>
      <c r="LWB4"/>
      <c r="LWC4"/>
      <c r="LWD4"/>
      <c r="LWE4"/>
      <c r="LWF4"/>
      <c r="LWG4"/>
      <c r="LWH4"/>
      <c r="LWI4"/>
      <c r="LWJ4"/>
      <c r="LWK4"/>
      <c r="LWL4"/>
      <c r="LWM4"/>
      <c r="LWN4"/>
      <c r="LWO4"/>
      <c r="LWP4"/>
      <c r="LWQ4"/>
      <c r="LWR4"/>
      <c r="LWS4"/>
      <c r="LWT4"/>
      <c r="LWU4"/>
      <c r="LWV4"/>
      <c r="LWW4"/>
      <c r="LWX4"/>
      <c r="LWY4"/>
      <c r="LWZ4"/>
      <c r="LXA4"/>
      <c r="LXB4"/>
      <c r="LXC4"/>
      <c r="LXD4"/>
      <c r="LXE4"/>
      <c r="LXF4"/>
      <c r="LXG4"/>
      <c r="LXH4"/>
      <c r="LXI4"/>
      <c r="LXJ4"/>
      <c r="LXK4"/>
      <c r="LXL4"/>
      <c r="LXM4"/>
      <c r="LXN4"/>
      <c r="LXO4"/>
      <c r="LXP4"/>
      <c r="LXQ4"/>
      <c r="LXR4"/>
      <c r="LXS4"/>
      <c r="LXT4"/>
      <c r="LXU4"/>
      <c r="LXV4"/>
      <c r="LXW4"/>
      <c r="LXX4"/>
      <c r="LXY4"/>
      <c r="LXZ4"/>
      <c r="LYA4"/>
      <c r="LYB4"/>
      <c r="LYC4"/>
      <c r="LYD4"/>
      <c r="LYE4"/>
      <c r="LYF4"/>
      <c r="LYG4"/>
      <c r="LYH4"/>
      <c r="LYI4"/>
      <c r="LYJ4"/>
      <c r="LYK4"/>
      <c r="LYL4"/>
      <c r="LYM4"/>
      <c r="LYN4"/>
      <c r="LYO4"/>
      <c r="LYP4"/>
      <c r="LYQ4"/>
      <c r="LYR4"/>
      <c r="LYS4"/>
      <c r="LYT4"/>
      <c r="LYU4"/>
      <c r="LYV4"/>
      <c r="LYW4"/>
      <c r="LYX4"/>
      <c r="LYY4"/>
      <c r="LYZ4"/>
      <c r="LZA4"/>
      <c r="LZB4"/>
      <c r="LZC4"/>
      <c r="LZD4"/>
      <c r="LZE4"/>
      <c r="LZF4"/>
      <c r="LZG4"/>
      <c r="LZH4"/>
      <c r="LZI4"/>
      <c r="LZJ4"/>
      <c r="LZK4"/>
      <c r="LZL4"/>
      <c r="LZM4"/>
      <c r="LZN4"/>
      <c r="LZO4"/>
      <c r="LZP4"/>
      <c r="LZQ4"/>
      <c r="LZR4"/>
      <c r="LZS4"/>
      <c r="LZT4"/>
      <c r="LZU4"/>
      <c r="LZV4"/>
      <c r="LZW4"/>
      <c r="LZX4"/>
      <c r="LZY4"/>
      <c r="LZZ4"/>
      <c r="MAA4"/>
      <c r="MAB4"/>
      <c r="MAC4"/>
      <c r="MAD4"/>
      <c r="MAE4"/>
      <c r="MAF4"/>
      <c r="MAG4"/>
      <c r="MAH4"/>
      <c r="MAI4"/>
      <c r="MAJ4"/>
      <c r="MAK4"/>
      <c r="MAL4"/>
      <c r="MAM4"/>
      <c r="MAN4"/>
      <c r="MAO4"/>
      <c r="MAP4"/>
      <c r="MAQ4"/>
      <c r="MAR4"/>
      <c r="MAS4"/>
      <c r="MAT4"/>
      <c r="MAU4"/>
      <c r="MAV4"/>
      <c r="MAW4"/>
      <c r="MAX4"/>
      <c r="MAY4"/>
      <c r="MAZ4"/>
      <c r="MBA4"/>
      <c r="MBB4"/>
      <c r="MBC4"/>
      <c r="MBD4"/>
      <c r="MBE4"/>
      <c r="MBF4"/>
      <c r="MBG4"/>
      <c r="MBH4"/>
      <c r="MBI4"/>
      <c r="MBJ4"/>
      <c r="MBK4"/>
      <c r="MBL4"/>
      <c r="MBM4"/>
      <c r="MBN4"/>
      <c r="MBO4"/>
      <c r="MBP4"/>
      <c r="MBQ4"/>
      <c r="MBR4"/>
      <c r="MBS4"/>
      <c r="MBT4"/>
      <c r="MBU4"/>
      <c r="MBV4"/>
      <c r="MBW4"/>
      <c r="MBX4"/>
      <c r="MBY4"/>
      <c r="MBZ4"/>
      <c r="MCA4"/>
      <c r="MCB4"/>
      <c r="MCC4"/>
      <c r="MCD4"/>
      <c r="MCE4"/>
      <c r="MCF4"/>
      <c r="MCG4"/>
      <c r="MCH4"/>
      <c r="MCI4"/>
      <c r="MCJ4"/>
      <c r="MCK4"/>
      <c r="MCL4"/>
      <c r="MCM4"/>
      <c r="MCN4"/>
      <c r="MCO4"/>
      <c r="MCP4"/>
      <c r="MCQ4"/>
      <c r="MCR4"/>
      <c r="MCS4"/>
      <c r="MCT4"/>
      <c r="MCU4"/>
      <c r="MCV4"/>
      <c r="MCW4"/>
      <c r="MCX4"/>
      <c r="MCY4"/>
      <c r="MCZ4"/>
      <c r="MDA4"/>
      <c r="MDB4"/>
      <c r="MDC4"/>
      <c r="MDD4"/>
      <c r="MDE4"/>
      <c r="MDF4"/>
      <c r="MDG4"/>
      <c r="MDH4"/>
      <c r="MDI4"/>
      <c r="MDJ4"/>
      <c r="MDK4"/>
      <c r="MDL4"/>
      <c r="MDM4"/>
      <c r="MDN4"/>
      <c r="MDO4"/>
      <c r="MDP4"/>
      <c r="MDQ4"/>
      <c r="MDR4"/>
      <c r="MDS4"/>
      <c r="MDT4"/>
      <c r="MDU4"/>
      <c r="MDV4"/>
      <c r="MDW4"/>
      <c r="MDX4"/>
      <c r="MDY4"/>
      <c r="MDZ4"/>
      <c r="MEA4"/>
      <c r="MEB4"/>
      <c r="MEC4"/>
      <c r="MED4"/>
      <c r="MEE4"/>
      <c r="MEF4"/>
      <c r="MEG4"/>
      <c r="MEH4"/>
      <c r="MEI4"/>
      <c r="MEJ4"/>
      <c r="MEK4"/>
      <c r="MEL4"/>
      <c r="MEM4"/>
      <c r="MEN4"/>
      <c r="MEO4"/>
      <c r="MEP4"/>
      <c r="MEQ4"/>
      <c r="MER4"/>
      <c r="MES4"/>
      <c r="MET4"/>
      <c r="MEU4"/>
      <c r="MEV4"/>
      <c r="MEW4"/>
      <c r="MEX4"/>
      <c r="MEY4"/>
      <c r="MEZ4"/>
      <c r="MFA4"/>
      <c r="MFB4"/>
      <c r="MFC4"/>
      <c r="MFD4"/>
      <c r="MFE4"/>
      <c r="MFF4"/>
      <c r="MFG4"/>
      <c r="MFH4"/>
      <c r="MFI4"/>
      <c r="MFJ4"/>
      <c r="MFK4"/>
      <c r="MFL4"/>
      <c r="MFM4"/>
      <c r="MFN4"/>
      <c r="MFO4"/>
      <c r="MFP4"/>
      <c r="MFQ4"/>
      <c r="MFR4"/>
      <c r="MFS4"/>
      <c r="MFT4"/>
      <c r="MFU4"/>
      <c r="MFV4"/>
      <c r="MFW4"/>
      <c r="MFX4"/>
      <c r="MFY4"/>
      <c r="MFZ4"/>
      <c r="MGA4"/>
      <c r="MGB4"/>
      <c r="MGC4"/>
      <c r="MGD4"/>
      <c r="MGE4"/>
      <c r="MGF4"/>
      <c r="MGG4"/>
      <c r="MGH4"/>
      <c r="MGI4"/>
      <c r="MGJ4"/>
      <c r="MGK4"/>
      <c r="MGL4"/>
      <c r="MGM4"/>
      <c r="MGN4"/>
      <c r="MGO4"/>
      <c r="MGP4"/>
      <c r="MGQ4"/>
      <c r="MGR4"/>
      <c r="MGS4"/>
      <c r="MGT4"/>
      <c r="MGU4"/>
      <c r="MGV4"/>
      <c r="MGW4"/>
      <c r="MGX4"/>
      <c r="MGY4"/>
      <c r="MGZ4"/>
      <c r="MHA4"/>
      <c r="MHB4"/>
      <c r="MHC4"/>
      <c r="MHD4"/>
      <c r="MHE4"/>
      <c r="MHF4"/>
      <c r="MHG4"/>
      <c r="MHH4"/>
      <c r="MHI4"/>
      <c r="MHJ4"/>
      <c r="MHK4"/>
      <c r="MHL4"/>
      <c r="MHM4"/>
      <c r="MHN4"/>
      <c r="MHO4"/>
      <c r="MHP4"/>
      <c r="MHQ4"/>
      <c r="MHR4"/>
      <c r="MHS4"/>
      <c r="MHT4"/>
      <c r="MHU4"/>
      <c r="MHV4"/>
      <c r="MHW4"/>
      <c r="MHX4"/>
      <c r="MHY4"/>
      <c r="MHZ4"/>
      <c r="MIA4"/>
      <c r="MIB4"/>
      <c r="MIC4"/>
      <c r="MID4"/>
      <c r="MIE4"/>
      <c r="MIF4"/>
      <c r="MIG4"/>
      <c r="MIH4"/>
      <c r="MII4"/>
      <c r="MIJ4"/>
      <c r="MIK4"/>
      <c r="MIL4"/>
      <c r="MIM4"/>
      <c r="MIN4"/>
      <c r="MIO4"/>
      <c r="MIP4"/>
      <c r="MIQ4"/>
      <c r="MIR4"/>
      <c r="MIS4"/>
      <c r="MIT4"/>
      <c r="MIU4"/>
      <c r="MIV4"/>
      <c r="MIW4"/>
      <c r="MIX4"/>
      <c r="MIY4"/>
      <c r="MIZ4"/>
      <c r="MJA4"/>
      <c r="MJB4"/>
      <c r="MJC4"/>
      <c r="MJD4"/>
      <c r="MJE4"/>
      <c r="MJF4"/>
      <c r="MJG4"/>
      <c r="MJH4"/>
      <c r="MJI4"/>
      <c r="MJJ4"/>
      <c r="MJK4"/>
      <c r="MJL4"/>
      <c r="MJM4"/>
      <c r="MJN4"/>
      <c r="MJO4"/>
      <c r="MJP4"/>
      <c r="MJQ4"/>
      <c r="MJR4"/>
      <c r="MJS4"/>
      <c r="MJT4"/>
      <c r="MJU4"/>
      <c r="MJV4"/>
      <c r="MJW4"/>
      <c r="MJX4"/>
      <c r="MJY4"/>
      <c r="MJZ4"/>
      <c r="MKA4"/>
      <c r="MKB4"/>
      <c r="MKC4"/>
      <c r="MKD4"/>
      <c r="MKE4"/>
      <c r="MKF4"/>
      <c r="MKG4"/>
      <c r="MKH4"/>
      <c r="MKI4"/>
      <c r="MKJ4"/>
      <c r="MKK4"/>
      <c r="MKL4"/>
      <c r="MKM4"/>
      <c r="MKN4"/>
      <c r="MKO4"/>
      <c r="MKP4"/>
      <c r="MKQ4"/>
      <c r="MKR4"/>
      <c r="MKS4"/>
      <c r="MKT4"/>
      <c r="MKU4"/>
      <c r="MKV4"/>
      <c r="MKW4"/>
      <c r="MKX4"/>
      <c r="MKY4"/>
      <c r="MKZ4"/>
      <c r="MLA4"/>
      <c r="MLB4"/>
      <c r="MLC4"/>
      <c r="MLD4"/>
      <c r="MLE4"/>
      <c r="MLF4"/>
      <c r="MLG4"/>
      <c r="MLH4"/>
      <c r="MLI4"/>
      <c r="MLJ4"/>
      <c r="MLK4"/>
      <c r="MLL4"/>
      <c r="MLM4"/>
      <c r="MLN4"/>
      <c r="MLO4"/>
      <c r="MLP4"/>
      <c r="MLQ4"/>
      <c r="MLR4"/>
      <c r="MLS4"/>
      <c r="MLT4"/>
      <c r="MLU4"/>
      <c r="MLV4"/>
      <c r="MLW4"/>
      <c r="MLX4"/>
      <c r="MLY4"/>
      <c r="MLZ4"/>
      <c r="MMA4"/>
      <c r="MMB4"/>
      <c r="MMC4"/>
      <c r="MMD4"/>
      <c r="MME4"/>
      <c r="MMF4"/>
      <c r="MMG4"/>
      <c r="MMH4"/>
      <c r="MMI4"/>
      <c r="MMJ4"/>
      <c r="MMK4"/>
      <c r="MML4"/>
      <c r="MMM4"/>
      <c r="MMN4"/>
      <c r="MMO4"/>
      <c r="MMP4"/>
      <c r="MMQ4"/>
      <c r="MMR4"/>
      <c r="MMS4"/>
      <c r="MMT4"/>
      <c r="MMU4"/>
      <c r="MMV4"/>
      <c r="MMW4"/>
      <c r="MMX4"/>
      <c r="MMY4"/>
      <c r="MMZ4"/>
      <c r="MNA4"/>
      <c r="MNB4"/>
      <c r="MNC4"/>
      <c r="MND4"/>
      <c r="MNE4"/>
      <c r="MNF4"/>
      <c r="MNG4"/>
      <c r="MNH4"/>
      <c r="MNI4"/>
      <c r="MNJ4"/>
      <c r="MNK4"/>
      <c r="MNL4"/>
      <c r="MNM4"/>
      <c r="MNN4"/>
      <c r="MNO4"/>
      <c r="MNP4"/>
      <c r="MNQ4"/>
      <c r="MNR4"/>
      <c r="MNS4"/>
      <c r="MNT4"/>
      <c r="MNU4"/>
      <c r="MNV4"/>
      <c r="MNW4"/>
      <c r="MNX4"/>
      <c r="MNY4"/>
      <c r="MNZ4"/>
      <c r="MOA4"/>
      <c r="MOB4"/>
      <c r="MOC4"/>
      <c r="MOD4"/>
      <c r="MOE4"/>
      <c r="MOF4"/>
      <c r="MOG4"/>
      <c r="MOH4"/>
      <c r="MOI4"/>
      <c r="MOJ4"/>
      <c r="MOK4"/>
      <c r="MOL4"/>
      <c r="MOM4"/>
      <c r="MON4"/>
      <c r="MOO4"/>
      <c r="MOP4"/>
      <c r="MOQ4"/>
      <c r="MOR4"/>
      <c r="MOS4"/>
      <c r="MOT4"/>
      <c r="MOU4"/>
      <c r="MOV4"/>
      <c r="MOW4"/>
      <c r="MOX4"/>
      <c r="MOY4"/>
      <c r="MOZ4"/>
      <c r="MPA4"/>
      <c r="MPB4"/>
      <c r="MPC4"/>
      <c r="MPD4"/>
      <c r="MPE4"/>
      <c r="MPF4"/>
      <c r="MPG4"/>
      <c r="MPH4"/>
      <c r="MPI4"/>
      <c r="MPJ4"/>
      <c r="MPK4"/>
      <c r="MPL4"/>
      <c r="MPM4"/>
      <c r="MPN4"/>
      <c r="MPO4"/>
      <c r="MPP4"/>
      <c r="MPQ4"/>
      <c r="MPR4"/>
      <c r="MPS4"/>
      <c r="MPT4"/>
      <c r="MPU4"/>
      <c r="MPV4"/>
      <c r="MPW4"/>
      <c r="MPX4"/>
      <c r="MPY4"/>
      <c r="MPZ4"/>
      <c r="MQA4"/>
      <c r="MQB4"/>
      <c r="MQC4"/>
      <c r="MQD4"/>
      <c r="MQE4"/>
      <c r="MQF4"/>
      <c r="MQG4"/>
      <c r="MQH4"/>
      <c r="MQI4"/>
      <c r="MQJ4"/>
      <c r="MQK4"/>
      <c r="MQL4"/>
      <c r="MQM4"/>
      <c r="MQN4"/>
      <c r="MQO4"/>
      <c r="MQP4"/>
      <c r="MQQ4"/>
      <c r="MQR4"/>
      <c r="MQS4"/>
      <c r="MQT4"/>
      <c r="MQU4"/>
      <c r="MQV4"/>
      <c r="MQW4"/>
      <c r="MQX4"/>
      <c r="MQY4"/>
      <c r="MQZ4"/>
      <c r="MRA4"/>
      <c r="MRB4"/>
      <c r="MRC4"/>
      <c r="MRD4"/>
      <c r="MRE4"/>
      <c r="MRF4"/>
      <c r="MRG4"/>
      <c r="MRH4"/>
      <c r="MRI4"/>
      <c r="MRJ4"/>
      <c r="MRK4"/>
      <c r="MRL4"/>
      <c r="MRM4"/>
      <c r="MRN4"/>
      <c r="MRO4"/>
      <c r="MRP4"/>
      <c r="MRQ4"/>
      <c r="MRR4"/>
      <c r="MRS4"/>
      <c r="MRT4"/>
      <c r="MRU4"/>
      <c r="MRV4"/>
      <c r="MRW4"/>
      <c r="MRX4"/>
      <c r="MRY4"/>
      <c r="MRZ4"/>
      <c r="MSA4"/>
      <c r="MSB4"/>
      <c r="MSC4"/>
      <c r="MSD4"/>
      <c r="MSE4"/>
      <c r="MSF4"/>
      <c r="MSG4"/>
      <c r="MSH4"/>
      <c r="MSI4"/>
      <c r="MSJ4"/>
      <c r="MSK4"/>
      <c r="MSL4"/>
      <c r="MSM4"/>
      <c r="MSN4"/>
      <c r="MSO4"/>
      <c r="MSP4"/>
      <c r="MSQ4"/>
      <c r="MSR4"/>
      <c r="MSS4"/>
      <c r="MST4"/>
      <c r="MSU4"/>
      <c r="MSV4"/>
      <c r="MSW4"/>
      <c r="MSX4"/>
      <c r="MSY4"/>
      <c r="MSZ4"/>
      <c r="MTA4"/>
      <c r="MTB4"/>
      <c r="MTC4"/>
      <c r="MTD4"/>
      <c r="MTE4"/>
      <c r="MTF4"/>
      <c r="MTG4"/>
      <c r="MTH4"/>
      <c r="MTI4"/>
      <c r="MTJ4"/>
      <c r="MTK4"/>
      <c r="MTL4"/>
      <c r="MTM4"/>
      <c r="MTN4"/>
      <c r="MTO4"/>
      <c r="MTP4"/>
      <c r="MTQ4"/>
      <c r="MTR4"/>
      <c r="MTS4"/>
      <c r="MTT4"/>
      <c r="MTU4"/>
      <c r="MTV4"/>
      <c r="MTW4"/>
      <c r="MTX4"/>
      <c r="MTY4"/>
      <c r="MTZ4"/>
      <c r="MUA4"/>
      <c r="MUB4"/>
      <c r="MUC4"/>
      <c r="MUD4"/>
      <c r="MUE4"/>
      <c r="MUF4"/>
      <c r="MUG4"/>
      <c r="MUH4"/>
      <c r="MUI4"/>
      <c r="MUJ4"/>
      <c r="MUK4"/>
      <c r="MUL4"/>
      <c r="MUM4"/>
      <c r="MUN4"/>
      <c r="MUO4"/>
      <c r="MUP4"/>
      <c r="MUQ4"/>
      <c r="MUR4"/>
      <c r="MUS4"/>
      <c r="MUT4"/>
      <c r="MUU4"/>
      <c r="MUV4"/>
      <c r="MUW4"/>
      <c r="MUX4"/>
      <c r="MUY4"/>
      <c r="MUZ4"/>
      <c r="MVA4"/>
      <c r="MVB4"/>
      <c r="MVC4"/>
      <c r="MVD4"/>
      <c r="MVE4"/>
      <c r="MVF4"/>
      <c r="MVG4"/>
      <c r="MVH4"/>
      <c r="MVI4"/>
      <c r="MVJ4"/>
      <c r="MVK4"/>
      <c r="MVL4"/>
      <c r="MVM4"/>
      <c r="MVN4"/>
      <c r="MVO4"/>
      <c r="MVP4"/>
      <c r="MVQ4"/>
      <c r="MVR4"/>
      <c r="MVS4"/>
      <c r="MVT4"/>
      <c r="MVU4"/>
      <c r="MVV4"/>
      <c r="MVW4"/>
      <c r="MVX4"/>
      <c r="MVY4"/>
      <c r="MVZ4"/>
      <c r="MWA4"/>
      <c r="MWB4"/>
      <c r="MWC4"/>
      <c r="MWD4"/>
      <c r="MWE4"/>
      <c r="MWF4"/>
      <c r="MWG4"/>
      <c r="MWH4"/>
      <c r="MWI4"/>
      <c r="MWJ4"/>
      <c r="MWK4"/>
      <c r="MWL4"/>
      <c r="MWM4"/>
      <c r="MWN4"/>
      <c r="MWO4"/>
      <c r="MWP4"/>
      <c r="MWQ4"/>
      <c r="MWR4"/>
      <c r="MWS4"/>
      <c r="MWT4"/>
      <c r="MWU4"/>
      <c r="MWV4"/>
      <c r="MWW4"/>
      <c r="MWX4"/>
      <c r="MWY4"/>
      <c r="MWZ4"/>
      <c r="MXA4"/>
      <c r="MXB4"/>
      <c r="MXC4"/>
      <c r="MXD4"/>
      <c r="MXE4"/>
      <c r="MXF4"/>
      <c r="MXG4"/>
      <c r="MXH4"/>
      <c r="MXI4"/>
      <c r="MXJ4"/>
      <c r="MXK4"/>
      <c r="MXL4"/>
      <c r="MXM4"/>
      <c r="MXN4"/>
      <c r="MXO4"/>
      <c r="MXP4"/>
      <c r="MXQ4"/>
      <c r="MXR4"/>
      <c r="MXS4"/>
      <c r="MXT4"/>
      <c r="MXU4"/>
      <c r="MXV4"/>
      <c r="MXW4"/>
      <c r="MXX4"/>
      <c r="MXY4"/>
      <c r="MXZ4"/>
      <c r="MYA4"/>
      <c r="MYB4"/>
      <c r="MYC4"/>
      <c r="MYD4"/>
      <c r="MYE4"/>
      <c r="MYF4"/>
      <c r="MYG4"/>
      <c r="MYH4"/>
      <c r="MYI4"/>
      <c r="MYJ4"/>
      <c r="MYK4"/>
      <c r="MYL4"/>
      <c r="MYM4"/>
      <c r="MYN4"/>
      <c r="MYO4"/>
      <c r="MYP4"/>
      <c r="MYQ4"/>
      <c r="MYR4"/>
      <c r="MYS4"/>
      <c r="MYT4"/>
      <c r="MYU4"/>
      <c r="MYV4"/>
      <c r="MYW4"/>
      <c r="MYX4"/>
      <c r="MYY4"/>
      <c r="MYZ4"/>
      <c r="MZA4"/>
      <c r="MZB4"/>
      <c r="MZC4"/>
      <c r="MZD4"/>
      <c r="MZE4"/>
      <c r="MZF4"/>
      <c r="MZG4"/>
      <c r="MZH4"/>
      <c r="MZI4"/>
      <c r="MZJ4"/>
      <c r="MZK4"/>
      <c r="MZL4"/>
      <c r="MZM4"/>
      <c r="MZN4"/>
      <c r="MZO4"/>
      <c r="MZP4"/>
      <c r="MZQ4"/>
      <c r="MZR4"/>
      <c r="MZS4"/>
      <c r="MZT4"/>
      <c r="MZU4"/>
      <c r="MZV4"/>
      <c r="MZW4"/>
      <c r="MZX4"/>
      <c r="MZY4"/>
      <c r="MZZ4"/>
      <c r="NAA4"/>
      <c r="NAB4"/>
      <c r="NAC4"/>
      <c r="NAD4"/>
      <c r="NAE4"/>
      <c r="NAF4"/>
      <c r="NAG4"/>
      <c r="NAH4"/>
      <c r="NAI4"/>
      <c r="NAJ4"/>
      <c r="NAK4"/>
      <c r="NAL4"/>
      <c r="NAM4"/>
      <c r="NAN4"/>
      <c r="NAO4"/>
      <c r="NAP4"/>
      <c r="NAQ4"/>
      <c r="NAR4"/>
      <c r="NAS4"/>
      <c r="NAT4"/>
      <c r="NAU4"/>
      <c r="NAV4"/>
      <c r="NAW4"/>
      <c r="NAX4"/>
      <c r="NAY4"/>
      <c r="NAZ4"/>
      <c r="NBA4"/>
      <c r="NBB4"/>
      <c r="NBC4"/>
      <c r="NBD4"/>
      <c r="NBE4"/>
      <c r="NBF4"/>
      <c r="NBG4"/>
      <c r="NBH4"/>
      <c r="NBI4"/>
      <c r="NBJ4"/>
      <c r="NBK4"/>
      <c r="NBL4"/>
      <c r="NBM4"/>
      <c r="NBN4"/>
      <c r="NBO4"/>
      <c r="NBP4"/>
      <c r="NBQ4"/>
      <c r="NBR4"/>
      <c r="NBS4"/>
      <c r="NBT4"/>
      <c r="NBU4"/>
      <c r="NBV4"/>
      <c r="NBW4"/>
      <c r="NBX4"/>
      <c r="NBY4"/>
      <c r="NBZ4"/>
      <c r="NCA4"/>
      <c r="NCB4"/>
      <c r="NCC4"/>
      <c r="NCD4"/>
      <c r="NCE4"/>
      <c r="NCF4"/>
      <c r="NCG4"/>
      <c r="NCH4"/>
      <c r="NCI4"/>
      <c r="NCJ4"/>
      <c r="NCK4"/>
      <c r="NCL4"/>
      <c r="NCM4"/>
      <c r="NCN4"/>
      <c r="NCO4"/>
      <c r="NCP4"/>
      <c r="NCQ4"/>
      <c r="NCR4"/>
      <c r="NCS4"/>
      <c r="NCT4"/>
      <c r="NCU4"/>
      <c r="NCV4"/>
      <c r="NCW4"/>
      <c r="NCX4"/>
      <c r="NCY4"/>
      <c r="NCZ4"/>
      <c r="NDA4"/>
      <c r="NDB4"/>
      <c r="NDC4"/>
      <c r="NDD4"/>
      <c r="NDE4"/>
      <c r="NDF4"/>
      <c r="NDG4"/>
      <c r="NDH4"/>
      <c r="NDI4"/>
      <c r="NDJ4"/>
      <c r="NDK4"/>
      <c r="NDL4"/>
      <c r="NDM4"/>
      <c r="NDN4"/>
      <c r="NDO4"/>
      <c r="NDP4"/>
      <c r="NDQ4"/>
      <c r="NDR4"/>
      <c r="NDS4"/>
      <c r="NDT4"/>
      <c r="NDU4"/>
      <c r="NDV4"/>
      <c r="NDW4"/>
      <c r="NDX4"/>
      <c r="NDY4"/>
      <c r="NDZ4"/>
      <c r="NEA4"/>
      <c r="NEB4"/>
      <c r="NEC4"/>
      <c r="NED4"/>
      <c r="NEE4"/>
      <c r="NEF4"/>
      <c r="NEG4"/>
      <c r="NEH4"/>
      <c r="NEI4"/>
      <c r="NEJ4"/>
      <c r="NEK4"/>
      <c r="NEL4"/>
      <c r="NEM4"/>
      <c r="NEN4"/>
      <c r="NEO4"/>
      <c r="NEP4"/>
      <c r="NEQ4"/>
      <c r="NER4"/>
      <c r="NES4"/>
      <c r="NET4"/>
      <c r="NEU4"/>
      <c r="NEV4"/>
      <c r="NEW4"/>
      <c r="NEX4"/>
      <c r="NEY4"/>
      <c r="NEZ4"/>
      <c r="NFA4"/>
      <c r="NFB4"/>
      <c r="NFC4"/>
      <c r="NFD4"/>
      <c r="NFE4"/>
      <c r="NFF4"/>
      <c r="NFG4"/>
      <c r="NFH4"/>
      <c r="NFI4"/>
      <c r="NFJ4"/>
      <c r="NFK4"/>
      <c r="NFL4"/>
      <c r="NFM4"/>
      <c r="NFN4"/>
      <c r="NFO4"/>
      <c r="NFP4"/>
      <c r="NFQ4"/>
      <c r="NFR4"/>
      <c r="NFS4"/>
      <c r="NFT4"/>
      <c r="NFU4"/>
      <c r="NFV4"/>
      <c r="NFW4"/>
      <c r="NFX4"/>
      <c r="NFY4"/>
      <c r="NFZ4"/>
      <c r="NGA4"/>
      <c r="NGB4"/>
      <c r="NGC4"/>
      <c r="NGD4"/>
      <c r="NGE4"/>
      <c r="NGF4"/>
      <c r="NGG4"/>
      <c r="NGH4"/>
      <c r="NGI4"/>
      <c r="NGJ4"/>
      <c r="NGK4"/>
      <c r="NGL4"/>
      <c r="NGM4"/>
      <c r="NGN4"/>
      <c r="NGO4"/>
      <c r="NGP4"/>
      <c r="NGQ4"/>
      <c r="NGR4"/>
      <c r="NGS4"/>
      <c r="NGT4"/>
      <c r="NGU4"/>
      <c r="NGV4"/>
      <c r="NGW4"/>
      <c r="NGX4"/>
      <c r="NGY4"/>
      <c r="NGZ4"/>
      <c r="NHA4"/>
      <c r="NHB4"/>
      <c r="NHC4"/>
      <c r="NHD4"/>
      <c r="NHE4"/>
      <c r="NHF4"/>
      <c r="NHG4"/>
      <c r="NHH4"/>
      <c r="NHI4"/>
      <c r="NHJ4"/>
      <c r="NHK4"/>
      <c r="NHL4"/>
      <c r="NHM4"/>
      <c r="NHN4"/>
      <c r="NHO4"/>
      <c r="NHP4"/>
      <c r="NHQ4"/>
      <c r="NHR4"/>
      <c r="NHS4"/>
      <c r="NHT4"/>
      <c r="NHU4"/>
      <c r="NHV4"/>
      <c r="NHW4"/>
      <c r="NHX4"/>
      <c r="NHY4"/>
      <c r="NHZ4"/>
      <c r="NIA4"/>
      <c r="NIB4"/>
      <c r="NIC4"/>
      <c r="NID4"/>
      <c r="NIE4"/>
      <c r="NIF4"/>
      <c r="NIG4"/>
      <c r="NIH4"/>
      <c r="NII4"/>
      <c r="NIJ4"/>
      <c r="NIK4"/>
      <c r="NIL4"/>
      <c r="NIM4"/>
      <c r="NIN4"/>
      <c r="NIO4"/>
      <c r="NIP4"/>
      <c r="NIQ4"/>
      <c r="NIR4"/>
      <c r="NIS4"/>
      <c r="NIT4"/>
      <c r="NIU4"/>
      <c r="NIV4"/>
      <c r="NIW4"/>
      <c r="NIX4"/>
      <c r="NIY4"/>
      <c r="NIZ4"/>
      <c r="NJA4"/>
      <c r="NJB4"/>
      <c r="NJC4"/>
      <c r="NJD4"/>
      <c r="NJE4"/>
      <c r="NJF4"/>
      <c r="NJG4"/>
      <c r="NJH4"/>
      <c r="NJI4"/>
      <c r="NJJ4"/>
      <c r="NJK4"/>
      <c r="NJL4"/>
      <c r="NJM4"/>
      <c r="NJN4"/>
      <c r="NJO4"/>
      <c r="NJP4"/>
      <c r="NJQ4"/>
      <c r="NJR4"/>
      <c r="NJS4"/>
      <c r="NJT4"/>
      <c r="NJU4"/>
      <c r="NJV4"/>
      <c r="NJW4"/>
      <c r="NJX4"/>
      <c r="NJY4"/>
      <c r="NJZ4"/>
      <c r="NKA4"/>
      <c r="NKB4"/>
      <c r="NKC4"/>
      <c r="NKD4"/>
      <c r="NKE4"/>
      <c r="NKF4"/>
      <c r="NKG4"/>
      <c r="NKH4"/>
      <c r="NKI4"/>
      <c r="NKJ4"/>
      <c r="NKK4"/>
      <c r="NKL4"/>
      <c r="NKM4"/>
      <c r="NKN4"/>
      <c r="NKO4"/>
      <c r="NKP4"/>
      <c r="NKQ4"/>
      <c r="NKR4"/>
      <c r="NKS4"/>
      <c r="NKT4"/>
      <c r="NKU4"/>
      <c r="NKV4"/>
      <c r="NKW4"/>
      <c r="NKX4"/>
      <c r="NKY4"/>
      <c r="NKZ4"/>
      <c r="NLA4"/>
      <c r="NLB4"/>
      <c r="NLC4"/>
      <c r="NLD4"/>
      <c r="NLE4"/>
      <c r="NLF4"/>
      <c r="NLG4"/>
      <c r="NLH4"/>
      <c r="NLI4"/>
      <c r="NLJ4"/>
      <c r="NLK4"/>
      <c r="NLL4"/>
      <c r="NLM4"/>
      <c r="NLN4"/>
      <c r="NLO4"/>
      <c r="NLP4"/>
      <c r="NLQ4"/>
      <c r="NLR4"/>
      <c r="NLS4"/>
      <c r="NLT4"/>
      <c r="NLU4"/>
      <c r="NLV4"/>
      <c r="NLW4"/>
      <c r="NLX4"/>
      <c r="NLY4"/>
      <c r="NLZ4"/>
      <c r="NMA4"/>
      <c r="NMB4"/>
      <c r="NMC4"/>
      <c r="NMD4"/>
      <c r="NME4"/>
      <c r="NMF4"/>
      <c r="NMG4"/>
      <c r="NMH4"/>
      <c r="NMI4"/>
      <c r="NMJ4"/>
      <c r="NMK4"/>
      <c r="NML4"/>
      <c r="NMM4"/>
      <c r="NMN4"/>
      <c r="NMO4"/>
      <c r="NMP4"/>
      <c r="NMQ4"/>
      <c r="NMR4"/>
      <c r="NMS4"/>
      <c r="NMT4"/>
      <c r="NMU4"/>
      <c r="NMV4"/>
      <c r="NMW4"/>
      <c r="NMX4"/>
      <c r="NMY4"/>
      <c r="NMZ4"/>
      <c r="NNA4"/>
      <c r="NNB4"/>
      <c r="NNC4"/>
      <c r="NND4"/>
      <c r="NNE4"/>
      <c r="NNF4"/>
      <c r="NNG4"/>
      <c r="NNH4"/>
      <c r="NNI4"/>
      <c r="NNJ4"/>
      <c r="NNK4"/>
      <c r="NNL4"/>
      <c r="NNM4"/>
      <c r="NNN4"/>
      <c r="NNO4"/>
      <c r="NNP4"/>
      <c r="NNQ4"/>
      <c r="NNR4"/>
      <c r="NNS4"/>
      <c r="NNT4"/>
      <c r="NNU4"/>
      <c r="NNV4"/>
      <c r="NNW4"/>
      <c r="NNX4"/>
      <c r="NNY4"/>
      <c r="NNZ4"/>
      <c r="NOA4"/>
      <c r="NOB4"/>
      <c r="NOC4"/>
      <c r="NOD4"/>
      <c r="NOE4"/>
      <c r="NOF4"/>
      <c r="NOG4"/>
      <c r="NOH4"/>
      <c r="NOI4"/>
      <c r="NOJ4"/>
      <c r="NOK4"/>
      <c r="NOL4"/>
      <c r="NOM4"/>
      <c r="NON4"/>
      <c r="NOO4"/>
      <c r="NOP4"/>
      <c r="NOQ4"/>
      <c r="NOR4"/>
      <c r="NOS4"/>
      <c r="NOT4"/>
      <c r="NOU4"/>
      <c r="NOV4"/>
      <c r="NOW4"/>
      <c r="NOX4"/>
      <c r="NOY4"/>
      <c r="NOZ4"/>
      <c r="NPA4"/>
      <c r="NPB4"/>
      <c r="NPC4"/>
      <c r="NPD4"/>
      <c r="NPE4"/>
      <c r="NPF4"/>
      <c r="NPG4"/>
      <c r="NPH4"/>
      <c r="NPI4"/>
      <c r="NPJ4"/>
      <c r="NPK4"/>
      <c r="NPL4"/>
      <c r="NPM4"/>
      <c r="NPN4"/>
      <c r="NPO4"/>
      <c r="NPP4"/>
      <c r="NPQ4"/>
      <c r="NPR4"/>
      <c r="NPS4"/>
      <c r="NPT4"/>
      <c r="NPU4"/>
      <c r="NPV4"/>
      <c r="NPW4"/>
      <c r="NPX4"/>
      <c r="NPY4"/>
      <c r="NPZ4"/>
      <c r="NQA4"/>
      <c r="NQB4"/>
      <c r="NQC4"/>
      <c r="NQD4"/>
      <c r="NQE4"/>
      <c r="NQF4"/>
      <c r="NQG4"/>
      <c r="NQH4"/>
      <c r="NQI4"/>
      <c r="NQJ4"/>
      <c r="NQK4"/>
      <c r="NQL4"/>
      <c r="NQM4"/>
      <c r="NQN4"/>
      <c r="NQO4"/>
      <c r="NQP4"/>
      <c r="NQQ4"/>
      <c r="NQR4"/>
      <c r="NQS4"/>
      <c r="NQT4"/>
      <c r="NQU4"/>
      <c r="NQV4"/>
      <c r="NQW4"/>
      <c r="NQX4"/>
      <c r="NQY4"/>
      <c r="NQZ4"/>
      <c r="NRA4"/>
      <c r="NRB4"/>
      <c r="NRC4"/>
      <c r="NRD4"/>
      <c r="NRE4"/>
      <c r="NRF4"/>
      <c r="NRG4"/>
      <c r="NRH4"/>
      <c r="NRI4"/>
      <c r="NRJ4"/>
      <c r="NRK4"/>
      <c r="NRL4"/>
      <c r="NRM4"/>
      <c r="NRN4"/>
      <c r="NRO4"/>
      <c r="NRP4"/>
      <c r="NRQ4"/>
      <c r="NRR4"/>
      <c r="NRS4"/>
      <c r="NRT4"/>
      <c r="NRU4"/>
      <c r="NRV4"/>
      <c r="NRW4"/>
      <c r="NRX4"/>
      <c r="NRY4"/>
      <c r="NRZ4"/>
      <c r="NSA4"/>
      <c r="NSB4"/>
      <c r="NSC4"/>
      <c r="NSD4"/>
      <c r="NSE4"/>
      <c r="NSF4"/>
      <c r="NSG4"/>
      <c r="NSH4"/>
      <c r="NSI4"/>
      <c r="NSJ4"/>
      <c r="NSK4"/>
      <c r="NSL4"/>
      <c r="NSM4"/>
      <c r="NSN4"/>
      <c r="NSO4"/>
      <c r="NSP4"/>
      <c r="NSQ4"/>
      <c r="NSR4"/>
      <c r="NSS4"/>
      <c r="NST4"/>
      <c r="NSU4"/>
      <c r="NSV4"/>
      <c r="NSW4"/>
      <c r="NSX4"/>
      <c r="NSY4"/>
      <c r="NSZ4"/>
      <c r="NTA4"/>
      <c r="NTB4"/>
      <c r="NTC4"/>
      <c r="NTD4"/>
      <c r="NTE4"/>
      <c r="NTF4"/>
      <c r="NTG4"/>
      <c r="NTH4"/>
      <c r="NTI4"/>
      <c r="NTJ4"/>
      <c r="NTK4"/>
      <c r="NTL4"/>
      <c r="NTM4"/>
      <c r="NTN4"/>
      <c r="NTO4"/>
      <c r="NTP4"/>
      <c r="NTQ4"/>
      <c r="NTR4"/>
      <c r="NTS4"/>
      <c r="NTT4"/>
      <c r="NTU4"/>
      <c r="NTV4"/>
      <c r="NTW4"/>
      <c r="NTX4"/>
      <c r="NTY4"/>
      <c r="NTZ4"/>
      <c r="NUA4"/>
      <c r="NUB4"/>
      <c r="NUC4"/>
      <c r="NUD4"/>
      <c r="NUE4"/>
      <c r="NUF4"/>
      <c r="NUG4"/>
      <c r="NUH4"/>
      <c r="NUI4"/>
      <c r="NUJ4"/>
      <c r="NUK4"/>
      <c r="NUL4"/>
      <c r="NUM4"/>
      <c r="NUN4"/>
      <c r="NUO4"/>
      <c r="NUP4"/>
      <c r="NUQ4"/>
      <c r="NUR4"/>
      <c r="NUS4"/>
      <c r="NUT4"/>
      <c r="NUU4"/>
      <c r="NUV4"/>
      <c r="NUW4"/>
      <c r="NUX4"/>
      <c r="NUY4"/>
      <c r="NUZ4"/>
      <c r="NVA4"/>
      <c r="NVB4"/>
      <c r="NVC4"/>
      <c r="NVD4"/>
      <c r="NVE4"/>
      <c r="NVF4"/>
      <c r="NVG4"/>
      <c r="NVH4"/>
      <c r="NVI4"/>
      <c r="NVJ4"/>
      <c r="NVK4"/>
      <c r="NVL4"/>
      <c r="NVM4"/>
      <c r="NVN4"/>
      <c r="NVO4"/>
      <c r="NVP4"/>
      <c r="NVQ4"/>
      <c r="NVR4"/>
      <c r="NVS4"/>
      <c r="NVT4"/>
      <c r="NVU4"/>
      <c r="NVV4"/>
      <c r="NVW4"/>
      <c r="NVX4"/>
      <c r="NVY4"/>
      <c r="NVZ4"/>
      <c r="NWA4"/>
      <c r="NWB4"/>
      <c r="NWC4"/>
      <c r="NWD4"/>
      <c r="NWE4"/>
      <c r="NWF4"/>
      <c r="NWG4"/>
      <c r="NWH4"/>
      <c r="NWI4"/>
      <c r="NWJ4"/>
      <c r="NWK4"/>
      <c r="NWL4"/>
      <c r="NWM4"/>
      <c r="NWN4"/>
      <c r="NWO4"/>
      <c r="NWP4"/>
      <c r="NWQ4"/>
      <c r="NWR4"/>
      <c r="NWS4"/>
      <c r="NWT4"/>
      <c r="NWU4"/>
      <c r="NWV4"/>
      <c r="NWW4"/>
      <c r="NWX4"/>
      <c r="NWY4"/>
      <c r="NWZ4"/>
      <c r="NXA4"/>
      <c r="NXB4"/>
      <c r="NXC4"/>
      <c r="NXD4"/>
      <c r="NXE4"/>
      <c r="NXF4"/>
      <c r="NXG4"/>
      <c r="NXH4"/>
      <c r="NXI4"/>
      <c r="NXJ4"/>
      <c r="NXK4"/>
      <c r="NXL4"/>
      <c r="NXM4"/>
      <c r="NXN4"/>
      <c r="NXO4"/>
      <c r="NXP4"/>
      <c r="NXQ4"/>
      <c r="NXR4"/>
      <c r="NXS4"/>
      <c r="NXT4"/>
      <c r="NXU4"/>
      <c r="NXV4"/>
      <c r="NXW4"/>
      <c r="NXX4"/>
      <c r="NXY4"/>
      <c r="NXZ4"/>
      <c r="NYA4"/>
      <c r="NYB4"/>
      <c r="NYC4"/>
      <c r="NYD4"/>
      <c r="NYE4"/>
      <c r="NYF4"/>
      <c r="NYG4"/>
      <c r="NYH4"/>
      <c r="NYI4"/>
      <c r="NYJ4"/>
      <c r="NYK4"/>
      <c r="NYL4"/>
      <c r="NYM4"/>
      <c r="NYN4"/>
      <c r="NYO4"/>
      <c r="NYP4"/>
      <c r="NYQ4"/>
      <c r="NYR4"/>
      <c r="NYS4"/>
      <c r="NYT4"/>
      <c r="NYU4"/>
      <c r="NYV4"/>
      <c r="NYW4"/>
      <c r="NYX4"/>
      <c r="NYY4"/>
      <c r="NYZ4"/>
      <c r="NZA4"/>
      <c r="NZB4"/>
      <c r="NZC4"/>
      <c r="NZD4"/>
      <c r="NZE4"/>
      <c r="NZF4"/>
      <c r="NZG4"/>
      <c r="NZH4"/>
      <c r="NZI4"/>
      <c r="NZJ4"/>
      <c r="NZK4"/>
      <c r="NZL4"/>
      <c r="NZM4"/>
      <c r="NZN4"/>
      <c r="NZO4"/>
      <c r="NZP4"/>
      <c r="NZQ4"/>
      <c r="NZR4"/>
      <c r="NZS4"/>
      <c r="NZT4"/>
      <c r="NZU4"/>
      <c r="NZV4"/>
      <c r="NZW4"/>
      <c r="NZX4"/>
      <c r="NZY4"/>
      <c r="NZZ4"/>
      <c r="OAA4"/>
      <c r="OAB4"/>
      <c r="OAC4"/>
      <c r="OAD4"/>
      <c r="OAE4"/>
      <c r="OAF4"/>
      <c r="OAG4"/>
      <c r="OAH4"/>
      <c r="OAI4"/>
      <c r="OAJ4"/>
      <c r="OAK4"/>
      <c r="OAL4"/>
      <c r="OAM4"/>
      <c r="OAN4"/>
      <c r="OAO4"/>
      <c r="OAP4"/>
      <c r="OAQ4"/>
      <c r="OAR4"/>
      <c r="OAS4"/>
      <c r="OAT4"/>
      <c r="OAU4"/>
      <c r="OAV4"/>
      <c r="OAW4"/>
      <c r="OAX4"/>
      <c r="OAY4"/>
      <c r="OAZ4"/>
      <c r="OBA4"/>
      <c r="OBB4"/>
      <c r="OBC4"/>
      <c r="OBD4"/>
      <c r="OBE4"/>
      <c r="OBF4"/>
      <c r="OBG4"/>
      <c r="OBH4"/>
      <c r="OBI4"/>
      <c r="OBJ4"/>
      <c r="OBK4"/>
      <c r="OBL4"/>
      <c r="OBM4"/>
      <c r="OBN4"/>
      <c r="OBO4"/>
      <c r="OBP4"/>
      <c r="OBQ4"/>
      <c r="OBR4"/>
      <c r="OBS4"/>
      <c r="OBT4"/>
      <c r="OBU4"/>
      <c r="OBV4"/>
      <c r="OBW4"/>
      <c r="OBX4"/>
      <c r="OBY4"/>
      <c r="OBZ4"/>
      <c r="OCA4"/>
      <c r="OCB4"/>
      <c r="OCC4"/>
      <c r="OCD4"/>
      <c r="OCE4"/>
      <c r="OCF4"/>
      <c r="OCG4"/>
      <c r="OCH4"/>
      <c r="OCI4"/>
      <c r="OCJ4"/>
      <c r="OCK4"/>
      <c r="OCL4"/>
      <c r="OCM4"/>
      <c r="OCN4"/>
      <c r="OCO4"/>
      <c r="OCP4"/>
      <c r="OCQ4"/>
      <c r="OCR4"/>
      <c r="OCS4"/>
      <c r="OCT4"/>
      <c r="OCU4"/>
      <c r="OCV4"/>
      <c r="OCW4"/>
      <c r="OCX4"/>
      <c r="OCY4"/>
      <c r="OCZ4"/>
      <c r="ODA4"/>
      <c r="ODB4"/>
      <c r="ODC4"/>
      <c r="ODD4"/>
      <c r="ODE4"/>
      <c r="ODF4"/>
      <c r="ODG4"/>
      <c r="ODH4"/>
      <c r="ODI4"/>
      <c r="ODJ4"/>
      <c r="ODK4"/>
      <c r="ODL4"/>
      <c r="ODM4"/>
      <c r="ODN4"/>
      <c r="ODO4"/>
      <c r="ODP4"/>
      <c r="ODQ4"/>
      <c r="ODR4"/>
      <c r="ODS4"/>
      <c r="ODT4"/>
      <c r="ODU4"/>
      <c r="ODV4"/>
      <c r="ODW4"/>
      <c r="ODX4"/>
      <c r="ODY4"/>
      <c r="ODZ4"/>
      <c r="OEA4"/>
      <c r="OEB4"/>
      <c r="OEC4"/>
      <c r="OED4"/>
      <c r="OEE4"/>
      <c r="OEF4"/>
      <c r="OEG4"/>
      <c r="OEH4"/>
      <c r="OEI4"/>
      <c r="OEJ4"/>
      <c r="OEK4"/>
      <c r="OEL4"/>
      <c r="OEM4"/>
      <c r="OEN4"/>
      <c r="OEO4"/>
      <c r="OEP4"/>
      <c r="OEQ4"/>
      <c r="OER4"/>
      <c r="OES4"/>
      <c r="OET4"/>
      <c r="OEU4"/>
      <c r="OEV4"/>
      <c r="OEW4"/>
      <c r="OEX4"/>
      <c r="OEY4"/>
      <c r="OEZ4"/>
      <c r="OFA4"/>
      <c r="OFB4"/>
      <c r="OFC4"/>
      <c r="OFD4"/>
      <c r="OFE4"/>
      <c r="OFF4"/>
      <c r="OFG4"/>
      <c r="OFH4"/>
      <c r="OFI4"/>
      <c r="OFJ4"/>
      <c r="OFK4"/>
      <c r="OFL4"/>
      <c r="OFM4"/>
      <c r="OFN4"/>
      <c r="OFO4"/>
      <c r="OFP4"/>
      <c r="OFQ4"/>
      <c r="OFR4"/>
      <c r="OFS4"/>
      <c r="OFT4"/>
      <c r="OFU4"/>
      <c r="OFV4"/>
      <c r="OFW4"/>
      <c r="OFX4"/>
      <c r="OFY4"/>
      <c r="OFZ4"/>
      <c r="OGA4"/>
      <c r="OGB4"/>
      <c r="OGC4"/>
      <c r="OGD4"/>
      <c r="OGE4"/>
      <c r="OGF4"/>
      <c r="OGG4"/>
      <c r="OGH4"/>
      <c r="OGI4"/>
      <c r="OGJ4"/>
      <c r="OGK4"/>
      <c r="OGL4"/>
      <c r="OGM4"/>
      <c r="OGN4"/>
      <c r="OGO4"/>
      <c r="OGP4"/>
      <c r="OGQ4"/>
      <c r="OGR4"/>
      <c r="OGS4"/>
      <c r="OGT4"/>
      <c r="OGU4"/>
      <c r="OGV4"/>
      <c r="OGW4"/>
      <c r="OGX4"/>
      <c r="OGY4"/>
      <c r="OGZ4"/>
      <c r="OHA4"/>
      <c r="OHB4"/>
      <c r="OHC4"/>
      <c r="OHD4"/>
      <c r="OHE4"/>
      <c r="OHF4"/>
      <c r="OHG4"/>
      <c r="OHH4"/>
      <c r="OHI4"/>
      <c r="OHJ4"/>
      <c r="OHK4"/>
      <c r="OHL4"/>
      <c r="OHM4"/>
      <c r="OHN4"/>
      <c r="OHO4"/>
      <c r="OHP4"/>
      <c r="OHQ4"/>
      <c r="OHR4"/>
      <c r="OHS4"/>
      <c r="OHT4"/>
      <c r="OHU4"/>
      <c r="OHV4"/>
      <c r="OHW4"/>
      <c r="OHX4"/>
      <c r="OHY4"/>
      <c r="OHZ4"/>
      <c r="OIA4"/>
      <c r="OIB4"/>
      <c r="OIC4"/>
      <c r="OID4"/>
      <c r="OIE4"/>
      <c r="OIF4"/>
      <c r="OIG4"/>
      <c r="OIH4"/>
      <c r="OII4"/>
      <c r="OIJ4"/>
      <c r="OIK4"/>
      <c r="OIL4"/>
      <c r="OIM4"/>
      <c r="OIN4"/>
      <c r="OIO4"/>
      <c r="OIP4"/>
      <c r="OIQ4"/>
      <c r="OIR4"/>
      <c r="OIS4"/>
      <c r="OIT4"/>
      <c r="OIU4"/>
      <c r="OIV4"/>
      <c r="OIW4"/>
      <c r="OIX4"/>
      <c r="OIY4"/>
      <c r="OIZ4"/>
      <c r="OJA4"/>
      <c r="OJB4"/>
      <c r="OJC4"/>
      <c r="OJD4"/>
      <c r="OJE4"/>
      <c r="OJF4"/>
      <c r="OJG4"/>
      <c r="OJH4"/>
      <c r="OJI4"/>
      <c r="OJJ4"/>
      <c r="OJK4"/>
      <c r="OJL4"/>
      <c r="OJM4"/>
      <c r="OJN4"/>
      <c r="OJO4"/>
      <c r="OJP4"/>
      <c r="OJQ4"/>
      <c r="OJR4"/>
      <c r="OJS4"/>
      <c r="OJT4"/>
      <c r="OJU4"/>
      <c r="OJV4"/>
      <c r="OJW4"/>
      <c r="OJX4"/>
      <c r="OJY4"/>
      <c r="OJZ4"/>
      <c r="OKA4"/>
      <c r="OKB4"/>
      <c r="OKC4"/>
      <c r="OKD4"/>
      <c r="OKE4"/>
      <c r="OKF4"/>
      <c r="OKG4"/>
      <c r="OKH4"/>
      <c r="OKI4"/>
      <c r="OKJ4"/>
      <c r="OKK4"/>
      <c r="OKL4"/>
      <c r="OKM4"/>
      <c r="OKN4"/>
      <c r="OKO4"/>
      <c r="OKP4"/>
      <c r="OKQ4"/>
      <c r="OKR4"/>
      <c r="OKS4"/>
      <c r="OKT4"/>
      <c r="OKU4"/>
      <c r="OKV4"/>
      <c r="OKW4"/>
      <c r="OKX4"/>
      <c r="OKY4"/>
      <c r="OKZ4"/>
      <c r="OLA4"/>
      <c r="OLB4"/>
      <c r="OLC4"/>
      <c r="OLD4"/>
      <c r="OLE4"/>
      <c r="OLF4"/>
      <c r="OLG4"/>
      <c r="OLH4"/>
      <c r="OLI4"/>
      <c r="OLJ4"/>
      <c r="OLK4"/>
      <c r="OLL4"/>
      <c r="OLM4"/>
      <c r="OLN4"/>
      <c r="OLO4"/>
      <c r="OLP4"/>
      <c r="OLQ4"/>
      <c r="OLR4"/>
      <c r="OLS4"/>
      <c r="OLT4"/>
      <c r="OLU4"/>
      <c r="OLV4"/>
      <c r="OLW4"/>
      <c r="OLX4"/>
      <c r="OLY4"/>
      <c r="OLZ4"/>
      <c r="OMA4"/>
      <c r="OMB4"/>
      <c r="OMC4"/>
      <c r="OMD4"/>
      <c r="OME4"/>
      <c r="OMF4"/>
      <c r="OMG4"/>
      <c r="OMH4"/>
      <c r="OMI4"/>
      <c r="OMJ4"/>
      <c r="OMK4"/>
      <c r="OML4"/>
      <c r="OMM4"/>
      <c r="OMN4"/>
      <c r="OMO4"/>
      <c r="OMP4"/>
      <c r="OMQ4"/>
      <c r="OMR4"/>
      <c r="OMS4"/>
      <c r="OMT4"/>
      <c r="OMU4"/>
      <c r="OMV4"/>
      <c r="OMW4"/>
      <c r="OMX4"/>
      <c r="OMY4"/>
      <c r="OMZ4"/>
      <c r="ONA4"/>
      <c r="ONB4"/>
      <c r="ONC4"/>
      <c r="OND4"/>
      <c r="ONE4"/>
      <c r="ONF4"/>
      <c r="ONG4"/>
      <c r="ONH4"/>
      <c r="ONI4"/>
      <c r="ONJ4"/>
      <c r="ONK4"/>
      <c r="ONL4"/>
      <c r="ONM4"/>
      <c r="ONN4"/>
      <c r="ONO4"/>
      <c r="ONP4"/>
      <c r="ONQ4"/>
      <c r="ONR4"/>
      <c r="ONS4"/>
      <c r="ONT4"/>
      <c r="ONU4"/>
      <c r="ONV4"/>
      <c r="ONW4"/>
      <c r="ONX4"/>
      <c r="ONY4"/>
      <c r="ONZ4"/>
      <c r="OOA4"/>
      <c r="OOB4"/>
      <c r="OOC4"/>
      <c r="OOD4"/>
      <c r="OOE4"/>
      <c r="OOF4"/>
      <c r="OOG4"/>
      <c r="OOH4"/>
      <c r="OOI4"/>
      <c r="OOJ4"/>
      <c r="OOK4"/>
      <c r="OOL4"/>
      <c r="OOM4"/>
      <c r="OON4"/>
      <c r="OOO4"/>
      <c r="OOP4"/>
      <c r="OOQ4"/>
      <c r="OOR4"/>
      <c r="OOS4"/>
      <c r="OOT4"/>
      <c r="OOU4"/>
      <c r="OOV4"/>
      <c r="OOW4"/>
      <c r="OOX4"/>
      <c r="OOY4"/>
      <c r="OOZ4"/>
      <c r="OPA4"/>
      <c r="OPB4"/>
      <c r="OPC4"/>
      <c r="OPD4"/>
      <c r="OPE4"/>
      <c r="OPF4"/>
      <c r="OPG4"/>
      <c r="OPH4"/>
      <c r="OPI4"/>
      <c r="OPJ4"/>
      <c r="OPK4"/>
      <c r="OPL4"/>
      <c r="OPM4"/>
      <c r="OPN4"/>
      <c r="OPO4"/>
      <c r="OPP4"/>
      <c r="OPQ4"/>
      <c r="OPR4"/>
      <c r="OPS4"/>
      <c r="OPT4"/>
      <c r="OPU4"/>
      <c r="OPV4"/>
      <c r="OPW4"/>
      <c r="OPX4"/>
      <c r="OPY4"/>
      <c r="OPZ4"/>
      <c r="OQA4"/>
      <c r="OQB4"/>
      <c r="OQC4"/>
      <c r="OQD4"/>
      <c r="OQE4"/>
      <c r="OQF4"/>
      <c r="OQG4"/>
      <c r="OQH4"/>
      <c r="OQI4"/>
      <c r="OQJ4"/>
      <c r="OQK4"/>
      <c r="OQL4"/>
      <c r="OQM4"/>
      <c r="OQN4"/>
      <c r="OQO4"/>
      <c r="OQP4"/>
      <c r="OQQ4"/>
      <c r="OQR4"/>
      <c r="OQS4"/>
      <c r="OQT4"/>
      <c r="OQU4"/>
      <c r="OQV4"/>
      <c r="OQW4"/>
      <c r="OQX4"/>
      <c r="OQY4"/>
      <c r="OQZ4"/>
      <c r="ORA4"/>
      <c r="ORB4"/>
      <c r="ORC4"/>
      <c r="ORD4"/>
      <c r="ORE4"/>
      <c r="ORF4"/>
      <c r="ORG4"/>
      <c r="ORH4"/>
      <c r="ORI4"/>
      <c r="ORJ4"/>
      <c r="ORK4"/>
      <c r="ORL4"/>
      <c r="ORM4"/>
      <c r="ORN4"/>
      <c r="ORO4"/>
      <c r="ORP4"/>
      <c r="ORQ4"/>
      <c r="ORR4"/>
      <c r="ORS4"/>
      <c r="ORT4"/>
      <c r="ORU4"/>
      <c r="ORV4"/>
      <c r="ORW4"/>
      <c r="ORX4"/>
      <c r="ORY4"/>
      <c r="ORZ4"/>
      <c r="OSA4"/>
      <c r="OSB4"/>
      <c r="OSC4"/>
      <c r="OSD4"/>
      <c r="OSE4"/>
      <c r="OSF4"/>
      <c r="OSG4"/>
      <c r="OSH4"/>
      <c r="OSI4"/>
      <c r="OSJ4"/>
      <c r="OSK4"/>
      <c r="OSL4"/>
      <c r="OSM4"/>
      <c r="OSN4"/>
      <c r="OSO4"/>
      <c r="OSP4"/>
      <c r="OSQ4"/>
      <c r="OSR4"/>
      <c r="OSS4"/>
      <c r="OST4"/>
      <c r="OSU4"/>
      <c r="OSV4"/>
      <c r="OSW4"/>
      <c r="OSX4"/>
      <c r="OSY4"/>
      <c r="OSZ4"/>
      <c r="OTA4"/>
      <c r="OTB4"/>
      <c r="OTC4"/>
      <c r="OTD4"/>
      <c r="OTE4"/>
      <c r="OTF4"/>
      <c r="OTG4"/>
      <c r="OTH4"/>
      <c r="OTI4"/>
      <c r="OTJ4"/>
      <c r="OTK4"/>
      <c r="OTL4"/>
      <c r="OTM4"/>
      <c r="OTN4"/>
      <c r="OTO4"/>
      <c r="OTP4"/>
      <c r="OTQ4"/>
      <c r="OTR4"/>
      <c r="OTS4"/>
      <c r="OTT4"/>
      <c r="OTU4"/>
      <c r="OTV4"/>
      <c r="OTW4"/>
      <c r="OTX4"/>
      <c r="OTY4"/>
      <c r="OTZ4"/>
      <c r="OUA4"/>
      <c r="OUB4"/>
      <c r="OUC4"/>
      <c r="OUD4"/>
      <c r="OUE4"/>
      <c r="OUF4"/>
      <c r="OUG4"/>
      <c r="OUH4"/>
      <c r="OUI4"/>
      <c r="OUJ4"/>
      <c r="OUK4"/>
      <c r="OUL4"/>
      <c r="OUM4"/>
      <c r="OUN4"/>
      <c r="OUO4"/>
      <c r="OUP4"/>
      <c r="OUQ4"/>
      <c r="OUR4"/>
      <c r="OUS4"/>
      <c r="OUT4"/>
      <c r="OUU4"/>
      <c r="OUV4"/>
      <c r="OUW4"/>
      <c r="OUX4"/>
      <c r="OUY4"/>
      <c r="OUZ4"/>
      <c r="OVA4"/>
      <c r="OVB4"/>
      <c r="OVC4"/>
      <c r="OVD4"/>
      <c r="OVE4"/>
      <c r="OVF4"/>
      <c r="OVG4"/>
      <c r="OVH4"/>
      <c r="OVI4"/>
      <c r="OVJ4"/>
      <c r="OVK4"/>
      <c r="OVL4"/>
      <c r="OVM4"/>
      <c r="OVN4"/>
      <c r="OVO4"/>
      <c r="OVP4"/>
      <c r="OVQ4"/>
      <c r="OVR4"/>
      <c r="OVS4"/>
      <c r="OVT4"/>
      <c r="OVU4"/>
      <c r="OVV4"/>
      <c r="OVW4"/>
      <c r="OVX4"/>
      <c r="OVY4"/>
      <c r="OVZ4"/>
      <c r="OWA4"/>
      <c r="OWB4"/>
      <c r="OWC4"/>
      <c r="OWD4"/>
      <c r="OWE4"/>
      <c r="OWF4"/>
      <c r="OWG4"/>
      <c r="OWH4"/>
      <c r="OWI4"/>
      <c r="OWJ4"/>
      <c r="OWK4"/>
      <c r="OWL4"/>
      <c r="OWM4"/>
      <c r="OWN4"/>
      <c r="OWO4"/>
      <c r="OWP4"/>
      <c r="OWQ4"/>
      <c r="OWR4"/>
      <c r="OWS4"/>
      <c r="OWT4"/>
      <c r="OWU4"/>
      <c r="OWV4"/>
      <c r="OWW4"/>
      <c r="OWX4"/>
      <c r="OWY4"/>
      <c r="OWZ4"/>
      <c r="OXA4"/>
      <c r="OXB4"/>
      <c r="OXC4"/>
      <c r="OXD4"/>
      <c r="OXE4"/>
      <c r="OXF4"/>
      <c r="OXG4"/>
      <c r="OXH4"/>
      <c r="OXI4"/>
      <c r="OXJ4"/>
      <c r="OXK4"/>
      <c r="OXL4"/>
      <c r="OXM4"/>
      <c r="OXN4"/>
      <c r="OXO4"/>
      <c r="OXP4"/>
      <c r="OXQ4"/>
      <c r="OXR4"/>
      <c r="OXS4"/>
      <c r="OXT4"/>
      <c r="OXU4"/>
      <c r="OXV4"/>
      <c r="OXW4"/>
      <c r="OXX4"/>
      <c r="OXY4"/>
      <c r="OXZ4"/>
      <c r="OYA4"/>
      <c r="OYB4"/>
      <c r="OYC4"/>
      <c r="OYD4"/>
      <c r="OYE4"/>
      <c r="OYF4"/>
      <c r="OYG4"/>
      <c r="OYH4"/>
      <c r="OYI4"/>
      <c r="OYJ4"/>
      <c r="OYK4"/>
      <c r="OYL4"/>
      <c r="OYM4"/>
      <c r="OYN4"/>
      <c r="OYO4"/>
      <c r="OYP4"/>
      <c r="OYQ4"/>
      <c r="OYR4"/>
      <c r="OYS4"/>
      <c r="OYT4"/>
      <c r="OYU4"/>
      <c r="OYV4"/>
      <c r="OYW4"/>
      <c r="OYX4"/>
      <c r="OYY4"/>
      <c r="OYZ4"/>
      <c r="OZA4"/>
      <c r="OZB4"/>
      <c r="OZC4"/>
      <c r="OZD4"/>
      <c r="OZE4"/>
      <c r="OZF4"/>
      <c r="OZG4"/>
      <c r="OZH4"/>
      <c r="OZI4"/>
      <c r="OZJ4"/>
      <c r="OZK4"/>
      <c r="OZL4"/>
      <c r="OZM4"/>
      <c r="OZN4"/>
      <c r="OZO4"/>
      <c r="OZP4"/>
      <c r="OZQ4"/>
      <c r="OZR4"/>
      <c r="OZS4"/>
      <c r="OZT4"/>
      <c r="OZU4"/>
      <c r="OZV4"/>
      <c r="OZW4"/>
      <c r="OZX4"/>
      <c r="OZY4"/>
      <c r="OZZ4"/>
      <c r="PAA4"/>
      <c r="PAB4"/>
      <c r="PAC4"/>
      <c r="PAD4"/>
      <c r="PAE4"/>
      <c r="PAF4"/>
      <c r="PAG4"/>
      <c r="PAH4"/>
      <c r="PAI4"/>
      <c r="PAJ4"/>
      <c r="PAK4"/>
      <c r="PAL4"/>
      <c r="PAM4"/>
      <c r="PAN4"/>
      <c r="PAO4"/>
      <c r="PAP4"/>
      <c r="PAQ4"/>
      <c r="PAR4"/>
      <c r="PAS4"/>
      <c r="PAT4"/>
      <c r="PAU4"/>
      <c r="PAV4"/>
      <c r="PAW4"/>
      <c r="PAX4"/>
      <c r="PAY4"/>
      <c r="PAZ4"/>
      <c r="PBA4"/>
      <c r="PBB4"/>
      <c r="PBC4"/>
      <c r="PBD4"/>
      <c r="PBE4"/>
      <c r="PBF4"/>
      <c r="PBG4"/>
      <c r="PBH4"/>
      <c r="PBI4"/>
      <c r="PBJ4"/>
      <c r="PBK4"/>
      <c r="PBL4"/>
      <c r="PBM4"/>
      <c r="PBN4"/>
      <c r="PBO4"/>
      <c r="PBP4"/>
      <c r="PBQ4"/>
      <c r="PBR4"/>
      <c r="PBS4"/>
      <c r="PBT4"/>
      <c r="PBU4"/>
      <c r="PBV4"/>
      <c r="PBW4"/>
      <c r="PBX4"/>
      <c r="PBY4"/>
      <c r="PBZ4"/>
      <c r="PCA4"/>
      <c r="PCB4"/>
      <c r="PCC4"/>
      <c r="PCD4"/>
      <c r="PCE4"/>
      <c r="PCF4"/>
      <c r="PCG4"/>
      <c r="PCH4"/>
      <c r="PCI4"/>
      <c r="PCJ4"/>
      <c r="PCK4"/>
      <c r="PCL4"/>
      <c r="PCM4"/>
      <c r="PCN4"/>
      <c r="PCO4"/>
      <c r="PCP4"/>
      <c r="PCQ4"/>
      <c r="PCR4"/>
      <c r="PCS4"/>
      <c r="PCT4"/>
      <c r="PCU4"/>
      <c r="PCV4"/>
      <c r="PCW4"/>
      <c r="PCX4"/>
      <c r="PCY4"/>
      <c r="PCZ4"/>
      <c r="PDA4"/>
      <c r="PDB4"/>
      <c r="PDC4"/>
      <c r="PDD4"/>
      <c r="PDE4"/>
      <c r="PDF4"/>
      <c r="PDG4"/>
      <c r="PDH4"/>
      <c r="PDI4"/>
      <c r="PDJ4"/>
      <c r="PDK4"/>
      <c r="PDL4"/>
      <c r="PDM4"/>
      <c r="PDN4"/>
      <c r="PDO4"/>
      <c r="PDP4"/>
      <c r="PDQ4"/>
      <c r="PDR4"/>
      <c r="PDS4"/>
      <c r="PDT4"/>
      <c r="PDU4"/>
      <c r="PDV4"/>
      <c r="PDW4"/>
      <c r="PDX4"/>
      <c r="PDY4"/>
      <c r="PDZ4"/>
      <c r="PEA4"/>
      <c r="PEB4"/>
      <c r="PEC4"/>
      <c r="PED4"/>
      <c r="PEE4"/>
      <c r="PEF4"/>
      <c r="PEG4"/>
      <c r="PEH4"/>
      <c r="PEI4"/>
      <c r="PEJ4"/>
      <c r="PEK4"/>
      <c r="PEL4"/>
      <c r="PEM4"/>
      <c r="PEN4"/>
      <c r="PEO4"/>
      <c r="PEP4"/>
      <c r="PEQ4"/>
      <c r="PER4"/>
      <c r="PES4"/>
      <c r="PET4"/>
      <c r="PEU4"/>
      <c r="PEV4"/>
      <c r="PEW4"/>
      <c r="PEX4"/>
      <c r="PEY4"/>
      <c r="PEZ4"/>
      <c r="PFA4"/>
      <c r="PFB4"/>
      <c r="PFC4"/>
      <c r="PFD4"/>
      <c r="PFE4"/>
      <c r="PFF4"/>
      <c r="PFG4"/>
      <c r="PFH4"/>
      <c r="PFI4"/>
      <c r="PFJ4"/>
      <c r="PFK4"/>
      <c r="PFL4"/>
      <c r="PFM4"/>
      <c r="PFN4"/>
      <c r="PFO4"/>
      <c r="PFP4"/>
      <c r="PFQ4"/>
      <c r="PFR4"/>
      <c r="PFS4"/>
      <c r="PFT4"/>
      <c r="PFU4"/>
      <c r="PFV4"/>
      <c r="PFW4"/>
      <c r="PFX4"/>
      <c r="PFY4"/>
      <c r="PFZ4"/>
      <c r="PGA4"/>
      <c r="PGB4"/>
      <c r="PGC4"/>
      <c r="PGD4"/>
      <c r="PGE4"/>
      <c r="PGF4"/>
      <c r="PGG4"/>
      <c r="PGH4"/>
      <c r="PGI4"/>
      <c r="PGJ4"/>
      <c r="PGK4"/>
      <c r="PGL4"/>
      <c r="PGM4"/>
      <c r="PGN4"/>
      <c r="PGO4"/>
      <c r="PGP4"/>
      <c r="PGQ4"/>
      <c r="PGR4"/>
      <c r="PGS4"/>
      <c r="PGT4"/>
      <c r="PGU4"/>
      <c r="PGV4"/>
      <c r="PGW4"/>
      <c r="PGX4"/>
      <c r="PGY4"/>
      <c r="PGZ4"/>
      <c r="PHA4"/>
      <c r="PHB4"/>
      <c r="PHC4"/>
      <c r="PHD4"/>
      <c r="PHE4"/>
      <c r="PHF4"/>
      <c r="PHG4"/>
      <c r="PHH4"/>
      <c r="PHI4"/>
      <c r="PHJ4"/>
      <c r="PHK4"/>
      <c r="PHL4"/>
      <c r="PHM4"/>
      <c r="PHN4"/>
      <c r="PHO4"/>
      <c r="PHP4"/>
      <c r="PHQ4"/>
      <c r="PHR4"/>
      <c r="PHS4"/>
      <c r="PHT4"/>
      <c r="PHU4"/>
      <c r="PHV4"/>
      <c r="PHW4"/>
      <c r="PHX4"/>
      <c r="PHY4"/>
      <c r="PHZ4"/>
      <c r="PIA4"/>
      <c r="PIB4"/>
      <c r="PIC4"/>
      <c r="PID4"/>
      <c r="PIE4"/>
      <c r="PIF4"/>
      <c r="PIG4"/>
      <c r="PIH4"/>
      <c r="PII4"/>
      <c r="PIJ4"/>
      <c r="PIK4"/>
      <c r="PIL4"/>
      <c r="PIM4"/>
      <c r="PIN4"/>
      <c r="PIO4"/>
      <c r="PIP4"/>
      <c r="PIQ4"/>
      <c r="PIR4"/>
      <c r="PIS4"/>
      <c r="PIT4"/>
      <c r="PIU4"/>
      <c r="PIV4"/>
      <c r="PIW4"/>
      <c r="PIX4"/>
      <c r="PIY4"/>
      <c r="PIZ4"/>
      <c r="PJA4"/>
      <c r="PJB4"/>
      <c r="PJC4"/>
      <c r="PJD4"/>
      <c r="PJE4"/>
      <c r="PJF4"/>
      <c r="PJG4"/>
      <c r="PJH4"/>
      <c r="PJI4"/>
      <c r="PJJ4"/>
      <c r="PJK4"/>
      <c r="PJL4"/>
      <c r="PJM4"/>
      <c r="PJN4"/>
      <c r="PJO4"/>
      <c r="PJP4"/>
      <c r="PJQ4"/>
      <c r="PJR4"/>
      <c r="PJS4"/>
      <c r="PJT4"/>
      <c r="PJU4"/>
      <c r="PJV4"/>
      <c r="PJW4"/>
      <c r="PJX4"/>
      <c r="PJY4"/>
      <c r="PJZ4"/>
      <c r="PKA4"/>
      <c r="PKB4"/>
      <c r="PKC4"/>
      <c r="PKD4"/>
      <c r="PKE4"/>
      <c r="PKF4"/>
      <c r="PKG4"/>
      <c r="PKH4"/>
      <c r="PKI4"/>
      <c r="PKJ4"/>
      <c r="PKK4"/>
      <c r="PKL4"/>
      <c r="PKM4"/>
      <c r="PKN4"/>
      <c r="PKO4"/>
      <c r="PKP4"/>
      <c r="PKQ4"/>
      <c r="PKR4"/>
      <c r="PKS4"/>
      <c r="PKT4"/>
      <c r="PKU4"/>
      <c r="PKV4"/>
      <c r="PKW4"/>
      <c r="PKX4"/>
      <c r="PKY4"/>
      <c r="PKZ4"/>
      <c r="PLA4"/>
      <c r="PLB4"/>
      <c r="PLC4"/>
      <c r="PLD4"/>
      <c r="PLE4"/>
      <c r="PLF4"/>
      <c r="PLG4"/>
      <c r="PLH4"/>
      <c r="PLI4"/>
      <c r="PLJ4"/>
      <c r="PLK4"/>
      <c r="PLL4"/>
      <c r="PLM4"/>
      <c r="PLN4"/>
      <c r="PLO4"/>
      <c r="PLP4"/>
      <c r="PLQ4"/>
      <c r="PLR4"/>
      <c r="PLS4"/>
      <c r="PLT4"/>
      <c r="PLU4"/>
      <c r="PLV4"/>
      <c r="PLW4"/>
      <c r="PLX4"/>
      <c r="PLY4"/>
      <c r="PLZ4"/>
      <c r="PMA4"/>
      <c r="PMB4"/>
      <c r="PMC4"/>
      <c r="PMD4"/>
      <c r="PME4"/>
      <c r="PMF4"/>
      <c r="PMG4"/>
      <c r="PMH4"/>
      <c r="PMI4"/>
      <c r="PMJ4"/>
      <c r="PMK4"/>
      <c r="PML4"/>
      <c r="PMM4"/>
      <c r="PMN4"/>
      <c r="PMO4"/>
      <c r="PMP4"/>
      <c r="PMQ4"/>
      <c r="PMR4"/>
      <c r="PMS4"/>
      <c r="PMT4"/>
      <c r="PMU4"/>
      <c r="PMV4"/>
      <c r="PMW4"/>
      <c r="PMX4"/>
      <c r="PMY4"/>
      <c r="PMZ4"/>
      <c r="PNA4"/>
      <c r="PNB4"/>
      <c r="PNC4"/>
      <c r="PND4"/>
      <c r="PNE4"/>
      <c r="PNF4"/>
      <c r="PNG4"/>
      <c r="PNH4"/>
      <c r="PNI4"/>
      <c r="PNJ4"/>
      <c r="PNK4"/>
      <c r="PNL4"/>
      <c r="PNM4"/>
      <c r="PNN4"/>
      <c r="PNO4"/>
      <c r="PNP4"/>
      <c r="PNQ4"/>
      <c r="PNR4"/>
      <c r="PNS4"/>
      <c r="PNT4"/>
      <c r="PNU4"/>
      <c r="PNV4"/>
      <c r="PNW4"/>
      <c r="PNX4"/>
      <c r="PNY4"/>
      <c r="PNZ4"/>
      <c r="POA4"/>
      <c r="POB4"/>
      <c r="POC4"/>
      <c r="POD4"/>
      <c r="POE4"/>
      <c r="POF4"/>
      <c r="POG4"/>
      <c r="POH4"/>
      <c r="POI4"/>
      <c r="POJ4"/>
      <c r="POK4"/>
      <c r="POL4"/>
      <c r="POM4"/>
      <c r="PON4"/>
      <c r="POO4"/>
      <c r="POP4"/>
      <c r="POQ4"/>
      <c r="POR4"/>
      <c r="POS4"/>
      <c r="POT4"/>
      <c r="POU4"/>
      <c r="POV4"/>
      <c r="POW4"/>
      <c r="POX4"/>
      <c r="POY4"/>
      <c r="POZ4"/>
      <c r="PPA4"/>
      <c r="PPB4"/>
      <c r="PPC4"/>
      <c r="PPD4"/>
      <c r="PPE4"/>
      <c r="PPF4"/>
      <c r="PPG4"/>
      <c r="PPH4"/>
      <c r="PPI4"/>
      <c r="PPJ4"/>
      <c r="PPK4"/>
      <c r="PPL4"/>
      <c r="PPM4"/>
      <c r="PPN4"/>
      <c r="PPO4"/>
      <c r="PPP4"/>
      <c r="PPQ4"/>
      <c r="PPR4"/>
      <c r="PPS4"/>
      <c r="PPT4"/>
      <c r="PPU4"/>
      <c r="PPV4"/>
      <c r="PPW4"/>
      <c r="PPX4"/>
      <c r="PPY4"/>
      <c r="PPZ4"/>
      <c r="PQA4"/>
      <c r="PQB4"/>
      <c r="PQC4"/>
      <c r="PQD4"/>
      <c r="PQE4"/>
      <c r="PQF4"/>
      <c r="PQG4"/>
      <c r="PQH4"/>
      <c r="PQI4"/>
      <c r="PQJ4"/>
      <c r="PQK4"/>
      <c r="PQL4"/>
      <c r="PQM4"/>
      <c r="PQN4"/>
      <c r="PQO4"/>
      <c r="PQP4"/>
      <c r="PQQ4"/>
      <c r="PQR4"/>
      <c r="PQS4"/>
      <c r="PQT4"/>
      <c r="PQU4"/>
      <c r="PQV4"/>
      <c r="PQW4"/>
      <c r="PQX4"/>
      <c r="PQY4"/>
      <c r="PQZ4"/>
      <c r="PRA4"/>
      <c r="PRB4"/>
      <c r="PRC4"/>
      <c r="PRD4"/>
      <c r="PRE4"/>
      <c r="PRF4"/>
      <c r="PRG4"/>
      <c r="PRH4"/>
      <c r="PRI4"/>
      <c r="PRJ4"/>
      <c r="PRK4"/>
      <c r="PRL4"/>
      <c r="PRM4"/>
      <c r="PRN4"/>
      <c r="PRO4"/>
      <c r="PRP4"/>
      <c r="PRQ4"/>
      <c r="PRR4"/>
      <c r="PRS4"/>
      <c r="PRT4"/>
      <c r="PRU4"/>
      <c r="PRV4"/>
      <c r="PRW4"/>
      <c r="PRX4"/>
      <c r="PRY4"/>
      <c r="PRZ4"/>
      <c r="PSA4"/>
      <c r="PSB4"/>
      <c r="PSC4"/>
      <c r="PSD4"/>
      <c r="PSE4"/>
      <c r="PSF4"/>
      <c r="PSG4"/>
      <c r="PSH4"/>
      <c r="PSI4"/>
      <c r="PSJ4"/>
      <c r="PSK4"/>
      <c r="PSL4"/>
      <c r="PSM4"/>
      <c r="PSN4"/>
      <c r="PSO4"/>
      <c r="PSP4"/>
      <c r="PSQ4"/>
      <c r="PSR4"/>
      <c r="PSS4"/>
      <c r="PST4"/>
      <c r="PSU4"/>
      <c r="PSV4"/>
      <c r="PSW4"/>
      <c r="PSX4"/>
      <c r="PSY4"/>
      <c r="PSZ4"/>
      <c r="PTA4"/>
      <c r="PTB4"/>
      <c r="PTC4"/>
      <c r="PTD4"/>
      <c r="PTE4"/>
      <c r="PTF4"/>
      <c r="PTG4"/>
      <c r="PTH4"/>
      <c r="PTI4"/>
      <c r="PTJ4"/>
      <c r="PTK4"/>
      <c r="PTL4"/>
      <c r="PTM4"/>
      <c r="PTN4"/>
      <c r="PTO4"/>
      <c r="PTP4"/>
      <c r="PTQ4"/>
      <c r="PTR4"/>
      <c r="PTS4"/>
      <c r="PTT4"/>
      <c r="PTU4"/>
      <c r="PTV4"/>
      <c r="PTW4"/>
      <c r="PTX4"/>
      <c r="PTY4"/>
      <c r="PTZ4"/>
      <c r="PUA4"/>
      <c r="PUB4"/>
      <c r="PUC4"/>
      <c r="PUD4"/>
      <c r="PUE4"/>
      <c r="PUF4"/>
      <c r="PUG4"/>
      <c r="PUH4"/>
      <c r="PUI4"/>
      <c r="PUJ4"/>
      <c r="PUK4"/>
      <c r="PUL4"/>
      <c r="PUM4"/>
      <c r="PUN4"/>
      <c r="PUO4"/>
      <c r="PUP4"/>
      <c r="PUQ4"/>
      <c r="PUR4"/>
      <c r="PUS4"/>
      <c r="PUT4"/>
      <c r="PUU4"/>
      <c r="PUV4"/>
      <c r="PUW4"/>
      <c r="PUX4"/>
      <c r="PUY4"/>
      <c r="PUZ4"/>
      <c r="PVA4"/>
      <c r="PVB4"/>
      <c r="PVC4"/>
      <c r="PVD4"/>
      <c r="PVE4"/>
      <c r="PVF4"/>
      <c r="PVG4"/>
      <c r="PVH4"/>
      <c r="PVI4"/>
      <c r="PVJ4"/>
      <c r="PVK4"/>
      <c r="PVL4"/>
      <c r="PVM4"/>
      <c r="PVN4"/>
      <c r="PVO4"/>
      <c r="PVP4"/>
      <c r="PVQ4"/>
      <c r="PVR4"/>
      <c r="PVS4"/>
      <c r="PVT4"/>
      <c r="PVU4"/>
      <c r="PVV4"/>
      <c r="PVW4"/>
      <c r="PVX4"/>
      <c r="PVY4"/>
      <c r="PVZ4"/>
      <c r="PWA4"/>
      <c r="PWB4"/>
      <c r="PWC4"/>
      <c r="PWD4"/>
      <c r="PWE4"/>
      <c r="PWF4"/>
      <c r="PWG4"/>
      <c r="PWH4"/>
      <c r="PWI4"/>
      <c r="PWJ4"/>
      <c r="PWK4"/>
      <c r="PWL4"/>
      <c r="PWM4"/>
      <c r="PWN4"/>
      <c r="PWO4"/>
      <c r="PWP4"/>
      <c r="PWQ4"/>
      <c r="PWR4"/>
      <c r="PWS4"/>
      <c r="PWT4"/>
      <c r="PWU4"/>
      <c r="PWV4"/>
      <c r="PWW4"/>
      <c r="PWX4"/>
      <c r="PWY4"/>
      <c r="PWZ4"/>
      <c r="PXA4"/>
      <c r="PXB4"/>
      <c r="PXC4"/>
      <c r="PXD4"/>
      <c r="PXE4"/>
      <c r="PXF4"/>
      <c r="PXG4"/>
      <c r="PXH4"/>
      <c r="PXI4"/>
      <c r="PXJ4"/>
      <c r="PXK4"/>
      <c r="PXL4"/>
      <c r="PXM4"/>
      <c r="PXN4"/>
      <c r="PXO4"/>
      <c r="PXP4"/>
      <c r="PXQ4"/>
      <c r="PXR4"/>
      <c r="PXS4"/>
      <c r="PXT4"/>
      <c r="PXU4"/>
      <c r="PXV4"/>
      <c r="PXW4"/>
      <c r="PXX4"/>
      <c r="PXY4"/>
      <c r="PXZ4"/>
      <c r="PYA4"/>
      <c r="PYB4"/>
      <c r="PYC4"/>
      <c r="PYD4"/>
      <c r="PYE4"/>
      <c r="PYF4"/>
      <c r="PYG4"/>
      <c r="PYH4"/>
      <c r="PYI4"/>
      <c r="PYJ4"/>
      <c r="PYK4"/>
      <c r="PYL4"/>
      <c r="PYM4"/>
      <c r="PYN4"/>
      <c r="PYO4"/>
      <c r="PYP4"/>
      <c r="PYQ4"/>
      <c r="PYR4"/>
      <c r="PYS4"/>
      <c r="PYT4"/>
      <c r="PYU4"/>
      <c r="PYV4"/>
      <c r="PYW4"/>
      <c r="PYX4"/>
      <c r="PYY4"/>
      <c r="PYZ4"/>
      <c r="PZA4"/>
      <c r="PZB4"/>
      <c r="PZC4"/>
      <c r="PZD4"/>
      <c r="PZE4"/>
      <c r="PZF4"/>
      <c r="PZG4"/>
      <c r="PZH4"/>
      <c r="PZI4"/>
      <c r="PZJ4"/>
      <c r="PZK4"/>
      <c r="PZL4"/>
      <c r="PZM4"/>
      <c r="PZN4"/>
      <c r="PZO4"/>
      <c r="PZP4"/>
      <c r="PZQ4"/>
      <c r="PZR4"/>
      <c r="PZS4"/>
      <c r="PZT4"/>
      <c r="PZU4"/>
      <c r="PZV4"/>
      <c r="PZW4"/>
      <c r="PZX4"/>
      <c r="PZY4"/>
      <c r="PZZ4"/>
      <c r="QAA4"/>
      <c r="QAB4"/>
      <c r="QAC4"/>
      <c r="QAD4"/>
      <c r="QAE4"/>
      <c r="QAF4"/>
      <c r="QAG4"/>
      <c r="QAH4"/>
      <c r="QAI4"/>
      <c r="QAJ4"/>
      <c r="QAK4"/>
      <c r="QAL4"/>
      <c r="QAM4"/>
      <c r="QAN4"/>
      <c r="QAO4"/>
      <c r="QAP4"/>
      <c r="QAQ4"/>
      <c r="QAR4"/>
      <c r="QAS4"/>
      <c r="QAT4"/>
      <c r="QAU4"/>
      <c r="QAV4"/>
      <c r="QAW4"/>
      <c r="QAX4"/>
      <c r="QAY4"/>
      <c r="QAZ4"/>
      <c r="QBA4"/>
      <c r="QBB4"/>
      <c r="QBC4"/>
      <c r="QBD4"/>
      <c r="QBE4"/>
      <c r="QBF4"/>
      <c r="QBG4"/>
      <c r="QBH4"/>
      <c r="QBI4"/>
      <c r="QBJ4"/>
      <c r="QBK4"/>
      <c r="QBL4"/>
      <c r="QBM4"/>
      <c r="QBN4"/>
      <c r="QBO4"/>
      <c r="QBP4"/>
      <c r="QBQ4"/>
      <c r="QBR4"/>
      <c r="QBS4"/>
      <c r="QBT4"/>
      <c r="QBU4"/>
      <c r="QBV4"/>
      <c r="QBW4"/>
      <c r="QBX4"/>
      <c r="QBY4"/>
      <c r="QBZ4"/>
      <c r="QCA4"/>
      <c r="QCB4"/>
      <c r="QCC4"/>
      <c r="QCD4"/>
      <c r="QCE4"/>
      <c r="QCF4"/>
      <c r="QCG4"/>
      <c r="QCH4"/>
      <c r="QCI4"/>
      <c r="QCJ4"/>
      <c r="QCK4"/>
      <c r="QCL4"/>
      <c r="QCM4"/>
      <c r="QCN4"/>
      <c r="QCO4"/>
      <c r="QCP4"/>
      <c r="QCQ4"/>
      <c r="QCR4"/>
      <c r="QCS4"/>
      <c r="QCT4"/>
      <c r="QCU4"/>
      <c r="QCV4"/>
      <c r="QCW4"/>
      <c r="QCX4"/>
      <c r="QCY4"/>
      <c r="QCZ4"/>
      <c r="QDA4"/>
      <c r="QDB4"/>
      <c r="QDC4"/>
      <c r="QDD4"/>
      <c r="QDE4"/>
      <c r="QDF4"/>
      <c r="QDG4"/>
      <c r="QDH4"/>
      <c r="QDI4"/>
      <c r="QDJ4"/>
      <c r="QDK4"/>
      <c r="QDL4"/>
      <c r="QDM4"/>
      <c r="QDN4"/>
      <c r="QDO4"/>
      <c r="QDP4"/>
      <c r="QDQ4"/>
      <c r="QDR4"/>
      <c r="QDS4"/>
      <c r="QDT4"/>
      <c r="QDU4"/>
      <c r="QDV4"/>
      <c r="QDW4"/>
      <c r="QDX4"/>
      <c r="QDY4"/>
      <c r="QDZ4"/>
      <c r="QEA4"/>
      <c r="QEB4"/>
      <c r="QEC4"/>
      <c r="QED4"/>
      <c r="QEE4"/>
      <c r="QEF4"/>
      <c r="QEG4"/>
      <c r="QEH4"/>
      <c r="QEI4"/>
      <c r="QEJ4"/>
      <c r="QEK4"/>
      <c r="QEL4"/>
      <c r="QEM4"/>
      <c r="QEN4"/>
      <c r="QEO4"/>
      <c r="QEP4"/>
      <c r="QEQ4"/>
      <c r="QER4"/>
      <c r="QES4"/>
      <c r="QET4"/>
      <c r="QEU4"/>
      <c r="QEV4"/>
      <c r="QEW4"/>
      <c r="QEX4"/>
      <c r="QEY4"/>
      <c r="QEZ4"/>
      <c r="QFA4"/>
      <c r="QFB4"/>
      <c r="QFC4"/>
      <c r="QFD4"/>
      <c r="QFE4"/>
      <c r="QFF4"/>
      <c r="QFG4"/>
      <c r="QFH4"/>
      <c r="QFI4"/>
      <c r="QFJ4"/>
      <c r="QFK4"/>
      <c r="QFL4"/>
      <c r="QFM4"/>
      <c r="QFN4"/>
      <c r="QFO4"/>
      <c r="QFP4"/>
      <c r="QFQ4"/>
      <c r="QFR4"/>
      <c r="QFS4"/>
      <c r="QFT4"/>
      <c r="QFU4"/>
      <c r="QFV4"/>
      <c r="QFW4"/>
      <c r="QFX4"/>
      <c r="QFY4"/>
      <c r="QFZ4"/>
      <c r="QGA4"/>
      <c r="QGB4"/>
      <c r="QGC4"/>
      <c r="QGD4"/>
      <c r="QGE4"/>
      <c r="QGF4"/>
      <c r="QGG4"/>
      <c r="QGH4"/>
      <c r="QGI4"/>
      <c r="QGJ4"/>
      <c r="QGK4"/>
      <c r="QGL4"/>
      <c r="QGM4"/>
      <c r="QGN4"/>
      <c r="QGO4"/>
      <c r="QGP4"/>
      <c r="QGQ4"/>
      <c r="QGR4"/>
      <c r="QGS4"/>
      <c r="QGT4"/>
      <c r="QGU4"/>
      <c r="QGV4"/>
      <c r="QGW4"/>
      <c r="QGX4"/>
      <c r="QGY4"/>
      <c r="QGZ4"/>
      <c r="QHA4"/>
      <c r="QHB4"/>
      <c r="QHC4"/>
      <c r="QHD4"/>
      <c r="QHE4"/>
      <c r="QHF4"/>
      <c r="QHG4"/>
      <c r="QHH4"/>
      <c r="QHI4"/>
      <c r="QHJ4"/>
      <c r="QHK4"/>
      <c r="QHL4"/>
      <c r="QHM4"/>
      <c r="QHN4"/>
      <c r="QHO4"/>
      <c r="QHP4"/>
      <c r="QHQ4"/>
      <c r="QHR4"/>
      <c r="QHS4"/>
      <c r="QHT4"/>
      <c r="QHU4"/>
      <c r="QHV4"/>
      <c r="QHW4"/>
      <c r="QHX4"/>
      <c r="QHY4"/>
      <c r="QHZ4"/>
      <c r="QIA4"/>
      <c r="QIB4"/>
      <c r="QIC4"/>
      <c r="QID4"/>
      <c r="QIE4"/>
      <c r="QIF4"/>
      <c r="QIG4"/>
      <c r="QIH4"/>
      <c r="QII4"/>
      <c r="QIJ4"/>
      <c r="QIK4"/>
      <c r="QIL4"/>
      <c r="QIM4"/>
      <c r="QIN4"/>
      <c r="QIO4"/>
      <c r="QIP4"/>
      <c r="QIQ4"/>
      <c r="QIR4"/>
      <c r="QIS4"/>
      <c r="QIT4"/>
      <c r="QIU4"/>
      <c r="QIV4"/>
      <c r="QIW4"/>
      <c r="QIX4"/>
      <c r="QIY4"/>
      <c r="QIZ4"/>
      <c r="QJA4"/>
      <c r="QJB4"/>
      <c r="QJC4"/>
      <c r="QJD4"/>
      <c r="QJE4"/>
      <c r="QJF4"/>
      <c r="QJG4"/>
      <c r="QJH4"/>
      <c r="QJI4"/>
      <c r="QJJ4"/>
      <c r="QJK4"/>
      <c r="QJL4"/>
      <c r="QJM4"/>
      <c r="QJN4"/>
      <c r="QJO4"/>
      <c r="QJP4"/>
      <c r="QJQ4"/>
      <c r="QJR4"/>
      <c r="QJS4"/>
      <c r="QJT4"/>
      <c r="QJU4"/>
      <c r="QJV4"/>
      <c r="QJW4"/>
      <c r="QJX4"/>
      <c r="QJY4"/>
      <c r="QJZ4"/>
      <c r="QKA4"/>
      <c r="QKB4"/>
      <c r="QKC4"/>
      <c r="QKD4"/>
      <c r="QKE4"/>
      <c r="QKF4"/>
      <c r="QKG4"/>
      <c r="QKH4"/>
      <c r="QKI4"/>
      <c r="QKJ4"/>
      <c r="QKK4"/>
      <c r="QKL4"/>
      <c r="QKM4"/>
      <c r="QKN4"/>
      <c r="QKO4"/>
      <c r="QKP4"/>
      <c r="QKQ4"/>
      <c r="QKR4"/>
      <c r="QKS4"/>
      <c r="QKT4"/>
      <c r="QKU4"/>
      <c r="QKV4"/>
      <c r="QKW4"/>
      <c r="QKX4"/>
      <c r="QKY4"/>
      <c r="QKZ4"/>
      <c r="QLA4"/>
      <c r="QLB4"/>
      <c r="QLC4"/>
      <c r="QLD4"/>
      <c r="QLE4"/>
      <c r="QLF4"/>
      <c r="QLG4"/>
      <c r="QLH4"/>
      <c r="QLI4"/>
      <c r="QLJ4"/>
      <c r="QLK4"/>
      <c r="QLL4"/>
      <c r="QLM4"/>
      <c r="QLN4"/>
      <c r="QLO4"/>
      <c r="QLP4"/>
      <c r="QLQ4"/>
      <c r="QLR4"/>
      <c r="QLS4"/>
      <c r="QLT4"/>
      <c r="QLU4"/>
      <c r="QLV4"/>
      <c r="QLW4"/>
      <c r="QLX4"/>
      <c r="QLY4"/>
      <c r="QLZ4"/>
      <c r="QMA4"/>
      <c r="QMB4"/>
      <c r="QMC4"/>
      <c r="QMD4"/>
      <c r="QME4"/>
      <c r="QMF4"/>
      <c r="QMG4"/>
      <c r="QMH4"/>
      <c r="QMI4"/>
      <c r="QMJ4"/>
      <c r="QMK4"/>
      <c r="QML4"/>
      <c r="QMM4"/>
      <c r="QMN4"/>
      <c r="QMO4"/>
      <c r="QMP4"/>
      <c r="QMQ4"/>
      <c r="QMR4"/>
      <c r="QMS4"/>
      <c r="QMT4"/>
      <c r="QMU4"/>
      <c r="QMV4"/>
      <c r="QMW4"/>
      <c r="QMX4"/>
      <c r="QMY4"/>
      <c r="QMZ4"/>
      <c r="QNA4"/>
      <c r="QNB4"/>
      <c r="QNC4"/>
      <c r="QND4"/>
      <c r="QNE4"/>
      <c r="QNF4"/>
      <c r="QNG4"/>
      <c r="QNH4"/>
      <c r="QNI4"/>
      <c r="QNJ4"/>
      <c r="QNK4"/>
      <c r="QNL4"/>
      <c r="QNM4"/>
      <c r="QNN4"/>
      <c r="QNO4"/>
      <c r="QNP4"/>
      <c r="QNQ4"/>
      <c r="QNR4"/>
      <c r="QNS4"/>
      <c r="QNT4"/>
      <c r="QNU4"/>
      <c r="QNV4"/>
      <c r="QNW4"/>
      <c r="QNX4"/>
      <c r="QNY4"/>
      <c r="QNZ4"/>
      <c r="QOA4"/>
      <c r="QOB4"/>
      <c r="QOC4"/>
      <c r="QOD4"/>
      <c r="QOE4"/>
      <c r="QOF4"/>
      <c r="QOG4"/>
      <c r="QOH4"/>
      <c r="QOI4"/>
      <c r="QOJ4"/>
      <c r="QOK4"/>
      <c r="QOL4"/>
      <c r="QOM4"/>
      <c r="QON4"/>
      <c r="QOO4"/>
      <c r="QOP4"/>
      <c r="QOQ4"/>
      <c r="QOR4"/>
      <c r="QOS4"/>
      <c r="QOT4"/>
      <c r="QOU4"/>
      <c r="QOV4"/>
      <c r="QOW4"/>
      <c r="QOX4"/>
      <c r="QOY4"/>
      <c r="QOZ4"/>
      <c r="QPA4"/>
      <c r="QPB4"/>
      <c r="QPC4"/>
      <c r="QPD4"/>
      <c r="QPE4"/>
      <c r="QPF4"/>
      <c r="QPG4"/>
      <c r="QPH4"/>
      <c r="QPI4"/>
      <c r="QPJ4"/>
      <c r="QPK4"/>
      <c r="QPL4"/>
      <c r="QPM4"/>
      <c r="QPN4"/>
      <c r="QPO4"/>
      <c r="QPP4"/>
      <c r="QPQ4"/>
      <c r="QPR4"/>
      <c r="QPS4"/>
      <c r="QPT4"/>
      <c r="QPU4"/>
      <c r="QPV4"/>
      <c r="QPW4"/>
      <c r="QPX4"/>
      <c r="QPY4"/>
      <c r="QPZ4"/>
      <c r="QQA4"/>
      <c r="QQB4"/>
      <c r="QQC4"/>
      <c r="QQD4"/>
      <c r="QQE4"/>
      <c r="QQF4"/>
      <c r="QQG4"/>
      <c r="QQH4"/>
      <c r="QQI4"/>
      <c r="QQJ4"/>
      <c r="QQK4"/>
      <c r="QQL4"/>
      <c r="QQM4"/>
      <c r="QQN4"/>
      <c r="QQO4"/>
      <c r="QQP4"/>
      <c r="QQQ4"/>
      <c r="QQR4"/>
      <c r="QQS4"/>
      <c r="QQT4"/>
      <c r="QQU4"/>
      <c r="QQV4"/>
      <c r="QQW4"/>
      <c r="QQX4"/>
      <c r="QQY4"/>
      <c r="QQZ4"/>
      <c r="QRA4"/>
      <c r="QRB4"/>
      <c r="QRC4"/>
      <c r="QRD4"/>
      <c r="QRE4"/>
      <c r="QRF4"/>
      <c r="QRG4"/>
      <c r="QRH4"/>
      <c r="QRI4"/>
      <c r="QRJ4"/>
      <c r="QRK4"/>
      <c r="QRL4"/>
      <c r="QRM4"/>
      <c r="QRN4"/>
      <c r="QRO4"/>
      <c r="QRP4"/>
      <c r="QRQ4"/>
      <c r="QRR4"/>
      <c r="QRS4"/>
      <c r="QRT4"/>
      <c r="QRU4"/>
      <c r="QRV4"/>
      <c r="QRW4"/>
      <c r="QRX4"/>
      <c r="QRY4"/>
      <c r="QRZ4"/>
      <c r="QSA4"/>
      <c r="QSB4"/>
      <c r="QSC4"/>
      <c r="QSD4"/>
      <c r="QSE4"/>
      <c r="QSF4"/>
      <c r="QSG4"/>
      <c r="QSH4"/>
      <c r="QSI4"/>
      <c r="QSJ4"/>
      <c r="QSK4"/>
      <c r="QSL4"/>
      <c r="QSM4"/>
      <c r="QSN4"/>
      <c r="QSO4"/>
      <c r="QSP4"/>
      <c r="QSQ4"/>
      <c r="QSR4"/>
      <c r="QSS4"/>
      <c r="QST4"/>
      <c r="QSU4"/>
      <c r="QSV4"/>
      <c r="QSW4"/>
      <c r="QSX4"/>
      <c r="QSY4"/>
      <c r="QSZ4"/>
      <c r="QTA4"/>
      <c r="QTB4"/>
      <c r="QTC4"/>
      <c r="QTD4"/>
      <c r="QTE4"/>
      <c r="QTF4"/>
      <c r="QTG4"/>
      <c r="QTH4"/>
      <c r="QTI4"/>
      <c r="QTJ4"/>
      <c r="QTK4"/>
      <c r="QTL4"/>
      <c r="QTM4"/>
      <c r="QTN4"/>
      <c r="QTO4"/>
      <c r="QTP4"/>
      <c r="QTQ4"/>
      <c r="QTR4"/>
      <c r="QTS4"/>
      <c r="QTT4"/>
      <c r="QTU4"/>
      <c r="QTV4"/>
      <c r="QTW4"/>
      <c r="QTX4"/>
      <c r="QTY4"/>
      <c r="QTZ4"/>
      <c r="QUA4"/>
      <c r="QUB4"/>
      <c r="QUC4"/>
      <c r="QUD4"/>
      <c r="QUE4"/>
      <c r="QUF4"/>
      <c r="QUG4"/>
      <c r="QUH4"/>
      <c r="QUI4"/>
      <c r="QUJ4"/>
      <c r="QUK4"/>
      <c r="QUL4"/>
      <c r="QUM4"/>
      <c r="QUN4"/>
      <c r="QUO4"/>
      <c r="QUP4"/>
      <c r="QUQ4"/>
      <c r="QUR4"/>
      <c r="QUS4"/>
      <c r="QUT4"/>
      <c r="QUU4"/>
      <c r="QUV4"/>
      <c r="QUW4"/>
      <c r="QUX4"/>
      <c r="QUY4"/>
      <c r="QUZ4"/>
      <c r="QVA4"/>
      <c r="QVB4"/>
      <c r="QVC4"/>
      <c r="QVD4"/>
      <c r="QVE4"/>
      <c r="QVF4"/>
      <c r="QVG4"/>
      <c r="QVH4"/>
      <c r="QVI4"/>
      <c r="QVJ4"/>
      <c r="QVK4"/>
      <c r="QVL4"/>
      <c r="QVM4"/>
      <c r="QVN4"/>
      <c r="QVO4"/>
      <c r="QVP4"/>
      <c r="QVQ4"/>
      <c r="QVR4"/>
      <c r="QVS4"/>
      <c r="QVT4"/>
      <c r="QVU4"/>
      <c r="QVV4"/>
      <c r="QVW4"/>
      <c r="QVX4"/>
      <c r="QVY4"/>
      <c r="QVZ4"/>
      <c r="QWA4"/>
      <c r="QWB4"/>
      <c r="QWC4"/>
      <c r="QWD4"/>
      <c r="QWE4"/>
      <c r="QWF4"/>
      <c r="QWG4"/>
      <c r="QWH4"/>
      <c r="QWI4"/>
      <c r="QWJ4"/>
      <c r="QWK4"/>
      <c r="QWL4"/>
      <c r="QWM4"/>
      <c r="QWN4"/>
      <c r="QWO4"/>
      <c r="QWP4"/>
      <c r="QWQ4"/>
      <c r="QWR4"/>
      <c r="QWS4"/>
      <c r="QWT4"/>
      <c r="QWU4"/>
      <c r="QWV4"/>
      <c r="QWW4"/>
      <c r="QWX4"/>
      <c r="QWY4"/>
      <c r="QWZ4"/>
      <c r="QXA4"/>
      <c r="QXB4"/>
      <c r="QXC4"/>
      <c r="QXD4"/>
      <c r="QXE4"/>
      <c r="QXF4"/>
      <c r="QXG4"/>
      <c r="QXH4"/>
      <c r="QXI4"/>
      <c r="QXJ4"/>
      <c r="QXK4"/>
      <c r="QXL4"/>
      <c r="QXM4"/>
      <c r="QXN4"/>
      <c r="QXO4"/>
      <c r="QXP4"/>
      <c r="QXQ4"/>
      <c r="QXR4"/>
      <c r="QXS4"/>
      <c r="QXT4"/>
      <c r="QXU4"/>
      <c r="QXV4"/>
      <c r="QXW4"/>
      <c r="QXX4"/>
      <c r="QXY4"/>
      <c r="QXZ4"/>
      <c r="QYA4"/>
      <c r="QYB4"/>
      <c r="QYC4"/>
      <c r="QYD4"/>
      <c r="QYE4"/>
      <c r="QYF4"/>
      <c r="QYG4"/>
      <c r="QYH4"/>
      <c r="QYI4"/>
      <c r="QYJ4"/>
      <c r="QYK4"/>
      <c r="QYL4"/>
      <c r="QYM4"/>
      <c r="QYN4"/>
      <c r="QYO4"/>
      <c r="QYP4"/>
      <c r="QYQ4"/>
      <c r="QYR4"/>
      <c r="QYS4"/>
      <c r="QYT4"/>
      <c r="QYU4"/>
      <c r="QYV4"/>
      <c r="QYW4"/>
      <c r="QYX4"/>
      <c r="QYY4"/>
      <c r="QYZ4"/>
      <c r="QZA4"/>
      <c r="QZB4"/>
      <c r="QZC4"/>
      <c r="QZD4"/>
      <c r="QZE4"/>
      <c r="QZF4"/>
      <c r="QZG4"/>
      <c r="QZH4"/>
      <c r="QZI4"/>
      <c r="QZJ4"/>
      <c r="QZK4"/>
      <c r="QZL4"/>
      <c r="QZM4"/>
      <c r="QZN4"/>
      <c r="QZO4"/>
      <c r="QZP4"/>
      <c r="QZQ4"/>
      <c r="QZR4"/>
      <c r="QZS4"/>
      <c r="QZT4"/>
      <c r="QZU4"/>
      <c r="QZV4"/>
      <c r="QZW4"/>
      <c r="QZX4"/>
      <c r="QZY4"/>
      <c r="QZZ4"/>
      <c r="RAA4"/>
      <c r="RAB4"/>
      <c r="RAC4"/>
      <c r="RAD4"/>
      <c r="RAE4"/>
      <c r="RAF4"/>
      <c r="RAG4"/>
      <c r="RAH4"/>
      <c r="RAI4"/>
      <c r="RAJ4"/>
      <c r="RAK4"/>
      <c r="RAL4"/>
      <c r="RAM4"/>
      <c r="RAN4"/>
      <c r="RAO4"/>
      <c r="RAP4"/>
      <c r="RAQ4"/>
      <c r="RAR4"/>
      <c r="RAS4"/>
      <c r="RAT4"/>
      <c r="RAU4"/>
      <c r="RAV4"/>
      <c r="RAW4"/>
      <c r="RAX4"/>
      <c r="RAY4"/>
      <c r="RAZ4"/>
      <c r="RBA4"/>
      <c r="RBB4"/>
      <c r="RBC4"/>
      <c r="RBD4"/>
      <c r="RBE4"/>
      <c r="RBF4"/>
      <c r="RBG4"/>
      <c r="RBH4"/>
      <c r="RBI4"/>
      <c r="RBJ4"/>
      <c r="RBK4"/>
      <c r="RBL4"/>
      <c r="RBM4"/>
      <c r="RBN4"/>
      <c r="RBO4"/>
      <c r="RBP4"/>
      <c r="RBQ4"/>
      <c r="RBR4"/>
      <c r="RBS4"/>
      <c r="RBT4"/>
      <c r="RBU4"/>
      <c r="RBV4"/>
      <c r="RBW4"/>
      <c r="RBX4"/>
      <c r="RBY4"/>
      <c r="RBZ4"/>
      <c r="RCA4"/>
      <c r="RCB4"/>
      <c r="RCC4"/>
      <c r="RCD4"/>
      <c r="RCE4"/>
      <c r="RCF4"/>
      <c r="RCG4"/>
      <c r="RCH4"/>
      <c r="RCI4"/>
      <c r="RCJ4"/>
      <c r="RCK4"/>
      <c r="RCL4"/>
      <c r="RCM4"/>
      <c r="RCN4"/>
      <c r="RCO4"/>
      <c r="RCP4"/>
      <c r="RCQ4"/>
      <c r="RCR4"/>
      <c r="RCS4"/>
      <c r="RCT4"/>
      <c r="RCU4"/>
      <c r="RCV4"/>
      <c r="RCW4"/>
      <c r="RCX4"/>
      <c r="RCY4"/>
      <c r="RCZ4"/>
      <c r="RDA4"/>
      <c r="RDB4"/>
      <c r="RDC4"/>
      <c r="RDD4"/>
      <c r="RDE4"/>
      <c r="RDF4"/>
      <c r="RDG4"/>
      <c r="RDH4"/>
      <c r="RDI4"/>
      <c r="RDJ4"/>
      <c r="RDK4"/>
      <c r="RDL4"/>
      <c r="RDM4"/>
      <c r="RDN4"/>
      <c r="RDO4"/>
      <c r="RDP4"/>
      <c r="RDQ4"/>
      <c r="RDR4"/>
      <c r="RDS4"/>
      <c r="RDT4"/>
      <c r="RDU4"/>
      <c r="RDV4"/>
      <c r="RDW4"/>
      <c r="RDX4"/>
      <c r="RDY4"/>
      <c r="RDZ4"/>
      <c r="REA4"/>
      <c r="REB4"/>
      <c r="REC4"/>
      <c r="RED4"/>
      <c r="REE4"/>
      <c r="REF4"/>
      <c r="REG4"/>
      <c r="REH4"/>
      <c r="REI4"/>
      <c r="REJ4"/>
      <c r="REK4"/>
      <c r="REL4"/>
      <c r="REM4"/>
      <c r="REN4"/>
      <c r="REO4"/>
      <c r="REP4"/>
      <c r="REQ4"/>
      <c r="RER4"/>
      <c r="RES4"/>
      <c r="RET4"/>
      <c r="REU4"/>
      <c r="REV4"/>
      <c r="REW4"/>
      <c r="REX4"/>
      <c r="REY4"/>
      <c r="REZ4"/>
      <c r="RFA4"/>
      <c r="RFB4"/>
      <c r="RFC4"/>
      <c r="RFD4"/>
      <c r="RFE4"/>
      <c r="RFF4"/>
      <c r="RFG4"/>
      <c r="RFH4"/>
      <c r="RFI4"/>
      <c r="RFJ4"/>
      <c r="RFK4"/>
      <c r="RFL4"/>
      <c r="RFM4"/>
      <c r="RFN4"/>
      <c r="RFO4"/>
      <c r="RFP4"/>
      <c r="RFQ4"/>
      <c r="RFR4"/>
      <c r="RFS4"/>
      <c r="RFT4"/>
      <c r="RFU4"/>
      <c r="RFV4"/>
      <c r="RFW4"/>
      <c r="RFX4"/>
      <c r="RFY4"/>
      <c r="RFZ4"/>
      <c r="RGA4"/>
      <c r="RGB4"/>
      <c r="RGC4"/>
      <c r="RGD4"/>
      <c r="RGE4"/>
      <c r="RGF4"/>
      <c r="RGG4"/>
      <c r="RGH4"/>
      <c r="RGI4"/>
      <c r="RGJ4"/>
      <c r="RGK4"/>
      <c r="RGL4"/>
      <c r="RGM4"/>
      <c r="RGN4"/>
      <c r="RGO4"/>
      <c r="RGP4"/>
      <c r="RGQ4"/>
      <c r="RGR4"/>
      <c r="RGS4"/>
      <c r="RGT4"/>
      <c r="RGU4"/>
      <c r="RGV4"/>
      <c r="RGW4"/>
      <c r="RGX4"/>
      <c r="RGY4"/>
      <c r="RGZ4"/>
      <c r="RHA4"/>
      <c r="RHB4"/>
      <c r="RHC4"/>
      <c r="RHD4"/>
      <c r="RHE4"/>
      <c r="RHF4"/>
      <c r="RHG4"/>
      <c r="RHH4"/>
      <c r="RHI4"/>
      <c r="RHJ4"/>
      <c r="RHK4"/>
      <c r="RHL4"/>
      <c r="RHM4"/>
      <c r="RHN4"/>
      <c r="RHO4"/>
      <c r="RHP4"/>
      <c r="RHQ4"/>
      <c r="RHR4"/>
      <c r="RHS4"/>
      <c r="RHT4"/>
      <c r="RHU4"/>
      <c r="RHV4"/>
      <c r="RHW4"/>
      <c r="RHX4"/>
      <c r="RHY4"/>
      <c r="RHZ4"/>
      <c r="RIA4"/>
      <c r="RIB4"/>
      <c r="RIC4"/>
      <c r="RID4"/>
      <c r="RIE4"/>
      <c r="RIF4"/>
      <c r="RIG4"/>
      <c r="RIH4"/>
      <c r="RII4"/>
      <c r="RIJ4"/>
      <c r="RIK4"/>
      <c r="RIL4"/>
      <c r="RIM4"/>
      <c r="RIN4"/>
      <c r="RIO4"/>
      <c r="RIP4"/>
      <c r="RIQ4"/>
      <c r="RIR4"/>
      <c r="RIS4"/>
      <c r="RIT4"/>
      <c r="RIU4"/>
      <c r="RIV4"/>
      <c r="RIW4"/>
      <c r="RIX4"/>
      <c r="RIY4"/>
      <c r="RIZ4"/>
      <c r="RJA4"/>
      <c r="RJB4"/>
      <c r="RJC4"/>
      <c r="RJD4"/>
      <c r="RJE4"/>
      <c r="RJF4"/>
      <c r="RJG4"/>
      <c r="RJH4"/>
      <c r="RJI4"/>
      <c r="RJJ4"/>
      <c r="RJK4"/>
      <c r="RJL4"/>
      <c r="RJM4"/>
      <c r="RJN4"/>
      <c r="RJO4"/>
      <c r="RJP4"/>
      <c r="RJQ4"/>
      <c r="RJR4"/>
      <c r="RJS4"/>
      <c r="RJT4"/>
      <c r="RJU4"/>
      <c r="RJV4"/>
      <c r="RJW4"/>
      <c r="RJX4"/>
      <c r="RJY4"/>
      <c r="RJZ4"/>
      <c r="RKA4"/>
      <c r="RKB4"/>
      <c r="RKC4"/>
      <c r="RKD4"/>
      <c r="RKE4"/>
      <c r="RKF4"/>
      <c r="RKG4"/>
      <c r="RKH4"/>
      <c r="RKI4"/>
      <c r="RKJ4"/>
      <c r="RKK4"/>
      <c r="RKL4"/>
      <c r="RKM4"/>
      <c r="RKN4"/>
      <c r="RKO4"/>
      <c r="RKP4"/>
      <c r="RKQ4"/>
      <c r="RKR4"/>
      <c r="RKS4"/>
      <c r="RKT4"/>
      <c r="RKU4"/>
      <c r="RKV4"/>
      <c r="RKW4"/>
      <c r="RKX4"/>
      <c r="RKY4"/>
      <c r="RKZ4"/>
      <c r="RLA4"/>
      <c r="RLB4"/>
      <c r="RLC4"/>
      <c r="RLD4"/>
      <c r="RLE4"/>
      <c r="RLF4"/>
      <c r="RLG4"/>
      <c r="RLH4"/>
      <c r="RLI4"/>
      <c r="RLJ4"/>
      <c r="RLK4"/>
      <c r="RLL4"/>
      <c r="RLM4"/>
      <c r="RLN4"/>
      <c r="RLO4"/>
      <c r="RLP4"/>
      <c r="RLQ4"/>
      <c r="RLR4"/>
      <c r="RLS4"/>
      <c r="RLT4"/>
      <c r="RLU4"/>
      <c r="RLV4"/>
      <c r="RLW4"/>
      <c r="RLX4"/>
      <c r="RLY4"/>
      <c r="RLZ4"/>
      <c r="RMA4"/>
      <c r="RMB4"/>
      <c r="RMC4"/>
      <c r="RMD4"/>
      <c r="RME4"/>
      <c r="RMF4"/>
      <c r="RMG4"/>
      <c r="RMH4"/>
      <c r="RMI4"/>
      <c r="RMJ4"/>
      <c r="RMK4"/>
      <c r="RML4"/>
      <c r="RMM4"/>
      <c r="RMN4"/>
      <c r="RMO4"/>
      <c r="RMP4"/>
      <c r="RMQ4"/>
      <c r="RMR4"/>
      <c r="RMS4"/>
      <c r="RMT4"/>
      <c r="RMU4"/>
      <c r="RMV4"/>
      <c r="RMW4"/>
      <c r="RMX4"/>
      <c r="RMY4"/>
      <c r="RMZ4"/>
      <c r="RNA4"/>
      <c r="RNB4"/>
      <c r="RNC4"/>
      <c r="RND4"/>
      <c r="RNE4"/>
      <c r="RNF4"/>
      <c r="RNG4"/>
      <c r="RNH4"/>
      <c r="RNI4"/>
      <c r="RNJ4"/>
      <c r="RNK4"/>
      <c r="RNL4"/>
      <c r="RNM4"/>
      <c r="RNN4"/>
      <c r="RNO4"/>
      <c r="RNP4"/>
      <c r="RNQ4"/>
      <c r="RNR4"/>
      <c r="RNS4"/>
      <c r="RNT4"/>
      <c r="RNU4"/>
      <c r="RNV4"/>
      <c r="RNW4"/>
      <c r="RNX4"/>
      <c r="RNY4"/>
      <c r="RNZ4"/>
      <c r="ROA4"/>
      <c r="ROB4"/>
      <c r="ROC4"/>
      <c r="ROD4"/>
      <c r="ROE4"/>
      <c r="ROF4"/>
      <c r="ROG4"/>
      <c r="ROH4"/>
      <c r="ROI4"/>
      <c r="ROJ4"/>
      <c r="ROK4"/>
      <c r="ROL4"/>
      <c r="ROM4"/>
      <c r="RON4"/>
      <c r="ROO4"/>
      <c r="ROP4"/>
      <c r="ROQ4"/>
      <c r="ROR4"/>
      <c r="ROS4"/>
      <c r="ROT4"/>
      <c r="ROU4"/>
      <c r="ROV4"/>
      <c r="ROW4"/>
      <c r="ROX4"/>
      <c r="ROY4"/>
      <c r="ROZ4"/>
      <c r="RPA4"/>
      <c r="RPB4"/>
      <c r="RPC4"/>
      <c r="RPD4"/>
      <c r="RPE4"/>
      <c r="RPF4"/>
      <c r="RPG4"/>
      <c r="RPH4"/>
      <c r="RPI4"/>
      <c r="RPJ4"/>
      <c r="RPK4"/>
      <c r="RPL4"/>
      <c r="RPM4"/>
      <c r="RPN4"/>
      <c r="RPO4"/>
      <c r="RPP4"/>
      <c r="RPQ4"/>
      <c r="RPR4"/>
      <c r="RPS4"/>
      <c r="RPT4"/>
      <c r="RPU4"/>
      <c r="RPV4"/>
      <c r="RPW4"/>
      <c r="RPX4"/>
      <c r="RPY4"/>
      <c r="RPZ4"/>
      <c r="RQA4"/>
      <c r="RQB4"/>
      <c r="RQC4"/>
      <c r="RQD4"/>
      <c r="RQE4"/>
      <c r="RQF4"/>
      <c r="RQG4"/>
      <c r="RQH4"/>
      <c r="RQI4"/>
      <c r="RQJ4"/>
      <c r="RQK4"/>
      <c r="RQL4"/>
      <c r="RQM4"/>
      <c r="RQN4"/>
      <c r="RQO4"/>
      <c r="RQP4"/>
      <c r="RQQ4"/>
      <c r="RQR4"/>
      <c r="RQS4"/>
      <c r="RQT4"/>
      <c r="RQU4"/>
      <c r="RQV4"/>
      <c r="RQW4"/>
      <c r="RQX4"/>
      <c r="RQY4"/>
      <c r="RQZ4"/>
      <c r="RRA4"/>
      <c r="RRB4"/>
      <c r="RRC4"/>
      <c r="RRD4"/>
      <c r="RRE4"/>
      <c r="RRF4"/>
      <c r="RRG4"/>
      <c r="RRH4"/>
      <c r="RRI4"/>
      <c r="RRJ4"/>
      <c r="RRK4"/>
      <c r="RRL4"/>
      <c r="RRM4"/>
      <c r="RRN4"/>
      <c r="RRO4"/>
      <c r="RRP4"/>
      <c r="RRQ4"/>
      <c r="RRR4"/>
      <c r="RRS4"/>
      <c r="RRT4"/>
      <c r="RRU4"/>
      <c r="RRV4"/>
      <c r="RRW4"/>
      <c r="RRX4"/>
      <c r="RRY4"/>
      <c r="RRZ4"/>
      <c r="RSA4"/>
      <c r="RSB4"/>
      <c r="RSC4"/>
      <c r="RSD4"/>
      <c r="RSE4"/>
      <c r="RSF4"/>
      <c r="RSG4"/>
      <c r="RSH4"/>
      <c r="RSI4"/>
      <c r="RSJ4"/>
      <c r="RSK4"/>
      <c r="RSL4"/>
      <c r="RSM4"/>
      <c r="RSN4"/>
      <c r="RSO4"/>
      <c r="RSP4"/>
      <c r="RSQ4"/>
      <c r="RSR4"/>
      <c r="RSS4"/>
      <c r="RST4"/>
      <c r="RSU4"/>
      <c r="RSV4"/>
      <c r="RSW4"/>
      <c r="RSX4"/>
      <c r="RSY4"/>
      <c r="RSZ4"/>
      <c r="RTA4"/>
      <c r="RTB4"/>
      <c r="RTC4"/>
      <c r="RTD4"/>
      <c r="RTE4"/>
      <c r="RTF4"/>
      <c r="RTG4"/>
      <c r="RTH4"/>
      <c r="RTI4"/>
      <c r="RTJ4"/>
      <c r="RTK4"/>
      <c r="RTL4"/>
      <c r="RTM4"/>
      <c r="RTN4"/>
      <c r="RTO4"/>
      <c r="RTP4"/>
      <c r="RTQ4"/>
      <c r="RTR4"/>
      <c r="RTS4"/>
      <c r="RTT4"/>
      <c r="RTU4"/>
      <c r="RTV4"/>
      <c r="RTW4"/>
      <c r="RTX4"/>
      <c r="RTY4"/>
      <c r="RTZ4"/>
      <c r="RUA4"/>
      <c r="RUB4"/>
      <c r="RUC4"/>
      <c r="RUD4"/>
      <c r="RUE4"/>
      <c r="RUF4"/>
      <c r="RUG4"/>
      <c r="RUH4"/>
      <c r="RUI4"/>
      <c r="RUJ4"/>
      <c r="RUK4"/>
      <c r="RUL4"/>
      <c r="RUM4"/>
      <c r="RUN4"/>
      <c r="RUO4"/>
      <c r="RUP4"/>
      <c r="RUQ4"/>
      <c r="RUR4"/>
      <c r="RUS4"/>
      <c r="RUT4"/>
      <c r="RUU4"/>
      <c r="RUV4"/>
      <c r="RUW4"/>
      <c r="RUX4"/>
      <c r="RUY4"/>
      <c r="RUZ4"/>
      <c r="RVA4"/>
      <c r="RVB4"/>
      <c r="RVC4"/>
      <c r="RVD4"/>
      <c r="RVE4"/>
      <c r="RVF4"/>
      <c r="RVG4"/>
      <c r="RVH4"/>
      <c r="RVI4"/>
      <c r="RVJ4"/>
      <c r="RVK4"/>
      <c r="RVL4"/>
      <c r="RVM4"/>
      <c r="RVN4"/>
      <c r="RVO4"/>
      <c r="RVP4"/>
      <c r="RVQ4"/>
      <c r="RVR4"/>
      <c r="RVS4"/>
      <c r="RVT4"/>
      <c r="RVU4"/>
      <c r="RVV4"/>
      <c r="RVW4"/>
      <c r="RVX4"/>
      <c r="RVY4"/>
      <c r="RVZ4"/>
      <c r="RWA4"/>
      <c r="RWB4"/>
      <c r="RWC4"/>
      <c r="RWD4"/>
      <c r="RWE4"/>
      <c r="RWF4"/>
      <c r="RWG4"/>
      <c r="RWH4"/>
      <c r="RWI4"/>
      <c r="RWJ4"/>
      <c r="RWK4"/>
      <c r="RWL4"/>
      <c r="RWM4"/>
      <c r="RWN4"/>
      <c r="RWO4"/>
      <c r="RWP4"/>
      <c r="RWQ4"/>
      <c r="RWR4"/>
      <c r="RWS4"/>
      <c r="RWT4"/>
      <c r="RWU4"/>
      <c r="RWV4"/>
      <c r="RWW4"/>
      <c r="RWX4"/>
      <c r="RWY4"/>
      <c r="RWZ4"/>
      <c r="RXA4"/>
      <c r="RXB4"/>
      <c r="RXC4"/>
      <c r="RXD4"/>
      <c r="RXE4"/>
      <c r="RXF4"/>
      <c r="RXG4"/>
      <c r="RXH4"/>
      <c r="RXI4"/>
      <c r="RXJ4"/>
      <c r="RXK4"/>
      <c r="RXL4"/>
      <c r="RXM4"/>
      <c r="RXN4"/>
      <c r="RXO4"/>
      <c r="RXP4"/>
      <c r="RXQ4"/>
      <c r="RXR4"/>
      <c r="RXS4"/>
      <c r="RXT4"/>
      <c r="RXU4"/>
      <c r="RXV4"/>
      <c r="RXW4"/>
      <c r="RXX4"/>
      <c r="RXY4"/>
      <c r="RXZ4"/>
      <c r="RYA4"/>
      <c r="RYB4"/>
      <c r="RYC4"/>
      <c r="RYD4"/>
      <c r="RYE4"/>
      <c r="RYF4"/>
      <c r="RYG4"/>
      <c r="RYH4"/>
      <c r="RYI4"/>
      <c r="RYJ4"/>
      <c r="RYK4"/>
      <c r="RYL4"/>
      <c r="RYM4"/>
      <c r="RYN4"/>
      <c r="RYO4"/>
      <c r="RYP4"/>
      <c r="RYQ4"/>
      <c r="RYR4"/>
      <c r="RYS4"/>
      <c r="RYT4"/>
      <c r="RYU4"/>
      <c r="RYV4"/>
      <c r="RYW4"/>
      <c r="RYX4"/>
      <c r="RYY4"/>
      <c r="RYZ4"/>
      <c r="RZA4"/>
      <c r="RZB4"/>
      <c r="RZC4"/>
      <c r="RZD4"/>
      <c r="RZE4"/>
      <c r="RZF4"/>
      <c r="RZG4"/>
      <c r="RZH4"/>
      <c r="RZI4"/>
      <c r="RZJ4"/>
      <c r="RZK4"/>
      <c r="RZL4"/>
      <c r="RZM4"/>
      <c r="RZN4"/>
      <c r="RZO4"/>
      <c r="RZP4"/>
      <c r="RZQ4"/>
      <c r="RZR4"/>
      <c r="RZS4"/>
      <c r="RZT4"/>
      <c r="RZU4"/>
      <c r="RZV4"/>
      <c r="RZW4"/>
      <c r="RZX4"/>
      <c r="RZY4"/>
      <c r="RZZ4"/>
      <c r="SAA4"/>
      <c r="SAB4"/>
      <c r="SAC4"/>
      <c r="SAD4"/>
      <c r="SAE4"/>
      <c r="SAF4"/>
      <c r="SAG4"/>
      <c r="SAH4"/>
      <c r="SAI4"/>
      <c r="SAJ4"/>
      <c r="SAK4"/>
      <c r="SAL4"/>
      <c r="SAM4"/>
      <c r="SAN4"/>
      <c r="SAO4"/>
      <c r="SAP4"/>
      <c r="SAQ4"/>
      <c r="SAR4"/>
      <c r="SAS4"/>
      <c r="SAT4"/>
      <c r="SAU4"/>
      <c r="SAV4"/>
      <c r="SAW4"/>
      <c r="SAX4"/>
      <c r="SAY4"/>
      <c r="SAZ4"/>
      <c r="SBA4"/>
      <c r="SBB4"/>
      <c r="SBC4"/>
      <c r="SBD4"/>
      <c r="SBE4"/>
      <c r="SBF4"/>
      <c r="SBG4"/>
      <c r="SBH4"/>
      <c r="SBI4"/>
      <c r="SBJ4"/>
      <c r="SBK4"/>
      <c r="SBL4"/>
      <c r="SBM4"/>
      <c r="SBN4"/>
      <c r="SBO4"/>
      <c r="SBP4"/>
      <c r="SBQ4"/>
      <c r="SBR4"/>
      <c r="SBS4"/>
      <c r="SBT4"/>
      <c r="SBU4"/>
      <c r="SBV4"/>
      <c r="SBW4"/>
      <c r="SBX4"/>
      <c r="SBY4"/>
      <c r="SBZ4"/>
      <c r="SCA4"/>
      <c r="SCB4"/>
      <c r="SCC4"/>
      <c r="SCD4"/>
      <c r="SCE4"/>
      <c r="SCF4"/>
      <c r="SCG4"/>
      <c r="SCH4"/>
      <c r="SCI4"/>
      <c r="SCJ4"/>
      <c r="SCK4"/>
      <c r="SCL4"/>
      <c r="SCM4"/>
      <c r="SCN4"/>
      <c r="SCO4"/>
      <c r="SCP4"/>
      <c r="SCQ4"/>
      <c r="SCR4"/>
      <c r="SCS4"/>
      <c r="SCT4"/>
      <c r="SCU4"/>
      <c r="SCV4"/>
      <c r="SCW4"/>
      <c r="SCX4"/>
      <c r="SCY4"/>
      <c r="SCZ4"/>
      <c r="SDA4"/>
      <c r="SDB4"/>
      <c r="SDC4"/>
      <c r="SDD4"/>
      <c r="SDE4"/>
      <c r="SDF4"/>
      <c r="SDG4"/>
      <c r="SDH4"/>
      <c r="SDI4"/>
      <c r="SDJ4"/>
      <c r="SDK4"/>
      <c r="SDL4"/>
      <c r="SDM4"/>
      <c r="SDN4"/>
      <c r="SDO4"/>
      <c r="SDP4"/>
      <c r="SDQ4"/>
      <c r="SDR4"/>
      <c r="SDS4"/>
      <c r="SDT4"/>
      <c r="SDU4"/>
      <c r="SDV4"/>
      <c r="SDW4"/>
      <c r="SDX4"/>
      <c r="SDY4"/>
      <c r="SDZ4"/>
      <c r="SEA4"/>
      <c r="SEB4"/>
      <c r="SEC4"/>
      <c r="SED4"/>
      <c r="SEE4"/>
      <c r="SEF4"/>
      <c r="SEG4"/>
      <c r="SEH4"/>
      <c r="SEI4"/>
      <c r="SEJ4"/>
      <c r="SEK4"/>
      <c r="SEL4"/>
      <c r="SEM4"/>
      <c r="SEN4"/>
      <c r="SEO4"/>
      <c r="SEP4"/>
      <c r="SEQ4"/>
      <c r="SER4"/>
      <c r="SES4"/>
      <c r="SET4"/>
      <c r="SEU4"/>
      <c r="SEV4"/>
      <c r="SEW4"/>
      <c r="SEX4"/>
      <c r="SEY4"/>
      <c r="SEZ4"/>
      <c r="SFA4"/>
      <c r="SFB4"/>
      <c r="SFC4"/>
      <c r="SFD4"/>
      <c r="SFE4"/>
      <c r="SFF4"/>
      <c r="SFG4"/>
      <c r="SFH4"/>
      <c r="SFI4"/>
      <c r="SFJ4"/>
      <c r="SFK4"/>
      <c r="SFL4"/>
      <c r="SFM4"/>
      <c r="SFN4"/>
      <c r="SFO4"/>
      <c r="SFP4"/>
      <c r="SFQ4"/>
      <c r="SFR4"/>
      <c r="SFS4"/>
      <c r="SFT4"/>
      <c r="SFU4"/>
      <c r="SFV4"/>
      <c r="SFW4"/>
      <c r="SFX4"/>
      <c r="SFY4"/>
      <c r="SFZ4"/>
      <c r="SGA4"/>
      <c r="SGB4"/>
      <c r="SGC4"/>
      <c r="SGD4"/>
      <c r="SGE4"/>
      <c r="SGF4"/>
      <c r="SGG4"/>
      <c r="SGH4"/>
      <c r="SGI4"/>
      <c r="SGJ4"/>
      <c r="SGK4"/>
      <c r="SGL4"/>
      <c r="SGM4"/>
      <c r="SGN4"/>
      <c r="SGO4"/>
      <c r="SGP4"/>
      <c r="SGQ4"/>
      <c r="SGR4"/>
      <c r="SGS4"/>
      <c r="SGT4"/>
      <c r="SGU4"/>
      <c r="SGV4"/>
      <c r="SGW4"/>
      <c r="SGX4"/>
      <c r="SGY4"/>
      <c r="SGZ4"/>
      <c r="SHA4"/>
      <c r="SHB4"/>
      <c r="SHC4"/>
      <c r="SHD4"/>
      <c r="SHE4"/>
      <c r="SHF4"/>
      <c r="SHG4"/>
      <c r="SHH4"/>
      <c r="SHI4"/>
      <c r="SHJ4"/>
      <c r="SHK4"/>
      <c r="SHL4"/>
      <c r="SHM4"/>
      <c r="SHN4"/>
      <c r="SHO4"/>
      <c r="SHP4"/>
      <c r="SHQ4"/>
      <c r="SHR4"/>
      <c r="SHS4"/>
      <c r="SHT4"/>
      <c r="SHU4"/>
      <c r="SHV4"/>
      <c r="SHW4"/>
      <c r="SHX4"/>
      <c r="SHY4"/>
      <c r="SHZ4"/>
      <c r="SIA4"/>
      <c r="SIB4"/>
      <c r="SIC4"/>
      <c r="SID4"/>
      <c r="SIE4"/>
      <c r="SIF4"/>
      <c r="SIG4"/>
      <c r="SIH4"/>
      <c r="SII4"/>
      <c r="SIJ4"/>
      <c r="SIK4"/>
      <c r="SIL4"/>
      <c r="SIM4"/>
      <c r="SIN4"/>
      <c r="SIO4"/>
      <c r="SIP4"/>
      <c r="SIQ4"/>
      <c r="SIR4"/>
      <c r="SIS4"/>
      <c r="SIT4"/>
      <c r="SIU4"/>
      <c r="SIV4"/>
      <c r="SIW4"/>
      <c r="SIX4"/>
      <c r="SIY4"/>
      <c r="SIZ4"/>
      <c r="SJA4"/>
      <c r="SJB4"/>
      <c r="SJC4"/>
      <c r="SJD4"/>
      <c r="SJE4"/>
      <c r="SJF4"/>
      <c r="SJG4"/>
      <c r="SJH4"/>
      <c r="SJI4"/>
      <c r="SJJ4"/>
      <c r="SJK4"/>
      <c r="SJL4"/>
      <c r="SJM4"/>
      <c r="SJN4"/>
      <c r="SJO4"/>
      <c r="SJP4"/>
      <c r="SJQ4"/>
      <c r="SJR4"/>
      <c r="SJS4"/>
      <c r="SJT4"/>
      <c r="SJU4"/>
      <c r="SJV4"/>
      <c r="SJW4"/>
      <c r="SJX4"/>
      <c r="SJY4"/>
      <c r="SJZ4"/>
      <c r="SKA4"/>
      <c r="SKB4"/>
      <c r="SKC4"/>
      <c r="SKD4"/>
      <c r="SKE4"/>
      <c r="SKF4"/>
      <c r="SKG4"/>
      <c r="SKH4"/>
      <c r="SKI4"/>
      <c r="SKJ4"/>
      <c r="SKK4"/>
      <c r="SKL4"/>
      <c r="SKM4"/>
      <c r="SKN4"/>
      <c r="SKO4"/>
      <c r="SKP4"/>
      <c r="SKQ4"/>
      <c r="SKR4"/>
      <c r="SKS4"/>
      <c r="SKT4"/>
      <c r="SKU4"/>
      <c r="SKV4"/>
      <c r="SKW4"/>
      <c r="SKX4"/>
      <c r="SKY4"/>
      <c r="SKZ4"/>
      <c r="SLA4"/>
      <c r="SLB4"/>
      <c r="SLC4"/>
      <c r="SLD4"/>
      <c r="SLE4"/>
      <c r="SLF4"/>
      <c r="SLG4"/>
      <c r="SLH4"/>
      <c r="SLI4"/>
      <c r="SLJ4"/>
      <c r="SLK4"/>
      <c r="SLL4"/>
      <c r="SLM4"/>
      <c r="SLN4"/>
      <c r="SLO4"/>
      <c r="SLP4"/>
      <c r="SLQ4"/>
      <c r="SLR4"/>
      <c r="SLS4"/>
      <c r="SLT4"/>
      <c r="SLU4"/>
      <c r="SLV4"/>
      <c r="SLW4"/>
      <c r="SLX4"/>
      <c r="SLY4"/>
      <c r="SLZ4"/>
      <c r="SMA4"/>
      <c r="SMB4"/>
      <c r="SMC4"/>
      <c r="SMD4"/>
      <c r="SME4"/>
      <c r="SMF4"/>
      <c r="SMG4"/>
      <c r="SMH4"/>
      <c r="SMI4"/>
      <c r="SMJ4"/>
      <c r="SMK4"/>
      <c r="SML4"/>
      <c r="SMM4"/>
      <c r="SMN4"/>
      <c r="SMO4"/>
      <c r="SMP4"/>
      <c r="SMQ4"/>
      <c r="SMR4"/>
      <c r="SMS4"/>
      <c r="SMT4"/>
      <c r="SMU4"/>
      <c r="SMV4"/>
      <c r="SMW4"/>
      <c r="SMX4"/>
      <c r="SMY4"/>
      <c r="SMZ4"/>
      <c r="SNA4"/>
      <c r="SNB4"/>
      <c r="SNC4"/>
      <c r="SND4"/>
      <c r="SNE4"/>
      <c r="SNF4"/>
      <c r="SNG4"/>
      <c r="SNH4"/>
      <c r="SNI4"/>
      <c r="SNJ4"/>
      <c r="SNK4"/>
      <c r="SNL4"/>
      <c r="SNM4"/>
      <c r="SNN4"/>
      <c r="SNO4"/>
      <c r="SNP4"/>
      <c r="SNQ4"/>
      <c r="SNR4"/>
      <c r="SNS4"/>
      <c r="SNT4"/>
      <c r="SNU4"/>
      <c r="SNV4"/>
      <c r="SNW4"/>
      <c r="SNX4"/>
      <c r="SNY4"/>
      <c r="SNZ4"/>
      <c r="SOA4"/>
      <c r="SOB4"/>
      <c r="SOC4"/>
      <c r="SOD4"/>
      <c r="SOE4"/>
      <c r="SOF4"/>
      <c r="SOG4"/>
      <c r="SOH4"/>
      <c r="SOI4"/>
      <c r="SOJ4"/>
      <c r="SOK4"/>
      <c r="SOL4"/>
      <c r="SOM4"/>
      <c r="SON4"/>
      <c r="SOO4"/>
      <c r="SOP4"/>
      <c r="SOQ4"/>
      <c r="SOR4"/>
      <c r="SOS4"/>
      <c r="SOT4"/>
      <c r="SOU4"/>
      <c r="SOV4"/>
      <c r="SOW4"/>
      <c r="SOX4"/>
      <c r="SOY4"/>
      <c r="SOZ4"/>
      <c r="SPA4"/>
      <c r="SPB4"/>
      <c r="SPC4"/>
      <c r="SPD4"/>
      <c r="SPE4"/>
      <c r="SPF4"/>
      <c r="SPG4"/>
      <c r="SPH4"/>
      <c r="SPI4"/>
      <c r="SPJ4"/>
      <c r="SPK4"/>
      <c r="SPL4"/>
      <c r="SPM4"/>
      <c r="SPN4"/>
      <c r="SPO4"/>
      <c r="SPP4"/>
      <c r="SPQ4"/>
      <c r="SPR4"/>
      <c r="SPS4"/>
      <c r="SPT4"/>
      <c r="SPU4"/>
      <c r="SPV4"/>
      <c r="SPW4"/>
      <c r="SPX4"/>
      <c r="SPY4"/>
      <c r="SPZ4"/>
      <c r="SQA4"/>
      <c r="SQB4"/>
      <c r="SQC4"/>
      <c r="SQD4"/>
      <c r="SQE4"/>
      <c r="SQF4"/>
      <c r="SQG4"/>
      <c r="SQH4"/>
      <c r="SQI4"/>
      <c r="SQJ4"/>
      <c r="SQK4"/>
      <c r="SQL4"/>
      <c r="SQM4"/>
      <c r="SQN4"/>
      <c r="SQO4"/>
      <c r="SQP4"/>
      <c r="SQQ4"/>
      <c r="SQR4"/>
      <c r="SQS4"/>
      <c r="SQT4"/>
      <c r="SQU4"/>
      <c r="SQV4"/>
      <c r="SQW4"/>
      <c r="SQX4"/>
      <c r="SQY4"/>
      <c r="SQZ4"/>
      <c r="SRA4"/>
      <c r="SRB4"/>
      <c r="SRC4"/>
      <c r="SRD4"/>
      <c r="SRE4"/>
      <c r="SRF4"/>
      <c r="SRG4"/>
      <c r="SRH4"/>
      <c r="SRI4"/>
      <c r="SRJ4"/>
      <c r="SRK4"/>
      <c r="SRL4"/>
      <c r="SRM4"/>
      <c r="SRN4"/>
      <c r="SRO4"/>
      <c r="SRP4"/>
      <c r="SRQ4"/>
      <c r="SRR4"/>
      <c r="SRS4"/>
      <c r="SRT4"/>
      <c r="SRU4"/>
      <c r="SRV4"/>
      <c r="SRW4"/>
      <c r="SRX4"/>
      <c r="SRY4"/>
      <c r="SRZ4"/>
      <c r="SSA4"/>
      <c r="SSB4"/>
      <c r="SSC4"/>
      <c r="SSD4"/>
      <c r="SSE4"/>
      <c r="SSF4"/>
      <c r="SSG4"/>
      <c r="SSH4"/>
      <c r="SSI4"/>
      <c r="SSJ4"/>
      <c r="SSK4"/>
      <c r="SSL4"/>
      <c r="SSM4"/>
      <c r="SSN4"/>
      <c r="SSO4"/>
      <c r="SSP4"/>
      <c r="SSQ4"/>
      <c r="SSR4"/>
      <c r="SSS4"/>
      <c r="SST4"/>
      <c r="SSU4"/>
      <c r="SSV4"/>
      <c r="SSW4"/>
      <c r="SSX4"/>
      <c r="SSY4"/>
      <c r="SSZ4"/>
      <c r="STA4"/>
      <c r="STB4"/>
      <c r="STC4"/>
      <c r="STD4"/>
      <c r="STE4"/>
      <c r="STF4"/>
      <c r="STG4"/>
      <c r="STH4"/>
      <c r="STI4"/>
      <c r="STJ4"/>
      <c r="STK4"/>
      <c r="STL4"/>
      <c r="STM4"/>
      <c r="STN4"/>
      <c r="STO4"/>
      <c r="STP4"/>
      <c r="STQ4"/>
      <c r="STR4"/>
      <c r="STS4"/>
      <c r="STT4"/>
      <c r="STU4"/>
      <c r="STV4"/>
      <c r="STW4"/>
      <c r="STX4"/>
      <c r="STY4"/>
      <c r="STZ4"/>
      <c r="SUA4"/>
      <c r="SUB4"/>
      <c r="SUC4"/>
      <c r="SUD4"/>
      <c r="SUE4"/>
      <c r="SUF4"/>
      <c r="SUG4"/>
      <c r="SUH4"/>
      <c r="SUI4"/>
      <c r="SUJ4"/>
      <c r="SUK4"/>
      <c r="SUL4"/>
      <c r="SUM4"/>
      <c r="SUN4"/>
      <c r="SUO4"/>
      <c r="SUP4"/>
      <c r="SUQ4"/>
      <c r="SUR4"/>
      <c r="SUS4"/>
      <c r="SUT4"/>
      <c r="SUU4"/>
      <c r="SUV4"/>
      <c r="SUW4"/>
      <c r="SUX4"/>
      <c r="SUY4"/>
      <c r="SUZ4"/>
      <c r="SVA4"/>
      <c r="SVB4"/>
      <c r="SVC4"/>
      <c r="SVD4"/>
      <c r="SVE4"/>
      <c r="SVF4"/>
      <c r="SVG4"/>
      <c r="SVH4"/>
      <c r="SVI4"/>
      <c r="SVJ4"/>
      <c r="SVK4"/>
      <c r="SVL4"/>
      <c r="SVM4"/>
      <c r="SVN4"/>
      <c r="SVO4"/>
      <c r="SVP4"/>
      <c r="SVQ4"/>
      <c r="SVR4"/>
      <c r="SVS4"/>
      <c r="SVT4"/>
      <c r="SVU4"/>
      <c r="SVV4"/>
      <c r="SVW4"/>
      <c r="SVX4"/>
      <c r="SVY4"/>
      <c r="SVZ4"/>
      <c r="SWA4"/>
      <c r="SWB4"/>
      <c r="SWC4"/>
      <c r="SWD4"/>
      <c r="SWE4"/>
      <c r="SWF4"/>
      <c r="SWG4"/>
      <c r="SWH4"/>
      <c r="SWI4"/>
      <c r="SWJ4"/>
      <c r="SWK4"/>
      <c r="SWL4"/>
      <c r="SWM4"/>
      <c r="SWN4"/>
      <c r="SWO4"/>
      <c r="SWP4"/>
      <c r="SWQ4"/>
      <c r="SWR4"/>
      <c r="SWS4"/>
      <c r="SWT4"/>
      <c r="SWU4"/>
      <c r="SWV4"/>
      <c r="SWW4"/>
      <c r="SWX4"/>
      <c r="SWY4"/>
      <c r="SWZ4"/>
      <c r="SXA4"/>
      <c r="SXB4"/>
      <c r="SXC4"/>
      <c r="SXD4"/>
      <c r="SXE4"/>
      <c r="SXF4"/>
      <c r="SXG4"/>
      <c r="SXH4"/>
      <c r="SXI4"/>
      <c r="SXJ4"/>
      <c r="SXK4"/>
      <c r="SXL4"/>
      <c r="SXM4"/>
      <c r="SXN4"/>
      <c r="SXO4"/>
      <c r="SXP4"/>
      <c r="SXQ4"/>
      <c r="SXR4"/>
      <c r="SXS4"/>
      <c r="SXT4"/>
      <c r="SXU4"/>
      <c r="SXV4"/>
      <c r="SXW4"/>
      <c r="SXX4"/>
      <c r="SXY4"/>
      <c r="SXZ4"/>
      <c r="SYA4"/>
      <c r="SYB4"/>
      <c r="SYC4"/>
      <c r="SYD4"/>
      <c r="SYE4"/>
      <c r="SYF4"/>
      <c r="SYG4"/>
      <c r="SYH4"/>
      <c r="SYI4"/>
      <c r="SYJ4"/>
      <c r="SYK4"/>
      <c r="SYL4"/>
      <c r="SYM4"/>
      <c r="SYN4"/>
      <c r="SYO4"/>
      <c r="SYP4"/>
      <c r="SYQ4"/>
      <c r="SYR4"/>
      <c r="SYS4"/>
      <c r="SYT4"/>
      <c r="SYU4"/>
      <c r="SYV4"/>
      <c r="SYW4"/>
      <c r="SYX4"/>
      <c r="SYY4"/>
      <c r="SYZ4"/>
      <c r="SZA4"/>
      <c r="SZB4"/>
      <c r="SZC4"/>
      <c r="SZD4"/>
      <c r="SZE4"/>
      <c r="SZF4"/>
      <c r="SZG4"/>
      <c r="SZH4"/>
      <c r="SZI4"/>
      <c r="SZJ4"/>
      <c r="SZK4"/>
      <c r="SZL4"/>
      <c r="SZM4"/>
      <c r="SZN4"/>
      <c r="SZO4"/>
      <c r="SZP4"/>
      <c r="SZQ4"/>
      <c r="SZR4"/>
      <c r="SZS4"/>
      <c r="SZT4"/>
      <c r="SZU4"/>
      <c r="SZV4"/>
      <c r="SZW4"/>
      <c r="SZX4"/>
      <c r="SZY4"/>
      <c r="SZZ4"/>
      <c r="TAA4"/>
      <c r="TAB4"/>
      <c r="TAC4"/>
      <c r="TAD4"/>
      <c r="TAE4"/>
      <c r="TAF4"/>
      <c r="TAG4"/>
      <c r="TAH4"/>
      <c r="TAI4"/>
      <c r="TAJ4"/>
      <c r="TAK4"/>
      <c r="TAL4"/>
      <c r="TAM4"/>
      <c r="TAN4"/>
      <c r="TAO4"/>
      <c r="TAP4"/>
      <c r="TAQ4"/>
      <c r="TAR4"/>
      <c r="TAS4"/>
      <c r="TAT4"/>
      <c r="TAU4"/>
      <c r="TAV4"/>
      <c r="TAW4"/>
      <c r="TAX4"/>
      <c r="TAY4"/>
      <c r="TAZ4"/>
      <c r="TBA4"/>
      <c r="TBB4"/>
      <c r="TBC4"/>
      <c r="TBD4"/>
      <c r="TBE4"/>
      <c r="TBF4"/>
      <c r="TBG4"/>
      <c r="TBH4"/>
      <c r="TBI4"/>
      <c r="TBJ4"/>
      <c r="TBK4"/>
      <c r="TBL4"/>
      <c r="TBM4"/>
      <c r="TBN4"/>
      <c r="TBO4"/>
      <c r="TBP4"/>
      <c r="TBQ4"/>
      <c r="TBR4"/>
      <c r="TBS4"/>
      <c r="TBT4"/>
      <c r="TBU4"/>
      <c r="TBV4"/>
      <c r="TBW4"/>
      <c r="TBX4"/>
      <c r="TBY4"/>
      <c r="TBZ4"/>
      <c r="TCA4"/>
      <c r="TCB4"/>
      <c r="TCC4"/>
      <c r="TCD4"/>
      <c r="TCE4"/>
      <c r="TCF4"/>
      <c r="TCG4"/>
      <c r="TCH4"/>
      <c r="TCI4"/>
      <c r="TCJ4"/>
      <c r="TCK4"/>
      <c r="TCL4"/>
      <c r="TCM4"/>
      <c r="TCN4"/>
      <c r="TCO4"/>
      <c r="TCP4"/>
      <c r="TCQ4"/>
      <c r="TCR4"/>
      <c r="TCS4"/>
      <c r="TCT4"/>
      <c r="TCU4"/>
      <c r="TCV4"/>
      <c r="TCW4"/>
      <c r="TCX4"/>
      <c r="TCY4"/>
      <c r="TCZ4"/>
      <c r="TDA4"/>
      <c r="TDB4"/>
      <c r="TDC4"/>
      <c r="TDD4"/>
      <c r="TDE4"/>
      <c r="TDF4"/>
      <c r="TDG4"/>
      <c r="TDH4"/>
      <c r="TDI4"/>
      <c r="TDJ4"/>
      <c r="TDK4"/>
      <c r="TDL4"/>
      <c r="TDM4"/>
      <c r="TDN4"/>
      <c r="TDO4"/>
      <c r="TDP4"/>
      <c r="TDQ4"/>
      <c r="TDR4"/>
      <c r="TDS4"/>
      <c r="TDT4"/>
      <c r="TDU4"/>
      <c r="TDV4"/>
      <c r="TDW4"/>
      <c r="TDX4"/>
      <c r="TDY4"/>
      <c r="TDZ4"/>
      <c r="TEA4"/>
      <c r="TEB4"/>
      <c r="TEC4"/>
      <c r="TED4"/>
      <c r="TEE4"/>
      <c r="TEF4"/>
      <c r="TEG4"/>
      <c r="TEH4"/>
      <c r="TEI4"/>
      <c r="TEJ4"/>
      <c r="TEK4"/>
      <c r="TEL4"/>
      <c r="TEM4"/>
      <c r="TEN4"/>
      <c r="TEO4"/>
      <c r="TEP4"/>
      <c r="TEQ4"/>
      <c r="TER4"/>
      <c r="TES4"/>
      <c r="TET4"/>
      <c r="TEU4"/>
      <c r="TEV4"/>
      <c r="TEW4"/>
      <c r="TEX4"/>
      <c r="TEY4"/>
      <c r="TEZ4"/>
      <c r="TFA4"/>
      <c r="TFB4"/>
      <c r="TFC4"/>
      <c r="TFD4"/>
      <c r="TFE4"/>
      <c r="TFF4"/>
      <c r="TFG4"/>
      <c r="TFH4"/>
      <c r="TFI4"/>
      <c r="TFJ4"/>
      <c r="TFK4"/>
      <c r="TFL4"/>
      <c r="TFM4"/>
      <c r="TFN4"/>
      <c r="TFO4"/>
      <c r="TFP4"/>
      <c r="TFQ4"/>
      <c r="TFR4"/>
      <c r="TFS4"/>
      <c r="TFT4"/>
      <c r="TFU4"/>
      <c r="TFV4"/>
      <c r="TFW4"/>
      <c r="TFX4"/>
      <c r="TFY4"/>
      <c r="TFZ4"/>
      <c r="TGA4"/>
      <c r="TGB4"/>
      <c r="TGC4"/>
      <c r="TGD4"/>
      <c r="TGE4"/>
      <c r="TGF4"/>
      <c r="TGG4"/>
      <c r="TGH4"/>
      <c r="TGI4"/>
      <c r="TGJ4"/>
      <c r="TGK4"/>
      <c r="TGL4"/>
      <c r="TGM4"/>
      <c r="TGN4"/>
      <c r="TGO4"/>
      <c r="TGP4"/>
      <c r="TGQ4"/>
      <c r="TGR4"/>
      <c r="TGS4"/>
      <c r="TGT4"/>
      <c r="TGU4"/>
      <c r="TGV4"/>
      <c r="TGW4"/>
      <c r="TGX4"/>
      <c r="TGY4"/>
      <c r="TGZ4"/>
      <c r="THA4"/>
      <c r="THB4"/>
      <c r="THC4"/>
      <c r="THD4"/>
      <c r="THE4"/>
      <c r="THF4"/>
      <c r="THG4"/>
      <c r="THH4"/>
      <c r="THI4"/>
      <c r="THJ4"/>
      <c r="THK4"/>
      <c r="THL4"/>
      <c r="THM4"/>
      <c r="THN4"/>
      <c r="THO4"/>
      <c r="THP4"/>
      <c r="THQ4"/>
      <c r="THR4"/>
      <c r="THS4"/>
      <c r="THT4"/>
      <c r="THU4"/>
      <c r="THV4"/>
      <c r="THW4"/>
      <c r="THX4"/>
      <c r="THY4"/>
      <c r="THZ4"/>
      <c r="TIA4"/>
      <c r="TIB4"/>
      <c r="TIC4"/>
      <c r="TID4"/>
      <c r="TIE4"/>
      <c r="TIF4"/>
      <c r="TIG4"/>
      <c r="TIH4"/>
      <c r="TII4"/>
      <c r="TIJ4"/>
      <c r="TIK4"/>
      <c r="TIL4"/>
      <c r="TIM4"/>
      <c r="TIN4"/>
      <c r="TIO4"/>
      <c r="TIP4"/>
      <c r="TIQ4"/>
      <c r="TIR4"/>
      <c r="TIS4"/>
      <c r="TIT4"/>
      <c r="TIU4"/>
      <c r="TIV4"/>
      <c r="TIW4"/>
      <c r="TIX4"/>
      <c r="TIY4"/>
      <c r="TIZ4"/>
      <c r="TJA4"/>
      <c r="TJB4"/>
      <c r="TJC4"/>
      <c r="TJD4"/>
      <c r="TJE4"/>
      <c r="TJF4"/>
      <c r="TJG4"/>
      <c r="TJH4"/>
      <c r="TJI4"/>
      <c r="TJJ4"/>
      <c r="TJK4"/>
      <c r="TJL4"/>
      <c r="TJM4"/>
      <c r="TJN4"/>
      <c r="TJO4"/>
      <c r="TJP4"/>
      <c r="TJQ4"/>
      <c r="TJR4"/>
      <c r="TJS4"/>
      <c r="TJT4"/>
      <c r="TJU4"/>
      <c r="TJV4"/>
      <c r="TJW4"/>
      <c r="TJX4"/>
      <c r="TJY4"/>
      <c r="TJZ4"/>
      <c r="TKA4"/>
      <c r="TKB4"/>
      <c r="TKC4"/>
      <c r="TKD4"/>
      <c r="TKE4"/>
      <c r="TKF4"/>
      <c r="TKG4"/>
      <c r="TKH4"/>
      <c r="TKI4"/>
      <c r="TKJ4"/>
      <c r="TKK4"/>
      <c r="TKL4"/>
      <c r="TKM4"/>
      <c r="TKN4"/>
      <c r="TKO4"/>
      <c r="TKP4"/>
      <c r="TKQ4"/>
      <c r="TKR4"/>
      <c r="TKS4"/>
      <c r="TKT4"/>
      <c r="TKU4"/>
      <c r="TKV4"/>
      <c r="TKW4"/>
      <c r="TKX4"/>
      <c r="TKY4"/>
      <c r="TKZ4"/>
      <c r="TLA4"/>
      <c r="TLB4"/>
      <c r="TLC4"/>
      <c r="TLD4"/>
      <c r="TLE4"/>
      <c r="TLF4"/>
      <c r="TLG4"/>
      <c r="TLH4"/>
      <c r="TLI4"/>
      <c r="TLJ4"/>
      <c r="TLK4"/>
      <c r="TLL4"/>
      <c r="TLM4"/>
      <c r="TLN4"/>
      <c r="TLO4"/>
      <c r="TLP4"/>
      <c r="TLQ4"/>
      <c r="TLR4"/>
      <c r="TLS4"/>
      <c r="TLT4"/>
      <c r="TLU4"/>
      <c r="TLV4"/>
      <c r="TLW4"/>
      <c r="TLX4"/>
      <c r="TLY4"/>
      <c r="TLZ4"/>
      <c r="TMA4"/>
      <c r="TMB4"/>
      <c r="TMC4"/>
      <c r="TMD4"/>
      <c r="TME4"/>
      <c r="TMF4"/>
      <c r="TMG4"/>
      <c r="TMH4"/>
      <c r="TMI4"/>
      <c r="TMJ4"/>
      <c r="TMK4"/>
      <c r="TML4"/>
      <c r="TMM4"/>
      <c r="TMN4"/>
      <c r="TMO4"/>
      <c r="TMP4"/>
      <c r="TMQ4"/>
      <c r="TMR4"/>
      <c r="TMS4"/>
      <c r="TMT4"/>
      <c r="TMU4"/>
      <c r="TMV4"/>
      <c r="TMW4"/>
      <c r="TMX4"/>
      <c r="TMY4"/>
      <c r="TMZ4"/>
      <c r="TNA4"/>
      <c r="TNB4"/>
      <c r="TNC4"/>
      <c r="TND4"/>
      <c r="TNE4"/>
      <c r="TNF4"/>
      <c r="TNG4"/>
      <c r="TNH4"/>
      <c r="TNI4"/>
      <c r="TNJ4"/>
      <c r="TNK4"/>
      <c r="TNL4"/>
      <c r="TNM4"/>
      <c r="TNN4"/>
      <c r="TNO4"/>
      <c r="TNP4"/>
      <c r="TNQ4"/>
      <c r="TNR4"/>
      <c r="TNS4"/>
      <c r="TNT4"/>
      <c r="TNU4"/>
      <c r="TNV4"/>
      <c r="TNW4"/>
      <c r="TNX4"/>
      <c r="TNY4"/>
      <c r="TNZ4"/>
      <c r="TOA4"/>
      <c r="TOB4"/>
      <c r="TOC4"/>
      <c r="TOD4"/>
      <c r="TOE4"/>
      <c r="TOF4"/>
      <c r="TOG4"/>
      <c r="TOH4"/>
      <c r="TOI4"/>
      <c r="TOJ4"/>
      <c r="TOK4"/>
      <c r="TOL4"/>
      <c r="TOM4"/>
      <c r="TON4"/>
      <c r="TOO4"/>
      <c r="TOP4"/>
      <c r="TOQ4"/>
      <c r="TOR4"/>
      <c r="TOS4"/>
      <c r="TOT4"/>
      <c r="TOU4"/>
      <c r="TOV4"/>
      <c r="TOW4"/>
      <c r="TOX4"/>
      <c r="TOY4"/>
      <c r="TOZ4"/>
      <c r="TPA4"/>
      <c r="TPB4"/>
      <c r="TPC4"/>
      <c r="TPD4"/>
      <c r="TPE4"/>
      <c r="TPF4"/>
      <c r="TPG4"/>
      <c r="TPH4"/>
      <c r="TPI4"/>
      <c r="TPJ4"/>
      <c r="TPK4"/>
      <c r="TPL4"/>
      <c r="TPM4"/>
      <c r="TPN4"/>
      <c r="TPO4"/>
      <c r="TPP4"/>
      <c r="TPQ4"/>
      <c r="TPR4"/>
      <c r="TPS4"/>
      <c r="TPT4"/>
      <c r="TPU4"/>
      <c r="TPV4"/>
      <c r="TPW4"/>
      <c r="TPX4"/>
      <c r="TPY4"/>
      <c r="TPZ4"/>
      <c r="TQA4"/>
      <c r="TQB4"/>
      <c r="TQC4"/>
      <c r="TQD4"/>
      <c r="TQE4"/>
      <c r="TQF4"/>
      <c r="TQG4"/>
      <c r="TQH4"/>
      <c r="TQI4"/>
      <c r="TQJ4"/>
      <c r="TQK4"/>
      <c r="TQL4"/>
      <c r="TQM4"/>
      <c r="TQN4"/>
      <c r="TQO4"/>
      <c r="TQP4"/>
      <c r="TQQ4"/>
      <c r="TQR4"/>
      <c r="TQS4"/>
      <c r="TQT4"/>
      <c r="TQU4"/>
      <c r="TQV4"/>
      <c r="TQW4"/>
      <c r="TQX4"/>
      <c r="TQY4"/>
      <c r="TQZ4"/>
      <c r="TRA4"/>
      <c r="TRB4"/>
      <c r="TRC4"/>
      <c r="TRD4"/>
      <c r="TRE4"/>
      <c r="TRF4"/>
      <c r="TRG4"/>
      <c r="TRH4"/>
      <c r="TRI4"/>
      <c r="TRJ4"/>
      <c r="TRK4"/>
      <c r="TRL4"/>
      <c r="TRM4"/>
      <c r="TRN4"/>
      <c r="TRO4"/>
      <c r="TRP4"/>
      <c r="TRQ4"/>
      <c r="TRR4"/>
      <c r="TRS4"/>
      <c r="TRT4"/>
      <c r="TRU4"/>
      <c r="TRV4"/>
      <c r="TRW4"/>
      <c r="TRX4"/>
      <c r="TRY4"/>
      <c r="TRZ4"/>
      <c r="TSA4"/>
      <c r="TSB4"/>
      <c r="TSC4"/>
      <c r="TSD4"/>
      <c r="TSE4"/>
      <c r="TSF4"/>
      <c r="TSG4"/>
      <c r="TSH4"/>
      <c r="TSI4"/>
      <c r="TSJ4"/>
      <c r="TSK4"/>
      <c r="TSL4"/>
      <c r="TSM4"/>
      <c r="TSN4"/>
      <c r="TSO4"/>
      <c r="TSP4"/>
      <c r="TSQ4"/>
      <c r="TSR4"/>
      <c r="TSS4"/>
      <c r="TST4"/>
      <c r="TSU4"/>
      <c r="TSV4"/>
      <c r="TSW4"/>
      <c r="TSX4"/>
      <c r="TSY4"/>
      <c r="TSZ4"/>
      <c r="TTA4"/>
      <c r="TTB4"/>
      <c r="TTC4"/>
      <c r="TTD4"/>
      <c r="TTE4"/>
      <c r="TTF4"/>
      <c r="TTG4"/>
      <c r="TTH4"/>
      <c r="TTI4"/>
      <c r="TTJ4"/>
      <c r="TTK4"/>
      <c r="TTL4"/>
      <c r="TTM4"/>
      <c r="TTN4"/>
      <c r="TTO4"/>
      <c r="TTP4"/>
      <c r="TTQ4"/>
      <c r="TTR4"/>
      <c r="TTS4"/>
      <c r="TTT4"/>
      <c r="TTU4"/>
      <c r="TTV4"/>
      <c r="TTW4"/>
      <c r="TTX4"/>
      <c r="TTY4"/>
      <c r="TTZ4"/>
      <c r="TUA4"/>
      <c r="TUB4"/>
      <c r="TUC4"/>
      <c r="TUD4"/>
      <c r="TUE4"/>
      <c r="TUF4"/>
      <c r="TUG4"/>
      <c r="TUH4"/>
      <c r="TUI4"/>
      <c r="TUJ4"/>
      <c r="TUK4"/>
      <c r="TUL4"/>
      <c r="TUM4"/>
      <c r="TUN4"/>
      <c r="TUO4"/>
      <c r="TUP4"/>
      <c r="TUQ4"/>
      <c r="TUR4"/>
      <c r="TUS4"/>
      <c r="TUT4"/>
      <c r="TUU4"/>
      <c r="TUV4"/>
      <c r="TUW4"/>
      <c r="TUX4"/>
      <c r="TUY4"/>
      <c r="TUZ4"/>
      <c r="TVA4"/>
      <c r="TVB4"/>
      <c r="TVC4"/>
      <c r="TVD4"/>
      <c r="TVE4"/>
      <c r="TVF4"/>
      <c r="TVG4"/>
      <c r="TVH4"/>
      <c r="TVI4"/>
      <c r="TVJ4"/>
      <c r="TVK4"/>
      <c r="TVL4"/>
      <c r="TVM4"/>
      <c r="TVN4"/>
      <c r="TVO4"/>
      <c r="TVP4"/>
      <c r="TVQ4"/>
      <c r="TVR4"/>
      <c r="TVS4"/>
      <c r="TVT4"/>
      <c r="TVU4"/>
      <c r="TVV4"/>
      <c r="TVW4"/>
      <c r="TVX4"/>
      <c r="TVY4"/>
      <c r="TVZ4"/>
      <c r="TWA4"/>
      <c r="TWB4"/>
      <c r="TWC4"/>
      <c r="TWD4"/>
      <c r="TWE4"/>
      <c r="TWF4"/>
      <c r="TWG4"/>
      <c r="TWH4"/>
      <c r="TWI4"/>
      <c r="TWJ4"/>
      <c r="TWK4"/>
      <c r="TWL4"/>
      <c r="TWM4"/>
      <c r="TWN4"/>
      <c r="TWO4"/>
      <c r="TWP4"/>
      <c r="TWQ4"/>
      <c r="TWR4"/>
      <c r="TWS4"/>
      <c r="TWT4"/>
      <c r="TWU4"/>
      <c r="TWV4"/>
      <c r="TWW4"/>
      <c r="TWX4"/>
      <c r="TWY4"/>
      <c r="TWZ4"/>
      <c r="TXA4"/>
      <c r="TXB4"/>
      <c r="TXC4"/>
      <c r="TXD4"/>
      <c r="TXE4"/>
      <c r="TXF4"/>
      <c r="TXG4"/>
      <c r="TXH4"/>
      <c r="TXI4"/>
      <c r="TXJ4"/>
      <c r="TXK4"/>
      <c r="TXL4"/>
      <c r="TXM4"/>
      <c r="TXN4"/>
      <c r="TXO4"/>
      <c r="TXP4"/>
      <c r="TXQ4"/>
      <c r="TXR4"/>
      <c r="TXS4"/>
      <c r="TXT4"/>
      <c r="TXU4"/>
      <c r="TXV4"/>
      <c r="TXW4"/>
      <c r="TXX4"/>
      <c r="TXY4"/>
      <c r="TXZ4"/>
      <c r="TYA4"/>
      <c r="TYB4"/>
      <c r="TYC4"/>
      <c r="TYD4"/>
      <c r="TYE4"/>
      <c r="TYF4"/>
      <c r="TYG4"/>
      <c r="TYH4"/>
      <c r="TYI4"/>
      <c r="TYJ4"/>
      <c r="TYK4"/>
      <c r="TYL4"/>
      <c r="TYM4"/>
      <c r="TYN4"/>
      <c r="TYO4"/>
      <c r="TYP4"/>
      <c r="TYQ4"/>
      <c r="TYR4"/>
      <c r="TYS4"/>
      <c r="TYT4"/>
      <c r="TYU4"/>
      <c r="TYV4"/>
      <c r="TYW4"/>
      <c r="TYX4"/>
      <c r="TYY4"/>
      <c r="TYZ4"/>
      <c r="TZA4"/>
      <c r="TZB4"/>
      <c r="TZC4"/>
      <c r="TZD4"/>
      <c r="TZE4"/>
      <c r="TZF4"/>
      <c r="TZG4"/>
      <c r="TZH4"/>
      <c r="TZI4"/>
      <c r="TZJ4"/>
      <c r="TZK4"/>
      <c r="TZL4"/>
      <c r="TZM4"/>
      <c r="TZN4"/>
      <c r="TZO4"/>
      <c r="TZP4"/>
      <c r="TZQ4"/>
      <c r="TZR4"/>
      <c r="TZS4"/>
      <c r="TZT4"/>
      <c r="TZU4"/>
      <c r="TZV4"/>
      <c r="TZW4"/>
      <c r="TZX4"/>
      <c r="TZY4"/>
      <c r="TZZ4"/>
      <c r="UAA4"/>
      <c r="UAB4"/>
      <c r="UAC4"/>
      <c r="UAD4"/>
      <c r="UAE4"/>
      <c r="UAF4"/>
      <c r="UAG4"/>
      <c r="UAH4"/>
      <c r="UAI4"/>
      <c r="UAJ4"/>
      <c r="UAK4"/>
      <c r="UAL4"/>
      <c r="UAM4"/>
      <c r="UAN4"/>
      <c r="UAO4"/>
      <c r="UAP4"/>
      <c r="UAQ4"/>
      <c r="UAR4"/>
      <c r="UAS4"/>
      <c r="UAT4"/>
      <c r="UAU4"/>
      <c r="UAV4"/>
      <c r="UAW4"/>
      <c r="UAX4"/>
      <c r="UAY4"/>
      <c r="UAZ4"/>
      <c r="UBA4"/>
      <c r="UBB4"/>
      <c r="UBC4"/>
      <c r="UBD4"/>
      <c r="UBE4"/>
      <c r="UBF4"/>
      <c r="UBG4"/>
      <c r="UBH4"/>
      <c r="UBI4"/>
      <c r="UBJ4"/>
      <c r="UBK4"/>
      <c r="UBL4"/>
      <c r="UBM4"/>
      <c r="UBN4"/>
      <c r="UBO4"/>
      <c r="UBP4"/>
      <c r="UBQ4"/>
      <c r="UBR4"/>
      <c r="UBS4"/>
      <c r="UBT4"/>
      <c r="UBU4"/>
      <c r="UBV4"/>
      <c r="UBW4"/>
      <c r="UBX4"/>
      <c r="UBY4"/>
      <c r="UBZ4"/>
      <c r="UCA4"/>
      <c r="UCB4"/>
      <c r="UCC4"/>
      <c r="UCD4"/>
      <c r="UCE4"/>
      <c r="UCF4"/>
      <c r="UCG4"/>
      <c r="UCH4"/>
      <c r="UCI4"/>
      <c r="UCJ4"/>
      <c r="UCK4"/>
      <c r="UCL4"/>
      <c r="UCM4"/>
      <c r="UCN4"/>
      <c r="UCO4"/>
      <c r="UCP4"/>
      <c r="UCQ4"/>
      <c r="UCR4"/>
      <c r="UCS4"/>
      <c r="UCT4"/>
      <c r="UCU4"/>
      <c r="UCV4"/>
      <c r="UCW4"/>
      <c r="UCX4"/>
      <c r="UCY4"/>
      <c r="UCZ4"/>
      <c r="UDA4"/>
      <c r="UDB4"/>
      <c r="UDC4"/>
      <c r="UDD4"/>
      <c r="UDE4"/>
      <c r="UDF4"/>
      <c r="UDG4"/>
      <c r="UDH4"/>
      <c r="UDI4"/>
      <c r="UDJ4"/>
      <c r="UDK4"/>
      <c r="UDL4"/>
      <c r="UDM4"/>
      <c r="UDN4"/>
      <c r="UDO4"/>
      <c r="UDP4"/>
      <c r="UDQ4"/>
      <c r="UDR4"/>
      <c r="UDS4"/>
      <c r="UDT4"/>
      <c r="UDU4"/>
      <c r="UDV4"/>
      <c r="UDW4"/>
      <c r="UDX4"/>
      <c r="UDY4"/>
      <c r="UDZ4"/>
      <c r="UEA4"/>
      <c r="UEB4"/>
      <c r="UEC4"/>
      <c r="UED4"/>
      <c r="UEE4"/>
      <c r="UEF4"/>
      <c r="UEG4"/>
      <c r="UEH4"/>
      <c r="UEI4"/>
      <c r="UEJ4"/>
      <c r="UEK4"/>
      <c r="UEL4"/>
      <c r="UEM4"/>
      <c r="UEN4"/>
      <c r="UEO4"/>
      <c r="UEP4"/>
      <c r="UEQ4"/>
      <c r="UER4"/>
      <c r="UES4"/>
      <c r="UET4"/>
      <c r="UEU4"/>
      <c r="UEV4"/>
      <c r="UEW4"/>
      <c r="UEX4"/>
      <c r="UEY4"/>
      <c r="UEZ4"/>
      <c r="UFA4"/>
      <c r="UFB4"/>
      <c r="UFC4"/>
      <c r="UFD4"/>
      <c r="UFE4"/>
      <c r="UFF4"/>
      <c r="UFG4"/>
      <c r="UFH4"/>
      <c r="UFI4"/>
      <c r="UFJ4"/>
      <c r="UFK4"/>
      <c r="UFL4"/>
      <c r="UFM4"/>
      <c r="UFN4"/>
      <c r="UFO4"/>
      <c r="UFP4"/>
      <c r="UFQ4"/>
      <c r="UFR4"/>
      <c r="UFS4"/>
      <c r="UFT4"/>
      <c r="UFU4"/>
      <c r="UFV4"/>
      <c r="UFW4"/>
      <c r="UFX4"/>
      <c r="UFY4"/>
      <c r="UFZ4"/>
      <c r="UGA4"/>
      <c r="UGB4"/>
      <c r="UGC4"/>
      <c r="UGD4"/>
      <c r="UGE4"/>
      <c r="UGF4"/>
      <c r="UGG4"/>
      <c r="UGH4"/>
      <c r="UGI4"/>
      <c r="UGJ4"/>
      <c r="UGK4"/>
      <c r="UGL4"/>
      <c r="UGM4"/>
      <c r="UGN4"/>
      <c r="UGO4"/>
      <c r="UGP4"/>
      <c r="UGQ4"/>
      <c r="UGR4"/>
      <c r="UGS4"/>
      <c r="UGT4"/>
      <c r="UGU4"/>
      <c r="UGV4"/>
      <c r="UGW4"/>
      <c r="UGX4"/>
      <c r="UGY4"/>
      <c r="UGZ4"/>
      <c r="UHA4"/>
      <c r="UHB4"/>
      <c r="UHC4"/>
      <c r="UHD4"/>
      <c r="UHE4"/>
      <c r="UHF4"/>
      <c r="UHG4"/>
      <c r="UHH4"/>
      <c r="UHI4"/>
      <c r="UHJ4"/>
      <c r="UHK4"/>
      <c r="UHL4"/>
      <c r="UHM4"/>
      <c r="UHN4"/>
      <c r="UHO4"/>
      <c r="UHP4"/>
      <c r="UHQ4"/>
      <c r="UHR4"/>
      <c r="UHS4"/>
      <c r="UHT4"/>
      <c r="UHU4"/>
      <c r="UHV4"/>
      <c r="UHW4"/>
      <c r="UHX4"/>
      <c r="UHY4"/>
      <c r="UHZ4"/>
      <c r="UIA4"/>
      <c r="UIB4"/>
      <c r="UIC4"/>
      <c r="UID4"/>
      <c r="UIE4"/>
      <c r="UIF4"/>
      <c r="UIG4"/>
      <c r="UIH4"/>
      <c r="UII4"/>
      <c r="UIJ4"/>
      <c r="UIK4"/>
      <c r="UIL4"/>
      <c r="UIM4"/>
      <c r="UIN4"/>
      <c r="UIO4"/>
      <c r="UIP4"/>
      <c r="UIQ4"/>
      <c r="UIR4"/>
      <c r="UIS4"/>
      <c r="UIT4"/>
      <c r="UIU4"/>
      <c r="UIV4"/>
      <c r="UIW4"/>
      <c r="UIX4"/>
      <c r="UIY4"/>
      <c r="UIZ4"/>
      <c r="UJA4"/>
      <c r="UJB4"/>
      <c r="UJC4"/>
      <c r="UJD4"/>
      <c r="UJE4"/>
      <c r="UJF4"/>
      <c r="UJG4"/>
      <c r="UJH4"/>
      <c r="UJI4"/>
      <c r="UJJ4"/>
      <c r="UJK4"/>
      <c r="UJL4"/>
      <c r="UJM4"/>
      <c r="UJN4"/>
      <c r="UJO4"/>
      <c r="UJP4"/>
      <c r="UJQ4"/>
      <c r="UJR4"/>
      <c r="UJS4"/>
      <c r="UJT4"/>
      <c r="UJU4"/>
      <c r="UJV4"/>
      <c r="UJW4"/>
      <c r="UJX4"/>
      <c r="UJY4"/>
      <c r="UJZ4"/>
      <c r="UKA4"/>
      <c r="UKB4"/>
      <c r="UKC4"/>
      <c r="UKD4"/>
      <c r="UKE4"/>
      <c r="UKF4"/>
      <c r="UKG4"/>
      <c r="UKH4"/>
      <c r="UKI4"/>
      <c r="UKJ4"/>
      <c r="UKK4"/>
      <c r="UKL4"/>
      <c r="UKM4"/>
      <c r="UKN4"/>
      <c r="UKO4"/>
      <c r="UKP4"/>
      <c r="UKQ4"/>
      <c r="UKR4"/>
      <c r="UKS4"/>
      <c r="UKT4"/>
      <c r="UKU4"/>
      <c r="UKV4"/>
      <c r="UKW4"/>
      <c r="UKX4"/>
      <c r="UKY4"/>
      <c r="UKZ4"/>
      <c r="ULA4"/>
      <c r="ULB4"/>
      <c r="ULC4"/>
      <c r="ULD4"/>
      <c r="ULE4"/>
      <c r="ULF4"/>
      <c r="ULG4"/>
      <c r="ULH4"/>
      <c r="ULI4"/>
      <c r="ULJ4"/>
      <c r="ULK4"/>
      <c r="ULL4"/>
      <c r="ULM4"/>
      <c r="ULN4"/>
      <c r="ULO4"/>
      <c r="ULP4"/>
      <c r="ULQ4"/>
      <c r="ULR4"/>
      <c r="ULS4"/>
      <c r="ULT4"/>
      <c r="ULU4"/>
      <c r="ULV4"/>
      <c r="ULW4"/>
      <c r="ULX4"/>
      <c r="ULY4"/>
      <c r="ULZ4"/>
      <c r="UMA4"/>
      <c r="UMB4"/>
      <c r="UMC4"/>
      <c r="UMD4"/>
      <c r="UME4"/>
      <c r="UMF4"/>
      <c r="UMG4"/>
      <c r="UMH4"/>
      <c r="UMI4"/>
      <c r="UMJ4"/>
      <c r="UMK4"/>
      <c r="UML4"/>
      <c r="UMM4"/>
      <c r="UMN4"/>
      <c r="UMO4"/>
      <c r="UMP4"/>
      <c r="UMQ4"/>
      <c r="UMR4"/>
      <c r="UMS4"/>
      <c r="UMT4"/>
      <c r="UMU4"/>
      <c r="UMV4"/>
      <c r="UMW4"/>
      <c r="UMX4"/>
      <c r="UMY4"/>
      <c r="UMZ4"/>
      <c r="UNA4"/>
      <c r="UNB4"/>
      <c r="UNC4"/>
      <c r="UND4"/>
      <c r="UNE4"/>
      <c r="UNF4"/>
      <c r="UNG4"/>
      <c r="UNH4"/>
      <c r="UNI4"/>
      <c r="UNJ4"/>
      <c r="UNK4"/>
      <c r="UNL4"/>
      <c r="UNM4"/>
      <c r="UNN4"/>
      <c r="UNO4"/>
      <c r="UNP4"/>
      <c r="UNQ4"/>
      <c r="UNR4"/>
      <c r="UNS4"/>
      <c r="UNT4"/>
      <c r="UNU4"/>
      <c r="UNV4"/>
      <c r="UNW4"/>
      <c r="UNX4"/>
      <c r="UNY4"/>
      <c r="UNZ4"/>
      <c r="UOA4"/>
      <c r="UOB4"/>
      <c r="UOC4"/>
      <c r="UOD4"/>
      <c r="UOE4"/>
      <c r="UOF4"/>
      <c r="UOG4"/>
      <c r="UOH4"/>
      <c r="UOI4"/>
      <c r="UOJ4"/>
      <c r="UOK4"/>
      <c r="UOL4"/>
      <c r="UOM4"/>
      <c r="UON4"/>
      <c r="UOO4"/>
      <c r="UOP4"/>
      <c r="UOQ4"/>
      <c r="UOR4"/>
      <c r="UOS4"/>
      <c r="UOT4"/>
      <c r="UOU4"/>
      <c r="UOV4"/>
      <c r="UOW4"/>
      <c r="UOX4"/>
      <c r="UOY4"/>
      <c r="UOZ4"/>
      <c r="UPA4"/>
      <c r="UPB4"/>
      <c r="UPC4"/>
      <c r="UPD4"/>
      <c r="UPE4"/>
      <c r="UPF4"/>
      <c r="UPG4"/>
      <c r="UPH4"/>
      <c r="UPI4"/>
      <c r="UPJ4"/>
      <c r="UPK4"/>
      <c r="UPL4"/>
      <c r="UPM4"/>
      <c r="UPN4"/>
      <c r="UPO4"/>
      <c r="UPP4"/>
      <c r="UPQ4"/>
      <c r="UPR4"/>
      <c r="UPS4"/>
      <c r="UPT4"/>
      <c r="UPU4"/>
      <c r="UPV4"/>
      <c r="UPW4"/>
      <c r="UPX4"/>
      <c r="UPY4"/>
      <c r="UPZ4"/>
      <c r="UQA4"/>
      <c r="UQB4"/>
      <c r="UQC4"/>
      <c r="UQD4"/>
      <c r="UQE4"/>
      <c r="UQF4"/>
      <c r="UQG4"/>
      <c r="UQH4"/>
      <c r="UQI4"/>
      <c r="UQJ4"/>
      <c r="UQK4"/>
      <c r="UQL4"/>
      <c r="UQM4"/>
      <c r="UQN4"/>
      <c r="UQO4"/>
      <c r="UQP4"/>
      <c r="UQQ4"/>
      <c r="UQR4"/>
      <c r="UQS4"/>
      <c r="UQT4"/>
      <c r="UQU4"/>
      <c r="UQV4"/>
      <c r="UQW4"/>
      <c r="UQX4"/>
      <c r="UQY4"/>
      <c r="UQZ4"/>
      <c r="URA4"/>
      <c r="URB4"/>
      <c r="URC4"/>
      <c r="URD4"/>
      <c r="URE4"/>
      <c r="URF4"/>
      <c r="URG4"/>
      <c r="URH4"/>
      <c r="URI4"/>
      <c r="URJ4"/>
      <c r="URK4"/>
      <c r="URL4"/>
      <c r="URM4"/>
      <c r="URN4"/>
      <c r="URO4"/>
      <c r="URP4"/>
      <c r="URQ4"/>
      <c r="URR4"/>
      <c r="URS4"/>
      <c r="URT4"/>
      <c r="URU4"/>
      <c r="URV4"/>
      <c r="URW4"/>
      <c r="URX4"/>
      <c r="URY4"/>
      <c r="URZ4"/>
      <c r="USA4"/>
      <c r="USB4"/>
      <c r="USC4"/>
      <c r="USD4"/>
      <c r="USE4"/>
      <c r="USF4"/>
      <c r="USG4"/>
      <c r="USH4"/>
      <c r="USI4"/>
      <c r="USJ4"/>
      <c r="USK4"/>
      <c r="USL4"/>
      <c r="USM4"/>
      <c r="USN4"/>
      <c r="USO4"/>
      <c r="USP4"/>
      <c r="USQ4"/>
      <c r="USR4"/>
      <c r="USS4"/>
      <c r="UST4"/>
      <c r="USU4"/>
      <c r="USV4"/>
      <c r="USW4"/>
      <c r="USX4"/>
      <c r="USY4"/>
      <c r="USZ4"/>
      <c r="UTA4"/>
      <c r="UTB4"/>
      <c r="UTC4"/>
      <c r="UTD4"/>
      <c r="UTE4"/>
      <c r="UTF4"/>
      <c r="UTG4"/>
      <c r="UTH4"/>
      <c r="UTI4"/>
      <c r="UTJ4"/>
      <c r="UTK4"/>
      <c r="UTL4"/>
      <c r="UTM4"/>
      <c r="UTN4"/>
      <c r="UTO4"/>
      <c r="UTP4"/>
      <c r="UTQ4"/>
      <c r="UTR4"/>
      <c r="UTS4"/>
      <c r="UTT4"/>
      <c r="UTU4"/>
      <c r="UTV4"/>
      <c r="UTW4"/>
      <c r="UTX4"/>
      <c r="UTY4"/>
      <c r="UTZ4"/>
      <c r="UUA4"/>
      <c r="UUB4"/>
      <c r="UUC4"/>
      <c r="UUD4"/>
      <c r="UUE4"/>
      <c r="UUF4"/>
      <c r="UUG4"/>
      <c r="UUH4"/>
      <c r="UUI4"/>
      <c r="UUJ4"/>
      <c r="UUK4"/>
      <c r="UUL4"/>
      <c r="UUM4"/>
      <c r="UUN4"/>
      <c r="UUO4"/>
      <c r="UUP4"/>
      <c r="UUQ4"/>
      <c r="UUR4"/>
      <c r="UUS4"/>
      <c r="UUT4"/>
      <c r="UUU4"/>
      <c r="UUV4"/>
      <c r="UUW4"/>
      <c r="UUX4"/>
      <c r="UUY4"/>
      <c r="UUZ4"/>
      <c r="UVA4"/>
      <c r="UVB4"/>
      <c r="UVC4"/>
      <c r="UVD4"/>
      <c r="UVE4"/>
      <c r="UVF4"/>
      <c r="UVG4"/>
      <c r="UVH4"/>
      <c r="UVI4"/>
      <c r="UVJ4"/>
      <c r="UVK4"/>
      <c r="UVL4"/>
      <c r="UVM4"/>
      <c r="UVN4"/>
      <c r="UVO4"/>
      <c r="UVP4"/>
      <c r="UVQ4"/>
      <c r="UVR4"/>
      <c r="UVS4"/>
      <c r="UVT4"/>
      <c r="UVU4"/>
      <c r="UVV4"/>
      <c r="UVW4"/>
      <c r="UVX4"/>
      <c r="UVY4"/>
      <c r="UVZ4"/>
      <c r="UWA4"/>
      <c r="UWB4"/>
      <c r="UWC4"/>
      <c r="UWD4"/>
      <c r="UWE4"/>
      <c r="UWF4"/>
      <c r="UWG4"/>
      <c r="UWH4"/>
      <c r="UWI4"/>
      <c r="UWJ4"/>
      <c r="UWK4"/>
      <c r="UWL4"/>
      <c r="UWM4"/>
      <c r="UWN4"/>
      <c r="UWO4"/>
      <c r="UWP4"/>
      <c r="UWQ4"/>
      <c r="UWR4"/>
      <c r="UWS4"/>
      <c r="UWT4"/>
      <c r="UWU4"/>
      <c r="UWV4"/>
      <c r="UWW4"/>
      <c r="UWX4"/>
      <c r="UWY4"/>
      <c r="UWZ4"/>
      <c r="UXA4"/>
      <c r="UXB4"/>
      <c r="UXC4"/>
      <c r="UXD4"/>
      <c r="UXE4"/>
      <c r="UXF4"/>
      <c r="UXG4"/>
      <c r="UXH4"/>
      <c r="UXI4"/>
      <c r="UXJ4"/>
      <c r="UXK4"/>
      <c r="UXL4"/>
      <c r="UXM4"/>
      <c r="UXN4"/>
      <c r="UXO4"/>
      <c r="UXP4"/>
      <c r="UXQ4"/>
      <c r="UXR4"/>
      <c r="UXS4"/>
      <c r="UXT4"/>
      <c r="UXU4"/>
      <c r="UXV4"/>
      <c r="UXW4"/>
      <c r="UXX4"/>
      <c r="UXY4"/>
      <c r="UXZ4"/>
      <c r="UYA4"/>
      <c r="UYB4"/>
      <c r="UYC4"/>
      <c r="UYD4"/>
      <c r="UYE4"/>
      <c r="UYF4"/>
      <c r="UYG4"/>
      <c r="UYH4"/>
      <c r="UYI4"/>
      <c r="UYJ4"/>
      <c r="UYK4"/>
      <c r="UYL4"/>
      <c r="UYM4"/>
      <c r="UYN4"/>
      <c r="UYO4"/>
      <c r="UYP4"/>
      <c r="UYQ4"/>
      <c r="UYR4"/>
      <c r="UYS4"/>
      <c r="UYT4"/>
      <c r="UYU4"/>
      <c r="UYV4"/>
      <c r="UYW4"/>
      <c r="UYX4"/>
      <c r="UYY4"/>
      <c r="UYZ4"/>
      <c r="UZA4"/>
      <c r="UZB4"/>
      <c r="UZC4"/>
      <c r="UZD4"/>
      <c r="UZE4"/>
      <c r="UZF4"/>
      <c r="UZG4"/>
      <c r="UZH4"/>
      <c r="UZI4"/>
      <c r="UZJ4"/>
      <c r="UZK4"/>
      <c r="UZL4"/>
      <c r="UZM4"/>
      <c r="UZN4"/>
      <c r="UZO4"/>
      <c r="UZP4"/>
      <c r="UZQ4"/>
      <c r="UZR4"/>
      <c r="UZS4"/>
      <c r="UZT4"/>
      <c r="UZU4"/>
      <c r="UZV4"/>
      <c r="UZW4"/>
      <c r="UZX4"/>
      <c r="UZY4"/>
      <c r="UZZ4"/>
      <c r="VAA4"/>
      <c r="VAB4"/>
      <c r="VAC4"/>
      <c r="VAD4"/>
      <c r="VAE4"/>
      <c r="VAF4"/>
      <c r="VAG4"/>
      <c r="VAH4"/>
      <c r="VAI4"/>
      <c r="VAJ4"/>
      <c r="VAK4"/>
      <c r="VAL4"/>
      <c r="VAM4"/>
      <c r="VAN4"/>
      <c r="VAO4"/>
      <c r="VAP4"/>
      <c r="VAQ4"/>
      <c r="VAR4"/>
      <c r="VAS4"/>
      <c r="VAT4"/>
      <c r="VAU4"/>
      <c r="VAV4"/>
      <c r="VAW4"/>
      <c r="VAX4"/>
      <c r="VAY4"/>
      <c r="VAZ4"/>
      <c r="VBA4"/>
      <c r="VBB4"/>
      <c r="VBC4"/>
      <c r="VBD4"/>
      <c r="VBE4"/>
      <c r="VBF4"/>
      <c r="VBG4"/>
      <c r="VBH4"/>
      <c r="VBI4"/>
      <c r="VBJ4"/>
      <c r="VBK4"/>
      <c r="VBL4"/>
      <c r="VBM4"/>
      <c r="VBN4"/>
      <c r="VBO4"/>
      <c r="VBP4"/>
      <c r="VBQ4"/>
      <c r="VBR4"/>
      <c r="VBS4"/>
      <c r="VBT4"/>
      <c r="VBU4"/>
      <c r="VBV4"/>
      <c r="VBW4"/>
      <c r="VBX4"/>
      <c r="VBY4"/>
      <c r="VBZ4"/>
      <c r="VCA4"/>
      <c r="VCB4"/>
      <c r="VCC4"/>
      <c r="VCD4"/>
      <c r="VCE4"/>
      <c r="VCF4"/>
      <c r="VCG4"/>
      <c r="VCH4"/>
      <c r="VCI4"/>
      <c r="VCJ4"/>
      <c r="VCK4"/>
      <c r="VCL4"/>
      <c r="VCM4"/>
      <c r="VCN4"/>
      <c r="VCO4"/>
      <c r="VCP4"/>
      <c r="VCQ4"/>
      <c r="VCR4"/>
      <c r="VCS4"/>
      <c r="VCT4"/>
      <c r="VCU4"/>
      <c r="VCV4"/>
      <c r="VCW4"/>
      <c r="VCX4"/>
      <c r="VCY4"/>
      <c r="VCZ4"/>
      <c r="VDA4"/>
      <c r="VDB4"/>
      <c r="VDC4"/>
      <c r="VDD4"/>
      <c r="VDE4"/>
      <c r="VDF4"/>
      <c r="VDG4"/>
      <c r="VDH4"/>
      <c r="VDI4"/>
      <c r="VDJ4"/>
      <c r="VDK4"/>
      <c r="VDL4"/>
      <c r="VDM4"/>
      <c r="VDN4"/>
      <c r="VDO4"/>
      <c r="VDP4"/>
      <c r="VDQ4"/>
      <c r="VDR4"/>
      <c r="VDS4"/>
      <c r="VDT4"/>
      <c r="VDU4"/>
      <c r="VDV4"/>
      <c r="VDW4"/>
      <c r="VDX4"/>
      <c r="VDY4"/>
      <c r="VDZ4"/>
      <c r="VEA4"/>
      <c r="VEB4"/>
      <c r="VEC4"/>
      <c r="VED4"/>
      <c r="VEE4"/>
      <c r="VEF4"/>
      <c r="VEG4"/>
      <c r="VEH4"/>
      <c r="VEI4"/>
      <c r="VEJ4"/>
      <c r="VEK4"/>
      <c r="VEL4"/>
      <c r="VEM4"/>
      <c r="VEN4"/>
      <c r="VEO4"/>
      <c r="VEP4"/>
      <c r="VEQ4"/>
      <c r="VER4"/>
      <c r="VES4"/>
      <c r="VET4"/>
      <c r="VEU4"/>
      <c r="VEV4"/>
      <c r="VEW4"/>
      <c r="VEX4"/>
      <c r="VEY4"/>
      <c r="VEZ4"/>
      <c r="VFA4"/>
      <c r="VFB4"/>
      <c r="VFC4"/>
      <c r="VFD4"/>
      <c r="VFE4"/>
      <c r="VFF4"/>
      <c r="VFG4"/>
      <c r="VFH4"/>
      <c r="VFI4"/>
      <c r="VFJ4"/>
      <c r="VFK4"/>
      <c r="VFL4"/>
      <c r="VFM4"/>
      <c r="VFN4"/>
      <c r="VFO4"/>
      <c r="VFP4"/>
      <c r="VFQ4"/>
      <c r="VFR4"/>
      <c r="VFS4"/>
      <c r="VFT4"/>
      <c r="VFU4"/>
      <c r="VFV4"/>
      <c r="VFW4"/>
      <c r="VFX4"/>
      <c r="VFY4"/>
      <c r="VFZ4"/>
      <c r="VGA4"/>
      <c r="VGB4"/>
      <c r="VGC4"/>
      <c r="VGD4"/>
      <c r="VGE4"/>
      <c r="VGF4"/>
      <c r="VGG4"/>
      <c r="VGH4"/>
      <c r="VGI4"/>
      <c r="VGJ4"/>
      <c r="VGK4"/>
      <c r="VGL4"/>
      <c r="VGM4"/>
      <c r="VGN4"/>
      <c r="VGO4"/>
      <c r="VGP4"/>
      <c r="VGQ4"/>
      <c r="VGR4"/>
      <c r="VGS4"/>
      <c r="VGT4"/>
      <c r="VGU4"/>
      <c r="VGV4"/>
      <c r="VGW4"/>
      <c r="VGX4"/>
      <c r="VGY4"/>
      <c r="VGZ4"/>
      <c r="VHA4"/>
      <c r="VHB4"/>
      <c r="VHC4"/>
      <c r="VHD4"/>
      <c r="VHE4"/>
      <c r="VHF4"/>
      <c r="VHG4"/>
      <c r="VHH4"/>
      <c r="VHI4"/>
      <c r="VHJ4"/>
      <c r="VHK4"/>
      <c r="VHL4"/>
      <c r="VHM4"/>
      <c r="VHN4"/>
      <c r="VHO4"/>
      <c r="VHP4"/>
      <c r="VHQ4"/>
      <c r="VHR4"/>
      <c r="VHS4"/>
      <c r="VHT4"/>
      <c r="VHU4"/>
      <c r="VHV4"/>
      <c r="VHW4"/>
      <c r="VHX4"/>
      <c r="VHY4"/>
      <c r="VHZ4"/>
      <c r="VIA4"/>
      <c r="VIB4"/>
      <c r="VIC4"/>
      <c r="VID4"/>
      <c r="VIE4"/>
      <c r="VIF4"/>
      <c r="VIG4"/>
      <c r="VIH4"/>
      <c r="VII4"/>
      <c r="VIJ4"/>
      <c r="VIK4"/>
      <c r="VIL4"/>
      <c r="VIM4"/>
      <c r="VIN4"/>
      <c r="VIO4"/>
      <c r="VIP4"/>
      <c r="VIQ4"/>
      <c r="VIR4"/>
      <c r="VIS4"/>
      <c r="VIT4"/>
      <c r="VIU4"/>
      <c r="VIV4"/>
      <c r="VIW4"/>
      <c r="VIX4"/>
      <c r="VIY4"/>
      <c r="VIZ4"/>
      <c r="VJA4"/>
      <c r="VJB4"/>
      <c r="VJC4"/>
      <c r="VJD4"/>
      <c r="VJE4"/>
      <c r="VJF4"/>
      <c r="VJG4"/>
      <c r="VJH4"/>
      <c r="VJI4"/>
      <c r="VJJ4"/>
      <c r="VJK4"/>
      <c r="VJL4"/>
      <c r="VJM4"/>
      <c r="VJN4"/>
      <c r="VJO4"/>
      <c r="VJP4"/>
      <c r="VJQ4"/>
      <c r="VJR4"/>
      <c r="VJS4"/>
      <c r="VJT4"/>
      <c r="VJU4"/>
      <c r="VJV4"/>
      <c r="VJW4"/>
      <c r="VJX4"/>
      <c r="VJY4"/>
      <c r="VJZ4"/>
      <c r="VKA4"/>
      <c r="VKB4"/>
      <c r="VKC4"/>
      <c r="VKD4"/>
      <c r="VKE4"/>
      <c r="VKF4"/>
      <c r="VKG4"/>
      <c r="VKH4"/>
      <c r="VKI4"/>
      <c r="VKJ4"/>
      <c r="VKK4"/>
      <c r="VKL4"/>
      <c r="VKM4"/>
      <c r="VKN4"/>
      <c r="VKO4"/>
      <c r="VKP4"/>
      <c r="VKQ4"/>
      <c r="VKR4"/>
      <c r="VKS4"/>
      <c r="VKT4"/>
      <c r="VKU4"/>
      <c r="VKV4"/>
      <c r="VKW4"/>
      <c r="VKX4"/>
      <c r="VKY4"/>
      <c r="VKZ4"/>
      <c r="VLA4"/>
      <c r="VLB4"/>
      <c r="VLC4"/>
      <c r="VLD4"/>
      <c r="VLE4"/>
      <c r="VLF4"/>
      <c r="VLG4"/>
      <c r="VLH4"/>
      <c r="VLI4"/>
      <c r="VLJ4"/>
      <c r="VLK4"/>
      <c r="VLL4"/>
      <c r="VLM4"/>
      <c r="VLN4"/>
      <c r="VLO4"/>
      <c r="VLP4"/>
      <c r="VLQ4"/>
      <c r="VLR4"/>
      <c r="VLS4"/>
      <c r="VLT4"/>
      <c r="VLU4"/>
      <c r="VLV4"/>
      <c r="VLW4"/>
      <c r="VLX4"/>
      <c r="VLY4"/>
      <c r="VLZ4"/>
      <c r="VMA4"/>
      <c r="VMB4"/>
      <c r="VMC4"/>
      <c r="VMD4"/>
      <c r="VME4"/>
      <c r="VMF4"/>
      <c r="VMG4"/>
      <c r="VMH4"/>
      <c r="VMI4"/>
      <c r="VMJ4"/>
      <c r="VMK4"/>
      <c r="VML4"/>
      <c r="VMM4"/>
      <c r="VMN4"/>
      <c r="VMO4"/>
      <c r="VMP4"/>
      <c r="VMQ4"/>
      <c r="VMR4"/>
      <c r="VMS4"/>
      <c r="VMT4"/>
      <c r="VMU4"/>
      <c r="VMV4"/>
      <c r="VMW4"/>
      <c r="VMX4"/>
      <c r="VMY4"/>
      <c r="VMZ4"/>
      <c r="VNA4"/>
      <c r="VNB4"/>
      <c r="VNC4"/>
      <c r="VND4"/>
      <c r="VNE4"/>
      <c r="VNF4"/>
      <c r="VNG4"/>
      <c r="VNH4"/>
      <c r="VNI4"/>
      <c r="VNJ4"/>
      <c r="VNK4"/>
      <c r="VNL4"/>
      <c r="VNM4"/>
      <c r="VNN4"/>
      <c r="VNO4"/>
      <c r="VNP4"/>
      <c r="VNQ4"/>
      <c r="VNR4"/>
      <c r="VNS4"/>
      <c r="VNT4"/>
      <c r="VNU4"/>
      <c r="VNV4"/>
      <c r="VNW4"/>
      <c r="VNX4"/>
      <c r="VNY4"/>
      <c r="VNZ4"/>
      <c r="VOA4"/>
      <c r="VOB4"/>
      <c r="VOC4"/>
      <c r="VOD4"/>
      <c r="VOE4"/>
      <c r="VOF4"/>
      <c r="VOG4"/>
      <c r="VOH4"/>
      <c r="VOI4"/>
      <c r="VOJ4"/>
      <c r="VOK4"/>
      <c r="VOL4"/>
      <c r="VOM4"/>
      <c r="VON4"/>
      <c r="VOO4"/>
      <c r="VOP4"/>
      <c r="VOQ4"/>
      <c r="VOR4"/>
      <c r="VOS4"/>
      <c r="VOT4"/>
      <c r="VOU4"/>
      <c r="VOV4"/>
      <c r="VOW4"/>
      <c r="VOX4"/>
      <c r="VOY4"/>
      <c r="VOZ4"/>
      <c r="VPA4"/>
      <c r="VPB4"/>
      <c r="VPC4"/>
      <c r="VPD4"/>
      <c r="VPE4"/>
      <c r="VPF4"/>
      <c r="VPG4"/>
      <c r="VPH4"/>
      <c r="VPI4"/>
      <c r="VPJ4"/>
      <c r="VPK4"/>
      <c r="VPL4"/>
      <c r="VPM4"/>
      <c r="VPN4"/>
      <c r="VPO4"/>
      <c r="VPP4"/>
      <c r="VPQ4"/>
      <c r="VPR4"/>
      <c r="VPS4"/>
      <c r="VPT4"/>
      <c r="VPU4"/>
      <c r="VPV4"/>
      <c r="VPW4"/>
      <c r="VPX4"/>
      <c r="VPY4"/>
      <c r="VPZ4"/>
      <c r="VQA4"/>
      <c r="VQB4"/>
      <c r="VQC4"/>
      <c r="VQD4"/>
      <c r="VQE4"/>
      <c r="VQF4"/>
      <c r="VQG4"/>
      <c r="VQH4"/>
      <c r="VQI4"/>
      <c r="VQJ4"/>
      <c r="VQK4"/>
      <c r="VQL4"/>
      <c r="VQM4"/>
      <c r="VQN4"/>
      <c r="VQO4"/>
      <c r="VQP4"/>
      <c r="VQQ4"/>
      <c r="VQR4"/>
      <c r="VQS4"/>
      <c r="VQT4"/>
      <c r="VQU4"/>
      <c r="VQV4"/>
      <c r="VQW4"/>
      <c r="VQX4"/>
      <c r="VQY4"/>
      <c r="VQZ4"/>
      <c r="VRA4"/>
      <c r="VRB4"/>
      <c r="VRC4"/>
      <c r="VRD4"/>
      <c r="VRE4"/>
      <c r="VRF4"/>
      <c r="VRG4"/>
      <c r="VRH4"/>
      <c r="VRI4"/>
      <c r="VRJ4"/>
      <c r="VRK4"/>
      <c r="VRL4"/>
      <c r="VRM4"/>
      <c r="VRN4"/>
      <c r="VRO4"/>
      <c r="VRP4"/>
      <c r="VRQ4"/>
      <c r="VRR4"/>
      <c r="VRS4"/>
      <c r="VRT4"/>
      <c r="VRU4"/>
      <c r="VRV4"/>
      <c r="VRW4"/>
      <c r="VRX4"/>
      <c r="VRY4"/>
      <c r="VRZ4"/>
      <c r="VSA4"/>
      <c r="VSB4"/>
      <c r="VSC4"/>
      <c r="VSD4"/>
      <c r="VSE4"/>
      <c r="VSF4"/>
      <c r="VSG4"/>
      <c r="VSH4"/>
      <c r="VSI4"/>
      <c r="VSJ4"/>
      <c r="VSK4"/>
      <c r="VSL4"/>
      <c r="VSM4"/>
      <c r="VSN4"/>
      <c r="VSO4"/>
      <c r="VSP4"/>
      <c r="VSQ4"/>
      <c r="VSR4"/>
      <c r="VSS4"/>
      <c r="VST4"/>
      <c r="VSU4"/>
      <c r="VSV4"/>
      <c r="VSW4"/>
      <c r="VSX4"/>
      <c r="VSY4"/>
      <c r="VSZ4"/>
      <c r="VTA4"/>
      <c r="VTB4"/>
      <c r="VTC4"/>
      <c r="VTD4"/>
      <c r="VTE4"/>
      <c r="VTF4"/>
      <c r="VTG4"/>
      <c r="VTH4"/>
      <c r="VTI4"/>
      <c r="VTJ4"/>
      <c r="VTK4"/>
      <c r="VTL4"/>
      <c r="VTM4"/>
      <c r="VTN4"/>
      <c r="VTO4"/>
      <c r="VTP4"/>
      <c r="VTQ4"/>
      <c r="VTR4"/>
      <c r="VTS4"/>
      <c r="VTT4"/>
      <c r="VTU4"/>
      <c r="VTV4"/>
      <c r="VTW4"/>
      <c r="VTX4"/>
      <c r="VTY4"/>
      <c r="VTZ4"/>
      <c r="VUA4"/>
      <c r="VUB4"/>
      <c r="VUC4"/>
      <c r="VUD4"/>
      <c r="VUE4"/>
      <c r="VUF4"/>
      <c r="VUG4"/>
      <c r="VUH4"/>
      <c r="VUI4"/>
      <c r="VUJ4"/>
      <c r="VUK4"/>
      <c r="VUL4"/>
      <c r="VUM4"/>
      <c r="VUN4"/>
      <c r="VUO4"/>
      <c r="VUP4"/>
      <c r="VUQ4"/>
      <c r="VUR4"/>
      <c r="VUS4"/>
      <c r="VUT4"/>
      <c r="VUU4"/>
      <c r="VUV4"/>
      <c r="VUW4"/>
      <c r="VUX4"/>
      <c r="VUY4"/>
      <c r="VUZ4"/>
      <c r="VVA4"/>
      <c r="VVB4"/>
      <c r="VVC4"/>
      <c r="VVD4"/>
      <c r="VVE4"/>
      <c r="VVF4"/>
      <c r="VVG4"/>
      <c r="VVH4"/>
      <c r="VVI4"/>
      <c r="VVJ4"/>
      <c r="VVK4"/>
      <c r="VVL4"/>
      <c r="VVM4"/>
      <c r="VVN4"/>
      <c r="VVO4"/>
      <c r="VVP4"/>
      <c r="VVQ4"/>
      <c r="VVR4"/>
      <c r="VVS4"/>
      <c r="VVT4"/>
      <c r="VVU4"/>
      <c r="VVV4"/>
      <c r="VVW4"/>
      <c r="VVX4"/>
      <c r="VVY4"/>
      <c r="VVZ4"/>
      <c r="VWA4"/>
      <c r="VWB4"/>
      <c r="VWC4"/>
      <c r="VWD4"/>
      <c r="VWE4"/>
      <c r="VWF4"/>
      <c r="VWG4"/>
      <c r="VWH4"/>
      <c r="VWI4"/>
      <c r="VWJ4"/>
      <c r="VWK4"/>
      <c r="VWL4"/>
      <c r="VWM4"/>
      <c r="VWN4"/>
      <c r="VWO4"/>
      <c r="VWP4"/>
      <c r="VWQ4"/>
      <c r="VWR4"/>
      <c r="VWS4"/>
      <c r="VWT4"/>
      <c r="VWU4"/>
      <c r="VWV4"/>
      <c r="VWW4"/>
      <c r="VWX4"/>
      <c r="VWY4"/>
      <c r="VWZ4"/>
      <c r="VXA4"/>
      <c r="VXB4"/>
      <c r="VXC4"/>
      <c r="VXD4"/>
      <c r="VXE4"/>
      <c r="VXF4"/>
      <c r="VXG4"/>
      <c r="VXH4"/>
      <c r="VXI4"/>
      <c r="VXJ4"/>
      <c r="VXK4"/>
      <c r="VXL4"/>
      <c r="VXM4"/>
      <c r="VXN4"/>
      <c r="VXO4"/>
      <c r="VXP4"/>
      <c r="VXQ4"/>
      <c r="VXR4"/>
      <c r="VXS4"/>
      <c r="VXT4"/>
      <c r="VXU4"/>
      <c r="VXV4"/>
      <c r="VXW4"/>
      <c r="VXX4"/>
      <c r="VXY4"/>
      <c r="VXZ4"/>
      <c r="VYA4"/>
      <c r="VYB4"/>
      <c r="VYC4"/>
      <c r="VYD4"/>
      <c r="VYE4"/>
      <c r="VYF4"/>
      <c r="VYG4"/>
      <c r="VYH4"/>
      <c r="VYI4"/>
      <c r="VYJ4"/>
      <c r="VYK4"/>
      <c r="VYL4"/>
      <c r="VYM4"/>
      <c r="VYN4"/>
      <c r="VYO4"/>
      <c r="VYP4"/>
      <c r="VYQ4"/>
      <c r="VYR4"/>
      <c r="VYS4"/>
      <c r="VYT4"/>
      <c r="VYU4"/>
      <c r="VYV4"/>
      <c r="VYW4"/>
      <c r="VYX4"/>
      <c r="VYY4"/>
      <c r="VYZ4"/>
      <c r="VZA4"/>
      <c r="VZB4"/>
      <c r="VZC4"/>
      <c r="VZD4"/>
      <c r="VZE4"/>
      <c r="VZF4"/>
      <c r="VZG4"/>
      <c r="VZH4"/>
      <c r="VZI4"/>
      <c r="VZJ4"/>
      <c r="VZK4"/>
      <c r="VZL4"/>
      <c r="VZM4"/>
      <c r="VZN4"/>
      <c r="VZO4"/>
      <c r="VZP4"/>
      <c r="VZQ4"/>
      <c r="VZR4"/>
      <c r="VZS4"/>
      <c r="VZT4"/>
      <c r="VZU4"/>
      <c r="VZV4"/>
      <c r="VZW4"/>
      <c r="VZX4"/>
      <c r="VZY4"/>
      <c r="VZZ4"/>
      <c r="WAA4"/>
      <c r="WAB4"/>
      <c r="WAC4"/>
      <c r="WAD4"/>
      <c r="WAE4"/>
      <c r="WAF4"/>
      <c r="WAG4"/>
      <c r="WAH4"/>
      <c r="WAI4"/>
      <c r="WAJ4"/>
      <c r="WAK4"/>
      <c r="WAL4"/>
      <c r="WAM4"/>
      <c r="WAN4"/>
      <c r="WAO4"/>
      <c r="WAP4"/>
      <c r="WAQ4"/>
      <c r="WAR4"/>
      <c r="WAS4"/>
      <c r="WAT4"/>
      <c r="WAU4"/>
      <c r="WAV4"/>
      <c r="WAW4"/>
      <c r="WAX4"/>
      <c r="WAY4"/>
      <c r="WAZ4"/>
      <c r="WBA4"/>
      <c r="WBB4"/>
      <c r="WBC4"/>
      <c r="WBD4"/>
      <c r="WBE4"/>
      <c r="WBF4"/>
      <c r="WBG4"/>
      <c r="WBH4"/>
      <c r="WBI4"/>
      <c r="WBJ4"/>
      <c r="WBK4"/>
      <c r="WBL4"/>
      <c r="WBM4"/>
      <c r="WBN4"/>
      <c r="WBO4"/>
      <c r="WBP4"/>
      <c r="WBQ4"/>
      <c r="WBR4"/>
      <c r="WBS4"/>
      <c r="WBT4"/>
      <c r="WBU4"/>
      <c r="WBV4"/>
      <c r="WBW4"/>
      <c r="WBX4"/>
      <c r="WBY4"/>
      <c r="WBZ4"/>
      <c r="WCA4"/>
      <c r="WCB4"/>
      <c r="WCC4"/>
      <c r="WCD4"/>
      <c r="WCE4"/>
      <c r="WCF4"/>
      <c r="WCG4"/>
      <c r="WCH4"/>
      <c r="WCI4"/>
      <c r="WCJ4"/>
      <c r="WCK4"/>
      <c r="WCL4"/>
      <c r="WCM4"/>
      <c r="WCN4"/>
      <c r="WCO4"/>
      <c r="WCP4"/>
      <c r="WCQ4"/>
      <c r="WCR4"/>
      <c r="WCS4"/>
      <c r="WCT4"/>
      <c r="WCU4"/>
      <c r="WCV4"/>
      <c r="WCW4"/>
      <c r="WCX4"/>
      <c r="WCY4"/>
      <c r="WCZ4"/>
      <c r="WDA4"/>
      <c r="WDB4"/>
      <c r="WDC4"/>
      <c r="WDD4"/>
      <c r="WDE4"/>
      <c r="WDF4"/>
      <c r="WDG4"/>
      <c r="WDH4"/>
      <c r="WDI4"/>
      <c r="WDJ4"/>
      <c r="WDK4"/>
      <c r="WDL4"/>
      <c r="WDM4"/>
      <c r="WDN4"/>
      <c r="WDO4"/>
      <c r="WDP4"/>
      <c r="WDQ4"/>
      <c r="WDR4"/>
      <c r="WDS4"/>
      <c r="WDT4"/>
      <c r="WDU4"/>
      <c r="WDV4"/>
      <c r="WDW4"/>
      <c r="WDX4"/>
      <c r="WDY4"/>
      <c r="WDZ4"/>
      <c r="WEA4"/>
      <c r="WEB4"/>
      <c r="WEC4"/>
      <c r="WED4"/>
      <c r="WEE4"/>
      <c r="WEF4"/>
      <c r="WEG4"/>
      <c r="WEH4"/>
      <c r="WEI4"/>
      <c r="WEJ4"/>
      <c r="WEK4"/>
      <c r="WEL4"/>
      <c r="WEM4"/>
      <c r="WEN4"/>
      <c r="WEO4"/>
      <c r="WEP4"/>
      <c r="WEQ4"/>
      <c r="WER4"/>
      <c r="WES4"/>
      <c r="WET4"/>
      <c r="WEU4"/>
      <c r="WEV4"/>
      <c r="WEW4"/>
      <c r="WEX4"/>
      <c r="WEY4"/>
      <c r="WEZ4"/>
      <c r="WFA4"/>
      <c r="WFB4"/>
      <c r="WFC4"/>
      <c r="WFD4"/>
      <c r="WFE4"/>
      <c r="WFF4"/>
      <c r="WFG4"/>
      <c r="WFH4"/>
      <c r="WFI4"/>
      <c r="WFJ4"/>
      <c r="WFK4"/>
      <c r="WFL4"/>
      <c r="WFM4"/>
      <c r="WFN4"/>
      <c r="WFO4"/>
      <c r="WFP4"/>
      <c r="WFQ4"/>
      <c r="WFR4"/>
      <c r="WFS4"/>
      <c r="WFT4"/>
      <c r="WFU4"/>
      <c r="WFV4"/>
      <c r="WFW4"/>
      <c r="WFX4"/>
      <c r="WFY4"/>
      <c r="WFZ4"/>
      <c r="WGA4"/>
      <c r="WGB4"/>
      <c r="WGC4"/>
      <c r="WGD4"/>
      <c r="WGE4"/>
      <c r="WGF4"/>
      <c r="WGG4"/>
      <c r="WGH4"/>
      <c r="WGI4"/>
      <c r="WGJ4"/>
      <c r="WGK4"/>
      <c r="WGL4"/>
      <c r="WGM4"/>
      <c r="WGN4"/>
      <c r="WGO4"/>
      <c r="WGP4"/>
      <c r="WGQ4"/>
      <c r="WGR4"/>
      <c r="WGS4"/>
      <c r="WGT4"/>
      <c r="WGU4"/>
      <c r="WGV4"/>
      <c r="WGW4"/>
      <c r="WGX4"/>
      <c r="WGY4"/>
      <c r="WGZ4"/>
      <c r="WHA4"/>
      <c r="WHB4"/>
      <c r="WHC4"/>
      <c r="WHD4"/>
      <c r="WHE4"/>
      <c r="WHF4"/>
      <c r="WHG4"/>
      <c r="WHH4"/>
      <c r="WHI4"/>
      <c r="WHJ4"/>
      <c r="WHK4"/>
      <c r="WHL4"/>
      <c r="WHM4"/>
      <c r="WHN4"/>
      <c r="WHO4"/>
      <c r="WHP4"/>
      <c r="WHQ4"/>
      <c r="WHR4"/>
      <c r="WHS4"/>
      <c r="WHT4"/>
      <c r="WHU4"/>
      <c r="WHV4"/>
      <c r="WHW4"/>
      <c r="WHX4"/>
      <c r="WHY4"/>
      <c r="WHZ4"/>
      <c r="WIA4"/>
      <c r="WIB4"/>
      <c r="WIC4"/>
      <c r="WID4"/>
      <c r="WIE4"/>
      <c r="WIF4"/>
      <c r="WIG4"/>
      <c r="WIH4"/>
      <c r="WII4"/>
      <c r="WIJ4"/>
      <c r="WIK4"/>
      <c r="WIL4"/>
      <c r="WIM4"/>
      <c r="WIN4"/>
      <c r="WIO4"/>
      <c r="WIP4"/>
      <c r="WIQ4"/>
      <c r="WIR4"/>
      <c r="WIS4"/>
      <c r="WIT4"/>
      <c r="WIU4"/>
      <c r="WIV4"/>
      <c r="WIW4"/>
      <c r="WIX4"/>
      <c r="WIY4"/>
      <c r="WIZ4"/>
      <c r="WJA4"/>
      <c r="WJB4"/>
      <c r="WJC4"/>
      <c r="WJD4"/>
      <c r="WJE4"/>
      <c r="WJF4"/>
      <c r="WJG4"/>
      <c r="WJH4"/>
      <c r="WJI4"/>
      <c r="WJJ4"/>
      <c r="WJK4"/>
      <c r="WJL4"/>
      <c r="WJM4"/>
      <c r="WJN4"/>
      <c r="WJO4"/>
      <c r="WJP4"/>
      <c r="WJQ4"/>
      <c r="WJR4"/>
      <c r="WJS4"/>
      <c r="WJT4"/>
      <c r="WJU4"/>
      <c r="WJV4"/>
      <c r="WJW4"/>
      <c r="WJX4"/>
      <c r="WJY4"/>
      <c r="WJZ4"/>
      <c r="WKA4"/>
      <c r="WKB4"/>
      <c r="WKC4"/>
      <c r="WKD4"/>
      <c r="WKE4"/>
      <c r="WKF4"/>
      <c r="WKG4"/>
      <c r="WKH4"/>
      <c r="WKI4"/>
      <c r="WKJ4"/>
      <c r="WKK4"/>
      <c r="WKL4"/>
      <c r="WKM4"/>
      <c r="WKN4"/>
      <c r="WKO4"/>
      <c r="WKP4"/>
      <c r="WKQ4"/>
      <c r="WKR4"/>
      <c r="WKS4"/>
      <c r="WKT4"/>
      <c r="WKU4"/>
      <c r="WKV4"/>
      <c r="WKW4"/>
      <c r="WKX4"/>
      <c r="WKY4"/>
      <c r="WKZ4"/>
      <c r="WLA4"/>
      <c r="WLB4"/>
      <c r="WLC4"/>
      <c r="WLD4"/>
      <c r="WLE4"/>
      <c r="WLF4"/>
      <c r="WLG4"/>
      <c r="WLH4"/>
      <c r="WLI4"/>
      <c r="WLJ4"/>
      <c r="WLK4"/>
      <c r="WLL4"/>
      <c r="WLM4"/>
      <c r="WLN4"/>
      <c r="WLO4"/>
      <c r="WLP4"/>
      <c r="WLQ4"/>
      <c r="WLR4"/>
      <c r="WLS4"/>
      <c r="WLT4"/>
      <c r="WLU4"/>
      <c r="WLV4"/>
      <c r="WLW4"/>
      <c r="WLX4"/>
      <c r="WLY4"/>
      <c r="WLZ4"/>
      <c r="WMA4"/>
      <c r="WMB4"/>
      <c r="WMC4"/>
      <c r="WMD4"/>
      <c r="WME4"/>
      <c r="WMF4"/>
      <c r="WMG4"/>
      <c r="WMH4"/>
      <c r="WMI4"/>
      <c r="WMJ4"/>
      <c r="WMK4"/>
      <c r="WML4"/>
      <c r="WMM4"/>
      <c r="WMN4"/>
      <c r="WMO4"/>
      <c r="WMP4"/>
      <c r="WMQ4"/>
      <c r="WMR4"/>
      <c r="WMS4"/>
      <c r="WMT4"/>
      <c r="WMU4"/>
      <c r="WMV4"/>
      <c r="WMW4"/>
      <c r="WMX4"/>
      <c r="WMY4"/>
      <c r="WMZ4"/>
      <c r="WNA4"/>
      <c r="WNB4"/>
      <c r="WNC4"/>
      <c r="WND4"/>
      <c r="WNE4"/>
      <c r="WNF4"/>
      <c r="WNG4"/>
      <c r="WNH4"/>
      <c r="WNI4"/>
      <c r="WNJ4"/>
      <c r="WNK4"/>
      <c r="WNL4"/>
      <c r="WNM4"/>
      <c r="WNN4"/>
      <c r="WNO4"/>
      <c r="WNP4"/>
      <c r="WNQ4"/>
      <c r="WNR4"/>
      <c r="WNS4"/>
      <c r="WNT4"/>
      <c r="WNU4"/>
      <c r="WNV4"/>
      <c r="WNW4"/>
      <c r="WNX4"/>
      <c r="WNY4"/>
      <c r="WNZ4"/>
      <c r="WOA4"/>
      <c r="WOB4"/>
      <c r="WOC4"/>
      <c r="WOD4"/>
      <c r="WOE4"/>
      <c r="WOF4"/>
      <c r="WOG4"/>
      <c r="WOH4"/>
      <c r="WOI4"/>
      <c r="WOJ4"/>
      <c r="WOK4"/>
      <c r="WOL4"/>
      <c r="WOM4"/>
      <c r="WON4"/>
      <c r="WOO4"/>
      <c r="WOP4"/>
      <c r="WOQ4"/>
      <c r="WOR4"/>
      <c r="WOS4"/>
      <c r="WOT4"/>
      <c r="WOU4"/>
      <c r="WOV4"/>
      <c r="WOW4"/>
      <c r="WOX4"/>
      <c r="WOY4"/>
      <c r="WOZ4"/>
      <c r="WPA4"/>
      <c r="WPB4"/>
      <c r="WPC4"/>
      <c r="WPD4"/>
      <c r="WPE4"/>
      <c r="WPF4"/>
      <c r="WPG4"/>
      <c r="WPH4"/>
      <c r="WPI4"/>
      <c r="WPJ4"/>
      <c r="WPK4"/>
      <c r="WPL4"/>
      <c r="WPM4"/>
      <c r="WPN4"/>
      <c r="WPO4"/>
      <c r="WPP4"/>
      <c r="WPQ4"/>
      <c r="WPR4"/>
      <c r="WPS4"/>
      <c r="WPT4"/>
      <c r="WPU4"/>
      <c r="WPV4"/>
      <c r="WPW4"/>
      <c r="WPX4"/>
      <c r="WPY4"/>
      <c r="WPZ4"/>
      <c r="WQA4"/>
      <c r="WQB4"/>
      <c r="WQC4"/>
      <c r="WQD4"/>
      <c r="WQE4"/>
      <c r="WQF4"/>
      <c r="WQG4"/>
      <c r="WQH4"/>
      <c r="WQI4"/>
      <c r="WQJ4"/>
      <c r="WQK4"/>
      <c r="WQL4"/>
      <c r="WQM4"/>
      <c r="WQN4"/>
      <c r="WQO4"/>
      <c r="WQP4"/>
      <c r="WQQ4"/>
      <c r="WQR4"/>
      <c r="WQS4"/>
      <c r="WQT4"/>
      <c r="WQU4"/>
      <c r="WQV4"/>
      <c r="WQW4"/>
      <c r="WQX4"/>
      <c r="WQY4"/>
      <c r="WQZ4"/>
      <c r="WRA4"/>
      <c r="WRB4"/>
      <c r="WRC4"/>
      <c r="WRD4"/>
      <c r="WRE4"/>
      <c r="WRF4"/>
      <c r="WRG4"/>
      <c r="WRH4"/>
      <c r="WRI4"/>
      <c r="WRJ4"/>
      <c r="WRK4"/>
      <c r="WRL4"/>
      <c r="WRM4"/>
      <c r="WRN4"/>
      <c r="WRO4"/>
      <c r="WRP4"/>
      <c r="WRQ4"/>
      <c r="WRR4"/>
      <c r="WRS4"/>
      <c r="WRT4"/>
      <c r="WRU4"/>
      <c r="WRV4"/>
      <c r="WRW4"/>
      <c r="WRX4"/>
      <c r="WRY4"/>
      <c r="WRZ4"/>
      <c r="WSA4"/>
      <c r="WSB4"/>
      <c r="WSC4"/>
      <c r="WSD4"/>
      <c r="WSE4"/>
      <c r="WSF4"/>
      <c r="WSG4"/>
      <c r="WSH4"/>
      <c r="WSI4"/>
      <c r="WSJ4"/>
      <c r="WSK4"/>
      <c r="WSL4"/>
      <c r="WSM4"/>
      <c r="WSN4"/>
      <c r="WSO4"/>
      <c r="WSP4"/>
      <c r="WSQ4"/>
      <c r="WSR4"/>
      <c r="WSS4"/>
      <c r="WST4"/>
      <c r="WSU4"/>
      <c r="WSV4"/>
      <c r="WSW4"/>
      <c r="WSX4"/>
      <c r="WSY4"/>
      <c r="WSZ4"/>
      <c r="WTA4"/>
      <c r="WTB4"/>
      <c r="WTC4"/>
      <c r="WTD4"/>
      <c r="WTE4"/>
      <c r="WTF4"/>
      <c r="WTG4"/>
      <c r="WTH4"/>
      <c r="WTI4"/>
      <c r="WTJ4"/>
      <c r="WTK4"/>
      <c r="WTL4"/>
      <c r="WTM4"/>
      <c r="WTN4"/>
      <c r="WTO4"/>
      <c r="WTP4"/>
      <c r="WTQ4"/>
      <c r="WTR4"/>
      <c r="WTS4"/>
      <c r="WTT4"/>
      <c r="WTU4"/>
      <c r="WTV4"/>
      <c r="WTW4"/>
      <c r="WTX4"/>
      <c r="WTY4"/>
      <c r="WTZ4"/>
      <c r="WUA4"/>
      <c r="WUB4"/>
      <c r="WUC4"/>
      <c r="WUD4"/>
      <c r="WUE4"/>
      <c r="WUF4"/>
      <c r="WUG4"/>
      <c r="WUH4"/>
      <c r="WUI4"/>
      <c r="WUJ4"/>
      <c r="WUK4"/>
      <c r="WUL4"/>
      <c r="WUM4"/>
      <c r="WUN4"/>
      <c r="WUO4"/>
      <c r="WUP4"/>
      <c r="WUQ4"/>
      <c r="WUR4"/>
      <c r="WUS4"/>
      <c r="WUT4"/>
      <c r="WUU4"/>
      <c r="WUV4"/>
      <c r="WUW4"/>
      <c r="WUX4"/>
      <c r="WUY4"/>
      <c r="WUZ4"/>
      <c r="WVA4"/>
      <c r="WVB4"/>
      <c r="WVC4"/>
      <c r="WVD4"/>
      <c r="WVE4"/>
      <c r="WVF4"/>
      <c r="WVG4"/>
      <c r="WVH4"/>
      <c r="WVI4"/>
      <c r="WVJ4"/>
      <c r="WVK4"/>
      <c r="WVL4"/>
      <c r="WVM4"/>
      <c r="WVN4"/>
      <c r="WVO4"/>
      <c r="WVP4"/>
      <c r="WVQ4"/>
      <c r="WVR4"/>
      <c r="WVS4"/>
      <c r="WVT4"/>
      <c r="WVU4"/>
      <c r="WVV4"/>
      <c r="WVW4"/>
      <c r="WVX4"/>
      <c r="WVY4"/>
      <c r="WVZ4"/>
      <c r="WWA4"/>
      <c r="WWB4"/>
      <c r="WWC4"/>
      <c r="WWD4"/>
      <c r="WWE4"/>
      <c r="WWF4"/>
      <c r="WWG4"/>
      <c r="WWH4"/>
      <c r="WWI4"/>
      <c r="WWJ4"/>
      <c r="WWK4"/>
      <c r="WWL4"/>
      <c r="WWM4"/>
      <c r="WWN4"/>
      <c r="WWO4"/>
      <c r="WWP4"/>
      <c r="WWQ4"/>
      <c r="WWR4"/>
      <c r="WWS4"/>
      <c r="WWT4"/>
      <c r="WWU4"/>
      <c r="WWV4"/>
      <c r="WWW4"/>
      <c r="WWX4"/>
      <c r="WWY4"/>
      <c r="WWZ4"/>
      <c r="WXA4"/>
      <c r="WXB4"/>
      <c r="WXC4"/>
      <c r="WXD4"/>
      <c r="WXE4"/>
      <c r="WXF4"/>
      <c r="WXG4"/>
      <c r="WXH4"/>
      <c r="WXI4"/>
      <c r="WXJ4"/>
      <c r="WXK4"/>
      <c r="WXL4"/>
      <c r="WXM4"/>
      <c r="WXN4"/>
      <c r="WXO4"/>
      <c r="WXP4"/>
      <c r="WXQ4"/>
      <c r="WXR4"/>
      <c r="WXS4"/>
      <c r="WXT4"/>
      <c r="WXU4"/>
      <c r="WXV4"/>
      <c r="WXW4"/>
      <c r="WXX4"/>
      <c r="WXY4"/>
      <c r="WXZ4"/>
      <c r="WYA4"/>
      <c r="WYB4"/>
      <c r="WYC4"/>
      <c r="WYD4"/>
      <c r="WYE4"/>
      <c r="WYF4"/>
      <c r="WYG4"/>
      <c r="WYH4"/>
      <c r="WYI4"/>
      <c r="WYJ4"/>
      <c r="WYK4"/>
      <c r="WYL4"/>
      <c r="WYM4"/>
      <c r="WYN4"/>
      <c r="WYO4"/>
      <c r="WYP4"/>
      <c r="WYQ4"/>
      <c r="WYR4"/>
      <c r="WYS4"/>
      <c r="WYT4"/>
      <c r="WYU4"/>
      <c r="WYV4"/>
      <c r="WYW4"/>
      <c r="WYX4"/>
      <c r="WYY4"/>
      <c r="WYZ4"/>
      <c r="WZA4"/>
      <c r="WZB4"/>
      <c r="WZC4"/>
      <c r="WZD4"/>
      <c r="WZE4"/>
      <c r="WZF4"/>
      <c r="WZG4"/>
      <c r="WZH4"/>
      <c r="WZI4"/>
      <c r="WZJ4"/>
      <c r="WZK4"/>
      <c r="WZL4"/>
      <c r="WZM4"/>
      <c r="WZN4"/>
      <c r="WZO4"/>
      <c r="WZP4"/>
      <c r="WZQ4"/>
      <c r="WZR4"/>
      <c r="WZS4"/>
      <c r="WZT4"/>
      <c r="WZU4"/>
      <c r="WZV4"/>
      <c r="WZW4"/>
      <c r="WZX4"/>
      <c r="WZY4"/>
      <c r="WZZ4"/>
      <c r="XAA4"/>
      <c r="XAB4"/>
      <c r="XAC4"/>
      <c r="XAD4"/>
      <c r="XAE4"/>
      <c r="XAF4"/>
      <c r="XAG4"/>
      <c r="XAH4"/>
      <c r="XAI4"/>
      <c r="XAJ4"/>
      <c r="XAK4"/>
      <c r="XAL4"/>
      <c r="XAM4"/>
      <c r="XAN4"/>
      <c r="XAO4"/>
      <c r="XAP4"/>
      <c r="XAQ4"/>
      <c r="XAR4"/>
      <c r="XAS4"/>
      <c r="XAT4"/>
      <c r="XAU4"/>
      <c r="XAV4"/>
      <c r="XAW4"/>
      <c r="XAX4"/>
      <c r="XAY4"/>
      <c r="XAZ4"/>
      <c r="XBA4"/>
      <c r="XBB4"/>
      <c r="XBC4"/>
      <c r="XBD4"/>
      <c r="XBE4"/>
      <c r="XBF4"/>
      <c r="XBG4"/>
      <c r="XBH4"/>
      <c r="XBI4"/>
      <c r="XBJ4"/>
      <c r="XBK4"/>
      <c r="XBL4"/>
      <c r="XBM4"/>
      <c r="XBN4"/>
      <c r="XBO4"/>
      <c r="XBP4"/>
      <c r="XBQ4"/>
      <c r="XBR4"/>
      <c r="XBS4"/>
      <c r="XBT4"/>
      <c r="XBU4"/>
      <c r="XBV4"/>
      <c r="XBW4"/>
      <c r="XBX4"/>
      <c r="XBY4"/>
      <c r="XBZ4"/>
      <c r="XCA4"/>
      <c r="XCB4"/>
      <c r="XCC4"/>
      <c r="XCD4"/>
      <c r="XCE4"/>
      <c r="XCF4"/>
      <c r="XCG4"/>
      <c r="XCH4"/>
      <c r="XCI4"/>
      <c r="XCJ4"/>
      <c r="XCK4"/>
      <c r="XCL4"/>
      <c r="XCM4"/>
      <c r="XCN4"/>
      <c r="XCO4"/>
      <c r="XCP4"/>
      <c r="XCQ4"/>
      <c r="XCR4"/>
      <c r="XCS4"/>
      <c r="XCT4"/>
      <c r="XCU4"/>
      <c r="XCV4"/>
      <c r="XCW4"/>
      <c r="XCX4"/>
      <c r="XCY4"/>
      <c r="XCZ4"/>
      <c r="XDA4"/>
      <c r="XDB4"/>
      <c r="XDC4"/>
      <c r="XDD4"/>
      <c r="XDE4"/>
      <c r="XDF4"/>
      <c r="XDG4"/>
      <c r="XDH4"/>
      <c r="XDI4"/>
      <c r="XDJ4"/>
      <c r="XDK4"/>
      <c r="XDL4"/>
      <c r="XDM4"/>
      <c r="XDN4"/>
      <c r="XDO4"/>
      <c r="XDP4"/>
      <c r="XDQ4"/>
      <c r="XDR4"/>
      <c r="XDS4"/>
      <c r="XDT4"/>
      <c r="XDU4"/>
      <c r="XDV4"/>
      <c r="XDW4"/>
      <c r="XDX4"/>
      <c r="XDY4"/>
      <c r="XDZ4"/>
      <c r="XEA4"/>
      <c r="XEB4"/>
      <c r="XEC4"/>
      <c r="XED4"/>
      <c r="XEE4"/>
      <c r="XEF4"/>
      <c r="XEG4"/>
      <c r="XEH4"/>
      <c r="XEI4"/>
      <c r="XEJ4"/>
      <c r="XEK4"/>
      <c r="XEL4"/>
      <c r="XEM4"/>
      <c r="XEN4"/>
      <c r="XEO4"/>
      <c r="XEP4"/>
      <c r="XEQ4"/>
      <c r="XER4"/>
      <c r="XES4"/>
      <c r="XET4"/>
      <c r="XEU4"/>
      <c r="XEV4"/>
      <c r="XEW4"/>
      <c r="XEX4"/>
      <c r="XEY4"/>
      <c r="XEZ4"/>
      <c r="XFA4"/>
      <c r="XFB4"/>
      <c r="XFC4"/>
      <c r="XFD4"/>
    </row>
    <row r="5" spans="1:16384" s="40" customFormat="1" ht="15" customHeight="1" x14ac:dyDescent="0.25">
      <c r="A5" s="65" t="str">
        <f>'Sups'' Final Roster 0823-0829'!A5</f>
        <v>Campero Juarez Maria Guadalupe</v>
      </c>
      <c r="B5" s="51" t="str">
        <f>'Sups'' Final Roster 0823-0829'!B5</f>
        <v>Gregoratti Juan Carlos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4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  <c r="ARV5"/>
      <c r="ARW5"/>
      <c r="ARX5"/>
      <c r="ARY5"/>
      <c r="ARZ5"/>
      <c r="ASA5"/>
      <c r="ASB5"/>
      <c r="ASC5"/>
      <c r="ASD5"/>
      <c r="ASE5"/>
      <c r="ASF5"/>
      <c r="ASG5"/>
      <c r="ASH5"/>
      <c r="ASI5"/>
      <c r="ASJ5"/>
      <c r="ASK5"/>
      <c r="ASL5"/>
      <c r="ASM5"/>
      <c r="ASN5"/>
      <c r="ASO5"/>
      <c r="ASP5"/>
      <c r="ASQ5"/>
      <c r="ASR5"/>
      <c r="ASS5"/>
      <c r="AST5"/>
      <c r="ASU5"/>
      <c r="ASV5"/>
      <c r="ASW5"/>
      <c r="ASX5"/>
      <c r="ASY5"/>
      <c r="ASZ5"/>
      <c r="ATA5"/>
      <c r="ATB5"/>
      <c r="ATC5"/>
      <c r="ATD5"/>
      <c r="ATE5"/>
      <c r="ATF5"/>
      <c r="ATG5"/>
      <c r="ATH5"/>
      <c r="ATI5"/>
      <c r="ATJ5"/>
      <c r="ATK5"/>
      <c r="ATL5"/>
      <c r="ATM5"/>
      <c r="ATN5"/>
      <c r="ATO5"/>
      <c r="ATP5"/>
      <c r="ATQ5"/>
      <c r="ATR5"/>
      <c r="ATS5"/>
      <c r="ATT5"/>
      <c r="ATU5"/>
      <c r="ATV5"/>
      <c r="ATW5"/>
      <c r="ATX5"/>
      <c r="ATY5"/>
      <c r="ATZ5"/>
      <c r="AUA5"/>
      <c r="AUB5"/>
      <c r="AUC5"/>
      <c r="AUD5"/>
      <c r="AUE5"/>
      <c r="AUF5"/>
      <c r="AUG5"/>
      <c r="AUH5"/>
      <c r="AUI5"/>
      <c r="AUJ5"/>
      <c r="AUK5"/>
      <c r="AUL5"/>
      <c r="AUM5"/>
      <c r="AUN5"/>
      <c r="AUO5"/>
      <c r="AUP5"/>
      <c r="AUQ5"/>
      <c r="AUR5"/>
      <c r="AUS5"/>
      <c r="AUT5"/>
      <c r="AUU5"/>
      <c r="AUV5"/>
      <c r="AUW5"/>
      <c r="AUX5"/>
      <c r="AUY5"/>
      <c r="AUZ5"/>
      <c r="AVA5"/>
      <c r="AVB5"/>
      <c r="AVC5"/>
      <c r="AVD5"/>
      <c r="AVE5"/>
      <c r="AVF5"/>
      <c r="AVG5"/>
      <c r="AVH5"/>
      <c r="AVI5"/>
      <c r="AVJ5"/>
      <c r="AVK5"/>
      <c r="AVL5"/>
      <c r="AVM5"/>
      <c r="AVN5"/>
      <c r="AVO5"/>
      <c r="AVP5"/>
      <c r="AVQ5"/>
      <c r="AVR5"/>
      <c r="AVS5"/>
      <c r="AVT5"/>
      <c r="AVU5"/>
      <c r="AVV5"/>
      <c r="AVW5"/>
      <c r="AVX5"/>
      <c r="AVY5"/>
      <c r="AVZ5"/>
      <c r="AWA5"/>
      <c r="AWB5"/>
      <c r="AWC5"/>
      <c r="AWD5"/>
      <c r="AWE5"/>
      <c r="AWF5"/>
      <c r="AWG5"/>
      <c r="AWH5"/>
      <c r="AWI5"/>
      <c r="AWJ5"/>
      <c r="AWK5"/>
      <c r="AWL5"/>
      <c r="AWM5"/>
      <c r="AWN5"/>
      <c r="AWO5"/>
      <c r="AWP5"/>
      <c r="AWQ5"/>
      <c r="AWR5"/>
      <c r="AWS5"/>
      <c r="AWT5"/>
      <c r="AWU5"/>
      <c r="AWV5"/>
      <c r="AWW5"/>
      <c r="AWX5"/>
      <c r="AWY5"/>
      <c r="AWZ5"/>
      <c r="AXA5"/>
      <c r="AXB5"/>
      <c r="AXC5"/>
      <c r="AXD5"/>
      <c r="AXE5"/>
      <c r="AXF5"/>
      <c r="AXG5"/>
      <c r="AXH5"/>
      <c r="AXI5"/>
      <c r="AXJ5"/>
      <c r="AXK5"/>
      <c r="AXL5"/>
      <c r="AXM5"/>
      <c r="AXN5"/>
      <c r="AXO5"/>
      <c r="AXP5"/>
      <c r="AXQ5"/>
      <c r="AXR5"/>
      <c r="AXS5"/>
      <c r="AXT5"/>
      <c r="AXU5"/>
      <c r="AXV5"/>
      <c r="AXW5"/>
      <c r="AXX5"/>
      <c r="AXY5"/>
      <c r="AXZ5"/>
      <c r="AYA5"/>
      <c r="AYB5"/>
      <c r="AYC5"/>
      <c r="AYD5"/>
      <c r="AYE5"/>
      <c r="AYF5"/>
      <c r="AYG5"/>
      <c r="AYH5"/>
      <c r="AYI5"/>
      <c r="AYJ5"/>
      <c r="AYK5"/>
      <c r="AYL5"/>
      <c r="AYM5"/>
      <c r="AYN5"/>
      <c r="AYO5"/>
      <c r="AYP5"/>
      <c r="AYQ5"/>
      <c r="AYR5"/>
      <c r="AYS5"/>
      <c r="AYT5"/>
      <c r="AYU5"/>
      <c r="AYV5"/>
      <c r="AYW5"/>
      <c r="AYX5"/>
      <c r="AYY5"/>
      <c r="AYZ5"/>
      <c r="AZA5"/>
      <c r="AZB5"/>
      <c r="AZC5"/>
      <c r="AZD5"/>
      <c r="AZE5"/>
      <c r="AZF5"/>
      <c r="AZG5"/>
      <c r="AZH5"/>
      <c r="AZI5"/>
      <c r="AZJ5"/>
      <c r="AZK5"/>
      <c r="AZL5"/>
      <c r="AZM5"/>
      <c r="AZN5"/>
      <c r="AZO5"/>
      <c r="AZP5"/>
      <c r="AZQ5"/>
      <c r="AZR5"/>
      <c r="AZS5"/>
      <c r="AZT5"/>
      <c r="AZU5"/>
      <c r="AZV5"/>
      <c r="AZW5"/>
      <c r="AZX5"/>
      <c r="AZY5"/>
      <c r="AZZ5"/>
      <c r="BAA5"/>
      <c r="BAB5"/>
      <c r="BAC5"/>
      <c r="BAD5"/>
      <c r="BAE5"/>
      <c r="BAF5"/>
      <c r="BAG5"/>
      <c r="BAH5"/>
      <c r="BAI5"/>
      <c r="BAJ5"/>
      <c r="BAK5"/>
      <c r="BAL5"/>
      <c r="BAM5"/>
      <c r="BAN5"/>
      <c r="BAO5"/>
      <c r="BAP5"/>
      <c r="BAQ5"/>
      <c r="BAR5"/>
      <c r="BAS5"/>
      <c r="BAT5"/>
      <c r="BAU5"/>
      <c r="BAV5"/>
      <c r="BAW5"/>
      <c r="BAX5"/>
      <c r="BAY5"/>
      <c r="BAZ5"/>
      <c r="BBA5"/>
      <c r="BBB5"/>
      <c r="BBC5"/>
      <c r="BBD5"/>
      <c r="BBE5"/>
      <c r="BBF5"/>
      <c r="BBG5"/>
      <c r="BBH5"/>
      <c r="BBI5"/>
      <c r="BBJ5"/>
      <c r="BBK5"/>
      <c r="BBL5"/>
      <c r="BBM5"/>
      <c r="BBN5"/>
      <c r="BBO5"/>
      <c r="BBP5"/>
      <c r="BBQ5"/>
      <c r="BBR5"/>
      <c r="BBS5"/>
      <c r="BBT5"/>
      <c r="BBU5"/>
      <c r="BBV5"/>
      <c r="BBW5"/>
      <c r="BBX5"/>
      <c r="BBY5"/>
      <c r="BBZ5"/>
      <c r="BCA5"/>
      <c r="BCB5"/>
      <c r="BCC5"/>
      <c r="BCD5"/>
      <c r="BCE5"/>
      <c r="BCF5"/>
      <c r="BCG5"/>
      <c r="BCH5"/>
      <c r="BCI5"/>
      <c r="BCJ5"/>
      <c r="BCK5"/>
      <c r="BCL5"/>
      <c r="BCM5"/>
      <c r="BCN5"/>
      <c r="BCO5"/>
      <c r="BCP5"/>
      <c r="BCQ5"/>
      <c r="BCR5"/>
      <c r="BCS5"/>
      <c r="BCT5"/>
      <c r="BCU5"/>
      <c r="BCV5"/>
      <c r="BCW5"/>
      <c r="BCX5"/>
      <c r="BCY5"/>
      <c r="BCZ5"/>
      <c r="BDA5"/>
      <c r="BDB5"/>
      <c r="BDC5"/>
      <c r="BDD5"/>
      <c r="BDE5"/>
      <c r="BDF5"/>
      <c r="BDG5"/>
      <c r="BDH5"/>
      <c r="BDI5"/>
      <c r="BDJ5"/>
      <c r="BDK5"/>
      <c r="BDL5"/>
      <c r="BDM5"/>
      <c r="BDN5"/>
      <c r="BDO5"/>
      <c r="BDP5"/>
      <c r="BDQ5"/>
      <c r="BDR5"/>
      <c r="BDS5"/>
      <c r="BDT5"/>
      <c r="BDU5"/>
      <c r="BDV5"/>
      <c r="BDW5"/>
      <c r="BDX5"/>
      <c r="BDY5"/>
      <c r="BDZ5"/>
      <c r="BEA5"/>
      <c r="BEB5"/>
      <c r="BEC5"/>
      <c r="BED5"/>
      <c r="BEE5"/>
      <c r="BEF5"/>
      <c r="BEG5"/>
      <c r="BEH5"/>
      <c r="BEI5"/>
      <c r="BEJ5"/>
      <c r="BEK5"/>
      <c r="BEL5"/>
      <c r="BEM5"/>
      <c r="BEN5"/>
      <c r="BEO5"/>
      <c r="BEP5"/>
      <c r="BEQ5"/>
      <c r="BER5"/>
      <c r="BES5"/>
      <c r="BET5"/>
      <c r="BEU5"/>
      <c r="BEV5"/>
      <c r="BEW5"/>
      <c r="BEX5"/>
      <c r="BEY5"/>
      <c r="BEZ5"/>
      <c r="BFA5"/>
      <c r="BFB5"/>
      <c r="BFC5"/>
      <c r="BFD5"/>
      <c r="BFE5"/>
      <c r="BFF5"/>
      <c r="BFG5"/>
      <c r="BFH5"/>
      <c r="BFI5"/>
      <c r="BFJ5"/>
      <c r="BFK5"/>
      <c r="BFL5"/>
      <c r="BFM5"/>
      <c r="BFN5"/>
      <c r="BFO5"/>
      <c r="BFP5"/>
      <c r="BFQ5"/>
      <c r="BFR5"/>
      <c r="BFS5"/>
      <c r="BFT5"/>
      <c r="BFU5"/>
      <c r="BFV5"/>
      <c r="BFW5"/>
      <c r="BFX5"/>
      <c r="BFY5"/>
      <c r="BFZ5"/>
      <c r="BGA5"/>
      <c r="BGB5"/>
      <c r="BGC5"/>
      <c r="BGD5"/>
      <c r="BGE5"/>
      <c r="BGF5"/>
      <c r="BGG5"/>
      <c r="BGH5"/>
      <c r="BGI5"/>
      <c r="BGJ5"/>
      <c r="BGK5"/>
      <c r="BGL5"/>
      <c r="BGM5"/>
      <c r="BGN5"/>
      <c r="BGO5"/>
      <c r="BGP5"/>
      <c r="BGQ5"/>
      <c r="BGR5"/>
      <c r="BGS5"/>
      <c r="BGT5"/>
      <c r="BGU5"/>
      <c r="BGV5"/>
      <c r="BGW5"/>
      <c r="BGX5"/>
      <c r="BGY5"/>
      <c r="BGZ5"/>
      <c r="BHA5"/>
      <c r="BHB5"/>
      <c r="BHC5"/>
      <c r="BHD5"/>
      <c r="BHE5"/>
      <c r="BHF5"/>
      <c r="BHG5"/>
      <c r="BHH5"/>
      <c r="BHI5"/>
      <c r="BHJ5"/>
      <c r="BHK5"/>
      <c r="BHL5"/>
      <c r="BHM5"/>
      <c r="BHN5"/>
      <c r="BHO5"/>
      <c r="BHP5"/>
      <c r="BHQ5"/>
      <c r="BHR5"/>
      <c r="BHS5"/>
      <c r="BHT5"/>
      <c r="BHU5"/>
      <c r="BHV5"/>
      <c r="BHW5"/>
      <c r="BHX5"/>
      <c r="BHY5"/>
      <c r="BHZ5"/>
      <c r="BIA5"/>
      <c r="BIB5"/>
      <c r="BIC5"/>
      <c r="BID5"/>
      <c r="BIE5"/>
      <c r="BIF5"/>
      <c r="BIG5"/>
      <c r="BIH5"/>
      <c r="BII5"/>
      <c r="BIJ5"/>
      <c r="BIK5"/>
      <c r="BIL5"/>
      <c r="BIM5"/>
      <c r="BIN5"/>
      <c r="BIO5"/>
      <c r="BIP5"/>
      <c r="BIQ5"/>
      <c r="BIR5"/>
      <c r="BIS5"/>
      <c r="BIT5"/>
      <c r="BIU5"/>
      <c r="BIV5"/>
      <c r="BIW5"/>
      <c r="BIX5"/>
      <c r="BIY5"/>
      <c r="BIZ5"/>
      <c r="BJA5"/>
      <c r="BJB5"/>
      <c r="BJC5"/>
      <c r="BJD5"/>
      <c r="BJE5"/>
      <c r="BJF5"/>
      <c r="BJG5"/>
      <c r="BJH5"/>
      <c r="BJI5"/>
      <c r="BJJ5"/>
      <c r="BJK5"/>
      <c r="BJL5"/>
      <c r="BJM5"/>
      <c r="BJN5"/>
      <c r="BJO5"/>
      <c r="BJP5"/>
      <c r="BJQ5"/>
      <c r="BJR5"/>
      <c r="BJS5"/>
      <c r="BJT5"/>
      <c r="BJU5"/>
      <c r="BJV5"/>
      <c r="BJW5"/>
      <c r="BJX5"/>
      <c r="BJY5"/>
      <c r="BJZ5"/>
      <c r="BKA5"/>
      <c r="BKB5"/>
      <c r="BKC5"/>
      <c r="BKD5"/>
      <c r="BKE5"/>
      <c r="BKF5"/>
      <c r="BKG5"/>
      <c r="BKH5"/>
      <c r="BKI5"/>
      <c r="BKJ5"/>
      <c r="BKK5"/>
      <c r="BKL5"/>
      <c r="BKM5"/>
      <c r="BKN5"/>
      <c r="BKO5"/>
      <c r="BKP5"/>
      <c r="BKQ5"/>
      <c r="BKR5"/>
      <c r="BKS5"/>
      <c r="BKT5"/>
      <c r="BKU5"/>
      <c r="BKV5"/>
      <c r="BKW5"/>
      <c r="BKX5"/>
      <c r="BKY5"/>
      <c r="BKZ5"/>
      <c r="BLA5"/>
      <c r="BLB5"/>
      <c r="BLC5"/>
      <c r="BLD5"/>
      <c r="BLE5"/>
      <c r="BLF5"/>
      <c r="BLG5"/>
      <c r="BLH5"/>
      <c r="BLI5"/>
      <c r="BLJ5"/>
      <c r="BLK5"/>
      <c r="BLL5"/>
      <c r="BLM5"/>
      <c r="BLN5"/>
      <c r="BLO5"/>
      <c r="BLP5"/>
      <c r="BLQ5"/>
      <c r="BLR5"/>
      <c r="BLS5"/>
      <c r="BLT5"/>
      <c r="BLU5"/>
      <c r="BLV5"/>
      <c r="BLW5"/>
      <c r="BLX5"/>
      <c r="BLY5"/>
      <c r="BLZ5"/>
      <c r="BMA5"/>
      <c r="BMB5"/>
      <c r="BMC5"/>
      <c r="BMD5"/>
      <c r="BME5"/>
      <c r="BMF5"/>
      <c r="BMG5"/>
      <c r="BMH5"/>
      <c r="BMI5"/>
      <c r="BMJ5"/>
      <c r="BMK5"/>
      <c r="BML5"/>
      <c r="BMM5"/>
      <c r="BMN5"/>
      <c r="BMO5"/>
      <c r="BMP5"/>
      <c r="BMQ5"/>
      <c r="BMR5"/>
      <c r="BMS5"/>
      <c r="BMT5"/>
      <c r="BMU5"/>
      <c r="BMV5"/>
      <c r="BMW5"/>
      <c r="BMX5"/>
      <c r="BMY5"/>
      <c r="BMZ5"/>
      <c r="BNA5"/>
      <c r="BNB5"/>
      <c r="BNC5"/>
      <c r="BND5"/>
      <c r="BNE5"/>
      <c r="BNF5"/>
      <c r="BNG5"/>
      <c r="BNH5"/>
      <c r="BNI5"/>
      <c r="BNJ5"/>
      <c r="BNK5"/>
      <c r="BNL5"/>
      <c r="BNM5"/>
      <c r="BNN5"/>
      <c r="BNO5"/>
      <c r="BNP5"/>
      <c r="BNQ5"/>
      <c r="BNR5"/>
      <c r="BNS5"/>
      <c r="BNT5"/>
      <c r="BNU5"/>
      <c r="BNV5"/>
      <c r="BNW5"/>
      <c r="BNX5"/>
      <c r="BNY5"/>
      <c r="BNZ5"/>
      <c r="BOA5"/>
      <c r="BOB5"/>
      <c r="BOC5"/>
      <c r="BOD5"/>
      <c r="BOE5"/>
      <c r="BOF5"/>
      <c r="BOG5"/>
      <c r="BOH5"/>
      <c r="BOI5"/>
      <c r="BOJ5"/>
      <c r="BOK5"/>
      <c r="BOL5"/>
      <c r="BOM5"/>
      <c r="BON5"/>
      <c r="BOO5"/>
      <c r="BOP5"/>
      <c r="BOQ5"/>
      <c r="BOR5"/>
      <c r="BOS5"/>
      <c r="BOT5"/>
      <c r="BOU5"/>
      <c r="BOV5"/>
      <c r="BOW5"/>
      <c r="BOX5"/>
      <c r="BOY5"/>
      <c r="BOZ5"/>
      <c r="BPA5"/>
      <c r="BPB5"/>
      <c r="BPC5"/>
      <c r="BPD5"/>
      <c r="BPE5"/>
      <c r="BPF5"/>
      <c r="BPG5"/>
      <c r="BPH5"/>
      <c r="BPI5"/>
      <c r="BPJ5"/>
      <c r="BPK5"/>
      <c r="BPL5"/>
      <c r="BPM5"/>
      <c r="BPN5"/>
      <c r="BPO5"/>
      <c r="BPP5"/>
      <c r="BPQ5"/>
      <c r="BPR5"/>
      <c r="BPS5"/>
      <c r="BPT5"/>
      <c r="BPU5"/>
      <c r="BPV5"/>
      <c r="BPW5"/>
      <c r="BPX5"/>
      <c r="BPY5"/>
      <c r="BPZ5"/>
      <c r="BQA5"/>
      <c r="BQB5"/>
      <c r="BQC5"/>
      <c r="BQD5"/>
      <c r="BQE5"/>
      <c r="BQF5"/>
      <c r="BQG5"/>
      <c r="BQH5"/>
      <c r="BQI5"/>
      <c r="BQJ5"/>
      <c r="BQK5"/>
      <c r="BQL5"/>
      <c r="BQM5"/>
      <c r="BQN5"/>
      <c r="BQO5"/>
      <c r="BQP5"/>
      <c r="BQQ5"/>
      <c r="BQR5"/>
      <c r="BQS5"/>
      <c r="BQT5"/>
      <c r="BQU5"/>
      <c r="BQV5"/>
      <c r="BQW5"/>
      <c r="BQX5"/>
      <c r="BQY5"/>
      <c r="BQZ5"/>
      <c r="BRA5"/>
      <c r="BRB5"/>
      <c r="BRC5"/>
      <c r="BRD5"/>
      <c r="BRE5"/>
      <c r="BRF5"/>
      <c r="BRG5"/>
      <c r="BRH5"/>
      <c r="BRI5"/>
      <c r="BRJ5"/>
      <c r="BRK5"/>
      <c r="BRL5"/>
      <c r="BRM5"/>
      <c r="BRN5"/>
      <c r="BRO5"/>
      <c r="BRP5"/>
      <c r="BRQ5"/>
      <c r="BRR5"/>
      <c r="BRS5"/>
      <c r="BRT5"/>
      <c r="BRU5"/>
      <c r="BRV5"/>
      <c r="BRW5"/>
      <c r="BRX5"/>
      <c r="BRY5"/>
      <c r="BRZ5"/>
      <c r="BSA5"/>
      <c r="BSB5"/>
      <c r="BSC5"/>
      <c r="BSD5"/>
      <c r="BSE5"/>
      <c r="BSF5"/>
      <c r="BSG5"/>
      <c r="BSH5"/>
      <c r="BSI5"/>
      <c r="BSJ5"/>
      <c r="BSK5"/>
      <c r="BSL5"/>
      <c r="BSM5"/>
      <c r="BSN5"/>
      <c r="BSO5"/>
      <c r="BSP5"/>
      <c r="BSQ5"/>
      <c r="BSR5"/>
      <c r="BSS5"/>
      <c r="BST5"/>
      <c r="BSU5"/>
      <c r="BSV5"/>
      <c r="BSW5"/>
      <c r="BSX5"/>
      <c r="BSY5"/>
      <c r="BSZ5"/>
      <c r="BTA5"/>
      <c r="BTB5"/>
      <c r="BTC5"/>
      <c r="BTD5"/>
      <c r="BTE5"/>
      <c r="BTF5"/>
      <c r="BTG5"/>
      <c r="BTH5"/>
      <c r="BTI5"/>
      <c r="BTJ5"/>
      <c r="BTK5"/>
      <c r="BTL5"/>
      <c r="BTM5"/>
      <c r="BTN5"/>
      <c r="BTO5"/>
      <c r="BTP5"/>
      <c r="BTQ5"/>
      <c r="BTR5"/>
      <c r="BTS5"/>
      <c r="BTT5"/>
      <c r="BTU5"/>
      <c r="BTV5"/>
      <c r="BTW5"/>
      <c r="BTX5"/>
      <c r="BTY5"/>
      <c r="BTZ5"/>
      <c r="BUA5"/>
      <c r="BUB5"/>
      <c r="BUC5"/>
      <c r="BUD5"/>
      <c r="BUE5"/>
      <c r="BUF5"/>
      <c r="BUG5"/>
      <c r="BUH5"/>
      <c r="BUI5"/>
      <c r="BUJ5"/>
      <c r="BUK5"/>
      <c r="BUL5"/>
      <c r="BUM5"/>
      <c r="BUN5"/>
      <c r="BUO5"/>
      <c r="BUP5"/>
      <c r="BUQ5"/>
      <c r="BUR5"/>
      <c r="BUS5"/>
      <c r="BUT5"/>
      <c r="BUU5"/>
      <c r="BUV5"/>
      <c r="BUW5"/>
      <c r="BUX5"/>
      <c r="BUY5"/>
      <c r="BUZ5"/>
      <c r="BVA5"/>
      <c r="BVB5"/>
      <c r="BVC5"/>
      <c r="BVD5"/>
      <c r="BVE5"/>
      <c r="BVF5"/>
      <c r="BVG5"/>
      <c r="BVH5"/>
      <c r="BVI5"/>
      <c r="BVJ5"/>
      <c r="BVK5"/>
      <c r="BVL5"/>
      <c r="BVM5"/>
      <c r="BVN5"/>
      <c r="BVO5"/>
      <c r="BVP5"/>
      <c r="BVQ5"/>
      <c r="BVR5"/>
      <c r="BVS5"/>
      <c r="BVT5"/>
      <c r="BVU5"/>
      <c r="BVV5"/>
      <c r="BVW5"/>
      <c r="BVX5"/>
      <c r="BVY5"/>
      <c r="BVZ5"/>
      <c r="BWA5"/>
      <c r="BWB5"/>
      <c r="BWC5"/>
      <c r="BWD5"/>
      <c r="BWE5"/>
      <c r="BWF5"/>
      <c r="BWG5"/>
      <c r="BWH5"/>
      <c r="BWI5"/>
      <c r="BWJ5"/>
      <c r="BWK5"/>
      <c r="BWL5"/>
      <c r="BWM5"/>
      <c r="BWN5"/>
      <c r="BWO5"/>
      <c r="BWP5"/>
      <c r="BWQ5"/>
      <c r="BWR5"/>
      <c r="BWS5"/>
      <c r="BWT5"/>
      <c r="BWU5"/>
      <c r="BWV5"/>
      <c r="BWW5"/>
      <c r="BWX5"/>
      <c r="BWY5"/>
      <c r="BWZ5"/>
      <c r="BXA5"/>
      <c r="BXB5"/>
      <c r="BXC5"/>
      <c r="BXD5"/>
      <c r="BXE5"/>
      <c r="BXF5"/>
      <c r="BXG5"/>
      <c r="BXH5"/>
      <c r="BXI5"/>
      <c r="BXJ5"/>
      <c r="BXK5"/>
      <c r="BXL5"/>
      <c r="BXM5"/>
      <c r="BXN5"/>
      <c r="BXO5"/>
      <c r="BXP5"/>
      <c r="BXQ5"/>
      <c r="BXR5"/>
      <c r="BXS5"/>
      <c r="BXT5"/>
      <c r="BXU5"/>
      <c r="BXV5"/>
      <c r="BXW5"/>
      <c r="BXX5"/>
      <c r="BXY5"/>
      <c r="BXZ5"/>
      <c r="BYA5"/>
      <c r="BYB5"/>
      <c r="BYC5"/>
      <c r="BYD5"/>
      <c r="BYE5"/>
      <c r="BYF5"/>
      <c r="BYG5"/>
      <c r="BYH5"/>
      <c r="BYI5"/>
      <c r="BYJ5"/>
      <c r="BYK5"/>
      <c r="BYL5"/>
      <c r="BYM5"/>
      <c r="BYN5"/>
      <c r="BYO5"/>
      <c r="BYP5"/>
      <c r="BYQ5"/>
      <c r="BYR5"/>
      <c r="BYS5"/>
      <c r="BYT5"/>
      <c r="BYU5"/>
      <c r="BYV5"/>
      <c r="BYW5"/>
      <c r="BYX5"/>
      <c r="BYY5"/>
      <c r="BYZ5"/>
      <c r="BZA5"/>
      <c r="BZB5"/>
      <c r="BZC5"/>
      <c r="BZD5"/>
      <c r="BZE5"/>
      <c r="BZF5"/>
      <c r="BZG5"/>
      <c r="BZH5"/>
      <c r="BZI5"/>
      <c r="BZJ5"/>
      <c r="BZK5"/>
      <c r="BZL5"/>
      <c r="BZM5"/>
      <c r="BZN5"/>
      <c r="BZO5"/>
      <c r="BZP5"/>
      <c r="BZQ5"/>
      <c r="BZR5"/>
      <c r="BZS5"/>
      <c r="BZT5"/>
      <c r="BZU5"/>
      <c r="BZV5"/>
      <c r="BZW5"/>
      <c r="BZX5"/>
      <c r="BZY5"/>
      <c r="BZZ5"/>
      <c r="CAA5"/>
      <c r="CAB5"/>
      <c r="CAC5"/>
      <c r="CAD5"/>
      <c r="CAE5"/>
      <c r="CAF5"/>
      <c r="CAG5"/>
      <c r="CAH5"/>
      <c r="CAI5"/>
      <c r="CAJ5"/>
      <c r="CAK5"/>
      <c r="CAL5"/>
      <c r="CAM5"/>
      <c r="CAN5"/>
      <c r="CAO5"/>
      <c r="CAP5"/>
      <c r="CAQ5"/>
      <c r="CAR5"/>
      <c r="CAS5"/>
      <c r="CAT5"/>
      <c r="CAU5"/>
      <c r="CAV5"/>
      <c r="CAW5"/>
      <c r="CAX5"/>
      <c r="CAY5"/>
      <c r="CAZ5"/>
      <c r="CBA5"/>
      <c r="CBB5"/>
      <c r="CBC5"/>
      <c r="CBD5"/>
      <c r="CBE5"/>
      <c r="CBF5"/>
      <c r="CBG5"/>
      <c r="CBH5"/>
      <c r="CBI5"/>
      <c r="CBJ5"/>
      <c r="CBK5"/>
      <c r="CBL5"/>
      <c r="CBM5"/>
      <c r="CBN5"/>
      <c r="CBO5"/>
      <c r="CBP5"/>
      <c r="CBQ5"/>
      <c r="CBR5"/>
      <c r="CBS5"/>
      <c r="CBT5"/>
      <c r="CBU5"/>
      <c r="CBV5"/>
      <c r="CBW5"/>
      <c r="CBX5"/>
      <c r="CBY5"/>
      <c r="CBZ5"/>
      <c r="CCA5"/>
      <c r="CCB5"/>
      <c r="CCC5"/>
      <c r="CCD5"/>
      <c r="CCE5"/>
      <c r="CCF5"/>
      <c r="CCG5"/>
      <c r="CCH5"/>
      <c r="CCI5"/>
      <c r="CCJ5"/>
      <c r="CCK5"/>
      <c r="CCL5"/>
      <c r="CCM5"/>
      <c r="CCN5"/>
      <c r="CCO5"/>
      <c r="CCP5"/>
      <c r="CCQ5"/>
      <c r="CCR5"/>
      <c r="CCS5"/>
      <c r="CCT5"/>
      <c r="CCU5"/>
      <c r="CCV5"/>
      <c r="CCW5"/>
      <c r="CCX5"/>
      <c r="CCY5"/>
      <c r="CCZ5"/>
      <c r="CDA5"/>
      <c r="CDB5"/>
      <c r="CDC5"/>
      <c r="CDD5"/>
      <c r="CDE5"/>
      <c r="CDF5"/>
      <c r="CDG5"/>
      <c r="CDH5"/>
      <c r="CDI5"/>
      <c r="CDJ5"/>
      <c r="CDK5"/>
      <c r="CDL5"/>
      <c r="CDM5"/>
      <c r="CDN5"/>
      <c r="CDO5"/>
      <c r="CDP5"/>
      <c r="CDQ5"/>
      <c r="CDR5"/>
      <c r="CDS5"/>
      <c r="CDT5"/>
      <c r="CDU5"/>
      <c r="CDV5"/>
      <c r="CDW5"/>
      <c r="CDX5"/>
      <c r="CDY5"/>
      <c r="CDZ5"/>
      <c r="CEA5"/>
      <c r="CEB5"/>
      <c r="CEC5"/>
      <c r="CED5"/>
      <c r="CEE5"/>
      <c r="CEF5"/>
      <c r="CEG5"/>
      <c r="CEH5"/>
      <c r="CEI5"/>
      <c r="CEJ5"/>
      <c r="CEK5"/>
      <c r="CEL5"/>
      <c r="CEM5"/>
      <c r="CEN5"/>
      <c r="CEO5"/>
      <c r="CEP5"/>
      <c r="CEQ5"/>
      <c r="CER5"/>
      <c r="CES5"/>
      <c r="CET5"/>
      <c r="CEU5"/>
      <c r="CEV5"/>
      <c r="CEW5"/>
      <c r="CEX5"/>
      <c r="CEY5"/>
      <c r="CEZ5"/>
      <c r="CFA5"/>
      <c r="CFB5"/>
      <c r="CFC5"/>
      <c r="CFD5"/>
      <c r="CFE5"/>
      <c r="CFF5"/>
      <c r="CFG5"/>
      <c r="CFH5"/>
      <c r="CFI5"/>
      <c r="CFJ5"/>
      <c r="CFK5"/>
      <c r="CFL5"/>
      <c r="CFM5"/>
      <c r="CFN5"/>
      <c r="CFO5"/>
      <c r="CFP5"/>
      <c r="CFQ5"/>
      <c r="CFR5"/>
      <c r="CFS5"/>
      <c r="CFT5"/>
      <c r="CFU5"/>
      <c r="CFV5"/>
      <c r="CFW5"/>
      <c r="CFX5"/>
      <c r="CFY5"/>
      <c r="CFZ5"/>
      <c r="CGA5"/>
      <c r="CGB5"/>
      <c r="CGC5"/>
      <c r="CGD5"/>
      <c r="CGE5"/>
      <c r="CGF5"/>
      <c r="CGG5"/>
      <c r="CGH5"/>
      <c r="CGI5"/>
      <c r="CGJ5"/>
      <c r="CGK5"/>
      <c r="CGL5"/>
      <c r="CGM5"/>
      <c r="CGN5"/>
      <c r="CGO5"/>
      <c r="CGP5"/>
      <c r="CGQ5"/>
      <c r="CGR5"/>
      <c r="CGS5"/>
      <c r="CGT5"/>
      <c r="CGU5"/>
      <c r="CGV5"/>
      <c r="CGW5"/>
      <c r="CGX5"/>
      <c r="CGY5"/>
      <c r="CGZ5"/>
      <c r="CHA5"/>
      <c r="CHB5"/>
      <c r="CHC5"/>
      <c r="CHD5"/>
      <c r="CHE5"/>
      <c r="CHF5"/>
      <c r="CHG5"/>
      <c r="CHH5"/>
      <c r="CHI5"/>
      <c r="CHJ5"/>
      <c r="CHK5"/>
      <c r="CHL5"/>
      <c r="CHM5"/>
      <c r="CHN5"/>
      <c r="CHO5"/>
      <c r="CHP5"/>
      <c r="CHQ5"/>
      <c r="CHR5"/>
      <c r="CHS5"/>
      <c r="CHT5"/>
      <c r="CHU5"/>
      <c r="CHV5"/>
      <c r="CHW5"/>
      <c r="CHX5"/>
      <c r="CHY5"/>
      <c r="CHZ5"/>
      <c r="CIA5"/>
      <c r="CIB5"/>
      <c r="CIC5"/>
      <c r="CID5"/>
      <c r="CIE5"/>
      <c r="CIF5"/>
      <c r="CIG5"/>
      <c r="CIH5"/>
      <c r="CII5"/>
      <c r="CIJ5"/>
      <c r="CIK5"/>
      <c r="CIL5"/>
      <c r="CIM5"/>
      <c r="CIN5"/>
      <c r="CIO5"/>
      <c r="CIP5"/>
      <c r="CIQ5"/>
      <c r="CIR5"/>
      <c r="CIS5"/>
      <c r="CIT5"/>
      <c r="CIU5"/>
      <c r="CIV5"/>
      <c r="CIW5"/>
      <c r="CIX5"/>
      <c r="CIY5"/>
      <c r="CIZ5"/>
      <c r="CJA5"/>
      <c r="CJB5"/>
      <c r="CJC5"/>
      <c r="CJD5"/>
      <c r="CJE5"/>
      <c r="CJF5"/>
      <c r="CJG5"/>
      <c r="CJH5"/>
      <c r="CJI5"/>
      <c r="CJJ5"/>
      <c r="CJK5"/>
      <c r="CJL5"/>
      <c r="CJM5"/>
      <c r="CJN5"/>
      <c r="CJO5"/>
      <c r="CJP5"/>
      <c r="CJQ5"/>
      <c r="CJR5"/>
      <c r="CJS5"/>
      <c r="CJT5"/>
      <c r="CJU5"/>
      <c r="CJV5"/>
      <c r="CJW5"/>
      <c r="CJX5"/>
      <c r="CJY5"/>
      <c r="CJZ5"/>
      <c r="CKA5"/>
      <c r="CKB5"/>
      <c r="CKC5"/>
      <c r="CKD5"/>
      <c r="CKE5"/>
      <c r="CKF5"/>
      <c r="CKG5"/>
      <c r="CKH5"/>
      <c r="CKI5"/>
      <c r="CKJ5"/>
      <c r="CKK5"/>
      <c r="CKL5"/>
      <c r="CKM5"/>
      <c r="CKN5"/>
      <c r="CKO5"/>
      <c r="CKP5"/>
      <c r="CKQ5"/>
      <c r="CKR5"/>
      <c r="CKS5"/>
      <c r="CKT5"/>
      <c r="CKU5"/>
      <c r="CKV5"/>
      <c r="CKW5"/>
      <c r="CKX5"/>
      <c r="CKY5"/>
      <c r="CKZ5"/>
      <c r="CLA5"/>
      <c r="CLB5"/>
      <c r="CLC5"/>
      <c r="CLD5"/>
      <c r="CLE5"/>
      <c r="CLF5"/>
      <c r="CLG5"/>
      <c r="CLH5"/>
      <c r="CLI5"/>
      <c r="CLJ5"/>
      <c r="CLK5"/>
      <c r="CLL5"/>
      <c r="CLM5"/>
      <c r="CLN5"/>
      <c r="CLO5"/>
      <c r="CLP5"/>
      <c r="CLQ5"/>
      <c r="CLR5"/>
      <c r="CLS5"/>
      <c r="CLT5"/>
      <c r="CLU5"/>
      <c r="CLV5"/>
      <c r="CLW5"/>
      <c r="CLX5"/>
      <c r="CLY5"/>
      <c r="CLZ5"/>
      <c r="CMA5"/>
      <c r="CMB5"/>
      <c r="CMC5"/>
      <c r="CMD5"/>
      <c r="CME5"/>
      <c r="CMF5"/>
      <c r="CMG5"/>
      <c r="CMH5"/>
      <c r="CMI5"/>
      <c r="CMJ5"/>
      <c r="CMK5"/>
      <c r="CML5"/>
      <c r="CMM5"/>
      <c r="CMN5"/>
      <c r="CMO5"/>
      <c r="CMP5"/>
      <c r="CMQ5"/>
      <c r="CMR5"/>
      <c r="CMS5"/>
      <c r="CMT5"/>
      <c r="CMU5"/>
      <c r="CMV5"/>
      <c r="CMW5"/>
      <c r="CMX5"/>
      <c r="CMY5"/>
      <c r="CMZ5"/>
      <c r="CNA5"/>
      <c r="CNB5"/>
      <c r="CNC5"/>
      <c r="CND5"/>
      <c r="CNE5"/>
      <c r="CNF5"/>
      <c r="CNG5"/>
      <c r="CNH5"/>
      <c r="CNI5"/>
      <c r="CNJ5"/>
      <c r="CNK5"/>
      <c r="CNL5"/>
      <c r="CNM5"/>
      <c r="CNN5"/>
      <c r="CNO5"/>
      <c r="CNP5"/>
      <c r="CNQ5"/>
      <c r="CNR5"/>
      <c r="CNS5"/>
      <c r="CNT5"/>
      <c r="CNU5"/>
      <c r="CNV5"/>
      <c r="CNW5"/>
      <c r="CNX5"/>
      <c r="CNY5"/>
      <c r="CNZ5"/>
      <c r="COA5"/>
      <c r="COB5"/>
      <c r="COC5"/>
      <c r="COD5"/>
      <c r="COE5"/>
      <c r="COF5"/>
      <c r="COG5"/>
      <c r="COH5"/>
      <c r="COI5"/>
      <c r="COJ5"/>
      <c r="COK5"/>
      <c r="COL5"/>
      <c r="COM5"/>
      <c r="CON5"/>
      <c r="COO5"/>
      <c r="COP5"/>
      <c r="COQ5"/>
      <c r="COR5"/>
      <c r="COS5"/>
      <c r="COT5"/>
      <c r="COU5"/>
      <c r="COV5"/>
      <c r="COW5"/>
      <c r="COX5"/>
      <c r="COY5"/>
      <c r="COZ5"/>
      <c r="CPA5"/>
      <c r="CPB5"/>
      <c r="CPC5"/>
      <c r="CPD5"/>
      <c r="CPE5"/>
      <c r="CPF5"/>
      <c r="CPG5"/>
      <c r="CPH5"/>
      <c r="CPI5"/>
      <c r="CPJ5"/>
      <c r="CPK5"/>
      <c r="CPL5"/>
      <c r="CPM5"/>
      <c r="CPN5"/>
      <c r="CPO5"/>
      <c r="CPP5"/>
      <c r="CPQ5"/>
      <c r="CPR5"/>
      <c r="CPS5"/>
      <c r="CPT5"/>
      <c r="CPU5"/>
      <c r="CPV5"/>
      <c r="CPW5"/>
      <c r="CPX5"/>
      <c r="CPY5"/>
      <c r="CPZ5"/>
      <c r="CQA5"/>
      <c r="CQB5"/>
      <c r="CQC5"/>
      <c r="CQD5"/>
      <c r="CQE5"/>
      <c r="CQF5"/>
      <c r="CQG5"/>
      <c r="CQH5"/>
      <c r="CQI5"/>
      <c r="CQJ5"/>
      <c r="CQK5"/>
      <c r="CQL5"/>
      <c r="CQM5"/>
      <c r="CQN5"/>
      <c r="CQO5"/>
      <c r="CQP5"/>
      <c r="CQQ5"/>
      <c r="CQR5"/>
      <c r="CQS5"/>
      <c r="CQT5"/>
      <c r="CQU5"/>
      <c r="CQV5"/>
      <c r="CQW5"/>
      <c r="CQX5"/>
      <c r="CQY5"/>
      <c r="CQZ5"/>
      <c r="CRA5"/>
      <c r="CRB5"/>
      <c r="CRC5"/>
      <c r="CRD5"/>
      <c r="CRE5"/>
      <c r="CRF5"/>
      <c r="CRG5"/>
      <c r="CRH5"/>
      <c r="CRI5"/>
      <c r="CRJ5"/>
      <c r="CRK5"/>
      <c r="CRL5"/>
      <c r="CRM5"/>
      <c r="CRN5"/>
      <c r="CRO5"/>
      <c r="CRP5"/>
      <c r="CRQ5"/>
      <c r="CRR5"/>
      <c r="CRS5"/>
      <c r="CRT5"/>
      <c r="CRU5"/>
      <c r="CRV5"/>
      <c r="CRW5"/>
      <c r="CRX5"/>
      <c r="CRY5"/>
      <c r="CRZ5"/>
      <c r="CSA5"/>
      <c r="CSB5"/>
      <c r="CSC5"/>
      <c r="CSD5"/>
      <c r="CSE5"/>
      <c r="CSF5"/>
      <c r="CSG5"/>
      <c r="CSH5"/>
      <c r="CSI5"/>
      <c r="CSJ5"/>
      <c r="CSK5"/>
      <c r="CSL5"/>
      <c r="CSM5"/>
      <c r="CSN5"/>
      <c r="CSO5"/>
      <c r="CSP5"/>
      <c r="CSQ5"/>
      <c r="CSR5"/>
      <c r="CSS5"/>
      <c r="CST5"/>
      <c r="CSU5"/>
      <c r="CSV5"/>
      <c r="CSW5"/>
      <c r="CSX5"/>
      <c r="CSY5"/>
      <c r="CSZ5"/>
      <c r="CTA5"/>
      <c r="CTB5"/>
      <c r="CTC5"/>
      <c r="CTD5"/>
      <c r="CTE5"/>
      <c r="CTF5"/>
      <c r="CTG5"/>
      <c r="CTH5"/>
      <c r="CTI5"/>
      <c r="CTJ5"/>
      <c r="CTK5"/>
      <c r="CTL5"/>
      <c r="CTM5"/>
      <c r="CTN5"/>
      <c r="CTO5"/>
      <c r="CTP5"/>
      <c r="CTQ5"/>
      <c r="CTR5"/>
      <c r="CTS5"/>
      <c r="CTT5"/>
      <c r="CTU5"/>
      <c r="CTV5"/>
      <c r="CTW5"/>
      <c r="CTX5"/>
      <c r="CTY5"/>
      <c r="CTZ5"/>
      <c r="CUA5"/>
      <c r="CUB5"/>
      <c r="CUC5"/>
      <c r="CUD5"/>
      <c r="CUE5"/>
      <c r="CUF5"/>
      <c r="CUG5"/>
      <c r="CUH5"/>
      <c r="CUI5"/>
      <c r="CUJ5"/>
      <c r="CUK5"/>
      <c r="CUL5"/>
      <c r="CUM5"/>
      <c r="CUN5"/>
      <c r="CUO5"/>
      <c r="CUP5"/>
      <c r="CUQ5"/>
      <c r="CUR5"/>
      <c r="CUS5"/>
      <c r="CUT5"/>
      <c r="CUU5"/>
      <c r="CUV5"/>
      <c r="CUW5"/>
      <c r="CUX5"/>
      <c r="CUY5"/>
      <c r="CUZ5"/>
      <c r="CVA5"/>
      <c r="CVB5"/>
      <c r="CVC5"/>
      <c r="CVD5"/>
      <c r="CVE5"/>
      <c r="CVF5"/>
      <c r="CVG5"/>
      <c r="CVH5"/>
      <c r="CVI5"/>
      <c r="CVJ5"/>
      <c r="CVK5"/>
      <c r="CVL5"/>
      <c r="CVM5"/>
      <c r="CVN5"/>
      <c r="CVO5"/>
      <c r="CVP5"/>
      <c r="CVQ5"/>
      <c r="CVR5"/>
      <c r="CVS5"/>
      <c r="CVT5"/>
      <c r="CVU5"/>
      <c r="CVV5"/>
      <c r="CVW5"/>
      <c r="CVX5"/>
      <c r="CVY5"/>
      <c r="CVZ5"/>
      <c r="CWA5"/>
      <c r="CWB5"/>
      <c r="CWC5"/>
      <c r="CWD5"/>
      <c r="CWE5"/>
      <c r="CWF5"/>
      <c r="CWG5"/>
      <c r="CWH5"/>
      <c r="CWI5"/>
      <c r="CWJ5"/>
      <c r="CWK5"/>
      <c r="CWL5"/>
      <c r="CWM5"/>
      <c r="CWN5"/>
      <c r="CWO5"/>
      <c r="CWP5"/>
      <c r="CWQ5"/>
      <c r="CWR5"/>
      <c r="CWS5"/>
      <c r="CWT5"/>
      <c r="CWU5"/>
      <c r="CWV5"/>
      <c r="CWW5"/>
      <c r="CWX5"/>
      <c r="CWY5"/>
      <c r="CWZ5"/>
      <c r="CXA5"/>
      <c r="CXB5"/>
      <c r="CXC5"/>
      <c r="CXD5"/>
      <c r="CXE5"/>
      <c r="CXF5"/>
      <c r="CXG5"/>
      <c r="CXH5"/>
      <c r="CXI5"/>
      <c r="CXJ5"/>
      <c r="CXK5"/>
      <c r="CXL5"/>
      <c r="CXM5"/>
      <c r="CXN5"/>
      <c r="CXO5"/>
      <c r="CXP5"/>
      <c r="CXQ5"/>
      <c r="CXR5"/>
      <c r="CXS5"/>
      <c r="CXT5"/>
      <c r="CXU5"/>
      <c r="CXV5"/>
      <c r="CXW5"/>
      <c r="CXX5"/>
      <c r="CXY5"/>
      <c r="CXZ5"/>
      <c r="CYA5"/>
      <c r="CYB5"/>
      <c r="CYC5"/>
      <c r="CYD5"/>
      <c r="CYE5"/>
      <c r="CYF5"/>
      <c r="CYG5"/>
      <c r="CYH5"/>
      <c r="CYI5"/>
      <c r="CYJ5"/>
      <c r="CYK5"/>
      <c r="CYL5"/>
      <c r="CYM5"/>
      <c r="CYN5"/>
      <c r="CYO5"/>
      <c r="CYP5"/>
      <c r="CYQ5"/>
      <c r="CYR5"/>
      <c r="CYS5"/>
      <c r="CYT5"/>
      <c r="CYU5"/>
      <c r="CYV5"/>
      <c r="CYW5"/>
      <c r="CYX5"/>
      <c r="CYY5"/>
      <c r="CYZ5"/>
      <c r="CZA5"/>
      <c r="CZB5"/>
      <c r="CZC5"/>
      <c r="CZD5"/>
      <c r="CZE5"/>
      <c r="CZF5"/>
      <c r="CZG5"/>
      <c r="CZH5"/>
      <c r="CZI5"/>
      <c r="CZJ5"/>
      <c r="CZK5"/>
      <c r="CZL5"/>
      <c r="CZM5"/>
      <c r="CZN5"/>
      <c r="CZO5"/>
      <c r="CZP5"/>
      <c r="CZQ5"/>
      <c r="CZR5"/>
      <c r="CZS5"/>
      <c r="CZT5"/>
      <c r="CZU5"/>
      <c r="CZV5"/>
      <c r="CZW5"/>
      <c r="CZX5"/>
      <c r="CZY5"/>
      <c r="CZZ5"/>
      <c r="DAA5"/>
      <c r="DAB5"/>
      <c r="DAC5"/>
      <c r="DAD5"/>
      <c r="DAE5"/>
      <c r="DAF5"/>
      <c r="DAG5"/>
      <c r="DAH5"/>
      <c r="DAI5"/>
      <c r="DAJ5"/>
      <c r="DAK5"/>
      <c r="DAL5"/>
      <c r="DAM5"/>
      <c r="DAN5"/>
      <c r="DAO5"/>
      <c r="DAP5"/>
      <c r="DAQ5"/>
      <c r="DAR5"/>
      <c r="DAS5"/>
      <c r="DAT5"/>
      <c r="DAU5"/>
      <c r="DAV5"/>
      <c r="DAW5"/>
      <c r="DAX5"/>
      <c r="DAY5"/>
      <c r="DAZ5"/>
      <c r="DBA5"/>
      <c r="DBB5"/>
      <c r="DBC5"/>
      <c r="DBD5"/>
      <c r="DBE5"/>
      <c r="DBF5"/>
      <c r="DBG5"/>
      <c r="DBH5"/>
      <c r="DBI5"/>
      <c r="DBJ5"/>
      <c r="DBK5"/>
      <c r="DBL5"/>
      <c r="DBM5"/>
      <c r="DBN5"/>
      <c r="DBO5"/>
      <c r="DBP5"/>
      <c r="DBQ5"/>
      <c r="DBR5"/>
      <c r="DBS5"/>
      <c r="DBT5"/>
      <c r="DBU5"/>
      <c r="DBV5"/>
      <c r="DBW5"/>
      <c r="DBX5"/>
      <c r="DBY5"/>
      <c r="DBZ5"/>
      <c r="DCA5"/>
      <c r="DCB5"/>
      <c r="DCC5"/>
      <c r="DCD5"/>
      <c r="DCE5"/>
      <c r="DCF5"/>
      <c r="DCG5"/>
      <c r="DCH5"/>
      <c r="DCI5"/>
      <c r="DCJ5"/>
      <c r="DCK5"/>
      <c r="DCL5"/>
      <c r="DCM5"/>
      <c r="DCN5"/>
      <c r="DCO5"/>
      <c r="DCP5"/>
      <c r="DCQ5"/>
      <c r="DCR5"/>
      <c r="DCS5"/>
      <c r="DCT5"/>
      <c r="DCU5"/>
      <c r="DCV5"/>
      <c r="DCW5"/>
      <c r="DCX5"/>
      <c r="DCY5"/>
      <c r="DCZ5"/>
      <c r="DDA5"/>
      <c r="DDB5"/>
      <c r="DDC5"/>
      <c r="DDD5"/>
      <c r="DDE5"/>
      <c r="DDF5"/>
      <c r="DDG5"/>
      <c r="DDH5"/>
      <c r="DDI5"/>
      <c r="DDJ5"/>
      <c r="DDK5"/>
      <c r="DDL5"/>
      <c r="DDM5"/>
      <c r="DDN5"/>
      <c r="DDO5"/>
      <c r="DDP5"/>
      <c r="DDQ5"/>
      <c r="DDR5"/>
      <c r="DDS5"/>
      <c r="DDT5"/>
      <c r="DDU5"/>
      <c r="DDV5"/>
      <c r="DDW5"/>
      <c r="DDX5"/>
      <c r="DDY5"/>
      <c r="DDZ5"/>
      <c r="DEA5"/>
      <c r="DEB5"/>
      <c r="DEC5"/>
      <c r="DED5"/>
      <c r="DEE5"/>
      <c r="DEF5"/>
      <c r="DEG5"/>
      <c r="DEH5"/>
      <c r="DEI5"/>
      <c r="DEJ5"/>
      <c r="DEK5"/>
      <c r="DEL5"/>
      <c r="DEM5"/>
      <c r="DEN5"/>
      <c r="DEO5"/>
      <c r="DEP5"/>
      <c r="DEQ5"/>
      <c r="DER5"/>
      <c r="DES5"/>
      <c r="DET5"/>
      <c r="DEU5"/>
      <c r="DEV5"/>
      <c r="DEW5"/>
      <c r="DEX5"/>
      <c r="DEY5"/>
      <c r="DEZ5"/>
      <c r="DFA5"/>
      <c r="DFB5"/>
      <c r="DFC5"/>
      <c r="DFD5"/>
      <c r="DFE5"/>
      <c r="DFF5"/>
      <c r="DFG5"/>
      <c r="DFH5"/>
      <c r="DFI5"/>
      <c r="DFJ5"/>
      <c r="DFK5"/>
      <c r="DFL5"/>
      <c r="DFM5"/>
      <c r="DFN5"/>
      <c r="DFO5"/>
      <c r="DFP5"/>
      <c r="DFQ5"/>
      <c r="DFR5"/>
      <c r="DFS5"/>
      <c r="DFT5"/>
      <c r="DFU5"/>
      <c r="DFV5"/>
      <c r="DFW5"/>
      <c r="DFX5"/>
      <c r="DFY5"/>
      <c r="DFZ5"/>
      <c r="DGA5"/>
      <c r="DGB5"/>
      <c r="DGC5"/>
      <c r="DGD5"/>
      <c r="DGE5"/>
      <c r="DGF5"/>
      <c r="DGG5"/>
      <c r="DGH5"/>
      <c r="DGI5"/>
      <c r="DGJ5"/>
      <c r="DGK5"/>
      <c r="DGL5"/>
      <c r="DGM5"/>
      <c r="DGN5"/>
      <c r="DGO5"/>
      <c r="DGP5"/>
      <c r="DGQ5"/>
      <c r="DGR5"/>
      <c r="DGS5"/>
      <c r="DGT5"/>
      <c r="DGU5"/>
      <c r="DGV5"/>
      <c r="DGW5"/>
      <c r="DGX5"/>
      <c r="DGY5"/>
      <c r="DGZ5"/>
      <c r="DHA5"/>
      <c r="DHB5"/>
      <c r="DHC5"/>
      <c r="DHD5"/>
      <c r="DHE5"/>
      <c r="DHF5"/>
      <c r="DHG5"/>
      <c r="DHH5"/>
      <c r="DHI5"/>
      <c r="DHJ5"/>
      <c r="DHK5"/>
      <c r="DHL5"/>
      <c r="DHM5"/>
      <c r="DHN5"/>
      <c r="DHO5"/>
      <c r="DHP5"/>
      <c r="DHQ5"/>
      <c r="DHR5"/>
      <c r="DHS5"/>
      <c r="DHT5"/>
      <c r="DHU5"/>
      <c r="DHV5"/>
      <c r="DHW5"/>
      <c r="DHX5"/>
      <c r="DHY5"/>
      <c r="DHZ5"/>
      <c r="DIA5"/>
      <c r="DIB5"/>
      <c r="DIC5"/>
      <c r="DID5"/>
      <c r="DIE5"/>
      <c r="DIF5"/>
      <c r="DIG5"/>
      <c r="DIH5"/>
      <c r="DII5"/>
      <c r="DIJ5"/>
      <c r="DIK5"/>
      <c r="DIL5"/>
      <c r="DIM5"/>
      <c r="DIN5"/>
      <c r="DIO5"/>
      <c r="DIP5"/>
      <c r="DIQ5"/>
      <c r="DIR5"/>
      <c r="DIS5"/>
      <c r="DIT5"/>
      <c r="DIU5"/>
      <c r="DIV5"/>
      <c r="DIW5"/>
      <c r="DIX5"/>
      <c r="DIY5"/>
      <c r="DIZ5"/>
      <c r="DJA5"/>
      <c r="DJB5"/>
      <c r="DJC5"/>
      <c r="DJD5"/>
      <c r="DJE5"/>
      <c r="DJF5"/>
      <c r="DJG5"/>
      <c r="DJH5"/>
      <c r="DJI5"/>
      <c r="DJJ5"/>
      <c r="DJK5"/>
      <c r="DJL5"/>
      <c r="DJM5"/>
      <c r="DJN5"/>
      <c r="DJO5"/>
      <c r="DJP5"/>
      <c r="DJQ5"/>
      <c r="DJR5"/>
      <c r="DJS5"/>
      <c r="DJT5"/>
      <c r="DJU5"/>
      <c r="DJV5"/>
      <c r="DJW5"/>
      <c r="DJX5"/>
      <c r="DJY5"/>
      <c r="DJZ5"/>
      <c r="DKA5"/>
      <c r="DKB5"/>
      <c r="DKC5"/>
      <c r="DKD5"/>
      <c r="DKE5"/>
      <c r="DKF5"/>
      <c r="DKG5"/>
      <c r="DKH5"/>
      <c r="DKI5"/>
      <c r="DKJ5"/>
      <c r="DKK5"/>
      <c r="DKL5"/>
      <c r="DKM5"/>
      <c r="DKN5"/>
      <c r="DKO5"/>
      <c r="DKP5"/>
      <c r="DKQ5"/>
      <c r="DKR5"/>
      <c r="DKS5"/>
      <c r="DKT5"/>
      <c r="DKU5"/>
      <c r="DKV5"/>
      <c r="DKW5"/>
      <c r="DKX5"/>
      <c r="DKY5"/>
      <c r="DKZ5"/>
      <c r="DLA5"/>
      <c r="DLB5"/>
      <c r="DLC5"/>
      <c r="DLD5"/>
      <c r="DLE5"/>
      <c r="DLF5"/>
      <c r="DLG5"/>
      <c r="DLH5"/>
      <c r="DLI5"/>
      <c r="DLJ5"/>
      <c r="DLK5"/>
      <c r="DLL5"/>
      <c r="DLM5"/>
      <c r="DLN5"/>
      <c r="DLO5"/>
      <c r="DLP5"/>
      <c r="DLQ5"/>
      <c r="DLR5"/>
      <c r="DLS5"/>
      <c r="DLT5"/>
      <c r="DLU5"/>
      <c r="DLV5"/>
      <c r="DLW5"/>
      <c r="DLX5"/>
      <c r="DLY5"/>
      <c r="DLZ5"/>
      <c r="DMA5"/>
      <c r="DMB5"/>
      <c r="DMC5"/>
      <c r="DMD5"/>
      <c r="DME5"/>
      <c r="DMF5"/>
      <c r="DMG5"/>
      <c r="DMH5"/>
      <c r="DMI5"/>
      <c r="DMJ5"/>
      <c r="DMK5"/>
      <c r="DML5"/>
      <c r="DMM5"/>
      <c r="DMN5"/>
      <c r="DMO5"/>
      <c r="DMP5"/>
      <c r="DMQ5"/>
      <c r="DMR5"/>
      <c r="DMS5"/>
      <c r="DMT5"/>
      <c r="DMU5"/>
      <c r="DMV5"/>
      <c r="DMW5"/>
      <c r="DMX5"/>
      <c r="DMY5"/>
      <c r="DMZ5"/>
      <c r="DNA5"/>
      <c r="DNB5"/>
      <c r="DNC5"/>
      <c r="DND5"/>
      <c r="DNE5"/>
      <c r="DNF5"/>
      <c r="DNG5"/>
      <c r="DNH5"/>
      <c r="DNI5"/>
      <c r="DNJ5"/>
      <c r="DNK5"/>
      <c r="DNL5"/>
      <c r="DNM5"/>
      <c r="DNN5"/>
      <c r="DNO5"/>
      <c r="DNP5"/>
      <c r="DNQ5"/>
      <c r="DNR5"/>
      <c r="DNS5"/>
      <c r="DNT5"/>
      <c r="DNU5"/>
      <c r="DNV5"/>
      <c r="DNW5"/>
      <c r="DNX5"/>
      <c r="DNY5"/>
      <c r="DNZ5"/>
      <c r="DOA5"/>
      <c r="DOB5"/>
      <c r="DOC5"/>
      <c r="DOD5"/>
      <c r="DOE5"/>
      <c r="DOF5"/>
      <c r="DOG5"/>
      <c r="DOH5"/>
      <c r="DOI5"/>
      <c r="DOJ5"/>
      <c r="DOK5"/>
      <c r="DOL5"/>
      <c r="DOM5"/>
      <c r="DON5"/>
      <c r="DOO5"/>
      <c r="DOP5"/>
      <c r="DOQ5"/>
      <c r="DOR5"/>
      <c r="DOS5"/>
      <c r="DOT5"/>
      <c r="DOU5"/>
      <c r="DOV5"/>
      <c r="DOW5"/>
      <c r="DOX5"/>
      <c r="DOY5"/>
      <c r="DOZ5"/>
      <c r="DPA5"/>
      <c r="DPB5"/>
      <c r="DPC5"/>
      <c r="DPD5"/>
      <c r="DPE5"/>
      <c r="DPF5"/>
      <c r="DPG5"/>
      <c r="DPH5"/>
      <c r="DPI5"/>
      <c r="DPJ5"/>
      <c r="DPK5"/>
      <c r="DPL5"/>
      <c r="DPM5"/>
      <c r="DPN5"/>
      <c r="DPO5"/>
      <c r="DPP5"/>
      <c r="DPQ5"/>
      <c r="DPR5"/>
      <c r="DPS5"/>
      <c r="DPT5"/>
      <c r="DPU5"/>
      <c r="DPV5"/>
      <c r="DPW5"/>
      <c r="DPX5"/>
      <c r="DPY5"/>
      <c r="DPZ5"/>
      <c r="DQA5"/>
      <c r="DQB5"/>
      <c r="DQC5"/>
      <c r="DQD5"/>
      <c r="DQE5"/>
      <c r="DQF5"/>
      <c r="DQG5"/>
      <c r="DQH5"/>
      <c r="DQI5"/>
      <c r="DQJ5"/>
      <c r="DQK5"/>
      <c r="DQL5"/>
      <c r="DQM5"/>
      <c r="DQN5"/>
      <c r="DQO5"/>
      <c r="DQP5"/>
      <c r="DQQ5"/>
      <c r="DQR5"/>
      <c r="DQS5"/>
      <c r="DQT5"/>
      <c r="DQU5"/>
      <c r="DQV5"/>
      <c r="DQW5"/>
      <c r="DQX5"/>
      <c r="DQY5"/>
      <c r="DQZ5"/>
      <c r="DRA5"/>
      <c r="DRB5"/>
      <c r="DRC5"/>
      <c r="DRD5"/>
      <c r="DRE5"/>
      <c r="DRF5"/>
      <c r="DRG5"/>
      <c r="DRH5"/>
      <c r="DRI5"/>
      <c r="DRJ5"/>
      <c r="DRK5"/>
      <c r="DRL5"/>
      <c r="DRM5"/>
      <c r="DRN5"/>
      <c r="DRO5"/>
      <c r="DRP5"/>
      <c r="DRQ5"/>
      <c r="DRR5"/>
      <c r="DRS5"/>
      <c r="DRT5"/>
      <c r="DRU5"/>
      <c r="DRV5"/>
      <c r="DRW5"/>
      <c r="DRX5"/>
      <c r="DRY5"/>
      <c r="DRZ5"/>
      <c r="DSA5"/>
      <c r="DSB5"/>
      <c r="DSC5"/>
      <c r="DSD5"/>
      <c r="DSE5"/>
      <c r="DSF5"/>
      <c r="DSG5"/>
      <c r="DSH5"/>
      <c r="DSI5"/>
      <c r="DSJ5"/>
      <c r="DSK5"/>
      <c r="DSL5"/>
      <c r="DSM5"/>
      <c r="DSN5"/>
      <c r="DSO5"/>
      <c r="DSP5"/>
      <c r="DSQ5"/>
      <c r="DSR5"/>
      <c r="DSS5"/>
      <c r="DST5"/>
      <c r="DSU5"/>
      <c r="DSV5"/>
      <c r="DSW5"/>
      <c r="DSX5"/>
      <c r="DSY5"/>
      <c r="DSZ5"/>
      <c r="DTA5"/>
      <c r="DTB5"/>
      <c r="DTC5"/>
      <c r="DTD5"/>
      <c r="DTE5"/>
      <c r="DTF5"/>
      <c r="DTG5"/>
      <c r="DTH5"/>
      <c r="DTI5"/>
      <c r="DTJ5"/>
      <c r="DTK5"/>
      <c r="DTL5"/>
      <c r="DTM5"/>
      <c r="DTN5"/>
      <c r="DTO5"/>
      <c r="DTP5"/>
      <c r="DTQ5"/>
      <c r="DTR5"/>
      <c r="DTS5"/>
      <c r="DTT5"/>
      <c r="DTU5"/>
      <c r="DTV5"/>
      <c r="DTW5"/>
      <c r="DTX5"/>
      <c r="DTY5"/>
      <c r="DTZ5"/>
      <c r="DUA5"/>
      <c r="DUB5"/>
      <c r="DUC5"/>
      <c r="DUD5"/>
      <c r="DUE5"/>
      <c r="DUF5"/>
      <c r="DUG5"/>
      <c r="DUH5"/>
      <c r="DUI5"/>
      <c r="DUJ5"/>
      <c r="DUK5"/>
      <c r="DUL5"/>
      <c r="DUM5"/>
      <c r="DUN5"/>
      <c r="DUO5"/>
      <c r="DUP5"/>
      <c r="DUQ5"/>
      <c r="DUR5"/>
      <c r="DUS5"/>
      <c r="DUT5"/>
      <c r="DUU5"/>
      <c r="DUV5"/>
      <c r="DUW5"/>
      <c r="DUX5"/>
      <c r="DUY5"/>
      <c r="DUZ5"/>
      <c r="DVA5"/>
      <c r="DVB5"/>
      <c r="DVC5"/>
      <c r="DVD5"/>
      <c r="DVE5"/>
      <c r="DVF5"/>
      <c r="DVG5"/>
      <c r="DVH5"/>
      <c r="DVI5"/>
      <c r="DVJ5"/>
      <c r="DVK5"/>
      <c r="DVL5"/>
      <c r="DVM5"/>
      <c r="DVN5"/>
      <c r="DVO5"/>
      <c r="DVP5"/>
      <c r="DVQ5"/>
      <c r="DVR5"/>
      <c r="DVS5"/>
      <c r="DVT5"/>
      <c r="DVU5"/>
      <c r="DVV5"/>
      <c r="DVW5"/>
      <c r="DVX5"/>
      <c r="DVY5"/>
      <c r="DVZ5"/>
      <c r="DWA5"/>
      <c r="DWB5"/>
      <c r="DWC5"/>
      <c r="DWD5"/>
      <c r="DWE5"/>
      <c r="DWF5"/>
      <c r="DWG5"/>
      <c r="DWH5"/>
      <c r="DWI5"/>
      <c r="DWJ5"/>
      <c r="DWK5"/>
      <c r="DWL5"/>
      <c r="DWM5"/>
      <c r="DWN5"/>
      <c r="DWO5"/>
      <c r="DWP5"/>
      <c r="DWQ5"/>
      <c r="DWR5"/>
      <c r="DWS5"/>
      <c r="DWT5"/>
      <c r="DWU5"/>
      <c r="DWV5"/>
      <c r="DWW5"/>
      <c r="DWX5"/>
      <c r="DWY5"/>
      <c r="DWZ5"/>
      <c r="DXA5"/>
      <c r="DXB5"/>
      <c r="DXC5"/>
      <c r="DXD5"/>
      <c r="DXE5"/>
      <c r="DXF5"/>
      <c r="DXG5"/>
      <c r="DXH5"/>
      <c r="DXI5"/>
      <c r="DXJ5"/>
      <c r="DXK5"/>
      <c r="DXL5"/>
      <c r="DXM5"/>
      <c r="DXN5"/>
      <c r="DXO5"/>
      <c r="DXP5"/>
      <c r="DXQ5"/>
      <c r="DXR5"/>
      <c r="DXS5"/>
      <c r="DXT5"/>
      <c r="DXU5"/>
      <c r="DXV5"/>
      <c r="DXW5"/>
      <c r="DXX5"/>
      <c r="DXY5"/>
      <c r="DXZ5"/>
      <c r="DYA5"/>
      <c r="DYB5"/>
      <c r="DYC5"/>
      <c r="DYD5"/>
      <c r="DYE5"/>
      <c r="DYF5"/>
      <c r="DYG5"/>
      <c r="DYH5"/>
      <c r="DYI5"/>
      <c r="DYJ5"/>
      <c r="DYK5"/>
      <c r="DYL5"/>
      <c r="DYM5"/>
      <c r="DYN5"/>
      <c r="DYO5"/>
      <c r="DYP5"/>
      <c r="DYQ5"/>
      <c r="DYR5"/>
      <c r="DYS5"/>
      <c r="DYT5"/>
      <c r="DYU5"/>
      <c r="DYV5"/>
      <c r="DYW5"/>
      <c r="DYX5"/>
      <c r="DYY5"/>
      <c r="DYZ5"/>
      <c r="DZA5"/>
      <c r="DZB5"/>
      <c r="DZC5"/>
      <c r="DZD5"/>
      <c r="DZE5"/>
      <c r="DZF5"/>
      <c r="DZG5"/>
      <c r="DZH5"/>
      <c r="DZI5"/>
      <c r="DZJ5"/>
      <c r="DZK5"/>
      <c r="DZL5"/>
      <c r="DZM5"/>
      <c r="DZN5"/>
      <c r="DZO5"/>
      <c r="DZP5"/>
      <c r="DZQ5"/>
      <c r="DZR5"/>
      <c r="DZS5"/>
      <c r="DZT5"/>
      <c r="DZU5"/>
      <c r="DZV5"/>
      <c r="DZW5"/>
      <c r="DZX5"/>
      <c r="DZY5"/>
      <c r="DZZ5"/>
      <c r="EAA5"/>
      <c r="EAB5"/>
      <c r="EAC5"/>
      <c r="EAD5"/>
      <c r="EAE5"/>
      <c r="EAF5"/>
      <c r="EAG5"/>
      <c r="EAH5"/>
      <c r="EAI5"/>
      <c r="EAJ5"/>
      <c r="EAK5"/>
      <c r="EAL5"/>
      <c r="EAM5"/>
      <c r="EAN5"/>
      <c r="EAO5"/>
      <c r="EAP5"/>
      <c r="EAQ5"/>
      <c r="EAR5"/>
      <c r="EAS5"/>
      <c r="EAT5"/>
      <c r="EAU5"/>
      <c r="EAV5"/>
      <c r="EAW5"/>
      <c r="EAX5"/>
      <c r="EAY5"/>
      <c r="EAZ5"/>
      <c r="EBA5"/>
      <c r="EBB5"/>
      <c r="EBC5"/>
      <c r="EBD5"/>
      <c r="EBE5"/>
      <c r="EBF5"/>
      <c r="EBG5"/>
      <c r="EBH5"/>
      <c r="EBI5"/>
      <c r="EBJ5"/>
      <c r="EBK5"/>
      <c r="EBL5"/>
      <c r="EBM5"/>
      <c r="EBN5"/>
      <c r="EBO5"/>
      <c r="EBP5"/>
      <c r="EBQ5"/>
      <c r="EBR5"/>
      <c r="EBS5"/>
      <c r="EBT5"/>
      <c r="EBU5"/>
      <c r="EBV5"/>
      <c r="EBW5"/>
      <c r="EBX5"/>
      <c r="EBY5"/>
      <c r="EBZ5"/>
      <c r="ECA5"/>
      <c r="ECB5"/>
      <c r="ECC5"/>
      <c r="ECD5"/>
      <c r="ECE5"/>
      <c r="ECF5"/>
      <c r="ECG5"/>
      <c r="ECH5"/>
      <c r="ECI5"/>
      <c r="ECJ5"/>
      <c r="ECK5"/>
      <c r="ECL5"/>
      <c r="ECM5"/>
      <c r="ECN5"/>
      <c r="ECO5"/>
      <c r="ECP5"/>
      <c r="ECQ5"/>
      <c r="ECR5"/>
      <c r="ECS5"/>
      <c r="ECT5"/>
      <c r="ECU5"/>
      <c r="ECV5"/>
      <c r="ECW5"/>
      <c r="ECX5"/>
      <c r="ECY5"/>
      <c r="ECZ5"/>
      <c r="EDA5"/>
      <c r="EDB5"/>
      <c r="EDC5"/>
      <c r="EDD5"/>
      <c r="EDE5"/>
      <c r="EDF5"/>
      <c r="EDG5"/>
      <c r="EDH5"/>
      <c r="EDI5"/>
      <c r="EDJ5"/>
      <c r="EDK5"/>
      <c r="EDL5"/>
      <c r="EDM5"/>
      <c r="EDN5"/>
      <c r="EDO5"/>
      <c r="EDP5"/>
      <c r="EDQ5"/>
      <c r="EDR5"/>
      <c r="EDS5"/>
      <c r="EDT5"/>
      <c r="EDU5"/>
      <c r="EDV5"/>
      <c r="EDW5"/>
      <c r="EDX5"/>
      <c r="EDY5"/>
      <c r="EDZ5"/>
      <c r="EEA5"/>
      <c r="EEB5"/>
      <c r="EEC5"/>
      <c r="EED5"/>
      <c r="EEE5"/>
      <c r="EEF5"/>
      <c r="EEG5"/>
      <c r="EEH5"/>
      <c r="EEI5"/>
      <c r="EEJ5"/>
      <c r="EEK5"/>
      <c r="EEL5"/>
      <c r="EEM5"/>
      <c r="EEN5"/>
      <c r="EEO5"/>
      <c r="EEP5"/>
      <c r="EEQ5"/>
      <c r="EER5"/>
      <c r="EES5"/>
      <c r="EET5"/>
      <c r="EEU5"/>
      <c r="EEV5"/>
      <c r="EEW5"/>
      <c r="EEX5"/>
      <c r="EEY5"/>
      <c r="EEZ5"/>
      <c r="EFA5"/>
      <c r="EFB5"/>
      <c r="EFC5"/>
      <c r="EFD5"/>
      <c r="EFE5"/>
      <c r="EFF5"/>
      <c r="EFG5"/>
      <c r="EFH5"/>
      <c r="EFI5"/>
      <c r="EFJ5"/>
      <c r="EFK5"/>
      <c r="EFL5"/>
      <c r="EFM5"/>
      <c r="EFN5"/>
      <c r="EFO5"/>
      <c r="EFP5"/>
      <c r="EFQ5"/>
      <c r="EFR5"/>
      <c r="EFS5"/>
      <c r="EFT5"/>
      <c r="EFU5"/>
      <c r="EFV5"/>
      <c r="EFW5"/>
      <c r="EFX5"/>
      <c r="EFY5"/>
      <c r="EFZ5"/>
      <c r="EGA5"/>
      <c r="EGB5"/>
      <c r="EGC5"/>
      <c r="EGD5"/>
      <c r="EGE5"/>
      <c r="EGF5"/>
      <c r="EGG5"/>
      <c r="EGH5"/>
      <c r="EGI5"/>
      <c r="EGJ5"/>
      <c r="EGK5"/>
      <c r="EGL5"/>
      <c r="EGM5"/>
      <c r="EGN5"/>
      <c r="EGO5"/>
      <c r="EGP5"/>
      <c r="EGQ5"/>
      <c r="EGR5"/>
      <c r="EGS5"/>
      <c r="EGT5"/>
      <c r="EGU5"/>
      <c r="EGV5"/>
      <c r="EGW5"/>
      <c r="EGX5"/>
      <c r="EGY5"/>
      <c r="EGZ5"/>
      <c r="EHA5"/>
      <c r="EHB5"/>
      <c r="EHC5"/>
      <c r="EHD5"/>
      <c r="EHE5"/>
      <c r="EHF5"/>
      <c r="EHG5"/>
      <c r="EHH5"/>
      <c r="EHI5"/>
      <c r="EHJ5"/>
      <c r="EHK5"/>
      <c r="EHL5"/>
      <c r="EHM5"/>
      <c r="EHN5"/>
      <c r="EHO5"/>
      <c r="EHP5"/>
      <c r="EHQ5"/>
      <c r="EHR5"/>
      <c r="EHS5"/>
      <c r="EHT5"/>
      <c r="EHU5"/>
      <c r="EHV5"/>
      <c r="EHW5"/>
      <c r="EHX5"/>
      <c r="EHY5"/>
      <c r="EHZ5"/>
      <c r="EIA5"/>
      <c r="EIB5"/>
      <c r="EIC5"/>
      <c r="EID5"/>
      <c r="EIE5"/>
      <c r="EIF5"/>
      <c r="EIG5"/>
      <c r="EIH5"/>
      <c r="EII5"/>
      <c r="EIJ5"/>
      <c r="EIK5"/>
      <c r="EIL5"/>
      <c r="EIM5"/>
      <c r="EIN5"/>
      <c r="EIO5"/>
      <c r="EIP5"/>
      <c r="EIQ5"/>
      <c r="EIR5"/>
      <c r="EIS5"/>
      <c r="EIT5"/>
      <c r="EIU5"/>
      <c r="EIV5"/>
      <c r="EIW5"/>
      <c r="EIX5"/>
      <c r="EIY5"/>
      <c r="EIZ5"/>
      <c r="EJA5"/>
      <c r="EJB5"/>
      <c r="EJC5"/>
      <c r="EJD5"/>
      <c r="EJE5"/>
      <c r="EJF5"/>
      <c r="EJG5"/>
      <c r="EJH5"/>
      <c r="EJI5"/>
      <c r="EJJ5"/>
      <c r="EJK5"/>
      <c r="EJL5"/>
      <c r="EJM5"/>
      <c r="EJN5"/>
      <c r="EJO5"/>
      <c r="EJP5"/>
      <c r="EJQ5"/>
      <c r="EJR5"/>
      <c r="EJS5"/>
      <c r="EJT5"/>
      <c r="EJU5"/>
      <c r="EJV5"/>
      <c r="EJW5"/>
      <c r="EJX5"/>
      <c r="EJY5"/>
      <c r="EJZ5"/>
      <c r="EKA5"/>
      <c r="EKB5"/>
      <c r="EKC5"/>
      <c r="EKD5"/>
      <c r="EKE5"/>
      <c r="EKF5"/>
      <c r="EKG5"/>
      <c r="EKH5"/>
      <c r="EKI5"/>
      <c r="EKJ5"/>
      <c r="EKK5"/>
      <c r="EKL5"/>
      <c r="EKM5"/>
      <c r="EKN5"/>
      <c r="EKO5"/>
      <c r="EKP5"/>
      <c r="EKQ5"/>
      <c r="EKR5"/>
      <c r="EKS5"/>
      <c r="EKT5"/>
      <c r="EKU5"/>
      <c r="EKV5"/>
      <c r="EKW5"/>
      <c r="EKX5"/>
      <c r="EKY5"/>
      <c r="EKZ5"/>
      <c r="ELA5"/>
      <c r="ELB5"/>
      <c r="ELC5"/>
      <c r="ELD5"/>
      <c r="ELE5"/>
      <c r="ELF5"/>
      <c r="ELG5"/>
      <c r="ELH5"/>
      <c r="ELI5"/>
      <c r="ELJ5"/>
      <c r="ELK5"/>
      <c r="ELL5"/>
      <c r="ELM5"/>
      <c r="ELN5"/>
      <c r="ELO5"/>
      <c r="ELP5"/>
      <c r="ELQ5"/>
      <c r="ELR5"/>
      <c r="ELS5"/>
      <c r="ELT5"/>
      <c r="ELU5"/>
      <c r="ELV5"/>
      <c r="ELW5"/>
      <c r="ELX5"/>
      <c r="ELY5"/>
      <c r="ELZ5"/>
      <c r="EMA5"/>
      <c r="EMB5"/>
      <c r="EMC5"/>
      <c r="EMD5"/>
      <c r="EME5"/>
      <c r="EMF5"/>
      <c r="EMG5"/>
      <c r="EMH5"/>
      <c r="EMI5"/>
      <c r="EMJ5"/>
      <c r="EMK5"/>
      <c r="EML5"/>
      <c r="EMM5"/>
      <c r="EMN5"/>
      <c r="EMO5"/>
      <c r="EMP5"/>
      <c r="EMQ5"/>
      <c r="EMR5"/>
      <c r="EMS5"/>
      <c r="EMT5"/>
      <c r="EMU5"/>
      <c r="EMV5"/>
      <c r="EMW5"/>
      <c r="EMX5"/>
      <c r="EMY5"/>
      <c r="EMZ5"/>
      <c r="ENA5"/>
      <c r="ENB5"/>
      <c r="ENC5"/>
      <c r="END5"/>
      <c r="ENE5"/>
      <c r="ENF5"/>
      <c r="ENG5"/>
      <c r="ENH5"/>
      <c r="ENI5"/>
      <c r="ENJ5"/>
      <c r="ENK5"/>
      <c r="ENL5"/>
      <c r="ENM5"/>
      <c r="ENN5"/>
      <c r="ENO5"/>
      <c r="ENP5"/>
      <c r="ENQ5"/>
      <c r="ENR5"/>
      <c r="ENS5"/>
      <c r="ENT5"/>
      <c r="ENU5"/>
      <c r="ENV5"/>
      <c r="ENW5"/>
      <c r="ENX5"/>
      <c r="ENY5"/>
      <c r="ENZ5"/>
      <c r="EOA5"/>
      <c r="EOB5"/>
      <c r="EOC5"/>
      <c r="EOD5"/>
      <c r="EOE5"/>
      <c r="EOF5"/>
      <c r="EOG5"/>
      <c r="EOH5"/>
      <c r="EOI5"/>
      <c r="EOJ5"/>
      <c r="EOK5"/>
      <c r="EOL5"/>
      <c r="EOM5"/>
      <c r="EON5"/>
      <c r="EOO5"/>
      <c r="EOP5"/>
      <c r="EOQ5"/>
      <c r="EOR5"/>
      <c r="EOS5"/>
      <c r="EOT5"/>
      <c r="EOU5"/>
      <c r="EOV5"/>
      <c r="EOW5"/>
      <c r="EOX5"/>
      <c r="EOY5"/>
      <c r="EOZ5"/>
      <c r="EPA5"/>
      <c r="EPB5"/>
      <c r="EPC5"/>
      <c r="EPD5"/>
      <c r="EPE5"/>
      <c r="EPF5"/>
      <c r="EPG5"/>
      <c r="EPH5"/>
      <c r="EPI5"/>
      <c r="EPJ5"/>
      <c r="EPK5"/>
      <c r="EPL5"/>
      <c r="EPM5"/>
      <c r="EPN5"/>
      <c r="EPO5"/>
      <c r="EPP5"/>
      <c r="EPQ5"/>
      <c r="EPR5"/>
      <c r="EPS5"/>
      <c r="EPT5"/>
      <c r="EPU5"/>
      <c r="EPV5"/>
      <c r="EPW5"/>
      <c r="EPX5"/>
      <c r="EPY5"/>
      <c r="EPZ5"/>
      <c r="EQA5"/>
      <c r="EQB5"/>
      <c r="EQC5"/>
      <c r="EQD5"/>
      <c r="EQE5"/>
      <c r="EQF5"/>
      <c r="EQG5"/>
      <c r="EQH5"/>
      <c r="EQI5"/>
      <c r="EQJ5"/>
      <c r="EQK5"/>
      <c r="EQL5"/>
      <c r="EQM5"/>
      <c r="EQN5"/>
      <c r="EQO5"/>
      <c r="EQP5"/>
      <c r="EQQ5"/>
      <c r="EQR5"/>
      <c r="EQS5"/>
      <c r="EQT5"/>
      <c r="EQU5"/>
      <c r="EQV5"/>
      <c r="EQW5"/>
      <c r="EQX5"/>
      <c r="EQY5"/>
      <c r="EQZ5"/>
      <c r="ERA5"/>
      <c r="ERB5"/>
      <c r="ERC5"/>
      <c r="ERD5"/>
      <c r="ERE5"/>
      <c r="ERF5"/>
      <c r="ERG5"/>
      <c r="ERH5"/>
      <c r="ERI5"/>
      <c r="ERJ5"/>
      <c r="ERK5"/>
      <c r="ERL5"/>
      <c r="ERM5"/>
      <c r="ERN5"/>
      <c r="ERO5"/>
      <c r="ERP5"/>
      <c r="ERQ5"/>
      <c r="ERR5"/>
      <c r="ERS5"/>
      <c r="ERT5"/>
      <c r="ERU5"/>
      <c r="ERV5"/>
      <c r="ERW5"/>
      <c r="ERX5"/>
      <c r="ERY5"/>
      <c r="ERZ5"/>
      <c r="ESA5"/>
      <c r="ESB5"/>
      <c r="ESC5"/>
      <c r="ESD5"/>
      <c r="ESE5"/>
      <c r="ESF5"/>
      <c r="ESG5"/>
      <c r="ESH5"/>
      <c r="ESI5"/>
      <c r="ESJ5"/>
      <c r="ESK5"/>
      <c r="ESL5"/>
      <c r="ESM5"/>
      <c r="ESN5"/>
      <c r="ESO5"/>
      <c r="ESP5"/>
      <c r="ESQ5"/>
      <c r="ESR5"/>
      <c r="ESS5"/>
      <c r="EST5"/>
      <c r="ESU5"/>
      <c r="ESV5"/>
      <c r="ESW5"/>
      <c r="ESX5"/>
      <c r="ESY5"/>
      <c r="ESZ5"/>
      <c r="ETA5"/>
      <c r="ETB5"/>
      <c r="ETC5"/>
      <c r="ETD5"/>
      <c r="ETE5"/>
      <c r="ETF5"/>
      <c r="ETG5"/>
      <c r="ETH5"/>
      <c r="ETI5"/>
      <c r="ETJ5"/>
      <c r="ETK5"/>
      <c r="ETL5"/>
      <c r="ETM5"/>
      <c r="ETN5"/>
      <c r="ETO5"/>
      <c r="ETP5"/>
      <c r="ETQ5"/>
      <c r="ETR5"/>
      <c r="ETS5"/>
      <c r="ETT5"/>
      <c r="ETU5"/>
      <c r="ETV5"/>
      <c r="ETW5"/>
      <c r="ETX5"/>
      <c r="ETY5"/>
      <c r="ETZ5"/>
      <c r="EUA5"/>
      <c r="EUB5"/>
      <c r="EUC5"/>
      <c r="EUD5"/>
      <c r="EUE5"/>
      <c r="EUF5"/>
      <c r="EUG5"/>
      <c r="EUH5"/>
      <c r="EUI5"/>
      <c r="EUJ5"/>
      <c r="EUK5"/>
      <c r="EUL5"/>
      <c r="EUM5"/>
      <c r="EUN5"/>
      <c r="EUO5"/>
      <c r="EUP5"/>
      <c r="EUQ5"/>
      <c r="EUR5"/>
      <c r="EUS5"/>
      <c r="EUT5"/>
      <c r="EUU5"/>
      <c r="EUV5"/>
      <c r="EUW5"/>
      <c r="EUX5"/>
      <c r="EUY5"/>
      <c r="EUZ5"/>
      <c r="EVA5"/>
      <c r="EVB5"/>
      <c r="EVC5"/>
      <c r="EVD5"/>
      <c r="EVE5"/>
      <c r="EVF5"/>
      <c r="EVG5"/>
      <c r="EVH5"/>
      <c r="EVI5"/>
      <c r="EVJ5"/>
      <c r="EVK5"/>
      <c r="EVL5"/>
      <c r="EVM5"/>
      <c r="EVN5"/>
      <c r="EVO5"/>
      <c r="EVP5"/>
      <c r="EVQ5"/>
      <c r="EVR5"/>
      <c r="EVS5"/>
      <c r="EVT5"/>
      <c r="EVU5"/>
      <c r="EVV5"/>
      <c r="EVW5"/>
      <c r="EVX5"/>
      <c r="EVY5"/>
      <c r="EVZ5"/>
      <c r="EWA5"/>
      <c r="EWB5"/>
      <c r="EWC5"/>
      <c r="EWD5"/>
      <c r="EWE5"/>
      <c r="EWF5"/>
      <c r="EWG5"/>
      <c r="EWH5"/>
      <c r="EWI5"/>
      <c r="EWJ5"/>
      <c r="EWK5"/>
      <c r="EWL5"/>
      <c r="EWM5"/>
      <c r="EWN5"/>
      <c r="EWO5"/>
      <c r="EWP5"/>
      <c r="EWQ5"/>
      <c r="EWR5"/>
      <c r="EWS5"/>
      <c r="EWT5"/>
      <c r="EWU5"/>
      <c r="EWV5"/>
      <c r="EWW5"/>
      <c r="EWX5"/>
      <c r="EWY5"/>
      <c r="EWZ5"/>
      <c r="EXA5"/>
      <c r="EXB5"/>
      <c r="EXC5"/>
      <c r="EXD5"/>
      <c r="EXE5"/>
      <c r="EXF5"/>
      <c r="EXG5"/>
      <c r="EXH5"/>
      <c r="EXI5"/>
      <c r="EXJ5"/>
      <c r="EXK5"/>
      <c r="EXL5"/>
      <c r="EXM5"/>
      <c r="EXN5"/>
      <c r="EXO5"/>
      <c r="EXP5"/>
      <c r="EXQ5"/>
      <c r="EXR5"/>
      <c r="EXS5"/>
      <c r="EXT5"/>
      <c r="EXU5"/>
      <c r="EXV5"/>
      <c r="EXW5"/>
      <c r="EXX5"/>
      <c r="EXY5"/>
      <c r="EXZ5"/>
      <c r="EYA5"/>
      <c r="EYB5"/>
      <c r="EYC5"/>
      <c r="EYD5"/>
      <c r="EYE5"/>
      <c r="EYF5"/>
      <c r="EYG5"/>
      <c r="EYH5"/>
      <c r="EYI5"/>
      <c r="EYJ5"/>
      <c r="EYK5"/>
      <c r="EYL5"/>
      <c r="EYM5"/>
      <c r="EYN5"/>
      <c r="EYO5"/>
      <c r="EYP5"/>
      <c r="EYQ5"/>
      <c r="EYR5"/>
      <c r="EYS5"/>
      <c r="EYT5"/>
      <c r="EYU5"/>
      <c r="EYV5"/>
      <c r="EYW5"/>
      <c r="EYX5"/>
      <c r="EYY5"/>
      <c r="EYZ5"/>
      <c r="EZA5"/>
      <c r="EZB5"/>
      <c r="EZC5"/>
      <c r="EZD5"/>
      <c r="EZE5"/>
      <c r="EZF5"/>
      <c r="EZG5"/>
      <c r="EZH5"/>
      <c r="EZI5"/>
      <c r="EZJ5"/>
      <c r="EZK5"/>
      <c r="EZL5"/>
      <c r="EZM5"/>
      <c r="EZN5"/>
      <c r="EZO5"/>
      <c r="EZP5"/>
      <c r="EZQ5"/>
      <c r="EZR5"/>
      <c r="EZS5"/>
      <c r="EZT5"/>
      <c r="EZU5"/>
      <c r="EZV5"/>
      <c r="EZW5"/>
      <c r="EZX5"/>
      <c r="EZY5"/>
      <c r="EZZ5"/>
      <c r="FAA5"/>
      <c r="FAB5"/>
      <c r="FAC5"/>
      <c r="FAD5"/>
      <c r="FAE5"/>
      <c r="FAF5"/>
      <c r="FAG5"/>
      <c r="FAH5"/>
      <c r="FAI5"/>
      <c r="FAJ5"/>
      <c r="FAK5"/>
      <c r="FAL5"/>
      <c r="FAM5"/>
      <c r="FAN5"/>
      <c r="FAO5"/>
      <c r="FAP5"/>
      <c r="FAQ5"/>
      <c r="FAR5"/>
      <c r="FAS5"/>
      <c r="FAT5"/>
      <c r="FAU5"/>
      <c r="FAV5"/>
      <c r="FAW5"/>
      <c r="FAX5"/>
      <c r="FAY5"/>
      <c r="FAZ5"/>
      <c r="FBA5"/>
      <c r="FBB5"/>
      <c r="FBC5"/>
      <c r="FBD5"/>
      <c r="FBE5"/>
      <c r="FBF5"/>
      <c r="FBG5"/>
      <c r="FBH5"/>
      <c r="FBI5"/>
      <c r="FBJ5"/>
      <c r="FBK5"/>
      <c r="FBL5"/>
      <c r="FBM5"/>
      <c r="FBN5"/>
      <c r="FBO5"/>
      <c r="FBP5"/>
      <c r="FBQ5"/>
      <c r="FBR5"/>
      <c r="FBS5"/>
      <c r="FBT5"/>
      <c r="FBU5"/>
      <c r="FBV5"/>
      <c r="FBW5"/>
      <c r="FBX5"/>
      <c r="FBY5"/>
      <c r="FBZ5"/>
      <c r="FCA5"/>
      <c r="FCB5"/>
      <c r="FCC5"/>
      <c r="FCD5"/>
      <c r="FCE5"/>
      <c r="FCF5"/>
      <c r="FCG5"/>
      <c r="FCH5"/>
      <c r="FCI5"/>
      <c r="FCJ5"/>
      <c r="FCK5"/>
      <c r="FCL5"/>
      <c r="FCM5"/>
      <c r="FCN5"/>
      <c r="FCO5"/>
      <c r="FCP5"/>
      <c r="FCQ5"/>
      <c r="FCR5"/>
      <c r="FCS5"/>
      <c r="FCT5"/>
      <c r="FCU5"/>
      <c r="FCV5"/>
      <c r="FCW5"/>
      <c r="FCX5"/>
      <c r="FCY5"/>
      <c r="FCZ5"/>
      <c r="FDA5"/>
      <c r="FDB5"/>
      <c r="FDC5"/>
      <c r="FDD5"/>
      <c r="FDE5"/>
      <c r="FDF5"/>
      <c r="FDG5"/>
      <c r="FDH5"/>
      <c r="FDI5"/>
      <c r="FDJ5"/>
      <c r="FDK5"/>
      <c r="FDL5"/>
      <c r="FDM5"/>
      <c r="FDN5"/>
      <c r="FDO5"/>
      <c r="FDP5"/>
      <c r="FDQ5"/>
      <c r="FDR5"/>
      <c r="FDS5"/>
      <c r="FDT5"/>
      <c r="FDU5"/>
      <c r="FDV5"/>
      <c r="FDW5"/>
      <c r="FDX5"/>
      <c r="FDY5"/>
      <c r="FDZ5"/>
      <c r="FEA5"/>
      <c r="FEB5"/>
      <c r="FEC5"/>
      <c r="FED5"/>
      <c r="FEE5"/>
      <c r="FEF5"/>
      <c r="FEG5"/>
      <c r="FEH5"/>
      <c r="FEI5"/>
      <c r="FEJ5"/>
      <c r="FEK5"/>
      <c r="FEL5"/>
      <c r="FEM5"/>
      <c r="FEN5"/>
      <c r="FEO5"/>
      <c r="FEP5"/>
      <c r="FEQ5"/>
      <c r="FER5"/>
      <c r="FES5"/>
      <c r="FET5"/>
      <c r="FEU5"/>
      <c r="FEV5"/>
      <c r="FEW5"/>
      <c r="FEX5"/>
      <c r="FEY5"/>
      <c r="FEZ5"/>
      <c r="FFA5"/>
      <c r="FFB5"/>
      <c r="FFC5"/>
      <c r="FFD5"/>
      <c r="FFE5"/>
      <c r="FFF5"/>
      <c r="FFG5"/>
      <c r="FFH5"/>
      <c r="FFI5"/>
      <c r="FFJ5"/>
      <c r="FFK5"/>
      <c r="FFL5"/>
      <c r="FFM5"/>
      <c r="FFN5"/>
      <c r="FFO5"/>
      <c r="FFP5"/>
      <c r="FFQ5"/>
      <c r="FFR5"/>
      <c r="FFS5"/>
      <c r="FFT5"/>
      <c r="FFU5"/>
      <c r="FFV5"/>
      <c r="FFW5"/>
      <c r="FFX5"/>
      <c r="FFY5"/>
      <c r="FFZ5"/>
      <c r="FGA5"/>
      <c r="FGB5"/>
      <c r="FGC5"/>
      <c r="FGD5"/>
      <c r="FGE5"/>
      <c r="FGF5"/>
      <c r="FGG5"/>
      <c r="FGH5"/>
      <c r="FGI5"/>
      <c r="FGJ5"/>
      <c r="FGK5"/>
      <c r="FGL5"/>
      <c r="FGM5"/>
      <c r="FGN5"/>
      <c r="FGO5"/>
      <c r="FGP5"/>
      <c r="FGQ5"/>
      <c r="FGR5"/>
      <c r="FGS5"/>
      <c r="FGT5"/>
      <c r="FGU5"/>
      <c r="FGV5"/>
      <c r="FGW5"/>
      <c r="FGX5"/>
      <c r="FGY5"/>
      <c r="FGZ5"/>
      <c r="FHA5"/>
      <c r="FHB5"/>
      <c r="FHC5"/>
      <c r="FHD5"/>
      <c r="FHE5"/>
      <c r="FHF5"/>
      <c r="FHG5"/>
      <c r="FHH5"/>
      <c r="FHI5"/>
      <c r="FHJ5"/>
      <c r="FHK5"/>
      <c r="FHL5"/>
      <c r="FHM5"/>
      <c r="FHN5"/>
      <c r="FHO5"/>
      <c r="FHP5"/>
      <c r="FHQ5"/>
      <c r="FHR5"/>
      <c r="FHS5"/>
      <c r="FHT5"/>
      <c r="FHU5"/>
      <c r="FHV5"/>
      <c r="FHW5"/>
      <c r="FHX5"/>
      <c r="FHY5"/>
      <c r="FHZ5"/>
      <c r="FIA5"/>
      <c r="FIB5"/>
      <c r="FIC5"/>
      <c r="FID5"/>
      <c r="FIE5"/>
      <c r="FIF5"/>
      <c r="FIG5"/>
      <c r="FIH5"/>
      <c r="FII5"/>
      <c r="FIJ5"/>
      <c r="FIK5"/>
      <c r="FIL5"/>
      <c r="FIM5"/>
      <c r="FIN5"/>
      <c r="FIO5"/>
      <c r="FIP5"/>
      <c r="FIQ5"/>
      <c r="FIR5"/>
      <c r="FIS5"/>
      <c r="FIT5"/>
      <c r="FIU5"/>
      <c r="FIV5"/>
      <c r="FIW5"/>
      <c r="FIX5"/>
      <c r="FIY5"/>
      <c r="FIZ5"/>
      <c r="FJA5"/>
      <c r="FJB5"/>
      <c r="FJC5"/>
      <c r="FJD5"/>
      <c r="FJE5"/>
      <c r="FJF5"/>
      <c r="FJG5"/>
      <c r="FJH5"/>
      <c r="FJI5"/>
      <c r="FJJ5"/>
      <c r="FJK5"/>
      <c r="FJL5"/>
      <c r="FJM5"/>
      <c r="FJN5"/>
      <c r="FJO5"/>
      <c r="FJP5"/>
      <c r="FJQ5"/>
      <c r="FJR5"/>
      <c r="FJS5"/>
      <c r="FJT5"/>
      <c r="FJU5"/>
      <c r="FJV5"/>
      <c r="FJW5"/>
      <c r="FJX5"/>
      <c r="FJY5"/>
      <c r="FJZ5"/>
      <c r="FKA5"/>
      <c r="FKB5"/>
      <c r="FKC5"/>
      <c r="FKD5"/>
      <c r="FKE5"/>
      <c r="FKF5"/>
      <c r="FKG5"/>
      <c r="FKH5"/>
      <c r="FKI5"/>
      <c r="FKJ5"/>
      <c r="FKK5"/>
      <c r="FKL5"/>
      <c r="FKM5"/>
      <c r="FKN5"/>
      <c r="FKO5"/>
      <c r="FKP5"/>
      <c r="FKQ5"/>
      <c r="FKR5"/>
      <c r="FKS5"/>
      <c r="FKT5"/>
      <c r="FKU5"/>
      <c r="FKV5"/>
      <c r="FKW5"/>
      <c r="FKX5"/>
      <c r="FKY5"/>
      <c r="FKZ5"/>
      <c r="FLA5"/>
      <c r="FLB5"/>
      <c r="FLC5"/>
      <c r="FLD5"/>
      <c r="FLE5"/>
      <c r="FLF5"/>
      <c r="FLG5"/>
      <c r="FLH5"/>
      <c r="FLI5"/>
      <c r="FLJ5"/>
      <c r="FLK5"/>
      <c r="FLL5"/>
      <c r="FLM5"/>
      <c r="FLN5"/>
      <c r="FLO5"/>
      <c r="FLP5"/>
      <c r="FLQ5"/>
      <c r="FLR5"/>
      <c r="FLS5"/>
      <c r="FLT5"/>
      <c r="FLU5"/>
      <c r="FLV5"/>
      <c r="FLW5"/>
      <c r="FLX5"/>
      <c r="FLY5"/>
      <c r="FLZ5"/>
      <c r="FMA5"/>
      <c r="FMB5"/>
      <c r="FMC5"/>
      <c r="FMD5"/>
      <c r="FME5"/>
      <c r="FMF5"/>
      <c r="FMG5"/>
      <c r="FMH5"/>
      <c r="FMI5"/>
      <c r="FMJ5"/>
      <c r="FMK5"/>
      <c r="FML5"/>
      <c r="FMM5"/>
      <c r="FMN5"/>
      <c r="FMO5"/>
      <c r="FMP5"/>
      <c r="FMQ5"/>
      <c r="FMR5"/>
      <c r="FMS5"/>
      <c r="FMT5"/>
      <c r="FMU5"/>
      <c r="FMV5"/>
      <c r="FMW5"/>
      <c r="FMX5"/>
      <c r="FMY5"/>
      <c r="FMZ5"/>
      <c r="FNA5"/>
      <c r="FNB5"/>
      <c r="FNC5"/>
      <c r="FND5"/>
      <c r="FNE5"/>
      <c r="FNF5"/>
      <c r="FNG5"/>
      <c r="FNH5"/>
      <c r="FNI5"/>
      <c r="FNJ5"/>
      <c r="FNK5"/>
      <c r="FNL5"/>
      <c r="FNM5"/>
      <c r="FNN5"/>
      <c r="FNO5"/>
      <c r="FNP5"/>
      <c r="FNQ5"/>
      <c r="FNR5"/>
      <c r="FNS5"/>
      <c r="FNT5"/>
      <c r="FNU5"/>
      <c r="FNV5"/>
      <c r="FNW5"/>
      <c r="FNX5"/>
      <c r="FNY5"/>
      <c r="FNZ5"/>
      <c r="FOA5"/>
      <c r="FOB5"/>
      <c r="FOC5"/>
      <c r="FOD5"/>
      <c r="FOE5"/>
      <c r="FOF5"/>
      <c r="FOG5"/>
      <c r="FOH5"/>
      <c r="FOI5"/>
      <c r="FOJ5"/>
      <c r="FOK5"/>
      <c r="FOL5"/>
      <c r="FOM5"/>
      <c r="FON5"/>
      <c r="FOO5"/>
      <c r="FOP5"/>
      <c r="FOQ5"/>
      <c r="FOR5"/>
      <c r="FOS5"/>
      <c r="FOT5"/>
      <c r="FOU5"/>
      <c r="FOV5"/>
      <c r="FOW5"/>
      <c r="FOX5"/>
      <c r="FOY5"/>
      <c r="FOZ5"/>
      <c r="FPA5"/>
      <c r="FPB5"/>
      <c r="FPC5"/>
      <c r="FPD5"/>
      <c r="FPE5"/>
      <c r="FPF5"/>
      <c r="FPG5"/>
      <c r="FPH5"/>
      <c r="FPI5"/>
      <c r="FPJ5"/>
      <c r="FPK5"/>
      <c r="FPL5"/>
      <c r="FPM5"/>
      <c r="FPN5"/>
      <c r="FPO5"/>
      <c r="FPP5"/>
      <c r="FPQ5"/>
      <c r="FPR5"/>
      <c r="FPS5"/>
      <c r="FPT5"/>
      <c r="FPU5"/>
      <c r="FPV5"/>
      <c r="FPW5"/>
      <c r="FPX5"/>
      <c r="FPY5"/>
      <c r="FPZ5"/>
      <c r="FQA5"/>
      <c r="FQB5"/>
      <c r="FQC5"/>
      <c r="FQD5"/>
      <c r="FQE5"/>
      <c r="FQF5"/>
      <c r="FQG5"/>
      <c r="FQH5"/>
      <c r="FQI5"/>
      <c r="FQJ5"/>
      <c r="FQK5"/>
      <c r="FQL5"/>
      <c r="FQM5"/>
      <c r="FQN5"/>
      <c r="FQO5"/>
      <c r="FQP5"/>
      <c r="FQQ5"/>
      <c r="FQR5"/>
      <c r="FQS5"/>
      <c r="FQT5"/>
      <c r="FQU5"/>
      <c r="FQV5"/>
      <c r="FQW5"/>
      <c r="FQX5"/>
      <c r="FQY5"/>
      <c r="FQZ5"/>
      <c r="FRA5"/>
      <c r="FRB5"/>
      <c r="FRC5"/>
      <c r="FRD5"/>
      <c r="FRE5"/>
      <c r="FRF5"/>
      <c r="FRG5"/>
      <c r="FRH5"/>
      <c r="FRI5"/>
      <c r="FRJ5"/>
      <c r="FRK5"/>
      <c r="FRL5"/>
      <c r="FRM5"/>
      <c r="FRN5"/>
      <c r="FRO5"/>
      <c r="FRP5"/>
      <c r="FRQ5"/>
      <c r="FRR5"/>
      <c r="FRS5"/>
      <c r="FRT5"/>
      <c r="FRU5"/>
      <c r="FRV5"/>
      <c r="FRW5"/>
      <c r="FRX5"/>
      <c r="FRY5"/>
      <c r="FRZ5"/>
      <c r="FSA5"/>
      <c r="FSB5"/>
      <c r="FSC5"/>
      <c r="FSD5"/>
      <c r="FSE5"/>
      <c r="FSF5"/>
      <c r="FSG5"/>
      <c r="FSH5"/>
      <c r="FSI5"/>
      <c r="FSJ5"/>
      <c r="FSK5"/>
      <c r="FSL5"/>
      <c r="FSM5"/>
      <c r="FSN5"/>
      <c r="FSO5"/>
      <c r="FSP5"/>
      <c r="FSQ5"/>
      <c r="FSR5"/>
      <c r="FSS5"/>
      <c r="FST5"/>
      <c r="FSU5"/>
      <c r="FSV5"/>
      <c r="FSW5"/>
      <c r="FSX5"/>
      <c r="FSY5"/>
      <c r="FSZ5"/>
      <c r="FTA5"/>
      <c r="FTB5"/>
      <c r="FTC5"/>
      <c r="FTD5"/>
      <c r="FTE5"/>
      <c r="FTF5"/>
      <c r="FTG5"/>
      <c r="FTH5"/>
      <c r="FTI5"/>
      <c r="FTJ5"/>
      <c r="FTK5"/>
      <c r="FTL5"/>
      <c r="FTM5"/>
      <c r="FTN5"/>
      <c r="FTO5"/>
      <c r="FTP5"/>
      <c r="FTQ5"/>
      <c r="FTR5"/>
      <c r="FTS5"/>
      <c r="FTT5"/>
      <c r="FTU5"/>
      <c r="FTV5"/>
      <c r="FTW5"/>
      <c r="FTX5"/>
      <c r="FTY5"/>
      <c r="FTZ5"/>
      <c r="FUA5"/>
      <c r="FUB5"/>
      <c r="FUC5"/>
      <c r="FUD5"/>
      <c r="FUE5"/>
      <c r="FUF5"/>
      <c r="FUG5"/>
      <c r="FUH5"/>
      <c r="FUI5"/>
      <c r="FUJ5"/>
      <c r="FUK5"/>
      <c r="FUL5"/>
      <c r="FUM5"/>
      <c r="FUN5"/>
      <c r="FUO5"/>
      <c r="FUP5"/>
      <c r="FUQ5"/>
      <c r="FUR5"/>
      <c r="FUS5"/>
      <c r="FUT5"/>
      <c r="FUU5"/>
      <c r="FUV5"/>
      <c r="FUW5"/>
      <c r="FUX5"/>
      <c r="FUY5"/>
      <c r="FUZ5"/>
      <c r="FVA5"/>
      <c r="FVB5"/>
      <c r="FVC5"/>
      <c r="FVD5"/>
      <c r="FVE5"/>
      <c r="FVF5"/>
      <c r="FVG5"/>
      <c r="FVH5"/>
      <c r="FVI5"/>
      <c r="FVJ5"/>
      <c r="FVK5"/>
      <c r="FVL5"/>
      <c r="FVM5"/>
      <c r="FVN5"/>
      <c r="FVO5"/>
      <c r="FVP5"/>
      <c r="FVQ5"/>
      <c r="FVR5"/>
      <c r="FVS5"/>
      <c r="FVT5"/>
      <c r="FVU5"/>
      <c r="FVV5"/>
      <c r="FVW5"/>
      <c r="FVX5"/>
      <c r="FVY5"/>
      <c r="FVZ5"/>
      <c r="FWA5"/>
      <c r="FWB5"/>
      <c r="FWC5"/>
      <c r="FWD5"/>
      <c r="FWE5"/>
      <c r="FWF5"/>
      <c r="FWG5"/>
      <c r="FWH5"/>
      <c r="FWI5"/>
      <c r="FWJ5"/>
      <c r="FWK5"/>
      <c r="FWL5"/>
      <c r="FWM5"/>
      <c r="FWN5"/>
      <c r="FWO5"/>
      <c r="FWP5"/>
      <c r="FWQ5"/>
      <c r="FWR5"/>
      <c r="FWS5"/>
      <c r="FWT5"/>
      <c r="FWU5"/>
      <c r="FWV5"/>
      <c r="FWW5"/>
      <c r="FWX5"/>
      <c r="FWY5"/>
      <c r="FWZ5"/>
      <c r="FXA5"/>
      <c r="FXB5"/>
      <c r="FXC5"/>
      <c r="FXD5"/>
      <c r="FXE5"/>
      <c r="FXF5"/>
      <c r="FXG5"/>
      <c r="FXH5"/>
      <c r="FXI5"/>
      <c r="FXJ5"/>
      <c r="FXK5"/>
      <c r="FXL5"/>
      <c r="FXM5"/>
      <c r="FXN5"/>
      <c r="FXO5"/>
      <c r="FXP5"/>
      <c r="FXQ5"/>
      <c r="FXR5"/>
      <c r="FXS5"/>
      <c r="FXT5"/>
      <c r="FXU5"/>
      <c r="FXV5"/>
      <c r="FXW5"/>
      <c r="FXX5"/>
      <c r="FXY5"/>
      <c r="FXZ5"/>
      <c r="FYA5"/>
      <c r="FYB5"/>
      <c r="FYC5"/>
      <c r="FYD5"/>
      <c r="FYE5"/>
      <c r="FYF5"/>
      <c r="FYG5"/>
      <c r="FYH5"/>
      <c r="FYI5"/>
      <c r="FYJ5"/>
      <c r="FYK5"/>
      <c r="FYL5"/>
      <c r="FYM5"/>
      <c r="FYN5"/>
      <c r="FYO5"/>
      <c r="FYP5"/>
      <c r="FYQ5"/>
      <c r="FYR5"/>
      <c r="FYS5"/>
      <c r="FYT5"/>
      <c r="FYU5"/>
      <c r="FYV5"/>
      <c r="FYW5"/>
      <c r="FYX5"/>
      <c r="FYY5"/>
      <c r="FYZ5"/>
      <c r="FZA5"/>
      <c r="FZB5"/>
      <c r="FZC5"/>
      <c r="FZD5"/>
      <c r="FZE5"/>
      <c r="FZF5"/>
      <c r="FZG5"/>
      <c r="FZH5"/>
      <c r="FZI5"/>
      <c r="FZJ5"/>
      <c r="FZK5"/>
      <c r="FZL5"/>
      <c r="FZM5"/>
      <c r="FZN5"/>
      <c r="FZO5"/>
      <c r="FZP5"/>
      <c r="FZQ5"/>
      <c r="FZR5"/>
      <c r="FZS5"/>
      <c r="FZT5"/>
      <c r="FZU5"/>
      <c r="FZV5"/>
      <c r="FZW5"/>
      <c r="FZX5"/>
      <c r="FZY5"/>
      <c r="FZZ5"/>
      <c r="GAA5"/>
      <c r="GAB5"/>
      <c r="GAC5"/>
      <c r="GAD5"/>
      <c r="GAE5"/>
      <c r="GAF5"/>
      <c r="GAG5"/>
      <c r="GAH5"/>
      <c r="GAI5"/>
      <c r="GAJ5"/>
      <c r="GAK5"/>
      <c r="GAL5"/>
      <c r="GAM5"/>
      <c r="GAN5"/>
      <c r="GAO5"/>
      <c r="GAP5"/>
      <c r="GAQ5"/>
      <c r="GAR5"/>
      <c r="GAS5"/>
      <c r="GAT5"/>
      <c r="GAU5"/>
      <c r="GAV5"/>
      <c r="GAW5"/>
      <c r="GAX5"/>
      <c r="GAY5"/>
      <c r="GAZ5"/>
      <c r="GBA5"/>
      <c r="GBB5"/>
      <c r="GBC5"/>
      <c r="GBD5"/>
      <c r="GBE5"/>
      <c r="GBF5"/>
      <c r="GBG5"/>
      <c r="GBH5"/>
      <c r="GBI5"/>
      <c r="GBJ5"/>
      <c r="GBK5"/>
      <c r="GBL5"/>
      <c r="GBM5"/>
      <c r="GBN5"/>
      <c r="GBO5"/>
      <c r="GBP5"/>
      <c r="GBQ5"/>
      <c r="GBR5"/>
      <c r="GBS5"/>
      <c r="GBT5"/>
      <c r="GBU5"/>
      <c r="GBV5"/>
      <c r="GBW5"/>
      <c r="GBX5"/>
      <c r="GBY5"/>
      <c r="GBZ5"/>
      <c r="GCA5"/>
      <c r="GCB5"/>
      <c r="GCC5"/>
      <c r="GCD5"/>
      <c r="GCE5"/>
      <c r="GCF5"/>
      <c r="GCG5"/>
      <c r="GCH5"/>
      <c r="GCI5"/>
      <c r="GCJ5"/>
      <c r="GCK5"/>
      <c r="GCL5"/>
      <c r="GCM5"/>
      <c r="GCN5"/>
      <c r="GCO5"/>
      <c r="GCP5"/>
      <c r="GCQ5"/>
      <c r="GCR5"/>
      <c r="GCS5"/>
      <c r="GCT5"/>
      <c r="GCU5"/>
      <c r="GCV5"/>
      <c r="GCW5"/>
      <c r="GCX5"/>
      <c r="GCY5"/>
      <c r="GCZ5"/>
      <c r="GDA5"/>
      <c r="GDB5"/>
      <c r="GDC5"/>
      <c r="GDD5"/>
      <c r="GDE5"/>
      <c r="GDF5"/>
      <c r="GDG5"/>
      <c r="GDH5"/>
      <c r="GDI5"/>
      <c r="GDJ5"/>
      <c r="GDK5"/>
      <c r="GDL5"/>
      <c r="GDM5"/>
      <c r="GDN5"/>
      <c r="GDO5"/>
      <c r="GDP5"/>
      <c r="GDQ5"/>
      <c r="GDR5"/>
      <c r="GDS5"/>
      <c r="GDT5"/>
      <c r="GDU5"/>
      <c r="GDV5"/>
      <c r="GDW5"/>
      <c r="GDX5"/>
      <c r="GDY5"/>
      <c r="GDZ5"/>
      <c r="GEA5"/>
      <c r="GEB5"/>
      <c r="GEC5"/>
      <c r="GED5"/>
      <c r="GEE5"/>
      <c r="GEF5"/>
      <c r="GEG5"/>
      <c r="GEH5"/>
      <c r="GEI5"/>
      <c r="GEJ5"/>
      <c r="GEK5"/>
      <c r="GEL5"/>
      <c r="GEM5"/>
      <c r="GEN5"/>
      <c r="GEO5"/>
      <c r="GEP5"/>
      <c r="GEQ5"/>
      <c r="GER5"/>
      <c r="GES5"/>
      <c r="GET5"/>
      <c r="GEU5"/>
      <c r="GEV5"/>
      <c r="GEW5"/>
      <c r="GEX5"/>
      <c r="GEY5"/>
      <c r="GEZ5"/>
      <c r="GFA5"/>
      <c r="GFB5"/>
      <c r="GFC5"/>
      <c r="GFD5"/>
      <c r="GFE5"/>
      <c r="GFF5"/>
      <c r="GFG5"/>
      <c r="GFH5"/>
      <c r="GFI5"/>
      <c r="GFJ5"/>
      <c r="GFK5"/>
      <c r="GFL5"/>
      <c r="GFM5"/>
      <c r="GFN5"/>
      <c r="GFO5"/>
      <c r="GFP5"/>
      <c r="GFQ5"/>
      <c r="GFR5"/>
      <c r="GFS5"/>
      <c r="GFT5"/>
      <c r="GFU5"/>
      <c r="GFV5"/>
      <c r="GFW5"/>
      <c r="GFX5"/>
      <c r="GFY5"/>
      <c r="GFZ5"/>
      <c r="GGA5"/>
      <c r="GGB5"/>
      <c r="GGC5"/>
      <c r="GGD5"/>
      <c r="GGE5"/>
      <c r="GGF5"/>
      <c r="GGG5"/>
      <c r="GGH5"/>
      <c r="GGI5"/>
      <c r="GGJ5"/>
      <c r="GGK5"/>
      <c r="GGL5"/>
      <c r="GGM5"/>
      <c r="GGN5"/>
      <c r="GGO5"/>
      <c r="GGP5"/>
      <c r="GGQ5"/>
      <c r="GGR5"/>
      <c r="GGS5"/>
      <c r="GGT5"/>
      <c r="GGU5"/>
      <c r="GGV5"/>
      <c r="GGW5"/>
      <c r="GGX5"/>
      <c r="GGY5"/>
      <c r="GGZ5"/>
      <c r="GHA5"/>
      <c r="GHB5"/>
      <c r="GHC5"/>
      <c r="GHD5"/>
      <c r="GHE5"/>
      <c r="GHF5"/>
      <c r="GHG5"/>
      <c r="GHH5"/>
      <c r="GHI5"/>
      <c r="GHJ5"/>
      <c r="GHK5"/>
      <c r="GHL5"/>
      <c r="GHM5"/>
      <c r="GHN5"/>
      <c r="GHO5"/>
      <c r="GHP5"/>
      <c r="GHQ5"/>
      <c r="GHR5"/>
      <c r="GHS5"/>
      <c r="GHT5"/>
      <c r="GHU5"/>
      <c r="GHV5"/>
      <c r="GHW5"/>
      <c r="GHX5"/>
      <c r="GHY5"/>
      <c r="GHZ5"/>
      <c r="GIA5"/>
      <c r="GIB5"/>
      <c r="GIC5"/>
      <c r="GID5"/>
      <c r="GIE5"/>
      <c r="GIF5"/>
      <c r="GIG5"/>
      <c r="GIH5"/>
      <c r="GII5"/>
      <c r="GIJ5"/>
      <c r="GIK5"/>
      <c r="GIL5"/>
      <c r="GIM5"/>
      <c r="GIN5"/>
      <c r="GIO5"/>
      <c r="GIP5"/>
      <c r="GIQ5"/>
      <c r="GIR5"/>
      <c r="GIS5"/>
      <c r="GIT5"/>
      <c r="GIU5"/>
      <c r="GIV5"/>
      <c r="GIW5"/>
      <c r="GIX5"/>
      <c r="GIY5"/>
      <c r="GIZ5"/>
      <c r="GJA5"/>
      <c r="GJB5"/>
      <c r="GJC5"/>
      <c r="GJD5"/>
      <c r="GJE5"/>
      <c r="GJF5"/>
      <c r="GJG5"/>
      <c r="GJH5"/>
      <c r="GJI5"/>
      <c r="GJJ5"/>
      <c r="GJK5"/>
      <c r="GJL5"/>
      <c r="GJM5"/>
      <c r="GJN5"/>
      <c r="GJO5"/>
      <c r="GJP5"/>
      <c r="GJQ5"/>
      <c r="GJR5"/>
      <c r="GJS5"/>
      <c r="GJT5"/>
      <c r="GJU5"/>
      <c r="GJV5"/>
      <c r="GJW5"/>
      <c r="GJX5"/>
      <c r="GJY5"/>
      <c r="GJZ5"/>
      <c r="GKA5"/>
      <c r="GKB5"/>
      <c r="GKC5"/>
      <c r="GKD5"/>
      <c r="GKE5"/>
      <c r="GKF5"/>
      <c r="GKG5"/>
      <c r="GKH5"/>
      <c r="GKI5"/>
      <c r="GKJ5"/>
      <c r="GKK5"/>
      <c r="GKL5"/>
      <c r="GKM5"/>
      <c r="GKN5"/>
      <c r="GKO5"/>
      <c r="GKP5"/>
      <c r="GKQ5"/>
      <c r="GKR5"/>
      <c r="GKS5"/>
      <c r="GKT5"/>
      <c r="GKU5"/>
      <c r="GKV5"/>
      <c r="GKW5"/>
      <c r="GKX5"/>
      <c r="GKY5"/>
      <c r="GKZ5"/>
      <c r="GLA5"/>
      <c r="GLB5"/>
      <c r="GLC5"/>
      <c r="GLD5"/>
      <c r="GLE5"/>
      <c r="GLF5"/>
      <c r="GLG5"/>
      <c r="GLH5"/>
      <c r="GLI5"/>
      <c r="GLJ5"/>
      <c r="GLK5"/>
      <c r="GLL5"/>
      <c r="GLM5"/>
      <c r="GLN5"/>
      <c r="GLO5"/>
      <c r="GLP5"/>
      <c r="GLQ5"/>
      <c r="GLR5"/>
      <c r="GLS5"/>
      <c r="GLT5"/>
      <c r="GLU5"/>
      <c r="GLV5"/>
      <c r="GLW5"/>
      <c r="GLX5"/>
      <c r="GLY5"/>
      <c r="GLZ5"/>
      <c r="GMA5"/>
      <c r="GMB5"/>
      <c r="GMC5"/>
      <c r="GMD5"/>
      <c r="GME5"/>
      <c r="GMF5"/>
      <c r="GMG5"/>
      <c r="GMH5"/>
      <c r="GMI5"/>
      <c r="GMJ5"/>
      <c r="GMK5"/>
      <c r="GML5"/>
      <c r="GMM5"/>
      <c r="GMN5"/>
      <c r="GMO5"/>
      <c r="GMP5"/>
      <c r="GMQ5"/>
      <c r="GMR5"/>
      <c r="GMS5"/>
      <c r="GMT5"/>
      <c r="GMU5"/>
      <c r="GMV5"/>
      <c r="GMW5"/>
      <c r="GMX5"/>
      <c r="GMY5"/>
      <c r="GMZ5"/>
      <c r="GNA5"/>
      <c r="GNB5"/>
      <c r="GNC5"/>
      <c r="GND5"/>
      <c r="GNE5"/>
      <c r="GNF5"/>
      <c r="GNG5"/>
      <c r="GNH5"/>
      <c r="GNI5"/>
      <c r="GNJ5"/>
      <c r="GNK5"/>
      <c r="GNL5"/>
      <c r="GNM5"/>
      <c r="GNN5"/>
      <c r="GNO5"/>
      <c r="GNP5"/>
      <c r="GNQ5"/>
      <c r="GNR5"/>
      <c r="GNS5"/>
      <c r="GNT5"/>
      <c r="GNU5"/>
      <c r="GNV5"/>
      <c r="GNW5"/>
      <c r="GNX5"/>
      <c r="GNY5"/>
      <c r="GNZ5"/>
      <c r="GOA5"/>
      <c r="GOB5"/>
      <c r="GOC5"/>
      <c r="GOD5"/>
      <c r="GOE5"/>
      <c r="GOF5"/>
      <c r="GOG5"/>
      <c r="GOH5"/>
      <c r="GOI5"/>
      <c r="GOJ5"/>
      <c r="GOK5"/>
      <c r="GOL5"/>
      <c r="GOM5"/>
      <c r="GON5"/>
      <c r="GOO5"/>
      <c r="GOP5"/>
      <c r="GOQ5"/>
      <c r="GOR5"/>
      <c r="GOS5"/>
      <c r="GOT5"/>
      <c r="GOU5"/>
      <c r="GOV5"/>
      <c r="GOW5"/>
      <c r="GOX5"/>
      <c r="GOY5"/>
      <c r="GOZ5"/>
      <c r="GPA5"/>
      <c r="GPB5"/>
      <c r="GPC5"/>
      <c r="GPD5"/>
      <c r="GPE5"/>
      <c r="GPF5"/>
      <c r="GPG5"/>
      <c r="GPH5"/>
      <c r="GPI5"/>
      <c r="GPJ5"/>
      <c r="GPK5"/>
      <c r="GPL5"/>
      <c r="GPM5"/>
      <c r="GPN5"/>
      <c r="GPO5"/>
      <c r="GPP5"/>
      <c r="GPQ5"/>
      <c r="GPR5"/>
      <c r="GPS5"/>
      <c r="GPT5"/>
      <c r="GPU5"/>
      <c r="GPV5"/>
      <c r="GPW5"/>
      <c r="GPX5"/>
      <c r="GPY5"/>
      <c r="GPZ5"/>
      <c r="GQA5"/>
      <c r="GQB5"/>
      <c r="GQC5"/>
      <c r="GQD5"/>
      <c r="GQE5"/>
      <c r="GQF5"/>
      <c r="GQG5"/>
      <c r="GQH5"/>
      <c r="GQI5"/>
      <c r="GQJ5"/>
      <c r="GQK5"/>
      <c r="GQL5"/>
      <c r="GQM5"/>
      <c r="GQN5"/>
      <c r="GQO5"/>
      <c r="GQP5"/>
      <c r="GQQ5"/>
      <c r="GQR5"/>
      <c r="GQS5"/>
      <c r="GQT5"/>
      <c r="GQU5"/>
      <c r="GQV5"/>
      <c r="GQW5"/>
      <c r="GQX5"/>
      <c r="GQY5"/>
      <c r="GQZ5"/>
      <c r="GRA5"/>
      <c r="GRB5"/>
      <c r="GRC5"/>
      <c r="GRD5"/>
      <c r="GRE5"/>
      <c r="GRF5"/>
      <c r="GRG5"/>
      <c r="GRH5"/>
      <c r="GRI5"/>
      <c r="GRJ5"/>
      <c r="GRK5"/>
      <c r="GRL5"/>
      <c r="GRM5"/>
      <c r="GRN5"/>
      <c r="GRO5"/>
      <c r="GRP5"/>
      <c r="GRQ5"/>
      <c r="GRR5"/>
      <c r="GRS5"/>
      <c r="GRT5"/>
      <c r="GRU5"/>
      <c r="GRV5"/>
      <c r="GRW5"/>
      <c r="GRX5"/>
      <c r="GRY5"/>
      <c r="GRZ5"/>
      <c r="GSA5"/>
      <c r="GSB5"/>
      <c r="GSC5"/>
      <c r="GSD5"/>
      <c r="GSE5"/>
      <c r="GSF5"/>
      <c r="GSG5"/>
      <c r="GSH5"/>
      <c r="GSI5"/>
      <c r="GSJ5"/>
      <c r="GSK5"/>
      <c r="GSL5"/>
      <c r="GSM5"/>
      <c r="GSN5"/>
      <c r="GSO5"/>
      <c r="GSP5"/>
      <c r="GSQ5"/>
      <c r="GSR5"/>
      <c r="GSS5"/>
      <c r="GST5"/>
      <c r="GSU5"/>
      <c r="GSV5"/>
      <c r="GSW5"/>
      <c r="GSX5"/>
      <c r="GSY5"/>
      <c r="GSZ5"/>
      <c r="GTA5"/>
      <c r="GTB5"/>
      <c r="GTC5"/>
      <c r="GTD5"/>
      <c r="GTE5"/>
      <c r="GTF5"/>
      <c r="GTG5"/>
      <c r="GTH5"/>
      <c r="GTI5"/>
      <c r="GTJ5"/>
      <c r="GTK5"/>
      <c r="GTL5"/>
      <c r="GTM5"/>
      <c r="GTN5"/>
      <c r="GTO5"/>
      <c r="GTP5"/>
      <c r="GTQ5"/>
      <c r="GTR5"/>
      <c r="GTS5"/>
      <c r="GTT5"/>
      <c r="GTU5"/>
      <c r="GTV5"/>
      <c r="GTW5"/>
      <c r="GTX5"/>
      <c r="GTY5"/>
      <c r="GTZ5"/>
      <c r="GUA5"/>
      <c r="GUB5"/>
      <c r="GUC5"/>
      <c r="GUD5"/>
      <c r="GUE5"/>
      <c r="GUF5"/>
      <c r="GUG5"/>
      <c r="GUH5"/>
      <c r="GUI5"/>
      <c r="GUJ5"/>
      <c r="GUK5"/>
      <c r="GUL5"/>
      <c r="GUM5"/>
      <c r="GUN5"/>
      <c r="GUO5"/>
      <c r="GUP5"/>
      <c r="GUQ5"/>
      <c r="GUR5"/>
      <c r="GUS5"/>
      <c r="GUT5"/>
      <c r="GUU5"/>
      <c r="GUV5"/>
      <c r="GUW5"/>
      <c r="GUX5"/>
      <c r="GUY5"/>
      <c r="GUZ5"/>
      <c r="GVA5"/>
      <c r="GVB5"/>
      <c r="GVC5"/>
      <c r="GVD5"/>
      <c r="GVE5"/>
      <c r="GVF5"/>
      <c r="GVG5"/>
      <c r="GVH5"/>
      <c r="GVI5"/>
      <c r="GVJ5"/>
      <c r="GVK5"/>
      <c r="GVL5"/>
      <c r="GVM5"/>
      <c r="GVN5"/>
      <c r="GVO5"/>
      <c r="GVP5"/>
      <c r="GVQ5"/>
      <c r="GVR5"/>
      <c r="GVS5"/>
      <c r="GVT5"/>
      <c r="GVU5"/>
      <c r="GVV5"/>
      <c r="GVW5"/>
      <c r="GVX5"/>
      <c r="GVY5"/>
      <c r="GVZ5"/>
      <c r="GWA5"/>
      <c r="GWB5"/>
      <c r="GWC5"/>
      <c r="GWD5"/>
      <c r="GWE5"/>
      <c r="GWF5"/>
      <c r="GWG5"/>
      <c r="GWH5"/>
      <c r="GWI5"/>
      <c r="GWJ5"/>
      <c r="GWK5"/>
      <c r="GWL5"/>
      <c r="GWM5"/>
      <c r="GWN5"/>
      <c r="GWO5"/>
      <c r="GWP5"/>
      <c r="GWQ5"/>
      <c r="GWR5"/>
      <c r="GWS5"/>
      <c r="GWT5"/>
      <c r="GWU5"/>
      <c r="GWV5"/>
      <c r="GWW5"/>
      <c r="GWX5"/>
      <c r="GWY5"/>
      <c r="GWZ5"/>
      <c r="GXA5"/>
      <c r="GXB5"/>
      <c r="GXC5"/>
      <c r="GXD5"/>
      <c r="GXE5"/>
      <c r="GXF5"/>
      <c r="GXG5"/>
      <c r="GXH5"/>
      <c r="GXI5"/>
      <c r="GXJ5"/>
      <c r="GXK5"/>
      <c r="GXL5"/>
      <c r="GXM5"/>
      <c r="GXN5"/>
      <c r="GXO5"/>
      <c r="GXP5"/>
      <c r="GXQ5"/>
      <c r="GXR5"/>
      <c r="GXS5"/>
      <c r="GXT5"/>
      <c r="GXU5"/>
      <c r="GXV5"/>
      <c r="GXW5"/>
      <c r="GXX5"/>
      <c r="GXY5"/>
      <c r="GXZ5"/>
      <c r="GYA5"/>
      <c r="GYB5"/>
      <c r="GYC5"/>
      <c r="GYD5"/>
      <c r="GYE5"/>
      <c r="GYF5"/>
      <c r="GYG5"/>
      <c r="GYH5"/>
      <c r="GYI5"/>
      <c r="GYJ5"/>
      <c r="GYK5"/>
      <c r="GYL5"/>
      <c r="GYM5"/>
      <c r="GYN5"/>
      <c r="GYO5"/>
      <c r="GYP5"/>
      <c r="GYQ5"/>
      <c r="GYR5"/>
      <c r="GYS5"/>
      <c r="GYT5"/>
      <c r="GYU5"/>
      <c r="GYV5"/>
      <c r="GYW5"/>
      <c r="GYX5"/>
      <c r="GYY5"/>
      <c r="GYZ5"/>
      <c r="GZA5"/>
      <c r="GZB5"/>
      <c r="GZC5"/>
      <c r="GZD5"/>
      <c r="GZE5"/>
      <c r="GZF5"/>
      <c r="GZG5"/>
      <c r="GZH5"/>
      <c r="GZI5"/>
      <c r="GZJ5"/>
      <c r="GZK5"/>
      <c r="GZL5"/>
      <c r="GZM5"/>
      <c r="GZN5"/>
      <c r="GZO5"/>
      <c r="GZP5"/>
      <c r="GZQ5"/>
      <c r="GZR5"/>
      <c r="GZS5"/>
      <c r="GZT5"/>
      <c r="GZU5"/>
      <c r="GZV5"/>
      <c r="GZW5"/>
      <c r="GZX5"/>
      <c r="GZY5"/>
      <c r="GZZ5"/>
      <c r="HAA5"/>
      <c r="HAB5"/>
      <c r="HAC5"/>
      <c r="HAD5"/>
      <c r="HAE5"/>
      <c r="HAF5"/>
      <c r="HAG5"/>
      <c r="HAH5"/>
      <c r="HAI5"/>
      <c r="HAJ5"/>
      <c r="HAK5"/>
      <c r="HAL5"/>
      <c r="HAM5"/>
      <c r="HAN5"/>
      <c r="HAO5"/>
      <c r="HAP5"/>
      <c r="HAQ5"/>
      <c r="HAR5"/>
      <c r="HAS5"/>
      <c r="HAT5"/>
      <c r="HAU5"/>
      <c r="HAV5"/>
      <c r="HAW5"/>
      <c r="HAX5"/>
      <c r="HAY5"/>
      <c r="HAZ5"/>
      <c r="HBA5"/>
      <c r="HBB5"/>
      <c r="HBC5"/>
      <c r="HBD5"/>
      <c r="HBE5"/>
      <c r="HBF5"/>
      <c r="HBG5"/>
      <c r="HBH5"/>
      <c r="HBI5"/>
      <c r="HBJ5"/>
      <c r="HBK5"/>
      <c r="HBL5"/>
      <c r="HBM5"/>
      <c r="HBN5"/>
      <c r="HBO5"/>
      <c r="HBP5"/>
      <c r="HBQ5"/>
      <c r="HBR5"/>
      <c r="HBS5"/>
      <c r="HBT5"/>
      <c r="HBU5"/>
      <c r="HBV5"/>
      <c r="HBW5"/>
      <c r="HBX5"/>
      <c r="HBY5"/>
      <c r="HBZ5"/>
      <c r="HCA5"/>
      <c r="HCB5"/>
      <c r="HCC5"/>
      <c r="HCD5"/>
      <c r="HCE5"/>
      <c r="HCF5"/>
      <c r="HCG5"/>
      <c r="HCH5"/>
      <c r="HCI5"/>
      <c r="HCJ5"/>
      <c r="HCK5"/>
      <c r="HCL5"/>
      <c r="HCM5"/>
      <c r="HCN5"/>
      <c r="HCO5"/>
      <c r="HCP5"/>
      <c r="HCQ5"/>
      <c r="HCR5"/>
      <c r="HCS5"/>
      <c r="HCT5"/>
      <c r="HCU5"/>
      <c r="HCV5"/>
      <c r="HCW5"/>
      <c r="HCX5"/>
      <c r="HCY5"/>
      <c r="HCZ5"/>
      <c r="HDA5"/>
      <c r="HDB5"/>
      <c r="HDC5"/>
      <c r="HDD5"/>
      <c r="HDE5"/>
      <c r="HDF5"/>
      <c r="HDG5"/>
      <c r="HDH5"/>
      <c r="HDI5"/>
      <c r="HDJ5"/>
      <c r="HDK5"/>
      <c r="HDL5"/>
      <c r="HDM5"/>
      <c r="HDN5"/>
      <c r="HDO5"/>
      <c r="HDP5"/>
      <c r="HDQ5"/>
      <c r="HDR5"/>
      <c r="HDS5"/>
      <c r="HDT5"/>
      <c r="HDU5"/>
      <c r="HDV5"/>
      <c r="HDW5"/>
      <c r="HDX5"/>
      <c r="HDY5"/>
      <c r="HDZ5"/>
      <c r="HEA5"/>
      <c r="HEB5"/>
      <c r="HEC5"/>
      <c r="HED5"/>
      <c r="HEE5"/>
      <c r="HEF5"/>
      <c r="HEG5"/>
      <c r="HEH5"/>
      <c r="HEI5"/>
      <c r="HEJ5"/>
      <c r="HEK5"/>
      <c r="HEL5"/>
      <c r="HEM5"/>
      <c r="HEN5"/>
      <c r="HEO5"/>
      <c r="HEP5"/>
      <c r="HEQ5"/>
      <c r="HER5"/>
      <c r="HES5"/>
      <c r="HET5"/>
      <c r="HEU5"/>
      <c r="HEV5"/>
      <c r="HEW5"/>
      <c r="HEX5"/>
      <c r="HEY5"/>
      <c r="HEZ5"/>
      <c r="HFA5"/>
      <c r="HFB5"/>
      <c r="HFC5"/>
      <c r="HFD5"/>
      <c r="HFE5"/>
      <c r="HFF5"/>
      <c r="HFG5"/>
      <c r="HFH5"/>
      <c r="HFI5"/>
      <c r="HFJ5"/>
      <c r="HFK5"/>
      <c r="HFL5"/>
      <c r="HFM5"/>
      <c r="HFN5"/>
      <c r="HFO5"/>
      <c r="HFP5"/>
      <c r="HFQ5"/>
      <c r="HFR5"/>
      <c r="HFS5"/>
      <c r="HFT5"/>
      <c r="HFU5"/>
      <c r="HFV5"/>
      <c r="HFW5"/>
      <c r="HFX5"/>
      <c r="HFY5"/>
      <c r="HFZ5"/>
      <c r="HGA5"/>
      <c r="HGB5"/>
      <c r="HGC5"/>
      <c r="HGD5"/>
      <c r="HGE5"/>
      <c r="HGF5"/>
      <c r="HGG5"/>
      <c r="HGH5"/>
      <c r="HGI5"/>
      <c r="HGJ5"/>
      <c r="HGK5"/>
      <c r="HGL5"/>
      <c r="HGM5"/>
      <c r="HGN5"/>
      <c r="HGO5"/>
      <c r="HGP5"/>
      <c r="HGQ5"/>
      <c r="HGR5"/>
      <c r="HGS5"/>
      <c r="HGT5"/>
      <c r="HGU5"/>
      <c r="HGV5"/>
      <c r="HGW5"/>
      <c r="HGX5"/>
      <c r="HGY5"/>
      <c r="HGZ5"/>
      <c r="HHA5"/>
      <c r="HHB5"/>
      <c r="HHC5"/>
      <c r="HHD5"/>
      <c r="HHE5"/>
      <c r="HHF5"/>
      <c r="HHG5"/>
      <c r="HHH5"/>
      <c r="HHI5"/>
      <c r="HHJ5"/>
      <c r="HHK5"/>
      <c r="HHL5"/>
      <c r="HHM5"/>
      <c r="HHN5"/>
      <c r="HHO5"/>
      <c r="HHP5"/>
      <c r="HHQ5"/>
      <c r="HHR5"/>
      <c r="HHS5"/>
      <c r="HHT5"/>
      <c r="HHU5"/>
      <c r="HHV5"/>
      <c r="HHW5"/>
      <c r="HHX5"/>
      <c r="HHY5"/>
      <c r="HHZ5"/>
      <c r="HIA5"/>
      <c r="HIB5"/>
      <c r="HIC5"/>
      <c r="HID5"/>
      <c r="HIE5"/>
      <c r="HIF5"/>
      <c r="HIG5"/>
      <c r="HIH5"/>
      <c r="HII5"/>
      <c r="HIJ5"/>
      <c r="HIK5"/>
      <c r="HIL5"/>
      <c r="HIM5"/>
      <c r="HIN5"/>
      <c r="HIO5"/>
      <c r="HIP5"/>
      <c r="HIQ5"/>
      <c r="HIR5"/>
      <c r="HIS5"/>
      <c r="HIT5"/>
      <c r="HIU5"/>
      <c r="HIV5"/>
      <c r="HIW5"/>
      <c r="HIX5"/>
      <c r="HIY5"/>
      <c r="HIZ5"/>
      <c r="HJA5"/>
      <c r="HJB5"/>
      <c r="HJC5"/>
      <c r="HJD5"/>
      <c r="HJE5"/>
      <c r="HJF5"/>
      <c r="HJG5"/>
      <c r="HJH5"/>
      <c r="HJI5"/>
      <c r="HJJ5"/>
      <c r="HJK5"/>
      <c r="HJL5"/>
      <c r="HJM5"/>
      <c r="HJN5"/>
      <c r="HJO5"/>
      <c r="HJP5"/>
      <c r="HJQ5"/>
      <c r="HJR5"/>
      <c r="HJS5"/>
      <c r="HJT5"/>
      <c r="HJU5"/>
      <c r="HJV5"/>
      <c r="HJW5"/>
      <c r="HJX5"/>
      <c r="HJY5"/>
      <c r="HJZ5"/>
      <c r="HKA5"/>
      <c r="HKB5"/>
      <c r="HKC5"/>
      <c r="HKD5"/>
      <c r="HKE5"/>
      <c r="HKF5"/>
      <c r="HKG5"/>
      <c r="HKH5"/>
      <c r="HKI5"/>
      <c r="HKJ5"/>
      <c r="HKK5"/>
      <c r="HKL5"/>
      <c r="HKM5"/>
      <c r="HKN5"/>
      <c r="HKO5"/>
      <c r="HKP5"/>
      <c r="HKQ5"/>
      <c r="HKR5"/>
      <c r="HKS5"/>
      <c r="HKT5"/>
      <c r="HKU5"/>
      <c r="HKV5"/>
      <c r="HKW5"/>
      <c r="HKX5"/>
      <c r="HKY5"/>
      <c r="HKZ5"/>
      <c r="HLA5"/>
      <c r="HLB5"/>
      <c r="HLC5"/>
      <c r="HLD5"/>
      <c r="HLE5"/>
      <c r="HLF5"/>
      <c r="HLG5"/>
      <c r="HLH5"/>
      <c r="HLI5"/>
      <c r="HLJ5"/>
      <c r="HLK5"/>
      <c r="HLL5"/>
      <c r="HLM5"/>
      <c r="HLN5"/>
      <c r="HLO5"/>
      <c r="HLP5"/>
      <c r="HLQ5"/>
      <c r="HLR5"/>
      <c r="HLS5"/>
      <c r="HLT5"/>
      <c r="HLU5"/>
      <c r="HLV5"/>
      <c r="HLW5"/>
      <c r="HLX5"/>
      <c r="HLY5"/>
      <c r="HLZ5"/>
      <c r="HMA5"/>
      <c r="HMB5"/>
      <c r="HMC5"/>
      <c r="HMD5"/>
      <c r="HME5"/>
      <c r="HMF5"/>
      <c r="HMG5"/>
      <c r="HMH5"/>
      <c r="HMI5"/>
      <c r="HMJ5"/>
      <c r="HMK5"/>
      <c r="HML5"/>
      <c r="HMM5"/>
      <c r="HMN5"/>
      <c r="HMO5"/>
      <c r="HMP5"/>
      <c r="HMQ5"/>
      <c r="HMR5"/>
      <c r="HMS5"/>
      <c r="HMT5"/>
      <c r="HMU5"/>
      <c r="HMV5"/>
      <c r="HMW5"/>
      <c r="HMX5"/>
      <c r="HMY5"/>
      <c r="HMZ5"/>
      <c r="HNA5"/>
      <c r="HNB5"/>
      <c r="HNC5"/>
      <c r="HND5"/>
      <c r="HNE5"/>
      <c r="HNF5"/>
      <c r="HNG5"/>
      <c r="HNH5"/>
      <c r="HNI5"/>
      <c r="HNJ5"/>
      <c r="HNK5"/>
      <c r="HNL5"/>
      <c r="HNM5"/>
      <c r="HNN5"/>
      <c r="HNO5"/>
      <c r="HNP5"/>
      <c r="HNQ5"/>
      <c r="HNR5"/>
      <c r="HNS5"/>
      <c r="HNT5"/>
      <c r="HNU5"/>
      <c r="HNV5"/>
      <c r="HNW5"/>
      <c r="HNX5"/>
      <c r="HNY5"/>
      <c r="HNZ5"/>
      <c r="HOA5"/>
      <c r="HOB5"/>
      <c r="HOC5"/>
      <c r="HOD5"/>
      <c r="HOE5"/>
      <c r="HOF5"/>
      <c r="HOG5"/>
      <c r="HOH5"/>
      <c r="HOI5"/>
      <c r="HOJ5"/>
      <c r="HOK5"/>
      <c r="HOL5"/>
      <c r="HOM5"/>
      <c r="HON5"/>
      <c r="HOO5"/>
      <c r="HOP5"/>
      <c r="HOQ5"/>
      <c r="HOR5"/>
      <c r="HOS5"/>
      <c r="HOT5"/>
      <c r="HOU5"/>
      <c r="HOV5"/>
      <c r="HOW5"/>
      <c r="HOX5"/>
      <c r="HOY5"/>
      <c r="HOZ5"/>
      <c r="HPA5"/>
      <c r="HPB5"/>
      <c r="HPC5"/>
      <c r="HPD5"/>
      <c r="HPE5"/>
      <c r="HPF5"/>
      <c r="HPG5"/>
      <c r="HPH5"/>
      <c r="HPI5"/>
      <c r="HPJ5"/>
      <c r="HPK5"/>
      <c r="HPL5"/>
      <c r="HPM5"/>
      <c r="HPN5"/>
      <c r="HPO5"/>
      <c r="HPP5"/>
      <c r="HPQ5"/>
      <c r="HPR5"/>
      <c r="HPS5"/>
      <c r="HPT5"/>
      <c r="HPU5"/>
      <c r="HPV5"/>
      <c r="HPW5"/>
      <c r="HPX5"/>
      <c r="HPY5"/>
      <c r="HPZ5"/>
      <c r="HQA5"/>
      <c r="HQB5"/>
      <c r="HQC5"/>
      <c r="HQD5"/>
      <c r="HQE5"/>
      <c r="HQF5"/>
      <c r="HQG5"/>
      <c r="HQH5"/>
      <c r="HQI5"/>
      <c r="HQJ5"/>
      <c r="HQK5"/>
      <c r="HQL5"/>
      <c r="HQM5"/>
      <c r="HQN5"/>
      <c r="HQO5"/>
      <c r="HQP5"/>
      <c r="HQQ5"/>
      <c r="HQR5"/>
      <c r="HQS5"/>
      <c r="HQT5"/>
      <c r="HQU5"/>
      <c r="HQV5"/>
      <c r="HQW5"/>
      <c r="HQX5"/>
      <c r="HQY5"/>
      <c r="HQZ5"/>
      <c r="HRA5"/>
      <c r="HRB5"/>
      <c r="HRC5"/>
      <c r="HRD5"/>
      <c r="HRE5"/>
      <c r="HRF5"/>
      <c r="HRG5"/>
      <c r="HRH5"/>
      <c r="HRI5"/>
      <c r="HRJ5"/>
      <c r="HRK5"/>
      <c r="HRL5"/>
      <c r="HRM5"/>
      <c r="HRN5"/>
      <c r="HRO5"/>
      <c r="HRP5"/>
      <c r="HRQ5"/>
      <c r="HRR5"/>
      <c r="HRS5"/>
      <c r="HRT5"/>
      <c r="HRU5"/>
      <c r="HRV5"/>
      <c r="HRW5"/>
      <c r="HRX5"/>
      <c r="HRY5"/>
      <c r="HRZ5"/>
      <c r="HSA5"/>
      <c r="HSB5"/>
      <c r="HSC5"/>
      <c r="HSD5"/>
      <c r="HSE5"/>
      <c r="HSF5"/>
      <c r="HSG5"/>
      <c r="HSH5"/>
      <c r="HSI5"/>
      <c r="HSJ5"/>
      <c r="HSK5"/>
      <c r="HSL5"/>
      <c r="HSM5"/>
      <c r="HSN5"/>
      <c r="HSO5"/>
      <c r="HSP5"/>
      <c r="HSQ5"/>
      <c r="HSR5"/>
      <c r="HSS5"/>
      <c r="HST5"/>
      <c r="HSU5"/>
      <c r="HSV5"/>
      <c r="HSW5"/>
      <c r="HSX5"/>
      <c r="HSY5"/>
      <c r="HSZ5"/>
      <c r="HTA5"/>
      <c r="HTB5"/>
      <c r="HTC5"/>
      <c r="HTD5"/>
      <c r="HTE5"/>
      <c r="HTF5"/>
      <c r="HTG5"/>
      <c r="HTH5"/>
      <c r="HTI5"/>
      <c r="HTJ5"/>
      <c r="HTK5"/>
      <c r="HTL5"/>
      <c r="HTM5"/>
      <c r="HTN5"/>
      <c r="HTO5"/>
      <c r="HTP5"/>
      <c r="HTQ5"/>
      <c r="HTR5"/>
      <c r="HTS5"/>
      <c r="HTT5"/>
      <c r="HTU5"/>
      <c r="HTV5"/>
      <c r="HTW5"/>
      <c r="HTX5"/>
      <c r="HTY5"/>
      <c r="HTZ5"/>
      <c r="HUA5"/>
      <c r="HUB5"/>
      <c r="HUC5"/>
      <c r="HUD5"/>
      <c r="HUE5"/>
      <c r="HUF5"/>
      <c r="HUG5"/>
      <c r="HUH5"/>
      <c r="HUI5"/>
      <c r="HUJ5"/>
      <c r="HUK5"/>
      <c r="HUL5"/>
      <c r="HUM5"/>
      <c r="HUN5"/>
      <c r="HUO5"/>
      <c r="HUP5"/>
      <c r="HUQ5"/>
      <c r="HUR5"/>
      <c r="HUS5"/>
      <c r="HUT5"/>
      <c r="HUU5"/>
      <c r="HUV5"/>
      <c r="HUW5"/>
      <c r="HUX5"/>
      <c r="HUY5"/>
      <c r="HUZ5"/>
      <c r="HVA5"/>
      <c r="HVB5"/>
      <c r="HVC5"/>
      <c r="HVD5"/>
      <c r="HVE5"/>
      <c r="HVF5"/>
      <c r="HVG5"/>
      <c r="HVH5"/>
      <c r="HVI5"/>
      <c r="HVJ5"/>
      <c r="HVK5"/>
      <c r="HVL5"/>
      <c r="HVM5"/>
      <c r="HVN5"/>
      <c r="HVO5"/>
      <c r="HVP5"/>
      <c r="HVQ5"/>
      <c r="HVR5"/>
      <c r="HVS5"/>
      <c r="HVT5"/>
      <c r="HVU5"/>
      <c r="HVV5"/>
      <c r="HVW5"/>
      <c r="HVX5"/>
      <c r="HVY5"/>
      <c r="HVZ5"/>
      <c r="HWA5"/>
      <c r="HWB5"/>
      <c r="HWC5"/>
      <c r="HWD5"/>
      <c r="HWE5"/>
      <c r="HWF5"/>
      <c r="HWG5"/>
      <c r="HWH5"/>
      <c r="HWI5"/>
      <c r="HWJ5"/>
      <c r="HWK5"/>
      <c r="HWL5"/>
      <c r="HWM5"/>
      <c r="HWN5"/>
      <c r="HWO5"/>
      <c r="HWP5"/>
      <c r="HWQ5"/>
      <c r="HWR5"/>
      <c r="HWS5"/>
      <c r="HWT5"/>
      <c r="HWU5"/>
      <c r="HWV5"/>
      <c r="HWW5"/>
      <c r="HWX5"/>
      <c r="HWY5"/>
      <c r="HWZ5"/>
      <c r="HXA5"/>
      <c r="HXB5"/>
      <c r="HXC5"/>
      <c r="HXD5"/>
      <c r="HXE5"/>
      <c r="HXF5"/>
      <c r="HXG5"/>
      <c r="HXH5"/>
      <c r="HXI5"/>
      <c r="HXJ5"/>
      <c r="HXK5"/>
      <c r="HXL5"/>
      <c r="HXM5"/>
      <c r="HXN5"/>
      <c r="HXO5"/>
      <c r="HXP5"/>
      <c r="HXQ5"/>
      <c r="HXR5"/>
      <c r="HXS5"/>
      <c r="HXT5"/>
      <c r="HXU5"/>
      <c r="HXV5"/>
      <c r="HXW5"/>
      <c r="HXX5"/>
      <c r="HXY5"/>
      <c r="HXZ5"/>
      <c r="HYA5"/>
      <c r="HYB5"/>
      <c r="HYC5"/>
      <c r="HYD5"/>
      <c r="HYE5"/>
      <c r="HYF5"/>
      <c r="HYG5"/>
      <c r="HYH5"/>
      <c r="HYI5"/>
      <c r="HYJ5"/>
      <c r="HYK5"/>
      <c r="HYL5"/>
      <c r="HYM5"/>
      <c r="HYN5"/>
      <c r="HYO5"/>
      <c r="HYP5"/>
      <c r="HYQ5"/>
      <c r="HYR5"/>
      <c r="HYS5"/>
      <c r="HYT5"/>
      <c r="HYU5"/>
      <c r="HYV5"/>
      <c r="HYW5"/>
      <c r="HYX5"/>
      <c r="HYY5"/>
      <c r="HYZ5"/>
      <c r="HZA5"/>
      <c r="HZB5"/>
      <c r="HZC5"/>
      <c r="HZD5"/>
      <c r="HZE5"/>
      <c r="HZF5"/>
      <c r="HZG5"/>
      <c r="HZH5"/>
      <c r="HZI5"/>
      <c r="HZJ5"/>
      <c r="HZK5"/>
      <c r="HZL5"/>
      <c r="HZM5"/>
      <c r="HZN5"/>
      <c r="HZO5"/>
      <c r="HZP5"/>
      <c r="HZQ5"/>
      <c r="HZR5"/>
      <c r="HZS5"/>
      <c r="HZT5"/>
      <c r="HZU5"/>
      <c r="HZV5"/>
      <c r="HZW5"/>
      <c r="HZX5"/>
      <c r="HZY5"/>
      <c r="HZZ5"/>
      <c r="IAA5"/>
      <c r="IAB5"/>
      <c r="IAC5"/>
      <c r="IAD5"/>
      <c r="IAE5"/>
      <c r="IAF5"/>
      <c r="IAG5"/>
      <c r="IAH5"/>
      <c r="IAI5"/>
      <c r="IAJ5"/>
      <c r="IAK5"/>
      <c r="IAL5"/>
      <c r="IAM5"/>
      <c r="IAN5"/>
      <c r="IAO5"/>
      <c r="IAP5"/>
      <c r="IAQ5"/>
      <c r="IAR5"/>
      <c r="IAS5"/>
      <c r="IAT5"/>
      <c r="IAU5"/>
      <c r="IAV5"/>
      <c r="IAW5"/>
      <c r="IAX5"/>
      <c r="IAY5"/>
      <c r="IAZ5"/>
      <c r="IBA5"/>
      <c r="IBB5"/>
      <c r="IBC5"/>
      <c r="IBD5"/>
      <c r="IBE5"/>
      <c r="IBF5"/>
      <c r="IBG5"/>
      <c r="IBH5"/>
      <c r="IBI5"/>
      <c r="IBJ5"/>
      <c r="IBK5"/>
      <c r="IBL5"/>
      <c r="IBM5"/>
      <c r="IBN5"/>
      <c r="IBO5"/>
      <c r="IBP5"/>
      <c r="IBQ5"/>
      <c r="IBR5"/>
      <c r="IBS5"/>
      <c r="IBT5"/>
      <c r="IBU5"/>
      <c r="IBV5"/>
      <c r="IBW5"/>
      <c r="IBX5"/>
      <c r="IBY5"/>
      <c r="IBZ5"/>
      <c r="ICA5"/>
      <c r="ICB5"/>
      <c r="ICC5"/>
      <c r="ICD5"/>
      <c r="ICE5"/>
      <c r="ICF5"/>
      <c r="ICG5"/>
      <c r="ICH5"/>
      <c r="ICI5"/>
      <c r="ICJ5"/>
      <c r="ICK5"/>
      <c r="ICL5"/>
      <c r="ICM5"/>
      <c r="ICN5"/>
      <c r="ICO5"/>
      <c r="ICP5"/>
      <c r="ICQ5"/>
      <c r="ICR5"/>
      <c r="ICS5"/>
      <c r="ICT5"/>
      <c r="ICU5"/>
      <c r="ICV5"/>
      <c r="ICW5"/>
      <c r="ICX5"/>
      <c r="ICY5"/>
      <c r="ICZ5"/>
      <c r="IDA5"/>
      <c r="IDB5"/>
      <c r="IDC5"/>
      <c r="IDD5"/>
      <c r="IDE5"/>
      <c r="IDF5"/>
      <c r="IDG5"/>
      <c r="IDH5"/>
      <c r="IDI5"/>
      <c r="IDJ5"/>
      <c r="IDK5"/>
      <c r="IDL5"/>
      <c r="IDM5"/>
      <c r="IDN5"/>
      <c r="IDO5"/>
      <c r="IDP5"/>
      <c r="IDQ5"/>
      <c r="IDR5"/>
      <c r="IDS5"/>
      <c r="IDT5"/>
      <c r="IDU5"/>
      <c r="IDV5"/>
      <c r="IDW5"/>
      <c r="IDX5"/>
      <c r="IDY5"/>
      <c r="IDZ5"/>
      <c r="IEA5"/>
      <c r="IEB5"/>
      <c r="IEC5"/>
      <c r="IED5"/>
      <c r="IEE5"/>
      <c r="IEF5"/>
      <c r="IEG5"/>
      <c r="IEH5"/>
      <c r="IEI5"/>
      <c r="IEJ5"/>
      <c r="IEK5"/>
      <c r="IEL5"/>
      <c r="IEM5"/>
      <c r="IEN5"/>
      <c r="IEO5"/>
      <c r="IEP5"/>
      <c r="IEQ5"/>
      <c r="IER5"/>
      <c r="IES5"/>
      <c r="IET5"/>
      <c r="IEU5"/>
      <c r="IEV5"/>
      <c r="IEW5"/>
      <c r="IEX5"/>
      <c r="IEY5"/>
      <c r="IEZ5"/>
      <c r="IFA5"/>
      <c r="IFB5"/>
      <c r="IFC5"/>
      <c r="IFD5"/>
      <c r="IFE5"/>
      <c r="IFF5"/>
      <c r="IFG5"/>
      <c r="IFH5"/>
      <c r="IFI5"/>
      <c r="IFJ5"/>
      <c r="IFK5"/>
      <c r="IFL5"/>
      <c r="IFM5"/>
      <c r="IFN5"/>
      <c r="IFO5"/>
      <c r="IFP5"/>
      <c r="IFQ5"/>
      <c r="IFR5"/>
      <c r="IFS5"/>
      <c r="IFT5"/>
      <c r="IFU5"/>
      <c r="IFV5"/>
      <c r="IFW5"/>
      <c r="IFX5"/>
      <c r="IFY5"/>
      <c r="IFZ5"/>
      <c r="IGA5"/>
      <c r="IGB5"/>
      <c r="IGC5"/>
      <c r="IGD5"/>
      <c r="IGE5"/>
      <c r="IGF5"/>
      <c r="IGG5"/>
      <c r="IGH5"/>
      <c r="IGI5"/>
      <c r="IGJ5"/>
      <c r="IGK5"/>
      <c r="IGL5"/>
      <c r="IGM5"/>
      <c r="IGN5"/>
      <c r="IGO5"/>
      <c r="IGP5"/>
      <c r="IGQ5"/>
      <c r="IGR5"/>
      <c r="IGS5"/>
      <c r="IGT5"/>
      <c r="IGU5"/>
      <c r="IGV5"/>
      <c r="IGW5"/>
      <c r="IGX5"/>
      <c r="IGY5"/>
      <c r="IGZ5"/>
      <c r="IHA5"/>
      <c r="IHB5"/>
      <c r="IHC5"/>
      <c r="IHD5"/>
      <c r="IHE5"/>
      <c r="IHF5"/>
      <c r="IHG5"/>
      <c r="IHH5"/>
      <c r="IHI5"/>
      <c r="IHJ5"/>
      <c r="IHK5"/>
      <c r="IHL5"/>
      <c r="IHM5"/>
      <c r="IHN5"/>
      <c r="IHO5"/>
      <c r="IHP5"/>
      <c r="IHQ5"/>
      <c r="IHR5"/>
      <c r="IHS5"/>
      <c r="IHT5"/>
      <c r="IHU5"/>
      <c r="IHV5"/>
      <c r="IHW5"/>
      <c r="IHX5"/>
      <c r="IHY5"/>
      <c r="IHZ5"/>
      <c r="IIA5"/>
      <c r="IIB5"/>
      <c r="IIC5"/>
      <c r="IID5"/>
      <c r="IIE5"/>
      <c r="IIF5"/>
      <c r="IIG5"/>
      <c r="IIH5"/>
      <c r="III5"/>
      <c r="IIJ5"/>
      <c r="IIK5"/>
      <c r="IIL5"/>
      <c r="IIM5"/>
      <c r="IIN5"/>
      <c r="IIO5"/>
      <c r="IIP5"/>
      <c r="IIQ5"/>
      <c r="IIR5"/>
      <c r="IIS5"/>
      <c r="IIT5"/>
      <c r="IIU5"/>
      <c r="IIV5"/>
      <c r="IIW5"/>
      <c r="IIX5"/>
      <c r="IIY5"/>
      <c r="IIZ5"/>
      <c r="IJA5"/>
      <c r="IJB5"/>
      <c r="IJC5"/>
      <c r="IJD5"/>
      <c r="IJE5"/>
      <c r="IJF5"/>
      <c r="IJG5"/>
      <c r="IJH5"/>
      <c r="IJI5"/>
      <c r="IJJ5"/>
      <c r="IJK5"/>
      <c r="IJL5"/>
      <c r="IJM5"/>
      <c r="IJN5"/>
      <c r="IJO5"/>
      <c r="IJP5"/>
      <c r="IJQ5"/>
      <c r="IJR5"/>
      <c r="IJS5"/>
      <c r="IJT5"/>
      <c r="IJU5"/>
      <c r="IJV5"/>
      <c r="IJW5"/>
      <c r="IJX5"/>
      <c r="IJY5"/>
      <c r="IJZ5"/>
      <c r="IKA5"/>
      <c r="IKB5"/>
      <c r="IKC5"/>
      <c r="IKD5"/>
      <c r="IKE5"/>
      <c r="IKF5"/>
      <c r="IKG5"/>
      <c r="IKH5"/>
      <c r="IKI5"/>
      <c r="IKJ5"/>
      <c r="IKK5"/>
      <c r="IKL5"/>
      <c r="IKM5"/>
      <c r="IKN5"/>
      <c r="IKO5"/>
      <c r="IKP5"/>
      <c r="IKQ5"/>
      <c r="IKR5"/>
      <c r="IKS5"/>
      <c r="IKT5"/>
      <c r="IKU5"/>
      <c r="IKV5"/>
      <c r="IKW5"/>
      <c r="IKX5"/>
      <c r="IKY5"/>
      <c r="IKZ5"/>
      <c r="ILA5"/>
      <c r="ILB5"/>
      <c r="ILC5"/>
      <c r="ILD5"/>
      <c r="ILE5"/>
      <c r="ILF5"/>
      <c r="ILG5"/>
      <c r="ILH5"/>
      <c r="ILI5"/>
      <c r="ILJ5"/>
      <c r="ILK5"/>
      <c r="ILL5"/>
      <c r="ILM5"/>
      <c r="ILN5"/>
      <c r="ILO5"/>
      <c r="ILP5"/>
      <c r="ILQ5"/>
      <c r="ILR5"/>
      <c r="ILS5"/>
      <c r="ILT5"/>
      <c r="ILU5"/>
      <c r="ILV5"/>
      <c r="ILW5"/>
      <c r="ILX5"/>
      <c r="ILY5"/>
      <c r="ILZ5"/>
      <c r="IMA5"/>
      <c r="IMB5"/>
      <c r="IMC5"/>
      <c r="IMD5"/>
      <c r="IME5"/>
      <c r="IMF5"/>
      <c r="IMG5"/>
      <c r="IMH5"/>
      <c r="IMI5"/>
      <c r="IMJ5"/>
      <c r="IMK5"/>
      <c r="IML5"/>
      <c r="IMM5"/>
      <c r="IMN5"/>
      <c r="IMO5"/>
      <c r="IMP5"/>
      <c r="IMQ5"/>
      <c r="IMR5"/>
      <c r="IMS5"/>
      <c r="IMT5"/>
      <c r="IMU5"/>
      <c r="IMV5"/>
      <c r="IMW5"/>
      <c r="IMX5"/>
      <c r="IMY5"/>
      <c r="IMZ5"/>
      <c r="INA5"/>
      <c r="INB5"/>
      <c r="INC5"/>
      <c r="IND5"/>
      <c r="INE5"/>
      <c r="INF5"/>
      <c r="ING5"/>
      <c r="INH5"/>
      <c r="INI5"/>
      <c r="INJ5"/>
      <c r="INK5"/>
      <c r="INL5"/>
      <c r="INM5"/>
      <c r="INN5"/>
      <c r="INO5"/>
      <c r="INP5"/>
      <c r="INQ5"/>
      <c r="INR5"/>
      <c r="INS5"/>
      <c r="INT5"/>
      <c r="INU5"/>
      <c r="INV5"/>
      <c r="INW5"/>
      <c r="INX5"/>
      <c r="INY5"/>
      <c r="INZ5"/>
      <c r="IOA5"/>
      <c r="IOB5"/>
      <c r="IOC5"/>
      <c r="IOD5"/>
      <c r="IOE5"/>
      <c r="IOF5"/>
      <c r="IOG5"/>
      <c r="IOH5"/>
      <c r="IOI5"/>
      <c r="IOJ5"/>
      <c r="IOK5"/>
      <c r="IOL5"/>
      <c r="IOM5"/>
      <c r="ION5"/>
      <c r="IOO5"/>
      <c r="IOP5"/>
      <c r="IOQ5"/>
      <c r="IOR5"/>
      <c r="IOS5"/>
      <c r="IOT5"/>
      <c r="IOU5"/>
      <c r="IOV5"/>
      <c r="IOW5"/>
      <c r="IOX5"/>
      <c r="IOY5"/>
      <c r="IOZ5"/>
      <c r="IPA5"/>
      <c r="IPB5"/>
      <c r="IPC5"/>
      <c r="IPD5"/>
      <c r="IPE5"/>
      <c r="IPF5"/>
      <c r="IPG5"/>
      <c r="IPH5"/>
      <c r="IPI5"/>
      <c r="IPJ5"/>
      <c r="IPK5"/>
      <c r="IPL5"/>
      <c r="IPM5"/>
      <c r="IPN5"/>
      <c r="IPO5"/>
      <c r="IPP5"/>
      <c r="IPQ5"/>
      <c r="IPR5"/>
      <c r="IPS5"/>
      <c r="IPT5"/>
      <c r="IPU5"/>
      <c r="IPV5"/>
      <c r="IPW5"/>
      <c r="IPX5"/>
      <c r="IPY5"/>
      <c r="IPZ5"/>
      <c r="IQA5"/>
      <c r="IQB5"/>
      <c r="IQC5"/>
      <c r="IQD5"/>
      <c r="IQE5"/>
      <c r="IQF5"/>
      <c r="IQG5"/>
      <c r="IQH5"/>
      <c r="IQI5"/>
      <c r="IQJ5"/>
      <c r="IQK5"/>
      <c r="IQL5"/>
      <c r="IQM5"/>
      <c r="IQN5"/>
      <c r="IQO5"/>
      <c r="IQP5"/>
      <c r="IQQ5"/>
      <c r="IQR5"/>
      <c r="IQS5"/>
      <c r="IQT5"/>
      <c r="IQU5"/>
      <c r="IQV5"/>
      <c r="IQW5"/>
      <c r="IQX5"/>
      <c r="IQY5"/>
      <c r="IQZ5"/>
      <c r="IRA5"/>
      <c r="IRB5"/>
      <c r="IRC5"/>
      <c r="IRD5"/>
      <c r="IRE5"/>
      <c r="IRF5"/>
      <c r="IRG5"/>
      <c r="IRH5"/>
      <c r="IRI5"/>
      <c r="IRJ5"/>
      <c r="IRK5"/>
      <c r="IRL5"/>
      <c r="IRM5"/>
      <c r="IRN5"/>
      <c r="IRO5"/>
      <c r="IRP5"/>
      <c r="IRQ5"/>
      <c r="IRR5"/>
      <c r="IRS5"/>
      <c r="IRT5"/>
      <c r="IRU5"/>
      <c r="IRV5"/>
      <c r="IRW5"/>
      <c r="IRX5"/>
      <c r="IRY5"/>
      <c r="IRZ5"/>
      <c r="ISA5"/>
      <c r="ISB5"/>
      <c r="ISC5"/>
      <c r="ISD5"/>
      <c r="ISE5"/>
      <c r="ISF5"/>
      <c r="ISG5"/>
      <c r="ISH5"/>
      <c r="ISI5"/>
      <c r="ISJ5"/>
      <c r="ISK5"/>
      <c r="ISL5"/>
      <c r="ISM5"/>
      <c r="ISN5"/>
      <c r="ISO5"/>
      <c r="ISP5"/>
      <c r="ISQ5"/>
      <c r="ISR5"/>
      <c r="ISS5"/>
      <c r="IST5"/>
      <c r="ISU5"/>
      <c r="ISV5"/>
      <c r="ISW5"/>
      <c r="ISX5"/>
      <c r="ISY5"/>
      <c r="ISZ5"/>
      <c r="ITA5"/>
      <c r="ITB5"/>
      <c r="ITC5"/>
      <c r="ITD5"/>
      <c r="ITE5"/>
      <c r="ITF5"/>
      <c r="ITG5"/>
      <c r="ITH5"/>
      <c r="ITI5"/>
      <c r="ITJ5"/>
      <c r="ITK5"/>
      <c r="ITL5"/>
      <c r="ITM5"/>
      <c r="ITN5"/>
      <c r="ITO5"/>
      <c r="ITP5"/>
      <c r="ITQ5"/>
      <c r="ITR5"/>
      <c r="ITS5"/>
      <c r="ITT5"/>
      <c r="ITU5"/>
      <c r="ITV5"/>
      <c r="ITW5"/>
      <c r="ITX5"/>
      <c r="ITY5"/>
      <c r="ITZ5"/>
      <c r="IUA5"/>
      <c r="IUB5"/>
      <c r="IUC5"/>
      <c r="IUD5"/>
      <c r="IUE5"/>
      <c r="IUF5"/>
      <c r="IUG5"/>
      <c r="IUH5"/>
      <c r="IUI5"/>
      <c r="IUJ5"/>
      <c r="IUK5"/>
      <c r="IUL5"/>
      <c r="IUM5"/>
      <c r="IUN5"/>
      <c r="IUO5"/>
      <c r="IUP5"/>
      <c r="IUQ5"/>
      <c r="IUR5"/>
      <c r="IUS5"/>
      <c r="IUT5"/>
      <c r="IUU5"/>
      <c r="IUV5"/>
      <c r="IUW5"/>
      <c r="IUX5"/>
      <c r="IUY5"/>
      <c r="IUZ5"/>
      <c r="IVA5"/>
      <c r="IVB5"/>
      <c r="IVC5"/>
      <c r="IVD5"/>
      <c r="IVE5"/>
      <c r="IVF5"/>
      <c r="IVG5"/>
      <c r="IVH5"/>
      <c r="IVI5"/>
      <c r="IVJ5"/>
      <c r="IVK5"/>
      <c r="IVL5"/>
      <c r="IVM5"/>
      <c r="IVN5"/>
      <c r="IVO5"/>
      <c r="IVP5"/>
      <c r="IVQ5"/>
      <c r="IVR5"/>
      <c r="IVS5"/>
      <c r="IVT5"/>
      <c r="IVU5"/>
      <c r="IVV5"/>
      <c r="IVW5"/>
      <c r="IVX5"/>
      <c r="IVY5"/>
      <c r="IVZ5"/>
      <c r="IWA5"/>
      <c r="IWB5"/>
      <c r="IWC5"/>
      <c r="IWD5"/>
      <c r="IWE5"/>
      <c r="IWF5"/>
      <c r="IWG5"/>
      <c r="IWH5"/>
      <c r="IWI5"/>
      <c r="IWJ5"/>
      <c r="IWK5"/>
      <c r="IWL5"/>
      <c r="IWM5"/>
      <c r="IWN5"/>
      <c r="IWO5"/>
      <c r="IWP5"/>
      <c r="IWQ5"/>
      <c r="IWR5"/>
      <c r="IWS5"/>
      <c r="IWT5"/>
      <c r="IWU5"/>
      <c r="IWV5"/>
      <c r="IWW5"/>
      <c r="IWX5"/>
      <c r="IWY5"/>
      <c r="IWZ5"/>
      <c r="IXA5"/>
      <c r="IXB5"/>
      <c r="IXC5"/>
      <c r="IXD5"/>
      <c r="IXE5"/>
      <c r="IXF5"/>
      <c r="IXG5"/>
      <c r="IXH5"/>
      <c r="IXI5"/>
      <c r="IXJ5"/>
      <c r="IXK5"/>
      <c r="IXL5"/>
      <c r="IXM5"/>
      <c r="IXN5"/>
      <c r="IXO5"/>
      <c r="IXP5"/>
      <c r="IXQ5"/>
      <c r="IXR5"/>
      <c r="IXS5"/>
      <c r="IXT5"/>
      <c r="IXU5"/>
      <c r="IXV5"/>
      <c r="IXW5"/>
      <c r="IXX5"/>
      <c r="IXY5"/>
      <c r="IXZ5"/>
      <c r="IYA5"/>
      <c r="IYB5"/>
      <c r="IYC5"/>
      <c r="IYD5"/>
      <c r="IYE5"/>
      <c r="IYF5"/>
      <c r="IYG5"/>
      <c r="IYH5"/>
      <c r="IYI5"/>
      <c r="IYJ5"/>
      <c r="IYK5"/>
      <c r="IYL5"/>
      <c r="IYM5"/>
      <c r="IYN5"/>
      <c r="IYO5"/>
      <c r="IYP5"/>
      <c r="IYQ5"/>
      <c r="IYR5"/>
      <c r="IYS5"/>
      <c r="IYT5"/>
      <c r="IYU5"/>
      <c r="IYV5"/>
      <c r="IYW5"/>
      <c r="IYX5"/>
      <c r="IYY5"/>
      <c r="IYZ5"/>
      <c r="IZA5"/>
      <c r="IZB5"/>
      <c r="IZC5"/>
      <c r="IZD5"/>
      <c r="IZE5"/>
      <c r="IZF5"/>
      <c r="IZG5"/>
      <c r="IZH5"/>
      <c r="IZI5"/>
      <c r="IZJ5"/>
      <c r="IZK5"/>
      <c r="IZL5"/>
      <c r="IZM5"/>
      <c r="IZN5"/>
      <c r="IZO5"/>
      <c r="IZP5"/>
      <c r="IZQ5"/>
      <c r="IZR5"/>
      <c r="IZS5"/>
      <c r="IZT5"/>
      <c r="IZU5"/>
      <c r="IZV5"/>
      <c r="IZW5"/>
      <c r="IZX5"/>
      <c r="IZY5"/>
      <c r="IZZ5"/>
      <c r="JAA5"/>
      <c r="JAB5"/>
      <c r="JAC5"/>
      <c r="JAD5"/>
      <c r="JAE5"/>
      <c r="JAF5"/>
      <c r="JAG5"/>
      <c r="JAH5"/>
      <c r="JAI5"/>
      <c r="JAJ5"/>
      <c r="JAK5"/>
      <c r="JAL5"/>
      <c r="JAM5"/>
      <c r="JAN5"/>
      <c r="JAO5"/>
      <c r="JAP5"/>
      <c r="JAQ5"/>
      <c r="JAR5"/>
      <c r="JAS5"/>
      <c r="JAT5"/>
      <c r="JAU5"/>
      <c r="JAV5"/>
      <c r="JAW5"/>
      <c r="JAX5"/>
      <c r="JAY5"/>
      <c r="JAZ5"/>
      <c r="JBA5"/>
      <c r="JBB5"/>
      <c r="JBC5"/>
      <c r="JBD5"/>
      <c r="JBE5"/>
      <c r="JBF5"/>
      <c r="JBG5"/>
      <c r="JBH5"/>
      <c r="JBI5"/>
      <c r="JBJ5"/>
      <c r="JBK5"/>
      <c r="JBL5"/>
      <c r="JBM5"/>
      <c r="JBN5"/>
      <c r="JBO5"/>
      <c r="JBP5"/>
      <c r="JBQ5"/>
      <c r="JBR5"/>
      <c r="JBS5"/>
      <c r="JBT5"/>
      <c r="JBU5"/>
      <c r="JBV5"/>
      <c r="JBW5"/>
      <c r="JBX5"/>
      <c r="JBY5"/>
      <c r="JBZ5"/>
      <c r="JCA5"/>
      <c r="JCB5"/>
      <c r="JCC5"/>
      <c r="JCD5"/>
      <c r="JCE5"/>
      <c r="JCF5"/>
      <c r="JCG5"/>
      <c r="JCH5"/>
      <c r="JCI5"/>
      <c r="JCJ5"/>
      <c r="JCK5"/>
      <c r="JCL5"/>
      <c r="JCM5"/>
      <c r="JCN5"/>
      <c r="JCO5"/>
      <c r="JCP5"/>
      <c r="JCQ5"/>
      <c r="JCR5"/>
      <c r="JCS5"/>
      <c r="JCT5"/>
      <c r="JCU5"/>
      <c r="JCV5"/>
      <c r="JCW5"/>
      <c r="JCX5"/>
      <c r="JCY5"/>
      <c r="JCZ5"/>
      <c r="JDA5"/>
      <c r="JDB5"/>
      <c r="JDC5"/>
      <c r="JDD5"/>
      <c r="JDE5"/>
      <c r="JDF5"/>
      <c r="JDG5"/>
      <c r="JDH5"/>
      <c r="JDI5"/>
      <c r="JDJ5"/>
      <c r="JDK5"/>
      <c r="JDL5"/>
      <c r="JDM5"/>
      <c r="JDN5"/>
      <c r="JDO5"/>
      <c r="JDP5"/>
      <c r="JDQ5"/>
      <c r="JDR5"/>
      <c r="JDS5"/>
      <c r="JDT5"/>
      <c r="JDU5"/>
      <c r="JDV5"/>
      <c r="JDW5"/>
      <c r="JDX5"/>
      <c r="JDY5"/>
      <c r="JDZ5"/>
      <c r="JEA5"/>
      <c r="JEB5"/>
      <c r="JEC5"/>
      <c r="JED5"/>
      <c r="JEE5"/>
      <c r="JEF5"/>
      <c r="JEG5"/>
      <c r="JEH5"/>
      <c r="JEI5"/>
      <c r="JEJ5"/>
      <c r="JEK5"/>
      <c r="JEL5"/>
      <c r="JEM5"/>
      <c r="JEN5"/>
      <c r="JEO5"/>
      <c r="JEP5"/>
      <c r="JEQ5"/>
      <c r="JER5"/>
      <c r="JES5"/>
      <c r="JET5"/>
      <c r="JEU5"/>
      <c r="JEV5"/>
      <c r="JEW5"/>
      <c r="JEX5"/>
      <c r="JEY5"/>
      <c r="JEZ5"/>
      <c r="JFA5"/>
      <c r="JFB5"/>
      <c r="JFC5"/>
      <c r="JFD5"/>
      <c r="JFE5"/>
      <c r="JFF5"/>
      <c r="JFG5"/>
      <c r="JFH5"/>
      <c r="JFI5"/>
      <c r="JFJ5"/>
      <c r="JFK5"/>
      <c r="JFL5"/>
      <c r="JFM5"/>
      <c r="JFN5"/>
      <c r="JFO5"/>
      <c r="JFP5"/>
      <c r="JFQ5"/>
      <c r="JFR5"/>
      <c r="JFS5"/>
      <c r="JFT5"/>
      <c r="JFU5"/>
      <c r="JFV5"/>
      <c r="JFW5"/>
      <c r="JFX5"/>
      <c r="JFY5"/>
      <c r="JFZ5"/>
      <c r="JGA5"/>
      <c r="JGB5"/>
      <c r="JGC5"/>
      <c r="JGD5"/>
      <c r="JGE5"/>
      <c r="JGF5"/>
      <c r="JGG5"/>
      <c r="JGH5"/>
      <c r="JGI5"/>
      <c r="JGJ5"/>
      <c r="JGK5"/>
      <c r="JGL5"/>
      <c r="JGM5"/>
      <c r="JGN5"/>
      <c r="JGO5"/>
      <c r="JGP5"/>
      <c r="JGQ5"/>
      <c r="JGR5"/>
      <c r="JGS5"/>
      <c r="JGT5"/>
      <c r="JGU5"/>
      <c r="JGV5"/>
      <c r="JGW5"/>
      <c r="JGX5"/>
      <c r="JGY5"/>
      <c r="JGZ5"/>
      <c r="JHA5"/>
      <c r="JHB5"/>
      <c r="JHC5"/>
      <c r="JHD5"/>
      <c r="JHE5"/>
      <c r="JHF5"/>
      <c r="JHG5"/>
      <c r="JHH5"/>
      <c r="JHI5"/>
      <c r="JHJ5"/>
      <c r="JHK5"/>
      <c r="JHL5"/>
      <c r="JHM5"/>
      <c r="JHN5"/>
      <c r="JHO5"/>
      <c r="JHP5"/>
      <c r="JHQ5"/>
      <c r="JHR5"/>
      <c r="JHS5"/>
      <c r="JHT5"/>
      <c r="JHU5"/>
      <c r="JHV5"/>
      <c r="JHW5"/>
      <c r="JHX5"/>
      <c r="JHY5"/>
      <c r="JHZ5"/>
      <c r="JIA5"/>
      <c r="JIB5"/>
      <c r="JIC5"/>
      <c r="JID5"/>
      <c r="JIE5"/>
      <c r="JIF5"/>
      <c r="JIG5"/>
      <c r="JIH5"/>
      <c r="JII5"/>
      <c r="JIJ5"/>
      <c r="JIK5"/>
      <c r="JIL5"/>
      <c r="JIM5"/>
      <c r="JIN5"/>
      <c r="JIO5"/>
      <c r="JIP5"/>
      <c r="JIQ5"/>
      <c r="JIR5"/>
      <c r="JIS5"/>
      <c r="JIT5"/>
      <c r="JIU5"/>
      <c r="JIV5"/>
      <c r="JIW5"/>
      <c r="JIX5"/>
      <c r="JIY5"/>
      <c r="JIZ5"/>
      <c r="JJA5"/>
      <c r="JJB5"/>
      <c r="JJC5"/>
      <c r="JJD5"/>
      <c r="JJE5"/>
      <c r="JJF5"/>
      <c r="JJG5"/>
      <c r="JJH5"/>
      <c r="JJI5"/>
      <c r="JJJ5"/>
      <c r="JJK5"/>
      <c r="JJL5"/>
      <c r="JJM5"/>
      <c r="JJN5"/>
      <c r="JJO5"/>
      <c r="JJP5"/>
      <c r="JJQ5"/>
      <c r="JJR5"/>
      <c r="JJS5"/>
      <c r="JJT5"/>
      <c r="JJU5"/>
      <c r="JJV5"/>
      <c r="JJW5"/>
      <c r="JJX5"/>
      <c r="JJY5"/>
      <c r="JJZ5"/>
      <c r="JKA5"/>
      <c r="JKB5"/>
      <c r="JKC5"/>
      <c r="JKD5"/>
      <c r="JKE5"/>
      <c r="JKF5"/>
      <c r="JKG5"/>
      <c r="JKH5"/>
      <c r="JKI5"/>
      <c r="JKJ5"/>
      <c r="JKK5"/>
      <c r="JKL5"/>
      <c r="JKM5"/>
      <c r="JKN5"/>
      <c r="JKO5"/>
      <c r="JKP5"/>
      <c r="JKQ5"/>
      <c r="JKR5"/>
      <c r="JKS5"/>
      <c r="JKT5"/>
      <c r="JKU5"/>
      <c r="JKV5"/>
      <c r="JKW5"/>
      <c r="JKX5"/>
      <c r="JKY5"/>
      <c r="JKZ5"/>
      <c r="JLA5"/>
      <c r="JLB5"/>
      <c r="JLC5"/>
      <c r="JLD5"/>
      <c r="JLE5"/>
      <c r="JLF5"/>
      <c r="JLG5"/>
      <c r="JLH5"/>
      <c r="JLI5"/>
      <c r="JLJ5"/>
      <c r="JLK5"/>
      <c r="JLL5"/>
      <c r="JLM5"/>
      <c r="JLN5"/>
      <c r="JLO5"/>
      <c r="JLP5"/>
      <c r="JLQ5"/>
      <c r="JLR5"/>
      <c r="JLS5"/>
      <c r="JLT5"/>
      <c r="JLU5"/>
      <c r="JLV5"/>
      <c r="JLW5"/>
      <c r="JLX5"/>
      <c r="JLY5"/>
      <c r="JLZ5"/>
      <c r="JMA5"/>
      <c r="JMB5"/>
      <c r="JMC5"/>
      <c r="JMD5"/>
      <c r="JME5"/>
      <c r="JMF5"/>
      <c r="JMG5"/>
      <c r="JMH5"/>
      <c r="JMI5"/>
      <c r="JMJ5"/>
      <c r="JMK5"/>
      <c r="JML5"/>
      <c r="JMM5"/>
      <c r="JMN5"/>
      <c r="JMO5"/>
      <c r="JMP5"/>
      <c r="JMQ5"/>
      <c r="JMR5"/>
      <c r="JMS5"/>
      <c r="JMT5"/>
      <c r="JMU5"/>
      <c r="JMV5"/>
      <c r="JMW5"/>
      <c r="JMX5"/>
      <c r="JMY5"/>
      <c r="JMZ5"/>
      <c r="JNA5"/>
      <c r="JNB5"/>
      <c r="JNC5"/>
      <c r="JND5"/>
      <c r="JNE5"/>
      <c r="JNF5"/>
      <c r="JNG5"/>
      <c r="JNH5"/>
      <c r="JNI5"/>
      <c r="JNJ5"/>
      <c r="JNK5"/>
      <c r="JNL5"/>
      <c r="JNM5"/>
      <c r="JNN5"/>
      <c r="JNO5"/>
      <c r="JNP5"/>
      <c r="JNQ5"/>
      <c r="JNR5"/>
      <c r="JNS5"/>
      <c r="JNT5"/>
      <c r="JNU5"/>
      <c r="JNV5"/>
      <c r="JNW5"/>
      <c r="JNX5"/>
      <c r="JNY5"/>
      <c r="JNZ5"/>
      <c r="JOA5"/>
      <c r="JOB5"/>
      <c r="JOC5"/>
      <c r="JOD5"/>
      <c r="JOE5"/>
      <c r="JOF5"/>
      <c r="JOG5"/>
      <c r="JOH5"/>
      <c r="JOI5"/>
      <c r="JOJ5"/>
      <c r="JOK5"/>
      <c r="JOL5"/>
      <c r="JOM5"/>
      <c r="JON5"/>
      <c r="JOO5"/>
      <c r="JOP5"/>
      <c r="JOQ5"/>
      <c r="JOR5"/>
      <c r="JOS5"/>
      <c r="JOT5"/>
      <c r="JOU5"/>
      <c r="JOV5"/>
      <c r="JOW5"/>
      <c r="JOX5"/>
      <c r="JOY5"/>
      <c r="JOZ5"/>
      <c r="JPA5"/>
      <c r="JPB5"/>
      <c r="JPC5"/>
      <c r="JPD5"/>
      <c r="JPE5"/>
      <c r="JPF5"/>
      <c r="JPG5"/>
      <c r="JPH5"/>
      <c r="JPI5"/>
      <c r="JPJ5"/>
      <c r="JPK5"/>
      <c r="JPL5"/>
      <c r="JPM5"/>
      <c r="JPN5"/>
      <c r="JPO5"/>
      <c r="JPP5"/>
      <c r="JPQ5"/>
      <c r="JPR5"/>
      <c r="JPS5"/>
      <c r="JPT5"/>
      <c r="JPU5"/>
      <c r="JPV5"/>
      <c r="JPW5"/>
      <c r="JPX5"/>
      <c r="JPY5"/>
      <c r="JPZ5"/>
      <c r="JQA5"/>
      <c r="JQB5"/>
      <c r="JQC5"/>
      <c r="JQD5"/>
      <c r="JQE5"/>
      <c r="JQF5"/>
      <c r="JQG5"/>
      <c r="JQH5"/>
      <c r="JQI5"/>
      <c r="JQJ5"/>
      <c r="JQK5"/>
      <c r="JQL5"/>
      <c r="JQM5"/>
      <c r="JQN5"/>
      <c r="JQO5"/>
      <c r="JQP5"/>
      <c r="JQQ5"/>
      <c r="JQR5"/>
      <c r="JQS5"/>
      <c r="JQT5"/>
      <c r="JQU5"/>
      <c r="JQV5"/>
      <c r="JQW5"/>
      <c r="JQX5"/>
      <c r="JQY5"/>
      <c r="JQZ5"/>
      <c r="JRA5"/>
      <c r="JRB5"/>
      <c r="JRC5"/>
      <c r="JRD5"/>
      <c r="JRE5"/>
      <c r="JRF5"/>
      <c r="JRG5"/>
      <c r="JRH5"/>
      <c r="JRI5"/>
      <c r="JRJ5"/>
      <c r="JRK5"/>
      <c r="JRL5"/>
      <c r="JRM5"/>
      <c r="JRN5"/>
      <c r="JRO5"/>
      <c r="JRP5"/>
      <c r="JRQ5"/>
      <c r="JRR5"/>
      <c r="JRS5"/>
      <c r="JRT5"/>
      <c r="JRU5"/>
      <c r="JRV5"/>
      <c r="JRW5"/>
      <c r="JRX5"/>
      <c r="JRY5"/>
      <c r="JRZ5"/>
      <c r="JSA5"/>
      <c r="JSB5"/>
      <c r="JSC5"/>
      <c r="JSD5"/>
      <c r="JSE5"/>
      <c r="JSF5"/>
      <c r="JSG5"/>
      <c r="JSH5"/>
      <c r="JSI5"/>
      <c r="JSJ5"/>
      <c r="JSK5"/>
      <c r="JSL5"/>
      <c r="JSM5"/>
      <c r="JSN5"/>
      <c r="JSO5"/>
      <c r="JSP5"/>
      <c r="JSQ5"/>
      <c r="JSR5"/>
      <c r="JSS5"/>
      <c r="JST5"/>
      <c r="JSU5"/>
      <c r="JSV5"/>
      <c r="JSW5"/>
      <c r="JSX5"/>
      <c r="JSY5"/>
      <c r="JSZ5"/>
      <c r="JTA5"/>
      <c r="JTB5"/>
      <c r="JTC5"/>
      <c r="JTD5"/>
      <c r="JTE5"/>
      <c r="JTF5"/>
      <c r="JTG5"/>
      <c r="JTH5"/>
      <c r="JTI5"/>
      <c r="JTJ5"/>
      <c r="JTK5"/>
      <c r="JTL5"/>
      <c r="JTM5"/>
      <c r="JTN5"/>
      <c r="JTO5"/>
      <c r="JTP5"/>
      <c r="JTQ5"/>
      <c r="JTR5"/>
      <c r="JTS5"/>
      <c r="JTT5"/>
      <c r="JTU5"/>
      <c r="JTV5"/>
      <c r="JTW5"/>
      <c r="JTX5"/>
      <c r="JTY5"/>
      <c r="JTZ5"/>
      <c r="JUA5"/>
      <c r="JUB5"/>
      <c r="JUC5"/>
      <c r="JUD5"/>
      <c r="JUE5"/>
      <c r="JUF5"/>
      <c r="JUG5"/>
      <c r="JUH5"/>
      <c r="JUI5"/>
      <c r="JUJ5"/>
      <c r="JUK5"/>
      <c r="JUL5"/>
      <c r="JUM5"/>
      <c r="JUN5"/>
      <c r="JUO5"/>
      <c r="JUP5"/>
      <c r="JUQ5"/>
      <c r="JUR5"/>
      <c r="JUS5"/>
      <c r="JUT5"/>
      <c r="JUU5"/>
      <c r="JUV5"/>
      <c r="JUW5"/>
      <c r="JUX5"/>
      <c r="JUY5"/>
      <c r="JUZ5"/>
      <c r="JVA5"/>
      <c r="JVB5"/>
      <c r="JVC5"/>
      <c r="JVD5"/>
      <c r="JVE5"/>
      <c r="JVF5"/>
      <c r="JVG5"/>
      <c r="JVH5"/>
      <c r="JVI5"/>
      <c r="JVJ5"/>
      <c r="JVK5"/>
      <c r="JVL5"/>
      <c r="JVM5"/>
      <c r="JVN5"/>
      <c r="JVO5"/>
      <c r="JVP5"/>
      <c r="JVQ5"/>
      <c r="JVR5"/>
      <c r="JVS5"/>
      <c r="JVT5"/>
      <c r="JVU5"/>
      <c r="JVV5"/>
      <c r="JVW5"/>
      <c r="JVX5"/>
      <c r="JVY5"/>
      <c r="JVZ5"/>
      <c r="JWA5"/>
      <c r="JWB5"/>
      <c r="JWC5"/>
      <c r="JWD5"/>
      <c r="JWE5"/>
      <c r="JWF5"/>
      <c r="JWG5"/>
      <c r="JWH5"/>
      <c r="JWI5"/>
      <c r="JWJ5"/>
      <c r="JWK5"/>
      <c r="JWL5"/>
      <c r="JWM5"/>
      <c r="JWN5"/>
      <c r="JWO5"/>
      <c r="JWP5"/>
      <c r="JWQ5"/>
      <c r="JWR5"/>
      <c r="JWS5"/>
      <c r="JWT5"/>
      <c r="JWU5"/>
      <c r="JWV5"/>
      <c r="JWW5"/>
      <c r="JWX5"/>
      <c r="JWY5"/>
      <c r="JWZ5"/>
      <c r="JXA5"/>
      <c r="JXB5"/>
      <c r="JXC5"/>
      <c r="JXD5"/>
      <c r="JXE5"/>
      <c r="JXF5"/>
      <c r="JXG5"/>
      <c r="JXH5"/>
      <c r="JXI5"/>
      <c r="JXJ5"/>
      <c r="JXK5"/>
      <c r="JXL5"/>
      <c r="JXM5"/>
      <c r="JXN5"/>
      <c r="JXO5"/>
      <c r="JXP5"/>
      <c r="JXQ5"/>
      <c r="JXR5"/>
      <c r="JXS5"/>
      <c r="JXT5"/>
      <c r="JXU5"/>
      <c r="JXV5"/>
      <c r="JXW5"/>
      <c r="JXX5"/>
      <c r="JXY5"/>
      <c r="JXZ5"/>
      <c r="JYA5"/>
      <c r="JYB5"/>
      <c r="JYC5"/>
      <c r="JYD5"/>
      <c r="JYE5"/>
      <c r="JYF5"/>
      <c r="JYG5"/>
      <c r="JYH5"/>
      <c r="JYI5"/>
      <c r="JYJ5"/>
      <c r="JYK5"/>
      <c r="JYL5"/>
      <c r="JYM5"/>
      <c r="JYN5"/>
      <c r="JYO5"/>
      <c r="JYP5"/>
      <c r="JYQ5"/>
      <c r="JYR5"/>
      <c r="JYS5"/>
      <c r="JYT5"/>
      <c r="JYU5"/>
      <c r="JYV5"/>
      <c r="JYW5"/>
      <c r="JYX5"/>
      <c r="JYY5"/>
      <c r="JYZ5"/>
      <c r="JZA5"/>
      <c r="JZB5"/>
      <c r="JZC5"/>
      <c r="JZD5"/>
      <c r="JZE5"/>
      <c r="JZF5"/>
      <c r="JZG5"/>
      <c r="JZH5"/>
      <c r="JZI5"/>
      <c r="JZJ5"/>
      <c r="JZK5"/>
      <c r="JZL5"/>
      <c r="JZM5"/>
      <c r="JZN5"/>
      <c r="JZO5"/>
      <c r="JZP5"/>
      <c r="JZQ5"/>
      <c r="JZR5"/>
      <c r="JZS5"/>
      <c r="JZT5"/>
      <c r="JZU5"/>
      <c r="JZV5"/>
      <c r="JZW5"/>
      <c r="JZX5"/>
      <c r="JZY5"/>
      <c r="JZZ5"/>
      <c r="KAA5"/>
      <c r="KAB5"/>
      <c r="KAC5"/>
      <c r="KAD5"/>
      <c r="KAE5"/>
      <c r="KAF5"/>
      <c r="KAG5"/>
      <c r="KAH5"/>
      <c r="KAI5"/>
      <c r="KAJ5"/>
      <c r="KAK5"/>
      <c r="KAL5"/>
      <c r="KAM5"/>
      <c r="KAN5"/>
      <c r="KAO5"/>
      <c r="KAP5"/>
      <c r="KAQ5"/>
      <c r="KAR5"/>
      <c r="KAS5"/>
      <c r="KAT5"/>
      <c r="KAU5"/>
      <c r="KAV5"/>
      <c r="KAW5"/>
      <c r="KAX5"/>
      <c r="KAY5"/>
      <c r="KAZ5"/>
      <c r="KBA5"/>
      <c r="KBB5"/>
      <c r="KBC5"/>
      <c r="KBD5"/>
      <c r="KBE5"/>
      <c r="KBF5"/>
      <c r="KBG5"/>
      <c r="KBH5"/>
      <c r="KBI5"/>
      <c r="KBJ5"/>
      <c r="KBK5"/>
      <c r="KBL5"/>
      <c r="KBM5"/>
      <c r="KBN5"/>
      <c r="KBO5"/>
      <c r="KBP5"/>
      <c r="KBQ5"/>
      <c r="KBR5"/>
      <c r="KBS5"/>
      <c r="KBT5"/>
      <c r="KBU5"/>
      <c r="KBV5"/>
      <c r="KBW5"/>
      <c r="KBX5"/>
      <c r="KBY5"/>
      <c r="KBZ5"/>
      <c r="KCA5"/>
      <c r="KCB5"/>
      <c r="KCC5"/>
      <c r="KCD5"/>
      <c r="KCE5"/>
      <c r="KCF5"/>
      <c r="KCG5"/>
      <c r="KCH5"/>
      <c r="KCI5"/>
      <c r="KCJ5"/>
      <c r="KCK5"/>
      <c r="KCL5"/>
      <c r="KCM5"/>
      <c r="KCN5"/>
      <c r="KCO5"/>
      <c r="KCP5"/>
      <c r="KCQ5"/>
      <c r="KCR5"/>
      <c r="KCS5"/>
      <c r="KCT5"/>
      <c r="KCU5"/>
      <c r="KCV5"/>
      <c r="KCW5"/>
      <c r="KCX5"/>
      <c r="KCY5"/>
      <c r="KCZ5"/>
      <c r="KDA5"/>
      <c r="KDB5"/>
      <c r="KDC5"/>
      <c r="KDD5"/>
      <c r="KDE5"/>
      <c r="KDF5"/>
      <c r="KDG5"/>
      <c r="KDH5"/>
      <c r="KDI5"/>
      <c r="KDJ5"/>
      <c r="KDK5"/>
      <c r="KDL5"/>
      <c r="KDM5"/>
      <c r="KDN5"/>
      <c r="KDO5"/>
      <c r="KDP5"/>
      <c r="KDQ5"/>
      <c r="KDR5"/>
      <c r="KDS5"/>
      <c r="KDT5"/>
      <c r="KDU5"/>
      <c r="KDV5"/>
      <c r="KDW5"/>
      <c r="KDX5"/>
      <c r="KDY5"/>
      <c r="KDZ5"/>
      <c r="KEA5"/>
      <c r="KEB5"/>
      <c r="KEC5"/>
      <c r="KED5"/>
      <c r="KEE5"/>
      <c r="KEF5"/>
      <c r="KEG5"/>
      <c r="KEH5"/>
      <c r="KEI5"/>
      <c r="KEJ5"/>
      <c r="KEK5"/>
      <c r="KEL5"/>
      <c r="KEM5"/>
      <c r="KEN5"/>
      <c r="KEO5"/>
      <c r="KEP5"/>
      <c r="KEQ5"/>
      <c r="KER5"/>
      <c r="KES5"/>
      <c r="KET5"/>
      <c r="KEU5"/>
      <c r="KEV5"/>
      <c r="KEW5"/>
      <c r="KEX5"/>
      <c r="KEY5"/>
      <c r="KEZ5"/>
      <c r="KFA5"/>
      <c r="KFB5"/>
      <c r="KFC5"/>
      <c r="KFD5"/>
      <c r="KFE5"/>
      <c r="KFF5"/>
      <c r="KFG5"/>
      <c r="KFH5"/>
      <c r="KFI5"/>
      <c r="KFJ5"/>
      <c r="KFK5"/>
      <c r="KFL5"/>
      <c r="KFM5"/>
      <c r="KFN5"/>
      <c r="KFO5"/>
      <c r="KFP5"/>
      <c r="KFQ5"/>
      <c r="KFR5"/>
      <c r="KFS5"/>
      <c r="KFT5"/>
      <c r="KFU5"/>
      <c r="KFV5"/>
      <c r="KFW5"/>
      <c r="KFX5"/>
      <c r="KFY5"/>
      <c r="KFZ5"/>
      <c r="KGA5"/>
      <c r="KGB5"/>
      <c r="KGC5"/>
      <c r="KGD5"/>
      <c r="KGE5"/>
      <c r="KGF5"/>
      <c r="KGG5"/>
      <c r="KGH5"/>
      <c r="KGI5"/>
      <c r="KGJ5"/>
      <c r="KGK5"/>
      <c r="KGL5"/>
      <c r="KGM5"/>
      <c r="KGN5"/>
      <c r="KGO5"/>
      <c r="KGP5"/>
      <c r="KGQ5"/>
      <c r="KGR5"/>
      <c r="KGS5"/>
      <c r="KGT5"/>
      <c r="KGU5"/>
      <c r="KGV5"/>
      <c r="KGW5"/>
      <c r="KGX5"/>
      <c r="KGY5"/>
      <c r="KGZ5"/>
      <c r="KHA5"/>
      <c r="KHB5"/>
      <c r="KHC5"/>
      <c r="KHD5"/>
      <c r="KHE5"/>
      <c r="KHF5"/>
      <c r="KHG5"/>
      <c r="KHH5"/>
      <c r="KHI5"/>
      <c r="KHJ5"/>
      <c r="KHK5"/>
      <c r="KHL5"/>
      <c r="KHM5"/>
      <c r="KHN5"/>
      <c r="KHO5"/>
      <c r="KHP5"/>
      <c r="KHQ5"/>
      <c r="KHR5"/>
      <c r="KHS5"/>
      <c r="KHT5"/>
      <c r="KHU5"/>
      <c r="KHV5"/>
      <c r="KHW5"/>
      <c r="KHX5"/>
      <c r="KHY5"/>
      <c r="KHZ5"/>
      <c r="KIA5"/>
      <c r="KIB5"/>
      <c r="KIC5"/>
      <c r="KID5"/>
      <c r="KIE5"/>
      <c r="KIF5"/>
      <c r="KIG5"/>
      <c r="KIH5"/>
      <c r="KII5"/>
      <c r="KIJ5"/>
      <c r="KIK5"/>
      <c r="KIL5"/>
      <c r="KIM5"/>
      <c r="KIN5"/>
      <c r="KIO5"/>
      <c r="KIP5"/>
      <c r="KIQ5"/>
      <c r="KIR5"/>
      <c r="KIS5"/>
      <c r="KIT5"/>
      <c r="KIU5"/>
      <c r="KIV5"/>
      <c r="KIW5"/>
      <c r="KIX5"/>
      <c r="KIY5"/>
      <c r="KIZ5"/>
      <c r="KJA5"/>
      <c r="KJB5"/>
      <c r="KJC5"/>
      <c r="KJD5"/>
      <c r="KJE5"/>
      <c r="KJF5"/>
      <c r="KJG5"/>
      <c r="KJH5"/>
      <c r="KJI5"/>
      <c r="KJJ5"/>
      <c r="KJK5"/>
      <c r="KJL5"/>
      <c r="KJM5"/>
      <c r="KJN5"/>
      <c r="KJO5"/>
      <c r="KJP5"/>
      <c r="KJQ5"/>
      <c r="KJR5"/>
      <c r="KJS5"/>
      <c r="KJT5"/>
      <c r="KJU5"/>
      <c r="KJV5"/>
      <c r="KJW5"/>
      <c r="KJX5"/>
      <c r="KJY5"/>
      <c r="KJZ5"/>
      <c r="KKA5"/>
      <c r="KKB5"/>
      <c r="KKC5"/>
      <c r="KKD5"/>
      <c r="KKE5"/>
      <c r="KKF5"/>
      <c r="KKG5"/>
      <c r="KKH5"/>
      <c r="KKI5"/>
      <c r="KKJ5"/>
      <c r="KKK5"/>
      <c r="KKL5"/>
      <c r="KKM5"/>
      <c r="KKN5"/>
      <c r="KKO5"/>
      <c r="KKP5"/>
      <c r="KKQ5"/>
      <c r="KKR5"/>
      <c r="KKS5"/>
      <c r="KKT5"/>
      <c r="KKU5"/>
      <c r="KKV5"/>
      <c r="KKW5"/>
      <c r="KKX5"/>
      <c r="KKY5"/>
      <c r="KKZ5"/>
      <c r="KLA5"/>
      <c r="KLB5"/>
      <c r="KLC5"/>
      <c r="KLD5"/>
      <c r="KLE5"/>
      <c r="KLF5"/>
      <c r="KLG5"/>
      <c r="KLH5"/>
      <c r="KLI5"/>
      <c r="KLJ5"/>
      <c r="KLK5"/>
      <c r="KLL5"/>
      <c r="KLM5"/>
      <c r="KLN5"/>
      <c r="KLO5"/>
      <c r="KLP5"/>
      <c r="KLQ5"/>
      <c r="KLR5"/>
      <c r="KLS5"/>
      <c r="KLT5"/>
      <c r="KLU5"/>
      <c r="KLV5"/>
      <c r="KLW5"/>
      <c r="KLX5"/>
      <c r="KLY5"/>
      <c r="KLZ5"/>
      <c r="KMA5"/>
      <c r="KMB5"/>
      <c r="KMC5"/>
      <c r="KMD5"/>
      <c r="KME5"/>
      <c r="KMF5"/>
      <c r="KMG5"/>
      <c r="KMH5"/>
      <c r="KMI5"/>
      <c r="KMJ5"/>
      <c r="KMK5"/>
      <c r="KML5"/>
      <c r="KMM5"/>
      <c r="KMN5"/>
      <c r="KMO5"/>
      <c r="KMP5"/>
      <c r="KMQ5"/>
      <c r="KMR5"/>
      <c r="KMS5"/>
      <c r="KMT5"/>
      <c r="KMU5"/>
      <c r="KMV5"/>
      <c r="KMW5"/>
      <c r="KMX5"/>
      <c r="KMY5"/>
      <c r="KMZ5"/>
      <c r="KNA5"/>
      <c r="KNB5"/>
      <c r="KNC5"/>
      <c r="KND5"/>
      <c r="KNE5"/>
      <c r="KNF5"/>
      <c r="KNG5"/>
      <c r="KNH5"/>
      <c r="KNI5"/>
      <c r="KNJ5"/>
      <c r="KNK5"/>
      <c r="KNL5"/>
      <c r="KNM5"/>
      <c r="KNN5"/>
      <c r="KNO5"/>
      <c r="KNP5"/>
      <c r="KNQ5"/>
      <c r="KNR5"/>
      <c r="KNS5"/>
      <c r="KNT5"/>
      <c r="KNU5"/>
      <c r="KNV5"/>
      <c r="KNW5"/>
      <c r="KNX5"/>
      <c r="KNY5"/>
      <c r="KNZ5"/>
      <c r="KOA5"/>
      <c r="KOB5"/>
      <c r="KOC5"/>
      <c r="KOD5"/>
      <c r="KOE5"/>
      <c r="KOF5"/>
      <c r="KOG5"/>
      <c r="KOH5"/>
      <c r="KOI5"/>
      <c r="KOJ5"/>
      <c r="KOK5"/>
      <c r="KOL5"/>
      <c r="KOM5"/>
      <c r="KON5"/>
      <c r="KOO5"/>
      <c r="KOP5"/>
      <c r="KOQ5"/>
      <c r="KOR5"/>
      <c r="KOS5"/>
      <c r="KOT5"/>
      <c r="KOU5"/>
      <c r="KOV5"/>
      <c r="KOW5"/>
      <c r="KOX5"/>
      <c r="KOY5"/>
      <c r="KOZ5"/>
      <c r="KPA5"/>
      <c r="KPB5"/>
      <c r="KPC5"/>
      <c r="KPD5"/>
      <c r="KPE5"/>
      <c r="KPF5"/>
      <c r="KPG5"/>
      <c r="KPH5"/>
      <c r="KPI5"/>
      <c r="KPJ5"/>
      <c r="KPK5"/>
      <c r="KPL5"/>
      <c r="KPM5"/>
      <c r="KPN5"/>
      <c r="KPO5"/>
      <c r="KPP5"/>
      <c r="KPQ5"/>
      <c r="KPR5"/>
      <c r="KPS5"/>
      <c r="KPT5"/>
      <c r="KPU5"/>
      <c r="KPV5"/>
      <c r="KPW5"/>
      <c r="KPX5"/>
      <c r="KPY5"/>
      <c r="KPZ5"/>
      <c r="KQA5"/>
      <c r="KQB5"/>
      <c r="KQC5"/>
      <c r="KQD5"/>
      <c r="KQE5"/>
      <c r="KQF5"/>
      <c r="KQG5"/>
      <c r="KQH5"/>
      <c r="KQI5"/>
      <c r="KQJ5"/>
      <c r="KQK5"/>
      <c r="KQL5"/>
      <c r="KQM5"/>
      <c r="KQN5"/>
      <c r="KQO5"/>
      <c r="KQP5"/>
      <c r="KQQ5"/>
      <c r="KQR5"/>
      <c r="KQS5"/>
      <c r="KQT5"/>
      <c r="KQU5"/>
      <c r="KQV5"/>
      <c r="KQW5"/>
      <c r="KQX5"/>
      <c r="KQY5"/>
      <c r="KQZ5"/>
      <c r="KRA5"/>
      <c r="KRB5"/>
      <c r="KRC5"/>
      <c r="KRD5"/>
      <c r="KRE5"/>
      <c r="KRF5"/>
      <c r="KRG5"/>
      <c r="KRH5"/>
      <c r="KRI5"/>
      <c r="KRJ5"/>
      <c r="KRK5"/>
      <c r="KRL5"/>
      <c r="KRM5"/>
      <c r="KRN5"/>
      <c r="KRO5"/>
      <c r="KRP5"/>
      <c r="KRQ5"/>
      <c r="KRR5"/>
      <c r="KRS5"/>
      <c r="KRT5"/>
      <c r="KRU5"/>
      <c r="KRV5"/>
      <c r="KRW5"/>
      <c r="KRX5"/>
      <c r="KRY5"/>
      <c r="KRZ5"/>
      <c r="KSA5"/>
      <c r="KSB5"/>
      <c r="KSC5"/>
      <c r="KSD5"/>
      <c r="KSE5"/>
      <c r="KSF5"/>
      <c r="KSG5"/>
      <c r="KSH5"/>
      <c r="KSI5"/>
      <c r="KSJ5"/>
      <c r="KSK5"/>
      <c r="KSL5"/>
      <c r="KSM5"/>
      <c r="KSN5"/>
      <c r="KSO5"/>
      <c r="KSP5"/>
      <c r="KSQ5"/>
      <c r="KSR5"/>
      <c r="KSS5"/>
      <c r="KST5"/>
      <c r="KSU5"/>
      <c r="KSV5"/>
      <c r="KSW5"/>
      <c r="KSX5"/>
      <c r="KSY5"/>
      <c r="KSZ5"/>
      <c r="KTA5"/>
      <c r="KTB5"/>
      <c r="KTC5"/>
      <c r="KTD5"/>
      <c r="KTE5"/>
      <c r="KTF5"/>
      <c r="KTG5"/>
      <c r="KTH5"/>
      <c r="KTI5"/>
      <c r="KTJ5"/>
      <c r="KTK5"/>
      <c r="KTL5"/>
      <c r="KTM5"/>
      <c r="KTN5"/>
      <c r="KTO5"/>
      <c r="KTP5"/>
      <c r="KTQ5"/>
      <c r="KTR5"/>
      <c r="KTS5"/>
      <c r="KTT5"/>
      <c r="KTU5"/>
      <c r="KTV5"/>
      <c r="KTW5"/>
      <c r="KTX5"/>
      <c r="KTY5"/>
      <c r="KTZ5"/>
      <c r="KUA5"/>
      <c r="KUB5"/>
      <c r="KUC5"/>
      <c r="KUD5"/>
      <c r="KUE5"/>
      <c r="KUF5"/>
      <c r="KUG5"/>
      <c r="KUH5"/>
      <c r="KUI5"/>
      <c r="KUJ5"/>
      <c r="KUK5"/>
      <c r="KUL5"/>
      <c r="KUM5"/>
      <c r="KUN5"/>
      <c r="KUO5"/>
      <c r="KUP5"/>
      <c r="KUQ5"/>
      <c r="KUR5"/>
      <c r="KUS5"/>
      <c r="KUT5"/>
      <c r="KUU5"/>
      <c r="KUV5"/>
      <c r="KUW5"/>
      <c r="KUX5"/>
      <c r="KUY5"/>
      <c r="KUZ5"/>
      <c r="KVA5"/>
      <c r="KVB5"/>
      <c r="KVC5"/>
      <c r="KVD5"/>
      <c r="KVE5"/>
      <c r="KVF5"/>
      <c r="KVG5"/>
      <c r="KVH5"/>
      <c r="KVI5"/>
      <c r="KVJ5"/>
      <c r="KVK5"/>
      <c r="KVL5"/>
      <c r="KVM5"/>
      <c r="KVN5"/>
      <c r="KVO5"/>
      <c r="KVP5"/>
      <c r="KVQ5"/>
      <c r="KVR5"/>
      <c r="KVS5"/>
      <c r="KVT5"/>
      <c r="KVU5"/>
      <c r="KVV5"/>
      <c r="KVW5"/>
      <c r="KVX5"/>
      <c r="KVY5"/>
      <c r="KVZ5"/>
      <c r="KWA5"/>
      <c r="KWB5"/>
      <c r="KWC5"/>
      <c r="KWD5"/>
      <c r="KWE5"/>
      <c r="KWF5"/>
      <c r="KWG5"/>
      <c r="KWH5"/>
      <c r="KWI5"/>
      <c r="KWJ5"/>
      <c r="KWK5"/>
      <c r="KWL5"/>
      <c r="KWM5"/>
      <c r="KWN5"/>
      <c r="KWO5"/>
      <c r="KWP5"/>
      <c r="KWQ5"/>
      <c r="KWR5"/>
      <c r="KWS5"/>
      <c r="KWT5"/>
      <c r="KWU5"/>
      <c r="KWV5"/>
      <c r="KWW5"/>
      <c r="KWX5"/>
      <c r="KWY5"/>
      <c r="KWZ5"/>
      <c r="KXA5"/>
      <c r="KXB5"/>
      <c r="KXC5"/>
      <c r="KXD5"/>
      <c r="KXE5"/>
      <c r="KXF5"/>
      <c r="KXG5"/>
      <c r="KXH5"/>
      <c r="KXI5"/>
      <c r="KXJ5"/>
      <c r="KXK5"/>
      <c r="KXL5"/>
      <c r="KXM5"/>
      <c r="KXN5"/>
      <c r="KXO5"/>
      <c r="KXP5"/>
      <c r="KXQ5"/>
      <c r="KXR5"/>
      <c r="KXS5"/>
      <c r="KXT5"/>
      <c r="KXU5"/>
      <c r="KXV5"/>
      <c r="KXW5"/>
      <c r="KXX5"/>
      <c r="KXY5"/>
      <c r="KXZ5"/>
      <c r="KYA5"/>
      <c r="KYB5"/>
      <c r="KYC5"/>
      <c r="KYD5"/>
      <c r="KYE5"/>
      <c r="KYF5"/>
      <c r="KYG5"/>
      <c r="KYH5"/>
      <c r="KYI5"/>
      <c r="KYJ5"/>
      <c r="KYK5"/>
      <c r="KYL5"/>
      <c r="KYM5"/>
      <c r="KYN5"/>
      <c r="KYO5"/>
      <c r="KYP5"/>
      <c r="KYQ5"/>
      <c r="KYR5"/>
      <c r="KYS5"/>
      <c r="KYT5"/>
      <c r="KYU5"/>
      <c r="KYV5"/>
      <c r="KYW5"/>
      <c r="KYX5"/>
      <c r="KYY5"/>
      <c r="KYZ5"/>
      <c r="KZA5"/>
      <c r="KZB5"/>
      <c r="KZC5"/>
      <c r="KZD5"/>
      <c r="KZE5"/>
      <c r="KZF5"/>
      <c r="KZG5"/>
      <c r="KZH5"/>
      <c r="KZI5"/>
      <c r="KZJ5"/>
      <c r="KZK5"/>
      <c r="KZL5"/>
      <c r="KZM5"/>
      <c r="KZN5"/>
      <c r="KZO5"/>
      <c r="KZP5"/>
      <c r="KZQ5"/>
      <c r="KZR5"/>
      <c r="KZS5"/>
      <c r="KZT5"/>
      <c r="KZU5"/>
      <c r="KZV5"/>
      <c r="KZW5"/>
      <c r="KZX5"/>
      <c r="KZY5"/>
      <c r="KZZ5"/>
      <c r="LAA5"/>
      <c r="LAB5"/>
      <c r="LAC5"/>
      <c r="LAD5"/>
      <c r="LAE5"/>
      <c r="LAF5"/>
      <c r="LAG5"/>
      <c r="LAH5"/>
      <c r="LAI5"/>
      <c r="LAJ5"/>
      <c r="LAK5"/>
      <c r="LAL5"/>
      <c r="LAM5"/>
      <c r="LAN5"/>
      <c r="LAO5"/>
      <c r="LAP5"/>
      <c r="LAQ5"/>
      <c r="LAR5"/>
      <c r="LAS5"/>
      <c r="LAT5"/>
      <c r="LAU5"/>
      <c r="LAV5"/>
      <c r="LAW5"/>
      <c r="LAX5"/>
      <c r="LAY5"/>
      <c r="LAZ5"/>
      <c r="LBA5"/>
      <c r="LBB5"/>
      <c r="LBC5"/>
      <c r="LBD5"/>
      <c r="LBE5"/>
      <c r="LBF5"/>
      <c r="LBG5"/>
      <c r="LBH5"/>
      <c r="LBI5"/>
      <c r="LBJ5"/>
      <c r="LBK5"/>
      <c r="LBL5"/>
      <c r="LBM5"/>
      <c r="LBN5"/>
      <c r="LBO5"/>
      <c r="LBP5"/>
      <c r="LBQ5"/>
      <c r="LBR5"/>
      <c r="LBS5"/>
      <c r="LBT5"/>
      <c r="LBU5"/>
      <c r="LBV5"/>
      <c r="LBW5"/>
      <c r="LBX5"/>
      <c r="LBY5"/>
      <c r="LBZ5"/>
      <c r="LCA5"/>
      <c r="LCB5"/>
      <c r="LCC5"/>
      <c r="LCD5"/>
      <c r="LCE5"/>
      <c r="LCF5"/>
      <c r="LCG5"/>
      <c r="LCH5"/>
      <c r="LCI5"/>
      <c r="LCJ5"/>
      <c r="LCK5"/>
      <c r="LCL5"/>
      <c r="LCM5"/>
      <c r="LCN5"/>
      <c r="LCO5"/>
      <c r="LCP5"/>
      <c r="LCQ5"/>
      <c r="LCR5"/>
      <c r="LCS5"/>
      <c r="LCT5"/>
      <c r="LCU5"/>
      <c r="LCV5"/>
      <c r="LCW5"/>
      <c r="LCX5"/>
      <c r="LCY5"/>
      <c r="LCZ5"/>
      <c r="LDA5"/>
      <c r="LDB5"/>
      <c r="LDC5"/>
      <c r="LDD5"/>
      <c r="LDE5"/>
      <c r="LDF5"/>
      <c r="LDG5"/>
      <c r="LDH5"/>
      <c r="LDI5"/>
      <c r="LDJ5"/>
      <c r="LDK5"/>
      <c r="LDL5"/>
      <c r="LDM5"/>
      <c r="LDN5"/>
      <c r="LDO5"/>
      <c r="LDP5"/>
      <c r="LDQ5"/>
      <c r="LDR5"/>
      <c r="LDS5"/>
      <c r="LDT5"/>
      <c r="LDU5"/>
      <c r="LDV5"/>
      <c r="LDW5"/>
      <c r="LDX5"/>
      <c r="LDY5"/>
      <c r="LDZ5"/>
      <c r="LEA5"/>
      <c r="LEB5"/>
      <c r="LEC5"/>
      <c r="LED5"/>
      <c r="LEE5"/>
      <c r="LEF5"/>
      <c r="LEG5"/>
      <c r="LEH5"/>
      <c r="LEI5"/>
      <c r="LEJ5"/>
      <c r="LEK5"/>
      <c r="LEL5"/>
      <c r="LEM5"/>
      <c r="LEN5"/>
      <c r="LEO5"/>
      <c r="LEP5"/>
      <c r="LEQ5"/>
      <c r="LER5"/>
      <c r="LES5"/>
      <c r="LET5"/>
      <c r="LEU5"/>
      <c r="LEV5"/>
      <c r="LEW5"/>
      <c r="LEX5"/>
      <c r="LEY5"/>
      <c r="LEZ5"/>
      <c r="LFA5"/>
      <c r="LFB5"/>
      <c r="LFC5"/>
      <c r="LFD5"/>
      <c r="LFE5"/>
      <c r="LFF5"/>
      <c r="LFG5"/>
      <c r="LFH5"/>
      <c r="LFI5"/>
      <c r="LFJ5"/>
      <c r="LFK5"/>
      <c r="LFL5"/>
      <c r="LFM5"/>
      <c r="LFN5"/>
      <c r="LFO5"/>
      <c r="LFP5"/>
      <c r="LFQ5"/>
      <c r="LFR5"/>
      <c r="LFS5"/>
      <c r="LFT5"/>
      <c r="LFU5"/>
      <c r="LFV5"/>
      <c r="LFW5"/>
      <c r="LFX5"/>
      <c r="LFY5"/>
      <c r="LFZ5"/>
      <c r="LGA5"/>
      <c r="LGB5"/>
      <c r="LGC5"/>
      <c r="LGD5"/>
      <c r="LGE5"/>
      <c r="LGF5"/>
      <c r="LGG5"/>
      <c r="LGH5"/>
      <c r="LGI5"/>
      <c r="LGJ5"/>
      <c r="LGK5"/>
      <c r="LGL5"/>
      <c r="LGM5"/>
      <c r="LGN5"/>
      <c r="LGO5"/>
      <c r="LGP5"/>
      <c r="LGQ5"/>
      <c r="LGR5"/>
      <c r="LGS5"/>
      <c r="LGT5"/>
      <c r="LGU5"/>
      <c r="LGV5"/>
      <c r="LGW5"/>
      <c r="LGX5"/>
      <c r="LGY5"/>
      <c r="LGZ5"/>
      <c r="LHA5"/>
      <c r="LHB5"/>
      <c r="LHC5"/>
      <c r="LHD5"/>
      <c r="LHE5"/>
      <c r="LHF5"/>
      <c r="LHG5"/>
      <c r="LHH5"/>
      <c r="LHI5"/>
      <c r="LHJ5"/>
      <c r="LHK5"/>
      <c r="LHL5"/>
      <c r="LHM5"/>
      <c r="LHN5"/>
      <c r="LHO5"/>
      <c r="LHP5"/>
      <c r="LHQ5"/>
      <c r="LHR5"/>
      <c r="LHS5"/>
      <c r="LHT5"/>
      <c r="LHU5"/>
      <c r="LHV5"/>
      <c r="LHW5"/>
      <c r="LHX5"/>
      <c r="LHY5"/>
      <c r="LHZ5"/>
      <c r="LIA5"/>
      <c r="LIB5"/>
      <c r="LIC5"/>
      <c r="LID5"/>
      <c r="LIE5"/>
      <c r="LIF5"/>
      <c r="LIG5"/>
      <c r="LIH5"/>
      <c r="LII5"/>
      <c r="LIJ5"/>
      <c r="LIK5"/>
      <c r="LIL5"/>
      <c r="LIM5"/>
      <c r="LIN5"/>
      <c r="LIO5"/>
      <c r="LIP5"/>
      <c r="LIQ5"/>
      <c r="LIR5"/>
      <c r="LIS5"/>
      <c r="LIT5"/>
      <c r="LIU5"/>
      <c r="LIV5"/>
      <c r="LIW5"/>
      <c r="LIX5"/>
      <c r="LIY5"/>
      <c r="LIZ5"/>
      <c r="LJA5"/>
      <c r="LJB5"/>
      <c r="LJC5"/>
      <c r="LJD5"/>
      <c r="LJE5"/>
      <c r="LJF5"/>
      <c r="LJG5"/>
      <c r="LJH5"/>
      <c r="LJI5"/>
      <c r="LJJ5"/>
      <c r="LJK5"/>
      <c r="LJL5"/>
      <c r="LJM5"/>
      <c r="LJN5"/>
      <c r="LJO5"/>
      <c r="LJP5"/>
      <c r="LJQ5"/>
      <c r="LJR5"/>
      <c r="LJS5"/>
      <c r="LJT5"/>
      <c r="LJU5"/>
      <c r="LJV5"/>
      <c r="LJW5"/>
      <c r="LJX5"/>
      <c r="LJY5"/>
      <c r="LJZ5"/>
      <c r="LKA5"/>
      <c r="LKB5"/>
      <c r="LKC5"/>
      <c r="LKD5"/>
      <c r="LKE5"/>
      <c r="LKF5"/>
      <c r="LKG5"/>
      <c r="LKH5"/>
      <c r="LKI5"/>
      <c r="LKJ5"/>
      <c r="LKK5"/>
      <c r="LKL5"/>
      <c r="LKM5"/>
      <c r="LKN5"/>
      <c r="LKO5"/>
      <c r="LKP5"/>
      <c r="LKQ5"/>
      <c r="LKR5"/>
      <c r="LKS5"/>
      <c r="LKT5"/>
      <c r="LKU5"/>
      <c r="LKV5"/>
      <c r="LKW5"/>
      <c r="LKX5"/>
      <c r="LKY5"/>
      <c r="LKZ5"/>
      <c r="LLA5"/>
      <c r="LLB5"/>
      <c r="LLC5"/>
      <c r="LLD5"/>
      <c r="LLE5"/>
      <c r="LLF5"/>
      <c r="LLG5"/>
      <c r="LLH5"/>
      <c r="LLI5"/>
      <c r="LLJ5"/>
      <c r="LLK5"/>
      <c r="LLL5"/>
      <c r="LLM5"/>
      <c r="LLN5"/>
      <c r="LLO5"/>
      <c r="LLP5"/>
      <c r="LLQ5"/>
      <c r="LLR5"/>
      <c r="LLS5"/>
      <c r="LLT5"/>
      <c r="LLU5"/>
      <c r="LLV5"/>
      <c r="LLW5"/>
      <c r="LLX5"/>
      <c r="LLY5"/>
      <c r="LLZ5"/>
      <c r="LMA5"/>
      <c r="LMB5"/>
      <c r="LMC5"/>
      <c r="LMD5"/>
      <c r="LME5"/>
      <c r="LMF5"/>
      <c r="LMG5"/>
      <c r="LMH5"/>
      <c r="LMI5"/>
      <c r="LMJ5"/>
      <c r="LMK5"/>
      <c r="LML5"/>
      <c r="LMM5"/>
      <c r="LMN5"/>
      <c r="LMO5"/>
      <c r="LMP5"/>
      <c r="LMQ5"/>
      <c r="LMR5"/>
      <c r="LMS5"/>
      <c r="LMT5"/>
      <c r="LMU5"/>
      <c r="LMV5"/>
      <c r="LMW5"/>
      <c r="LMX5"/>
      <c r="LMY5"/>
      <c r="LMZ5"/>
      <c r="LNA5"/>
      <c r="LNB5"/>
      <c r="LNC5"/>
      <c r="LND5"/>
      <c r="LNE5"/>
      <c r="LNF5"/>
      <c r="LNG5"/>
      <c r="LNH5"/>
      <c r="LNI5"/>
      <c r="LNJ5"/>
      <c r="LNK5"/>
      <c r="LNL5"/>
      <c r="LNM5"/>
      <c r="LNN5"/>
      <c r="LNO5"/>
      <c r="LNP5"/>
      <c r="LNQ5"/>
      <c r="LNR5"/>
      <c r="LNS5"/>
      <c r="LNT5"/>
      <c r="LNU5"/>
      <c r="LNV5"/>
      <c r="LNW5"/>
      <c r="LNX5"/>
      <c r="LNY5"/>
      <c r="LNZ5"/>
      <c r="LOA5"/>
      <c r="LOB5"/>
      <c r="LOC5"/>
      <c r="LOD5"/>
      <c r="LOE5"/>
      <c r="LOF5"/>
      <c r="LOG5"/>
      <c r="LOH5"/>
      <c r="LOI5"/>
      <c r="LOJ5"/>
      <c r="LOK5"/>
      <c r="LOL5"/>
      <c r="LOM5"/>
      <c r="LON5"/>
      <c r="LOO5"/>
      <c r="LOP5"/>
      <c r="LOQ5"/>
      <c r="LOR5"/>
      <c r="LOS5"/>
      <c r="LOT5"/>
      <c r="LOU5"/>
      <c r="LOV5"/>
      <c r="LOW5"/>
      <c r="LOX5"/>
      <c r="LOY5"/>
      <c r="LOZ5"/>
      <c r="LPA5"/>
      <c r="LPB5"/>
      <c r="LPC5"/>
      <c r="LPD5"/>
      <c r="LPE5"/>
      <c r="LPF5"/>
      <c r="LPG5"/>
      <c r="LPH5"/>
      <c r="LPI5"/>
      <c r="LPJ5"/>
      <c r="LPK5"/>
      <c r="LPL5"/>
      <c r="LPM5"/>
      <c r="LPN5"/>
      <c r="LPO5"/>
      <c r="LPP5"/>
      <c r="LPQ5"/>
      <c r="LPR5"/>
      <c r="LPS5"/>
      <c r="LPT5"/>
      <c r="LPU5"/>
      <c r="LPV5"/>
      <c r="LPW5"/>
      <c r="LPX5"/>
      <c r="LPY5"/>
      <c r="LPZ5"/>
      <c r="LQA5"/>
      <c r="LQB5"/>
      <c r="LQC5"/>
      <c r="LQD5"/>
      <c r="LQE5"/>
      <c r="LQF5"/>
      <c r="LQG5"/>
      <c r="LQH5"/>
      <c r="LQI5"/>
      <c r="LQJ5"/>
      <c r="LQK5"/>
      <c r="LQL5"/>
      <c r="LQM5"/>
      <c r="LQN5"/>
      <c r="LQO5"/>
      <c r="LQP5"/>
      <c r="LQQ5"/>
      <c r="LQR5"/>
      <c r="LQS5"/>
      <c r="LQT5"/>
      <c r="LQU5"/>
      <c r="LQV5"/>
      <c r="LQW5"/>
      <c r="LQX5"/>
      <c r="LQY5"/>
      <c r="LQZ5"/>
      <c r="LRA5"/>
      <c r="LRB5"/>
      <c r="LRC5"/>
      <c r="LRD5"/>
      <c r="LRE5"/>
      <c r="LRF5"/>
      <c r="LRG5"/>
      <c r="LRH5"/>
      <c r="LRI5"/>
      <c r="LRJ5"/>
      <c r="LRK5"/>
      <c r="LRL5"/>
      <c r="LRM5"/>
      <c r="LRN5"/>
      <c r="LRO5"/>
      <c r="LRP5"/>
      <c r="LRQ5"/>
      <c r="LRR5"/>
      <c r="LRS5"/>
      <c r="LRT5"/>
      <c r="LRU5"/>
      <c r="LRV5"/>
      <c r="LRW5"/>
      <c r="LRX5"/>
      <c r="LRY5"/>
      <c r="LRZ5"/>
      <c r="LSA5"/>
      <c r="LSB5"/>
      <c r="LSC5"/>
      <c r="LSD5"/>
      <c r="LSE5"/>
      <c r="LSF5"/>
      <c r="LSG5"/>
      <c r="LSH5"/>
      <c r="LSI5"/>
      <c r="LSJ5"/>
      <c r="LSK5"/>
      <c r="LSL5"/>
      <c r="LSM5"/>
      <c r="LSN5"/>
      <c r="LSO5"/>
      <c r="LSP5"/>
      <c r="LSQ5"/>
      <c r="LSR5"/>
      <c r="LSS5"/>
      <c r="LST5"/>
      <c r="LSU5"/>
      <c r="LSV5"/>
      <c r="LSW5"/>
      <c r="LSX5"/>
      <c r="LSY5"/>
      <c r="LSZ5"/>
      <c r="LTA5"/>
      <c r="LTB5"/>
      <c r="LTC5"/>
      <c r="LTD5"/>
      <c r="LTE5"/>
      <c r="LTF5"/>
      <c r="LTG5"/>
      <c r="LTH5"/>
      <c r="LTI5"/>
      <c r="LTJ5"/>
      <c r="LTK5"/>
      <c r="LTL5"/>
      <c r="LTM5"/>
      <c r="LTN5"/>
      <c r="LTO5"/>
      <c r="LTP5"/>
      <c r="LTQ5"/>
      <c r="LTR5"/>
      <c r="LTS5"/>
      <c r="LTT5"/>
      <c r="LTU5"/>
      <c r="LTV5"/>
      <c r="LTW5"/>
      <c r="LTX5"/>
      <c r="LTY5"/>
      <c r="LTZ5"/>
      <c r="LUA5"/>
      <c r="LUB5"/>
      <c r="LUC5"/>
      <c r="LUD5"/>
      <c r="LUE5"/>
      <c r="LUF5"/>
      <c r="LUG5"/>
      <c r="LUH5"/>
      <c r="LUI5"/>
      <c r="LUJ5"/>
      <c r="LUK5"/>
      <c r="LUL5"/>
      <c r="LUM5"/>
      <c r="LUN5"/>
      <c r="LUO5"/>
      <c r="LUP5"/>
      <c r="LUQ5"/>
      <c r="LUR5"/>
      <c r="LUS5"/>
      <c r="LUT5"/>
      <c r="LUU5"/>
      <c r="LUV5"/>
      <c r="LUW5"/>
      <c r="LUX5"/>
      <c r="LUY5"/>
      <c r="LUZ5"/>
      <c r="LVA5"/>
      <c r="LVB5"/>
      <c r="LVC5"/>
      <c r="LVD5"/>
      <c r="LVE5"/>
      <c r="LVF5"/>
      <c r="LVG5"/>
      <c r="LVH5"/>
      <c r="LVI5"/>
      <c r="LVJ5"/>
      <c r="LVK5"/>
      <c r="LVL5"/>
      <c r="LVM5"/>
      <c r="LVN5"/>
      <c r="LVO5"/>
      <c r="LVP5"/>
      <c r="LVQ5"/>
      <c r="LVR5"/>
      <c r="LVS5"/>
      <c r="LVT5"/>
      <c r="LVU5"/>
      <c r="LVV5"/>
      <c r="LVW5"/>
      <c r="LVX5"/>
      <c r="LVY5"/>
      <c r="LVZ5"/>
      <c r="LWA5"/>
      <c r="LWB5"/>
      <c r="LWC5"/>
      <c r="LWD5"/>
      <c r="LWE5"/>
      <c r="LWF5"/>
      <c r="LWG5"/>
      <c r="LWH5"/>
      <c r="LWI5"/>
      <c r="LWJ5"/>
      <c r="LWK5"/>
      <c r="LWL5"/>
      <c r="LWM5"/>
      <c r="LWN5"/>
      <c r="LWO5"/>
      <c r="LWP5"/>
      <c r="LWQ5"/>
      <c r="LWR5"/>
      <c r="LWS5"/>
      <c r="LWT5"/>
      <c r="LWU5"/>
      <c r="LWV5"/>
      <c r="LWW5"/>
      <c r="LWX5"/>
      <c r="LWY5"/>
      <c r="LWZ5"/>
      <c r="LXA5"/>
      <c r="LXB5"/>
      <c r="LXC5"/>
      <c r="LXD5"/>
      <c r="LXE5"/>
      <c r="LXF5"/>
      <c r="LXG5"/>
      <c r="LXH5"/>
      <c r="LXI5"/>
      <c r="LXJ5"/>
      <c r="LXK5"/>
      <c r="LXL5"/>
      <c r="LXM5"/>
      <c r="LXN5"/>
      <c r="LXO5"/>
      <c r="LXP5"/>
      <c r="LXQ5"/>
      <c r="LXR5"/>
      <c r="LXS5"/>
      <c r="LXT5"/>
      <c r="LXU5"/>
      <c r="LXV5"/>
      <c r="LXW5"/>
      <c r="LXX5"/>
      <c r="LXY5"/>
      <c r="LXZ5"/>
      <c r="LYA5"/>
      <c r="LYB5"/>
      <c r="LYC5"/>
      <c r="LYD5"/>
      <c r="LYE5"/>
      <c r="LYF5"/>
      <c r="LYG5"/>
      <c r="LYH5"/>
      <c r="LYI5"/>
      <c r="LYJ5"/>
      <c r="LYK5"/>
      <c r="LYL5"/>
      <c r="LYM5"/>
      <c r="LYN5"/>
      <c r="LYO5"/>
      <c r="LYP5"/>
      <c r="LYQ5"/>
      <c r="LYR5"/>
      <c r="LYS5"/>
      <c r="LYT5"/>
      <c r="LYU5"/>
      <c r="LYV5"/>
      <c r="LYW5"/>
      <c r="LYX5"/>
      <c r="LYY5"/>
      <c r="LYZ5"/>
      <c r="LZA5"/>
      <c r="LZB5"/>
      <c r="LZC5"/>
      <c r="LZD5"/>
      <c r="LZE5"/>
      <c r="LZF5"/>
      <c r="LZG5"/>
      <c r="LZH5"/>
      <c r="LZI5"/>
      <c r="LZJ5"/>
      <c r="LZK5"/>
      <c r="LZL5"/>
      <c r="LZM5"/>
      <c r="LZN5"/>
      <c r="LZO5"/>
      <c r="LZP5"/>
      <c r="LZQ5"/>
      <c r="LZR5"/>
      <c r="LZS5"/>
      <c r="LZT5"/>
      <c r="LZU5"/>
      <c r="LZV5"/>
      <c r="LZW5"/>
      <c r="LZX5"/>
      <c r="LZY5"/>
      <c r="LZZ5"/>
      <c r="MAA5"/>
      <c r="MAB5"/>
      <c r="MAC5"/>
      <c r="MAD5"/>
      <c r="MAE5"/>
      <c r="MAF5"/>
      <c r="MAG5"/>
      <c r="MAH5"/>
      <c r="MAI5"/>
      <c r="MAJ5"/>
      <c r="MAK5"/>
      <c r="MAL5"/>
      <c r="MAM5"/>
      <c r="MAN5"/>
      <c r="MAO5"/>
      <c r="MAP5"/>
      <c r="MAQ5"/>
      <c r="MAR5"/>
      <c r="MAS5"/>
      <c r="MAT5"/>
      <c r="MAU5"/>
      <c r="MAV5"/>
      <c r="MAW5"/>
      <c r="MAX5"/>
      <c r="MAY5"/>
      <c r="MAZ5"/>
      <c r="MBA5"/>
      <c r="MBB5"/>
      <c r="MBC5"/>
      <c r="MBD5"/>
      <c r="MBE5"/>
      <c r="MBF5"/>
      <c r="MBG5"/>
      <c r="MBH5"/>
      <c r="MBI5"/>
      <c r="MBJ5"/>
      <c r="MBK5"/>
      <c r="MBL5"/>
      <c r="MBM5"/>
      <c r="MBN5"/>
      <c r="MBO5"/>
      <c r="MBP5"/>
      <c r="MBQ5"/>
      <c r="MBR5"/>
      <c r="MBS5"/>
      <c r="MBT5"/>
      <c r="MBU5"/>
      <c r="MBV5"/>
      <c r="MBW5"/>
      <c r="MBX5"/>
      <c r="MBY5"/>
      <c r="MBZ5"/>
      <c r="MCA5"/>
      <c r="MCB5"/>
      <c r="MCC5"/>
      <c r="MCD5"/>
      <c r="MCE5"/>
      <c r="MCF5"/>
      <c r="MCG5"/>
      <c r="MCH5"/>
      <c r="MCI5"/>
      <c r="MCJ5"/>
      <c r="MCK5"/>
      <c r="MCL5"/>
      <c r="MCM5"/>
      <c r="MCN5"/>
      <c r="MCO5"/>
      <c r="MCP5"/>
      <c r="MCQ5"/>
      <c r="MCR5"/>
      <c r="MCS5"/>
      <c r="MCT5"/>
      <c r="MCU5"/>
      <c r="MCV5"/>
      <c r="MCW5"/>
      <c r="MCX5"/>
      <c r="MCY5"/>
      <c r="MCZ5"/>
      <c r="MDA5"/>
      <c r="MDB5"/>
      <c r="MDC5"/>
      <c r="MDD5"/>
      <c r="MDE5"/>
      <c r="MDF5"/>
      <c r="MDG5"/>
      <c r="MDH5"/>
      <c r="MDI5"/>
      <c r="MDJ5"/>
      <c r="MDK5"/>
      <c r="MDL5"/>
      <c r="MDM5"/>
      <c r="MDN5"/>
      <c r="MDO5"/>
      <c r="MDP5"/>
      <c r="MDQ5"/>
      <c r="MDR5"/>
      <c r="MDS5"/>
      <c r="MDT5"/>
      <c r="MDU5"/>
      <c r="MDV5"/>
      <c r="MDW5"/>
      <c r="MDX5"/>
      <c r="MDY5"/>
      <c r="MDZ5"/>
      <c r="MEA5"/>
      <c r="MEB5"/>
      <c r="MEC5"/>
      <c r="MED5"/>
      <c r="MEE5"/>
      <c r="MEF5"/>
      <c r="MEG5"/>
      <c r="MEH5"/>
      <c r="MEI5"/>
      <c r="MEJ5"/>
      <c r="MEK5"/>
      <c r="MEL5"/>
      <c r="MEM5"/>
      <c r="MEN5"/>
      <c r="MEO5"/>
      <c r="MEP5"/>
      <c r="MEQ5"/>
      <c r="MER5"/>
      <c r="MES5"/>
      <c r="MET5"/>
      <c r="MEU5"/>
      <c r="MEV5"/>
      <c r="MEW5"/>
      <c r="MEX5"/>
      <c r="MEY5"/>
      <c r="MEZ5"/>
      <c r="MFA5"/>
      <c r="MFB5"/>
      <c r="MFC5"/>
      <c r="MFD5"/>
      <c r="MFE5"/>
      <c r="MFF5"/>
      <c r="MFG5"/>
      <c r="MFH5"/>
      <c r="MFI5"/>
      <c r="MFJ5"/>
      <c r="MFK5"/>
      <c r="MFL5"/>
      <c r="MFM5"/>
      <c r="MFN5"/>
      <c r="MFO5"/>
      <c r="MFP5"/>
      <c r="MFQ5"/>
      <c r="MFR5"/>
      <c r="MFS5"/>
      <c r="MFT5"/>
      <c r="MFU5"/>
      <c r="MFV5"/>
      <c r="MFW5"/>
      <c r="MFX5"/>
      <c r="MFY5"/>
      <c r="MFZ5"/>
      <c r="MGA5"/>
      <c r="MGB5"/>
      <c r="MGC5"/>
      <c r="MGD5"/>
      <c r="MGE5"/>
      <c r="MGF5"/>
      <c r="MGG5"/>
      <c r="MGH5"/>
      <c r="MGI5"/>
      <c r="MGJ5"/>
      <c r="MGK5"/>
      <c r="MGL5"/>
      <c r="MGM5"/>
      <c r="MGN5"/>
      <c r="MGO5"/>
      <c r="MGP5"/>
      <c r="MGQ5"/>
      <c r="MGR5"/>
      <c r="MGS5"/>
      <c r="MGT5"/>
      <c r="MGU5"/>
      <c r="MGV5"/>
      <c r="MGW5"/>
      <c r="MGX5"/>
      <c r="MGY5"/>
      <c r="MGZ5"/>
      <c r="MHA5"/>
      <c r="MHB5"/>
      <c r="MHC5"/>
      <c r="MHD5"/>
      <c r="MHE5"/>
      <c r="MHF5"/>
      <c r="MHG5"/>
      <c r="MHH5"/>
      <c r="MHI5"/>
      <c r="MHJ5"/>
      <c r="MHK5"/>
      <c r="MHL5"/>
      <c r="MHM5"/>
      <c r="MHN5"/>
      <c r="MHO5"/>
      <c r="MHP5"/>
      <c r="MHQ5"/>
      <c r="MHR5"/>
      <c r="MHS5"/>
      <c r="MHT5"/>
      <c r="MHU5"/>
      <c r="MHV5"/>
      <c r="MHW5"/>
      <c r="MHX5"/>
      <c r="MHY5"/>
      <c r="MHZ5"/>
      <c r="MIA5"/>
      <c r="MIB5"/>
      <c r="MIC5"/>
      <c r="MID5"/>
      <c r="MIE5"/>
      <c r="MIF5"/>
      <c r="MIG5"/>
      <c r="MIH5"/>
      <c r="MII5"/>
      <c r="MIJ5"/>
      <c r="MIK5"/>
      <c r="MIL5"/>
      <c r="MIM5"/>
      <c r="MIN5"/>
      <c r="MIO5"/>
      <c r="MIP5"/>
      <c r="MIQ5"/>
      <c r="MIR5"/>
      <c r="MIS5"/>
      <c r="MIT5"/>
      <c r="MIU5"/>
      <c r="MIV5"/>
      <c r="MIW5"/>
      <c r="MIX5"/>
      <c r="MIY5"/>
      <c r="MIZ5"/>
      <c r="MJA5"/>
      <c r="MJB5"/>
      <c r="MJC5"/>
      <c r="MJD5"/>
      <c r="MJE5"/>
      <c r="MJF5"/>
      <c r="MJG5"/>
      <c r="MJH5"/>
      <c r="MJI5"/>
      <c r="MJJ5"/>
      <c r="MJK5"/>
      <c r="MJL5"/>
      <c r="MJM5"/>
      <c r="MJN5"/>
      <c r="MJO5"/>
      <c r="MJP5"/>
      <c r="MJQ5"/>
      <c r="MJR5"/>
      <c r="MJS5"/>
      <c r="MJT5"/>
      <c r="MJU5"/>
      <c r="MJV5"/>
      <c r="MJW5"/>
      <c r="MJX5"/>
      <c r="MJY5"/>
      <c r="MJZ5"/>
      <c r="MKA5"/>
      <c r="MKB5"/>
      <c r="MKC5"/>
      <c r="MKD5"/>
      <c r="MKE5"/>
      <c r="MKF5"/>
      <c r="MKG5"/>
      <c r="MKH5"/>
      <c r="MKI5"/>
      <c r="MKJ5"/>
      <c r="MKK5"/>
      <c r="MKL5"/>
      <c r="MKM5"/>
      <c r="MKN5"/>
      <c r="MKO5"/>
      <c r="MKP5"/>
      <c r="MKQ5"/>
      <c r="MKR5"/>
      <c r="MKS5"/>
      <c r="MKT5"/>
      <c r="MKU5"/>
      <c r="MKV5"/>
      <c r="MKW5"/>
      <c r="MKX5"/>
      <c r="MKY5"/>
      <c r="MKZ5"/>
      <c r="MLA5"/>
      <c r="MLB5"/>
      <c r="MLC5"/>
      <c r="MLD5"/>
      <c r="MLE5"/>
      <c r="MLF5"/>
      <c r="MLG5"/>
      <c r="MLH5"/>
      <c r="MLI5"/>
      <c r="MLJ5"/>
      <c r="MLK5"/>
      <c r="MLL5"/>
      <c r="MLM5"/>
      <c r="MLN5"/>
      <c r="MLO5"/>
      <c r="MLP5"/>
      <c r="MLQ5"/>
      <c r="MLR5"/>
      <c r="MLS5"/>
      <c r="MLT5"/>
      <c r="MLU5"/>
      <c r="MLV5"/>
      <c r="MLW5"/>
      <c r="MLX5"/>
      <c r="MLY5"/>
      <c r="MLZ5"/>
      <c r="MMA5"/>
      <c r="MMB5"/>
      <c r="MMC5"/>
      <c r="MMD5"/>
      <c r="MME5"/>
      <c r="MMF5"/>
      <c r="MMG5"/>
      <c r="MMH5"/>
      <c r="MMI5"/>
      <c r="MMJ5"/>
      <c r="MMK5"/>
      <c r="MML5"/>
      <c r="MMM5"/>
      <c r="MMN5"/>
      <c r="MMO5"/>
      <c r="MMP5"/>
      <c r="MMQ5"/>
      <c r="MMR5"/>
      <c r="MMS5"/>
      <c r="MMT5"/>
      <c r="MMU5"/>
      <c r="MMV5"/>
      <c r="MMW5"/>
      <c r="MMX5"/>
      <c r="MMY5"/>
      <c r="MMZ5"/>
      <c r="MNA5"/>
      <c r="MNB5"/>
      <c r="MNC5"/>
      <c r="MND5"/>
      <c r="MNE5"/>
      <c r="MNF5"/>
      <c r="MNG5"/>
      <c r="MNH5"/>
      <c r="MNI5"/>
      <c r="MNJ5"/>
      <c r="MNK5"/>
      <c r="MNL5"/>
      <c r="MNM5"/>
      <c r="MNN5"/>
      <c r="MNO5"/>
      <c r="MNP5"/>
      <c r="MNQ5"/>
      <c r="MNR5"/>
      <c r="MNS5"/>
      <c r="MNT5"/>
      <c r="MNU5"/>
      <c r="MNV5"/>
      <c r="MNW5"/>
      <c r="MNX5"/>
      <c r="MNY5"/>
      <c r="MNZ5"/>
      <c r="MOA5"/>
      <c r="MOB5"/>
      <c r="MOC5"/>
      <c r="MOD5"/>
      <c r="MOE5"/>
      <c r="MOF5"/>
      <c r="MOG5"/>
      <c r="MOH5"/>
      <c r="MOI5"/>
      <c r="MOJ5"/>
      <c r="MOK5"/>
      <c r="MOL5"/>
      <c r="MOM5"/>
      <c r="MON5"/>
      <c r="MOO5"/>
      <c r="MOP5"/>
      <c r="MOQ5"/>
      <c r="MOR5"/>
      <c r="MOS5"/>
      <c r="MOT5"/>
      <c r="MOU5"/>
      <c r="MOV5"/>
      <c r="MOW5"/>
      <c r="MOX5"/>
      <c r="MOY5"/>
      <c r="MOZ5"/>
      <c r="MPA5"/>
      <c r="MPB5"/>
      <c r="MPC5"/>
      <c r="MPD5"/>
      <c r="MPE5"/>
      <c r="MPF5"/>
      <c r="MPG5"/>
      <c r="MPH5"/>
      <c r="MPI5"/>
      <c r="MPJ5"/>
      <c r="MPK5"/>
      <c r="MPL5"/>
      <c r="MPM5"/>
      <c r="MPN5"/>
      <c r="MPO5"/>
      <c r="MPP5"/>
      <c r="MPQ5"/>
      <c r="MPR5"/>
      <c r="MPS5"/>
      <c r="MPT5"/>
      <c r="MPU5"/>
      <c r="MPV5"/>
      <c r="MPW5"/>
      <c r="MPX5"/>
      <c r="MPY5"/>
      <c r="MPZ5"/>
      <c r="MQA5"/>
      <c r="MQB5"/>
      <c r="MQC5"/>
      <c r="MQD5"/>
      <c r="MQE5"/>
      <c r="MQF5"/>
      <c r="MQG5"/>
      <c r="MQH5"/>
      <c r="MQI5"/>
      <c r="MQJ5"/>
      <c r="MQK5"/>
      <c r="MQL5"/>
      <c r="MQM5"/>
      <c r="MQN5"/>
      <c r="MQO5"/>
      <c r="MQP5"/>
      <c r="MQQ5"/>
      <c r="MQR5"/>
      <c r="MQS5"/>
      <c r="MQT5"/>
      <c r="MQU5"/>
      <c r="MQV5"/>
      <c r="MQW5"/>
      <c r="MQX5"/>
      <c r="MQY5"/>
      <c r="MQZ5"/>
      <c r="MRA5"/>
      <c r="MRB5"/>
      <c r="MRC5"/>
      <c r="MRD5"/>
      <c r="MRE5"/>
      <c r="MRF5"/>
      <c r="MRG5"/>
      <c r="MRH5"/>
      <c r="MRI5"/>
      <c r="MRJ5"/>
      <c r="MRK5"/>
      <c r="MRL5"/>
      <c r="MRM5"/>
      <c r="MRN5"/>
      <c r="MRO5"/>
      <c r="MRP5"/>
      <c r="MRQ5"/>
      <c r="MRR5"/>
      <c r="MRS5"/>
      <c r="MRT5"/>
      <c r="MRU5"/>
      <c r="MRV5"/>
      <c r="MRW5"/>
      <c r="MRX5"/>
      <c r="MRY5"/>
      <c r="MRZ5"/>
      <c r="MSA5"/>
      <c r="MSB5"/>
      <c r="MSC5"/>
      <c r="MSD5"/>
      <c r="MSE5"/>
      <c r="MSF5"/>
      <c r="MSG5"/>
      <c r="MSH5"/>
      <c r="MSI5"/>
      <c r="MSJ5"/>
      <c r="MSK5"/>
      <c r="MSL5"/>
      <c r="MSM5"/>
      <c r="MSN5"/>
      <c r="MSO5"/>
      <c r="MSP5"/>
      <c r="MSQ5"/>
      <c r="MSR5"/>
      <c r="MSS5"/>
      <c r="MST5"/>
      <c r="MSU5"/>
      <c r="MSV5"/>
      <c r="MSW5"/>
      <c r="MSX5"/>
      <c r="MSY5"/>
      <c r="MSZ5"/>
      <c r="MTA5"/>
      <c r="MTB5"/>
      <c r="MTC5"/>
      <c r="MTD5"/>
      <c r="MTE5"/>
      <c r="MTF5"/>
      <c r="MTG5"/>
      <c r="MTH5"/>
      <c r="MTI5"/>
      <c r="MTJ5"/>
      <c r="MTK5"/>
      <c r="MTL5"/>
      <c r="MTM5"/>
      <c r="MTN5"/>
      <c r="MTO5"/>
      <c r="MTP5"/>
      <c r="MTQ5"/>
      <c r="MTR5"/>
      <c r="MTS5"/>
      <c r="MTT5"/>
      <c r="MTU5"/>
      <c r="MTV5"/>
      <c r="MTW5"/>
      <c r="MTX5"/>
      <c r="MTY5"/>
      <c r="MTZ5"/>
      <c r="MUA5"/>
      <c r="MUB5"/>
      <c r="MUC5"/>
      <c r="MUD5"/>
      <c r="MUE5"/>
      <c r="MUF5"/>
      <c r="MUG5"/>
      <c r="MUH5"/>
      <c r="MUI5"/>
      <c r="MUJ5"/>
      <c r="MUK5"/>
      <c r="MUL5"/>
      <c r="MUM5"/>
      <c r="MUN5"/>
      <c r="MUO5"/>
      <c r="MUP5"/>
      <c r="MUQ5"/>
      <c r="MUR5"/>
      <c r="MUS5"/>
      <c r="MUT5"/>
      <c r="MUU5"/>
      <c r="MUV5"/>
      <c r="MUW5"/>
      <c r="MUX5"/>
      <c r="MUY5"/>
      <c r="MUZ5"/>
      <c r="MVA5"/>
      <c r="MVB5"/>
      <c r="MVC5"/>
      <c r="MVD5"/>
      <c r="MVE5"/>
      <c r="MVF5"/>
      <c r="MVG5"/>
      <c r="MVH5"/>
      <c r="MVI5"/>
      <c r="MVJ5"/>
      <c r="MVK5"/>
      <c r="MVL5"/>
      <c r="MVM5"/>
      <c r="MVN5"/>
      <c r="MVO5"/>
      <c r="MVP5"/>
      <c r="MVQ5"/>
      <c r="MVR5"/>
      <c r="MVS5"/>
      <c r="MVT5"/>
      <c r="MVU5"/>
      <c r="MVV5"/>
      <c r="MVW5"/>
      <c r="MVX5"/>
      <c r="MVY5"/>
      <c r="MVZ5"/>
      <c r="MWA5"/>
      <c r="MWB5"/>
      <c r="MWC5"/>
      <c r="MWD5"/>
      <c r="MWE5"/>
      <c r="MWF5"/>
      <c r="MWG5"/>
      <c r="MWH5"/>
      <c r="MWI5"/>
      <c r="MWJ5"/>
      <c r="MWK5"/>
      <c r="MWL5"/>
      <c r="MWM5"/>
      <c r="MWN5"/>
      <c r="MWO5"/>
      <c r="MWP5"/>
      <c r="MWQ5"/>
      <c r="MWR5"/>
      <c r="MWS5"/>
      <c r="MWT5"/>
      <c r="MWU5"/>
      <c r="MWV5"/>
      <c r="MWW5"/>
      <c r="MWX5"/>
      <c r="MWY5"/>
      <c r="MWZ5"/>
      <c r="MXA5"/>
      <c r="MXB5"/>
      <c r="MXC5"/>
      <c r="MXD5"/>
      <c r="MXE5"/>
      <c r="MXF5"/>
      <c r="MXG5"/>
      <c r="MXH5"/>
      <c r="MXI5"/>
      <c r="MXJ5"/>
      <c r="MXK5"/>
      <c r="MXL5"/>
      <c r="MXM5"/>
      <c r="MXN5"/>
      <c r="MXO5"/>
      <c r="MXP5"/>
      <c r="MXQ5"/>
      <c r="MXR5"/>
      <c r="MXS5"/>
      <c r="MXT5"/>
      <c r="MXU5"/>
      <c r="MXV5"/>
      <c r="MXW5"/>
      <c r="MXX5"/>
      <c r="MXY5"/>
      <c r="MXZ5"/>
      <c r="MYA5"/>
      <c r="MYB5"/>
      <c r="MYC5"/>
      <c r="MYD5"/>
      <c r="MYE5"/>
      <c r="MYF5"/>
      <c r="MYG5"/>
      <c r="MYH5"/>
      <c r="MYI5"/>
      <c r="MYJ5"/>
      <c r="MYK5"/>
      <c r="MYL5"/>
      <c r="MYM5"/>
      <c r="MYN5"/>
      <c r="MYO5"/>
      <c r="MYP5"/>
      <c r="MYQ5"/>
      <c r="MYR5"/>
      <c r="MYS5"/>
      <c r="MYT5"/>
      <c r="MYU5"/>
      <c r="MYV5"/>
      <c r="MYW5"/>
      <c r="MYX5"/>
      <c r="MYY5"/>
      <c r="MYZ5"/>
      <c r="MZA5"/>
      <c r="MZB5"/>
      <c r="MZC5"/>
      <c r="MZD5"/>
      <c r="MZE5"/>
      <c r="MZF5"/>
      <c r="MZG5"/>
      <c r="MZH5"/>
      <c r="MZI5"/>
      <c r="MZJ5"/>
      <c r="MZK5"/>
      <c r="MZL5"/>
      <c r="MZM5"/>
      <c r="MZN5"/>
      <c r="MZO5"/>
      <c r="MZP5"/>
      <c r="MZQ5"/>
      <c r="MZR5"/>
      <c r="MZS5"/>
      <c r="MZT5"/>
      <c r="MZU5"/>
      <c r="MZV5"/>
      <c r="MZW5"/>
      <c r="MZX5"/>
      <c r="MZY5"/>
      <c r="MZZ5"/>
      <c r="NAA5"/>
      <c r="NAB5"/>
      <c r="NAC5"/>
      <c r="NAD5"/>
      <c r="NAE5"/>
      <c r="NAF5"/>
      <c r="NAG5"/>
      <c r="NAH5"/>
      <c r="NAI5"/>
      <c r="NAJ5"/>
      <c r="NAK5"/>
      <c r="NAL5"/>
      <c r="NAM5"/>
      <c r="NAN5"/>
      <c r="NAO5"/>
      <c r="NAP5"/>
      <c r="NAQ5"/>
      <c r="NAR5"/>
      <c r="NAS5"/>
      <c r="NAT5"/>
      <c r="NAU5"/>
      <c r="NAV5"/>
      <c r="NAW5"/>
      <c r="NAX5"/>
      <c r="NAY5"/>
      <c r="NAZ5"/>
      <c r="NBA5"/>
      <c r="NBB5"/>
      <c r="NBC5"/>
      <c r="NBD5"/>
      <c r="NBE5"/>
      <c r="NBF5"/>
      <c r="NBG5"/>
      <c r="NBH5"/>
      <c r="NBI5"/>
      <c r="NBJ5"/>
      <c r="NBK5"/>
      <c r="NBL5"/>
      <c r="NBM5"/>
      <c r="NBN5"/>
      <c r="NBO5"/>
      <c r="NBP5"/>
      <c r="NBQ5"/>
      <c r="NBR5"/>
      <c r="NBS5"/>
      <c r="NBT5"/>
      <c r="NBU5"/>
      <c r="NBV5"/>
      <c r="NBW5"/>
      <c r="NBX5"/>
      <c r="NBY5"/>
      <c r="NBZ5"/>
      <c r="NCA5"/>
      <c r="NCB5"/>
      <c r="NCC5"/>
      <c r="NCD5"/>
      <c r="NCE5"/>
      <c r="NCF5"/>
      <c r="NCG5"/>
      <c r="NCH5"/>
      <c r="NCI5"/>
      <c r="NCJ5"/>
      <c r="NCK5"/>
      <c r="NCL5"/>
      <c r="NCM5"/>
      <c r="NCN5"/>
      <c r="NCO5"/>
      <c r="NCP5"/>
      <c r="NCQ5"/>
      <c r="NCR5"/>
      <c r="NCS5"/>
      <c r="NCT5"/>
      <c r="NCU5"/>
      <c r="NCV5"/>
      <c r="NCW5"/>
      <c r="NCX5"/>
      <c r="NCY5"/>
      <c r="NCZ5"/>
      <c r="NDA5"/>
      <c r="NDB5"/>
      <c r="NDC5"/>
      <c r="NDD5"/>
      <c r="NDE5"/>
      <c r="NDF5"/>
      <c r="NDG5"/>
      <c r="NDH5"/>
      <c r="NDI5"/>
      <c r="NDJ5"/>
      <c r="NDK5"/>
      <c r="NDL5"/>
      <c r="NDM5"/>
      <c r="NDN5"/>
      <c r="NDO5"/>
      <c r="NDP5"/>
      <c r="NDQ5"/>
      <c r="NDR5"/>
      <c r="NDS5"/>
      <c r="NDT5"/>
      <c r="NDU5"/>
      <c r="NDV5"/>
      <c r="NDW5"/>
      <c r="NDX5"/>
      <c r="NDY5"/>
      <c r="NDZ5"/>
      <c r="NEA5"/>
      <c r="NEB5"/>
      <c r="NEC5"/>
      <c r="NED5"/>
      <c r="NEE5"/>
      <c r="NEF5"/>
      <c r="NEG5"/>
      <c r="NEH5"/>
      <c r="NEI5"/>
      <c r="NEJ5"/>
      <c r="NEK5"/>
      <c r="NEL5"/>
      <c r="NEM5"/>
      <c r="NEN5"/>
      <c r="NEO5"/>
      <c r="NEP5"/>
      <c r="NEQ5"/>
      <c r="NER5"/>
      <c r="NES5"/>
      <c r="NET5"/>
      <c r="NEU5"/>
      <c r="NEV5"/>
      <c r="NEW5"/>
      <c r="NEX5"/>
      <c r="NEY5"/>
      <c r="NEZ5"/>
      <c r="NFA5"/>
      <c r="NFB5"/>
      <c r="NFC5"/>
      <c r="NFD5"/>
      <c r="NFE5"/>
      <c r="NFF5"/>
      <c r="NFG5"/>
      <c r="NFH5"/>
      <c r="NFI5"/>
      <c r="NFJ5"/>
      <c r="NFK5"/>
      <c r="NFL5"/>
      <c r="NFM5"/>
      <c r="NFN5"/>
      <c r="NFO5"/>
      <c r="NFP5"/>
      <c r="NFQ5"/>
      <c r="NFR5"/>
      <c r="NFS5"/>
      <c r="NFT5"/>
      <c r="NFU5"/>
      <c r="NFV5"/>
      <c r="NFW5"/>
      <c r="NFX5"/>
      <c r="NFY5"/>
      <c r="NFZ5"/>
      <c r="NGA5"/>
      <c r="NGB5"/>
      <c r="NGC5"/>
      <c r="NGD5"/>
      <c r="NGE5"/>
      <c r="NGF5"/>
      <c r="NGG5"/>
      <c r="NGH5"/>
      <c r="NGI5"/>
      <c r="NGJ5"/>
      <c r="NGK5"/>
      <c r="NGL5"/>
      <c r="NGM5"/>
      <c r="NGN5"/>
      <c r="NGO5"/>
      <c r="NGP5"/>
      <c r="NGQ5"/>
      <c r="NGR5"/>
      <c r="NGS5"/>
      <c r="NGT5"/>
      <c r="NGU5"/>
      <c r="NGV5"/>
      <c r="NGW5"/>
      <c r="NGX5"/>
      <c r="NGY5"/>
      <c r="NGZ5"/>
      <c r="NHA5"/>
      <c r="NHB5"/>
      <c r="NHC5"/>
      <c r="NHD5"/>
      <c r="NHE5"/>
      <c r="NHF5"/>
      <c r="NHG5"/>
      <c r="NHH5"/>
      <c r="NHI5"/>
      <c r="NHJ5"/>
      <c r="NHK5"/>
      <c r="NHL5"/>
      <c r="NHM5"/>
      <c r="NHN5"/>
      <c r="NHO5"/>
      <c r="NHP5"/>
      <c r="NHQ5"/>
      <c r="NHR5"/>
      <c r="NHS5"/>
      <c r="NHT5"/>
      <c r="NHU5"/>
      <c r="NHV5"/>
      <c r="NHW5"/>
      <c r="NHX5"/>
      <c r="NHY5"/>
      <c r="NHZ5"/>
      <c r="NIA5"/>
      <c r="NIB5"/>
      <c r="NIC5"/>
      <c r="NID5"/>
      <c r="NIE5"/>
      <c r="NIF5"/>
      <c r="NIG5"/>
      <c r="NIH5"/>
      <c r="NII5"/>
      <c r="NIJ5"/>
      <c r="NIK5"/>
      <c r="NIL5"/>
      <c r="NIM5"/>
      <c r="NIN5"/>
      <c r="NIO5"/>
      <c r="NIP5"/>
      <c r="NIQ5"/>
      <c r="NIR5"/>
      <c r="NIS5"/>
      <c r="NIT5"/>
      <c r="NIU5"/>
      <c r="NIV5"/>
      <c r="NIW5"/>
      <c r="NIX5"/>
      <c r="NIY5"/>
      <c r="NIZ5"/>
      <c r="NJA5"/>
      <c r="NJB5"/>
      <c r="NJC5"/>
      <c r="NJD5"/>
      <c r="NJE5"/>
      <c r="NJF5"/>
      <c r="NJG5"/>
      <c r="NJH5"/>
      <c r="NJI5"/>
      <c r="NJJ5"/>
      <c r="NJK5"/>
      <c r="NJL5"/>
      <c r="NJM5"/>
      <c r="NJN5"/>
      <c r="NJO5"/>
      <c r="NJP5"/>
      <c r="NJQ5"/>
      <c r="NJR5"/>
      <c r="NJS5"/>
      <c r="NJT5"/>
      <c r="NJU5"/>
      <c r="NJV5"/>
      <c r="NJW5"/>
      <c r="NJX5"/>
      <c r="NJY5"/>
      <c r="NJZ5"/>
      <c r="NKA5"/>
      <c r="NKB5"/>
      <c r="NKC5"/>
      <c r="NKD5"/>
      <c r="NKE5"/>
      <c r="NKF5"/>
      <c r="NKG5"/>
      <c r="NKH5"/>
      <c r="NKI5"/>
      <c r="NKJ5"/>
      <c r="NKK5"/>
      <c r="NKL5"/>
      <c r="NKM5"/>
      <c r="NKN5"/>
      <c r="NKO5"/>
      <c r="NKP5"/>
      <c r="NKQ5"/>
      <c r="NKR5"/>
      <c r="NKS5"/>
      <c r="NKT5"/>
      <c r="NKU5"/>
      <c r="NKV5"/>
      <c r="NKW5"/>
      <c r="NKX5"/>
      <c r="NKY5"/>
      <c r="NKZ5"/>
      <c r="NLA5"/>
      <c r="NLB5"/>
      <c r="NLC5"/>
      <c r="NLD5"/>
      <c r="NLE5"/>
      <c r="NLF5"/>
      <c r="NLG5"/>
      <c r="NLH5"/>
      <c r="NLI5"/>
      <c r="NLJ5"/>
      <c r="NLK5"/>
      <c r="NLL5"/>
      <c r="NLM5"/>
      <c r="NLN5"/>
      <c r="NLO5"/>
      <c r="NLP5"/>
      <c r="NLQ5"/>
      <c r="NLR5"/>
      <c r="NLS5"/>
      <c r="NLT5"/>
      <c r="NLU5"/>
      <c r="NLV5"/>
      <c r="NLW5"/>
      <c r="NLX5"/>
      <c r="NLY5"/>
      <c r="NLZ5"/>
      <c r="NMA5"/>
      <c r="NMB5"/>
      <c r="NMC5"/>
      <c r="NMD5"/>
      <c r="NME5"/>
      <c r="NMF5"/>
      <c r="NMG5"/>
      <c r="NMH5"/>
      <c r="NMI5"/>
      <c r="NMJ5"/>
      <c r="NMK5"/>
      <c r="NML5"/>
      <c r="NMM5"/>
      <c r="NMN5"/>
      <c r="NMO5"/>
      <c r="NMP5"/>
      <c r="NMQ5"/>
      <c r="NMR5"/>
      <c r="NMS5"/>
      <c r="NMT5"/>
      <c r="NMU5"/>
      <c r="NMV5"/>
      <c r="NMW5"/>
      <c r="NMX5"/>
      <c r="NMY5"/>
      <c r="NMZ5"/>
      <c r="NNA5"/>
      <c r="NNB5"/>
      <c r="NNC5"/>
      <c r="NND5"/>
      <c r="NNE5"/>
      <c r="NNF5"/>
      <c r="NNG5"/>
      <c r="NNH5"/>
      <c r="NNI5"/>
      <c r="NNJ5"/>
      <c r="NNK5"/>
      <c r="NNL5"/>
      <c r="NNM5"/>
      <c r="NNN5"/>
      <c r="NNO5"/>
      <c r="NNP5"/>
      <c r="NNQ5"/>
      <c r="NNR5"/>
      <c r="NNS5"/>
      <c r="NNT5"/>
      <c r="NNU5"/>
      <c r="NNV5"/>
      <c r="NNW5"/>
      <c r="NNX5"/>
      <c r="NNY5"/>
      <c r="NNZ5"/>
      <c r="NOA5"/>
      <c r="NOB5"/>
      <c r="NOC5"/>
      <c r="NOD5"/>
      <c r="NOE5"/>
      <c r="NOF5"/>
      <c r="NOG5"/>
      <c r="NOH5"/>
      <c r="NOI5"/>
      <c r="NOJ5"/>
      <c r="NOK5"/>
      <c r="NOL5"/>
      <c r="NOM5"/>
      <c r="NON5"/>
      <c r="NOO5"/>
      <c r="NOP5"/>
      <c r="NOQ5"/>
      <c r="NOR5"/>
      <c r="NOS5"/>
      <c r="NOT5"/>
      <c r="NOU5"/>
      <c r="NOV5"/>
      <c r="NOW5"/>
      <c r="NOX5"/>
      <c r="NOY5"/>
      <c r="NOZ5"/>
      <c r="NPA5"/>
      <c r="NPB5"/>
      <c r="NPC5"/>
      <c r="NPD5"/>
      <c r="NPE5"/>
      <c r="NPF5"/>
      <c r="NPG5"/>
      <c r="NPH5"/>
      <c r="NPI5"/>
      <c r="NPJ5"/>
      <c r="NPK5"/>
      <c r="NPL5"/>
      <c r="NPM5"/>
      <c r="NPN5"/>
      <c r="NPO5"/>
      <c r="NPP5"/>
      <c r="NPQ5"/>
      <c r="NPR5"/>
      <c r="NPS5"/>
      <c r="NPT5"/>
      <c r="NPU5"/>
      <c r="NPV5"/>
      <c r="NPW5"/>
      <c r="NPX5"/>
      <c r="NPY5"/>
      <c r="NPZ5"/>
      <c r="NQA5"/>
      <c r="NQB5"/>
      <c r="NQC5"/>
      <c r="NQD5"/>
      <c r="NQE5"/>
      <c r="NQF5"/>
      <c r="NQG5"/>
      <c r="NQH5"/>
      <c r="NQI5"/>
      <c r="NQJ5"/>
      <c r="NQK5"/>
      <c r="NQL5"/>
      <c r="NQM5"/>
      <c r="NQN5"/>
      <c r="NQO5"/>
      <c r="NQP5"/>
      <c r="NQQ5"/>
      <c r="NQR5"/>
      <c r="NQS5"/>
      <c r="NQT5"/>
      <c r="NQU5"/>
      <c r="NQV5"/>
      <c r="NQW5"/>
      <c r="NQX5"/>
      <c r="NQY5"/>
      <c r="NQZ5"/>
      <c r="NRA5"/>
      <c r="NRB5"/>
      <c r="NRC5"/>
      <c r="NRD5"/>
      <c r="NRE5"/>
      <c r="NRF5"/>
      <c r="NRG5"/>
      <c r="NRH5"/>
      <c r="NRI5"/>
      <c r="NRJ5"/>
      <c r="NRK5"/>
      <c r="NRL5"/>
      <c r="NRM5"/>
      <c r="NRN5"/>
      <c r="NRO5"/>
      <c r="NRP5"/>
      <c r="NRQ5"/>
      <c r="NRR5"/>
      <c r="NRS5"/>
      <c r="NRT5"/>
      <c r="NRU5"/>
      <c r="NRV5"/>
      <c r="NRW5"/>
      <c r="NRX5"/>
      <c r="NRY5"/>
      <c r="NRZ5"/>
      <c r="NSA5"/>
      <c r="NSB5"/>
      <c r="NSC5"/>
      <c r="NSD5"/>
      <c r="NSE5"/>
      <c r="NSF5"/>
      <c r="NSG5"/>
      <c r="NSH5"/>
      <c r="NSI5"/>
      <c r="NSJ5"/>
      <c r="NSK5"/>
      <c r="NSL5"/>
      <c r="NSM5"/>
      <c r="NSN5"/>
      <c r="NSO5"/>
      <c r="NSP5"/>
      <c r="NSQ5"/>
      <c r="NSR5"/>
      <c r="NSS5"/>
      <c r="NST5"/>
      <c r="NSU5"/>
      <c r="NSV5"/>
      <c r="NSW5"/>
      <c r="NSX5"/>
      <c r="NSY5"/>
      <c r="NSZ5"/>
      <c r="NTA5"/>
      <c r="NTB5"/>
      <c r="NTC5"/>
      <c r="NTD5"/>
      <c r="NTE5"/>
      <c r="NTF5"/>
      <c r="NTG5"/>
      <c r="NTH5"/>
      <c r="NTI5"/>
      <c r="NTJ5"/>
      <c r="NTK5"/>
      <c r="NTL5"/>
      <c r="NTM5"/>
      <c r="NTN5"/>
      <c r="NTO5"/>
      <c r="NTP5"/>
      <c r="NTQ5"/>
      <c r="NTR5"/>
      <c r="NTS5"/>
      <c r="NTT5"/>
      <c r="NTU5"/>
      <c r="NTV5"/>
      <c r="NTW5"/>
      <c r="NTX5"/>
      <c r="NTY5"/>
      <c r="NTZ5"/>
      <c r="NUA5"/>
      <c r="NUB5"/>
      <c r="NUC5"/>
      <c r="NUD5"/>
      <c r="NUE5"/>
      <c r="NUF5"/>
      <c r="NUG5"/>
      <c r="NUH5"/>
      <c r="NUI5"/>
      <c r="NUJ5"/>
      <c r="NUK5"/>
      <c r="NUL5"/>
      <c r="NUM5"/>
      <c r="NUN5"/>
      <c r="NUO5"/>
      <c r="NUP5"/>
      <c r="NUQ5"/>
      <c r="NUR5"/>
      <c r="NUS5"/>
      <c r="NUT5"/>
      <c r="NUU5"/>
      <c r="NUV5"/>
      <c r="NUW5"/>
      <c r="NUX5"/>
      <c r="NUY5"/>
      <c r="NUZ5"/>
      <c r="NVA5"/>
      <c r="NVB5"/>
      <c r="NVC5"/>
      <c r="NVD5"/>
      <c r="NVE5"/>
      <c r="NVF5"/>
      <c r="NVG5"/>
      <c r="NVH5"/>
      <c r="NVI5"/>
      <c r="NVJ5"/>
      <c r="NVK5"/>
      <c r="NVL5"/>
      <c r="NVM5"/>
      <c r="NVN5"/>
      <c r="NVO5"/>
      <c r="NVP5"/>
      <c r="NVQ5"/>
      <c r="NVR5"/>
      <c r="NVS5"/>
      <c r="NVT5"/>
      <c r="NVU5"/>
      <c r="NVV5"/>
      <c r="NVW5"/>
      <c r="NVX5"/>
      <c r="NVY5"/>
      <c r="NVZ5"/>
      <c r="NWA5"/>
      <c r="NWB5"/>
      <c r="NWC5"/>
      <c r="NWD5"/>
      <c r="NWE5"/>
      <c r="NWF5"/>
      <c r="NWG5"/>
      <c r="NWH5"/>
      <c r="NWI5"/>
      <c r="NWJ5"/>
      <c r="NWK5"/>
      <c r="NWL5"/>
      <c r="NWM5"/>
      <c r="NWN5"/>
      <c r="NWO5"/>
      <c r="NWP5"/>
      <c r="NWQ5"/>
      <c r="NWR5"/>
      <c r="NWS5"/>
      <c r="NWT5"/>
      <c r="NWU5"/>
      <c r="NWV5"/>
      <c r="NWW5"/>
      <c r="NWX5"/>
      <c r="NWY5"/>
      <c r="NWZ5"/>
      <c r="NXA5"/>
      <c r="NXB5"/>
      <c r="NXC5"/>
      <c r="NXD5"/>
      <c r="NXE5"/>
      <c r="NXF5"/>
      <c r="NXG5"/>
      <c r="NXH5"/>
      <c r="NXI5"/>
      <c r="NXJ5"/>
      <c r="NXK5"/>
      <c r="NXL5"/>
      <c r="NXM5"/>
      <c r="NXN5"/>
      <c r="NXO5"/>
      <c r="NXP5"/>
      <c r="NXQ5"/>
      <c r="NXR5"/>
      <c r="NXS5"/>
      <c r="NXT5"/>
      <c r="NXU5"/>
      <c r="NXV5"/>
      <c r="NXW5"/>
      <c r="NXX5"/>
      <c r="NXY5"/>
      <c r="NXZ5"/>
      <c r="NYA5"/>
      <c r="NYB5"/>
      <c r="NYC5"/>
      <c r="NYD5"/>
      <c r="NYE5"/>
      <c r="NYF5"/>
      <c r="NYG5"/>
      <c r="NYH5"/>
      <c r="NYI5"/>
      <c r="NYJ5"/>
      <c r="NYK5"/>
      <c r="NYL5"/>
      <c r="NYM5"/>
      <c r="NYN5"/>
      <c r="NYO5"/>
      <c r="NYP5"/>
      <c r="NYQ5"/>
      <c r="NYR5"/>
      <c r="NYS5"/>
      <c r="NYT5"/>
      <c r="NYU5"/>
      <c r="NYV5"/>
      <c r="NYW5"/>
      <c r="NYX5"/>
      <c r="NYY5"/>
      <c r="NYZ5"/>
      <c r="NZA5"/>
      <c r="NZB5"/>
      <c r="NZC5"/>
      <c r="NZD5"/>
      <c r="NZE5"/>
      <c r="NZF5"/>
      <c r="NZG5"/>
      <c r="NZH5"/>
      <c r="NZI5"/>
      <c r="NZJ5"/>
      <c r="NZK5"/>
      <c r="NZL5"/>
      <c r="NZM5"/>
      <c r="NZN5"/>
      <c r="NZO5"/>
      <c r="NZP5"/>
      <c r="NZQ5"/>
      <c r="NZR5"/>
      <c r="NZS5"/>
      <c r="NZT5"/>
      <c r="NZU5"/>
      <c r="NZV5"/>
      <c r="NZW5"/>
      <c r="NZX5"/>
      <c r="NZY5"/>
      <c r="NZZ5"/>
      <c r="OAA5"/>
      <c r="OAB5"/>
      <c r="OAC5"/>
      <c r="OAD5"/>
      <c r="OAE5"/>
      <c r="OAF5"/>
      <c r="OAG5"/>
      <c r="OAH5"/>
      <c r="OAI5"/>
      <c r="OAJ5"/>
      <c r="OAK5"/>
      <c r="OAL5"/>
      <c r="OAM5"/>
      <c r="OAN5"/>
      <c r="OAO5"/>
      <c r="OAP5"/>
      <c r="OAQ5"/>
      <c r="OAR5"/>
      <c r="OAS5"/>
      <c r="OAT5"/>
      <c r="OAU5"/>
      <c r="OAV5"/>
      <c r="OAW5"/>
      <c r="OAX5"/>
      <c r="OAY5"/>
      <c r="OAZ5"/>
      <c r="OBA5"/>
      <c r="OBB5"/>
      <c r="OBC5"/>
      <c r="OBD5"/>
      <c r="OBE5"/>
      <c r="OBF5"/>
      <c r="OBG5"/>
      <c r="OBH5"/>
      <c r="OBI5"/>
      <c r="OBJ5"/>
      <c r="OBK5"/>
      <c r="OBL5"/>
      <c r="OBM5"/>
      <c r="OBN5"/>
      <c r="OBO5"/>
      <c r="OBP5"/>
      <c r="OBQ5"/>
      <c r="OBR5"/>
      <c r="OBS5"/>
      <c r="OBT5"/>
      <c r="OBU5"/>
      <c r="OBV5"/>
      <c r="OBW5"/>
      <c r="OBX5"/>
      <c r="OBY5"/>
      <c r="OBZ5"/>
      <c r="OCA5"/>
      <c r="OCB5"/>
      <c r="OCC5"/>
      <c r="OCD5"/>
      <c r="OCE5"/>
      <c r="OCF5"/>
      <c r="OCG5"/>
      <c r="OCH5"/>
      <c r="OCI5"/>
      <c r="OCJ5"/>
      <c r="OCK5"/>
      <c r="OCL5"/>
      <c r="OCM5"/>
      <c r="OCN5"/>
      <c r="OCO5"/>
      <c r="OCP5"/>
      <c r="OCQ5"/>
      <c r="OCR5"/>
      <c r="OCS5"/>
      <c r="OCT5"/>
      <c r="OCU5"/>
      <c r="OCV5"/>
      <c r="OCW5"/>
      <c r="OCX5"/>
      <c r="OCY5"/>
      <c r="OCZ5"/>
      <c r="ODA5"/>
      <c r="ODB5"/>
      <c r="ODC5"/>
      <c r="ODD5"/>
      <c r="ODE5"/>
      <c r="ODF5"/>
      <c r="ODG5"/>
      <c r="ODH5"/>
      <c r="ODI5"/>
      <c r="ODJ5"/>
      <c r="ODK5"/>
      <c r="ODL5"/>
      <c r="ODM5"/>
      <c r="ODN5"/>
      <c r="ODO5"/>
      <c r="ODP5"/>
      <c r="ODQ5"/>
      <c r="ODR5"/>
      <c r="ODS5"/>
      <c r="ODT5"/>
      <c r="ODU5"/>
      <c r="ODV5"/>
      <c r="ODW5"/>
      <c r="ODX5"/>
      <c r="ODY5"/>
      <c r="ODZ5"/>
      <c r="OEA5"/>
      <c r="OEB5"/>
      <c r="OEC5"/>
      <c r="OED5"/>
      <c r="OEE5"/>
      <c r="OEF5"/>
      <c r="OEG5"/>
      <c r="OEH5"/>
      <c r="OEI5"/>
      <c r="OEJ5"/>
      <c r="OEK5"/>
      <c r="OEL5"/>
      <c r="OEM5"/>
      <c r="OEN5"/>
      <c r="OEO5"/>
      <c r="OEP5"/>
      <c r="OEQ5"/>
      <c r="OER5"/>
      <c r="OES5"/>
      <c r="OET5"/>
      <c r="OEU5"/>
      <c r="OEV5"/>
      <c r="OEW5"/>
      <c r="OEX5"/>
      <c r="OEY5"/>
      <c r="OEZ5"/>
      <c r="OFA5"/>
      <c r="OFB5"/>
      <c r="OFC5"/>
      <c r="OFD5"/>
      <c r="OFE5"/>
      <c r="OFF5"/>
      <c r="OFG5"/>
      <c r="OFH5"/>
      <c r="OFI5"/>
      <c r="OFJ5"/>
      <c r="OFK5"/>
      <c r="OFL5"/>
      <c r="OFM5"/>
      <c r="OFN5"/>
      <c r="OFO5"/>
      <c r="OFP5"/>
      <c r="OFQ5"/>
      <c r="OFR5"/>
      <c r="OFS5"/>
      <c r="OFT5"/>
      <c r="OFU5"/>
      <c r="OFV5"/>
      <c r="OFW5"/>
      <c r="OFX5"/>
      <c r="OFY5"/>
      <c r="OFZ5"/>
      <c r="OGA5"/>
      <c r="OGB5"/>
      <c r="OGC5"/>
      <c r="OGD5"/>
      <c r="OGE5"/>
      <c r="OGF5"/>
      <c r="OGG5"/>
      <c r="OGH5"/>
      <c r="OGI5"/>
      <c r="OGJ5"/>
      <c r="OGK5"/>
      <c r="OGL5"/>
      <c r="OGM5"/>
      <c r="OGN5"/>
      <c r="OGO5"/>
      <c r="OGP5"/>
      <c r="OGQ5"/>
      <c r="OGR5"/>
      <c r="OGS5"/>
      <c r="OGT5"/>
      <c r="OGU5"/>
      <c r="OGV5"/>
      <c r="OGW5"/>
      <c r="OGX5"/>
      <c r="OGY5"/>
      <c r="OGZ5"/>
      <c r="OHA5"/>
      <c r="OHB5"/>
      <c r="OHC5"/>
      <c r="OHD5"/>
      <c r="OHE5"/>
      <c r="OHF5"/>
      <c r="OHG5"/>
      <c r="OHH5"/>
      <c r="OHI5"/>
      <c r="OHJ5"/>
      <c r="OHK5"/>
      <c r="OHL5"/>
      <c r="OHM5"/>
      <c r="OHN5"/>
      <c r="OHO5"/>
      <c r="OHP5"/>
      <c r="OHQ5"/>
      <c r="OHR5"/>
      <c r="OHS5"/>
      <c r="OHT5"/>
      <c r="OHU5"/>
      <c r="OHV5"/>
      <c r="OHW5"/>
      <c r="OHX5"/>
      <c r="OHY5"/>
      <c r="OHZ5"/>
      <c r="OIA5"/>
      <c r="OIB5"/>
      <c r="OIC5"/>
      <c r="OID5"/>
      <c r="OIE5"/>
      <c r="OIF5"/>
      <c r="OIG5"/>
      <c r="OIH5"/>
      <c r="OII5"/>
      <c r="OIJ5"/>
      <c r="OIK5"/>
      <c r="OIL5"/>
      <c r="OIM5"/>
      <c r="OIN5"/>
      <c r="OIO5"/>
      <c r="OIP5"/>
      <c r="OIQ5"/>
      <c r="OIR5"/>
      <c r="OIS5"/>
      <c r="OIT5"/>
      <c r="OIU5"/>
      <c r="OIV5"/>
      <c r="OIW5"/>
      <c r="OIX5"/>
      <c r="OIY5"/>
      <c r="OIZ5"/>
      <c r="OJA5"/>
      <c r="OJB5"/>
      <c r="OJC5"/>
      <c r="OJD5"/>
      <c r="OJE5"/>
      <c r="OJF5"/>
      <c r="OJG5"/>
      <c r="OJH5"/>
      <c r="OJI5"/>
      <c r="OJJ5"/>
      <c r="OJK5"/>
      <c r="OJL5"/>
      <c r="OJM5"/>
      <c r="OJN5"/>
      <c r="OJO5"/>
      <c r="OJP5"/>
      <c r="OJQ5"/>
      <c r="OJR5"/>
      <c r="OJS5"/>
      <c r="OJT5"/>
      <c r="OJU5"/>
      <c r="OJV5"/>
      <c r="OJW5"/>
      <c r="OJX5"/>
      <c r="OJY5"/>
      <c r="OJZ5"/>
      <c r="OKA5"/>
      <c r="OKB5"/>
      <c r="OKC5"/>
      <c r="OKD5"/>
      <c r="OKE5"/>
      <c r="OKF5"/>
      <c r="OKG5"/>
      <c r="OKH5"/>
      <c r="OKI5"/>
      <c r="OKJ5"/>
      <c r="OKK5"/>
      <c r="OKL5"/>
      <c r="OKM5"/>
      <c r="OKN5"/>
      <c r="OKO5"/>
      <c r="OKP5"/>
      <c r="OKQ5"/>
      <c r="OKR5"/>
      <c r="OKS5"/>
      <c r="OKT5"/>
      <c r="OKU5"/>
      <c r="OKV5"/>
      <c r="OKW5"/>
      <c r="OKX5"/>
      <c r="OKY5"/>
      <c r="OKZ5"/>
      <c r="OLA5"/>
      <c r="OLB5"/>
      <c r="OLC5"/>
      <c r="OLD5"/>
      <c r="OLE5"/>
      <c r="OLF5"/>
      <c r="OLG5"/>
      <c r="OLH5"/>
      <c r="OLI5"/>
      <c r="OLJ5"/>
      <c r="OLK5"/>
      <c r="OLL5"/>
      <c r="OLM5"/>
      <c r="OLN5"/>
      <c r="OLO5"/>
      <c r="OLP5"/>
      <c r="OLQ5"/>
      <c r="OLR5"/>
      <c r="OLS5"/>
      <c r="OLT5"/>
      <c r="OLU5"/>
      <c r="OLV5"/>
      <c r="OLW5"/>
      <c r="OLX5"/>
      <c r="OLY5"/>
      <c r="OLZ5"/>
      <c r="OMA5"/>
      <c r="OMB5"/>
      <c r="OMC5"/>
      <c r="OMD5"/>
      <c r="OME5"/>
      <c r="OMF5"/>
      <c r="OMG5"/>
      <c r="OMH5"/>
      <c r="OMI5"/>
      <c r="OMJ5"/>
      <c r="OMK5"/>
      <c r="OML5"/>
      <c r="OMM5"/>
      <c r="OMN5"/>
      <c r="OMO5"/>
      <c r="OMP5"/>
      <c r="OMQ5"/>
      <c r="OMR5"/>
      <c r="OMS5"/>
      <c r="OMT5"/>
      <c r="OMU5"/>
      <c r="OMV5"/>
      <c r="OMW5"/>
      <c r="OMX5"/>
      <c r="OMY5"/>
      <c r="OMZ5"/>
      <c r="ONA5"/>
      <c r="ONB5"/>
      <c r="ONC5"/>
      <c r="OND5"/>
      <c r="ONE5"/>
      <c r="ONF5"/>
      <c r="ONG5"/>
      <c r="ONH5"/>
      <c r="ONI5"/>
      <c r="ONJ5"/>
      <c r="ONK5"/>
      <c r="ONL5"/>
      <c r="ONM5"/>
      <c r="ONN5"/>
      <c r="ONO5"/>
      <c r="ONP5"/>
      <c r="ONQ5"/>
      <c r="ONR5"/>
      <c r="ONS5"/>
      <c r="ONT5"/>
      <c r="ONU5"/>
      <c r="ONV5"/>
      <c r="ONW5"/>
      <c r="ONX5"/>
      <c r="ONY5"/>
      <c r="ONZ5"/>
      <c r="OOA5"/>
      <c r="OOB5"/>
      <c r="OOC5"/>
      <c r="OOD5"/>
      <c r="OOE5"/>
      <c r="OOF5"/>
      <c r="OOG5"/>
      <c r="OOH5"/>
      <c r="OOI5"/>
      <c r="OOJ5"/>
      <c r="OOK5"/>
      <c r="OOL5"/>
      <c r="OOM5"/>
      <c r="OON5"/>
      <c r="OOO5"/>
      <c r="OOP5"/>
      <c r="OOQ5"/>
      <c r="OOR5"/>
      <c r="OOS5"/>
      <c r="OOT5"/>
      <c r="OOU5"/>
      <c r="OOV5"/>
      <c r="OOW5"/>
      <c r="OOX5"/>
      <c r="OOY5"/>
      <c r="OOZ5"/>
      <c r="OPA5"/>
      <c r="OPB5"/>
      <c r="OPC5"/>
      <c r="OPD5"/>
      <c r="OPE5"/>
      <c r="OPF5"/>
      <c r="OPG5"/>
      <c r="OPH5"/>
      <c r="OPI5"/>
      <c r="OPJ5"/>
      <c r="OPK5"/>
      <c r="OPL5"/>
      <c r="OPM5"/>
      <c r="OPN5"/>
      <c r="OPO5"/>
      <c r="OPP5"/>
      <c r="OPQ5"/>
      <c r="OPR5"/>
      <c r="OPS5"/>
      <c r="OPT5"/>
      <c r="OPU5"/>
      <c r="OPV5"/>
      <c r="OPW5"/>
      <c r="OPX5"/>
      <c r="OPY5"/>
      <c r="OPZ5"/>
      <c r="OQA5"/>
      <c r="OQB5"/>
      <c r="OQC5"/>
      <c r="OQD5"/>
      <c r="OQE5"/>
      <c r="OQF5"/>
      <c r="OQG5"/>
      <c r="OQH5"/>
      <c r="OQI5"/>
      <c r="OQJ5"/>
      <c r="OQK5"/>
      <c r="OQL5"/>
      <c r="OQM5"/>
      <c r="OQN5"/>
      <c r="OQO5"/>
      <c r="OQP5"/>
      <c r="OQQ5"/>
      <c r="OQR5"/>
      <c r="OQS5"/>
      <c r="OQT5"/>
      <c r="OQU5"/>
      <c r="OQV5"/>
      <c r="OQW5"/>
      <c r="OQX5"/>
      <c r="OQY5"/>
      <c r="OQZ5"/>
      <c r="ORA5"/>
      <c r="ORB5"/>
      <c r="ORC5"/>
      <c r="ORD5"/>
      <c r="ORE5"/>
      <c r="ORF5"/>
      <c r="ORG5"/>
      <c r="ORH5"/>
      <c r="ORI5"/>
      <c r="ORJ5"/>
      <c r="ORK5"/>
      <c r="ORL5"/>
      <c r="ORM5"/>
      <c r="ORN5"/>
      <c r="ORO5"/>
      <c r="ORP5"/>
      <c r="ORQ5"/>
      <c r="ORR5"/>
      <c r="ORS5"/>
      <c r="ORT5"/>
      <c r="ORU5"/>
      <c r="ORV5"/>
      <c r="ORW5"/>
      <c r="ORX5"/>
      <c r="ORY5"/>
      <c r="ORZ5"/>
      <c r="OSA5"/>
      <c r="OSB5"/>
      <c r="OSC5"/>
      <c r="OSD5"/>
      <c r="OSE5"/>
      <c r="OSF5"/>
      <c r="OSG5"/>
      <c r="OSH5"/>
      <c r="OSI5"/>
      <c r="OSJ5"/>
      <c r="OSK5"/>
      <c r="OSL5"/>
      <c r="OSM5"/>
      <c r="OSN5"/>
      <c r="OSO5"/>
      <c r="OSP5"/>
      <c r="OSQ5"/>
      <c r="OSR5"/>
      <c r="OSS5"/>
      <c r="OST5"/>
      <c r="OSU5"/>
      <c r="OSV5"/>
      <c r="OSW5"/>
      <c r="OSX5"/>
      <c r="OSY5"/>
      <c r="OSZ5"/>
      <c r="OTA5"/>
      <c r="OTB5"/>
      <c r="OTC5"/>
      <c r="OTD5"/>
      <c r="OTE5"/>
      <c r="OTF5"/>
      <c r="OTG5"/>
      <c r="OTH5"/>
      <c r="OTI5"/>
      <c r="OTJ5"/>
      <c r="OTK5"/>
      <c r="OTL5"/>
      <c r="OTM5"/>
      <c r="OTN5"/>
      <c r="OTO5"/>
      <c r="OTP5"/>
      <c r="OTQ5"/>
      <c r="OTR5"/>
      <c r="OTS5"/>
      <c r="OTT5"/>
      <c r="OTU5"/>
      <c r="OTV5"/>
      <c r="OTW5"/>
      <c r="OTX5"/>
      <c r="OTY5"/>
      <c r="OTZ5"/>
      <c r="OUA5"/>
      <c r="OUB5"/>
      <c r="OUC5"/>
      <c r="OUD5"/>
      <c r="OUE5"/>
      <c r="OUF5"/>
      <c r="OUG5"/>
      <c r="OUH5"/>
      <c r="OUI5"/>
      <c r="OUJ5"/>
      <c r="OUK5"/>
      <c r="OUL5"/>
      <c r="OUM5"/>
      <c r="OUN5"/>
      <c r="OUO5"/>
      <c r="OUP5"/>
      <c r="OUQ5"/>
      <c r="OUR5"/>
      <c r="OUS5"/>
      <c r="OUT5"/>
      <c r="OUU5"/>
      <c r="OUV5"/>
      <c r="OUW5"/>
      <c r="OUX5"/>
      <c r="OUY5"/>
      <c r="OUZ5"/>
      <c r="OVA5"/>
      <c r="OVB5"/>
      <c r="OVC5"/>
      <c r="OVD5"/>
      <c r="OVE5"/>
      <c r="OVF5"/>
      <c r="OVG5"/>
      <c r="OVH5"/>
      <c r="OVI5"/>
      <c r="OVJ5"/>
      <c r="OVK5"/>
      <c r="OVL5"/>
      <c r="OVM5"/>
      <c r="OVN5"/>
      <c r="OVO5"/>
      <c r="OVP5"/>
      <c r="OVQ5"/>
      <c r="OVR5"/>
      <c r="OVS5"/>
      <c r="OVT5"/>
      <c r="OVU5"/>
      <c r="OVV5"/>
      <c r="OVW5"/>
      <c r="OVX5"/>
      <c r="OVY5"/>
      <c r="OVZ5"/>
      <c r="OWA5"/>
      <c r="OWB5"/>
      <c r="OWC5"/>
      <c r="OWD5"/>
      <c r="OWE5"/>
      <c r="OWF5"/>
      <c r="OWG5"/>
      <c r="OWH5"/>
      <c r="OWI5"/>
      <c r="OWJ5"/>
      <c r="OWK5"/>
      <c r="OWL5"/>
      <c r="OWM5"/>
      <c r="OWN5"/>
      <c r="OWO5"/>
      <c r="OWP5"/>
      <c r="OWQ5"/>
      <c r="OWR5"/>
      <c r="OWS5"/>
      <c r="OWT5"/>
      <c r="OWU5"/>
      <c r="OWV5"/>
      <c r="OWW5"/>
      <c r="OWX5"/>
      <c r="OWY5"/>
      <c r="OWZ5"/>
      <c r="OXA5"/>
      <c r="OXB5"/>
      <c r="OXC5"/>
      <c r="OXD5"/>
      <c r="OXE5"/>
      <c r="OXF5"/>
      <c r="OXG5"/>
      <c r="OXH5"/>
      <c r="OXI5"/>
      <c r="OXJ5"/>
      <c r="OXK5"/>
      <c r="OXL5"/>
      <c r="OXM5"/>
      <c r="OXN5"/>
      <c r="OXO5"/>
      <c r="OXP5"/>
      <c r="OXQ5"/>
      <c r="OXR5"/>
      <c r="OXS5"/>
      <c r="OXT5"/>
      <c r="OXU5"/>
      <c r="OXV5"/>
      <c r="OXW5"/>
      <c r="OXX5"/>
      <c r="OXY5"/>
      <c r="OXZ5"/>
      <c r="OYA5"/>
      <c r="OYB5"/>
      <c r="OYC5"/>
      <c r="OYD5"/>
      <c r="OYE5"/>
      <c r="OYF5"/>
      <c r="OYG5"/>
      <c r="OYH5"/>
      <c r="OYI5"/>
      <c r="OYJ5"/>
      <c r="OYK5"/>
      <c r="OYL5"/>
      <c r="OYM5"/>
      <c r="OYN5"/>
      <c r="OYO5"/>
      <c r="OYP5"/>
      <c r="OYQ5"/>
      <c r="OYR5"/>
      <c r="OYS5"/>
      <c r="OYT5"/>
      <c r="OYU5"/>
      <c r="OYV5"/>
      <c r="OYW5"/>
      <c r="OYX5"/>
      <c r="OYY5"/>
      <c r="OYZ5"/>
      <c r="OZA5"/>
      <c r="OZB5"/>
      <c r="OZC5"/>
      <c r="OZD5"/>
      <c r="OZE5"/>
      <c r="OZF5"/>
      <c r="OZG5"/>
      <c r="OZH5"/>
      <c r="OZI5"/>
      <c r="OZJ5"/>
      <c r="OZK5"/>
      <c r="OZL5"/>
      <c r="OZM5"/>
      <c r="OZN5"/>
      <c r="OZO5"/>
      <c r="OZP5"/>
      <c r="OZQ5"/>
      <c r="OZR5"/>
      <c r="OZS5"/>
      <c r="OZT5"/>
      <c r="OZU5"/>
      <c r="OZV5"/>
      <c r="OZW5"/>
      <c r="OZX5"/>
      <c r="OZY5"/>
      <c r="OZZ5"/>
      <c r="PAA5"/>
      <c r="PAB5"/>
      <c r="PAC5"/>
      <c r="PAD5"/>
      <c r="PAE5"/>
      <c r="PAF5"/>
      <c r="PAG5"/>
      <c r="PAH5"/>
      <c r="PAI5"/>
      <c r="PAJ5"/>
      <c r="PAK5"/>
      <c r="PAL5"/>
      <c r="PAM5"/>
      <c r="PAN5"/>
      <c r="PAO5"/>
      <c r="PAP5"/>
      <c r="PAQ5"/>
      <c r="PAR5"/>
      <c r="PAS5"/>
      <c r="PAT5"/>
      <c r="PAU5"/>
      <c r="PAV5"/>
      <c r="PAW5"/>
      <c r="PAX5"/>
      <c r="PAY5"/>
      <c r="PAZ5"/>
      <c r="PBA5"/>
      <c r="PBB5"/>
      <c r="PBC5"/>
      <c r="PBD5"/>
      <c r="PBE5"/>
      <c r="PBF5"/>
      <c r="PBG5"/>
      <c r="PBH5"/>
      <c r="PBI5"/>
      <c r="PBJ5"/>
      <c r="PBK5"/>
      <c r="PBL5"/>
      <c r="PBM5"/>
      <c r="PBN5"/>
      <c r="PBO5"/>
      <c r="PBP5"/>
      <c r="PBQ5"/>
      <c r="PBR5"/>
      <c r="PBS5"/>
      <c r="PBT5"/>
      <c r="PBU5"/>
      <c r="PBV5"/>
      <c r="PBW5"/>
      <c r="PBX5"/>
      <c r="PBY5"/>
      <c r="PBZ5"/>
      <c r="PCA5"/>
      <c r="PCB5"/>
      <c r="PCC5"/>
      <c r="PCD5"/>
      <c r="PCE5"/>
      <c r="PCF5"/>
      <c r="PCG5"/>
      <c r="PCH5"/>
      <c r="PCI5"/>
      <c r="PCJ5"/>
      <c r="PCK5"/>
      <c r="PCL5"/>
      <c r="PCM5"/>
      <c r="PCN5"/>
      <c r="PCO5"/>
      <c r="PCP5"/>
      <c r="PCQ5"/>
      <c r="PCR5"/>
      <c r="PCS5"/>
      <c r="PCT5"/>
      <c r="PCU5"/>
      <c r="PCV5"/>
      <c r="PCW5"/>
      <c r="PCX5"/>
      <c r="PCY5"/>
      <c r="PCZ5"/>
      <c r="PDA5"/>
      <c r="PDB5"/>
      <c r="PDC5"/>
      <c r="PDD5"/>
      <c r="PDE5"/>
      <c r="PDF5"/>
      <c r="PDG5"/>
      <c r="PDH5"/>
      <c r="PDI5"/>
      <c r="PDJ5"/>
      <c r="PDK5"/>
      <c r="PDL5"/>
      <c r="PDM5"/>
      <c r="PDN5"/>
      <c r="PDO5"/>
      <c r="PDP5"/>
      <c r="PDQ5"/>
      <c r="PDR5"/>
      <c r="PDS5"/>
      <c r="PDT5"/>
      <c r="PDU5"/>
      <c r="PDV5"/>
      <c r="PDW5"/>
      <c r="PDX5"/>
      <c r="PDY5"/>
      <c r="PDZ5"/>
      <c r="PEA5"/>
      <c r="PEB5"/>
      <c r="PEC5"/>
      <c r="PED5"/>
      <c r="PEE5"/>
      <c r="PEF5"/>
      <c r="PEG5"/>
      <c r="PEH5"/>
      <c r="PEI5"/>
      <c r="PEJ5"/>
      <c r="PEK5"/>
      <c r="PEL5"/>
      <c r="PEM5"/>
      <c r="PEN5"/>
      <c r="PEO5"/>
      <c r="PEP5"/>
      <c r="PEQ5"/>
      <c r="PER5"/>
      <c r="PES5"/>
      <c r="PET5"/>
      <c r="PEU5"/>
      <c r="PEV5"/>
      <c r="PEW5"/>
      <c r="PEX5"/>
      <c r="PEY5"/>
      <c r="PEZ5"/>
      <c r="PFA5"/>
      <c r="PFB5"/>
      <c r="PFC5"/>
      <c r="PFD5"/>
      <c r="PFE5"/>
      <c r="PFF5"/>
      <c r="PFG5"/>
      <c r="PFH5"/>
      <c r="PFI5"/>
      <c r="PFJ5"/>
      <c r="PFK5"/>
      <c r="PFL5"/>
      <c r="PFM5"/>
      <c r="PFN5"/>
      <c r="PFO5"/>
      <c r="PFP5"/>
      <c r="PFQ5"/>
      <c r="PFR5"/>
      <c r="PFS5"/>
      <c r="PFT5"/>
      <c r="PFU5"/>
      <c r="PFV5"/>
      <c r="PFW5"/>
      <c r="PFX5"/>
      <c r="PFY5"/>
      <c r="PFZ5"/>
      <c r="PGA5"/>
      <c r="PGB5"/>
      <c r="PGC5"/>
      <c r="PGD5"/>
      <c r="PGE5"/>
      <c r="PGF5"/>
      <c r="PGG5"/>
      <c r="PGH5"/>
      <c r="PGI5"/>
      <c r="PGJ5"/>
      <c r="PGK5"/>
      <c r="PGL5"/>
      <c r="PGM5"/>
      <c r="PGN5"/>
      <c r="PGO5"/>
      <c r="PGP5"/>
      <c r="PGQ5"/>
      <c r="PGR5"/>
      <c r="PGS5"/>
      <c r="PGT5"/>
      <c r="PGU5"/>
      <c r="PGV5"/>
      <c r="PGW5"/>
      <c r="PGX5"/>
      <c r="PGY5"/>
      <c r="PGZ5"/>
      <c r="PHA5"/>
      <c r="PHB5"/>
      <c r="PHC5"/>
      <c r="PHD5"/>
      <c r="PHE5"/>
      <c r="PHF5"/>
      <c r="PHG5"/>
      <c r="PHH5"/>
      <c r="PHI5"/>
      <c r="PHJ5"/>
      <c r="PHK5"/>
      <c r="PHL5"/>
      <c r="PHM5"/>
      <c r="PHN5"/>
      <c r="PHO5"/>
      <c r="PHP5"/>
      <c r="PHQ5"/>
      <c r="PHR5"/>
      <c r="PHS5"/>
      <c r="PHT5"/>
      <c r="PHU5"/>
      <c r="PHV5"/>
      <c r="PHW5"/>
      <c r="PHX5"/>
      <c r="PHY5"/>
      <c r="PHZ5"/>
      <c r="PIA5"/>
      <c r="PIB5"/>
      <c r="PIC5"/>
      <c r="PID5"/>
      <c r="PIE5"/>
      <c r="PIF5"/>
      <c r="PIG5"/>
      <c r="PIH5"/>
      <c r="PII5"/>
      <c r="PIJ5"/>
      <c r="PIK5"/>
      <c r="PIL5"/>
      <c r="PIM5"/>
      <c r="PIN5"/>
      <c r="PIO5"/>
      <c r="PIP5"/>
      <c r="PIQ5"/>
      <c r="PIR5"/>
      <c r="PIS5"/>
      <c r="PIT5"/>
      <c r="PIU5"/>
      <c r="PIV5"/>
      <c r="PIW5"/>
      <c r="PIX5"/>
      <c r="PIY5"/>
      <c r="PIZ5"/>
      <c r="PJA5"/>
      <c r="PJB5"/>
      <c r="PJC5"/>
      <c r="PJD5"/>
      <c r="PJE5"/>
      <c r="PJF5"/>
      <c r="PJG5"/>
      <c r="PJH5"/>
      <c r="PJI5"/>
      <c r="PJJ5"/>
      <c r="PJK5"/>
      <c r="PJL5"/>
      <c r="PJM5"/>
      <c r="PJN5"/>
      <c r="PJO5"/>
      <c r="PJP5"/>
      <c r="PJQ5"/>
      <c r="PJR5"/>
      <c r="PJS5"/>
      <c r="PJT5"/>
      <c r="PJU5"/>
      <c r="PJV5"/>
      <c r="PJW5"/>
      <c r="PJX5"/>
      <c r="PJY5"/>
      <c r="PJZ5"/>
      <c r="PKA5"/>
      <c r="PKB5"/>
      <c r="PKC5"/>
      <c r="PKD5"/>
      <c r="PKE5"/>
      <c r="PKF5"/>
      <c r="PKG5"/>
      <c r="PKH5"/>
      <c r="PKI5"/>
      <c r="PKJ5"/>
      <c r="PKK5"/>
      <c r="PKL5"/>
      <c r="PKM5"/>
      <c r="PKN5"/>
      <c r="PKO5"/>
      <c r="PKP5"/>
      <c r="PKQ5"/>
      <c r="PKR5"/>
      <c r="PKS5"/>
      <c r="PKT5"/>
      <c r="PKU5"/>
      <c r="PKV5"/>
      <c r="PKW5"/>
      <c r="PKX5"/>
      <c r="PKY5"/>
      <c r="PKZ5"/>
      <c r="PLA5"/>
      <c r="PLB5"/>
      <c r="PLC5"/>
      <c r="PLD5"/>
      <c r="PLE5"/>
      <c r="PLF5"/>
      <c r="PLG5"/>
      <c r="PLH5"/>
      <c r="PLI5"/>
      <c r="PLJ5"/>
      <c r="PLK5"/>
      <c r="PLL5"/>
      <c r="PLM5"/>
      <c r="PLN5"/>
      <c r="PLO5"/>
      <c r="PLP5"/>
      <c r="PLQ5"/>
      <c r="PLR5"/>
      <c r="PLS5"/>
      <c r="PLT5"/>
      <c r="PLU5"/>
      <c r="PLV5"/>
      <c r="PLW5"/>
      <c r="PLX5"/>
      <c r="PLY5"/>
      <c r="PLZ5"/>
      <c r="PMA5"/>
      <c r="PMB5"/>
      <c r="PMC5"/>
      <c r="PMD5"/>
      <c r="PME5"/>
      <c r="PMF5"/>
      <c r="PMG5"/>
      <c r="PMH5"/>
      <c r="PMI5"/>
      <c r="PMJ5"/>
      <c r="PMK5"/>
      <c r="PML5"/>
      <c r="PMM5"/>
      <c r="PMN5"/>
      <c r="PMO5"/>
      <c r="PMP5"/>
      <c r="PMQ5"/>
      <c r="PMR5"/>
      <c r="PMS5"/>
      <c r="PMT5"/>
      <c r="PMU5"/>
      <c r="PMV5"/>
      <c r="PMW5"/>
      <c r="PMX5"/>
      <c r="PMY5"/>
      <c r="PMZ5"/>
      <c r="PNA5"/>
      <c r="PNB5"/>
      <c r="PNC5"/>
      <c r="PND5"/>
      <c r="PNE5"/>
      <c r="PNF5"/>
      <c r="PNG5"/>
      <c r="PNH5"/>
      <c r="PNI5"/>
      <c r="PNJ5"/>
      <c r="PNK5"/>
      <c r="PNL5"/>
      <c r="PNM5"/>
      <c r="PNN5"/>
      <c r="PNO5"/>
      <c r="PNP5"/>
      <c r="PNQ5"/>
      <c r="PNR5"/>
      <c r="PNS5"/>
      <c r="PNT5"/>
      <c r="PNU5"/>
      <c r="PNV5"/>
      <c r="PNW5"/>
      <c r="PNX5"/>
      <c r="PNY5"/>
      <c r="PNZ5"/>
      <c r="POA5"/>
      <c r="POB5"/>
      <c r="POC5"/>
      <c r="POD5"/>
      <c r="POE5"/>
      <c r="POF5"/>
      <c r="POG5"/>
      <c r="POH5"/>
      <c r="POI5"/>
      <c r="POJ5"/>
      <c r="POK5"/>
      <c r="POL5"/>
      <c r="POM5"/>
      <c r="PON5"/>
      <c r="POO5"/>
      <c r="POP5"/>
      <c r="POQ5"/>
      <c r="POR5"/>
      <c r="POS5"/>
      <c r="POT5"/>
      <c r="POU5"/>
      <c r="POV5"/>
      <c r="POW5"/>
      <c r="POX5"/>
      <c r="POY5"/>
      <c r="POZ5"/>
      <c r="PPA5"/>
      <c r="PPB5"/>
      <c r="PPC5"/>
      <c r="PPD5"/>
      <c r="PPE5"/>
      <c r="PPF5"/>
      <c r="PPG5"/>
      <c r="PPH5"/>
      <c r="PPI5"/>
      <c r="PPJ5"/>
      <c r="PPK5"/>
      <c r="PPL5"/>
      <c r="PPM5"/>
      <c r="PPN5"/>
      <c r="PPO5"/>
      <c r="PPP5"/>
      <c r="PPQ5"/>
      <c r="PPR5"/>
      <c r="PPS5"/>
      <c r="PPT5"/>
      <c r="PPU5"/>
      <c r="PPV5"/>
      <c r="PPW5"/>
      <c r="PPX5"/>
      <c r="PPY5"/>
      <c r="PPZ5"/>
      <c r="PQA5"/>
      <c r="PQB5"/>
      <c r="PQC5"/>
      <c r="PQD5"/>
      <c r="PQE5"/>
      <c r="PQF5"/>
      <c r="PQG5"/>
      <c r="PQH5"/>
      <c r="PQI5"/>
      <c r="PQJ5"/>
      <c r="PQK5"/>
      <c r="PQL5"/>
      <c r="PQM5"/>
      <c r="PQN5"/>
      <c r="PQO5"/>
      <c r="PQP5"/>
      <c r="PQQ5"/>
      <c r="PQR5"/>
      <c r="PQS5"/>
      <c r="PQT5"/>
      <c r="PQU5"/>
      <c r="PQV5"/>
      <c r="PQW5"/>
      <c r="PQX5"/>
      <c r="PQY5"/>
      <c r="PQZ5"/>
      <c r="PRA5"/>
      <c r="PRB5"/>
      <c r="PRC5"/>
      <c r="PRD5"/>
      <c r="PRE5"/>
      <c r="PRF5"/>
      <c r="PRG5"/>
      <c r="PRH5"/>
      <c r="PRI5"/>
      <c r="PRJ5"/>
      <c r="PRK5"/>
      <c r="PRL5"/>
      <c r="PRM5"/>
      <c r="PRN5"/>
      <c r="PRO5"/>
      <c r="PRP5"/>
      <c r="PRQ5"/>
      <c r="PRR5"/>
      <c r="PRS5"/>
      <c r="PRT5"/>
      <c r="PRU5"/>
      <c r="PRV5"/>
      <c r="PRW5"/>
      <c r="PRX5"/>
      <c r="PRY5"/>
      <c r="PRZ5"/>
      <c r="PSA5"/>
      <c r="PSB5"/>
      <c r="PSC5"/>
      <c r="PSD5"/>
      <c r="PSE5"/>
      <c r="PSF5"/>
      <c r="PSG5"/>
      <c r="PSH5"/>
      <c r="PSI5"/>
      <c r="PSJ5"/>
      <c r="PSK5"/>
      <c r="PSL5"/>
      <c r="PSM5"/>
      <c r="PSN5"/>
      <c r="PSO5"/>
      <c r="PSP5"/>
      <c r="PSQ5"/>
      <c r="PSR5"/>
      <c r="PSS5"/>
      <c r="PST5"/>
      <c r="PSU5"/>
      <c r="PSV5"/>
      <c r="PSW5"/>
      <c r="PSX5"/>
      <c r="PSY5"/>
      <c r="PSZ5"/>
      <c r="PTA5"/>
      <c r="PTB5"/>
      <c r="PTC5"/>
      <c r="PTD5"/>
      <c r="PTE5"/>
      <c r="PTF5"/>
      <c r="PTG5"/>
      <c r="PTH5"/>
      <c r="PTI5"/>
      <c r="PTJ5"/>
      <c r="PTK5"/>
      <c r="PTL5"/>
      <c r="PTM5"/>
      <c r="PTN5"/>
      <c r="PTO5"/>
      <c r="PTP5"/>
      <c r="PTQ5"/>
      <c r="PTR5"/>
      <c r="PTS5"/>
      <c r="PTT5"/>
      <c r="PTU5"/>
      <c r="PTV5"/>
      <c r="PTW5"/>
      <c r="PTX5"/>
      <c r="PTY5"/>
      <c r="PTZ5"/>
      <c r="PUA5"/>
      <c r="PUB5"/>
      <c r="PUC5"/>
      <c r="PUD5"/>
      <c r="PUE5"/>
      <c r="PUF5"/>
      <c r="PUG5"/>
      <c r="PUH5"/>
      <c r="PUI5"/>
      <c r="PUJ5"/>
      <c r="PUK5"/>
      <c r="PUL5"/>
      <c r="PUM5"/>
      <c r="PUN5"/>
      <c r="PUO5"/>
      <c r="PUP5"/>
      <c r="PUQ5"/>
      <c r="PUR5"/>
      <c r="PUS5"/>
      <c r="PUT5"/>
      <c r="PUU5"/>
      <c r="PUV5"/>
      <c r="PUW5"/>
      <c r="PUX5"/>
      <c r="PUY5"/>
      <c r="PUZ5"/>
      <c r="PVA5"/>
      <c r="PVB5"/>
      <c r="PVC5"/>
      <c r="PVD5"/>
      <c r="PVE5"/>
      <c r="PVF5"/>
      <c r="PVG5"/>
      <c r="PVH5"/>
      <c r="PVI5"/>
      <c r="PVJ5"/>
      <c r="PVK5"/>
      <c r="PVL5"/>
      <c r="PVM5"/>
      <c r="PVN5"/>
      <c r="PVO5"/>
      <c r="PVP5"/>
      <c r="PVQ5"/>
      <c r="PVR5"/>
      <c r="PVS5"/>
      <c r="PVT5"/>
      <c r="PVU5"/>
      <c r="PVV5"/>
      <c r="PVW5"/>
      <c r="PVX5"/>
      <c r="PVY5"/>
      <c r="PVZ5"/>
      <c r="PWA5"/>
      <c r="PWB5"/>
      <c r="PWC5"/>
      <c r="PWD5"/>
      <c r="PWE5"/>
      <c r="PWF5"/>
      <c r="PWG5"/>
      <c r="PWH5"/>
      <c r="PWI5"/>
      <c r="PWJ5"/>
      <c r="PWK5"/>
      <c r="PWL5"/>
      <c r="PWM5"/>
      <c r="PWN5"/>
      <c r="PWO5"/>
      <c r="PWP5"/>
      <c r="PWQ5"/>
      <c r="PWR5"/>
      <c r="PWS5"/>
      <c r="PWT5"/>
      <c r="PWU5"/>
      <c r="PWV5"/>
      <c r="PWW5"/>
      <c r="PWX5"/>
      <c r="PWY5"/>
      <c r="PWZ5"/>
      <c r="PXA5"/>
      <c r="PXB5"/>
      <c r="PXC5"/>
      <c r="PXD5"/>
      <c r="PXE5"/>
      <c r="PXF5"/>
      <c r="PXG5"/>
      <c r="PXH5"/>
      <c r="PXI5"/>
      <c r="PXJ5"/>
      <c r="PXK5"/>
      <c r="PXL5"/>
      <c r="PXM5"/>
      <c r="PXN5"/>
      <c r="PXO5"/>
      <c r="PXP5"/>
      <c r="PXQ5"/>
      <c r="PXR5"/>
      <c r="PXS5"/>
      <c r="PXT5"/>
      <c r="PXU5"/>
      <c r="PXV5"/>
      <c r="PXW5"/>
      <c r="PXX5"/>
      <c r="PXY5"/>
      <c r="PXZ5"/>
      <c r="PYA5"/>
      <c r="PYB5"/>
      <c r="PYC5"/>
      <c r="PYD5"/>
      <c r="PYE5"/>
      <c r="PYF5"/>
      <c r="PYG5"/>
      <c r="PYH5"/>
      <c r="PYI5"/>
      <c r="PYJ5"/>
      <c r="PYK5"/>
      <c r="PYL5"/>
      <c r="PYM5"/>
      <c r="PYN5"/>
      <c r="PYO5"/>
      <c r="PYP5"/>
      <c r="PYQ5"/>
      <c r="PYR5"/>
      <c r="PYS5"/>
      <c r="PYT5"/>
      <c r="PYU5"/>
      <c r="PYV5"/>
      <c r="PYW5"/>
      <c r="PYX5"/>
      <c r="PYY5"/>
      <c r="PYZ5"/>
      <c r="PZA5"/>
      <c r="PZB5"/>
      <c r="PZC5"/>
      <c r="PZD5"/>
      <c r="PZE5"/>
      <c r="PZF5"/>
      <c r="PZG5"/>
      <c r="PZH5"/>
      <c r="PZI5"/>
      <c r="PZJ5"/>
      <c r="PZK5"/>
      <c r="PZL5"/>
      <c r="PZM5"/>
      <c r="PZN5"/>
      <c r="PZO5"/>
      <c r="PZP5"/>
      <c r="PZQ5"/>
      <c r="PZR5"/>
      <c r="PZS5"/>
      <c r="PZT5"/>
      <c r="PZU5"/>
      <c r="PZV5"/>
      <c r="PZW5"/>
      <c r="PZX5"/>
      <c r="PZY5"/>
      <c r="PZZ5"/>
      <c r="QAA5"/>
      <c r="QAB5"/>
      <c r="QAC5"/>
      <c r="QAD5"/>
      <c r="QAE5"/>
      <c r="QAF5"/>
      <c r="QAG5"/>
      <c r="QAH5"/>
      <c r="QAI5"/>
      <c r="QAJ5"/>
      <c r="QAK5"/>
      <c r="QAL5"/>
      <c r="QAM5"/>
      <c r="QAN5"/>
      <c r="QAO5"/>
      <c r="QAP5"/>
      <c r="QAQ5"/>
      <c r="QAR5"/>
      <c r="QAS5"/>
      <c r="QAT5"/>
      <c r="QAU5"/>
      <c r="QAV5"/>
      <c r="QAW5"/>
      <c r="QAX5"/>
      <c r="QAY5"/>
      <c r="QAZ5"/>
      <c r="QBA5"/>
      <c r="QBB5"/>
      <c r="QBC5"/>
      <c r="QBD5"/>
      <c r="QBE5"/>
      <c r="QBF5"/>
      <c r="QBG5"/>
      <c r="QBH5"/>
      <c r="QBI5"/>
      <c r="QBJ5"/>
      <c r="QBK5"/>
      <c r="QBL5"/>
      <c r="QBM5"/>
      <c r="QBN5"/>
      <c r="QBO5"/>
      <c r="QBP5"/>
      <c r="QBQ5"/>
      <c r="QBR5"/>
      <c r="QBS5"/>
      <c r="QBT5"/>
      <c r="QBU5"/>
      <c r="QBV5"/>
      <c r="QBW5"/>
      <c r="QBX5"/>
      <c r="QBY5"/>
      <c r="QBZ5"/>
      <c r="QCA5"/>
      <c r="QCB5"/>
      <c r="QCC5"/>
      <c r="QCD5"/>
      <c r="QCE5"/>
      <c r="QCF5"/>
      <c r="QCG5"/>
      <c r="QCH5"/>
      <c r="QCI5"/>
      <c r="QCJ5"/>
      <c r="QCK5"/>
      <c r="QCL5"/>
      <c r="QCM5"/>
      <c r="QCN5"/>
      <c r="QCO5"/>
      <c r="QCP5"/>
      <c r="QCQ5"/>
      <c r="QCR5"/>
      <c r="QCS5"/>
      <c r="QCT5"/>
      <c r="QCU5"/>
      <c r="QCV5"/>
      <c r="QCW5"/>
      <c r="QCX5"/>
      <c r="QCY5"/>
      <c r="QCZ5"/>
      <c r="QDA5"/>
      <c r="QDB5"/>
      <c r="QDC5"/>
      <c r="QDD5"/>
      <c r="QDE5"/>
      <c r="QDF5"/>
      <c r="QDG5"/>
      <c r="QDH5"/>
      <c r="QDI5"/>
      <c r="QDJ5"/>
      <c r="QDK5"/>
      <c r="QDL5"/>
      <c r="QDM5"/>
      <c r="QDN5"/>
      <c r="QDO5"/>
      <c r="QDP5"/>
      <c r="QDQ5"/>
      <c r="QDR5"/>
      <c r="QDS5"/>
      <c r="QDT5"/>
      <c r="QDU5"/>
      <c r="QDV5"/>
      <c r="QDW5"/>
      <c r="QDX5"/>
      <c r="QDY5"/>
      <c r="QDZ5"/>
      <c r="QEA5"/>
      <c r="QEB5"/>
      <c r="QEC5"/>
      <c r="QED5"/>
      <c r="QEE5"/>
      <c r="QEF5"/>
      <c r="QEG5"/>
      <c r="QEH5"/>
      <c r="QEI5"/>
      <c r="QEJ5"/>
      <c r="QEK5"/>
      <c r="QEL5"/>
      <c r="QEM5"/>
      <c r="QEN5"/>
      <c r="QEO5"/>
      <c r="QEP5"/>
      <c r="QEQ5"/>
      <c r="QER5"/>
      <c r="QES5"/>
      <c r="QET5"/>
      <c r="QEU5"/>
      <c r="QEV5"/>
      <c r="QEW5"/>
      <c r="QEX5"/>
      <c r="QEY5"/>
      <c r="QEZ5"/>
      <c r="QFA5"/>
      <c r="QFB5"/>
      <c r="QFC5"/>
      <c r="QFD5"/>
      <c r="QFE5"/>
      <c r="QFF5"/>
      <c r="QFG5"/>
      <c r="QFH5"/>
      <c r="QFI5"/>
      <c r="QFJ5"/>
      <c r="QFK5"/>
      <c r="QFL5"/>
      <c r="QFM5"/>
      <c r="QFN5"/>
      <c r="QFO5"/>
      <c r="QFP5"/>
      <c r="QFQ5"/>
      <c r="QFR5"/>
      <c r="QFS5"/>
      <c r="QFT5"/>
      <c r="QFU5"/>
      <c r="QFV5"/>
      <c r="QFW5"/>
      <c r="QFX5"/>
      <c r="QFY5"/>
      <c r="QFZ5"/>
      <c r="QGA5"/>
      <c r="QGB5"/>
      <c r="QGC5"/>
      <c r="QGD5"/>
      <c r="QGE5"/>
      <c r="QGF5"/>
      <c r="QGG5"/>
      <c r="QGH5"/>
      <c r="QGI5"/>
      <c r="QGJ5"/>
      <c r="QGK5"/>
      <c r="QGL5"/>
      <c r="QGM5"/>
      <c r="QGN5"/>
      <c r="QGO5"/>
      <c r="QGP5"/>
      <c r="QGQ5"/>
      <c r="QGR5"/>
      <c r="QGS5"/>
      <c r="QGT5"/>
      <c r="QGU5"/>
      <c r="QGV5"/>
      <c r="QGW5"/>
      <c r="QGX5"/>
      <c r="QGY5"/>
      <c r="QGZ5"/>
      <c r="QHA5"/>
      <c r="QHB5"/>
      <c r="QHC5"/>
      <c r="QHD5"/>
      <c r="QHE5"/>
      <c r="QHF5"/>
      <c r="QHG5"/>
      <c r="QHH5"/>
      <c r="QHI5"/>
      <c r="QHJ5"/>
      <c r="QHK5"/>
      <c r="QHL5"/>
      <c r="QHM5"/>
      <c r="QHN5"/>
      <c r="QHO5"/>
      <c r="QHP5"/>
      <c r="QHQ5"/>
      <c r="QHR5"/>
      <c r="QHS5"/>
      <c r="QHT5"/>
      <c r="QHU5"/>
      <c r="QHV5"/>
      <c r="QHW5"/>
      <c r="QHX5"/>
      <c r="QHY5"/>
      <c r="QHZ5"/>
      <c r="QIA5"/>
      <c r="QIB5"/>
      <c r="QIC5"/>
      <c r="QID5"/>
      <c r="QIE5"/>
      <c r="QIF5"/>
      <c r="QIG5"/>
      <c r="QIH5"/>
      <c r="QII5"/>
      <c r="QIJ5"/>
      <c r="QIK5"/>
      <c r="QIL5"/>
      <c r="QIM5"/>
      <c r="QIN5"/>
      <c r="QIO5"/>
      <c r="QIP5"/>
      <c r="QIQ5"/>
      <c r="QIR5"/>
      <c r="QIS5"/>
      <c r="QIT5"/>
      <c r="QIU5"/>
      <c r="QIV5"/>
      <c r="QIW5"/>
      <c r="QIX5"/>
      <c r="QIY5"/>
      <c r="QIZ5"/>
      <c r="QJA5"/>
      <c r="QJB5"/>
      <c r="QJC5"/>
      <c r="QJD5"/>
      <c r="QJE5"/>
      <c r="QJF5"/>
      <c r="QJG5"/>
      <c r="QJH5"/>
      <c r="QJI5"/>
      <c r="QJJ5"/>
      <c r="QJK5"/>
      <c r="QJL5"/>
      <c r="QJM5"/>
      <c r="QJN5"/>
      <c r="QJO5"/>
      <c r="QJP5"/>
      <c r="QJQ5"/>
      <c r="QJR5"/>
      <c r="QJS5"/>
      <c r="QJT5"/>
      <c r="QJU5"/>
      <c r="QJV5"/>
      <c r="QJW5"/>
      <c r="QJX5"/>
      <c r="QJY5"/>
      <c r="QJZ5"/>
      <c r="QKA5"/>
      <c r="QKB5"/>
      <c r="QKC5"/>
      <c r="QKD5"/>
      <c r="QKE5"/>
      <c r="QKF5"/>
      <c r="QKG5"/>
      <c r="QKH5"/>
      <c r="QKI5"/>
      <c r="QKJ5"/>
      <c r="QKK5"/>
      <c r="QKL5"/>
      <c r="QKM5"/>
      <c r="QKN5"/>
      <c r="QKO5"/>
      <c r="QKP5"/>
      <c r="QKQ5"/>
      <c r="QKR5"/>
      <c r="QKS5"/>
      <c r="QKT5"/>
      <c r="QKU5"/>
      <c r="QKV5"/>
      <c r="QKW5"/>
      <c r="QKX5"/>
      <c r="QKY5"/>
      <c r="QKZ5"/>
      <c r="QLA5"/>
      <c r="QLB5"/>
      <c r="QLC5"/>
      <c r="QLD5"/>
      <c r="QLE5"/>
      <c r="QLF5"/>
      <c r="QLG5"/>
      <c r="QLH5"/>
      <c r="QLI5"/>
      <c r="QLJ5"/>
      <c r="QLK5"/>
      <c r="QLL5"/>
      <c r="QLM5"/>
      <c r="QLN5"/>
      <c r="QLO5"/>
      <c r="QLP5"/>
      <c r="QLQ5"/>
      <c r="QLR5"/>
      <c r="QLS5"/>
      <c r="QLT5"/>
      <c r="QLU5"/>
      <c r="QLV5"/>
      <c r="QLW5"/>
      <c r="QLX5"/>
      <c r="QLY5"/>
      <c r="QLZ5"/>
      <c r="QMA5"/>
      <c r="QMB5"/>
      <c r="QMC5"/>
      <c r="QMD5"/>
      <c r="QME5"/>
      <c r="QMF5"/>
      <c r="QMG5"/>
      <c r="QMH5"/>
      <c r="QMI5"/>
      <c r="QMJ5"/>
      <c r="QMK5"/>
      <c r="QML5"/>
      <c r="QMM5"/>
      <c r="QMN5"/>
      <c r="QMO5"/>
      <c r="QMP5"/>
      <c r="QMQ5"/>
      <c r="QMR5"/>
      <c r="QMS5"/>
      <c r="QMT5"/>
      <c r="QMU5"/>
      <c r="QMV5"/>
      <c r="QMW5"/>
      <c r="QMX5"/>
      <c r="QMY5"/>
      <c r="QMZ5"/>
      <c r="QNA5"/>
      <c r="QNB5"/>
      <c r="QNC5"/>
      <c r="QND5"/>
      <c r="QNE5"/>
      <c r="QNF5"/>
      <c r="QNG5"/>
      <c r="QNH5"/>
      <c r="QNI5"/>
      <c r="QNJ5"/>
      <c r="QNK5"/>
      <c r="QNL5"/>
      <c r="QNM5"/>
      <c r="QNN5"/>
      <c r="QNO5"/>
      <c r="QNP5"/>
      <c r="QNQ5"/>
      <c r="QNR5"/>
      <c r="QNS5"/>
      <c r="QNT5"/>
      <c r="QNU5"/>
      <c r="QNV5"/>
      <c r="QNW5"/>
      <c r="QNX5"/>
      <c r="QNY5"/>
      <c r="QNZ5"/>
      <c r="QOA5"/>
      <c r="QOB5"/>
      <c r="QOC5"/>
      <c r="QOD5"/>
      <c r="QOE5"/>
      <c r="QOF5"/>
      <c r="QOG5"/>
      <c r="QOH5"/>
      <c r="QOI5"/>
      <c r="QOJ5"/>
      <c r="QOK5"/>
      <c r="QOL5"/>
      <c r="QOM5"/>
      <c r="QON5"/>
      <c r="QOO5"/>
      <c r="QOP5"/>
      <c r="QOQ5"/>
      <c r="QOR5"/>
      <c r="QOS5"/>
      <c r="QOT5"/>
      <c r="QOU5"/>
      <c r="QOV5"/>
      <c r="QOW5"/>
      <c r="QOX5"/>
      <c r="QOY5"/>
      <c r="QOZ5"/>
      <c r="QPA5"/>
      <c r="QPB5"/>
      <c r="QPC5"/>
      <c r="QPD5"/>
      <c r="QPE5"/>
      <c r="QPF5"/>
      <c r="QPG5"/>
      <c r="QPH5"/>
      <c r="QPI5"/>
      <c r="QPJ5"/>
      <c r="QPK5"/>
      <c r="QPL5"/>
      <c r="QPM5"/>
      <c r="QPN5"/>
      <c r="QPO5"/>
      <c r="QPP5"/>
      <c r="QPQ5"/>
      <c r="QPR5"/>
      <c r="QPS5"/>
      <c r="QPT5"/>
      <c r="QPU5"/>
      <c r="QPV5"/>
      <c r="QPW5"/>
      <c r="QPX5"/>
      <c r="QPY5"/>
      <c r="QPZ5"/>
      <c r="QQA5"/>
      <c r="QQB5"/>
      <c r="QQC5"/>
      <c r="QQD5"/>
      <c r="QQE5"/>
      <c r="QQF5"/>
      <c r="QQG5"/>
      <c r="QQH5"/>
      <c r="QQI5"/>
      <c r="QQJ5"/>
      <c r="QQK5"/>
      <c r="QQL5"/>
      <c r="QQM5"/>
      <c r="QQN5"/>
      <c r="QQO5"/>
      <c r="QQP5"/>
      <c r="QQQ5"/>
      <c r="QQR5"/>
      <c r="QQS5"/>
      <c r="QQT5"/>
      <c r="QQU5"/>
      <c r="QQV5"/>
      <c r="QQW5"/>
      <c r="QQX5"/>
      <c r="QQY5"/>
      <c r="QQZ5"/>
      <c r="QRA5"/>
      <c r="QRB5"/>
      <c r="QRC5"/>
      <c r="QRD5"/>
      <c r="QRE5"/>
      <c r="QRF5"/>
      <c r="QRG5"/>
      <c r="QRH5"/>
      <c r="QRI5"/>
      <c r="QRJ5"/>
      <c r="QRK5"/>
      <c r="QRL5"/>
      <c r="QRM5"/>
      <c r="QRN5"/>
      <c r="QRO5"/>
      <c r="QRP5"/>
      <c r="QRQ5"/>
      <c r="QRR5"/>
      <c r="QRS5"/>
      <c r="QRT5"/>
      <c r="QRU5"/>
      <c r="QRV5"/>
      <c r="QRW5"/>
      <c r="QRX5"/>
      <c r="QRY5"/>
      <c r="QRZ5"/>
      <c r="QSA5"/>
      <c r="QSB5"/>
      <c r="QSC5"/>
      <c r="QSD5"/>
      <c r="QSE5"/>
      <c r="QSF5"/>
      <c r="QSG5"/>
      <c r="QSH5"/>
      <c r="QSI5"/>
      <c r="QSJ5"/>
      <c r="QSK5"/>
      <c r="QSL5"/>
      <c r="QSM5"/>
      <c r="QSN5"/>
      <c r="QSO5"/>
      <c r="QSP5"/>
      <c r="QSQ5"/>
      <c r="QSR5"/>
      <c r="QSS5"/>
      <c r="QST5"/>
      <c r="QSU5"/>
      <c r="QSV5"/>
      <c r="QSW5"/>
      <c r="QSX5"/>
      <c r="QSY5"/>
      <c r="QSZ5"/>
      <c r="QTA5"/>
      <c r="QTB5"/>
      <c r="QTC5"/>
      <c r="QTD5"/>
      <c r="QTE5"/>
      <c r="QTF5"/>
      <c r="QTG5"/>
      <c r="QTH5"/>
      <c r="QTI5"/>
      <c r="QTJ5"/>
      <c r="QTK5"/>
      <c r="QTL5"/>
      <c r="QTM5"/>
      <c r="QTN5"/>
      <c r="QTO5"/>
      <c r="QTP5"/>
      <c r="QTQ5"/>
      <c r="QTR5"/>
      <c r="QTS5"/>
      <c r="QTT5"/>
      <c r="QTU5"/>
      <c r="QTV5"/>
      <c r="QTW5"/>
      <c r="QTX5"/>
      <c r="QTY5"/>
      <c r="QTZ5"/>
      <c r="QUA5"/>
      <c r="QUB5"/>
      <c r="QUC5"/>
      <c r="QUD5"/>
      <c r="QUE5"/>
      <c r="QUF5"/>
      <c r="QUG5"/>
      <c r="QUH5"/>
      <c r="QUI5"/>
      <c r="QUJ5"/>
      <c r="QUK5"/>
      <c r="QUL5"/>
      <c r="QUM5"/>
      <c r="QUN5"/>
      <c r="QUO5"/>
      <c r="QUP5"/>
      <c r="QUQ5"/>
      <c r="QUR5"/>
      <c r="QUS5"/>
      <c r="QUT5"/>
      <c r="QUU5"/>
      <c r="QUV5"/>
      <c r="QUW5"/>
      <c r="QUX5"/>
      <c r="QUY5"/>
      <c r="QUZ5"/>
      <c r="QVA5"/>
      <c r="QVB5"/>
      <c r="QVC5"/>
      <c r="QVD5"/>
      <c r="QVE5"/>
      <c r="QVF5"/>
      <c r="QVG5"/>
      <c r="QVH5"/>
      <c r="QVI5"/>
      <c r="QVJ5"/>
      <c r="QVK5"/>
      <c r="QVL5"/>
      <c r="QVM5"/>
      <c r="QVN5"/>
      <c r="QVO5"/>
      <c r="QVP5"/>
      <c r="QVQ5"/>
      <c r="QVR5"/>
      <c r="QVS5"/>
      <c r="QVT5"/>
      <c r="QVU5"/>
      <c r="QVV5"/>
      <c r="QVW5"/>
      <c r="QVX5"/>
      <c r="QVY5"/>
      <c r="QVZ5"/>
      <c r="QWA5"/>
      <c r="QWB5"/>
      <c r="QWC5"/>
      <c r="QWD5"/>
      <c r="QWE5"/>
      <c r="QWF5"/>
      <c r="QWG5"/>
      <c r="QWH5"/>
      <c r="QWI5"/>
      <c r="QWJ5"/>
      <c r="QWK5"/>
      <c r="QWL5"/>
      <c r="QWM5"/>
      <c r="QWN5"/>
      <c r="QWO5"/>
      <c r="QWP5"/>
      <c r="QWQ5"/>
      <c r="QWR5"/>
      <c r="QWS5"/>
      <c r="QWT5"/>
      <c r="QWU5"/>
      <c r="QWV5"/>
      <c r="QWW5"/>
      <c r="QWX5"/>
      <c r="QWY5"/>
      <c r="QWZ5"/>
      <c r="QXA5"/>
      <c r="QXB5"/>
      <c r="QXC5"/>
      <c r="QXD5"/>
      <c r="QXE5"/>
      <c r="QXF5"/>
      <c r="QXG5"/>
      <c r="QXH5"/>
      <c r="QXI5"/>
      <c r="QXJ5"/>
      <c r="QXK5"/>
      <c r="QXL5"/>
      <c r="QXM5"/>
      <c r="QXN5"/>
      <c r="QXO5"/>
      <c r="QXP5"/>
      <c r="QXQ5"/>
      <c r="QXR5"/>
      <c r="QXS5"/>
      <c r="QXT5"/>
      <c r="QXU5"/>
      <c r="QXV5"/>
      <c r="QXW5"/>
      <c r="QXX5"/>
      <c r="QXY5"/>
      <c r="QXZ5"/>
      <c r="QYA5"/>
      <c r="QYB5"/>
      <c r="QYC5"/>
      <c r="QYD5"/>
      <c r="QYE5"/>
      <c r="QYF5"/>
      <c r="QYG5"/>
      <c r="QYH5"/>
      <c r="QYI5"/>
      <c r="QYJ5"/>
      <c r="QYK5"/>
      <c r="QYL5"/>
      <c r="QYM5"/>
      <c r="QYN5"/>
      <c r="QYO5"/>
      <c r="QYP5"/>
      <c r="QYQ5"/>
      <c r="QYR5"/>
      <c r="QYS5"/>
      <c r="QYT5"/>
      <c r="QYU5"/>
      <c r="QYV5"/>
      <c r="QYW5"/>
      <c r="QYX5"/>
      <c r="QYY5"/>
      <c r="QYZ5"/>
      <c r="QZA5"/>
      <c r="QZB5"/>
      <c r="QZC5"/>
      <c r="QZD5"/>
      <c r="QZE5"/>
      <c r="QZF5"/>
      <c r="QZG5"/>
      <c r="QZH5"/>
      <c r="QZI5"/>
      <c r="QZJ5"/>
      <c r="QZK5"/>
      <c r="QZL5"/>
      <c r="QZM5"/>
      <c r="QZN5"/>
      <c r="QZO5"/>
      <c r="QZP5"/>
      <c r="QZQ5"/>
      <c r="QZR5"/>
      <c r="QZS5"/>
      <c r="QZT5"/>
      <c r="QZU5"/>
      <c r="QZV5"/>
      <c r="QZW5"/>
      <c r="QZX5"/>
      <c r="QZY5"/>
      <c r="QZZ5"/>
      <c r="RAA5"/>
      <c r="RAB5"/>
      <c r="RAC5"/>
      <c r="RAD5"/>
      <c r="RAE5"/>
      <c r="RAF5"/>
      <c r="RAG5"/>
      <c r="RAH5"/>
      <c r="RAI5"/>
      <c r="RAJ5"/>
      <c r="RAK5"/>
      <c r="RAL5"/>
      <c r="RAM5"/>
      <c r="RAN5"/>
      <c r="RAO5"/>
      <c r="RAP5"/>
      <c r="RAQ5"/>
      <c r="RAR5"/>
      <c r="RAS5"/>
      <c r="RAT5"/>
      <c r="RAU5"/>
      <c r="RAV5"/>
      <c r="RAW5"/>
      <c r="RAX5"/>
      <c r="RAY5"/>
      <c r="RAZ5"/>
      <c r="RBA5"/>
      <c r="RBB5"/>
      <c r="RBC5"/>
      <c r="RBD5"/>
      <c r="RBE5"/>
      <c r="RBF5"/>
      <c r="RBG5"/>
      <c r="RBH5"/>
      <c r="RBI5"/>
      <c r="RBJ5"/>
      <c r="RBK5"/>
      <c r="RBL5"/>
      <c r="RBM5"/>
      <c r="RBN5"/>
      <c r="RBO5"/>
      <c r="RBP5"/>
      <c r="RBQ5"/>
      <c r="RBR5"/>
      <c r="RBS5"/>
      <c r="RBT5"/>
      <c r="RBU5"/>
      <c r="RBV5"/>
      <c r="RBW5"/>
      <c r="RBX5"/>
      <c r="RBY5"/>
      <c r="RBZ5"/>
      <c r="RCA5"/>
      <c r="RCB5"/>
      <c r="RCC5"/>
      <c r="RCD5"/>
      <c r="RCE5"/>
      <c r="RCF5"/>
      <c r="RCG5"/>
      <c r="RCH5"/>
      <c r="RCI5"/>
      <c r="RCJ5"/>
      <c r="RCK5"/>
      <c r="RCL5"/>
      <c r="RCM5"/>
      <c r="RCN5"/>
      <c r="RCO5"/>
      <c r="RCP5"/>
      <c r="RCQ5"/>
      <c r="RCR5"/>
      <c r="RCS5"/>
      <c r="RCT5"/>
      <c r="RCU5"/>
      <c r="RCV5"/>
      <c r="RCW5"/>
      <c r="RCX5"/>
      <c r="RCY5"/>
      <c r="RCZ5"/>
      <c r="RDA5"/>
      <c r="RDB5"/>
      <c r="RDC5"/>
      <c r="RDD5"/>
      <c r="RDE5"/>
      <c r="RDF5"/>
      <c r="RDG5"/>
      <c r="RDH5"/>
      <c r="RDI5"/>
      <c r="RDJ5"/>
      <c r="RDK5"/>
      <c r="RDL5"/>
      <c r="RDM5"/>
      <c r="RDN5"/>
      <c r="RDO5"/>
      <c r="RDP5"/>
      <c r="RDQ5"/>
      <c r="RDR5"/>
      <c r="RDS5"/>
      <c r="RDT5"/>
      <c r="RDU5"/>
      <c r="RDV5"/>
      <c r="RDW5"/>
      <c r="RDX5"/>
      <c r="RDY5"/>
      <c r="RDZ5"/>
      <c r="REA5"/>
      <c r="REB5"/>
      <c r="REC5"/>
      <c r="RED5"/>
      <c r="REE5"/>
      <c r="REF5"/>
      <c r="REG5"/>
      <c r="REH5"/>
      <c r="REI5"/>
      <c r="REJ5"/>
      <c r="REK5"/>
      <c r="REL5"/>
      <c r="REM5"/>
      <c r="REN5"/>
      <c r="REO5"/>
      <c r="REP5"/>
      <c r="REQ5"/>
      <c r="RER5"/>
      <c r="RES5"/>
      <c r="RET5"/>
      <c r="REU5"/>
      <c r="REV5"/>
      <c r="REW5"/>
      <c r="REX5"/>
      <c r="REY5"/>
      <c r="REZ5"/>
      <c r="RFA5"/>
      <c r="RFB5"/>
      <c r="RFC5"/>
      <c r="RFD5"/>
      <c r="RFE5"/>
      <c r="RFF5"/>
      <c r="RFG5"/>
      <c r="RFH5"/>
      <c r="RFI5"/>
      <c r="RFJ5"/>
      <c r="RFK5"/>
      <c r="RFL5"/>
      <c r="RFM5"/>
      <c r="RFN5"/>
      <c r="RFO5"/>
      <c r="RFP5"/>
      <c r="RFQ5"/>
      <c r="RFR5"/>
      <c r="RFS5"/>
      <c r="RFT5"/>
      <c r="RFU5"/>
      <c r="RFV5"/>
      <c r="RFW5"/>
      <c r="RFX5"/>
      <c r="RFY5"/>
      <c r="RFZ5"/>
      <c r="RGA5"/>
      <c r="RGB5"/>
      <c r="RGC5"/>
      <c r="RGD5"/>
      <c r="RGE5"/>
      <c r="RGF5"/>
      <c r="RGG5"/>
      <c r="RGH5"/>
      <c r="RGI5"/>
      <c r="RGJ5"/>
      <c r="RGK5"/>
      <c r="RGL5"/>
      <c r="RGM5"/>
      <c r="RGN5"/>
      <c r="RGO5"/>
      <c r="RGP5"/>
      <c r="RGQ5"/>
      <c r="RGR5"/>
      <c r="RGS5"/>
      <c r="RGT5"/>
      <c r="RGU5"/>
      <c r="RGV5"/>
      <c r="RGW5"/>
      <c r="RGX5"/>
      <c r="RGY5"/>
      <c r="RGZ5"/>
      <c r="RHA5"/>
      <c r="RHB5"/>
      <c r="RHC5"/>
      <c r="RHD5"/>
      <c r="RHE5"/>
      <c r="RHF5"/>
      <c r="RHG5"/>
      <c r="RHH5"/>
      <c r="RHI5"/>
      <c r="RHJ5"/>
      <c r="RHK5"/>
      <c r="RHL5"/>
      <c r="RHM5"/>
      <c r="RHN5"/>
      <c r="RHO5"/>
      <c r="RHP5"/>
      <c r="RHQ5"/>
      <c r="RHR5"/>
      <c r="RHS5"/>
      <c r="RHT5"/>
      <c r="RHU5"/>
      <c r="RHV5"/>
      <c r="RHW5"/>
      <c r="RHX5"/>
      <c r="RHY5"/>
      <c r="RHZ5"/>
      <c r="RIA5"/>
      <c r="RIB5"/>
      <c r="RIC5"/>
      <c r="RID5"/>
      <c r="RIE5"/>
      <c r="RIF5"/>
      <c r="RIG5"/>
      <c r="RIH5"/>
      <c r="RII5"/>
      <c r="RIJ5"/>
      <c r="RIK5"/>
      <c r="RIL5"/>
      <c r="RIM5"/>
      <c r="RIN5"/>
      <c r="RIO5"/>
      <c r="RIP5"/>
      <c r="RIQ5"/>
      <c r="RIR5"/>
      <c r="RIS5"/>
      <c r="RIT5"/>
      <c r="RIU5"/>
      <c r="RIV5"/>
      <c r="RIW5"/>
      <c r="RIX5"/>
      <c r="RIY5"/>
      <c r="RIZ5"/>
      <c r="RJA5"/>
      <c r="RJB5"/>
      <c r="RJC5"/>
      <c r="RJD5"/>
      <c r="RJE5"/>
      <c r="RJF5"/>
      <c r="RJG5"/>
      <c r="RJH5"/>
      <c r="RJI5"/>
      <c r="RJJ5"/>
      <c r="RJK5"/>
      <c r="RJL5"/>
      <c r="RJM5"/>
      <c r="RJN5"/>
      <c r="RJO5"/>
      <c r="RJP5"/>
      <c r="RJQ5"/>
      <c r="RJR5"/>
      <c r="RJS5"/>
      <c r="RJT5"/>
      <c r="RJU5"/>
      <c r="RJV5"/>
      <c r="RJW5"/>
      <c r="RJX5"/>
      <c r="RJY5"/>
      <c r="RJZ5"/>
      <c r="RKA5"/>
      <c r="RKB5"/>
      <c r="RKC5"/>
      <c r="RKD5"/>
      <c r="RKE5"/>
      <c r="RKF5"/>
      <c r="RKG5"/>
      <c r="RKH5"/>
      <c r="RKI5"/>
      <c r="RKJ5"/>
      <c r="RKK5"/>
      <c r="RKL5"/>
      <c r="RKM5"/>
      <c r="RKN5"/>
      <c r="RKO5"/>
      <c r="RKP5"/>
      <c r="RKQ5"/>
      <c r="RKR5"/>
      <c r="RKS5"/>
      <c r="RKT5"/>
      <c r="RKU5"/>
      <c r="RKV5"/>
      <c r="RKW5"/>
      <c r="RKX5"/>
      <c r="RKY5"/>
      <c r="RKZ5"/>
      <c r="RLA5"/>
      <c r="RLB5"/>
      <c r="RLC5"/>
      <c r="RLD5"/>
      <c r="RLE5"/>
      <c r="RLF5"/>
      <c r="RLG5"/>
      <c r="RLH5"/>
      <c r="RLI5"/>
      <c r="RLJ5"/>
      <c r="RLK5"/>
      <c r="RLL5"/>
      <c r="RLM5"/>
      <c r="RLN5"/>
      <c r="RLO5"/>
      <c r="RLP5"/>
      <c r="RLQ5"/>
      <c r="RLR5"/>
      <c r="RLS5"/>
      <c r="RLT5"/>
      <c r="RLU5"/>
      <c r="RLV5"/>
      <c r="RLW5"/>
      <c r="RLX5"/>
      <c r="RLY5"/>
      <c r="RLZ5"/>
      <c r="RMA5"/>
      <c r="RMB5"/>
      <c r="RMC5"/>
      <c r="RMD5"/>
      <c r="RME5"/>
      <c r="RMF5"/>
      <c r="RMG5"/>
      <c r="RMH5"/>
      <c r="RMI5"/>
      <c r="RMJ5"/>
      <c r="RMK5"/>
      <c r="RML5"/>
      <c r="RMM5"/>
      <c r="RMN5"/>
      <c r="RMO5"/>
      <c r="RMP5"/>
      <c r="RMQ5"/>
      <c r="RMR5"/>
      <c r="RMS5"/>
      <c r="RMT5"/>
      <c r="RMU5"/>
      <c r="RMV5"/>
      <c r="RMW5"/>
      <c r="RMX5"/>
      <c r="RMY5"/>
      <c r="RMZ5"/>
      <c r="RNA5"/>
      <c r="RNB5"/>
      <c r="RNC5"/>
      <c r="RND5"/>
      <c r="RNE5"/>
      <c r="RNF5"/>
      <c r="RNG5"/>
      <c r="RNH5"/>
      <c r="RNI5"/>
      <c r="RNJ5"/>
      <c r="RNK5"/>
      <c r="RNL5"/>
      <c r="RNM5"/>
      <c r="RNN5"/>
      <c r="RNO5"/>
      <c r="RNP5"/>
      <c r="RNQ5"/>
      <c r="RNR5"/>
      <c r="RNS5"/>
      <c r="RNT5"/>
      <c r="RNU5"/>
      <c r="RNV5"/>
      <c r="RNW5"/>
      <c r="RNX5"/>
      <c r="RNY5"/>
      <c r="RNZ5"/>
      <c r="ROA5"/>
      <c r="ROB5"/>
      <c r="ROC5"/>
      <c r="ROD5"/>
      <c r="ROE5"/>
      <c r="ROF5"/>
      <c r="ROG5"/>
      <c r="ROH5"/>
      <c r="ROI5"/>
      <c r="ROJ5"/>
      <c r="ROK5"/>
      <c r="ROL5"/>
      <c r="ROM5"/>
      <c r="RON5"/>
      <c r="ROO5"/>
      <c r="ROP5"/>
      <c r="ROQ5"/>
      <c r="ROR5"/>
      <c r="ROS5"/>
      <c r="ROT5"/>
      <c r="ROU5"/>
      <c r="ROV5"/>
      <c r="ROW5"/>
      <c r="ROX5"/>
      <c r="ROY5"/>
      <c r="ROZ5"/>
      <c r="RPA5"/>
      <c r="RPB5"/>
      <c r="RPC5"/>
      <c r="RPD5"/>
      <c r="RPE5"/>
      <c r="RPF5"/>
      <c r="RPG5"/>
      <c r="RPH5"/>
      <c r="RPI5"/>
      <c r="RPJ5"/>
      <c r="RPK5"/>
      <c r="RPL5"/>
      <c r="RPM5"/>
      <c r="RPN5"/>
      <c r="RPO5"/>
      <c r="RPP5"/>
      <c r="RPQ5"/>
      <c r="RPR5"/>
      <c r="RPS5"/>
      <c r="RPT5"/>
      <c r="RPU5"/>
      <c r="RPV5"/>
      <c r="RPW5"/>
      <c r="RPX5"/>
      <c r="RPY5"/>
      <c r="RPZ5"/>
      <c r="RQA5"/>
      <c r="RQB5"/>
      <c r="RQC5"/>
      <c r="RQD5"/>
      <c r="RQE5"/>
      <c r="RQF5"/>
      <c r="RQG5"/>
      <c r="RQH5"/>
      <c r="RQI5"/>
      <c r="RQJ5"/>
      <c r="RQK5"/>
      <c r="RQL5"/>
      <c r="RQM5"/>
      <c r="RQN5"/>
      <c r="RQO5"/>
      <c r="RQP5"/>
      <c r="RQQ5"/>
      <c r="RQR5"/>
      <c r="RQS5"/>
      <c r="RQT5"/>
      <c r="RQU5"/>
      <c r="RQV5"/>
      <c r="RQW5"/>
      <c r="RQX5"/>
      <c r="RQY5"/>
      <c r="RQZ5"/>
      <c r="RRA5"/>
      <c r="RRB5"/>
      <c r="RRC5"/>
      <c r="RRD5"/>
      <c r="RRE5"/>
      <c r="RRF5"/>
      <c r="RRG5"/>
      <c r="RRH5"/>
      <c r="RRI5"/>
      <c r="RRJ5"/>
      <c r="RRK5"/>
      <c r="RRL5"/>
      <c r="RRM5"/>
      <c r="RRN5"/>
      <c r="RRO5"/>
      <c r="RRP5"/>
      <c r="RRQ5"/>
      <c r="RRR5"/>
      <c r="RRS5"/>
      <c r="RRT5"/>
      <c r="RRU5"/>
      <c r="RRV5"/>
      <c r="RRW5"/>
      <c r="RRX5"/>
      <c r="RRY5"/>
      <c r="RRZ5"/>
      <c r="RSA5"/>
      <c r="RSB5"/>
      <c r="RSC5"/>
      <c r="RSD5"/>
      <c r="RSE5"/>
      <c r="RSF5"/>
      <c r="RSG5"/>
      <c r="RSH5"/>
      <c r="RSI5"/>
      <c r="RSJ5"/>
      <c r="RSK5"/>
      <c r="RSL5"/>
      <c r="RSM5"/>
      <c r="RSN5"/>
      <c r="RSO5"/>
      <c r="RSP5"/>
      <c r="RSQ5"/>
      <c r="RSR5"/>
      <c r="RSS5"/>
      <c r="RST5"/>
      <c r="RSU5"/>
      <c r="RSV5"/>
      <c r="RSW5"/>
      <c r="RSX5"/>
      <c r="RSY5"/>
      <c r="RSZ5"/>
      <c r="RTA5"/>
      <c r="RTB5"/>
      <c r="RTC5"/>
      <c r="RTD5"/>
      <c r="RTE5"/>
      <c r="RTF5"/>
      <c r="RTG5"/>
      <c r="RTH5"/>
      <c r="RTI5"/>
      <c r="RTJ5"/>
      <c r="RTK5"/>
      <c r="RTL5"/>
      <c r="RTM5"/>
      <c r="RTN5"/>
      <c r="RTO5"/>
      <c r="RTP5"/>
      <c r="RTQ5"/>
      <c r="RTR5"/>
      <c r="RTS5"/>
      <c r="RTT5"/>
      <c r="RTU5"/>
      <c r="RTV5"/>
      <c r="RTW5"/>
      <c r="RTX5"/>
      <c r="RTY5"/>
      <c r="RTZ5"/>
      <c r="RUA5"/>
      <c r="RUB5"/>
      <c r="RUC5"/>
      <c r="RUD5"/>
      <c r="RUE5"/>
      <c r="RUF5"/>
      <c r="RUG5"/>
      <c r="RUH5"/>
      <c r="RUI5"/>
      <c r="RUJ5"/>
      <c r="RUK5"/>
      <c r="RUL5"/>
      <c r="RUM5"/>
      <c r="RUN5"/>
      <c r="RUO5"/>
      <c r="RUP5"/>
      <c r="RUQ5"/>
      <c r="RUR5"/>
      <c r="RUS5"/>
      <c r="RUT5"/>
      <c r="RUU5"/>
      <c r="RUV5"/>
      <c r="RUW5"/>
      <c r="RUX5"/>
      <c r="RUY5"/>
      <c r="RUZ5"/>
      <c r="RVA5"/>
      <c r="RVB5"/>
      <c r="RVC5"/>
      <c r="RVD5"/>
      <c r="RVE5"/>
      <c r="RVF5"/>
      <c r="RVG5"/>
      <c r="RVH5"/>
      <c r="RVI5"/>
      <c r="RVJ5"/>
      <c r="RVK5"/>
      <c r="RVL5"/>
      <c r="RVM5"/>
      <c r="RVN5"/>
      <c r="RVO5"/>
      <c r="RVP5"/>
      <c r="RVQ5"/>
      <c r="RVR5"/>
      <c r="RVS5"/>
      <c r="RVT5"/>
      <c r="RVU5"/>
      <c r="RVV5"/>
      <c r="RVW5"/>
      <c r="RVX5"/>
      <c r="RVY5"/>
      <c r="RVZ5"/>
      <c r="RWA5"/>
      <c r="RWB5"/>
      <c r="RWC5"/>
      <c r="RWD5"/>
      <c r="RWE5"/>
      <c r="RWF5"/>
      <c r="RWG5"/>
      <c r="RWH5"/>
      <c r="RWI5"/>
      <c r="RWJ5"/>
      <c r="RWK5"/>
      <c r="RWL5"/>
      <c r="RWM5"/>
      <c r="RWN5"/>
      <c r="RWO5"/>
      <c r="RWP5"/>
      <c r="RWQ5"/>
      <c r="RWR5"/>
      <c r="RWS5"/>
      <c r="RWT5"/>
      <c r="RWU5"/>
      <c r="RWV5"/>
      <c r="RWW5"/>
      <c r="RWX5"/>
      <c r="RWY5"/>
      <c r="RWZ5"/>
      <c r="RXA5"/>
      <c r="RXB5"/>
      <c r="RXC5"/>
      <c r="RXD5"/>
      <c r="RXE5"/>
      <c r="RXF5"/>
      <c r="RXG5"/>
      <c r="RXH5"/>
      <c r="RXI5"/>
      <c r="RXJ5"/>
      <c r="RXK5"/>
      <c r="RXL5"/>
      <c r="RXM5"/>
      <c r="RXN5"/>
      <c r="RXO5"/>
      <c r="RXP5"/>
      <c r="RXQ5"/>
      <c r="RXR5"/>
      <c r="RXS5"/>
      <c r="RXT5"/>
      <c r="RXU5"/>
      <c r="RXV5"/>
      <c r="RXW5"/>
      <c r="RXX5"/>
      <c r="RXY5"/>
      <c r="RXZ5"/>
      <c r="RYA5"/>
      <c r="RYB5"/>
      <c r="RYC5"/>
      <c r="RYD5"/>
      <c r="RYE5"/>
      <c r="RYF5"/>
      <c r="RYG5"/>
      <c r="RYH5"/>
      <c r="RYI5"/>
      <c r="RYJ5"/>
      <c r="RYK5"/>
      <c r="RYL5"/>
      <c r="RYM5"/>
      <c r="RYN5"/>
      <c r="RYO5"/>
      <c r="RYP5"/>
      <c r="RYQ5"/>
      <c r="RYR5"/>
      <c r="RYS5"/>
      <c r="RYT5"/>
      <c r="RYU5"/>
      <c r="RYV5"/>
      <c r="RYW5"/>
      <c r="RYX5"/>
      <c r="RYY5"/>
      <c r="RYZ5"/>
      <c r="RZA5"/>
      <c r="RZB5"/>
      <c r="RZC5"/>
      <c r="RZD5"/>
      <c r="RZE5"/>
      <c r="RZF5"/>
      <c r="RZG5"/>
      <c r="RZH5"/>
      <c r="RZI5"/>
      <c r="RZJ5"/>
      <c r="RZK5"/>
      <c r="RZL5"/>
      <c r="RZM5"/>
      <c r="RZN5"/>
      <c r="RZO5"/>
      <c r="RZP5"/>
      <c r="RZQ5"/>
      <c r="RZR5"/>
      <c r="RZS5"/>
      <c r="RZT5"/>
      <c r="RZU5"/>
      <c r="RZV5"/>
      <c r="RZW5"/>
      <c r="RZX5"/>
      <c r="RZY5"/>
      <c r="RZZ5"/>
      <c r="SAA5"/>
      <c r="SAB5"/>
      <c r="SAC5"/>
      <c r="SAD5"/>
      <c r="SAE5"/>
      <c r="SAF5"/>
      <c r="SAG5"/>
      <c r="SAH5"/>
      <c r="SAI5"/>
      <c r="SAJ5"/>
      <c r="SAK5"/>
      <c r="SAL5"/>
      <c r="SAM5"/>
      <c r="SAN5"/>
      <c r="SAO5"/>
      <c r="SAP5"/>
      <c r="SAQ5"/>
      <c r="SAR5"/>
      <c r="SAS5"/>
      <c r="SAT5"/>
      <c r="SAU5"/>
      <c r="SAV5"/>
      <c r="SAW5"/>
      <c r="SAX5"/>
      <c r="SAY5"/>
      <c r="SAZ5"/>
      <c r="SBA5"/>
      <c r="SBB5"/>
      <c r="SBC5"/>
      <c r="SBD5"/>
      <c r="SBE5"/>
      <c r="SBF5"/>
      <c r="SBG5"/>
      <c r="SBH5"/>
      <c r="SBI5"/>
      <c r="SBJ5"/>
      <c r="SBK5"/>
      <c r="SBL5"/>
      <c r="SBM5"/>
      <c r="SBN5"/>
      <c r="SBO5"/>
      <c r="SBP5"/>
      <c r="SBQ5"/>
      <c r="SBR5"/>
      <c r="SBS5"/>
      <c r="SBT5"/>
      <c r="SBU5"/>
      <c r="SBV5"/>
      <c r="SBW5"/>
      <c r="SBX5"/>
      <c r="SBY5"/>
      <c r="SBZ5"/>
      <c r="SCA5"/>
      <c r="SCB5"/>
      <c r="SCC5"/>
      <c r="SCD5"/>
      <c r="SCE5"/>
      <c r="SCF5"/>
      <c r="SCG5"/>
      <c r="SCH5"/>
      <c r="SCI5"/>
      <c r="SCJ5"/>
      <c r="SCK5"/>
      <c r="SCL5"/>
      <c r="SCM5"/>
      <c r="SCN5"/>
      <c r="SCO5"/>
      <c r="SCP5"/>
      <c r="SCQ5"/>
      <c r="SCR5"/>
      <c r="SCS5"/>
      <c r="SCT5"/>
      <c r="SCU5"/>
      <c r="SCV5"/>
      <c r="SCW5"/>
      <c r="SCX5"/>
      <c r="SCY5"/>
      <c r="SCZ5"/>
      <c r="SDA5"/>
      <c r="SDB5"/>
      <c r="SDC5"/>
      <c r="SDD5"/>
      <c r="SDE5"/>
      <c r="SDF5"/>
      <c r="SDG5"/>
      <c r="SDH5"/>
      <c r="SDI5"/>
      <c r="SDJ5"/>
      <c r="SDK5"/>
      <c r="SDL5"/>
      <c r="SDM5"/>
      <c r="SDN5"/>
      <c r="SDO5"/>
      <c r="SDP5"/>
      <c r="SDQ5"/>
      <c r="SDR5"/>
      <c r="SDS5"/>
      <c r="SDT5"/>
      <c r="SDU5"/>
      <c r="SDV5"/>
      <c r="SDW5"/>
      <c r="SDX5"/>
      <c r="SDY5"/>
      <c r="SDZ5"/>
      <c r="SEA5"/>
      <c r="SEB5"/>
      <c r="SEC5"/>
      <c r="SED5"/>
      <c r="SEE5"/>
      <c r="SEF5"/>
      <c r="SEG5"/>
      <c r="SEH5"/>
      <c r="SEI5"/>
      <c r="SEJ5"/>
      <c r="SEK5"/>
      <c r="SEL5"/>
      <c r="SEM5"/>
      <c r="SEN5"/>
      <c r="SEO5"/>
      <c r="SEP5"/>
      <c r="SEQ5"/>
      <c r="SER5"/>
      <c r="SES5"/>
      <c r="SET5"/>
      <c r="SEU5"/>
      <c r="SEV5"/>
      <c r="SEW5"/>
      <c r="SEX5"/>
      <c r="SEY5"/>
      <c r="SEZ5"/>
      <c r="SFA5"/>
      <c r="SFB5"/>
      <c r="SFC5"/>
      <c r="SFD5"/>
      <c r="SFE5"/>
      <c r="SFF5"/>
      <c r="SFG5"/>
      <c r="SFH5"/>
      <c r="SFI5"/>
      <c r="SFJ5"/>
      <c r="SFK5"/>
      <c r="SFL5"/>
      <c r="SFM5"/>
      <c r="SFN5"/>
      <c r="SFO5"/>
      <c r="SFP5"/>
      <c r="SFQ5"/>
      <c r="SFR5"/>
      <c r="SFS5"/>
      <c r="SFT5"/>
      <c r="SFU5"/>
      <c r="SFV5"/>
      <c r="SFW5"/>
      <c r="SFX5"/>
      <c r="SFY5"/>
      <c r="SFZ5"/>
      <c r="SGA5"/>
      <c r="SGB5"/>
      <c r="SGC5"/>
      <c r="SGD5"/>
      <c r="SGE5"/>
      <c r="SGF5"/>
      <c r="SGG5"/>
      <c r="SGH5"/>
      <c r="SGI5"/>
      <c r="SGJ5"/>
      <c r="SGK5"/>
      <c r="SGL5"/>
      <c r="SGM5"/>
      <c r="SGN5"/>
      <c r="SGO5"/>
      <c r="SGP5"/>
      <c r="SGQ5"/>
      <c r="SGR5"/>
      <c r="SGS5"/>
      <c r="SGT5"/>
      <c r="SGU5"/>
      <c r="SGV5"/>
      <c r="SGW5"/>
      <c r="SGX5"/>
      <c r="SGY5"/>
      <c r="SGZ5"/>
      <c r="SHA5"/>
      <c r="SHB5"/>
      <c r="SHC5"/>
      <c r="SHD5"/>
      <c r="SHE5"/>
      <c r="SHF5"/>
      <c r="SHG5"/>
      <c r="SHH5"/>
      <c r="SHI5"/>
      <c r="SHJ5"/>
      <c r="SHK5"/>
      <c r="SHL5"/>
      <c r="SHM5"/>
      <c r="SHN5"/>
      <c r="SHO5"/>
      <c r="SHP5"/>
      <c r="SHQ5"/>
      <c r="SHR5"/>
      <c r="SHS5"/>
      <c r="SHT5"/>
      <c r="SHU5"/>
      <c r="SHV5"/>
      <c r="SHW5"/>
      <c r="SHX5"/>
      <c r="SHY5"/>
      <c r="SHZ5"/>
      <c r="SIA5"/>
      <c r="SIB5"/>
      <c r="SIC5"/>
      <c r="SID5"/>
      <c r="SIE5"/>
      <c r="SIF5"/>
      <c r="SIG5"/>
      <c r="SIH5"/>
      <c r="SII5"/>
      <c r="SIJ5"/>
      <c r="SIK5"/>
      <c r="SIL5"/>
      <c r="SIM5"/>
      <c r="SIN5"/>
      <c r="SIO5"/>
      <c r="SIP5"/>
      <c r="SIQ5"/>
      <c r="SIR5"/>
      <c r="SIS5"/>
      <c r="SIT5"/>
      <c r="SIU5"/>
      <c r="SIV5"/>
      <c r="SIW5"/>
      <c r="SIX5"/>
      <c r="SIY5"/>
      <c r="SIZ5"/>
      <c r="SJA5"/>
      <c r="SJB5"/>
      <c r="SJC5"/>
      <c r="SJD5"/>
      <c r="SJE5"/>
      <c r="SJF5"/>
      <c r="SJG5"/>
      <c r="SJH5"/>
      <c r="SJI5"/>
      <c r="SJJ5"/>
      <c r="SJK5"/>
      <c r="SJL5"/>
      <c r="SJM5"/>
      <c r="SJN5"/>
      <c r="SJO5"/>
      <c r="SJP5"/>
      <c r="SJQ5"/>
      <c r="SJR5"/>
      <c r="SJS5"/>
      <c r="SJT5"/>
      <c r="SJU5"/>
      <c r="SJV5"/>
      <c r="SJW5"/>
      <c r="SJX5"/>
      <c r="SJY5"/>
      <c r="SJZ5"/>
      <c r="SKA5"/>
      <c r="SKB5"/>
      <c r="SKC5"/>
      <c r="SKD5"/>
      <c r="SKE5"/>
      <c r="SKF5"/>
      <c r="SKG5"/>
      <c r="SKH5"/>
      <c r="SKI5"/>
      <c r="SKJ5"/>
      <c r="SKK5"/>
      <c r="SKL5"/>
      <c r="SKM5"/>
      <c r="SKN5"/>
      <c r="SKO5"/>
      <c r="SKP5"/>
      <c r="SKQ5"/>
      <c r="SKR5"/>
      <c r="SKS5"/>
      <c r="SKT5"/>
      <c r="SKU5"/>
      <c r="SKV5"/>
      <c r="SKW5"/>
      <c r="SKX5"/>
      <c r="SKY5"/>
      <c r="SKZ5"/>
      <c r="SLA5"/>
      <c r="SLB5"/>
      <c r="SLC5"/>
      <c r="SLD5"/>
      <c r="SLE5"/>
      <c r="SLF5"/>
      <c r="SLG5"/>
      <c r="SLH5"/>
      <c r="SLI5"/>
      <c r="SLJ5"/>
      <c r="SLK5"/>
      <c r="SLL5"/>
      <c r="SLM5"/>
      <c r="SLN5"/>
      <c r="SLO5"/>
      <c r="SLP5"/>
      <c r="SLQ5"/>
      <c r="SLR5"/>
      <c r="SLS5"/>
      <c r="SLT5"/>
      <c r="SLU5"/>
      <c r="SLV5"/>
      <c r="SLW5"/>
      <c r="SLX5"/>
      <c r="SLY5"/>
      <c r="SLZ5"/>
      <c r="SMA5"/>
      <c r="SMB5"/>
      <c r="SMC5"/>
      <c r="SMD5"/>
      <c r="SME5"/>
      <c r="SMF5"/>
      <c r="SMG5"/>
      <c r="SMH5"/>
      <c r="SMI5"/>
      <c r="SMJ5"/>
      <c r="SMK5"/>
      <c r="SML5"/>
      <c r="SMM5"/>
      <c r="SMN5"/>
      <c r="SMO5"/>
      <c r="SMP5"/>
      <c r="SMQ5"/>
      <c r="SMR5"/>
      <c r="SMS5"/>
      <c r="SMT5"/>
      <c r="SMU5"/>
      <c r="SMV5"/>
      <c r="SMW5"/>
      <c r="SMX5"/>
      <c r="SMY5"/>
      <c r="SMZ5"/>
      <c r="SNA5"/>
      <c r="SNB5"/>
      <c r="SNC5"/>
      <c r="SND5"/>
      <c r="SNE5"/>
      <c r="SNF5"/>
      <c r="SNG5"/>
      <c r="SNH5"/>
      <c r="SNI5"/>
      <c r="SNJ5"/>
      <c r="SNK5"/>
      <c r="SNL5"/>
      <c r="SNM5"/>
      <c r="SNN5"/>
      <c r="SNO5"/>
      <c r="SNP5"/>
      <c r="SNQ5"/>
      <c r="SNR5"/>
      <c r="SNS5"/>
      <c r="SNT5"/>
      <c r="SNU5"/>
      <c r="SNV5"/>
      <c r="SNW5"/>
      <c r="SNX5"/>
      <c r="SNY5"/>
      <c r="SNZ5"/>
      <c r="SOA5"/>
      <c r="SOB5"/>
      <c r="SOC5"/>
      <c r="SOD5"/>
      <c r="SOE5"/>
      <c r="SOF5"/>
      <c r="SOG5"/>
      <c r="SOH5"/>
      <c r="SOI5"/>
      <c r="SOJ5"/>
      <c r="SOK5"/>
      <c r="SOL5"/>
      <c r="SOM5"/>
      <c r="SON5"/>
      <c r="SOO5"/>
      <c r="SOP5"/>
      <c r="SOQ5"/>
      <c r="SOR5"/>
      <c r="SOS5"/>
      <c r="SOT5"/>
      <c r="SOU5"/>
      <c r="SOV5"/>
      <c r="SOW5"/>
      <c r="SOX5"/>
      <c r="SOY5"/>
      <c r="SOZ5"/>
      <c r="SPA5"/>
      <c r="SPB5"/>
      <c r="SPC5"/>
      <c r="SPD5"/>
      <c r="SPE5"/>
      <c r="SPF5"/>
      <c r="SPG5"/>
      <c r="SPH5"/>
      <c r="SPI5"/>
      <c r="SPJ5"/>
      <c r="SPK5"/>
      <c r="SPL5"/>
      <c r="SPM5"/>
      <c r="SPN5"/>
      <c r="SPO5"/>
      <c r="SPP5"/>
      <c r="SPQ5"/>
      <c r="SPR5"/>
      <c r="SPS5"/>
      <c r="SPT5"/>
      <c r="SPU5"/>
      <c r="SPV5"/>
      <c r="SPW5"/>
      <c r="SPX5"/>
      <c r="SPY5"/>
      <c r="SPZ5"/>
      <c r="SQA5"/>
      <c r="SQB5"/>
      <c r="SQC5"/>
      <c r="SQD5"/>
      <c r="SQE5"/>
      <c r="SQF5"/>
      <c r="SQG5"/>
      <c r="SQH5"/>
      <c r="SQI5"/>
      <c r="SQJ5"/>
      <c r="SQK5"/>
      <c r="SQL5"/>
      <c r="SQM5"/>
      <c r="SQN5"/>
      <c r="SQO5"/>
      <c r="SQP5"/>
      <c r="SQQ5"/>
      <c r="SQR5"/>
      <c r="SQS5"/>
      <c r="SQT5"/>
      <c r="SQU5"/>
      <c r="SQV5"/>
      <c r="SQW5"/>
      <c r="SQX5"/>
      <c r="SQY5"/>
      <c r="SQZ5"/>
      <c r="SRA5"/>
      <c r="SRB5"/>
      <c r="SRC5"/>
      <c r="SRD5"/>
      <c r="SRE5"/>
      <c r="SRF5"/>
      <c r="SRG5"/>
      <c r="SRH5"/>
      <c r="SRI5"/>
      <c r="SRJ5"/>
      <c r="SRK5"/>
      <c r="SRL5"/>
      <c r="SRM5"/>
      <c r="SRN5"/>
      <c r="SRO5"/>
      <c r="SRP5"/>
      <c r="SRQ5"/>
      <c r="SRR5"/>
      <c r="SRS5"/>
      <c r="SRT5"/>
      <c r="SRU5"/>
      <c r="SRV5"/>
      <c r="SRW5"/>
      <c r="SRX5"/>
      <c r="SRY5"/>
      <c r="SRZ5"/>
      <c r="SSA5"/>
      <c r="SSB5"/>
      <c r="SSC5"/>
      <c r="SSD5"/>
      <c r="SSE5"/>
      <c r="SSF5"/>
      <c r="SSG5"/>
      <c r="SSH5"/>
      <c r="SSI5"/>
      <c r="SSJ5"/>
      <c r="SSK5"/>
      <c r="SSL5"/>
      <c r="SSM5"/>
      <c r="SSN5"/>
      <c r="SSO5"/>
      <c r="SSP5"/>
      <c r="SSQ5"/>
      <c r="SSR5"/>
      <c r="SSS5"/>
      <c r="SST5"/>
      <c r="SSU5"/>
      <c r="SSV5"/>
      <c r="SSW5"/>
      <c r="SSX5"/>
      <c r="SSY5"/>
      <c r="SSZ5"/>
      <c r="STA5"/>
      <c r="STB5"/>
      <c r="STC5"/>
      <c r="STD5"/>
      <c r="STE5"/>
      <c r="STF5"/>
      <c r="STG5"/>
      <c r="STH5"/>
      <c r="STI5"/>
      <c r="STJ5"/>
      <c r="STK5"/>
      <c r="STL5"/>
      <c r="STM5"/>
      <c r="STN5"/>
      <c r="STO5"/>
      <c r="STP5"/>
      <c r="STQ5"/>
      <c r="STR5"/>
      <c r="STS5"/>
      <c r="STT5"/>
      <c r="STU5"/>
      <c r="STV5"/>
      <c r="STW5"/>
      <c r="STX5"/>
      <c r="STY5"/>
      <c r="STZ5"/>
      <c r="SUA5"/>
      <c r="SUB5"/>
      <c r="SUC5"/>
      <c r="SUD5"/>
      <c r="SUE5"/>
      <c r="SUF5"/>
      <c r="SUG5"/>
      <c r="SUH5"/>
      <c r="SUI5"/>
      <c r="SUJ5"/>
      <c r="SUK5"/>
      <c r="SUL5"/>
      <c r="SUM5"/>
      <c r="SUN5"/>
      <c r="SUO5"/>
      <c r="SUP5"/>
      <c r="SUQ5"/>
      <c r="SUR5"/>
      <c r="SUS5"/>
      <c r="SUT5"/>
      <c r="SUU5"/>
      <c r="SUV5"/>
      <c r="SUW5"/>
      <c r="SUX5"/>
      <c r="SUY5"/>
      <c r="SUZ5"/>
      <c r="SVA5"/>
      <c r="SVB5"/>
      <c r="SVC5"/>
      <c r="SVD5"/>
      <c r="SVE5"/>
      <c r="SVF5"/>
      <c r="SVG5"/>
      <c r="SVH5"/>
      <c r="SVI5"/>
      <c r="SVJ5"/>
      <c r="SVK5"/>
      <c r="SVL5"/>
      <c r="SVM5"/>
      <c r="SVN5"/>
      <c r="SVO5"/>
      <c r="SVP5"/>
      <c r="SVQ5"/>
      <c r="SVR5"/>
      <c r="SVS5"/>
      <c r="SVT5"/>
      <c r="SVU5"/>
      <c r="SVV5"/>
      <c r="SVW5"/>
      <c r="SVX5"/>
      <c r="SVY5"/>
      <c r="SVZ5"/>
      <c r="SWA5"/>
      <c r="SWB5"/>
      <c r="SWC5"/>
      <c r="SWD5"/>
      <c r="SWE5"/>
      <c r="SWF5"/>
      <c r="SWG5"/>
      <c r="SWH5"/>
      <c r="SWI5"/>
      <c r="SWJ5"/>
      <c r="SWK5"/>
      <c r="SWL5"/>
      <c r="SWM5"/>
      <c r="SWN5"/>
      <c r="SWO5"/>
      <c r="SWP5"/>
      <c r="SWQ5"/>
      <c r="SWR5"/>
      <c r="SWS5"/>
      <c r="SWT5"/>
      <c r="SWU5"/>
      <c r="SWV5"/>
      <c r="SWW5"/>
      <c r="SWX5"/>
      <c r="SWY5"/>
      <c r="SWZ5"/>
      <c r="SXA5"/>
      <c r="SXB5"/>
      <c r="SXC5"/>
      <c r="SXD5"/>
      <c r="SXE5"/>
      <c r="SXF5"/>
      <c r="SXG5"/>
      <c r="SXH5"/>
      <c r="SXI5"/>
      <c r="SXJ5"/>
      <c r="SXK5"/>
      <c r="SXL5"/>
      <c r="SXM5"/>
      <c r="SXN5"/>
      <c r="SXO5"/>
      <c r="SXP5"/>
      <c r="SXQ5"/>
      <c r="SXR5"/>
      <c r="SXS5"/>
      <c r="SXT5"/>
      <c r="SXU5"/>
      <c r="SXV5"/>
      <c r="SXW5"/>
      <c r="SXX5"/>
      <c r="SXY5"/>
      <c r="SXZ5"/>
      <c r="SYA5"/>
      <c r="SYB5"/>
      <c r="SYC5"/>
      <c r="SYD5"/>
      <c r="SYE5"/>
      <c r="SYF5"/>
      <c r="SYG5"/>
      <c r="SYH5"/>
      <c r="SYI5"/>
      <c r="SYJ5"/>
      <c r="SYK5"/>
      <c r="SYL5"/>
      <c r="SYM5"/>
      <c r="SYN5"/>
      <c r="SYO5"/>
      <c r="SYP5"/>
      <c r="SYQ5"/>
      <c r="SYR5"/>
      <c r="SYS5"/>
      <c r="SYT5"/>
      <c r="SYU5"/>
      <c r="SYV5"/>
      <c r="SYW5"/>
      <c r="SYX5"/>
      <c r="SYY5"/>
      <c r="SYZ5"/>
      <c r="SZA5"/>
      <c r="SZB5"/>
      <c r="SZC5"/>
      <c r="SZD5"/>
      <c r="SZE5"/>
      <c r="SZF5"/>
      <c r="SZG5"/>
      <c r="SZH5"/>
      <c r="SZI5"/>
      <c r="SZJ5"/>
      <c r="SZK5"/>
      <c r="SZL5"/>
      <c r="SZM5"/>
      <c r="SZN5"/>
      <c r="SZO5"/>
      <c r="SZP5"/>
      <c r="SZQ5"/>
      <c r="SZR5"/>
      <c r="SZS5"/>
      <c r="SZT5"/>
      <c r="SZU5"/>
      <c r="SZV5"/>
      <c r="SZW5"/>
      <c r="SZX5"/>
      <c r="SZY5"/>
      <c r="SZZ5"/>
      <c r="TAA5"/>
      <c r="TAB5"/>
      <c r="TAC5"/>
      <c r="TAD5"/>
      <c r="TAE5"/>
      <c r="TAF5"/>
      <c r="TAG5"/>
      <c r="TAH5"/>
      <c r="TAI5"/>
      <c r="TAJ5"/>
      <c r="TAK5"/>
      <c r="TAL5"/>
      <c r="TAM5"/>
      <c r="TAN5"/>
      <c r="TAO5"/>
      <c r="TAP5"/>
      <c r="TAQ5"/>
      <c r="TAR5"/>
      <c r="TAS5"/>
      <c r="TAT5"/>
      <c r="TAU5"/>
      <c r="TAV5"/>
      <c r="TAW5"/>
      <c r="TAX5"/>
      <c r="TAY5"/>
      <c r="TAZ5"/>
      <c r="TBA5"/>
      <c r="TBB5"/>
      <c r="TBC5"/>
      <c r="TBD5"/>
      <c r="TBE5"/>
      <c r="TBF5"/>
      <c r="TBG5"/>
      <c r="TBH5"/>
      <c r="TBI5"/>
      <c r="TBJ5"/>
      <c r="TBK5"/>
      <c r="TBL5"/>
      <c r="TBM5"/>
      <c r="TBN5"/>
      <c r="TBO5"/>
      <c r="TBP5"/>
      <c r="TBQ5"/>
      <c r="TBR5"/>
      <c r="TBS5"/>
      <c r="TBT5"/>
      <c r="TBU5"/>
      <c r="TBV5"/>
      <c r="TBW5"/>
      <c r="TBX5"/>
      <c r="TBY5"/>
      <c r="TBZ5"/>
      <c r="TCA5"/>
      <c r="TCB5"/>
      <c r="TCC5"/>
      <c r="TCD5"/>
      <c r="TCE5"/>
      <c r="TCF5"/>
      <c r="TCG5"/>
      <c r="TCH5"/>
      <c r="TCI5"/>
      <c r="TCJ5"/>
      <c r="TCK5"/>
      <c r="TCL5"/>
      <c r="TCM5"/>
      <c r="TCN5"/>
      <c r="TCO5"/>
      <c r="TCP5"/>
      <c r="TCQ5"/>
      <c r="TCR5"/>
      <c r="TCS5"/>
      <c r="TCT5"/>
      <c r="TCU5"/>
      <c r="TCV5"/>
      <c r="TCW5"/>
      <c r="TCX5"/>
      <c r="TCY5"/>
      <c r="TCZ5"/>
      <c r="TDA5"/>
      <c r="TDB5"/>
      <c r="TDC5"/>
      <c r="TDD5"/>
      <c r="TDE5"/>
      <c r="TDF5"/>
      <c r="TDG5"/>
      <c r="TDH5"/>
      <c r="TDI5"/>
      <c r="TDJ5"/>
      <c r="TDK5"/>
      <c r="TDL5"/>
      <c r="TDM5"/>
      <c r="TDN5"/>
      <c r="TDO5"/>
      <c r="TDP5"/>
      <c r="TDQ5"/>
      <c r="TDR5"/>
      <c r="TDS5"/>
      <c r="TDT5"/>
      <c r="TDU5"/>
      <c r="TDV5"/>
      <c r="TDW5"/>
      <c r="TDX5"/>
      <c r="TDY5"/>
      <c r="TDZ5"/>
      <c r="TEA5"/>
      <c r="TEB5"/>
      <c r="TEC5"/>
      <c r="TED5"/>
      <c r="TEE5"/>
      <c r="TEF5"/>
      <c r="TEG5"/>
      <c r="TEH5"/>
      <c r="TEI5"/>
      <c r="TEJ5"/>
      <c r="TEK5"/>
      <c r="TEL5"/>
      <c r="TEM5"/>
      <c r="TEN5"/>
      <c r="TEO5"/>
      <c r="TEP5"/>
      <c r="TEQ5"/>
      <c r="TER5"/>
      <c r="TES5"/>
      <c r="TET5"/>
      <c r="TEU5"/>
      <c r="TEV5"/>
      <c r="TEW5"/>
      <c r="TEX5"/>
      <c r="TEY5"/>
      <c r="TEZ5"/>
      <c r="TFA5"/>
      <c r="TFB5"/>
      <c r="TFC5"/>
      <c r="TFD5"/>
      <c r="TFE5"/>
      <c r="TFF5"/>
      <c r="TFG5"/>
      <c r="TFH5"/>
      <c r="TFI5"/>
      <c r="TFJ5"/>
      <c r="TFK5"/>
      <c r="TFL5"/>
      <c r="TFM5"/>
      <c r="TFN5"/>
      <c r="TFO5"/>
      <c r="TFP5"/>
      <c r="TFQ5"/>
      <c r="TFR5"/>
      <c r="TFS5"/>
      <c r="TFT5"/>
      <c r="TFU5"/>
      <c r="TFV5"/>
      <c r="TFW5"/>
      <c r="TFX5"/>
      <c r="TFY5"/>
      <c r="TFZ5"/>
      <c r="TGA5"/>
      <c r="TGB5"/>
      <c r="TGC5"/>
      <c r="TGD5"/>
      <c r="TGE5"/>
      <c r="TGF5"/>
      <c r="TGG5"/>
      <c r="TGH5"/>
      <c r="TGI5"/>
      <c r="TGJ5"/>
      <c r="TGK5"/>
      <c r="TGL5"/>
      <c r="TGM5"/>
      <c r="TGN5"/>
      <c r="TGO5"/>
      <c r="TGP5"/>
      <c r="TGQ5"/>
      <c r="TGR5"/>
      <c r="TGS5"/>
      <c r="TGT5"/>
      <c r="TGU5"/>
      <c r="TGV5"/>
      <c r="TGW5"/>
      <c r="TGX5"/>
      <c r="TGY5"/>
      <c r="TGZ5"/>
      <c r="THA5"/>
      <c r="THB5"/>
      <c r="THC5"/>
      <c r="THD5"/>
      <c r="THE5"/>
      <c r="THF5"/>
      <c r="THG5"/>
      <c r="THH5"/>
      <c r="THI5"/>
      <c r="THJ5"/>
      <c r="THK5"/>
      <c r="THL5"/>
      <c r="THM5"/>
      <c r="THN5"/>
      <c r="THO5"/>
      <c r="THP5"/>
      <c r="THQ5"/>
      <c r="THR5"/>
      <c r="THS5"/>
      <c r="THT5"/>
      <c r="THU5"/>
      <c r="THV5"/>
      <c r="THW5"/>
      <c r="THX5"/>
      <c r="THY5"/>
      <c r="THZ5"/>
      <c r="TIA5"/>
      <c r="TIB5"/>
      <c r="TIC5"/>
      <c r="TID5"/>
      <c r="TIE5"/>
      <c r="TIF5"/>
      <c r="TIG5"/>
      <c r="TIH5"/>
      <c r="TII5"/>
      <c r="TIJ5"/>
      <c r="TIK5"/>
      <c r="TIL5"/>
      <c r="TIM5"/>
      <c r="TIN5"/>
      <c r="TIO5"/>
      <c r="TIP5"/>
      <c r="TIQ5"/>
      <c r="TIR5"/>
      <c r="TIS5"/>
      <c r="TIT5"/>
      <c r="TIU5"/>
      <c r="TIV5"/>
      <c r="TIW5"/>
      <c r="TIX5"/>
      <c r="TIY5"/>
      <c r="TIZ5"/>
      <c r="TJA5"/>
      <c r="TJB5"/>
      <c r="TJC5"/>
      <c r="TJD5"/>
      <c r="TJE5"/>
      <c r="TJF5"/>
      <c r="TJG5"/>
      <c r="TJH5"/>
      <c r="TJI5"/>
      <c r="TJJ5"/>
      <c r="TJK5"/>
      <c r="TJL5"/>
      <c r="TJM5"/>
      <c r="TJN5"/>
      <c r="TJO5"/>
      <c r="TJP5"/>
      <c r="TJQ5"/>
      <c r="TJR5"/>
      <c r="TJS5"/>
      <c r="TJT5"/>
      <c r="TJU5"/>
      <c r="TJV5"/>
      <c r="TJW5"/>
      <c r="TJX5"/>
      <c r="TJY5"/>
      <c r="TJZ5"/>
      <c r="TKA5"/>
      <c r="TKB5"/>
      <c r="TKC5"/>
      <c r="TKD5"/>
      <c r="TKE5"/>
      <c r="TKF5"/>
      <c r="TKG5"/>
      <c r="TKH5"/>
      <c r="TKI5"/>
      <c r="TKJ5"/>
      <c r="TKK5"/>
      <c r="TKL5"/>
      <c r="TKM5"/>
      <c r="TKN5"/>
      <c r="TKO5"/>
      <c r="TKP5"/>
      <c r="TKQ5"/>
      <c r="TKR5"/>
      <c r="TKS5"/>
      <c r="TKT5"/>
      <c r="TKU5"/>
      <c r="TKV5"/>
      <c r="TKW5"/>
      <c r="TKX5"/>
      <c r="TKY5"/>
      <c r="TKZ5"/>
      <c r="TLA5"/>
      <c r="TLB5"/>
      <c r="TLC5"/>
      <c r="TLD5"/>
      <c r="TLE5"/>
      <c r="TLF5"/>
      <c r="TLG5"/>
      <c r="TLH5"/>
      <c r="TLI5"/>
      <c r="TLJ5"/>
      <c r="TLK5"/>
      <c r="TLL5"/>
      <c r="TLM5"/>
      <c r="TLN5"/>
      <c r="TLO5"/>
      <c r="TLP5"/>
      <c r="TLQ5"/>
      <c r="TLR5"/>
      <c r="TLS5"/>
      <c r="TLT5"/>
      <c r="TLU5"/>
      <c r="TLV5"/>
      <c r="TLW5"/>
      <c r="TLX5"/>
      <c r="TLY5"/>
      <c r="TLZ5"/>
      <c r="TMA5"/>
      <c r="TMB5"/>
      <c r="TMC5"/>
      <c r="TMD5"/>
      <c r="TME5"/>
      <c r="TMF5"/>
      <c r="TMG5"/>
      <c r="TMH5"/>
      <c r="TMI5"/>
      <c r="TMJ5"/>
      <c r="TMK5"/>
      <c r="TML5"/>
      <c r="TMM5"/>
      <c r="TMN5"/>
      <c r="TMO5"/>
      <c r="TMP5"/>
      <c r="TMQ5"/>
      <c r="TMR5"/>
      <c r="TMS5"/>
      <c r="TMT5"/>
      <c r="TMU5"/>
      <c r="TMV5"/>
      <c r="TMW5"/>
      <c r="TMX5"/>
      <c r="TMY5"/>
      <c r="TMZ5"/>
      <c r="TNA5"/>
      <c r="TNB5"/>
      <c r="TNC5"/>
      <c r="TND5"/>
      <c r="TNE5"/>
      <c r="TNF5"/>
      <c r="TNG5"/>
      <c r="TNH5"/>
      <c r="TNI5"/>
      <c r="TNJ5"/>
      <c r="TNK5"/>
      <c r="TNL5"/>
      <c r="TNM5"/>
      <c r="TNN5"/>
      <c r="TNO5"/>
      <c r="TNP5"/>
      <c r="TNQ5"/>
      <c r="TNR5"/>
      <c r="TNS5"/>
      <c r="TNT5"/>
      <c r="TNU5"/>
      <c r="TNV5"/>
      <c r="TNW5"/>
      <c r="TNX5"/>
      <c r="TNY5"/>
      <c r="TNZ5"/>
      <c r="TOA5"/>
      <c r="TOB5"/>
      <c r="TOC5"/>
      <c r="TOD5"/>
      <c r="TOE5"/>
      <c r="TOF5"/>
      <c r="TOG5"/>
      <c r="TOH5"/>
      <c r="TOI5"/>
      <c r="TOJ5"/>
      <c r="TOK5"/>
      <c r="TOL5"/>
      <c r="TOM5"/>
      <c r="TON5"/>
      <c r="TOO5"/>
      <c r="TOP5"/>
      <c r="TOQ5"/>
      <c r="TOR5"/>
      <c r="TOS5"/>
      <c r="TOT5"/>
      <c r="TOU5"/>
      <c r="TOV5"/>
      <c r="TOW5"/>
      <c r="TOX5"/>
      <c r="TOY5"/>
      <c r="TOZ5"/>
      <c r="TPA5"/>
      <c r="TPB5"/>
      <c r="TPC5"/>
      <c r="TPD5"/>
      <c r="TPE5"/>
      <c r="TPF5"/>
      <c r="TPG5"/>
      <c r="TPH5"/>
      <c r="TPI5"/>
      <c r="TPJ5"/>
      <c r="TPK5"/>
      <c r="TPL5"/>
      <c r="TPM5"/>
      <c r="TPN5"/>
      <c r="TPO5"/>
      <c r="TPP5"/>
      <c r="TPQ5"/>
      <c r="TPR5"/>
      <c r="TPS5"/>
      <c r="TPT5"/>
      <c r="TPU5"/>
      <c r="TPV5"/>
      <c r="TPW5"/>
      <c r="TPX5"/>
      <c r="TPY5"/>
      <c r="TPZ5"/>
      <c r="TQA5"/>
      <c r="TQB5"/>
      <c r="TQC5"/>
      <c r="TQD5"/>
      <c r="TQE5"/>
      <c r="TQF5"/>
      <c r="TQG5"/>
      <c r="TQH5"/>
      <c r="TQI5"/>
      <c r="TQJ5"/>
      <c r="TQK5"/>
      <c r="TQL5"/>
      <c r="TQM5"/>
      <c r="TQN5"/>
      <c r="TQO5"/>
      <c r="TQP5"/>
      <c r="TQQ5"/>
      <c r="TQR5"/>
      <c r="TQS5"/>
      <c r="TQT5"/>
      <c r="TQU5"/>
      <c r="TQV5"/>
      <c r="TQW5"/>
      <c r="TQX5"/>
      <c r="TQY5"/>
      <c r="TQZ5"/>
      <c r="TRA5"/>
      <c r="TRB5"/>
      <c r="TRC5"/>
      <c r="TRD5"/>
      <c r="TRE5"/>
      <c r="TRF5"/>
      <c r="TRG5"/>
      <c r="TRH5"/>
      <c r="TRI5"/>
      <c r="TRJ5"/>
      <c r="TRK5"/>
      <c r="TRL5"/>
      <c r="TRM5"/>
      <c r="TRN5"/>
      <c r="TRO5"/>
      <c r="TRP5"/>
      <c r="TRQ5"/>
      <c r="TRR5"/>
      <c r="TRS5"/>
      <c r="TRT5"/>
      <c r="TRU5"/>
      <c r="TRV5"/>
      <c r="TRW5"/>
      <c r="TRX5"/>
      <c r="TRY5"/>
      <c r="TRZ5"/>
      <c r="TSA5"/>
      <c r="TSB5"/>
      <c r="TSC5"/>
      <c r="TSD5"/>
      <c r="TSE5"/>
      <c r="TSF5"/>
      <c r="TSG5"/>
      <c r="TSH5"/>
      <c r="TSI5"/>
      <c r="TSJ5"/>
      <c r="TSK5"/>
      <c r="TSL5"/>
      <c r="TSM5"/>
      <c r="TSN5"/>
      <c r="TSO5"/>
      <c r="TSP5"/>
      <c r="TSQ5"/>
      <c r="TSR5"/>
      <c r="TSS5"/>
      <c r="TST5"/>
      <c r="TSU5"/>
      <c r="TSV5"/>
      <c r="TSW5"/>
      <c r="TSX5"/>
      <c r="TSY5"/>
      <c r="TSZ5"/>
      <c r="TTA5"/>
      <c r="TTB5"/>
      <c r="TTC5"/>
      <c r="TTD5"/>
      <c r="TTE5"/>
      <c r="TTF5"/>
      <c r="TTG5"/>
      <c r="TTH5"/>
      <c r="TTI5"/>
      <c r="TTJ5"/>
      <c r="TTK5"/>
      <c r="TTL5"/>
      <c r="TTM5"/>
      <c r="TTN5"/>
      <c r="TTO5"/>
      <c r="TTP5"/>
      <c r="TTQ5"/>
      <c r="TTR5"/>
      <c r="TTS5"/>
      <c r="TTT5"/>
      <c r="TTU5"/>
      <c r="TTV5"/>
      <c r="TTW5"/>
      <c r="TTX5"/>
      <c r="TTY5"/>
      <c r="TTZ5"/>
      <c r="TUA5"/>
      <c r="TUB5"/>
      <c r="TUC5"/>
      <c r="TUD5"/>
      <c r="TUE5"/>
      <c r="TUF5"/>
      <c r="TUG5"/>
      <c r="TUH5"/>
      <c r="TUI5"/>
      <c r="TUJ5"/>
      <c r="TUK5"/>
      <c r="TUL5"/>
      <c r="TUM5"/>
      <c r="TUN5"/>
      <c r="TUO5"/>
      <c r="TUP5"/>
      <c r="TUQ5"/>
      <c r="TUR5"/>
      <c r="TUS5"/>
      <c r="TUT5"/>
      <c r="TUU5"/>
      <c r="TUV5"/>
      <c r="TUW5"/>
      <c r="TUX5"/>
      <c r="TUY5"/>
      <c r="TUZ5"/>
      <c r="TVA5"/>
      <c r="TVB5"/>
      <c r="TVC5"/>
      <c r="TVD5"/>
      <c r="TVE5"/>
      <c r="TVF5"/>
      <c r="TVG5"/>
      <c r="TVH5"/>
      <c r="TVI5"/>
      <c r="TVJ5"/>
      <c r="TVK5"/>
      <c r="TVL5"/>
      <c r="TVM5"/>
      <c r="TVN5"/>
      <c r="TVO5"/>
      <c r="TVP5"/>
      <c r="TVQ5"/>
      <c r="TVR5"/>
      <c r="TVS5"/>
      <c r="TVT5"/>
      <c r="TVU5"/>
      <c r="TVV5"/>
      <c r="TVW5"/>
      <c r="TVX5"/>
      <c r="TVY5"/>
      <c r="TVZ5"/>
      <c r="TWA5"/>
      <c r="TWB5"/>
      <c r="TWC5"/>
      <c r="TWD5"/>
      <c r="TWE5"/>
      <c r="TWF5"/>
      <c r="TWG5"/>
      <c r="TWH5"/>
      <c r="TWI5"/>
      <c r="TWJ5"/>
      <c r="TWK5"/>
      <c r="TWL5"/>
      <c r="TWM5"/>
      <c r="TWN5"/>
      <c r="TWO5"/>
      <c r="TWP5"/>
      <c r="TWQ5"/>
      <c r="TWR5"/>
      <c r="TWS5"/>
      <c r="TWT5"/>
      <c r="TWU5"/>
      <c r="TWV5"/>
      <c r="TWW5"/>
      <c r="TWX5"/>
      <c r="TWY5"/>
      <c r="TWZ5"/>
      <c r="TXA5"/>
      <c r="TXB5"/>
      <c r="TXC5"/>
      <c r="TXD5"/>
      <c r="TXE5"/>
      <c r="TXF5"/>
      <c r="TXG5"/>
      <c r="TXH5"/>
      <c r="TXI5"/>
      <c r="TXJ5"/>
      <c r="TXK5"/>
      <c r="TXL5"/>
      <c r="TXM5"/>
      <c r="TXN5"/>
      <c r="TXO5"/>
      <c r="TXP5"/>
      <c r="TXQ5"/>
      <c r="TXR5"/>
      <c r="TXS5"/>
      <c r="TXT5"/>
      <c r="TXU5"/>
      <c r="TXV5"/>
      <c r="TXW5"/>
      <c r="TXX5"/>
      <c r="TXY5"/>
      <c r="TXZ5"/>
      <c r="TYA5"/>
      <c r="TYB5"/>
      <c r="TYC5"/>
      <c r="TYD5"/>
      <c r="TYE5"/>
      <c r="TYF5"/>
      <c r="TYG5"/>
      <c r="TYH5"/>
      <c r="TYI5"/>
      <c r="TYJ5"/>
      <c r="TYK5"/>
      <c r="TYL5"/>
      <c r="TYM5"/>
      <c r="TYN5"/>
      <c r="TYO5"/>
      <c r="TYP5"/>
      <c r="TYQ5"/>
      <c r="TYR5"/>
      <c r="TYS5"/>
      <c r="TYT5"/>
      <c r="TYU5"/>
      <c r="TYV5"/>
      <c r="TYW5"/>
      <c r="TYX5"/>
      <c r="TYY5"/>
      <c r="TYZ5"/>
      <c r="TZA5"/>
      <c r="TZB5"/>
      <c r="TZC5"/>
      <c r="TZD5"/>
      <c r="TZE5"/>
      <c r="TZF5"/>
      <c r="TZG5"/>
      <c r="TZH5"/>
      <c r="TZI5"/>
      <c r="TZJ5"/>
      <c r="TZK5"/>
      <c r="TZL5"/>
      <c r="TZM5"/>
      <c r="TZN5"/>
      <c r="TZO5"/>
      <c r="TZP5"/>
      <c r="TZQ5"/>
      <c r="TZR5"/>
      <c r="TZS5"/>
      <c r="TZT5"/>
      <c r="TZU5"/>
      <c r="TZV5"/>
      <c r="TZW5"/>
      <c r="TZX5"/>
      <c r="TZY5"/>
      <c r="TZZ5"/>
      <c r="UAA5"/>
      <c r="UAB5"/>
      <c r="UAC5"/>
      <c r="UAD5"/>
      <c r="UAE5"/>
      <c r="UAF5"/>
      <c r="UAG5"/>
      <c r="UAH5"/>
      <c r="UAI5"/>
      <c r="UAJ5"/>
      <c r="UAK5"/>
      <c r="UAL5"/>
      <c r="UAM5"/>
      <c r="UAN5"/>
      <c r="UAO5"/>
      <c r="UAP5"/>
      <c r="UAQ5"/>
      <c r="UAR5"/>
      <c r="UAS5"/>
      <c r="UAT5"/>
      <c r="UAU5"/>
      <c r="UAV5"/>
      <c r="UAW5"/>
      <c r="UAX5"/>
      <c r="UAY5"/>
      <c r="UAZ5"/>
      <c r="UBA5"/>
      <c r="UBB5"/>
      <c r="UBC5"/>
      <c r="UBD5"/>
      <c r="UBE5"/>
      <c r="UBF5"/>
      <c r="UBG5"/>
      <c r="UBH5"/>
      <c r="UBI5"/>
      <c r="UBJ5"/>
      <c r="UBK5"/>
      <c r="UBL5"/>
      <c r="UBM5"/>
      <c r="UBN5"/>
      <c r="UBO5"/>
      <c r="UBP5"/>
      <c r="UBQ5"/>
      <c r="UBR5"/>
      <c r="UBS5"/>
      <c r="UBT5"/>
      <c r="UBU5"/>
      <c r="UBV5"/>
      <c r="UBW5"/>
      <c r="UBX5"/>
      <c r="UBY5"/>
      <c r="UBZ5"/>
      <c r="UCA5"/>
      <c r="UCB5"/>
      <c r="UCC5"/>
      <c r="UCD5"/>
      <c r="UCE5"/>
      <c r="UCF5"/>
      <c r="UCG5"/>
      <c r="UCH5"/>
      <c r="UCI5"/>
      <c r="UCJ5"/>
      <c r="UCK5"/>
      <c r="UCL5"/>
      <c r="UCM5"/>
      <c r="UCN5"/>
      <c r="UCO5"/>
      <c r="UCP5"/>
      <c r="UCQ5"/>
      <c r="UCR5"/>
      <c r="UCS5"/>
      <c r="UCT5"/>
      <c r="UCU5"/>
      <c r="UCV5"/>
      <c r="UCW5"/>
      <c r="UCX5"/>
      <c r="UCY5"/>
      <c r="UCZ5"/>
      <c r="UDA5"/>
      <c r="UDB5"/>
      <c r="UDC5"/>
      <c r="UDD5"/>
      <c r="UDE5"/>
      <c r="UDF5"/>
      <c r="UDG5"/>
      <c r="UDH5"/>
      <c r="UDI5"/>
      <c r="UDJ5"/>
      <c r="UDK5"/>
      <c r="UDL5"/>
      <c r="UDM5"/>
      <c r="UDN5"/>
      <c r="UDO5"/>
      <c r="UDP5"/>
      <c r="UDQ5"/>
      <c r="UDR5"/>
      <c r="UDS5"/>
      <c r="UDT5"/>
      <c r="UDU5"/>
      <c r="UDV5"/>
      <c r="UDW5"/>
      <c r="UDX5"/>
      <c r="UDY5"/>
      <c r="UDZ5"/>
      <c r="UEA5"/>
      <c r="UEB5"/>
      <c r="UEC5"/>
      <c r="UED5"/>
      <c r="UEE5"/>
      <c r="UEF5"/>
      <c r="UEG5"/>
      <c r="UEH5"/>
      <c r="UEI5"/>
      <c r="UEJ5"/>
      <c r="UEK5"/>
      <c r="UEL5"/>
      <c r="UEM5"/>
      <c r="UEN5"/>
      <c r="UEO5"/>
      <c r="UEP5"/>
      <c r="UEQ5"/>
      <c r="UER5"/>
      <c r="UES5"/>
      <c r="UET5"/>
      <c r="UEU5"/>
      <c r="UEV5"/>
      <c r="UEW5"/>
      <c r="UEX5"/>
      <c r="UEY5"/>
      <c r="UEZ5"/>
      <c r="UFA5"/>
      <c r="UFB5"/>
      <c r="UFC5"/>
      <c r="UFD5"/>
      <c r="UFE5"/>
      <c r="UFF5"/>
      <c r="UFG5"/>
      <c r="UFH5"/>
      <c r="UFI5"/>
      <c r="UFJ5"/>
      <c r="UFK5"/>
      <c r="UFL5"/>
      <c r="UFM5"/>
      <c r="UFN5"/>
      <c r="UFO5"/>
      <c r="UFP5"/>
      <c r="UFQ5"/>
      <c r="UFR5"/>
      <c r="UFS5"/>
      <c r="UFT5"/>
      <c r="UFU5"/>
      <c r="UFV5"/>
      <c r="UFW5"/>
      <c r="UFX5"/>
      <c r="UFY5"/>
      <c r="UFZ5"/>
      <c r="UGA5"/>
      <c r="UGB5"/>
      <c r="UGC5"/>
      <c r="UGD5"/>
      <c r="UGE5"/>
      <c r="UGF5"/>
      <c r="UGG5"/>
      <c r="UGH5"/>
      <c r="UGI5"/>
      <c r="UGJ5"/>
      <c r="UGK5"/>
      <c r="UGL5"/>
      <c r="UGM5"/>
      <c r="UGN5"/>
      <c r="UGO5"/>
      <c r="UGP5"/>
      <c r="UGQ5"/>
      <c r="UGR5"/>
      <c r="UGS5"/>
      <c r="UGT5"/>
      <c r="UGU5"/>
      <c r="UGV5"/>
      <c r="UGW5"/>
      <c r="UGX5"/>
      <c r="UGY5"/>
      <c r="UGZ5"/>
      <c r="UHA5"/>
      <c r="UHB5"/>
      <c r="UHC5"/>
      <c r="UHD5"/>
      <c r="UHE5"/>
      <c r="UHF5"/>
      <c r="UHG5"/>
      <c r="UHH5"/>
      <c r="UHI5"/>
      <c r="UHJ5"/>
      <c r="UHK5"/>
      <c r="UHL5"/>
      <c r="UHM5"/>
      <c r="UHN5"/>
      <c r="UHO5"/>
      <c r="UHP5"/>
      <c r="UHQ5"/>
      <c r="UHR5"/>
      <c r="UHS5"/>
      <c r="UHT5"/>
      <c r="UHU5"/>
      <c r="UHV5"/>
      <c r="UHW5"/>
      <c r="UHX5"/>
      <c r="UHY5"/>
      <c r="UHZ5"/>
      <c r="UIA5"/>
      <c r="UIB5"/>
      <c r="UIC5"/>
      <c r="UID5"/>
      <c r="UIE5"/>
      <c r="UIF5"/>
      <c r="UIG5"/>
      <c r="UIH5"/>
      <c r="UII5"/>
      <c r="UIJ5"/>
      <c r="UIK5"/>
      <c r="UIL5"/>
      <c r="UIM5"/>
      <c r="UIN5"/>
      <c r="UIO5"/>
      <c r="UIP5"/>
      <c r="UIQ5"/>
      <c r="UIR5"/>
      <c r="UIS5"/>
      <c r="UIT5"/>
      <c r="UIU5"/>
      <c r="UIV5"/>
      <c r="UIW5"/>
      <c r="UIX5"/>
      <c r="UIY5"/>
      <c r="UIZ5"/>
      <c r="UJA5"/>
      <c r="UJB5"/>
      <c r="UJC5"/>
      <c r="UJD5"/>
      <c r="UJE5"/>
      <c r="UJF5"/>
      <c r="UJG5"/>
      <c r="UJH5"/>
      <c r="UJI5"/>
      <c r="UJJ5"/>
      <c r="UJK5"/>
      <c r="UJL5"/>
      <c r="UJM5"/>
      <c r="UJN5"/>
      <c r="UJO5"/>
      <c r="UJP5"/>
      <c r="UJQ5"/>
      <c r="UJR5"/>
      <c r="UJS5"/>
      <c r="UJT5"/>
      <c r="UJU5"/>
      <c r="UJV5"/>
      <c r="UJW5"/>
      <c r="UJX5"/>
      <c r="UJY5"/>
      <c r="UJZ5"/>
      <c r="UKA5"/>
      <c r="UKB5"/>
      <c r="UKC5"/>
      <c r="UKD5"/>
      <c r="UKE5"/>
      <c r="UKF5"/>
      <c r="UKG5"/>
      <c r="UKH5"/>
      <c r="UKI5"/>
      <c r="UKJ5"/>
      <c r="UKK5"/>
      <c r="UKL5"/>
      <c r="UKM5"/>
      <c r="UKN5"/>
      <c r="UKO5"/>
      <c r="UKP5"/>
      <c r="UKQ5"/>
      <c r="UKR5"/>
      <c r="UKS5"/>
      <c r="UKT5"/>
      <c r="UKU5"/>
      <c r="UKV5"/>
      <c r="UKW5"/>
      <c r="UKX5"/>
      <c r="UKY5"/>
      <c r="UKZ5"/>
      <c r="ULA5"/>
      <c r="ULB5"/>
      <c r="ULC5"/>
      <c r="ULD5"/>
      <c r="ULE5"/>
      <c r="ULF5"/>
      <c r="ULG5"/>
      <c r="ULH5"/>
      <c r="ULI5"/>
      <c r="ULJ5"/>
      <c r="ULK5"/>
      <c r="ULL5"/>
      <c r="ULM5"/>
      <c r="ULN5"/>
      <c r="ULO5"/>
      <c r="ULP5"/>
      <c r="ULQ5"/>
      <c r="ULR5"/>
      <c r="ULS5"/>
      <c r="ULT5"/>
      <c r="ULU5"/>
      <c r="ULV5"/>
      <c r="ULW5"/>
      <c r="ULX5"/>
      <c r="ULY5"/>
      <c r="ULZ5"/>
      <c r="UMA5"/>
      <c r="UMB5"/>
      <c r="UMC5"/>
      <c r="UMD5"/>
      <c r="UME5"/>
      <c r="UMF5"/>
      <c r="UMG5"/>
      <c r="UMH5"/>
      <c r="UMI5"/>
      <c r="UMJ5"/>
      <c r="UMK5"/>
      <c r="UML5"/>
      <c r="UMM5"/>
      <c r="UMN5"/>
      <c r="UMO5"/>
      <c r="UMP5"/>
      <c r="UMQ5"/>
      <c r="UMR5"/>
      <c r="UMS5"/>
      <c r="UMT5"/>
      <c r="UMU5"/>
      <c r="UMV5"/>
      <c r="UMW5"/>
      <c r="UMX5"/>
      <c r="UMY5"/>
      <c r="UMZ5"/>
      <c r="UNA5"/>
      <c r="UNB5"/>
      <c r="UNC5"/>
      <c r="UND5"/>
      <c r="UNE5"/>
      <c r="UNF5"/>
      <c r="UNG5"/>
      <c r="UNH5"/>
      <c r="UNI5"/>
      <c r="UNJ5"/>
      <c r="UNK5"/>
      <c r="UNL5"/>
      <c r="UNM5"/>
      <c r="UNN5"/>
      <c r="UNO5"/>
      <c r="UNP5"/>
      <c r="UNQ5"/>
      <c r="UNR5"/>
      <c r="UNS5"/>
      <c r="UNT5"/>
      <c r="UNU5"/>
      <c r="UNV5"/>
      <c r="UNW5"/>
      <c r="UNX5"/>
      <c r="UNY5"/>
      <c r="UNZ5"/>
      <c r="UOA5"/>
      <c r="UOB5"/>
      <c r="UOC5"/>
      <c r="UOD5"/>
      <c r="UOE5"/>
      <c r="UOF5"/>
      <c r="UOG5"/>
      <c r="UOH5"/>
      <c r="UOI5"/>
      <c r="UOJ5"/>
      <c r="UOK5"/>
      <c r="UOL5"/>
      <c r="UOM5"/>
      <c r="UON5"/>
      <c r="UOO5"/>
      <c r="UOP5"/>
      <c r="UOQ5"/>
      <c r="UOR5"/>
      <c r="UOS5"/>
      <c r="UOT5"/>
      <c r="UOU5"/>
      <c r="UOV5"/>
      <c r="UOW5"/>
      <c r="UOX5"/>
      <c r="UOY5"/>
      <c r="UOZ5"/>
      <c r="UPA5"/>
      <c r="UPB5"/>
      <c r="UPC5"/>
      <c r="UPD5"/>
      <c r="UPE5"/>
      <c r="UPF5"/>
      <c r="UPG5"/>
      <c r="UPH5"/>
      <c r="UPI5"/>
      <c r="UPJ5"/>
      <c r="UPK5"/>
      <c r="UPL5"/>
      <c r="UPM5"/>
      <c r="UPN5"/>
      <c r="UPO5"/>
      <c r="UPP5"/>
      <c r="UPQ5"/>
      <c r="UPR5"/>
      <c r="UPS5"/>
      <c r="UPT5"/>
      <c r="UPU5"/>
      <c r="UPV5"/>
      <c r="UPW5"/>
      <c r="UPX5"/>
      <c r="UPY5"/>
      <c r="UPZ5"/>
      <c r="UQA5"/>
      <c r="UQB5"/>
      <c r="UQC5"/>
      <c r="UQD5"/>
      <c r="UQE5"/>
      <c r="UQF5"/>
      <c r="UQG5"/>
      <c r="UQH5"/>
      <c r="UQI5"/>
      <c r="UQJ5"/>
      <c r="UQK5"/>
      <c r="UQL5"/>
      <c r="UQM5"/>
      <c r="UQN5"/>
      <c r="UQO5"/>
      <c r="UQP5"/>
      <c r="UQQ5"/>
      <c r="UQR5"/>
      <c r="UQS5"/>
      <c r="UQT5"/>
      <c r="UQU5"/>
      <c r="UQV5"/>
      <c r="UQW5"/>
      <c r="UQX5"/>
      <c r="UQY5"/>
      <c r="UQZ5"/>
      <c r="URA5"/>
      <c r="URB5"/>
      <c r="URC5"/>
      <c r="URD5"/>
      <c r="URE5"/>
      <c r="URF5"/>
      <c r="URG5"/>
      <c r="URH5"/>
      <c r="URI5"/>
      <c r="URJ5"/>
      <c r="URK5"/>
      <c r="URL5"/>
      <c r="URM5"/>
      <c r="URN5"/>
      <c r="URO5"/>
      <c r="URP5"/>
      <c r="URQ5"/>
      <c r="URR5"/>
      <c r="URS5"/>
      <c r="URT5"/>
      <c r="URU5"/>
      <c r="URV5"/>
      <c r="URW5"/>
      <c r="URX5"/>
      <c r="URY5"/>
      <c r="URZ5"/>
      <c r="USA5"/>
      <c r="USB5"/>
      <c r="USC5"/>
      <c r="USD5"/>
      <c r="USE5"/>
      <c r="USF5"/>
      <c r="USG5"/>
      <c r="USH5"/>
      <c r="USI5"/>
      <c r="USJ5"/>
      <c r="USK5"/>
      <c r="USL5"/>
      <c r="USM5"/>
      <c r="USN5"/>
      <c r="USO5"/>
      <c r="USP5"/>
      <c r="USQ5"/>
      <c r="USR5"/>
      <c r="USS5"/>
      <c r="UST5"/>
      <c r="USU5"/>
      <c r="USV5"/>
      <c r="USW5"/>
      <c r="USX5"/>
      <c r="USY5"/>
      <c r="USZ5"/>
      <c r="UTA5"/>
      <c r="UTB5"/>
      <c r="UTC5"/>
      <c r="UTD5"/>
      <c r="UTE5"/>
      <c r="UTF5"/>
      <c r="UTG5"/>
      <c r="UTH5"/>
      <c r="UTI5"/>
      <c r="UTJ5"/>
      <c r="UTK5"/>
      <c r="UTL5"/>
      <c r="UTM5"/>
      <c r="UTN5"/>
      <c r="UTO5"/>
      <c r="UTP5"/>
      <c r="UTQ5"/>
      <c r="UTR5"/>
      <c r="UTS5"/>
      <c r="UTT5"/>
      <c r="UTU5"/>
      <c r="UTV5"/>
      <c r="UTW5"/>
      <c r="UTX5"/>
      <c r="UTY5"/>
      <c r="UTZ5"/>
      <c r="UUA5"/>
      <c r="UUB5"/>
      <c r="UUC5"/>
      <c r="UUD5"/>
      <c r="UUE5"/>
      <c r="UUF5"/>
      <c r="UUG5"/>
      <c r="UUH5"/>
      <c r="UUI5"/>
      <c r="UUJ5"/>
      <c r="UUK5"/>
      <c r="UUL5"/>
      <c r="UUM5"/>
      <c r="UUN5"/>
      <c r="UUO5"/>
      <c r="UUP5"/>
      <c r="UUQ5"/>
      <c r="UUR5"/>
      <c r="UUS5"/>
      <c r="UUT5"/>
      <c r="UUU5"/>
      <c r="UUV5"/>
      <c r="UUW5"/>
      <c r="UUX5"/>
      <c r="UUY5"/>
      <c r="UUZ5"/>
      <c r="UVA5"/>
      <c r="UVB5"/>
      <c r="UVC5"/>
      <c r="UVD5"/>
      <c r="UVE5"/>
      <c r="UVF5"/>
      <c r="UVG5"/>
      <c r="UVH5"/>
      <c r="UVI5"/>
      <c r="UVJ5"/>
      <c r="UVK5"/>
      <c r="UVL5"/>
      <c r="UVM5"/>
      <c r="UVN5"/>
      <c r="UVO5"/>
      <c r="UVP5"/>
      <c r="UVQ5"/>
      <c r="UVR5"/>
      <c r="UVS5"/>
      <c r="UVT5"/>
      <c r="UVU5"/>
      <c r="UVV5"/>
      <c r="UVW5"/>
      <c r="UVX5"/>
      <c r="UVY5"/>
      <c r="UVZ5"/>
      <c r="UWA5"/>
      <c r="UWB5"/>
      <c r="UWC5"/>
      <c r="UWD5"/>
      <c r="UWE5"/>
      <c r="UWF5"/>
      <c r="UWG5"/>
      <c r="UWH5"/>
      <c r="UWI5"/>
      <c r="UWJ5"/>
      <c r="UWK5"/>
      <c r="UWL5"/>
      <c r="UWM5"/>
      <c r="UWN5"/>
      <c r="UWO5"/>
      <c r="UWP5"/>
      <c r="UWQ5"/>
      <c r="UWR5"/>
      <c r="UWS5"/>
      <c r="UWT5"/>
      <c r="UWU5"/>
      <c r="UWV5"/>
      <c r="UWW5"/>
      <c r="UWX5"/>
      <c r="UWY5"/>
      <c r="UWZ5"/>
      <c r="UXA5"/>
      <c r="UXB5"/>
      <c r="UXC5"/>
      <c r="UXD5"/>
      <c r="UXE5"/>
      <c r="UXF5"/>
      <c r="UXG5"/>
      <c r="UXH5"/>
      <c r="UXI5"/>
      <c r="UXJ5"/>
      <c r="UXK5"/>
      <c r="UXL5"/>
      <c r="UXM5"/>
      <c r="UXN5"/>
      <c r="UXO5"/>
      <c r="UXP5"/>
      <c r="UXQ5"/>
      <c r="UXR5"/>
      <c r="UXS5"/>
      <c r="UXT5"/>
      <c r="UXU5"/>
      <c r="UXV5"/>
      <c r="UXW5"/>
      <c r="UXX5"/>
      <c r="UXY5"/>
      <c r="UXZ5"/>
      <c r="UYA5"/>
      <c r="UYB5"/>
      <c r="UYC5"/>
      <c r="UYD5"/>
      <c r="UYE5"/>
      <c r="UYF5"/>
      <c r="UYG5"/>
      <c r="UYH5"/>
      <c r="UYI5"/>
      <c r="UYJ5"/>
      <c r="UYK5"/>
      <c r="UYL5"/>
      <c r="UYM5"/>
      <c r="UYN5"/>
      <c r="UYO5"/>
      <c r="UYP5"/>
      <c r="UYQ5"/>
      <c r="UYR5"/>
      <c r="UYS5"/>
      <c r="UYT5"/>
      <c r="UYU5"/>
      <c r="UYV5"/>
      <c r="UYW5"/>
      <c r="UYX5"/>
      <c r="UYY5"/>
      <c r="UYZ5"/>
      <c r="UZA5"/>
      <c r="UZB5"/>
      <c r="UZC5"/>
      <c r="UZD5"/>
      <c r="UZE5"/>
      <c r="UZF5"/>
      <c r="UZG5"/>
      <c r="UZH5"/>
      <c r="UZI5"/>
      <c r="UZJ5"/>
      <c r="UZK5"/>
      <c r="UZL5"/>
      <c r="UZM5"/>
      <c r="UZN5"/>
      <c r="UZO5"/>
      <c r="UZP5"/>
      <c r="UZQ5"/>
      <c r="UZR5"/>
      <c r="UZS5"/>
      <c r="UZT5"/>
      <c r="UZU5"/>
      <c r="UZV5"/>
      <c r="UZW5"/>
      <c r="UZX5"/>
      <c r="UZY5"/>
      <c r="UZZ5"/>
      <c r="VAA5"/>
      <c r="VAB5"/>
      <c r="VAC5"/>
      <c r="VAD5"/>
      <c r="VAE5"/>
      <c r="VAF5"/>
      <c r="VAG5"/>
      <c r="VAH5"/>
      <c r="VAI5"/>
      <c r="VAJ5"/>
      <c r="VAK5"/>
      <c r="VAL5"/>
      <c r="VAM5"/>
      <c r="VAN5"/>
      <c r="VAO5"/>
      <c r="VAP5"/>
      <c r="VAQ5"/>
      <c r="VAR5"/>
      <c r="VAS5"/>
      <c r="VAT5"/>
      <c r="VAU5"/>
      <c r="VAV5"/>
      <c r="VAW5"/>
      <c r="VAX5"/>
      <c r="VAY5"/>
      <c r="VAZ5"/>
      <c r="VBA5"/>
      <c r="VBB5"/>
      <c r="VBC5"/>
      <c r="VBD5"/>
      <c r="VBE5"/>
      <c r="VBF5"/>
      <c r="VBG5"/>
      <c r="VBH5"/>
      <c r="VBI5"/>
      <c r="VBJ5"/>
      <c r="VBK5"/>
      <c r="VBL5"/>
      <c r="VBM5"/>
      <c r="VBN5"/>
      <c r="VBO5"/>
      <c r="VBP5"/>
      <c r="VBQ5"/>
      <c r="VBR5"/>
      <c r="VBS5"/>
      <c r="VBT5"/>
      <c r="VBU5"/>
      <c r="VBV5"/>
      <c r="VBW5"/>
      <c r="VBX5"/>
      <c r="VBY5"/>
      <c r="VBZ5"/>
      <c r="VCA5"/>
      <c r="VCB5"/>
      <c r="VCC5"/>
      <c r="VCD5"/>
      <c r="VCE5"/>
      <c r="VCF5"/>
      <c r="VCG5"/>
      <c r="VCH5"/>
      <c r="VCI5"/>
      <c r="VCJ5"/>
      <c r="VCK5"/>
      <c r="VCL5"/>
      <c r="VCM5"/>
      <c r="VCN5"/>
      <c r="VCO5"/>
      <c r="VCP5"/>
      <c r="VCQ5"/>
      <c r="VCR5"/>
      <c r="VCS5"/>
      <c r="VCT5"/>
      <c r="VCU5"/>
      <c r="VCV5"/>
      <c r="VCW5"/>
      <c r="VCX5"/>
      <c r="VCY5"/>
      <c r="VCZ5"/>
      <c r="VDA5"/>
      <c r="VDB5"/>
      <c r="VDC5"/>
      <c r="VDD5"/>
      <c r="VDE5"/>
      <c r="VDF5"/>
      <c r="VDG5"/>
      <c r="VDH5"/>
      <c r="VDI5"/>
      <c r="VDJ5"/>
      <c r="VDK5"/>
      <c r="VDL5"/>
      <c r="VDM5"/>
      <c r="VDN5"/>
      <c r="VDO5"/>
      <c r="VDP5"/>
      <c r="VDQ5"/>
      <c r="VDR5"/>
      <c r="VDS5"/>
      <c r="VDT5"/>
      <c r="VDU5"/>
      <c r="VDV5"/>
      <c r="VDW5"/>
      <c r="VDX5"/>
      <c r="VDY5"/>
      <c r="VDZ5"/>
      <c r="VEA5"/>
      <c r="VEB5"/>
      <c r="VEC5"/>
      <c r="VED5"/>
      <c r="VEE5"/>
      <c r="VEF5"/>
      <c r="VEG5"/>
      <c r="VEH5"/>
      <c r="VEI5"/>
      <c r="VEJ5"/>
      <c r="VEK5"/>
      <c r="VEL5"/>
      <c r="VEM5"/>
      <c r="VEN5"/>
      <c r="VEO5"/>
      <c r="VEP5"/>
      <c r="VEQ5"/>
      <c r="VER5"/>
      <c r="VES5"/>
      <c r="VET5"/>
      <c r="VEU5"/>
      <c r="VEV5"/>
      <c r="VEW5"/>
      <c r="VEX5"/>
      <c r="VEY5"/>
      <c r="VEZ5"/>
      <c r="VFA5"/>
      <c r="VFB5"/>
      <c r="VFC5"/>
      <c r="VFD5"/>
      <c r="VFE5"/>
      <c r="VFF5"/>
      <c r="VFG5"/>
      <c r="VFH5"/>
      <c r="VFI5"/>
      <c r="VFJ5"/>
      <c r="VFK5"/>
      <c r="VFL5"/>
      <c r="VFM5"/>
      <c r="VFN5"/>
      <c r="VFO5"/>
      <c r="VFP5"/>
      <c r="VFQ5"/>
      <c r="VFR5"/>
      <c r="VFS5"/>
      <c r="VFT5"/>
      <c r="VFU5"/>
      <c r="VFV5"/>
      <c r="VFW5"/>
      <c r="VFX5"/>
      <c r="VFY5"/>
      <c r="VFZ5"/>
      <c r="VGA5"/>
      <c r="VGB5"/>
      <c r="VGC5"/>
      <c r="VGD5"/>
      <c r="VGE5"/>
      <c r="VGF5"/>
      <c r="VGG5"/>
      <c r="VGH5"/>
      <c r="VGI5"/>
      <c r="VGJ5"/>
      <c r="VGK5"/>
      <c r="VGL5"/>
      <c r="VGM5"/>
      <c r="VGN5"/>
      <c r="VGO5"/>
      <c r="VGP5"/>
      <c r="VGQ5"/>
      <c r="VGR5"/>
      <c r="VGS5"/>
      <c r="VGT5"/>
      <c r="VGU5"/>
      <c r="VGV5"/>
      <c r="VGW5"/>
      <c r="VGX5"/>
      <c r="VGY5"/>
      <c r="VGZ5"/>
      <c r="VHA5"/>
      <c r="VHB5"/>
      <c r="VHC5"/>
      <c r="VHD5"/>
      <c r="VHE5"/>
      <c r="VHF5"/>
      <c r="VHG5"/>
      <c r="VHH5"/>
      <c r="VHI5"/>
      <c r="VHJ5"/>
      <c r="VHK5"/>
      <c r="VHL5"/>
      <c r="VHM5"/>
      <c r="VHN5"/>
      <c r="VHO5"/>
      <c r="VHP5"/>
      <c r="VHQ5"/>
      <c r="VHR5"/>
      <c r="VHS5"/>
      <c r="VHT5"/>
      <c r="VHU5"/>
      <c r="VHV5"/>
      <c r="VHW5"/>
      <c r="VHX5"/>
      <c r="VHY5"/>
      <c r="VHZ5"/>
      <c r="VIA5"/>
      <c r="VIB5"/>
      <c r="VIC5"/>
      <c r="VID5"/>
      <c r="VIE5"/>
      <c r="VIF5"/>
      <c r="VIG5"/>
      <c r="VIH5"/>
      <c r="VII5"/>
      <c r="VIJ5"/>
      <c r="VIK5"/>
      <c r="VIL5"/>
      <c r="VIM5"/>
      <c r="VIN5"/>
      <c r="VIO5"/>
      <c r="VIP5"/>
      <c r="VIQ5"/>
      <c r="VIR5"/>
      <c r="VIS5"/>
      <c r="VIT5"/>
      <c r="VIU5"/>
      <c r="VIV5"/>
      <c r="VIW5"/>
      <c r="VIX5"/>
      <c r="VIY5"/>
      <c r="VIZ5"/>
      <c r="VJA5"/>
      <c r="VJB5"/>
      <c r="VJC5"/>
      <c r="VJD5"/>
      <c r="VJE5"/>
      <c r="VJF5"/>
      <c r="VJG5"/>
      <c r="VJH5"/>
      <c r="VJI5"/>
      <c r="VJJ5"/>
      <c r="VJK5"/>
      <c r="VJL5"/>
      <c r="VJM5"/>
      <c r="VJN5"/>
      <c r="VJO5"/>
      <c r="VJP5"/>
      <c r="VJQ5"/>
      <c r="VJR5"/>
      <c r="VJS5"/>
      <c r="VJT5"/>
      <c r="VJU5"/>
      <c r="VJV5"/>
      <c r="VJW5"/>
      <c r="VJX5"/>
      <c r="VJY5"/>
      <c r="VJZ5"/>
      <c r="VKA5"/>
      <c r="VKB5"/>
      <c r="VKC5"/>
      <c r="VKD5"/>
      <c r="VKE5"/>
      <c r="VKF5"/>
      <c r="VKG5"/>
      <c r="VKH5"/>
      <c r="VKI5"/>
      <c r="VKJ5"/>
      <c r="VKK5"/>
      <c r="VKL5"/>
      <c r="VKM5"/>
      <c r="VKN5"/>
      <c r="VKO5"/>
      <c r="VKP5"/>
      <c r="VKQ5"/>
      <c r="VKR5"/>
      <c r="VKS5"/>
      <c r="VKT5"/>
      <c r="VKU5"/>
      <c r="VKV5"/>
      <c r="VKW5"/>
      <c r="VKX5"/>
      <c r="VKY5"/>
      <c r="VKZ5"/>
      <c r="VLA5"/>
      <c r="VLB5"/>
      <c r="VLC5"/>
      <c r="VLD5"/>
      <c r="VLE5"/>
      <c r="VLF5"/>
      <c r="VLG5"/>
      <c r="VLH5"/>
      <c r="VLI5"/>
      <c r="VLJ5"/>
      <c r="VLK5"/>
      <c r="VLL5"/>
      <c r="VLM5"/>
      <c r="VLN5"/>
      <c r="VLO5"/>
      <c r="VLP5"/>
      <c r="VLQ5"/>
      <c r="VLR5"/>
      <c r="VLS5"/>
      <c r="VLT5"/>
      <c r="VLU5"/>
      <c r="VLV5"/>
      <c r="VLW5"/>
      <c r="VLX5"/>
      <c r="VLY5"/>
      <c r="VLZ5"/>
      <c r="VMA5"/>
      <c r="VMB5"/>
      <c r="VMC5"/>
      <c r="VMD5"/>
      <c r="VME5"/>
      <c r="VMF5"/>
      <c r="VMG5"/>
      <c r="VMH5"/>
      <c r="VMI5"/>
      <c r="VMJ5"/>
      <c r="VMK5"/>
      <c r="VML5"/>
      <c r="VMM5"/>
      <c r="VMN5"/>
      <c r="VMO5"/>
      <c r="VMP5"/>
      <c r="VMQ5"/>
      <c r="VMR5"/>
      <c r="VMS5"/>
      <c r="VMT5"/>
      <c r="VMU5"/>
      <c r="VMV5"/>
      <c r="VMW5"/>
      <c r="VMX5"/>
      <c r="VMY5"/>
      <c r="VMZ5"/>
      <c r="VNA5"/>
      <c r="VNB5"/>
      <c r="VNC5"/>
      <c r="VND5"/>
      <c r="VNE5"/>
      <c r="VNF5"/>
      <c r="VNG5"/>
      <c r="VNH5"/>
      <c r="VNI5"/>
      <c r="VNJ5"/>
      <c r="VNK5"/>
      <c r="VNL5"/>
      <c r="VNM5"/>
      <c r="VNN5"/>
      <c r="VNO5"/>
      <c r="VNP5"/>
      <c r="VNQ5"/>
      <c r="VNR5"/>
      <c r="VNS5"/>
      <c r="VNT5"/>
      <c r="VNU5"/>
      <c r="VNV5"/>
      <c r="VNW5"/>
      <c r="VNX5"/>
      <c r="VNY5"/>
      <c r="VNZ5"/>
      <c r="VOA5"/>
      <c r="VOB5"/>
      <c r="VOC5"/>
      <c r="VOD5"/>
      <c r="VOE5"/>
      <c r="VOF5"/>
      <c r="VOG5"/>
      <c r="VOH5"/>
      <c r="VOI5"/>
      <c r="VOJ5"/>
      <c r="VOK5"/>
      <c r="VOL5"/>
      <c r="VOM5"/>
      <c r="VON5"/>
      <c r="VOO5"/>
      <c r="VOP5"/>
      <c r="VOQ5"/>
      <c r="VOR5"/>
      <c r="VOS5"/>
      <c r="VOT5"/>
      <c r="VOU5"/>
      <c r="VOV5"/>
      <c r="VOW5"/>
      <c r="VOX5"/>
      <c r="VOY5"/>
      <c r="VOZ5"/>
      <c r="VPA5"/>
      <c r="VPB5"/>
      <c r="VPC5"/>
      <c r="VPD5"/>
      <c r="VPE5"/>
      <c r="VPF5"/>
      <c r="VPG5"/>
      <c r="VPH5"/>
      <c r="VPI5"/>
      <c r="VPJ5"/>
      <c r="VPK5"/>
      <c r="VPL5"/>
      <c r="VPM5"/>
      <c r="VPN5"/>
      <c r="VPO5"/>
      <c r="VPP5"/>
      <c r="VPQ5"/>
      <c r="VPR5"/>
      <c r="VPS5"/>
      <c r="VPT5"/>
      <c r="VPU5"/>
      <c r="VPV5"/>
      <c r="VPW5"/>
      <c r="VPX5"/>
      <c r="VPY5"/>
      <c r="VPZ5"/>
      <c r="VQA5"/>
      <c r="VQB5"/>
      <c r="VQC5"/>
      <c r="VQD5"/>
      <c r="VQE5"/>
      <c r="VQF5"/>
      <c r="VQG5"/>
      <c r="VQH5"/>
      <c r="VQI5"/>
      <c r="VQJ5"/>
      <c r="VQK5"/>
      <c r="VQL5"/>
      <c r="VQM5"/>
      <c r="VQN5"/>
      <c r="VQO5"/>
      <c r="VQP5"/>
      <c r="VQQ5"/>
      <c r="VQR5"/>
      <c r="VQS5"/>
      <c r="VQT5"/>
      <c r="VQU5"/>
      <c r="VQV5"/>
      <c r="VQW5"/>
      <c r="VQX5"/>
      <c r="VQY5"/>
      <c r="VQZ5"/>
      <c r="VRA5"/>
      <c r="VRB5"/>
      <c r="VRC5"/>
      <c r="VRD5"/>
      <c r="VRE5"/>
      <c r="VRF5"/>
      <c r="VRG5"/>
      <c r="VRH5"/>
      <c r="VRI5"/>
      <c r="VRJ5"/>
      <c r="VRK5"/>
      <c r="VRL5"/>
      <c r="VRM5"/>
      <c r="VRN5"/>
      <c r="VRO5"/>
      <c r="VRP5"/>
      <c r="VRQ5"/>
      <c r="VRR5"/>
      <c r="VRS5"/>
      <c r="VRT5"/>
      <c r="VRU5"/>
      <c r="VRV5"/>
      <c r="VRW5"/>
      <c r="VRX5"/>
      <c r="VRY5"/>
      <c r="VRZ5"/>
      <c r="VSA5"/>
      <c r="VSB5"/>
      <c r="VSC5"/>
      <c r="VSD5"/>
      <c r="VSE5"/>
      <c r="VSF5"/>
      <c r="VSG5"/>
      <c r="VSH5"/>
      <c r="VSI5"/>
      <c r="VSJ5"/>
      <c r="VSK5"/>
      <c r="VSL5"/>
      <c r="VSM5"/>
      <c r="VSN5"/>
      <c r="VSO5"/>
      <c r="VSP5"/>
      <c r="VSQ5"/>
      <c r="VSR5"/>
      <c r="VSS5"/>
      <c r="VST5"/>
      <c r="VSU5"/>
      <c r="VSV5"/>
      <c r="VSW5"/>
      <c r="VSX5"/>
      <c r="VSY5"/>
      <c r="VSZ5"/>
      <c r="VTA5"/>
      <c r="VTB5"/>
      <c r="VTC5"/>
      <c r="VTD5"/>
      <c r="VTE5"/>
      <c r="VTF5"/>
      <c r="VTG5"/>
      <c r="VTH5"/>
      <c r="VTI5"/>
      <c r="VTJ5"/>
      <c r="VTK5"/>
      <c r="VTL5"/>
      <c r="VTM5"/>
      <c r="VTN5"/>
      <c r="VTO5"/>
      <c r="VTP5"/>
      <c r="VTQ5"/>
      <c r="VTR5"/>
      <c r="VTS5"/>
      <c r="VTT5"/>
      <c r="VTU5"/>
      <c r="VTV5"/>
      <c r="VTW5"/>
      <c r="VTX5"/>
      <c r="VTY5"/>
      <c r="VTZ5"/>
      <c r="VUA5"/>
      <c r="VUB5"/>
      <c r="VUC5"/>
      <c r="VUD5"/>
      <c r="VUE5"/>
      <c r="VUF5"/>
      <c r="VUG5"/>
      <c r="VUH5"/>
      <c r="VUI5"/>
      <c r="VUJ5"/>
      <c r="VUK5"/>
      <c r="VUL5"/>
      <c r="VUM5"/>
      <c r="VUN5"/>
      <c r="VUO5"/>
      <c r="VUP5"/>
      <c r="VUQ5"/>
      <c r="VUR5"/>
      <c r="VUS5"/>
      <c r="VUT5"/>
      <c r="VUU5"/>
      <c r="VUV5"/>
      <c r="VUW5"/>
      <c r="VUX5"/>
      <c r="VUY5"/>
      <c r="VUZ5"/>
      <c r="VVA5"/>
      <c r="VVB5"/>
      <c r="VVC5"/>
      <c r="VVD5"/>
      <c r="VVE5"/>
      <c r="VVF5"/>
      <c r="VVG5"/>
      <c r="VVH5"/>
      <c r="VVI5"/>
      <c r="VVJ5"/>
      <c r="VVK5"/>
      <c r="VVL5"/>
      <c r="VVM5"/>
      <c r="VVN5"/>
      <c r="VVO5"/>
      <c r="VVP5"/>
      <c r="VVQ5"/>
      <c r="VVR5"/>
      <c r="VVS5"/>
      <c r="VVT5"/>
      <c r="VVU5"/>
      <c r="VVV5"/>
      <c r="VVW5"/>
      <c r="VVX5"/>
      <c r="VVY5"/>
      <c r="VVZ5"/>
      <c r="VWA5"/>
      <c r="VWB5"/>
      <c r="VWC5"/>
      <c r="VWD5"/>
      <c r="VWE5"/>
      <c r="VWF5"/>
      <c r="VWG5"/>
      <c r="VWH5"/>
      <c r="VWI5"/>
      <c r="VWJ5"/>
      <c r="VWK5"/>
      <c r="VWL5"/>
      <c r="VWM5"/>
      <c r="VWN5"/>
      <c r="VWO5"/>
      <c r="VWP5"/>
      <c r="VWQ5"/>
      <c r="VWR5"/>
      <c r="VWS5"/>
      <c r="VWT5"/>
      <c r="VWU5"/>
      <c r="VWV5"/>
      <c r="VWW5"/>
      <c r="VWX5"/>
      <c r="VWY5"/>
      <c r="VWZ5"/>
      <c r="VXA5"/>
      <c r="VXB5"/>
      <c r="VXC5"/>
      <c r="VXD5"/>
      <c r="VXE5"/>
      <c r="VXF5"/>
      <c r="VXG5"/>
      <c r="VXH5"/>
      <c r="VXI5"/>
      <c r="VXJ5"/>
      <c r="VXK5"/>
      <c r="VXL5"/>
      <c r="VXM5"/>
      <c r="VXN5"/>
      <c r="VXO5"/>
      <c r="VXP5"/>
      <c r="VXQ5"/>
      <c r="VXR5"/>
      <c r="VXS5"/>
      <c r="VXT5"/>
      <c r="VXU5"/>
      <c r="VXV5"/>
      <c r="VXW5"/>
      <c r="VXX5"/>
      <c r="VXY5"/>
      <c r="VXZ5"/>
      <c r="VYA5"/>
      <c r="VYB5"/>
      <c r="VYC5"/>
      <c r="VYD5"/>
      <c r="VYE5"/>
      <c r="VYF5"/>
      <c r="VYG5"/>
      <c r="VYH5"/>
      <c r="VYI5"/>
      <c r="VYJ5"/>
      <c r="VYK5"/>
      <c r="VYL5"/>
      <c r="VYM5"/>
      <c r="VYN5"/>
      <c r="VYO5"/>
      <c r="VYP5"/>
      <c r="VYQ5"/>
      <c r="VYR5"/>
      <c r="VYS5"/>
      <c r="VYT5"/>
      <c r="VYU5"/>
      <c r="VYV5"/>
      <c r="VYW5"/>
      <c r="VYX5"/>
      <c r="VYY5"/>
      <c r="VYZ5"/>
      <c r="VZA5"/>
      <c r="VZB5"/>
      <c r="VZC5"/>
      <c r="VZD5"/>
      <c r="VZE5"/>
      <c r="VZF5"/>
      <c r="VZG5"/>
      <c r="VZH5"/>
      <c r="VZI5"/>
      <c r="VZJ5"/>
      <c r="VZK5"/>
      <c r="VZL5"/>
      <c r="VZM5"/>
      <c r="VZN5"/>
      <c r="VZO5"/>
      <c r="VZP5"/>
      <c r="VZQ5"/>
      <c r="VZR5"/>
      <c r="VZS5"/>
      <c r="VZT5"/>
      <c r="VZU5"/>
      <c r="VZV5"/>
      <c r="VZW5"/>
      <c r="VZX5"/>
      <c r="VZY5"/>
      <c r="VZZ5"/>
      <c r="WAA5"/>
      <c r="WAB5"/>
      <c r="WAC5"/>
      <c r="WAD5"/>
      <c r="WAE5"/>
      <c r="WAF5"/>
      <c r="WAG5"/>
      <c r="WAH5"/>
      <c r="WAI5"/>
      <c r="WAJ5"/>
      <c r="WAK5"/>
      <c r="WAL5"/>
      <c r="WAM5"/>
      <c r="WAN5"/>
      <c r="WAO5"/>
      <c r="WAP5"/>
      <c r="WAQ5"/>
      <c r="WAR5"/>
      <c r="WAS5"/>
      <c r="WAT5"/>
      <c r="WAU5"/>
      <c r="WAV5"/>
      <c r="WAW5"/>
      <c r="WAX5"/>
      <c r="WAY5"/>
      <c r="WAZ5"/>
      <c r="WBA5"/>
      <c r="WBB5"/>
      <c r="WBC5"/>
      <c r="WBD5"/>
      <c r="WBE5"/>
      <c r="WBF5"/>
      <c r="WBG5"/>
      <c r="WBH5"/>
      <c r="WBI5"/>
      <c r="WBJ5"/>
      <c r="WBK5"/>
      <c r="WBL5"/>
      <c r="WBM5"/>
      <c r="WBN5"/>
      <c r="WBO5"/>
      <c r="WBP5"/>
      <c r="WBQ5"/>
      <c r="WBR5"/>
      <c r="WBS5"/>
      <c r="WBT5"/>
      <c r="WBU5"/>
      <c r="WBV5"/>
      <c r="WBW5"/>
      <c r="WBX5"/>
      <c r="WBY5"/>
      <c r="WBZ5"/>
      <c r="WCA5"/>
      <c r="WCB5"/>
      <c r="WCC5"/>
      <c r="WCD5"/>
      <c r="WCE5"/>
      <c r="WCF5"/>
      <c r="WCG5"/>
      <c r="WCH5"/>
      <c r="WCI5"/>
      <c r="WCJ5"/>
      <c r="WCK5"/>
      <c r="WCL5"/>
      <c r="WCM5"/>
      <c r="WCN5"/>
      <c r="WCO5"/>
      <c r="WCP5"/>
      <c r="WCQ5"/>
      <c r="WCR5"/>
      <c r="WCS5"/>
      <c r="WCT5"/>
      <c r="WCU5"/>
      <c r="WCV5"/>
      <c r="WCW5"/>
      <c r="WCX5"/>
      <c r="WCY5"/>
      <c r="WCZ5"/>
      <c r="WDA5"/>
      <c r="WDB5"/>
      <c r="WDC5"/>
      <c r="WDD5"/>
      <c r="WDE5"/>
      <c r="WDF5"/>
      <c r="WDG5"/>
      <c r="WDH5"/>
      <c r="WDI5"/>
      <c r="WDJ5"/>
      <c r="WDK5"/>
      <c r="WDL5"/>
      <c r="WDM5"/>
      <c r="WDN5"/>
      <c r="WDO5"/>
      <c r="WDP5"/>
      <c r="WDQ5"/>
      <c r="WDR5"/>
      <c r="WDS5"/>
      <c r="WDT5"/>
      <c r="WDU5"/>
      <c r="WDV5"/>
      <c r="WDW5"/>
      <c r="WDX5"/>
      <c r="WDY5"/>
      <c r="WDZ5"/>
      <c r="WEA5"/>
      <c r="WEB5"/>
      <c r="WEC5"/>
      <c r="WED5"/>
      <c r="WEE5"/>
      <c r="WEF5"/>
      <c r="WEG5"/>
      <c r="WEH5"/>
      <c r="WEI5"/>
      <c r="WEJ5"/>
      <c r="WEK5"/>
      <c r="WEL5"/>
      <c r="WEM5"/>
      <c r="WEN5"/>
      <c r="WEO5"/>
      <c r="WEP5"/>
      <c r="WEQ5"/>
      <c r="WER5"/>
      <c r="WES5"/>
      <c r="WET5"/>
      <c r="WEU5"/>
      <c r="WEV5"/>
      <c r="WEW5"/>
      <c r="WEX5"/>
      <c r="WEY5"/>
      <c r="WEZ5"/>
      <c r="WFA5"/>
      <c r="WFB5"/>
      <c r="WFC5"/>
      <c r="WFD5"/>
      <c r="WFE5"/>
      <c r="WFF5"/>
      <c r="WFG5"/>
      <c r="WFH5"/>
      <c r="WFI5"/>
      <c r="WFJ5"/>
      <c r="WFK5"/>
      <c r="WFL5"/>
      <c r="WFM5"/>
      <c r="WFN5"/>
      <c r="WFO5"/>
      <c r="WFP5"/>
      <c r="WFQ5"/>
      <c r="WFR5"/>
      <c r="WFS5"/>
      <c r="WFT5"/>
      <c r="WFU5"/>
      <c r="WFV5"/>
      <c r="WFW5"/>
      <c r="WFX5"/>
      <c r="WFY5"/>
      <c r="WFZ5"/>
      <c r="WGA5"/>
      <c r="WGB5"/>
      <c r="WGC5"/>
      <c r="WGD5"/>
      <c r="WGE5"/>
      <c r="WGF5"/>
      <c r="WGG5"/>
      <c r="WGH5"/>
      <c r="WGI5"/>
      <c r="WGJ5"/>
      <c r="WGK5"/>
      <c r="WGL5"/>
      <c r="WGM5"/>
      <c r="WGN5"/>
      <c r="WGO5"/>
      <c r="WGP5"/>
      <c r="WGQ5"/>
      <c r="WGR5"/>
      <c r="WGS5"/>
      <c r="WGT5"/>
      <c r="WGU5"/>
      <c r="WGV5"/>
      <c r="WGW5"/>
      <c r="WGX5"/>
      <c r="WGY5"/>
      <c r="WGZ5"/>
      <c r="WHA5"/>
      <c r="WHB5"/>
      <c r="WHC5"/>
      <c r="WHD5"/>
      <c r="WHE5"/>
      <c r="WHF5"/>
      <c r="WHG5"/>
      <c r="WHH5"/>
      <c r="WHI5"/>
      <c r="WHJ5"/>
      <c r="WHK5"/>
      <c r="WHL5"/>
      <c r="WHM5"/>
      <c r="WHN5"/>
      <c r="WHO5"/>
      <c r="WHP5"/>
      <c r="WHQ5"/>
      <c r="WHR5"/>
      <c r="WHS5"/>
      <c r="WHT5"/>
      <c r="WHU5"/>
      <c r="WHV5"/>
      <c r="WHW5"/>
      <c r="WHX5"/>
      <c r="WHY5"/>
      <c r="WHZ5"/>
      <c r="WIA5"/>
      <c r="WIB5"/>
      <c r="WIC5"/>
      <c r="WID5"/>
      <c r="WIE5"/>
      <c r="WIF5"/>
      <c r="WIG5"/>
      <c r="WIH5"/>
      <c r="WII5"/>
      <c r="WIJ5"/>
      <c r="WIK5"/>
      <c r="WIL5"/>
      <c r="WIM5"/>
      <c r="WIN5"/>
      <c r="WIO5"/>
      <c r="WIP5"/>
      <c r="WIQ5"/>
      <c r="WIR5"/>
      <c r="WIS5"/>
      <c r="WIT5"/>
      <c r="WIU5"/>
      <c r="WIV5"/>
      <c r="WIW5"/>
      <c r="WIX5"/>
      <c r="WIY5"/>
      <c r="WIZ5"/>
      <c r="WJA5"/>
      <c r="WJB5"/>
      <c r="WJC5"/>
      <c r="WJD5"/>
      <c r="WJE5"/>
      <c r="WJF5"/>
      <c r="WJG5"/>
      <c r="WJH5"/>
      <c r="WJI5"/>
      <c r="WJJ5"/>
      <c r="WJK5"/>
      <c r="WJL5"/>
      <c r="WJM5"/>
      <c r="WJN5"/>
      <c r="WJO5"/>
      <c r="WJP5"/>
      <c r="WJQ5"/>
      <c r="WJR5"/>
      <c r="WJS5"/>
      <c r="WJT5"/>
      <c r="WJU5"/>
      <c r="WJV5"/>
      <c r="WJW5"/>
      <c r="WJX5"/>
      <c r="WJY5"/>
      <c r="WJZ5"/>
      <c r="WKA5"/>
      <c r="WKB5"/>
      <c r="WKC5"/>
      <c r="WKD5"/>
      <c r="WKE5"/>
      <c r="WKF5"/>
      <c r="WKG5"/>
      <c r="WKH5"/>
      <c r="WKI5"/>
      <c r="WKJ5"/>
      <c r="WKK5"/>
      <c r="WKL5"/>
      <c r="WKM5"/>
      <c r="WKN5"/>
      <c r="WKO5"/>
      <c r="WKP5"/>
      <c r="WKQ5"/>
      <c r="WKR5"/>
      <c r="WKS5"/>
      <c r="WKT5"/>
      <c r="WKU5"/>
      <c r="WKV5"/>
      <c r="WKW5"/>
      <c r="WKX5"/>
      <c r="WKY5"/>
      <c r="WKZ5"/>
      <c r="WLA5"/>
      <c r="WLB5"/>
      <c r="WLC5"/>
      <c r="WLD5"/>
      <c r="WLE5"/>
      <c r="WLF5"/>
      <c r="WLG5"/>
      <c r="WLH5"/>
      <c r="WLI5"/>
      <c r="WLJ5"/>
      <c r="WLK5"/>
      <c r="WLL5"/>
      <c r="WLM5"/>
      <c r="WLN5"/>
      <c r="WLO5"/>
      <c r="WLP5"/>
      <c r="WLQ5"/>
      <c r="WLR5"/>
      <c r="WLS5"/>
      <c r="WLT5"/>
      <c r="WLU5"/>
      <c r="WLV5"/>
      <c r="WLW5"/>
      <c r="WLX5"/>
      <c r="WLY5"/>
      <c r="WLZ5"/>
      <c r="WMA5"/>
      <c r="WMB5"/>
      <c r="WMC5"/>
      <c r="WMD5"/>
      <c r="WME5"/>
      <c r="WMF5"/>
      <c r="WMG5"/>
      <c r="WMH5"/>
      <c r="WMI5"/>
      <c r="WMJ5"/>
      <c r="WMK5"/>
      <c r="WML5"/>
      <c r="WMM5"/>
      <c r="WMN5"/>
      <c r="WMO5"/>
      <c r="WMP5"/>
      <c r="WMQ5"/>
      <c r="WMR5"/>
      <c r="WMS5"/>
      <c r="WMT5"/>
      <c r="WMU5"/>
      <c r="WMV5"/>
      <c r="WMW5"/>
      <c r="WMX5"/>
      <c r="WMY5"/>
      <c r="WMZ5"/>
      <c r="WNA5"/>
      <c r="WNB5"/>
      <c r="WNC5"/>
      <c r="WND5"/>
      <c r="WNE5"/>
      <c r="WNF5"/>
      <c r="WNG5"/>
      <c r="WNH5"/>
      <c r="WNI5"/>
      <c r="WNJ5"/>
      <c r="WNK5"/>
      <c r="WNL5"/>
      <c r="WNM5"/>
      <c r="WNN5"/>
      <c r="WNO5"/>
      <c r="WNP5"/>
      <c r="WNQ5"/>
      <c r="WNR5"/>
      <c r="WNS5"/>
      <c r="WNT5"/>
      <c r="WNU5"/>
      <c r="WNV5"/>
      <c r="WNW5"/>
      <c r="WNX5"/>
      <c r="WNY5"/>
      <c r="WNZ5"/>
      <c r="WOA5"/>
      <c r="WOB5"/>
      <c r="WOC5"/>
      <c r="WOD5"/>
      <c r="WOE5"/>
      <c r="WOF5"/>
      <c r="WOG5"/>
      <c r="WOH5"/>
      <c r="WOI5"/>
      <c r="WOJ5"/>
      <c r="WOK5"/>
      <c r="WOL5"/>
      <c r="WOM5"/>
      <c r="WON5"/>
      <c r="WOO5"/>
      <c r="WOP5"/>
      <c r="WOQ5"/>
      <c r="WOR5"/>
      <c r="WOS5"/>
      <c r="WOT5"/>
      <c r="WOU5"/>
      <c r="WOV5"/>
      <c r="WOW5"/>
      <c r="WOX5"/>
      <c r="WOY5"/>
      <c r="WOZ5"/>
      <c r="WPA5"/>
      <c r="WPB5"/>
      <c r="WPC5"/>
      <c r="WPD5"/>
      <c r="WPE5"/>
      <c r="WPF5"/>
      <c r="WPG5"/>
      <c r="WPH5"/>
      <c r="WPI5"/>
      <c r="WPJ5"/>
      <c r="WPK5"/>
      <c r="WPL5"/>
      <c r="WPM5"/>
      <c r="WPN5"/>
      <c r="WPO5"/>
      <c r="WPP5"/>
      <c r="WPQ5"/>
      <c r="WPR5"/>
      <c r="WPS5"/>
      <c r="WPT5"/>
      <c r="WPU5"/>
      <c r="WPV5"/>
      <c r="WPW5"/>
      <c r="WPX5"/>
      <c r="WPY5"/>
      <c r="WPZ5"/>
      <c r="WQA5"/>
      <c r="WQB5"/>
      <c r="WQC5"/>
      <c r="WQD5"/>
      <c r="WQE5"/>
      <c r="WQF5"/>
      <c r="WQG5"/>
      <c r="WQH5"/>
      <c r="WQI5"/>
      <c r="WQJ5"/>
      <c r="WQK5"/>
      <c r="WQL5"/>
      <c r="WQM5"/>
      <c r="WQN5"/>
      <c r="WQO5"/>
      <c r="WQP5"/>
      <c r="WQQ5"/>
      <c r="WQR5"/>
      <c r="WQS5"/>
      <c r="WQT5"/>
      <c r="WQU5"/>
      <c r="WQV5"/>
      <c r="WQW5"/>
      <c r="WQX5"/>
      <c r="WQY5"/>
      <c r="WQZ5"/>
      <c r="WRA5"/>
      <c r="WRB5"/>
      <c r="WRC5"/>
      <c r="WRD5"/>
      <c r="WRE5"/>
      <c r="WRF5"/>
      <c r="WRG5"/>
      <c r="WRH5"/>
      <c r="WRI5"/>
      <c r="WRJ5"/>
      <c r="WRK5"/>
      <c r="WRL5"/>
      <c r="WRM5"/>
      <c r="WRN5"/>
      <c r="WRO5"/>
      <c r="WRP5"/>
      <c r="WRQ5"/>
      <c r="WRR5"/>
      <c r="WRS5"/>
      <c r="WRT5"/>
      <c r="WRU5"/>
      <c r="WRV5"/>
      <c r="WRW5"/>
      <c r="WRX5"/>
      <c r="WRY5"/>
      <c r="WRZ5"/>
      <c r="WSA5"/>
      <c r="WSB5"/>
      <c r="WSC5"/>
      <c r="WSD5"/>
      <c r="WSE5"/>
      <c r="WSF5"/>
      <c r="WSG5"/>
      <c r="WSH5"/>
      <c r="WSI5"/>
      <c r="WSJ5"/>
      <c r="WSK5"/>
      <c r="WSL5"/>
      <c r="WSM5"/>
      <c r="WSN5"/>
      <c r="WSO5"/>
      <c r="WSP5"/>
      <c r="WSQ5"/>
      <c r="WSR5"/>
      <c r="WSS5"/>
      <c r="WST5"/>
      <c r="WSU5"/>
      <c r="WSV5"/>
      <c r="WSW5"/>
      <c r="WSX5"/>
      <c r="WSY5"/>
      <c r="WSZ5"/>
      <c r="WTA5"/>
      <c r="WTB5"/>
      <c r="WTC5"/>
      <c r="WTD5"/>
      <c r="WTE5"/>
      <c r="WTF5"/>
      <c r="WTG5"/>
      <c r="WTH5"/>
      <c r="WTI5"/>
      <c r="WTJ5"/>
      <c r="WTK5"/>
      <c r="WTL5"/>
      <c r="WTM5"/>
      <c r="WTN5"/>
      <c r="WTO5"/>
      <c r="WTP5"/>
      <c r="WTQ5"/>
      <c r="WTR5"/>
      <c r="WTS5"/>
      <c r="WTT5"/>
      <c r="WTU5"/>
      <c r="WTV5"/>
      <c r="WTW5"/>
      <c r="WTX5"/>
      <c r="WTY5"/>
      <c r="WTZ5"/>
      <c r="WUA5"/>
      <c r="WUB5"/>
      <c r="WUC5"/>
      <c r="WUD5"/>
      <c r="WUE5"/>
      <c r="WUF5"/>
      <c r="WUG5"/>
      <c r="WUH5"/>
      <c r="WUI5"/>
      <c r="WUJ5"/>
      <c r="WUK5"/>
      <c r="WUL5"/>
      <c r="WUM5"/>
      <c r="WUN5"/>
      <c r="WUO5"/>
      <c r="WUP5"/>
      <c r="WUQ5"/>
      <c r="WUR5"/>
      <c r="WUS5"/>
      <c r="WUT5"/>
      <c r="WUU5"/>
      <c r="WUV5"/>
      <c r="WUW5"/>
      <c r="WUX5"/>
      <c r="WUY5"/>
      <c r="WUZ5"/>
      <c r="WVA5"/>
      <c r="WVB5"/>
      <c r="WVC5"/>
      <c r="WVD5"/>
      <c r="WVE5"/>
      <c r="WVF5"/>
      <c r="WVG5"/>
      <c r="WVH5"/>
      <c r="WVI5"/>
      <c r="WVJ5"/>
      <c r="WVK5"/>
      <c r="WVL5"/>
      <c r="WVM5"/>
      <c r="WVN5"/>
      <c r="WVO5"/>
      <c r="WVP5"/>
      <c r="WVQ5"/>
      <c r="WVR5"/>
      <c r="WVS5"/>
      <c r="WVT5"/>
      <c r="WVU5"/>
      <c r="WVV5"/>
      <c r="WVW5"/>
      <c r="WVX5"/>
      <c r="WVY5"/>
      <c r="WVZ5"/>
      <c r="WWA5"/>
      <c r="WWB5"/>
      <c r="WWC5"/>
      <c r="WWD5"/>
      <c r="WWE5"/>
      <c r="WWF5"/>
      <c r="WWG5"/>
      <c r="WWH5"/>
      <c r="WWI5"/>
      <c r="WWJ5"/>
      <c r="WWK5"/>
      <c r="WWL5"/>
      <c r="WWM5"/>
      <c r="WWN5"/>
      <c r="WWO5"/>
      <c r="WWP5"/>
      <c r="WWQ5"/>
      <c r="WWR5"/>
      <c r="WWS5"/>
      <c r="WWT5"/>
      <c r="WWU5"/>
      <c r="WWV5"/>
      <c r="WWW5"/>
      <c r="WWX5"/>
      <c r="WWY5"/>
      <c r="WWZ5"/>
      <c r="WXA5"/>
      <c r="WXB5"/>
      <c r="WXC5"/>
      <c r="WXD5"/>
      <c r="WXE5"/>
      <c r="WXF5"/>
      <c r="WXG5"/>
      <c r="WXH5"/>
      <c r="WXI5"/>
      <c r="WXJ5"/>
      <c r="WXK5"/>
      <c r="WXL5"/>
      <c r="WXM5"/>
      <c r="WXN5"/>
      <c r="WXO5"/>
      <c r="WXP5"/>
      <c r="WXQ5"/>
      <c r="WXR5"/>
      <c r="WXS5"/>
      <c r="WXT5"/>
      <c r="WXU5"/>
      <c r="WXV5"/>
      <c r="WXW5"/>
      <c r="WXX5"/>
      <c r="WXY5"/>
      <c r="WXZ5"/>
      <c r="WYA5"/>
      <c r="WYB5"/>
      <c r="WYC5"/>
      <c r="WYD5"/>
      <c r="WYE5"/>
      <c r="WYF5"/>
      <c r="WYG5"/>
      <c r="WYH5"/>
      <c r="WYI5"/>
      <c r="WYJ5"/>
      <c r="WYK5"/>
      <c r="WYL5"/>
      <c r="WYM5"/>
      <c r="WYN5"/>
      <c r="WYO5"/>
      <c r="WYP5"/>
      <c r="WYQ5"/>
      <c r="WYR5"/>
      <c r="WYS5"/>
      <c r="WYT5"/>
      <c r="WYU5"/>
      <c r="WYV5"/>
      <c r="WYW5"/>
      <c r="WYX5"/>
      <c r="WYY5"/>
      <c r="WYZ5"/>
      <c r="WZA5"/>
      <c r="WZB5"/>
      <c r="WZC5"/>
      <c r="WZD5"/>
      <c r="WZE5"/>
      <c r="WZF5"/>
      <c r="WZG5"/>
      <c r="WZH5"/>
      <c r="WZI5"/>
      <c r="WZJ5"/>
      <c r="WZK5"/>
      <c r="WZL5"/>
      <c r="WZM5"/>
      <c r="WZN5"/>
      <c r="WZO5"/>
      <c r="WZP5"/>
      <c r="WZQ5"/>
      <c r="WZR5"/>
      <c r="WZS5"/>
      <c r="WZT5"/>
      <c r="WZU5"/>
      <c r="WZV5"/>
      <c r="WZW5"/>
      <c r="WZX5"/>
      <c r="WZY5"/>
      <c r="WZZ5"/>
      <c r="XAA5"/>
      <c r="XAB5"/>
      <c r="XAC5"/>
      <c r="XAD5"/>
      <c r="XAE5"/>
      <c r="XAF5"/>
      <c r="XAG5"/>
      <c r="XAH5"/>
      <c r="XAI5"/>
      <c r="XAJ5"/>
      <c r="XAK5"/>
      <c r="XAL5"/>
      <c r="XAM5"/>
      <c r="XAN5"/>
      <c r="XAO5"/>
      <c r="XAP5"/>
      <c r="XAQ5"/>
      <c r="XAR5"/>
      <c r="XAS5"/>
      <c r="XAT5"/>
      <c r="XAU5"/>
      <c r="XAV5"/>
      <c r="XAW5"/>
      <c r="XAX5"/>
      <c r="XAY5"/>
      <c r="XAZ5"/>
      <c r="XBA5"/>
      <c r="XBB5"/>
      <c r="XBC5"/>
      <c r="XBD5"/>
      <c r="XBE5"/>
      <c r="XBF5"/>
      <c r="XBG5"/>
      <c r="XBH5"/>
      <c r="XBI5"/>
      <c r="XBJ5"/>
      <c r="XBK5"/>
      <c r="XBL5"/>
      <c r="XBM5"/>
      <c r="XBN5"/>
      <c r="XBO5"/>
      <c r="XBP5"/>
      <c r="XBQ5"/>
      <c r="XBR5"/>
      <c r="XBS5"/>
      <c r="XBT5"/>
      <c r="XBU5"/>
      <c r="XBV5"/>
      <c r="XBW5"/>
      <c r="XBX5"/>
      <c r="XBY5"/>
      <c r="XBZ5"/>
      <c r="XCA5"/>
      <c r="XCB5"/>
      <c r="XCC5"/>
      <c r="XCD5"/>
      <c r="XCE5"/>
      <c r="XCF5"/>
      <c r="XCG5"/>
      <c r="XCH5"/>
      <c r="XCI5"/>
      <c r="XCJ5"/>
      <c r="XCK5"/>
      <c r="XCL5"/>
      <c r="XCM5"/>
      <c r="XCN5"/>
      <c r="XCO5"/>
      <c r="XCP5"/>
      <c r="XCQ5"/>
      <c r="XCR5"/>
      <c r="XCS5"/>
      <c r="XCT5"/>
      <c r="XCU5"/>
      <c r="XCV5"/>
      <c r="XCW5"/>
      <c r="XCX5"/>
      <c r="XCY5"/>
      <c r="XCZ5"/>
      <c r="XDA5"/>
      <c r="XDB5"/>
      <c r="XDC5"/>
      <c r="XDD5"/>
      <c r="XDE5"/>
      <c r="XDF5"/>
      <c r="XDG5"/>
      <c r="XDH5"/>
      <c r="XDI5"/>
      <c r="XDJ5"/>
      <c r="XDK5"/>
      <c r="XDL5"/>
      <c r="XDM5"/>
      <c r="XDN5"/>
      <c r="XDO5"/>
      <c r="XDP5"/>
      <c r="XDQ5"/>
      <c r="XDR5"/>
      <c r="XDS5"/>
      <c r="XDT5"/>
      <c r="XDU5"/>
      <c r="XDV5"/>
      <c r="XDW5"/>
      <c r="XDX5"/>
      <c r="XDY5"/>
      <c r="XDZ5"/>
      <c r="XEA5"/>
      <c r="XEB5"/>
      <c r="XEC5"/>
      <c r="XED5"/>
      <c r="XEE5"/>
      <c r="XEF5"/>
      <c r="XEG5"/>
      <c r="XEH5"/>
      <c r="XEI5"/>
      <c r="XEJ5"/>
      <c r="XEK5"/>
      <c r="XEL5"/>
      <c r="XEM5"/>
      <c r="XEN5"/>
      <c r="XEO5"/>
      <c r="XEP5"/>
      <c r="XEQ5"/>
      <c r="XER5"/>
      <c r="XES5"/>
      <c r="XET5"/>
      <c r="XEU5"/>
      <c r="XEV5"/>
      <c r="XEW5"/>
      <c r="XEX5"/>
      <c r="XEY5"/>
      <c r="XEZ5"/>
      <c r="XFA5"/>
      <c r="XFB5"/>
      <c r="XFC5"/>
      <c r="XFD5"/>
    </row>
    <row r="6" spans="1:16384" s="40" customFormat="1" ht="15" customHeight="1" x14ac:dyDescent="0.25">
      <c r="A6" s="65" t="str">
        <f>'Sups'' Final Roster 0823-0829'!A6</f>
        <v>Pérez Zitzke Agustina</v>
      </c>
      <c r="B6" s="51" t="str">
        <f>'Sups'' Final Roster 0823-0829'!B6</f>
        <v>Vazquez Valladares Eduardo Alejandro</v>
      </c>
      <c r="C6" s="51"/>
      <c r="D6" s="51"/>
      <c r="E6" s="51"/>
      <c r="F6" s="51"/>
      <c r="G6" s="51"/>
      <c r="H6" s="51"/>
      <c r="I6" s="51"/>
      <c r="J6" s="51"/>
      <c r="K6" s="51"/>
      <c r="L6" s="51"/>
      <c r="M6" s="54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/>
      <c r="ANY6"/>
      <c r="ANZ6"/>
      <c r="AOA6"/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/>
      <c r="AOQ6"/>
      <c r="AOR6"/>
      <c r="AOS6"/>
      <c r="AOT6"/>
      <c r="AOU6"/>
      <c r="AOV6"/>
      <c r="AOW6"/>
      <c r="AOX6"/>
      <c r="AOY6"/>
      <c r="AOZ6"/>
      <c r="APA6"/>
      <c r="APB6"/>
      <c r="APC6"/>
      <c r="APD6"/>
      <c r="APE6"/>
      <c r="APF6"/>
      <c r="APG6"/>
      <c r="APH6"/>
      <c r="API6"/>
      <c r="APJ6"/>
      <c r="APK6"/>
      <c r="APL6"/>
      <c r="APM6"/>
      <c r="APN6"/>
      <c r="APO6"/>
      <c r="APP6"/>
      <c r="APQ6"/>
      <c r="APR6"/>
      <c r="APS6"/>
      <c r="APT6"/>
      <c r="APU6"/>
      <c r="APV6"/>
      <c r="APW6"/>
      <c r="APX6"/>
      <c r="APY6"/>
      <c r="APZ6"/>
      <c r="AQA6"/>
      <c r="AQB6"/>
      <c r="AQC6"/>
      <c r="AQD6"/>
      <c r="AQE6"/>
      <c r="AQF6"/>
      <c r="AQG6"/>
      <c r="AQH6"/>
      <c r="AQI6"/>
      <c r="AQJ6"/>
      <c r="AQK6"/>
      <c r="AQL6"/>
      <c r="AQM6"/>
      <c r="AQN6"/>
      <c r="AQO6"/>
      <c r="AQP6"/>
      <c r="AQQ6"/>
      <c r="AQR6"/>
      <c r="AQS6"/>
      <c r="AQT6"/>
      <c r="AQU6"/>
      <c r="AQV6"/>
      <c r="AQW6"/>
      <c r="AQX6"/>
      <c r="AQY6"/>
      <c r="AQZ6"/>
      <c r="ARA6"/>
      <c r="ARB6"/>
      <c r="ARC6"/>
      <c r="ARD6"/>
      <c r="ARE6"/>
      <c r="ARF6"/>
      <c r="ARG6"/>
      <c r="ARH6"/>
      <c r="ARI6"/>
      <c r="ARJ6"/>
      <c r="ARK6"/>
      <c r="ARL6"/>
      <c r="ARM6"/>
      <c r="ARN6"/>
      <c r="ARO6"/>
      <c r="ARP6"/>
      <c r="ARQ6"/>
      <c r="ARR6"/>
      <c r="ARS6"/>
      <c r="ART6"/>
      <c r="ARU6"/>
      <c r="ARV6"/>
      <c r="ARW6"/>
      <c r="ARX6"/>
      <c r="ARY6"/>
      <c r="ARZ6"/>
      <c r="ASA6"/>
      <c r="ASB6"/>
      <c r="ASC6"/>
      <c r="ASD6"/>
      <c r="ASE6"/>
      <c r="ASF6"/>
      <c r="ASG6"/>
      <c r="ASH6"/>
      <c r="ASI6"/>
      <c r="ASJ6"/>
      <c r="ASK6"/>
      <c r="ASL6"/>
      <c r="ASM6"/>
      <c r="ASN6"/>
      <c r="ASO6"/>
      <c r="ASP6"/>
      <c r="ASQ6"/>
      <c r="ASR6"/>
      <c r="ASS6"/>
      <c r="AST6"/>
      <c r="ASU6"/>
      <c r="ASV6"/>
      <c r="ASW6"/>
      <c r="ASX6"/>
      <c r="ASY6"/>
      <c r="ASZ6"/>
      <c r="ATA6"/>
      <c r="ATB6"/>
      <c r="ATC6"/>
      <c r="ATD6"/>
      <c r="ATE6"/>
      <c r="ATF6"/>
      <c r="ATG6"/>
      <c r="ATH6"/>
      <c r="ATI6"/>
      <c r="ATJ6"/>
      <c r="ATK6"/>
      <c r="ATL6"/>
      <c r="ATM6"/>
      <c r="ATN6"/>
      <c r="ATO6"/>
      <c r="ATP6"/>
      <c r="ATQ6"/>
      <c r="ATR6"/>
      <c r="ATS6"/>
      <c r="ATT6"/>
      <c r="ATU6"/>
      <c r="ATV6"/>
      <c r="ATW6"/>
      <c r="ATX6"/>
      <c r="ATY6"/>
      <c r="ATZ6"/>
      <c r="AUA6"/>
      <c r="AUB6"/>
      <c r="AUC6"/>
      <c r="AUD6"/>
      <c r="AUE6"/>
      <c r="AUF6"/>
      <c r="AUG6"/>
      <c r="AUH6"/>
      <c r="AUI6"/>
      <c r="AUJ6"/>
      <c r="AUK6"/>
      <c r="AUL6"/>
      <c r="AUM6"/>
      <c r="AUN6"/>
      <c r="AUO6"/>
      <c r="AUP6"/>
      <c r="AUQ6"/>
      <c r="AUR6"/>
      <c r="AUS6"/>
      <c r="AUT6"/>
      <c r="AUU6"/>
      <c r="AUV6"/>
      <c r="AUW6"/>
      <c r="AUX6"/>
      <c r="AUY6"/>
      <c r="AUZ6"/>
      <c r="AVA6"/>
      <c r="AVB6"/>
      <c r="AVC6"/>
      <c r="AVD6"/>
      <c r="AVE6"/>
      <c r="AVF6"/>
      <c r="AVG6"/>
      <c r="AVH6"/>
      <c r="AVI6"/>
      <c r="AVJ6"/>
      <c r="AVK6"/>
      <c r="AVL6"/>
      <c r="AVM6"/>
      <c r="AVN6"/>
      <c r="AVO6"/>
      <c r="AVP6"/>
      <c r="AVQ6"/>
      <c r="AVR6"/>
      <c r="AVS6"/>
      <c r="AVT6"/>
      <c r="AVU6"/>
      <c r="AVV6"/>
      <c r="AVW6"/>
      <c r="AVX6"/>
      <c r="AVY6"/>
      <c r="AVZ6"/>
      <c r="AWA6"/>
      <c r="AWB6"/>
      <c r="AWC6"/>
      <c r="AWD6"/>
      <c r="AWE6"/>
      <c r="AWF6"/>
      <c r="AWG6"/>
      <c r="AWH6"/>
      <c r="AWI6"/>
      <c r="AWJ6"/>
      <c r="AWK6"/>
      <c r="AWL6"/>
      <c r="AWM6"/>
      <c r="AWN6"/>
      <c r="AWO6"/>
      <c r="AWP6"/>
      <c r="AWQ6"/>
      <c r="AWR6"/>
      <c r="AWS6"/>
      <c r="AWT6"/>
      <c r="AWU6"/>
      <c r="AWV6"/>
      <c r="AWW6"/>
      <c r="AWX6"/>
      <c r="AWY6"/>
      <c r="AWZ6"/>
      <c r="AXA6"/>
      <c r="AXB6"/>
      <c r="AXC6"/>
      <c r="AXD6"/>
      <c r="AXE6"/>
      <c r="AXF6"/>
      <c r="AXG6"/>
      <c r="AXH6"/>
      <c r="AXI6"/>
      <c r="AXJ6"/>
      <c r="AXK6"/>
      <c r="AXL6"/>
      <c r="AXM6"/>
      <c r="AXN6"/>
      <c r="AXO6"/>
      <c r="AXP6"/>
      <c r="AXQ6"/>
      <c r="AXR6"/>
      <c r="AXS6"/>
      <c r="AXT6"/>
      <c r="AXU6"/>
      <c r="AXV6"/>
      <c r="AXW6"/>
      <c r="AXX6"/>
      <c r="AXY6"/>
      <c r="AXZ6"/>
      <c r="AYA6"/>
      <c r="AYB6"/>
      <c r="AYC6"/>
      <c r="AYD6"/>
      <c r="AYE6"/>
      <c r="AYF6"/>
      <c r="AYG6"/>
      <c r="AYH6"/>
      <c r="AYI6"/>
      <c r="AYJ6"/>
      <c r="AYK6"/>
      <c r="AYL6"/>
      <c r="AYM6"/>
      <c r="AYN6"/>
      <c r="AYO6"/>
      <c r="AYP6"/>
      <c r="AYQ6"/>
      <c r="AYR6"/>
      <c r="AYS6"/>
      <c r="AYT6"/>
      <c r="AYU6"/>
      <c r="AYV6"/>
      <c r="AYW6"/>
      <c r="AYX6"/>
      <c r="AYY6"/>
      <c r="AYZ6"/>
      <c r="AZA6"/>
      <c r="AZB6"/>
      <c r="AZC6"/>
      <c r="AZD6"/>
      <c r="AZE6"/>
      <c r="AZF6"/>
      <c r="AZG6"/>
      <c r="AZH6"/>
      <c r="AZI6"/>
      <c r="AZJ6"/>
      <c r="AZK6"/>
      <c r="AZL6"/>
      <c r="AZM6"/>
      <c r="AZN6"/>
      <c r="AZO6"/>
      <c r="AZP6"/>
      <c r="AZQ6"/>
      <c r="AZR6"/>
      <c r="AZS6"/>
      <c r="AZT6"/>
      <c r="AZU6"/>
      <c r="AZV6"/>
      <c r="AZW6"/>
      <c r="AZX6"/>
      <c r="AZY6"/>
      <c r="AZZ6"/>
      <c r="BAA6"/>
      <c r="BAB6"/>
      <c r="BAC6"/>
      <c r="BAD6"/>
      <c r="BAE6"/>
      <c r="BAF6"/>
      <c r="BAG6"/>
      <c r="BAH6"/>
      <c r="BAI6"/>
      <c r="BAJ6"/>
      <c r="BAK6"/>
      <c r="BAL6"/>
      <c r="BAM6"/>
      <c r="BAN6"/>
      <c r="BAO6"/>
      <c r="BAP6"/>
      <c r="BAQ6"/>
      <c r="BAR6"/>
      <c r="BAS6"/>
      <c r="BAT6"/>
      <c r="BAU6"/>
      <c r="BAV6"/>
      <c r="BAW6"/>
      <c r="BAX6"/>
      <c r="BAY6"/>
      <c r="BAZ6"/>
      <c r="BBA6"/>
      <c r="BBB6"/>
      <c r="BBC6"/>
      <c r="BBD6"/>
      <c r="BBE6"/>
      <c r="BBF6"/>
      <c r="BBG6"/>
      <c r="BBH6"/>
      <c r="BBI6"/>
      <c r="BBJ6"/>
      <c r="BBK6"/>
      <c r="BBL6"/>
      <c r="BBM6"/>
      <c r="BBN6"/>
      <c r="BBO6"/>
      <c r="BBP6"/>
      <c r="BBQ6"/>
      <c r="BBR6"/>
      <c r="BBS6"/>
      <c r="BBT6"/>
      <c r="BBU6"/>
      <c r="BBV6"/>
      <c r="BBW6"/>
      <c r="BBX6"/>
      <c r="BBY6"/>
      <c r="BBZ6"/>
      <c r="BCA6"/>
      <c r="BCB6"/>
      <c r="BCC6"/>
      <c r="BCD6"/>
      <c r="BCE6"/>
      <c r="BCF6"/>
      <c r="BCG6"/>
      <c r="BCH6"/>
      <c r="BCI6"/>
      <c r="BCJ6"/>
      <c r="BCK6"/>
      <c r="BCL6"/>
      <c r="BCM6"/>
      <c r="BCN6"/>
      <c r="BCO6"/>
      <c r="BCP6"/>
      <c r="BCQ6"/>
      <c r="BCR6"/>
      <c r="BCS6"/>
      <c r="BCT6"/>
      <c r="BCU6"/>
      <c r="BCV6"/>
      <c r="BCW6"/>
      <c r="BCX6"/>
      <c r="BCY6"/>
      <c r="BCZ6"/>
      <c r="BDA6"/>
      <c r="BDB6"/>
      <c r="BDC6"/>
      <c r="BDD6"/>
      <c r="BDE6"/>
      <c r="BDF6"/>
      <c r="BDG6"/>
      <c r="BDH6"/>
      <c r="BDI6"/>
      <c r="BDJ6"/>
      <c r="BDK6"/>
      <c r="BDL6"/>
      <c r="BDM6"/>
      <c r="BDN6"/>
      <c r="BDO6"/>
      <c r="BDP6"/>
      <c r="BDQ6"/>
      <c r="BDR6"/>
      <c r="BDS6"/>
      <c r="BDT6"/>
      <c r="BDU6"/>
      <c r="BDV6"/>
      <c r="BDW6"/>
      <c r="BDX6"/>
      <c r="BDY6"/>
      <c r="BDZ6"/>
      <c r="BEA6"/>
      <c r="BEB6"/>
      <c r="BEC6"/>
      <c r="BED6"/>
      <c r="BEE6"/>
      <c r="BEF6"/>
      <c r="BEG6"/>
      <c r="BEH6"/>
      <c r="BEI6"/>
      <c r="BEJ6"/>
      <c r="BEK6"/>
      <c r="BEL6"/>
      <c r="BEM6"/>
      <c r="BEN6"/>
      <c r="BEO6"/>
      <c r="BEP6"/>
      <c r="BEQ6"/>
      <c r="BER6"/>
      <c r="BES6"/>
      <c r="BET6"/>
      <c r="BEU6"/>
      <c r="BEV6"/>
      <c r="BEW6"/>
      <c r="BEX6"/>
      <c r="BEY6"/>
      <c r="BEZ6"/>
      <c r="BFA6"/>
      <c r="BFB6"/>
      <c r="BFC6"/>
      <c r="BFD6"/>
      <c r="BFE6"/>
      <c r="BFF6"/>
      <c r="BFG6"/>
      <c r="BFH6"/>
      <c r="BFI6"/>
      <c r="BFJ6"/>
      <c r="BFK6"/>
      <c r="BFL6"/>
      <c r="BFM6"/>
      <c r="BFN6"/>
      <c r="BFO6"/>
      <c r="BFP6"/>
      <c r="BFQ6"/>
      <c r="BFR6"/>
      <c r="BFS6"/>
      <c r="BFT6"/>
      <c r="BFU6"/>
      <c r="BFV6"/>
      <c r="BFW6"/>
      <c r="BFX6"/>
      <c r="BFY6"/>
      <c r="BFZ6"/>
      <c r="BGA6"/>
      <c r="BGB6"/>
      <c r="BGC6"/>
      <c r="BGD6"/>
      <c r="BGE6"/>
      <c r="BGF6"/>
      <c r="BGG6"/>
      <c r="BGH6"/>
      <c r="BGI6"/>
      <c r="BGJ6"/>
      <c r="BGK6"/>
      <c r="BGL6"/>
      <c r="BGM6"/>
      <c r="BGN6"/>
      <c r="BGO6"/>
      <c r="BGP6"/>
      <c r="BGQ6"/>
      <c r="BGR6"/>
      <c r="BGS6"/>
      <c r="BGT6"/>
      <c r="BGU6"/>
      <c r="BGV6"/>
      <c r="BGW6"/>
      <c r="BGX6"/>
      <c r="BGY6"/>
      <c r="BGZ6"/>
      <c r="BHA6"/>
      <c r="BHB6"/>
      <c r="BHC6"/>
      <c r="BHD6"/>
      <c r="BHE6"/>
      <c r="BHF6"/>
      <c r="BHG6"/>
      <c r="BHH6"/>
      <c r="BHI6"/>
      <c r="BHJ6"/>
      <c r="BHK6"/>
      <c r="BHL6"/>
      <c r="BHM6"/>
      <c r="BHN6"/>
      <c r="BHO6"/>
      <c r="BHP6"/>
      <c r="BHQ6"/>
      <c r="BHR6"/>
      <c r="BHS6"/>
      <c r="BHT6"/>
      <c r="BHU6"/>
      <c r="BHV6"/>
      <c r="BHW6"/>
      <c r="BHX6"/>
      <c r="BHY6"/>
      <c r="BHZ6"/>
      <c r="BIA6"/>
      <c r="BIB6"/>
      <c r="BIC6"/>
      <c r="BID6"/>
      <c r="BIE6"/>
      <c r="BIF6"/>
      <c r="BIG6"/>
      <c r="BIH6"/>
      <c r="BII6"/>
      <c r="BIJ6"/>
      <c r="BIK6"/>
      <c r="BIL6"/>
      <c r="BIM6"/>
      <c r="BIN6"/>
      <c r="BIO6"/>
      <c r="BIP6"/>
      <c r="BIQ6"/>
      <c r="BIR6"/>
      <c r="BIS6"/>
      <c r="BIT6"/>
      <c r="BIU6"/>
      <c r="BIV6"/>
      <c r="BIW6"/>
      <c r="BIX6"/>
      <c r="BIY6"/>
      <c r="BIZ6"/>
      <c r="BJA6"/>
      <c r="BJB6"/>
      <c r="BJC6"/>
      <c r="BJD6"/>
      <c r="BJE6"/>
      <c r="BJF6"/>
      <c r="BJG6"/>
      <c r="BJH6"/>
      <c r="BJI6"/>
      <c r="BJJ6"/>
      <c r="BJK6"/>
      <c r="BJL6"/>
      <c r="BJM6"/>
      <c r="BJN6"/>
      <c r="BJO6"/>
      <c r="BJP6"/>
      <c r="BJQ6"/>
      <c r="BJR6"/>
      <c r="BJS6"/>
      <c r="BJT6"/>
      <c r="BJU6"/>
      <c r="BJV6"/>
      <c r="BJW6"/>
      <c r="BJX6"/>
      <c r="BJY6"/>
      <c r="BJZ6"/>
      <c r="BKA6"/>
      <c r="BKB6"/>
      <c r="BKC6"/>
      <c r="BKD6"/>
      <c r="BKE6"/>
      <c r="BKF6"/>
      <c r="BKG6"/>
      <c r="BKH6"/>
      <c r="BKI6"/>
      <c r="BKJ6"/>
      <c r="BKK6"/>
      <c r="BKL6"/>
      <c r="BKM6"/>
      <c r="BKN6"/>
      <c r="BKO6"/>
      <c r="BKP6"/>
      <c r="BKQ6"/>
      <c r="BKR6"/>
      <c r="BKS6"/>
      <c r="BKT6"/>
      <c r="BKU6"/>
      <c r="BKV6"/>
      <c r="BKW6"/>
      <c r="BKX6"/>
      <c r="BKY6"/>
      <c r="BKZ6"/>
      <c r="BLA6"/>
      <c r="BLB6"/>
      <c r="BLC6"/>
      <c r="BLD6"/>
      <c r="BLE6"/>
      <c r="BLF6"/>
      <c r="BLG6"/>
      <c r="BLH6"/>
      <c r="BLI6"/>
      <c r="BLJ6"/>
      <c r="BLK6"/>
      <c r="BLL6"/>
      <c r="BLM6"/>
      <c r="BLN6"/>
      <c r="BLO6"/>
      <c r="BLP6"/>
      <c r="BLQ6"/>
      <c r="BLR6"/>
      <c r="BLS6"/>
      <c r="BLT6"/>
      <c r="BLU6"/>
      <c r="BLV6"/>
      <c r="BLW6"/>
      <c r="BLX6"/>
      <c r="BLY6"/>
      <c r="BLZ6"/>
      <c r="BMA6"/>
      <c r="BMB6"/>
      <c r="BMC6"/>
      <c r="BMD6"/>
      <c r="BME6"/>
      <c r="BMF6"/>
      <c r="BMG6"/>
      <c r="BMH6"/>
      <c r="BMI6"/>
      <c r="BMJ6"/>
      <c r="BMK6"/>
      <c r="BML6"/>
      <c r="BMM6"/>
      <c r="BMN6"/>
      <c r="BMO6"/>
      <c r="BMP6"/>
      <c r="BMQ6"/>
      <c r="BMR6"/>
      <c r="BMS6"/>
      <c r="BMT6"/>
      <c r="BMU6"/>
      <c r="BMV6"/>
      <c r="BMW6"/>
      <c r="BMX6"/>
      <c r="BMY6"/>
      <c r="BMZ6"/>
      <c r="BNA6"/>
      <c r="BNB6"/>
      <c r="BNC6"/>
      <c r="BND6"/>
      <c r="BNE6"/>
      <c r="BNF6"/>
      <c r="BNG6"/>
      <c r="BNH6"/>
      <c r="BNI6"/>
      <c r="BNJ6"/>
      <c r="BNK6"/>
      <c r="BNL6"/>
      <c r="BNM6"/>
      <c r="BNN6"/>
      <c r="BNO6"/>
      <c r="BNP6"/>
      <c r="BNQ6"/>
      <c r="BNR6"/>
      <c r="BNS6"/>
      <c r="BNT6"/>
      <c r="BNU6"/>
      <c r="BNV6"/>
      <c r="BNW6"/>
      <c r="BNX6"/>
      <c r="BNY6"/>
      <c r="BNZ6"/>
      <c r="BOA6"/>
      <c r="BOB6"/>
      <c r="BOC6"/>
      <c r="BOD6"/>
      <c r="BOE6"/>
      <c r="BOF6"/>
      <c r="BOG6"/>
      <c r="BOH6"/>
      <c r="BOI6"/>
      <c r="BOJ6"/>
      <c r="BOK6"/>
      <c r="BOL6"/>
      <c r="BOM6"/>
      <c r="BON6"/>
      <c r="BOO6"/>
      <c r="BOP6"/>
      <c r="BOQ6"/>
      <c r="BOR6"/>
      <c r="BOS6"/>
      <c r="BOT6"/>
      <c r="BOU6"/>
      <c r="BOV6"/>
      <c r="BOW6"/>
      <c r="BOX6"/>
      <c r="BOY6"/>
      <c r="BOZ6"/>
      <c r="BPA6"/>
      <c r="BPB6"/>
      <c r="BPC6"/>
      <c r="BPD6"/>
      <c r="BPE6"/>
      <c r="BPF6"/>
      <c r="BPG6"/>
      <c r="BPH6"/>
      <c r="BPI6"/>
      <c r="BPJ6"/>
      <c r="BPK6"/>
      <c r="BPL6"/>
      <c r="BPM6"/>
      <c r="BPN6"/>
      <c r="BPO6"/>
      <c r="BPP6"/>
      <c r="BPQ6"/>
      <c r="BPR6"/>
      <c r="BPS6"/>
      <c r="BPT6"/>
      <c r="BPU6"/>
      <c r="BPV6"/>
      <c r="BPW6"/>
      <c r="BPX6"/>
      <c r="BPY6"/>
      <c r="BPZ6"/>
      <c r="BQA6"/>
      <c r="BQB6"/>
      <c r="BQC6"/>
      <c r="BQD6"/>
      <c r="BQE6"/>
      <c r="BQF6"/>
      <c r="BQG6"/>
      <c r="BQH6"/>
      <c r="BQI6"/>
      <c r="BQJ6"/>
      <c r="BQK6"/>
      <c r="BQL6"/>
      <c r="BQM6"/>
      <c r="BQN6"/>
      <c r="BQO6"/>
      <c r="BQP6"/>
      <c r="BQQ6"/>
      <c r="BQR6"/>
      <c r="BQS6"/>
      <c r="BQT6"/>
      <c r="BQU6"/>
      <c r="BQV6"/>
      <c r="BQW6"/>
      <c r="BQX6"/>
      <c r="BQY6"/>
      <c r="BQZ6"/>
      <c r="BRA6"/>
      <c r="BRB6"/>
      <c r="BRC6"/>
      <c r="BRD6"/>
      <c r="BRE6"/>
      <c r="BRF6"/>
      <c r="BRG6"/>
      <c r="BRH6"/>
      <c r="BRI6"/>
      <c r="BRJ6"/>
      <c r="BRK6"/>
      <c r="BRL6"/>
      <c r="BRM6"/>
      <c r="BRN6"/>
      <c r="BRO6"/>
      <c r="BRP6"/>
      <c r="BRQ6"/>
      <c r="BRR6"/>
      <c r="BRS6"/>
      <c r="BRT6"/>
      <c r="BRU6"/>
      <c r="BRV6"/>
      <c r="BRW6"/>
      <c r="BRX6"/>
      <c r="BRY6"/>
      <c r="BRZ6"/>
      <c r="BSA6"/>
      <c r="BSB6"/>
      <c r="BSC6"/>
      <c r="BSD6"/>
      <c r="BSE6"/>
      <c r="BSF6"/>
      <c r="BSG6"/>
      <c r="BSH6"/>
      <c r="BSI6"/>
      <c r="BSJ6"/>
      <c r="BSK6"/>
      <c r="BSL6"/>
      <c r="BSM6"/>
      <c r="BSN6"/>
      <c r="BSO6"/>
      <c r="BSP6"/>
      <c r="BSQ6"/>
      <c r="BSR6"/>
      <c r="BSS6"/>
      <c r="BST6"/>
      <c r="BSU6"/>
      <c r="BSV6"/>
      <c r="BSW6"/>
      <c r="BSX6"/>
      <c r="BSY6"/>
      <c r="BSZ6"/>
      <c r="BTA6"/>
      <c r="BTB6"/>
      <c r="BTC6"/>
      <c r="BTD6"/>
      <c r="BTE6"/>
      <c r="BTF6"/>
      <c r="BTG6"/>
      <c r="BTH6"/>
      <c r="BTI6"/>
      <c r="BTJ6"/>
      <c r="BTK6"/>
      <c r="BTL6"/>
      <c r="BTM6"/>
      <c r="BTN6"/>
      <c r="BTO6"/>
      <c r="BTP6"/>
      <c r="BTQ6"/>
      <c r="BTR6"/>
      <c r="BTS6"/>
      <c r="BTT6"/>
      <c r="BTU6"/>
      <c r="BTV6"/>
      <c r="BTW6"/>
      <c r="BTX6"/>
      <c r="BTY6"/>
      <c r="BTZ6"/>
      <c r="BUA6"/>
      <c r="BUB6"/>
      <c r="BUC6"/>
      <c r="BUD6"/>
      <c r="BUE6"/>
      <c r="BUF6"/>
      <c r="BUG6"/>
      <c r="BUH6"/>
      <c r="BUI6"/>
      <c r="BUJ6"/>
      <c r="BUK6"/>
      <c r="BUL6"/>
      <c r="BUM6"/>
      <c r="BUN6"/>
      <c r="BUO6"/>
      <c r="BUP6"/>
      <c r="BUQ6"/>
      <c r="BUR6"/>
      <c r="BUS6"/>
      <c r="BUT6"/>
      <c r="BUU6"/>
      <c r="BUV6"/>
      <c r="BUW6"/>
      <c r="BUX6"/>
      <c r="BUY6"/>
      <c r="BUZ6"/>
      <c r="BVA6"/>
      <c r="BVB6"/>
      <c r="BVC6"/>
      <c r="BVD6"/>
      <c r="BVE6"/>
      <c r="BVF6"/>
      <c r="BVG6"/>
      <c r="BVH6"/>
      <c r="BVI6"/>
      <c r="BVJ6"/>
      <c r="BVK6"/>
      <c r="BVL6"/>
      <c r="BVM6"/>
      <c r="BVN6"/>
      <c r="BVO6"/>
      <c r="BVP6"/>
      <c r="BVQ6"/>
      <c r="BVR6"/>
      <c r="BVS6"/>
      <c r="BVT6"/>
      <c r="BVU6"/>
      <c r="BVV6"/>
      <c r="BVW6"/>
      <c r="BVX6"/>
      <c r="BVY6"/>
      <c r="BVZ6"/>
      <c r="BWA6"/>
      <c r="BWB6"/>
      <c r="BWC6"/>
      <c r="BWD6"/>
      <c r="BWE6"/>
      <c r="BWF6"/>
      <c r="BWG6"/>
      <c r="BWH6"/>
      <c r="BWI6"/>
      <c r="BWJ6"/>
      <c r="BWK6"/>
      <c r="BWL6"/>
      <c r="BWM6"/>
      <c r="BWN6"/>
      <c r="BWO6"/>
      <c r="BWP6"/>
      <c r="BWQ6"/>
      <c r="BWR6"/>
      <c r="BWS6"/>
      <c r="BWT6"/>
      <c r="BWU6"/>
      <c r="BWV6"/>
      <c r="BWW6"/>
      <c r="BWX6"/>
      <c r="BWY6"/>
      <c r="BWZ6"/>
      <c r="BXA6"/>
      <c r="BXB6"/>
      <c r="BXC6"/>
      <c r="BXD6"/>
      <c r="BXE6"/>
      <c r="BXF6"/>
      <c r="BXG6"/>
      <c r="BXH6"/>
      <c r="BXI6"/>
      <c r="BXJ6"/>
      <c r="BXK6"/>
      <c r="BXL6"/>
      <c r="BXM6"/>
      <c r="BXN6"/>
      <c r="BXO6"/>
      <c r="BXP6"/>
      <c r="BXQ6"/>
      <c r="BXR6"/>
      <c r="BXS6"/>
      <c r="BXT6"/>
      <c r="BXU6"/>
      <c r="BXV6"/>
      <c r="BXW6"/>
      <c r="BXX6"/>
      <c r="BXY6"/>
      <c r="BXZ6"/>
      <c r="BYA6"/>
      <c r="BYB6"/>
      <c r="BYC6"/>
      <c r="BYD6"/>
      <c r="BYE6"/>
      <c r="BYF6"/>
      <c r="BYG6"/>
      <c r="BYH6"/>
      <c r="BYI6"/>
      <c r="BYJ6"/>
      <c r="BYK6"/>
      <c r="BYL6"/>
      <c r="BYM6"/>
      <c r="BYN6"/>
      <c r="BYO6"/>
      <c r="BYP6"/>
      <c r="BYQ6"/>
      <c r="BYR6"/>
      <c r="BYS6"/>
      <c r="BYT6"/>
      <c r="BYU6"/>
      <c r="BYV6"/>
      <c r="BYW6"/>
      <c r="BYX6"/>
      <c r="BYY6"/>
      <c r="BYZ6"/>
      <c r="BZA6"/>
      <c r="BZB6"/>
      <c r="BZC6"/>
      <c r="BZD6"/>
      <c r="BZE6"/>
      <c r="BZF6"/>
      <c r="BZG6"/>
      <c r="BZH6"/>
      <c r="BZI6"/>
      <c r="BZJ6"/>
      <c r="BZK6"/>
      <c r="BZL6"/>
      <c r="BZM6"/>
      <c r="BZN6"/>
      <c r="BZO6"/>
      <c r="BZP6"/>
      <c r="BZQ6"/>
      <c r="BZR6"/>
      <c r="BZS6"/>
      <c r="BZT6"/>
      <c r="BZU6"/>
      <c r="BZV6"/>
      <c r="BZW6"/>
      <c r="BZX6"/>
      <c r="BZY6"/>
      <c r="BZZ6"/>
      <c r="CAA6"/>
      <c r="CAB6"/>
      <c r="CAC6"/>
      <c r="CAD6"/>
      <c r="CAE6"/>
      <c r="CAF6"/>
      <c r="CAG6"/>
      <c r="CAH6"/>
      <c r="CAI6"/>
      <c r="CAJ6"/>
      <c r="CAK6"/>
      <c r="CAL6"/>
      <c r="CAM6"/>
      <c r="CAN6"/>
      <c r="CAO6"/>
      <c r="CAP6"/>
      <c r="CAQ6"/>
      <c r="CAR6"/>
      <c r="CAS6"/>
      <c r="CAT6"/>
      <c r="CAU6"/>
      <c r="CAV6"/>
      <c r="CAW6"/>
      <c r="CAX6"/>
      <c r="CAY6"/>
      <c r="CAZ6"/>
      <c r="CBA6"/>
      <c r="CBB6"/>
      <c r="CBC6"/>
      <c r="CBD6"/>
      <c r="CBE6"/>
      <c r="CBF6"/>
      <c r="CBG6"/>
      <c r="CBH6"/>
      <c r="CBI6"/>
      <c r="CBJ6"/>
      <c r="CBK6"/>
      <c r="CBL6"/>
      <c r="CBM6"/>
      <c r="CBN6"/>
      <c r="CBO6"/>
      <c r="CBP6"/>
      <c r="CBQ6"/>
      <c r="CBR6"/>
      <c r="CBS6"/>
      <c r="CBT6"/>
      <c r="CBU6"/>
      <c r="CBV6"/>
      <c r="CBW6"/>
      <c r="CBX6"/>
      <c r="CBY6"/>
      <c r="CBZ6"/>
      <c r="CCA6"/>
      <c r="CCB6"/>
      <c r="CCC6"/>
      <c r="CCD6"/>
      <c r="CCE6"/>
      <c r="CCF6"/>
      <c r="CCG6"/>
      <c r="CCH6"/>
      <c r="CCI6"/>
      <c r="CCJ6"/>
      <c r="CCK6"/>
      <c r="CCL6"/>
      <c r="CCM6"/>
      <c r="CCN6"/>
      <c r="CCO6"/>
      <c r="CCP6"/>
      <c r="CCQ6"/>
      <c r="CCR6"/>
      <c r="CCS6"/>
      <c r="CCT6"/>
      <c r="CCU6"/>
      <c r="CCV6"/>
      <c r="CCW6"/>
      <c r="CCX6"/>
      <c r="CCY6"/>
      <c r="CCZ6"/>
      <c r="CDA6"/>
      <c r="CDB6"/>
      <c r="CDC6"/>
      <c r="CDD6"/>
      <c r="CDE6"/>
      <c r="CDF6"/>
      <c r="CDG6"/>
      <c r="CDH6"/>
      <c r="CDI6"/>
      <c r="CDJ6"/>
      <c r="CDK6"/>
      <c r="CDL6"/>
      <c r="CDM6"/>
      <c r="CDN6"/>
      <c r="CDO6"/>
      <c r="CDP6"/>
      <c r="CDQ6"/>
      <c r="CDR6"/>
      <c r="CDS6"/>
      <c r="CDT6"/>
      <c r="CDU6"/>
      <c r="CDV6"/>
      <c r="CDW6"/>
      <c r="CDX6"/>
      <c r="CDY6"/>
      <c r="CDZ6"/>
      <c r="CEA6"/>
      <c r="CEB6"/>
      <c r="CEC6"/>
      <c r="CED6"/>
      <c r="CEE6"/>
      <c r="CEF6"/>
      <c r="CEG6"/>
      <c r="CEH6"/>
      <c r="CEI6"/>
      <c r="CEJ6"/>
      <c r="CEK6"/>
      <c r="CEL6"/>
      <c r="CEM6"/>
      <c r="CEN6"/>
      <c r="CEO6"/>
      <c r="CEP6"/>
      <c r="CEQ6"/>
      <c r="CER6"/>
      <c r="CES6"/>
      <c r="CET6"/>
      <c r="CEU6"/>
      <c r="CEV6"/>
      <c r="CEW6"/>
      <c r="CEX6"/>
      <c r="CEY6"/>
      <c r="CEZ6"/>
      <c r="CFA6"/>
      <c r="CFB6"/>
      <c r="CFC6"/>
      <c r="CFD6"/>
      <c r="CFE6"/>
      <c r="CFF6"/>
      <c r="CFG6"/>
      <c r="CFH6"/>
      <c r="CFI6"/>
      <c r="CFJ6"/>
      <c r="CFK6"/>
      <c r="CFL6"/>
      <c r="CFM6"/>
      <c r="CFN6"/>
      <c r="CFO6"/>
      <c r="CFP6"/>
      <c r="CFQ6"/>
      <c r="CFR6"/>
      <c r="CFS6"/>
      <c r="CFT6"/>
      <c r="CFU6"/>
      <c r="CFV6"/>
      <c r="CFW6"/>
      <c r="CFX6"/>
      <c r="CFY6"/>
      <c r="CFZ6"/>
      <c r="CGA6"/>
      <c r="CGB6"/>
      <c r="CGC6"/>
      <c r="CGD6"/>
      <c r="CGE6"/>
      <c r="CGF6"/>
      <c r="CGG6"/>
      <c r="CGH6"/>
      <c r="CGI6"/>
      <c r="CGJ6"/>
      <c r="CGK6"/>
      <c r="CGL6"/>
      <c r="CGM6"/>
      <c r="CGN6"/>
      <c r="CGO6"/>
      <c r="CGP6"/>
      <c r="CGQ6"/>
      <c r="CGR6"/>
      <c r="CGS6"/>
      <c r="CGT6"/>
      <c r="CGU6"/>
      <c r="CGV6"/>
      <c r="CGW6"/>
      <c r="CGX6"/>
      <c r="CGY6"/>
      <c r="CGZ6"/>
      <c r="CHA6"/>
      <c r="CHB6"/>
      <c r="CHC6"/>
      <c r="CHD6"/>
      <c r="CHE6"/>
      <c r="CHF6"/>
      <c r="CHG6"/>
      <c r="CHH6"/>
      <c r="CHI6"/>
      <c r="CHJ6"/>
      <c r="CHK6"/>
      <c r="CHL6"/>
      <c r="CHM6"/>
      <c r="CHN6"/>
      <c r="CHO6"/>
      <c r="CHP6"/>
      <c r="CHQ6"/>
      <c r="CHR6"/>
      <c r="CHS6"/>
      <c r="CHT6"/>
      <c r="CHU6"/>
      <c r="CHV6"/>
      <c r="CHW6"/>
      <c r="CHX6"/>
      <c r="CHY6"/>
      <c r="CHZ6"/>
      <c r="CIA6"/>
      <c r="CIB6"/>
      <c r="CIC6"/>
      <c r="CID6"/>
      <c r="CIE6"/>
      <c r="CIF6"/>
      <c r="CIG6"/>
      <c r="CIH6"/>
      <c r="CII6"/>
      <c r="CIJ6"/>
      <c r="CIK6"/>
      <c r="CIL6"/>
      <c r="CIM6"/>
      <c r="CIN6"/>
      <c r="CIO6"/>
      <c r="CIP6"/>
      <c r="CIQ6"/>
      <c r="CIR6"/>
      <c r="CIS6"/>
      <c r="CIT6"/>
      <c r="CIU6"/>
      <c r="CIV6"/>
      <c r="CIW6"/>
      <c r="CIX6"/>
      <c r="CIY6"/>
      <c r="CIZ6"/>
      <c r="CJA6"/>
      <c r="CJB6"/>
      <c r="CJC6"/>
      <c r="CJD6"/>
      <c r="CJE6"/>
      <c r="CJF6"/>
      <c r="CJG6"/>
      <c r="CJH6"/>
      <c r="CJI6"/>
      <c r="CJJ6"/>
      <c r="CJK6"/>
      <c r="CJL6"/>
      <c r="CJM6"/>
      <c r="CJN6"/>
      <c r="CJO6"/>
      <c r="CJP6"/>
      <c r="CJQ6"/>
      <c r="CJR6"/>
      <c r="CJS6"/>
      <c r="CJT6"/>
      <c r="CJU6"/>
      <c r="CJV6"/>
      <c r="CJW6"/>
      <c r="CJX6"/>
      <c r="CJY6"/>
      <c r="CJZ6"/>
      <c r="CKA6"/>
      <c r="CKB6"/>
      <c r="CKC6"/>
      <c r="CKD6"/>
      <c r="CKE6"/>
      <c r="CKF6"/>
      <c r="CKG6"/>
      <c r="CKH6"/>
      <c r="CKI6"/>
      <c r="CKJ6"/>
      <c r="CKK6"/>
      <c r="CKL6"/>
      <c r="CKM6"/>
      <c r="CKN6"/>
      <c r="CKO6"/>
      <c r="CKP6"/>
      <c r="CKQ6"/>
      <c r="CKR6"/>
      <c r="CKS6"/>
      <c r="CKT6"/>
      <c r="CKU6"/>
      <c r="CKV6"/>
      <c r="CKW6"/>
      <c r="CKX6"/>
      <c r="CKY6"/>
      <c r="CKZ6"/>
      <c r="CLA6"/>
      <c r="CLB6"/>
      <c r="CLC6"/>
      <c r="CLD6"/>
      <c r="CLE6"/>
      <c r="CLF6"/>
      <c r="CLG6"/>
      <c r="CLH6"/>
      <c r="CLI6"/>
      <c r="CLJ6"/>
      <c r="CLK6"/>
      <c r="CLL6"/>
      <c r="CLM6"/>
      <c r="CLN6"/>
      <c r="CLO6"/>
      <c r="CLP6"/>
      <c r="CLQ6"/>
      <c r="CLR6"/>
      <c r="CLS6"/>
      <c r="CLT6"/>
      <c r="CLU6"/>
      <c r="CLV6"/>
      <c r="CLW6"/>
      <c r="CLX6"/>
      <c r="CLY6"/>
      <c r="CLZ6"/>
      <c r="CMA6"/>
      <c r="CMB6"/>
      <c r="CMC6"/>
      <c r="CMD6"/>
      <c r="CME6"/>
      <c r="CMF6"/>
      <c r="CMG6"/>
      <c r="CMH6"/>
      <c r="CMI6"/>
      <c r="CMJ6"/>
      <c r="CMK6"/>
      <c r="CML6"/>
      <c r="CMM6"/>
      <c r="CMN6"/>
      <c r="CMO6"/>
      <c r="CMP6"/>
      <c r="CMQ6"/>
      <c r="CMR6"/>
      <c r="CMS6"/>
      <c r="CMT6"/>
      <c r="CMU6"/>
      <c r="CMV6"/>
      <c r="CMW6"/>
      <c r="CMX6"/>
      <c r="CMY6"/>
      <c r="CMZ6"/>
      <c r="CNA6"/>
      <c r="CNB6"/>
      <c r="CNC6"/>
      <c r="CND6"/>
      <c r="CNE6"/>
      <c r="CNF6"/>
      <c r="CNG6"/>
      <c r="CNH6"/>
      <c r="CNI6"/>
      <c r="CNJ6"/>
      <c r="CNK6"/>
      <c r="CNL6"/>
      <c r="CNM6"/>
      <c r="CNN6"/>
      <c r="CNO6"/>
      <c r="CNP6"/>
      <c r="CNQ6"/>
      <c r="CNR6"/>
      <c r="CNS6"/>
      <c r="CNT6"/>
      <c r="CNU6"/>
      <c r="CNV6"/>
      <c r="CNW6"/>
      <c r="CNX6"/>
      <c r="CNY6"/>
      <c r="CNZ6"/>
      <c r="COA6"/>
      <c r="COB6"/>
      <c r="COC6"/>
      <c r="COD6"/>
      <c r="COE6"/>
      <c r="COF6"/>
      <c r="COG6"/>
      <c r="COH6"/>
      <c r="COI6"/>
      <c r="COJ6"/>
      <c r="COK6"/>
      <c r="COL6"/>
      <c r="COM6"/>
      <c r="CON6"/>
      <c r="COO6"/>
      <c r="COP6"/>
      <c r="COQ6"/>
      <c r="COR6"/>
      <c r="COS6"/>
      <c r="COT6"/>
      <c r="COU6"/>
      <c r="COV6"/>
      <c r="COW6"/>
      <c r="COX6"/>
      <c r="COY6"/>
      <c r="COZ6"/>
      <c r="CPA6"/>
      <c r="CPB6"/>
      <c r="CPC6"/>
      <c r="CPD6"/>
      <c r="CPE6"/>
      <c r="CPF6"/>
      <c r="CPG6"/>
      <c r="CPH6"/>
      <c r="CPI6"/>
      <c r="CPJ6"/>
      <c r="CPK6"/>
      <c r="CPL6"/>
      <c r="CPM6"/>
      <c r="CPN6"/>
      <c r="CPO6"/>
      <c r="CPP6"/>
      <c r="CPQ6"/>
      <c r="CPR6"/>
      <c r="CPS6"/>
      <c r="CPT6"/>
      <c r="CPU6"/>
      <c r="CPV6"/>
      <c r="CPW6"/>
      <c r="CPX6"/>
      <c r="CPY6"/>
      <c r="CPZ6"/>
      <c r="CQA6"/>
      <c r="CQB6"/>
      <c r="CQC6"/>
      <c r="CQD6"/>
      <c r="CQE6"/>
      <c r="CQF6"/>
      <c r="CQG6"/>
      <c r="CQH6"/>
      <c r="CQI6"/>
      <c r="CQJ6"/>
      <c r="CQK6"/>
      <c r="CQL6"/>
      <c r="CQM6"/>
      <c r="CQN6"/>
      <c r="CQO6"/>
      <c r="CQP6"/>
      <c r="CQQ6"/>
      <c r="CQR6"/>
      <c r="CQS6"/>
      <c r="CQT6"/>
      <c r="CQU6"/>
      <c r="CQV6"/>
      <c r="CQW6"/>
      <c r="CQX6"/>
      <c r="CQY6"/>
      <c r="CQZ6"/>
      <c r="CRA6"/>
      <c r="CRB6"/>
      <c r="CRC6"/>
      <c r="CRD6"/>
      <c r="CRE6"/>
      <c r="CRF6"/>
      <c r="CRG6"/>
      <c r="CRH6"/>
      <c r="CRI6"/>
      <c r="CRJ6"/>
      <c r="CRK6"/>
      <c r="CRL6"/>
      <c r="CRM6"/>
      <c r="CRN6"/>
      <c r="CRO6"/>
      <c r="CRP6"/>
      <c r="CRQ6"/>
      <c r="CRR6"/>
      <c r="CRS6"/>
      <c r="CRT6"/>
      <c r="CRU6"/>
      <c r="CRV6"/>
      <c r="CRW6"/>
      <c r="CRX6"/>
      <c r="CRY6"/>
      <c r="CRZ6"/>
      <c r="CSA6"/>
      <c r="CSB6"/>
      <c r="CSC6"/>
      <c r="CSD6"/>
      <c r="CSE6"/>
      <c r="CSF6"/>
      <c r="CSG6"/>
      <c r="CSH6"/>
      <c r="CSI6"/>
      <c r="CSJ6"/>
      <c r="CSK6"/>
      <c r="CSL6"/>
      <c r="CSM6"/>
      <c r="CSN6"/>
      <c r="CSO6"/>
      <c r="CSP6"/>
      <c r="CSQ6"/>
      <c r="CSR6"/>
      <c r="CSS6"/>
      <c r="CST6"/>
      <c r="CSU6"/>
      <c r="CSV6"/>
      <c r="CSW6"/>
      <c r="CSX6"/>
      <c r="CSY6"/>
      <c r="CSZ6"/>
      <c r="CTA6"/>
      <c r="CTB6"/>
      <c r="CTC6"/>
      <c r="CTD6"/>
      <c r="CTE6"/>
      <c r="CTF6"/>
      <c r="CTG6"/>
      <c r="CTH6"/>
      <c r="CTI6"/>
      <c r="CTJ6"/>
      <c r="CTK6"/>
      <c r="CTL6"/>
      <c r="CTM6"/>
      <c r="CTN6"/>
      <c r="CTO6"/>
      <c r="CTP6"/>
      <c r="CTQ6"/>
      <c r="CTR6"/>
      <c r="CTS6"/>
      <c r="CTT6"/>
      <c r="CTU6"/>
      <c r="CTV6"/>
      <c r="CTW6"/>
      <c r="CTX6"/>
      <c r="CTY6"/>
      <c r="CTZ6"/>
      <c r="CUA6"/>
      <c r="CUB6"/>
      <c r="CUC6"/>
      <c r="CUD6"/>
      <c r="CUE6"/>
      <c r="CUF6"/>
      <c r="CUG6"/>
      <c r="CUH6"/>
      <c r="CUI6"/>
      <c r="CUJ6"/>
      <c r="CUK6"/>
      <c r="CUL6"/>
      <c r="CUM6"/>
      <c r="CUN6"/>
      <c r="CUO6"/>
      <c r="CUP6"/>
      <c r="CUQ6"/>
      <c r="CUR6"/>
      <c r="CUS6"/>
      <c r="CUT6"/>
      <c r="CUU6"/>
      <c r="CUV6"/>
      <c r="CUW6"/>
      <c r="CUX6"/>
      <c r="CUY6"/>
      <c r="CUZ6"/>
      <c r="CVA6"/>
      <c r="CVB6"/>
      <c r="CVC6"/>
      <c r="CVD6"/>
      <c r="CVE6"/>
      <c r="CVF6"/>
      <c r="CVG6"/>
      <c r="CVH6"/>
      <c r="CVI6"/>
      <c r="CVJ6"/>
      <c r="CVK6"/>
      <c r="CVL6"/>
      <c r="CVM6"/>
      <c r="CVN6"/>
      <c r="CVO6"/>
      <c r="CVP6"/>
      <c r="CVQ6"/>
      <c r="CVR6"/>
      <c r="CVS6"/>
      <c r="CVT6"/>
      <c r="CVU6"/>
      <c r="CVV6"/>
      <c r="CVW6"/>
      <c r="CVX6"/>
      <c r="CVY6"/>
      <c r="CVZ6"/>
      <c r="CWA6"/>
      <c r="CWB6"/>
      <c r="CWC6"/>
      <c r="CWD6"/>
      <c r="CWE6"/>
      <c r="CWF6"/>
      <c r="CWG6"/>
      <c r="CWH6"/>
      <c r="CWI6"/>
      <c r="CWJ6"/>
      <c r="CWK6"/>
      <c r="CWL6"/>
      <c r="CWM6"/>
      <c r="CWN6"/>
      <c r="CWO6"/>
      <c r="CWP6"/>
      <c r="CWQ6"/>
      <c r="CWR6"/>
      <c r="CWS6"/>
      <c r="CWT6"/>
      <c r="CWU6"/>
      <c r="CWV6"/>
      <c r="CWW6"/>
      <c r="CWX6"/>
      <c r="CWY6"/>
      <c r="CWZ6"/>
      <c r="CXA6"/>
      <c r="CXB6"/>
      <c r="CXC6"/>
      <c r="CXD6"/>
      <c r="CXE6"/>
      <c r="CXF6"/>
      <c r="CXG6"/>
      <c r="CXH6"/>
      <c r="CXI6"/>
      <c r="CXJ6"/>
      <c r="CXK6"/>
      <c r="CXL6"/>
      <c r="CXM6"/>
      <c r="CXN6"/>
      <c r="CXO6"/>
      <c r="CXP6"/>
      <c r="CXQ6"/>
      <c r="CXR6"/>
      <c r="CXS6"/>
      <c r="CXT6"/>
      <c r="CXU6"/>
      <c r="CXV6"/>
      <c r="CXW6"/>
      <c r="CXX6"/>
      <c r="CXY6"/>
      <c r="CXZ6"/>
      <c r="CYA6"/>
      <c r="CYB6"/>
      <c r="CYC6"/>
      <c r="CYD6"/>
      <c r="CYE6"/>
      <c r="CYF6"/>
      <c r="CYG6"/>
      <c r="CYH6"/>
      <c r="CYI6"/>
      <c r="CYJ6"/>
      <c r="CYK6"/>
      <c r="CYL6"/>
      <c r="CYM6"/>
      <c r="CYN6"/>
      <c r="CYO6"/>
      <c r="CYP6"/>
      <c r="CYQ6"/>
      <c r="CYR6"/>
      <c r="CYS6"/>
      <c r="CYT6"/>
      <c r="CYU6"/>
      <c r="CYV6"/>
      <c r="CYW6"/>
      <c r="CYX6"/>
      <c r="CYY6"/>
      <c r="CYZ6"/>
      <c r="CZA6"/>
      <c r="CZB6"/>
      <c r="CZC6"/>
      <c r="CZD6"/>
      <c r="CZE6"/>
      <c r="CZF6"/>
      <c r="CZG6"/>
      <c r="CZH6"/>
      <c r="CZI6"/>
      <c r="CZJ6"/>
      <c r="CZK6"/>
      <c r="CZL6"/>
      <c r="CZM6"/>
      <c r="CZN6"/>
      <c r="CZO6"/>
      <c r="CZP6"/>
      <c r="CZQ6"/>
      <c r="CZR6"/>
      <c r="CZS6"/>
      <c r="CZT6"/>
      <c r="CZU6"/>
      <c r="CZV6"/>
      <c r="CZW6"/>
      <c r="CZX6"/>
      <c r="CZY6"/>
      <c r="CZZ6"/>
      <c r="DAA6"/>
      <c r="DAB6"/>
      <c r="DAC6"/>
      <c r="DAD6"/>
      <c r="DAE6"/>
      <c r="DAF6"/>
      <c r="DAG6"/>
      <c r="DAH6"/>
      <c r="DAI6"/>
      <c r="DAJ6"/>
      <c r="DAK6"/>
      <c r="DAL6"/>
      <c r="DAM6"/>
      <c r="DAN6"/>
      <c r="DAO6"/>
      <c r="DAP6"/>
      <c r="DAQ6"/>
      <c r="DAR6"/>
      <c r="DAS6"/>
      <c r="DAT6"/>
      <c r="DAU6"/>
      <c r="DAV6"/>
      <c r="DAW6"/>
      <c r="DAX6"/>
      <c r="DAY6"/>
      <c r="DAZ6"/>
      <c r="DBA6"/>
      <c r="DBB6"/>
      <c r="DBC6"/>
      <c r="DBD6"/>
      <c r="DBE6"/>
      <c r="DBF6"/>
      <c r="DBG6"/>
      <c r="DBH6"/>
      <c r="DBI6"/>
      <c r="DBJ6"/>
      <c r="DBK6"/>
      <c r="DBL6"/>
      <c r="DBM6"/>
      <c r="DBN6"/>
      <c r="DBO6"/>
      <c r="DBP6"/>
      <c r="DBQ6"/>
      <c r="DBR6"/>
      <c r="DBS6"/>
      <c r="DBT6"/>
      <c r="DBU6"/>
      <c r="DBV6"/>
      <c r="DBW6"/>
      <c r="DBX6"/>
      <c r="DBY6"/>
      <c r="DBZ6"/>
      <c r="DCA6"/>
      <c r="DCB6"/>
      <c r="DCC6"/>
      <c r="DCD6"/>
      <c r="DCE6"/>
      <c r="DCF6"/>
      <c r="DCG6"/>
      <c r="DCH6"/>
      <c r="DCI6"/>
      <c r="DCJ6"/>
      <c r="DCK6"/>
      <c r="DCL6"/>
      <c r="DCM6"/>
      <c r="DCN6"/>
      <c r="DCO6"/>
      <c r="DCP6"/>
      <c r="DCQ6"/>
      <c r="DCR6"/>
      <c r="DCS6"/>
      <c r="DCT6"/>
      <c r="DCU6"/>
      <c r="DCV6"/>
      <c r="DCW6"/>
      <c r="DCX6"/>
      <c r="DCY6"/>
      <c r="DCZ6"/>
      <c r="DDA6"/>
      <c r="DDB6"/>
      <c r="DDC6"/>
      <c r="DDD6"/>
      <c r="DDE6"/>
      <c r="DDF6"/>
      <c r="DDG6"/>
      <c r="DDH6"/>
      <c r="DDI6"/>
      <c r="DDJ6"/>
      <c r="DDK6"/>
      <c r="DDL6"/>
      <c r="DDM6"/>
      <c r="DDN6"/>
      <c r="DDO6"/>
      <c r="DDP6"/>
      <c r="DDQ6"/>
      <c r="DDR6"/>
      <c r="DDS6"/>
      <c r="DDT6"/>
      <c r="DDU6"/>
      <c r="DDV6"/>
      <c r="DDW6"/>
      <c r="DDX6"/>
      <c r="DDY6"/>
      <c r="DDZ6"/>
      <c r="DEA6"/>
      <c r="DEB6"/>
      <c r="DEC6"/>
      <c r="DED6"/>
      <c r="DEE6"/>
      <c r="DEF6"/>
      <c r="DEG6"/>
      <c r="DEH6"/>
      <c r="DEI6"/>
      <c r="DEJ6"/>
      <c r="DEK6"/>
      <c r="DEL6"/>
      <c r="DEM6"/>
      <c r="DEN6"/>
      <c r="DEO6"/>
      <c r="DEP6"/>
      <c r="DEQ6"/>
      <c r="DER6"/>
      <c r="DES6"/>
      <c r="DET6"/>
      <c r="DEU6"/>
      <c r="DEV6"/>
      <c r="DEW6"/>
      <c r="DEX6"/>
      <c r="DEY6"/>
      <c r="DEZ6"/>
      <c r="DFA6"/>
      <c r="DFB6"/>
      <c r="DFC6"/>
      <c r="DFD6"/>
      <c r="DFE6"/>
      <c r="DFF6"/>
      <c r="DFG6"/>
      <c r="DFH6"/>
      <c r="DFI6"/>
      <c r="DFJ6"/>
      <c r="DFK6"/>
      <c r="DFL6"/>
      <c r="DFM6"/>
      <c r="DFN6"/>
      <c r="DFO6"/>
      <c r="DFP6"/>
      <c r="DFQ6"/>
      <c r="DFR6"/>
      <c r="DFS6"/>
      <c r="DFT6"/>
      <c r="DFU6"/>
      <c r="DFV6"/>
      <c r="DFW6"/>
      <c r="DFX6"/>
      <c r="DFY6"/>
      <c r="DFZ6"/>
      <c r="DGA6"/>
      <c r="DGB6"/>
      <c r="DGC6"/>
      <c r="DGD6"/>
      <c r="DGE6"/>
      <c r="DGF6"/>
      <c r="DGG6"/>
      <c r="DGH6"/>
      <c r="DGI6"/>
      <c r="DGJ6"/>
      <c r="DGK6"/>
      <c r="DGL6"/>
      <c r="DGM6"/>
      <c r="DGN6"/>
      <c r="DGO6"/>
      <c r="DGP6"/>
      <c r="DGQ6"/>
      <c r="DGR6"/>
      <c r="DGS6"/>
      <c r="DGT6"/>
      <c r="DGU6"/>
      <c r="DGV6"/>
      <c r="DGW6"/>
      <c r="DGX6"/>
      <c r="DGY6"/>
      <c r="DGZ6"/>
      <c r="DHA6"/>
      <c r="DHB6"/>
      <c r="DHC6"/>
      <c r="DHD6"/>
      <c r="DHE6"/>
      <c r="DHF6"/>
      <c r="DHG6"/>
      <c r="DHH6"/>
      <c r="DHI6"/>
      <c r="DHJ6"/>
      <c r="DHK6"/>
      <c r="DHL6"/>
      <c r="DHM6"/>
      <c r="DHN6"/>
      <c r="DHO6"/>
      <c r="DHP6"/>
      <c r="DHQ6"/>
      <c r="DHR6"/>
      <c r="DHS6"/>
      <c r="DHT6"/>
      <c r="DHU6"/>
      <c r="DHV6"/>
      <c r="DHW6"/>
      <c r="DHX6"/>
      <c r="DHY6"/>
      <c r="DHZ6"/>
      <c r="DIA6"/>
      <c r="DIB6"/>
      <c r="DIC6"/>
      <c r="DID6"/>
      <c r="DIE6"/>
      <c r="DIF6"/>
      <c r="DIG6"/>
      <c r="DIH6"/>
      <c r="DII6"/>
      <c r="DIJ6"/>
      <c r="DIK6"/>
      <c r="DIL6"/>
      <c r="DIM6"/>
      <c r="DIN6"/>
      <c r="DIO6"/>
      <c r="DIP6"/>
      <c r="DIQ6"/>
      <c r="DIR6"/>
      <c r="DIS6"/>
      <c r="DIT6"/>
      <c r="DIU6"/>
      <c r="DIV6"/>
      <c r="DIW6"/>
      <c r="DIX6"/>
      <c r="DIY6"/>
      <c r="DIZ6"/>
      <c r="DJA6"/>
      <c r="DJB6"/>
      <c r="DJC6"/>
      <c r="DJD6"/>
      <c r="DJE6"/>
      <c r="DJF6"/>
      <c r="DJG6"/>
      <c r="DJH6"/>
      <c r="DJI6"/>
      <c r="DJJ6"/>
      <c r="DJK6"/>
      <c r="DJL6"/>
      <c r="DJM6"/>
      <c r="DJN6"/>
      <c r="DJO6"/>
      <c r="DJP6"/>
      <c r="DJQ6"/>
      <c r="DJR6"/>
      <c r="DJS6"/>
      <c r="DJT6"/>
      <c r="DJU6"/>
      <c r="DJV6"/>
      <c r="DJW6"/>
      <c r="DJX6"/>
      <c r="DJY6"/>
      <c r="DJZ6"/>
      <c r="DKA6"/>
      <c r="DKB6"/>
      <c r="DKC6"/>
      <c r="DKD6"/>
      <c r="DKE6"/>
      <c r="DKF6"/>
      <c r="DKG6"/>
      <c r="DKH6"/>
      <c r="DKI6"/>
      <c r="DKJ6"/>
      <c r="DKK6"/>
      <c r="DKL6"/>
      <c r="DKM6"/>
      <c r="DKN6"/>
      <c r="DKO6"/>
      <c r="DKP6"/>
      <c r="DKQ6"/>
      <c r="DKR6"/>
      <c r="DKS6"/>
      <c r="DKT6"/>
      <c r="DKU6"/>
      <c r="DKV6"/>
      <c r="DKW6"/>
      <c r="DKX6"/>
      <c r="DKY6"/>
      <c r="DKZ6"/>
      <c r="DLA6"/>
      <c r="DLB6"/>
      <c r="DLC6"/>
      <c r="DLD6"/>
      <c r="DLE6"/>
      <c r="DLF6"/>
      <c r="DLG6"/>
      <c r="DLH6"/>
      <c r="DLI6"/>
      <c r="DLJ6"/>
      <c r="DLK6"/>
      <c r="DLL6"/>
      <c r="DLM6"/>
      <c r="DLN6"/>
      <c r="DLO6"/>
      <c r="DLP6"/>
      <c r="DLQ6"/>
      <c r="DLR6"/>
      <c r="DLS6"/>
      <c r="DLT6"/>
      <c r="DLU6"/>
      <c r="DLV6"/>
      <c r="DLW6"/>
      <c r="DLX6"/>
      <c r="DLY6"/>
      <c r="DLZ6"/>
      <c r="DMA6"/>
      <c r="DMB6"/>
      <c r="DMC6"/>
      <c r="DMD6"/>
      <c r="DME6"/>
      <c r="DMF6"/>
      <c r="DMG6"/>
      <c r="DMH6"/>
      <c r="DMI6"/>
      <c r="DMJ6"/>
      <c r="DMK6"/>
      <c r="DML6"/>
      <c r="DMM6"/>
      <c r="DMN6"/>
      <c r="DMO6"/>
      <c r="DMP6"/>
      <c r="DMQ6"/>
      <c r="DMR6"/>
      <c r="DMS6"/>
      <c r="DMT6"/>
      <c r="DMU6"/>
      <c r="DMV6"/>
      <c r="DMW6"/>
      <c r="DMX6"/>
      <c r="DMY6"/>
      <c r="DMZ6"/>
      <c r="DNA6"/>
      <c r="DNB6"/>
      <c r="DNC6"/>
      <c r="DND6"/>
      <c r="DNE6"/>
      <c r="DNF6"/>
      <c r="DNG6"/>
      <c r="DNH6"/>
      <c r="DNI6"/>
      <c r="DNJ6"/>
      <c r="DNK6"/>
      <c r="DNL6"/>
      <c r="DNM6"/>
      <c r="DNN6"/>
      <c r="DNO6"/>
      <c r="DNP6"/>
      <c r="DNQ6"/>
      <c r="DNR6"/>
      <c r="DNS6"/>
      <c r="DNT6"/>
      <c r="DNU6"/>
      <c r="DNV6"/>
      <c r="DNW6"/>
      <c r="DNX6"/>
      <c r="DNY6"/>
      <c r="DNZ6"/>
      <c r="DOA6"/>
      <c r="DOB6"/>
      <c r="DOC6"/>
      <c r="DOD6"/>
      <c r="DOE6"/>
      <c r="DOF6"/>
      <c r="DOG6"/>
      <c r="DOH6"/>
      <c r="DOI6"/>
      <c r="DOJ6"/>
      <c r="DOK6"/>
      <c r="DOL6"/>
      <c r="DOM6"/>
      <c r="DON6"/>
      <c r="DOO6"/>
      <c r="DOP6"/>
      <c r="DOQ6"/>
      <c r="DOR6"/>
      <c r="DOS6"/>
      <c r="DOT6"/>
      <c r="DOU6"/>
      <c r="DOV6"/>
      <c r="DOW6"/>
      <c r="DOX6"/>
      <c r="DOY6"/>
      <c r="DOZ6"/>
      <c r="DPA6"/>
      <c r="DPB6"/>
      <c r="DPC6"/>
      <c r="DPD6"/>
      <c r="DPE6"/>
      <c r="DPF6"/>
      <c r="DPG6"/>
      <c r="DPH6"/>
      <c r="DPI6"/>
      <c r="DPJ6"/>
      <c r="DPK6"/>
      <c r="DPL6"/>
      <c r="DPM6"/>
      <c r="DPN6"/>
      <c r="DPO6"/>
      <c r="DPP6"/>
      <c r="DPQ6"/>
      <c r="DPR6"/>
      <c r="DPS6"/>
      <c r="DPT6"/>
      <c r="DPU6"/>
      <c r="DPV6"/>
      <c r="DPW6"/>
      <c r="DPX6"/>
      <c r="DPY6"/>
      <c r="DPZ6"/>
      <c r="DQA6"/>
      <c r="DQB6"/>
      <c r="DQC6"/>
      <c r="DQD6"/>
      <c r="DQE6"/>
      <c r="DQF6"/>
      <c r="DQG6"/>
      <c r="DQH6"/>
      <c r="DQI6"/>
      <c r="DQJ6"/>
      <c r="DQK6"/>
      <c r="DQL6"/>
      <c r="DQM6"/>
      <c r="DQN6"/>
      <c r="DQO6"/>
      <c r="DQP6"/>
      <c r="DQQ6"/>
      <c r="DQR6"/>
      <c r="DQS6"/>
      <c r="DQT6"/>
      <c r="DQU6"/>
      <c r="DQV6"/>
      <c r="DQW6"/>
      <c r="DQX6"/>
      <c r="DQY6"/>
      <c r="DQZ6"/>
      <c r="DRA6"/>
      <c r="DRB6"/>
      <c r="DRC6"/>
      <c r="DRD6"/>
      <c r="DRE6"/>
      <c r="DRF6"/>
      <c r="DRG6"/>
      <c r="DRH6"/>
      <c r="DRI6"/>
      <c r="DRJ6"/>
      <c r="DRK6"/>
      <c r="DRL6"/>
      <c r="DRM6"/>
      <c r="DRN6"/>
      <c r="DRO6"/>
      <c r="DRP6"/>
      <c r="DRQ6"/>
      <c r="DRR6"/>
      <c r="DRS6"/>
      <c r="DRT6"/>
      <c r="DRU6"/>
      <c r="DRV6"/>
      <c r="DRW6"/>
      <c r="DRX6"/>
      <c r="DRY6"/>
      <c r="DRZ6"/>
      <c r="DSA6"/>
      <c r="DSB6"/>
      <c r="DSC6"/>
      <c r="DSD6"/>
      <c r="DSE6"/>
      <c r="DSF6"/>
      <c r="DSG6"/>
      <c r="DSH6"/>
      <c r="DSI6"/>
      <c r="DSJ6"/>
      <c r="DSK6"/>
      <c r="DSL6"/>
      <c r="DSM6"/>
      <c r="DSN6"/>
      <c r="DSO6"/>
      <c r="DSP6"/>
      <c r="DSQ6"/>
      <c r="DSR6"/>
      <c r="DSS6"/>
      <c r="DST6"/>
      <c r="DSU6"/>
      <c r="DSV6"/>
      <c r="DSW6"/>
      <c r="DSX6"/>
      <c r="DSY6"/>
      <c r="DSZ6"/>
      <c r="DTA6"/>
      <c r="DTB6"/>
      <c r="DTC6"/>
      <c r="DTD6"/>
      <c r="DTE6"/>
      <c r="DTF6"/>
      <c r="DTG6"/>
      <c r="DTH6"/>
      <c r="DTI6"/>
      <c r="DTJ6"/>
      <c r="DTK6"/>
      <c r="DTL6"/>
      <c r="DTM6"/>
      <c r="DTN6"/>
      <c r="DTO6"/>
      <c r="DTP6"/>
      <c r="DTQ6"/>
      <c r="DTR6"/>
      <c r="DTS6"/>
      <c r="DTT6"/>
      <c r="DTU6"/>
      <c r="DTV6"/>
      <c r="DTW6"/>
      <c r="DTX6"/>
      <c r="DTY6"/>
      <c r="DTZ6"/>
      <c r="DUA6"/>
      <c r="DUB6"/>
      <c r="DUC6"/>
      <c r="DUD6"/>
      <c r="DUE6"/>
      <c r="DUF6"/>
      <c r="DUG6"/>
      <c r="DUH6"/>
      <c r="DUI6"/>
      <c r="DUJ6"/>
      <c r="DUK6"/>
      <c r="DUL6"/>
      <c r="DUM6"/>
      <c r="DUN6"/>
      <c r="DUO6"/>
      <c r="DUP6"/>
      <c r="DUQ6"/>
      <c r="DUR6"/>
      <c r="DUS6"/>
      <c r="DUT6"/>
      <c r="DUU6"/>
      <c r="DUV6"/>
      <c r="DUW6"/>
      <c r="DUX6"/>
      <c r="DUY6"/>
      <c r="DUZ6"/>
      <c r="DVA6"/>
      <c r="DVB6"/>
      <c r="DVC6"/>
      <c r="DVD6"/>
      <c r="DVE6"/>
      <c r="DVF6"/>
      <c r="DVG6"/>
      <c r="DVH6"/>
      <c r="DVI6"/>
      <c r="DVJ6"/>
      <c r="DVK6"/>
      <c r="DVL6"/>
      <c r="DVM6"/>
      <c r="DVN6"/>
      <c r="DVO6"/>
      <c r="DVP6"/>
      <c r="DVQ6"/>
      <c r="DVR6"/>
      <c r="DVS6"/>
      <c r="DVT6"/>
      <c r="DVU6"/>
      <c r="DVV6"/>
      <c r="DVW6"/>
      <c r="DVX6"/>
      <c r="DVY6"/>
      <c r="DVZ6"/>
      <c r="DWA6"/>
      <c r="DWB6"/>
      <c r="DWC6"/>
      <c r="DWD6"/>
      <c r="DWE6"/>
      <c r="DWF6"/>
      <c r="DWG6"/>
      <c r="DWH6"/>
      <c r="DWI6"/>
      <c r="DWJ6"/>
      <c r="DWK6"/>
      <c r="DWL6"/>
      <c r="DWM6"/>
      <c r="DWN6"/>
      <c r="DWO6"/>
      <c r="DWP6"/>
      <c r="DWQ6"/>
      <c r="DWR6"/>
      <c r="DWS6"/>
      <c r="DWT6"/>
      <c r="DWU6"/>
      <c r="DWV6"/>
      <c r="DWW6"/>
      <c r="DWX6"/>
      <c r="DWY6"/>
      <c r="DWZ6"/>
      <c r="DXA6"/>
      <c r="DXB6"/>
      <c r="DXC6"/>
      <c r="DXD6"/>
      <c r="DXE6"/>
      <c r="DXF6"/>
      <c r="DXG6"/>
      <c r="DXH6"/>
      <c r="DXI6"/>
      <c r="DXJ6"/>
      <c r="DXK6"/>
      <c r="DXL6"/>
      <c r="DXM6"/>
      <c r="DXN6"/>
      <c r="DXO6"/>
      <c r="DXP6"/>
      <c r="DXQ6"/>
      <c r="DXR6"/>
      <c r="DXS6"/>
      <c r="DXT6"/>
      <c r="DXU6"/>
      <c r="DXV6"/>
      <c r="DXW6"/>
      <c r="DXX6"/>
      <c r="DXY6"/>
      <c r="DXZ6"/>
      <c r="DYA6"/>
      <c r="DYB6"/>
      <c r="DYC6"/>
      <c r="DYD6"/>
      <c r="DYE6"/>
      <c r="DYF6"/>
      <c r="DYG6"/>
      <c r="DYH6"/>
      <c r="DYI6"/>
      <c r="DYJ6"/>
      <c r="DYK6"/>
      <c r="DYL6"/>
      <c r="DYM6"/>
      <c r="DYN6"/>
      <c r="DYO6"/>
      <c r="DYP6"/>
      <c r="DYQ6"/>
      <c r="DYR6"/>
      <c r="DYS6"/>
      <c r="DYT6"/>
      <c r="DYU6"/>
      <c r="DYV6"/>
      <c r="DYW6"/>
      <c r="DYX6"/>
      <c r="DYY6"/>
      <c r="DYZ6"/>
      <c r="DZA6"/>
      <c r="DZB6"/>
      <c r="DZC6"/>
      <c r="DZD6"/>
      <c r="DZE6"/>
      <c r="DZF6"/>
      <c r="DZG6"/>
      <c r="DZH6"/>
      <c r="DZI6"/>
      <c r="DZJ6"/>
      <c r="DZK6"/>
      <c r="DZL6"/>
      <c r="DZM6"/>
      <c r="DZN6"/>
      <c r="DZO6"/>
      <c r="DZP6"/>
      <c r="DZQ6"/>
      <c r="DZR6"/>
      <c r="DZS6"/>
      <c r="DZT6"/>
      <c r="DZU6"/>
      <c r="DZV6"/>
      <c r="DZW6"/>
      <c r="DZX6"/>
      <c r="DZY6"/>
      <c r="DZZ6"/>
      <c r="EAA6"/>
      <c r="EAB6"/>
      <c r="EAC6"/>
      <c r="EAD6"/>
      <c r="EAE6"/>
      <c r="EAF6"/>
      <c r="EAG6"/>
      <c r="EAH6"/>
      <c r="EAI6"/>
      <c r="EAJ6"/>
      <c r="EAK6"/>
      <c r="EAL6"/>
      <c r="EAM6"/>
      <c r="EAN6"/>
      <c r="EAO6"/>
      <c r="EAP6"/>
      <c r="EAQ6"/>
      <c r="EAR6"/>
      <c r="EAS6"/>
      <c r="EAT6"/>
      <c r="EAU6"/>
      <c r="EAV6"/>
      <c r="EAW6"/>
      <c r="EAX6"/>
      <c r="EAY6"/>
      <c r="EAZ6"/>
      <c r="EBA6"/>
      <c r="EBB6"/>
      <c r="EBC6"/>
      <c r="EBD6"/>
      <c r="EBE6"/>
      <c r="EBF6"/>
      <c r="EBG6"/>
      <c r="EBH6"/>
      <c r="EBI6"/>
      <c r="EBJ6"/>
      <c r="EBK6"/>
      <c r="EBL6"/>
      <c r="EBM6"/>
      <c r="EBN6"/>
      <c r="EBO6"/>
      <c r="EBP6"/>
      <c r="EBQ6"/>
      <c r="EBR6"/>
      <c r="EBS6"/>
      <c r="EBT6"/>
      <c r="EBU6"/>
      <c r="EBV6"/>
      <c r="EBW6"/>
      <c r="EBX6"/>
      <c r="EBY6"/>
      <c r="EBZ6"/>
      <c r="ECA6"/>
      <c r="ECB6"/>
      <c r="ECC6"/>
      <c r="ECD6"/>
      <c r="ECE6"/>
      <c r="ECF6"/>
      <c r="ECG6"/>
      <c r="ECH6"/>
      <c r="ECI6"/>
      <c r="ECJ6"/>
      <c r="ECK6"/>
      <c r="ECL6"/>
      <c r="ECM6"/>
      <c r="ECN6"/>
      <c r="ECO6"/>
      <c r="ECP6"/>
      <c r="ECQ6"/>
      <c r="ECR6"/>
      <c r="ECS6"/>
      <c r="ECT6"/>
      <c r="ECU6"/>
      <c r="ECV6"/>
      <c r="ECW6"/>
      <c r="ECX6"/>
      <c r="ECY6"/>
      <c r="ECZ6"/>
      <c r="EDA6"/>
      <c r="EDB6"/>
      <c r="EDC6"/>
      <c r="EDD6"/>
      <c r="EDE6"/>
      <c r="EDF6"/>
      <c r="EDG6"/>
      <c r="EDH6"/>
      <c r="EDI6"/>
      <c r="EDJ6"/>
      <c r="EDK6"/>
      <c r="EDL6"/>
      <c r="EDM6"/>
      <c r="EDN6"/>
      <c r="EDO6"/>
      <c r="EDP6"/>
      <c r="EDQ6"/>
      <c r="EDR6"/>
      <c r="EDS6"/>
      <c r="EDT6"/>
      <c r="EDU6"/>
      <c r="EDV6"/>
      <c r="EDW6"/>
      <c r="EDX6"/>
      <c r="EDY6"/>
      <c r="EDZ6"/>
      <c r="EEA6"/>
      <c r="EEB6"/>
      <c r="EEC6"/>
      <c r="EED6"/>
      <c r="EEE6"/>
      <c r="EEF6"/>
      <c r="EEG6"/>
      <c r="EEH6"/>
      <c r="EEI6"/>
      <c r="EEJ6"/>
      <c r="EEK6"/>
      <c r="EEL6"/>
      <c r="EEM6"/>
      <c r="EEN6"/>
      <c r="EEO6"/>
      <c r="EEP6"/>
      <c r="EEQ6"/>
      <c r="EER6"/>
      <c r="EES6"/>
      <c r="EET6"/>
      <c r="EEU6"/>
      <c r="EEV6"/>
      <c r="EEW6"/>
      <c r="EEX6"/>
      <c r="EEY6"/>
      <c r="EEZ6"/>
      <c r="EFA6"/>
      <c r="EFB6"/>
      <c r="EFC6"/>
      <c r="EFD6"/>
      <c r="EFE6"/>
      <c r="EFF6"/>
      <c r="EFG6"/>
      <c r="EFH6"/>
      <c r="EFI6"/>
      <c r="EFJ6"/>
      <c r="EFK6"/>
      <c r="EFL6"/>
      <c r="EFM6"/>
      <c r="EFN6"/>
      <c r="EFO6"/>
      <c r="EFP6"/>
      <c r="EFQ6"/>
      <c r="EFR6"/>
      <c r="EFS6"/>
      <c r="EFT6"/>
      <c r="EFU6"/>
      <c r="EFV6"/>
      <c r="EFW6"/>
      <c r="EFX6"/>
      <c r="EFY6"/>
      <c r="EFZ6"/>
      <c r="EGA6"/>
      <c r="EGB6"/>
      <c r="EGC6"/>
      <c r="EGD6"/>
      <c r="EGE6"/>
      <c r="EGF6"/>
      <c r="EGG6"/>
      <c r="EGH6"/>
      <c r="EGI6"/>
      <c r="EGJ6"/>
      <c r="EGK6"/>
      <c r="EGL6"/>
      <c r="EGM6"/>
      <c r="EGN6"/>
      <c r="EGO6"/>
      <c r="EGP6"/>
      <c r="EGQ6"/>
      <c r="EGR6"/>
      <c r="EGS6"/>
      <c r="EGT6"/>
      <c r="EGU6"/>
      <c r="EGV6"/>
      <c r="EGW6"/>
      <c r="EGX6"/>
      <c r="EGY6"/>
      <c r="EGZ6"/>
      <c r="EHA6"/>
      <c r="EHB6"/>
      <c r="EHC6"/>
      <c r="EHD6"/>
      <c r="EHE6"/>
      <c r="EHF6"/>
      <c r="EHG6"/>
      <c r="EHH6"/>
      <c r="EHI6"/>
      <c r="EHJ6"/>
      <c r="EHK6"/>
      <c r="EHL6"/>
      <c r="EHM6"/>
      <c r="EHN6"/>
      <c r="EHO6"/>
      <c r="EHP6"/>
      <c r="EHQ6"/>
      <c r="EHR6"/>
      <c r="EHS6"/>
      <c r="EHT6"/>
      <c r="EHU6"/>
      <c r="EHV6"/>
      <c r="EHW6"/>
      <c r="EHX6"/>
      <c r="EHY6"/>
      <c r="EHZ6"/>
      <c r="EIA6"/>
      <c r="EIB6"/>
      <c r="EIC6"/>
      <c r="EID6"/>
      <c r="EIE6"/>
      <c r="EIF6"/>
      <c r="EIG6"/>
      <c r="EIH6"/>
      <c r="EII6"/>
      <c r="EIJ6"/>
      <c r="EIK6"/>
      <c r="EIL6"/>
      <c r="EIM6"/>
      <c r="EIN6"/>
      <c r="EIO6"/>
      <c r="EIP6"/>
      <c r="EIQ6"/>
      <c r="EIR6"/>
      <c r="EIS6"/>
      <c r="EIT6"/>
      <c r="EIU6"/>
      <c r="EIV6"/>
      <c r="EIW6"/>
      <c r="EIX6"/>
      <c r="EIY6"/>
      <c r="EIZ6"/>
      <c r="EJA6"/>
      <c r="EJB6"/>
      <c r="EJC6"/>
      <c r="EJD6"/>
      <c r="EJE6"/>
      <c r="EJF6"/>
      <c r="EJG6"/>
      <c r="EJH6"/>
      <c r="EJI6"/>
      <c r="EJJ6"/>
      <c r="EJK6"/>
      <c r="EJL6"/>
      <c r="EJM6"/>
      <c r="EJN6"/>
      <c r="EJO6"/>
      <c r="EJP6"/>
      <c r="EJQ6"/>
      <c r="EJR6"/>
      <c r="EJS6"/>
      <c r="EJT6"/>
      <c r="EJU6"/>
      <c r="EJV6"/>
      <c r="EJW6"/>
      <c r="EJX6"/>
      <c r="EJY6"/>
      <c r="EJZ6"/>
      <c r="EKA6"/>
      <c r="EKB6"/>
      <c r="EKC6"/>
      <c r="EKD6"/>
      <c r="EKE6"/>
      <c r="EKF6"/>
      <c r="EKG6"/>
      <c r="EKH6"/>
      <c r="EKI6"/>
      <c r="EKJ6"/>
      <c r="EKK6"/>
      <c r="EKL6"/>
      <c r="EKM6"/>
      <c r="EKN6"/>
      <c r="EKO6"/>
      <c r="EKP6"/>
      <c r="EKQ6"/>
      <c r="EKR6"/>
      <c r="EKS6"/>
      <c r="EKT6"/>
      <c r="EKU6"/>
      <c r="EKV6"/>
      <c r="EKW6"/>
      <c r="EKX6"/>
      <c r="EKY6"/>
      <c r="EKZ6"/>
      <c r="ELA6"/>
      <c r="ELB6"/>
      <c r="ELC6"/>
      <c r="ELD6"/>
      <c r="ELE6"/>
      <c r="ELF6"/>
      <c r="ELG6"/>
      <c r="ELH6"/>
      <c r="ELI6"/>
      <c r="ELJ6"/>
      <c r="ELK6"/>
      <c r="ELL6"/>
      <c r="ELM6"/>
      <c r="ELN6"/>
      <c r="ELO6"/>
      <c r="ELP6"/>
      <c r="ELQ6"/>
      <c r="ELR6"/>
      <c r="ELS6"/>
      <c r="ELT6"/>
      <c r="ELU6"/>
      <c r="ELV6"/>
      <c r="ELW6"/>
      <c r="ELX6"/>
      <c r="ELY6"/>
      <c r="ELZ6"/>
      <c r="EMA6"/>
      <c r="EMB6"/>
      <c r="EMC6"/>
      <c r="EMD6"/>
      <c r="EME6"/>
      <c r="EMF6"/>
      <c r="EMG6"/>
      <c r="EMH6"/>
      <c r="EMI6"/>
      <c r="EMJ6"/>
      <c r="EMK6"/>
      <c r="EML6"/>
      <c r="EMM6"/>
      <c r="EMN6"/>
      <c r="EMO6"/>
      <c r="EMP6"/>
      <c r="EMQ6"/>
      <c r="EMR6"/>
      <c r="EMS6"/>
      <c r="EMT6"/>
      <c r="EMU6"/>
      <c r="EMV6"/>
      <c r="EMW6"/>
      <c r="EMX6"/>
      <c r="EMY6"/>
      <c r="EMZ6"/>
      <c r="ENA6"/>
      <c r="ENB6"/>
      <c r="ENC6"/>
      <c r="END6"/>
      <c r="ENE6"/>
      <c r="ENF6"/>
      <c r="ENG6"/>
      <c r="ENH6"/>
      <c r="ENI6"/>
      <c r="ENJ6"/>
      <c r="ENK6"/>
      <c r="ENL6"/>
      <c r="ENM6"/>
      <c r="ENN6"/>
      <c r="ENO6"/>
      <c r="ENP6"/>
      <c r="ENQ6"/>
      <c r="ENR6"/>
      <c r="ENS6"/>
      <c r="ENT6"/>
      <c r="ENU6"/>
      <c r="ENV6"/>
      <c r="ENW6"/>
      <c r="ENX6"/>
      <c r="ENY6"/>
      <c r="ENZ6"/>
      <c r="EOA6"/>
      <c r="EOB6"/>
      <c r="EOC6"/>
      <c r="EOD6"/>
      <c r="EOE6"/>
      <c r="EOF6"/>
      <c r="EOG6"/>
      <c r="EOH6"/>
      <c r="EOI6"/>
      <c r="EOJ6"/>
      <c r="EOK6"/>
      <c r="EOL6"/>
      <c r="EOM6"/>
      <c r="EON6"/>
      <c r="EOO6"/>
      <c r="EOP6"/>
      <c r="EOQ6"/>
      <c r="EOR6"/>
      <c r="EOS6"/>
      <c r="EOT6"/>
      <c r="EOU6"/>
      <c r="EOV6"/>
      <c r="EOW6"/>
      <c r="EOX6"/>
      <c r="EOY6"/>
      <c r="EOZ6"/>
      <c r="EPA6"/>
      <c r="EPB6"/>
      <c r="EPC6"/>
      <c r="EPD6"/>
      <c r="EPE6"/>
      <c r="EPF6"/>
      <c r="EPG6"/>
      <c r="EPH6"/>
      <c r="EPI6"/>
      <c r="EPJ6"/>
      <c r="EPK6"/>
      <c r="EPL6"/>
      <c r="EPM6"/>
      <c r="EPN6"/>
      <c r="EPO6"/>
      <c r="EPP6"/>
      <c r="EPQ6"/>
      <c r="EPR6"/>
      <c r="EPS6"/>
      <c r="EPT6"/>
      <c r="EPU6"/>
      <c r="EPV6"/>
      <c r="EPW6"/>
      <c r="EPX6"/>
      <c r="EPY6"/>
      <c r="EPZ6"/>
      <c r="EQA6"/>
      <c r="EQB6"/>
      <c r="EQC6"/>
      <c r="EQD6"/>
      <c r="EQE6"/>
      <c r="EQF6"/>
      <c r="EQG6"/>
      <c r="EQH6"/>
      <c r="EQI6"/>
      <c r="EQJ6"/>
      <c r="EQK6"/>
      <c r="EQL6"/>
      <c r="EQM6"/>
      <c r="EQN6"/>
      <c r="EQO6"/>
      <c r="EQP6"/>
      <c r="EQQ6"/>
      <c r="EQR6"/>
      <c r="EQS6"/>
      <c r="EQT6"/>
      <c r="EQU6"/>
      <c r="EQV6"/>
      <c r="EQW6"/>
      <c r="EQX6"/>
      <c r="EQY6"/>
      <c r="EQZ6"/>
      <c r="ERA6"/>
      <c r="ERB6"/>
      <c r="ERC6"/>
      <c r="ERD6"/>
      <c r="ERE6"/>
      <c r="ERF6"/>
      <c r="ERG6"/>
      <c r="ERH6"/>
      <c r="ERI6"/>
      <c r="ERJ6"/>
      <c r="ERK6"/>
      <c r="ERL6"/>
      <c r="ERM6"/>
      <c r="ERN6"/>
      <c r="ERO6"/>
      <c r="ERP6"/>
      <c r="ERQ6"/>
      <c r="ERR6"/>
      <c r="ERS6"/>
      <c r="ERT6"/>
      <c r="ERU6"/>
      <c r="ERV6"/>
      <c r="ERW6"/>
      <c r="ERX6"/>
      <c r="ERY6"/>
      <c r="ERZ6"/>
      <c r="ESA6"/>
      <c r="ESB6"/>
      <c r="ESC6"/>
      <c r="ESD6"/>
      <c r="ESE6"/>
      <c r="ESF6"/>
      <c r="ESG6"/>
      <c r="ESH6"/>
      <c r="ESI6"/>
      <c r="ESJ6"/>
      <c r="ESK6"/>
      <c r="ESL6"/>
      <c r="ESM6"/>
      <c r="ESN6"/>
      <c r="ESO6"/>
      <c r="ESP6"/>
      <c r="ESQ6"/>
      <c r="ESR6"/>
      <c r="ESS6"/>
      <c r="EST6"/>
      <c r="ESU6"/>
      <c r="ESV6"/>
      <c r="ESW6"/>
      <c r="ESX6"/>
      <c r="ESY6"/>
      <c r="ESZ6"/>
      <c r="ETA6"/>
      <c r="ETB6"/>
      <c r="ETC6"/>
      <c r="ETD6"/>
      <c r="ETE6"/>
      <c r="ETF6"/>
      <c r="ETG6"/>
      <c r="ETH6"/>
      <c r="ETI6"/>
      <c r="ETJ6"/>
      <c r="ETK6"/>
      <c r="ETL6"/>
      <c r="ETM6"/>
      <c r="ETN6"/>
      <c r="ETO6"/>
      <c r="ETP6"/>
      <c r="ETQ6"/>
      <c r="ETR6"/>
      <c r="ETS6"/>
      <c r="ETT6"/>
      <c r="ETU6"/>
      <c r="ETV6"/>
      <c r="ETW6"/>
      <c r="ETX6"/>
      <c r="ETY6"/>
      <c r="ETZ6"/>
      <c r="EUA6"/>
      <c r="EUB6"/>
      <c r="EUC6"/>
      <c r="EUD6"/>
      <c r="EUE6"/>
      <c r="EUF6"/>
      <c r="EUG6"/>
      <c r="EUH6"/>
      <c r="EUI6"/>
      <c r="EUJ6"/>
      <c r="EUK6"/>
      <c r="EUL6"/>
      <c r="EUM6"/>
      <c r="EUN6"/>
      <c r="EUO6"/>
      <c r="EUP6"/>
      <c r="EUQ6"/>
      <c r="EUR6"/>
      <c r="EUS6"/>
      <c r="EUT6"/>
      <c r="EUU6"/>
      <c r="EUV6"/>
      <c r="EUW6"/>
      <c r="EUX6"/>
      <c r="EUY6"/>
      <c r="EUZ6"/>
      <c r="EVA6"/>
      <c r="EVB6"/>
      <c r="EVC6"/>
      <c r="EVD6"/>
      <c r="EVE6"/>
      <c r="EVF6"/>
      <c r="EVG6"/>
      <c r="EVH6"/>
      <c r="EVI6"/>
      <c r="EVJ6"/>
      <c r="EVK6"/>
      <c r="EVL6"/>
      <c r="EVM6"/>
      <c r="EVN6"/>
      <c r="EVO6"/>
      <c r="EVP6"/>
      <c r="EVQ6"/>
      <c r="EVR6"/>
      <c r="EVS6"/>
      <c r="EVT6"/>
      <c r="EVU6"/>
      <c r="EVV6"/>
      <c r="EVW6"/>
      <c r="EVX6"/>
      <c r="EVY6"/>
      <c r="EVZ6"/>
      <c r="EWA6"/>
      <c r="EWB6"/>
      <c r="EWC6"/>
      <c r="EWD6"/>
      <c r="EWE6"/>
      <c r="EWF6"/>
      <c r="EWG6"/>
      <c r="EWH6"/>
      <c r="EWI6"/>
      <c r="EWJ6"/>
      <c r="EWK6"/>
      <c r="EWL6"/>
      <c r="EWM6"/>
      <c r="EWN6"/>
      <c r="EWO6"/>
      <c r="EWP6"/>
      <c r="EWQ6"/>
      <c r="EWR6"/>
      <c r="EWS6"/>
      <c r="EWT6"/>
      <c r="EWU6"/>
      <c r="EWV6"/>
      <c r="EWW6"/>
      <c r="EWX6"/>
      <c r="EWY6"/>
      <c r="EWZ6"/>
      <c r="EXA6"/>
      <c r="EXB6"/>
      <c r="EXC6"/>
      <c r="EXD6"/>
      <c r="EXE6"/>
      <c r="EXF6"/>
      <c r="EXG6"/>
      <c r="EXH6"/>
      <c r="EXI6"/>
      <c r="EXJ6"/>
      <c r="EXK6"/>
      <c r="EXL6"/>
      <c r="EXM6"/>
      <c r="EXN6"/>
      <c r="EXO6"/>
      <c r="EXP6"/>
      <c r="EXQ6"/>
      <c r="EXR6"/>
      <c r="EXS6"/>
      <c r="EXT6"/>
      <c r="EXU6"/>
      <c r="EXV6"/>
      <c r="EXW6"/>
      <c r="EXX6"/>
      <c r="EXY6"/>
      <c r="EXZ6"/>
      <c r="EYA6"/>
      <c r="EYB6"/>
      <c r="EYC6"/>
      <c r="EYD6"/>
      <c r="EYE6"/>
      <c r="EYF6"/>
      <c r="EYG6"/>
      <c r="EYH6"/>
      <c r="EYI6"/>
      <c r="EYJ6"/>
      <c r="EYK6"/>
      <c r="EYL6"/>
      <c r="EYM6"/>
      <c r="EYN6"/>
      <c r="EYO6"/>
      <c r="EYP6"/>
      <c r="EYQ6"/>
      <c r="EYR6"/>
      <c r="EYS6"/>
      <c r="EYT6"/>
      <c r="EYU6"/>
      <c r="EYV6"/>
      <c r="EYW6"/>
      <c r="EYX6"/>
      <c r="EYY6"/>
      <c r="EYZ6"/>
      <c r="EZA6"/>
      <c r="EZB6"/>
      <c r="EZC6"/>
      <c r="EZD6"/>
      <c r="EZE6"/>
      <c r="EZF6"/>
      <c r="EZG6"/>
      <c r="EZH6"/>
      <c r="EZI6"/>
      <c r="EZJ6"/>
      <c r="EZK6"/>
      <c r="EZL6"/>
      <c r="EZM6"/>
      <c r="EZN6"/>
      <c r="EZO6"/>
      <c r="EZP6"/>
      <c r="EZQ6"/>
      <c r="EZR6"/>
      <c r="EZS6"/>
      <c r="EZT6"/>
      <c r="EZU6"/>
      <c r="EZV6"/>
      <c r="EZW6"/>
      <c r="EZX6"/>
      <c r="EZY6"/>
      <c r="EZZ6"/>
      <c r="FAA6"/>
      <c r="FAB6"/>
      <c r="FAC6"/>
      <c r="FAD6"/>
      <c r="FAE6"/>
      <c r="FAF6"/>
      <c r="FAG6"/>
      <c r="FAH6"/>
      <c r="FAI6"/>
      <c r="FAJ6"/>
      <c r="FAK6"/>
      <c r="FAL6"/>
      <c r="FAM6"/>
      <c r="FAN6"/>
      <c r="FAO6"/>
      <c r="FAP6"/>
      <c r="FAQ6"/>
      <c r="FAR6"/>
      <c r="FAS6"/>
      <c r="FAT6"/>
      <c r="FAU6"/>
      <c r="FAV6"/>
      <c r="FAW6"/>
      <c r="FAX6"/>
      <c r="FAY6"/>
      <c r="FAZ6"/>
      <c r="FBA6"/>
      <c r="FBB6"/>
      <c r="FBC6"/>
      <c r="FBD6"/>
      <c r="FBE6"/>
      <c r="FBF6"/>
      <c r="FBG6"/>
      <c r="FBH6"/>
      <c r="FBI6"/>
      <c r="FBJ6"/>
      <c r="FBK6"/>
      <c r="FBL6"/>
      <c r="FBM6"/>
      <c r="FBN6"/>
      <c r="FBO6"/>
      <c r="FBP6"/>
      <c r="FBQ6"/>
      <c r="FBR6"/>
      <c r="FBS6"/>
      <c r="FBT6"/>
      <c r="FBU6"/>
      <c r="FBV6"/>
      <c r="FBW6"/>
      <c r="FBX6"/>
      <c r="FBY6"/>
      <c r="FBZ6"/>
      <c r="FCA6"/>
      <c r="FCB6"/>
      <c r="FCC6"/>
      <c r="FCD6"/>
      <c r="FCE6"/>
      <c r="FCF6"/>
      <c r="FCG6"/>
      <c r="FCH6"/>
      <c r="FCI6"/>
      <c r="FCJ6"/>
      <c r="FCK6"/>
      <c r="FCL6"/>
      <c r="FCM6"/>
      <c r="FCN6"/>
      <c r="FCO6"/>
      <c r="FCP6"/>
      <c r="FCQ6"/>
      <c r="FCR6"/>
      <c r="FCS6"/>
      <c r="FCT6"/>
      <c r="FCU6"/>
      <c r="FCV6"/>
      <c r="FCW6"/>
      <c r="FCX6"/>
      <c r="FCY6"/>
      <c r="FCZ6"/>
      <c r="FDA6"/>
      <c r="FDB6"/>
      <c r="FDC6"/>
      <c r="FDD6"/>
      <c r="FDE6"/>
      <c r="FDF6"/>
      <c r="FDG6"/>
      <c r="FDH6"/>
      <c r="FDI6"/>
      <c r="FDJ6"/>
      <c r="FDK6"/>
      <c r="FDL6"/>
      <c r="FDM6"/>
      <c r="FDN6"/>
      <c r="FDO6"/>
      <c r="FDP6"/>
      <c r="FDQ6"/>
      <c r="FDR6"/>
      <c r="FDS6"/>
      <c r="FDT6"/>
      <c r="FDU6"/>
      <c r="FDV6"/>
      <c r="FDW6"/>
      <c r="FDX6"/>
      <c r="FDY6"/>
      <c r="FDZ6"/>
      <c r="FEA6"/>
      <c r="FEB6"/>
      <c r="FEC6"/>
      <c r="FED6"/>
      <c r="FEE6"/>
      <c r="FEF6"/>
      <c r="FEG6"/>
      <c r="FEH6"/>
      <c r="FEI6"/>
      <c r="FEJ6"/>
      <c r="FEK6"/>
      <c r="FEL6"/>
      <c r="FEM6"/>
      <c r="FEN6"/>
      <c r="FEO6"/>
      <c r="FEP6"/>
      <c r="FEQ6"/>
      <c r="FER6"/>
      <c r="FES6"/>
      <c r="FET6"/>
      <c r="FEU6"/>
      <c r="FEV6"/>
      <c r="FEW6"/>
      <c r="FEX6"/>
      <c r="FEY6"/>
      <c r="FEZ6"/>
      <c r="FFA6"/>
      <c r="FFB6"/>
      <c r="FFC6"/>
      <c r="FFD6"/>
      <c r="FFE6"/>
      <c r="FFF6"/>
      <c r="FFG6"/>
      <c r="FFH6"/>
      <c r="FFI6"/>
      <c r="FFJ6"/>
      <c r="FFK6"/>
      <c r="FFL6"/>
      <c r="FFM6"/>
      <c r="FFN6"/>
      <c r="FFO6"/>
      <c r="FFP6"/>
      <c r="FFQ6"/>
      <c r="FFR6"/>
      <c r="FFS6"/>
      <c r="FFT6"/>
      <c r="FFU6"/>
      <c r="FFV6"/>
      <c r="FFW6"/>
      <c r="FFX6"/>
      <c r="FFY6"/>
      <c r="FFZ6"/>
      <c r="FGA6"/>
      <c r="FGB6"/>
      <c r="FGC6"/>
      <c r="FGD6"/>
      <c r="FGE6"/>
      <c r="FGF6"/>
      <c r="FGG6"/>
      <c r="FGH6"/>
      <c r="FGI6"/>
      <c r="FGJ6"/>
      <c r="FGK6"/>
      <c r="FGL6"/>
      <c r="FGM6"/>
      <c r="FGN6"/>
      <c r="FGO6"/>
      <c r="FGP6"/>
      <c r="FGQ6"/>
      <c r="FGR6"/>
      <c r="FGS6"/>
      <c r="FGT6"/>
      <c r="FGU6"/>
      <c r="FGV6"/>
      <c r="FGW6"/>
      <c r="FGX6"/>
      <c r="FGY6"/>
      <c r="FGZ6"/>
      <c r="FHA6"/>
      <c r="FHB6"/>
      <c r="FHC6"/>
      <c r="FHD6"/>
      <c r="FHE6"/>
      <c r="FHF6"/>
      <c r="FHG6"/>
      <c r="FHH6"/>
      <c r="FHI6"/>
      <c r="FHJ6"/>
      <c r="FHK6"/>
      <c r="FHL6"/>
      <c r="FHM6"/>
      <c r="FHN6"/>
      <c r="FHO6"/>
      <c r="FHP6"/>
      <c r="FHQ6"/>
      <c r="FHR6"/>
      <c r="FHS6"/>
      <c r="FHT6"/>
      <c r="FHU6"/>
      <c r="FHV6"/>
      <c r="FHW6"/>
      <c r="FHX6"/>
      <c r="FHY6"/>
      <c r="FHZ6"/>
      <c r="FIA6"/>
      <c r="FIB6"/>
      <c r="FIC6"/>
      <c r="FID6"/>
      <c r="FIE6"/>
      <c r="FIF6"/>
      <c r="FIG6"/>
      <c r="FIH6"/>
      <c r="FII6"/>
      <c r="FIJ6"/>
      <c r="FIK6"/>
      <c r="FIL6"/>
      <c r="FIM6"/>
      <c r="FIN6"/>
      <c r="FIO6"/>
      <c r="FIP6"/>
      <c r="FIQ6"/>
      <c r="FIR6"/>
      <c r="FIS6"/>
      <c r="FIT6"/>
      <c r="FIU6"/>
      <c r="FIV6"/>
      <c r="FIW6"/>
      <c r="FIX6"/>
      <c r="FIY6"/>
      <c r="FIZ6"/>
      <c r="FJA6"/>
      <c r="FJB6"/>
      <c r="FJC6"/>
      <c r="FJD6"/>
      <c r="FJE6"/>
      <c r="FJF6"/>
      <c r="FJG6"/>
      <c r="FJH6"/>
      <c r="FJI6"/>
      <c r="FJJ6"/>
      <c r="FJK6"/>
      <c r="FJL6"/>
      <c r="FJM6"/>
      <c r="FJN6"/>
      <c r="FJO6"/>
      <c r="FJP6"/>
      <c r="FJQ6"/>
      <c r="FJR6"/>
      <c r="FJS6"/>
      <c r="FJT6"/>
      <c r="FJU6"/>
      <c r="FJV6"/>
      <c r="FJW6"/>
      <c r="FJX6"/>
      <c r="FJY6"/>
      <c r="FJZ6"/>
      <c r="FKA6"/>
      <c r="FKB6"/>
      <c r="FKC6"/>
      <c r="FKD6"/>
      <c r="FKE6"/>
      <c r="FKF6"/>
      <c r="FKG6"/>
      <c r="FKH6"/>
      <c r="FKI6"/>
      <c r="FKJ6"/>
      <c r="FKK6"/>
      <c r="FKL6"/>
      <c r="FKM6"/>
      <c r="FKN6"/>
      <c r="FKO6"/>
      <c r="FKP6"/>
      <c r="FKQ6"/>
      <c r="FKR6"/>
      <c r="FKS6"/>
      <c r="FKT6"/>
      <c r="FKU6"/>
      <c r="FKV6"/>
      <c r="FKW6"/>
      <c r="FKX6"/>
      <c r="FKY6"/>
      <c r="FKZ6"/>
      <c r="FLA6"/>
      <c r="FLB6"/>
      <c r="FLC6"/>
      <c r="FLD6"/>
      <c r="FLE6"/>
      <c r="FLF6"/>
      <c r="FLG6"/>
      <c r="FLH6"/>
      <c r="FLI6"/>
      <c r="FLJ6"/>
      <c r="FLK6"/>
      <c r="FLL6"/>
      <c r="FLM6"/>
      <c r="FLN6"/>
      <c r="FLO6"/>
      <c r="FLP6"/>
      <c r="FLQ6"/>
      <c r="FLR6"/>
      <c r="FLS6"/>
      <c r="FLT6"/>
      <c r="FLU6"/>
      <c r="FLV6"/>
      <c r="FLW6"/>
      <c r="FLX6"/>
      <c r="FLY6"/>
      <c r="FLZ6"/>
      <c r="FMA6"/>
      <c r="FMB6"/>
      <c r="FMC6"/>
      <c r="FMD6"/>
      <c r="FME6"/>
      <c r="FMF6"/>
      <c r="FMG6"/>
      <c r="FMH6"/>
      <c r="FMI6"/>
      <c r="FMJ6"/>
      <c r="FMK6"/>
      <c r="FML6"/>
      <c r="FMM6"/>
      <c r="FMN6"/>
      <c r="FMO6"/>
      <c r="FMP6"/>
      <c r="FMQ6"/>
      <c r="FMR6"/>
      <c r="FMS6"/>
      <c r="FMT6"/>
      <c r="FMU6"/>
      <c r="FMV6"/>
      <c r="FMW6"/>
      <c r="FMX6"/>
      <c r="FMY6"/>
      <c r="FMZ6"/>
      <c r="FNA6"/>
      <c r="FNB6"/>
      <c r="FNC6"/>
      <c r="FND6"/>
      <c r="FNE6"/>
      <c r="FNF6"/>
      <c r="FNG6"/>
      <c r="FNH6"/>
      <c r="FNI6"/>
      <c r="FNJ6"/>
      <c r="FNK6"/>
      <c r="FNL6"/>
      <c r="FNM6"/>
      <c r="FNN6"/>
      <c r="FNO6"/>
      <c r="FNP6"/>
      <c r="FNQ6"/>
      <c r="FNR6"/>
      <c r="FNS6"/>
      <c r="FNT6"/>
      <c r="FNU6"/>
      <c r="FNV6"/>
      <c r="FNW6"/>
      <c r="FNX6"/>
      <c r="FNY6"/>
      <c r="FNZ6"/>
      <c r="FOA6"/>
      <c r="FOB6"/>
      <c r="FOC6"/>
      <c r="FOD6"/>
      <c r="FOE6"/>
      <c r="FOF6"/>
      <c r="FOG6"/>
      <c r="FOH6"/>
      <c r="FOI6"/>
      <c r="FOJ6"/>
      <c r="FOK6"/>
      <c r="FOL6"/>
      <c r="FOM6"/>
      <c r="FON6"/>
      <c r="FOO6"/>
      <c r="FOP6"/>
      <c r="FOQ6"/>
      <c r="FOR6"/>
      <c r="FOS6"/>
      <c r="FOT6"/>
      <c r="FOU6"/>
      <c r="FOV6"/>
      <c r="FOW6"/>
      <c r="FOX6"/>
      <c r="FOY6"/>
      <c r="FOZ6"/>
      <c r="FPA6"/>
      <c r="FPB6"/>
      <c r="FPC6"/>
      <c r="FPD6"/>
      <c r="FPE6"/>
      <c r="FPF6"/>
      <c r="FPG6"/>
      <c r="FPH6"/>
      <c r="FPI6"/>
      <c r="FPJ6"/>
      <c r="FPK6"/>
      <c r="FPL6"/>
      <c r="FPM6"/>
      <c r="FPN6"/>
      <c r="FPO6"/>
      <c r="FPP6"/>
      <c r="FPQ6"/>
      <c r="FPR6"/>
      <c r="FPS6"/>
      <c r="FPT6"/>
      <c r="FPU6"/>
      <c r="FPV6"/>
      <c r="FPW6"/>
      <c r="FPX6"/>
      <c r="FPY6"/>
      <c r="FPZ6"/>
      <c r="FQA6"/>
      <c r="FQB6"/>
      <c r="FQC6"/>
      <c r="FQD6"/>
      <c r="FQE6"/>
      <c r="FQF6"/>
      <c r="FQG6"/>
      <c r="FQH6"/>
      <c r="FQI6"/>
      <c r="FQJ6"/>
      <c r="FQK6"/>
      <c r="FQL6"/>
      <c r="FQM6"/>
      <c r="FQN6"/>
      <c r="FQO6"/>
      <c r="FQP6"/>
      <c r="FQQ6"/>
      <c r="FQR6"/>
      <c r="FQS6"/>
      <c r="FQT6"/>
      <c r="FQU6"/>
      <c r="FQV6"/>
      <c r="FQW6"/>
      <c r="FQX6"/>
      <c r="FQY6"/>
      <c r="FQZ6"/>
      <c r="FRA6"/>
      <c r="FRB6"/>
      <c r="FRC6"/>
      <c r="FRD6"/>
      <c r="FRE6"/>
      <c r="FRF6"/>
      <c r="FRG6"/>
      <c r="FRH6"/>
      <c r="FRI6"/>
      <c r="FRJ6"/>
      <c r="FRK6"/>
      <c r="FRL6"/>
      <c r="FRM6"/>
      <c r="FRN6"/>
      <c r="FRO6"/>
      <c r="FRP6"/>
      <c r="FRQ6"/>
      <c r="FRR6"/>
      <c r="FRS6"/>
      <c r="FRT6"/>
      <c r="FRU6"/>
      <c r="FRV6"/>
      <c r="FRW6"/>
      <c r="FRX6"/>
      <c r="FRY6"/>
      <c r="FRZ6"/>
      <c r="FSA6"/>
      <c r="FSB6"/>
      <c r="FSC6"/>
      <c r="FSD6"/>
      <c r="FSE6"/>
      <c r="FSF6"/>
      <c r="FSG6"/>
      <c r="FSH6"/>
      <c r="FSI6"/>
      <c r="FSJ6"/>
      <c r="FSK6"/>
      <c r="FSL6"/>
      <c r="FSM6"/>
      <c r="FSN6"/>
      <c r="FSO6"/>
      <c r="FSP6"/>
      <c r="FSQ6"/>
      <c r="FSR6"/>
      <c r="FSS6"/>
      <c r="FST6"/>
      <c r="FSU6"/>
      <c r="FSV6"/>
      <c r="FSW6"/>
      <c r="FSX6"/>
      <c r="FSY6"/>
      <c r="FSZ6"/>
      <c r="FTA6"/>
      <c r="FTB6"/>
      <c r="FTC6"/>
      <c r="FTD6"/>
      <c r="FTE6"/>
      <c r="FTF6"/>
      <c r="FTG6"/>
      <c r="FTH6"/>
      <c r="FTI6"/>
      <c r="FTJ6"/>
      <c r="FTK6"/>
      <c r="FTL6"/>
      <c r="FTM6"/>
      <c r="FTN6"/>
      <c r="FTO6"/>
      <c r="FTP6"/>
      <c r="FTQ6"/>
      <c r="FTR6"/>
      <c r="FTS6"/>
      <c r="FTT6"/>
      <c r="FTU6"/>
      <c r="FTV6"/>
      <c r="FTW6"/>
      <c r="FTX6"/>
      <c r="FTY6"/>
      <c r="FTZ6"/>
      <c r="FUA6"/>
      <c r="FUB6"/>
      <c r="FUC6"/>
      <c r="FUD6"/>
      <c r="FUE6"/>
      <c r="FUF6"/>
      <c r="FUG6"/>
      <c r="FUH6"/>
      <c r="FUI6"/>
      <c r="FUJ6"/>
      <c r="FUK6"/>
      <c r="FUL6"/>
      <c r="FUM6"/>
      <c r="FUN6"/>
      <c r="FUO6"/>
      <c r="FUP6"/>
      <c r="FUQ6"/>
      <c r="FUR6"/>
      <c r="FUS6"/>
      <c r="FUT6"/>
      <c r="FUU6"/>
      <c r="FUV6"/>
      <c r="FUW6"/>
      <c r="FUX6"/>
      <c r="FUY6"/>
      <c r="FUZ6"/>
      <c r="FVA6"/>
      <c r="FVB6"/>
      <c r="FVC6"/>
      <c r="FVD6"/>
      <c r="FVE6"/>
      <c r="FVF6"/>
      <c r="FVG6"/>
      <c r="FVH6"/>
      <c r="FVI6"/>
      <c r="FVJ6"/>
      <c r="FVK6"/>
      <c r="FVL6"/>
      <c r="FVM6"/>
      <c r="FVN6"/>
      <c r="FVO6"/>
      <c r="FVP6"/>
      <c r="FVQ6"/>
      <c r="FVR6"/>
      <c r="FVS6"/>
      <c r="FVT6"/>
      <c r="FVU6"/>
      <c r="FVV6"/>
      <c r="FVW6"/>
      <c r="FVX6"/>
      <c r="FVY6"/>
      <c r="FVZ6"/>
      <c r="FWA6"/>
      <c r="FWB6"/>
      <c r="FWC6"/>
      <c r="FWD6"/>
      <c r="FWE6"/>
      <c r="FWF6"/>
      <c r="FWG6"/>
      <c r="FWH6"/>
      <c r="FWI6"/>
      <c r="FWJ6"/>
      <c r="FWK6"/>
      <c r="FWL6"/>
      <c r="FWM6"/>
      <c r="FWN6"/>
      <c r="FWO6"/>
      <c r="FWP6"/>
      <c r="FWQ6"/>
      <c r="FWR6"/>
      <c r="FWS6"/>
      <c r="FWT6"/>
      <c r="FWU6"/>
      <c r="FWV6"/>
      <c r="FWW6"/>
      <c r="FWX6"/>
      <c r="FWY6"/>
      <c r="FWZ6"/>
      <c r="FXA6"/>
      <c r="FXB6"/>
      <c r="FXC6"/>
      <c r="FXD6"/>
      <c r="FXE6"/>
      <c r="FXF6"/>
      <c r="FXG6"/>
      <c r="FXH6"/>
      <c r="FXI6"/>
      <c r="FXJ6"/>
      <c r="FXK6"/>
      <c r="FXL6"/>
      <c r="FXM6"/>
      <c r="FXN6"/>
      <c r="FXO6"/>
      <c r="FXP6"/>
      <c r="FXQ6"/>
      <c r="FXR6"/>
      <c r="FXS6"/>
      <c r="FXT6"/>
      <c r="FXU6"/>
      <c r="FXV6"/>
      <c r="FXW6"/>
      <c r="FXX6"/>
      <c r="FXY6"/>
      <c r="FXZ6"/>
      <c r="FYA6"/>
      <c r="FYB6"/>
      <c r="FYC6"/>
      <c r="FYD6"/>
      <c r="FYE6"/>
      <c r="FYF6"/>
      <c r="FYG6"/>
      <c r="FYH6"/>
      <c r="FYI6"/>
      <c r="FYJ6"/>
      <c r="FYK6"/>
      <c r="FYL6"/>
      <c r="FYM6"/>
      <c r="FYN6"/>
      <c r="FYO6"/>
      <c r="FYP6"/>
      <c r="FYQ6"/>
      <c r="FYR6"/>
      <c r="FYS6"/>
      <c r="FYT6"/>
      <c r="FYU6"/>
      <c r="FYV6"/>
      <c r="FYW6"/>
      <c r="FYX6"/>
      <c r="FYY6"/>
      <c r="FYZ6"/>
      <c r="FZA6"/>
      <c r="FZB6"/>
      <c r="FZC6"/>
      <c r="FZD6"/>
      <c r="FZE6"/>
      <c r="FZF6"/>
      <c r="FZG6"/>
      <c r="FZH6"/>
      <c r="FZI6"/>
      <c r="FZJ6"/>
      <c r="FZK6"/>
      <c r="FZL6"/>
      <c r="FZM6"/>
      <c r="FZN6"/>
      <c r="FZO6"/>
      <c r="FZP6"/>
      <c r="FZQ6"/>
      <c r="FZR6"/>
      <c r="FZS6"/>
      <c r="FZT6"/>
      <c r="FZU6"/>
      <c r="FZV6"/>
      <c r="FZW6"/>
      <c r="FZX6"/>
      <c r="FZY6"/>
      <c r="FZZ6"/>
      <c r="GAA6"/>
      <c r="GAB6"/>
      <c r="GAC6"/>
      <c r="GAD6"/>
      <c r="GAE6"/>
      <c r="GAF6"/>
      <c r="GAG6"/>
      <c r="GAH6"/>
      <c r="GAI6"/>
      <c r="GAJ6"/>
      <c r="GAK6"/>
      <c r="GAL6"/>
      <c r="GAM6"/>
      <c r="GAN6"/>
      <c r="GAO6"/>
      <c r="GAP6"/>
      <c r="GAQ6"/>
      <c r="GAR6"/>
      <c r="GAS6"/>
      <c r="GAT6"/>
      <c r="GAU6"/>
      <c r="GAV6"/>
      <c r="GAW6"/>
      <c r="GAX6"/>
      <c r="GAY6"/>
      <c r="GAZ6"/>
      <c r="GBA6"/>
      <c r="GBB6"/>
      <c r="GBC6"/>
      <c r="GBD6"/>
      <c r="GBE6"/>
      <c r="GBF6"/>
      <c r="GBG6"/>
      <c r="GBH6"/>
      <c r="GBI6"/>
      <c r="GBJ6"/>
      <c r="GBK6"/>
      <c r="GBL6"/>
      <c r="GBM6"/>
      <c r="GBN6"/>
      <c r="GBO6"/>
      <c r="GBP6"/>
      <c r="GBQ6"/>
      <c r="GBR6"/>
      <c r="GBS6"/>
      <c r="GBT6"/>
      <c r="GBU6"/>
      <c r="GBV6"/>
      <c r="GBW6"/>
      <c r="GBX6"/>
      <c r="GBY6"/>
      <c r="GBZ6"/>
      <c r="GCA6"/>
      <c r="GCB6"/>
      <c r="GCC6"/>
      <c r="GCD6"/>
      <c r="GCE6"/>
      <c r="GCF6"/>
      <c r="GCG6"/>
      <c r="GCH6"/>
      <c r="GCI6"/>
      <c r="GCJ6"/>
      <c r="GCK6"/>
      <c r="GCL6"/>
      <c r="GCM6"/>
      <c r="GCN6"/>
      <c r="GCO6"/>
      <c r="GCP6"/>
      <c r="GCQ6"/>
      <c r="GCR6"/>
      <c r="GCS6"/>
      <c r="GCT6"/>
      <c r="GCU6"/>
      <c r="GCV6"/>
      <c r="GCW6"/>
      <c r="GCX6"/>
      <c r="GCY6"/>
      <c r="GCZ6"/>
      <c r="GDA6"/>
      <c r="GDB6"/>
      <c r="GDC6"/>
      <c r="GDD6"/>
      <c r="GDE6"/>
      <c r="GDF6"/>
      <c r="GDG6"/>
      <c r="GDH6"/>
      <c r="GDI6"/>
      <c r="GDJ6"/>
      <c r="GDK6"/>
      <c r="GDL6"/>
      <c r="GDM6"/>
      <c r="GDN6"/>
      <c r="GDO6"/>
      <c r="GDP6"/>
      <c r="GDQ6"/>
      <c r="GDR6"/>
      <c r="GDS6"/>
      <c r="GDT6"/>
      <c r="GDU6"/>
      <c r="GDV6"/>
      <c r="GDW6"/>
      <c r="GDX6"/>
      <c r="GDY6"/>
      <c r="GDZ6"/>
      <c r="GEA6"/>
      <c r="GEB6"/>
      <c r="GEC6"/>
      <c r="GED6"/>
      <c r="GEE6"/>
      <c r="GEF6"/>
      <c r="GEG6"/>
      <c r="GEH6"/>
      <c r="GEI6"/>
      <c r="GEJ6"/>
      <c r="GEK6"/>
      <c r="GEL6"/>
      <c r="GEM6"/>
      <c r="GEN6"/>
      <c r="GEO6"/>
      <c r="GEP6"/>
      <c r="GEQ6"/>
      <c r="GER6"/>
      <c r="GES6"/>
      <c r="GET6"/>
      <c r="GEU6"/>
      <c r="GEV6"/>
      <c r="GEW6"/>
      <c r="GEX6"/>
      <c r="GEY6"/>
      <c r="GEZ6"/>
      <c r="GFA6"/>
      <c r="GFB6"/>
      <c r="GFC6"/>
      <c r="GFD6"/>
      <c r="GFE6"/>
      <c r="GFF6"/>
      <c r="GFG6"/>
      <c r="GFH6"/>
      <c r="GFI6"/>
      <c r="GFJ6"/>
      <c r="GFK6"/>
      <c r="GFL6"/>
      <c r="GFM6"/>
      <c r="GFN6"/>
      <c r="GFO6"/>
      <c r="GFP6"/>
      <c r="GFQ6"/>
      <c r="GFR6"/>
      <c r="GFS6"/>
      <c r="GFT6"/>
      <c r="GFU6"/>
      <c r="GFV6"/>
      <c r="GFW6"/>
      <c r="GFX6"/>
      <c r="GFY6"/>
      <c r="GFZ6"/>
      <c r="GGA6"/>
      <c r="GGB6"/>
      <c r="GGC6"/>
      <c r="GGD6"/>
      <c r="GGE6"/>
      <c r="GGF6"/>
      <c r="GGG6"/>
      <c r="GGH6"/>
      <c r="GGI6"/>
      <c r="GGJ6"/>
      <c r="GGK6"/>
      <c r="GGL6"/>
      <c r="GGM6"/>
      <c r="GGN6"/>
      <c r="GGO6"/>
      <c r="GGP6"/>
      <c r="GGQ6"/>
      <c r="GGR6"/>
      <c r="GGS6"/>
      <c r="GGT6"/>
      <c r="GGU6"/>
      <c r="GGV6"/>
      <c r="GGW6"/>
      <c r="GGX6"/>
      <c r="GGY6"/>
      <c r="GGZ6"/>
      <c r="GHA6"/>
      <c r="GHB6"/>
      <c r="GHC6"/>
      <c r="GHD6"/>
      <c r="GHE6"/>
      <c r="GHF6"/>
      <c r="GHG6"/>
      <c r="GHH6"/>
      <c r="GHI6"/>
      <c r="GHJ6"/>
      <c r="GHK6"/>
      <c r="GHL6"/>
      <c r="GHM6"/>
      <c r="GHN6"/>
      <c r="GHO6"/>
      <c r="GHP6"/>
      <c r="GHQ6"/>
      <c r="GHR6"/>
      <c r="GHS6"/>
      <c r="GHT6"/>
      <c r="GHU6"/>
      <c r="GHV6"/>
      <c r="GHW6"/>
      <c r="GHX6"/>
      <c r="GHY6"/>
      <c r="GHZ6"/>
      <c r="GIA6"/>
      <c r="GIB6"/>
      <c r="GIC6"/>
      <c r="GID6"/>
      <c r="GIE6"/>
      <c r="GIF6"/>
      <c r="GIG6"/>
      <c r="GIH6"/>
      <c r="GII6"/>
      <c r="GIJ6"/>
      <c r="GIK6"/>
      <c r="GIL6"/>
      <c r="GIM6"/>
      <c r="GIN6"/>
      <c r="GIO6"/>
      <c r="GIP6"/>
      <c r="GIQ6"/>
      <c r="GIR6"/>
      <c r="GIS6"/>
      <c r="GIT6"/>
      <c r="GIU6"/>
      <c r="GIV6"/>
      <c r="GIW6"/>
      <c r="GIX6"/>
      <c r="GIY6"/>
      <c r="GIZ6"/>
      <c r="GJA6"/>
      <c r="GJB6"/>
      <c r="GJC6"/>
      <c r="GJD6"/>
      <c r="GJE6"/>
      <c r="GJF6"/>
      <c r="GJG6"/>
      <c r="GJH6"/>
      <c r="GJI6"/>
      <c r="GJJ6"/>
      <c r="GJK6"/>
      <c r="GJL6"/>
      <c r="GJM6"/>
      <c r="GJN6"/>
      <c r="GJO6"/>
      <c r="GJP6"/>
      <c r="GJQ6"/>
      <c r="GJR6"/>
      <c r="GJS6"/>
      <c r="GJT6"/>
      <c r="GJU6"/>
      <c r="GJV6"/>
      <c r="GJW6"/>
      <c r="GJX6"/>
      <c r="GJY6"/>
      <c r="GJZ6"/>
      <c r="GKA6"/>
      <c r="GKB6"/>
      <c r="GKC6"/>
      <c r="GKD6"/>
      <c r="GKE6"/>
      <c r="GKF6"/>
      <c r="GKG6"/>
      <c r="GKH6"/>
      <c r="GKI6"/>
      <c r="GKJ6"/>
      <c r="GKK6"/>
      <c r="GKL6"/>
      <c r="GKM6"/>
      <c r="GKN6"/>
      <c r="GKO6"/>
      <c r="GKP6"/>
      <c r="GKQ6"/>
      <c r="GKR6"/>
      <c r="GKS6"/>
      <c r="GKT6"/>
      <c r="GKU6"/>
      <c r="GKV6"/>
      <c r="GKW6"/>
      <c r="GKX6"/>
      <c r="GKY6"/>
      <c r="GKZ6"/>
      <c r="GLA6"/>
      <c r="GLB6"/>
      <c r="GLC6"/>
      <c r="GLD6"/>
      <c r="GLE6"/>
      <c r="GLF6"/>
      <c r="GLG6"/>
      <c r="GLH6"/>
      <c r="GLI6"/>
      <c r="GLJ6"/>
      <c r="GLK6"/>
      <c r="GLL6"/>
      <c r="GLM6"/>
      <c r="GLN6"/>
      <c r="GLO6"/>
      <c r="GLP6"/>
      <c r="GLQ6"/>
      <c r="GLR6"/>
      <c r="GLS6"/>
      <c r="GLT6"/>
      <c r="GLU6"/>
      <c r="GLV6"/>
      <c r="GLW6"/>
      <c r="GLX6"/>
      <c r="GLY6"/>
      <c r="GLZ6"/>
      <c r="GMA6"/>
      <c r="GMB6"/>
      <c r="GMC6"/>
      <c r="GMD6"/>
      <c r="GME6"/>
      <c r="GMF6"/>
      <c r="GMG6"/>
      <c r="GMH6"/>
      <c r="GMI6"/>
      <c r="GMJ6"/>
      <c r="GMK6"/>
      <c r="GML6"/>
      <c r="GMM6"/>
      <c r="GMN6"/>
      <c r="GMO6"/>
      <c r="GMP6"/>
      <c r="GMQ6"/>
      <c r="GMR6"/>
      <c r="GMS6"/>
      <c r="GMT6"/>
      <c r="GMU6"/>
      <c r="GMV6"/>
      <c r="GMW6"/>
      <c r="GMX6"/>
      <c r="GMY6"/>
      <c r="GMZ6"/>
      <c r="GNA6"/>
      <c r="GNB6"/>
      <c r="GNC6"/>
      <c r="GND6"/>
      <c r="GNE6"/>
      <c r="GNF6"/>
      <c r="GNG6"/>
      <c r="GNH6"/>
      <c r="GNI6"/>
      <c r="GNJ6"/>
      <c r="GNK6"/>
      <c r="GNL6"/>
      <c r="GNM6"/>
      <c r="GNN6"/>
      <c r="GNO6"/>
      <c r="GNP6"/>
      <c r="GNQ6"/>
      <c r="GNR6"/>
      <c r="GNS6"/>
      <c r="GNT6"/>
      <c r="GNU6"/>
      <c r="GNV6"/>
      <c r="GNW6"/>
      <c r="GNX6"/>
      <c r="GNY6"/>
      <c r="GNZ6"/>
      <c r="GOA6"/>
      <c r="GOB6"/>
      <c r="GOC6"/>
      <c r="GOD6"/>
      <c r="GOE6"/>
      <c r="GOF6"/>
      <c r="GOG6"/>
      <c r="GOH6"/>
      <c r="GOI6"/>
      <c r="GOJ6"/>
      <c r="GOK6"/>
      <c r="GOL6"/>
      <c r="GOM6"/>
      <c r="GON6"/>
      <c r="GOO6"/>
      <c r="GOP6"/>
      <c r="GOQ6"/>
      <c r="GOR6"/>
      <c r="GOS6"/>
      <c r="GOT6"/>
      <c r="GOU6"/>
      <c r="GOV6"/>
      <c r="GOW6"/>
      <c r="GOX6"/>
      <c r="GOY6"/>
      <c r="GOZ6"/>
      <c r="GPA6"/>
      <c r="GPB6"/>
      <c r="GPC6"/>
      <c r="GPD6"/>
      <c r="GPE6"/>
      <c r="GPF6"/>
      <c r="GPG6"/>
      <c r="GPH6"/>
      <c r="GPI6"/>
      <c r="GPJ6"/>
      <c r="GPK6"/>
      <c r="GPL6"/>
      <c r="GPM6"/>
      <c r="GPN6"/>
      <c r="GPO6"/>
      <c r="GPP6"/>
      <c r="GPQ6"/>
      <c r="GPR6"/>
      <c r="GPS6"/>
      <c r="GPT6"/>
      <c r="GPU6"/>
      <c r="GPV6"/>
      <c r="GPW6"/>
      <c r="GPX6"/>
      <c r="GPY6"/>
      <c r="GPZ6"/>
      <c r="GQA6"/>
      <c r="GQB6"/>
      <c r="GQC6"/>
      <c r="GQD6"/>
      <c r="GQE6"/>
      <c r="GQF6"/>
      <c r="GQG6"/>
      <c r="GQH6"/>
      <c r="GQI6"/>
      <c r="GQJ6"/>
      <c r="GQK6"/>
      <c r="GQL6"/>
      <c r="GQM6"/>
      <c r="GQN6"/>
      <c r="GQO6"/>
      <c r="GQP6"/>
      <c r="GQQ6"/>
      <c r="GQR6"/>
      <c r="GQS6"/>
      <c r="GQT6"/>
      <c r="GQU6"/>
      <c r="GQV6"/>
      <c r="GQW6"/>
      <c r="GQX6"/>
      <c r="GQY6"/>
      <c r="GQZ6"/>
      <c r="GRA6"/>
      <c r="GRB6"/>
      <c r="GRC6"/>
      <c r="GRD6"/>
      <c r="GRE6"/>
      <c r="GRF6"/>
      <c r="GRG6"/>
      <c r="GRH6"/>
      <c r="GRI6"/>
      <c r="GRJ6"/>
      <c r="GRK6"/>
      <c r="GRL6"/>
      <c r="GRM6"/>
      <c r="GRN6"/>
      <c r="GRO6"/>
      <c r="GRP6"/>
      <c r="GRQ6"/>
      <c r="GRR6"/>
      <c r="GRS6"/>
      <c r="GRT6"/>
      <c r="GRU6"/>
      <c r="GRV6"/>
      <c r="GRW6"/>
      <c r="GRX6"/>
      <c r="GRY6"/>
      <c r="GRZ6"/>
      <c r="GSA6"/>
      <c r="GSB6"/>
      <c r="GSC6"/>
      <c r="GSD6"/>
      <c r="GSE6"/>
      <c r="GSF6"/>
      <c r="GSG6"/>
      <c r="GSH6"/>
      <c r="GSI6"/>
      <c r="GSJ6"/>
      <c r="GSK6"/>
      <c r="GSL6"/>
      <c r="GSM6"/>
      <c r="GSN6"/>
      <c r="GSO6"/>
      <c r="GSP6"/>
      <c r="GSQ6"/>
      <c r="GSR6"/>
      <c r="GSS6"/>
      <c r="GST6"/>
      <c r="GSU6"/>
      <c r="GSV6"/>
      <c r="GSW6"/>
      <c r="GSX6"/>
      <c r="GSY6"/>
      <c r="GSZ6"/>
      <c r="GTA6"/>
      <c r="GTB6"/>
      <c r="GTC6"/>
      <c r="GTD6"/>
      <c r="GTE6"/>
      <c r="GTF6"/>
      <c r="GTG6"/>
      <c r="GTH6"/>
      <c r="GTI6"/>
      <c r="GTJ6"/>
      <c r="GTK6"/>
      <c r="GTL6"/>
      <c r="GTM6"/>
      <c r="GTN6"/>
      <c r="GTO6"/>
      <c r="GTP6"/>
      <c r="GTQ6"/>
      <c r="GTR6"/>
      <c r="GTS6"/>
      <c r="GTT6"/>
      <c r="GTU6"/>
      <c r="GTV6"/>
      <c r="GTW6"/>
      <c r="GTX6"/>
      <c r="GTY6"/>
      <c r="GTZ6"/>
      <c r="GUA6"/>
      <c r="GUB6"/>
      <c r="GUC6"/>
      <c r="GUD6"/>
      <c r="GUE6"/>
      <c r="GUF6"/>
      <c r="GUG6"/>
      <c r="GUH6"/>
      <c r="GUI6"/>
      <c r="GUJ6"/>
      <c r="GUK6"/>
      <c r="GUL6"/>
      <c r="GUM6"/>
      <c r="GUN6"/>
      <c r="GUO6"/>
      <c r="GUP6"/>
      <c r="GUQ6"/>
      <c r="GUR6"/>
      <c r="GUS6"/>
      <c r="GUT6"/>
      <c r="GUU6"/>
      <c r="GUV6"/>
      <c r="GUW6"/>
      <c r="GUX6"/>
      <c r="GUY6"/>
      <c r="GUZ6"/>
      <c r="GVA6"/>
      <c r="GVB6"/>
      <c r="GVC6"/>
      <c r="GVD6"/>
      <c r="GVE6"/>
      <c r="GVF6"/>
      <c r="GVG6"/>
      <c r="GVH6"/>
      <c r="GVI6"/>
      <c r="GVJ6"/>
      <c r="GVK6"/>
      <c r="GVL6"/>
      <c r="GVM6"/>
      <c r="GVN6"/>
      <c r="GVO6"/>
      <c r="GVP6"/>
      <c r="GVQ6"/>
      <c r="GVR6"/>
      <c r="GVS6"/>
      <c r="GVT6"/>
      <c r="GVU6"/>
      <c r="GVV6"/>
      <c r="GVW6"/>
      <c r="GVX6"/>
      <c r="GVY6"/>
      <c r="GVZ6"/>
      <c r="GWA6"/>
      <c r="GWB6"/>
      <c r="GWC6"/>
      <c r="GWD6"/>
      <c r="GWE6"/>
      <c r="GWF6"/>
      <c r="GWG6"/>
      <c r="GWH6"/>
      <c r="GWI6"/>
      <c r="GWJ6"/>
      <c r="GWK6"/>
      <c r="GWL6"/>
      <c r="GWM6"/>
      <c r="GWN6"/>
      <c r="GWO6"/>
      <c r="GWP6"/>
      <c r="GWQ6"/>
      <c r="GWR6"/>
      <c r="GWS6"/>
      <c r="GWT6"/>
      <c r="GWU6"/>
      <c r="GWV6"/>
      <c r="GWW6"/>
      <c r="GWX6"/>
      <c r="GWY6"/>
      <c r="GWZ6"/>
      <c r="GXA6"/>
      <c r="GXB6"/>
      <c r="GXC6"/>
      <c r="GXD6"/>
      <c r="GXE6"/>
      <c r="GXF6"/>
      <c r="GXG6"/>
      <c r="GXH6"/>
      <c r="GXI6"/>
      <c r="GXJ6"/>
      <c r="GXK6"/>
      <c r="GXL6"/>
      <c r="GXM6"/>
      <c r="GXN6"/>
      <c r="GXO6"/>
      <c r="GXP6"/>
      <c r="GXQ6"/>
      <c r="GXR6"/>
      <c r="GXS6"/>
      <c r="GXT6"/>
      <c r="GXU6"/>
      <c r="GXV6"/>
      <c r="GXW6"/>
      <c r="GXX6"/>
      <c r="GXY6"/>
      <c r="GXZ6"/>
      <c r="GYA6"/>
      <c r="GYB6"/>
      <c r="GYC6"/>
      <c r="GYD6"/>
      <c r="GYE6"/>
      <c r="GYF6"/>
      <c r="GYG6"/>
      <c r="GYH6"/>
      <c r="GYI6"/>
      <c r="GYJ6"/>
      <c r="GYK6"/>
      <c r="GYL6"/>
      <c r="GYM6"/>
      <c r="GYN6"/>
      <c r="GYO6"/>
      <c r="GYP6"/>
      <c r="GYQ6"/>
      <c r="GYR6"/>
      <c r="GYS6"/>
      <c r="GYT6"/>
      <c r="GYU6"/>
      <c r="GYV6"/>
      <c r="GYW6"/>
      <c r="GYX6"/>
      <c r="GYY6"/>
      <c r="GYZ6"/>
      <c r="GZA6"/>
      <c r="GZB6"/>
      <c r="GZC6"/>
      <c r="GZD6"/>
      <c r="GZE6"/>
      <c r="GZF6"/>
      <c r="GZG6"/>
      <c r="GZH6"/>
      <c r="GZI6"/>
      <c r="GZJ6"/>
      <c r="GZK6"/>
      <c r="GZL6"/>
      <c r="GZM6"/>
      <c r="GZN6"/>
      <c r="GZO6"/>
      <c r="GZP6"/>
      <c r="GZQ6"/>
      <c r="GZR6"/>
      <c r="GZS6"/>
      <c r="GZT6"/>
      <c r="GZU6"/>
      <c r="GZV6"/>
      <c r="GZW6"/>
      <c r="GZX6"/>
      <c r="GZY6"/>
      <c r="GZZ6"/>
      <c r="HAA6"/>
      <c r="HAB6"/>
      <c r="HAC6"/>
      <c r="HAD6"/>
      <c r="HAE6"/>
      <c r="HAF6"/>
      <c r="HAG6"/>
      <c r="HAH6"/>
      <c r="HAI6"/>
      <c r="HAJ6"/>
      <c r="HAK6"/>
      <c r="HAL6"/>
      <c r="HAM6"/>
      <c r="HAN6"/>
      <c r="HAO6"/>
      <c r="HAP6"/>
      <c r="HAQ6"/>
      <c r="HAR6"/>
      <c r="HAS6"/>
      <c r="HAT6"/>
      <c r="HAU6"/>
      <c r="HAV6"/>
      <c r="HAW6"/>
      <c r="HAX6"/>
      <c r="HAY6"/>
      <c r="HAZ6"/>
      <c r="HBA6"/>
      <c r="HBB6"/>
      <c r="HBC6"/>
      <c r="HBD6"/>
      <c r="HBE6"/>
      <c r="HBF6"/>
      <c r="HBG6"/>
      <c r="HBH6"/>
      <c r="HBI6"/>
      <c r="HBJ6"/>
      <c r="HBK6"/>
      <c r="HBL6"/>
      <c r="HBM6"/>
      <c r="HBN6"/>
      <c r="HBO6"/>
      <c r="HBP6"/>
      <c r="HBQ6"/>
      <c r="HBR6"/>
      <c r="HBS6"/>
      <c r="HBT6"/>
      <c r="HBU6"/>
      <c r="HBV6"/>
      <c r="HBW6"/>
      <c r="HBX6"/>
      <c r="HBY6"/>
      <c r="HBZ6"/>
      <c r="HCA6"/>
      <c r="HCB6"/>
      <c r="HCC6"/>
      <c r="HCD6"/>
      <c r="HCE6"/>
      <c r="HCF6"/>
      <c r="HCG6"/>
      <c r="HCH6"/>
      <c r="HCI6"/>
      <c r="HCJ6"/>
      <c r="HCK6"/>
      <c r="HCL6"/>
      <c r="HCM6"/>
      <c r="HCN6"/>
      <c r="HCO6"/>
      <c r="HCP6"/>
      <c r="HCQ6"/>
      <c r="HCR6"/>
      <c r="HCS6"/>
      <c r="HCT6"/>
      <c r="HCU6"/>
      <c r="HCV6"/>
      <c r="HCW6"/>
      <c r="HCX6"/>
      <c r="HCY6"/>
      <c r="HCZ6"/>
      <c r="HDA6"/>
      <c r="HDB6"/>
      <c r="HDC6"/>
      <c r="HDD6"/>
      <c r="HDE6"/>
      <c r="HDF6"/>
      <c r="HDG6"/>
      <c r="HDH6"/>
      <c r="HDI6"/>
      <c r="HDJ6"/>
      <c r="HDK6"/>
      <c r="HDL6"/>
      <c r="HDM6"/>
      <c r="HDN6"/>
      <c r="HDO6"/>
      <c r="HDP6"/>
      <c r="HDQ6"/>
      <c r="HDR6"/>
      <c r="HDS6"/>
      <c r="HDT6"/>
      <c r="HDU6"/>
      <c r="HDV6"/>
      <c r="HDW6"/>
      <c r="HDX6"/>
      <c r="HDY6"/>
      <c r="HDZ6"/>
      <c r="HEA6"/>
      <c r="HEB6"/>
      <c r="HEC6"/>
      <c r="HED6"/>
      <c r="HEE6"/>
      <c r="HEF6"/>
      <c r="HEG6"/>
      <c r="HEH6"/>
      <c r="HEI6"/>
      <c r="HEJ6"/>
      <c r="HEK6"/>
      <c r="HEL6"/>
      <c r="HEM6"/>
      <c r="HEN6"/>
      <c r="HEO6"/>
      <c r="HEP6"/>
      <c r="HEQ6"/>
      <c r="HER6"/>
      <c r="HES6"/>
      <c r="HET6"/>
      <c r="HEU6"/>
      <c r="HEV6"/>
      <c r="HEW6"/>
      <c r="HEX6"/>
      <c r="HEY6"/>
      <c r="HEZ6"/>
      <c r="HFA6"/>
      <c r="HFB6"/>
      <c r="HFC6"/>
      <c r="HFD6"/>
      <c r="HFE6"/>
      <c r="HFF6"/>
      <c r="HFG6"/>
      <c r="HFH6"/>
      <c r="HFI6"/>
      <c r="HFJ6"/>
      <c r="HFK6"/>
      <c r="HFL6"/>
      <c r="HFM6"/>
      <c r="HFN6"/>
      <c r="HFO6"/>
      <c r="HFP6"/>
      <c r="HFQ6"/>
      <c r="HFR6"/>
      <c r="HFS6"/>
      <c r="HFT6"/>
      <c r="HFU6"/>
      <c r="HFV6"/>
      <c r="HFW6"/>
      <c r="HFX6"/>
      <c r="HFY6"/>
      <c r="HFZ6"/>
      <c r="HGA6"/>
      <c r="HGB6"/>
      <c r="HGC6"/>
      <c r="HGD6"/>
      <c r="HGE6"/>
      <c r="HGF6"/>
      <c r="HGG6"/>
      <c r="HGH6"/>
      <c r="HGI6"/>
      <c r="HGJ6"/>
      <c r="HGK6"/>
      <c r="HGL6"/>
      <c r="HGM6"/>
      <c r="HGN6"/>
      <c r="HGO6"/>
      <c r="HGP6"/>
      <c r="HGQ6"/>
      <c r="HGR6"/>
      <c r="HGS6"/>
      <c r="HGT6"/>
      <c r="HGU6"/>
      <c r="HGV6"/>
      <c r="HGW6"/>
      <c r="HGX6"/>
      <c r="HGY6"/>
      <c r="HGZ6"/>
      <c r="HHA6"/>
      <c r="HHB6"/>
      <c r="HHC6"/>
      <c r="HHD6"/>
      <c r="HHE6"/>
      <c r="HHF6"/>
      <c r="HHG6"/>
      <c r="HHH6"/>
      <c r="HHI6"/>
      <c r="HHJ6"/>
      <c r="HHK6"/>
      <c r="HHL6"/>
      <c r="HHM6"/>
      <c r="HHN6"/>
      <c r="HHO6"/>
      <c r="HHP6"/>
      <c r="HHQ6"/>
      <c r="HHR6"/>
      <c r="HHS6"/>
      <c r="HHT6"/>
      <c r="HHU6"/>
      <c r="HHV6"/>
      <c r="HHW6"/>
      <c r="HHX6"/>
      <c r="HHY6"/>
      <c r="HHZ6"/>
      <c r="HIA6"/>
      <c r="HIB6"/>
      <c r="HIC6"/>
      <c r="HID6"/>
      <c r="HIE6"/>
      <c r="HIF6"/>
      <c r="HIG6"/>
      <c r="HIH6"/>
      <c r="HII6"/>
      <c r="HIJ6"/>
      <c r="HIK6"/>
      <c r="HIL6"/>
      <c r="HIM6"/>
      <c r="HIN6"/>
      <c r="HIO6"/>
      <c r="HIP6"/>
      <c r="HIQ6"/>
      <c r="HIR6"/>
      <c r="HIS6"/>
      <c r="HIT6"/>
      <c r="HIU6"/>
      <c r="HIV6"/>
      <c r="HIW6"/>
      <c r="HIX6"/>
      <c r="HIY6"/>
      <c r="HIZ6"/>
      <c r="HJA6"/>
      <c r="HJB6"/>
      <c r="HJC6"/>
      <c r="HJD6"/>
      <c r="HJE6"/>
      <c r="HJF6"/>
      <c r="HJG6"/>
      <c r="HJH6"/>
      <c r="HJI6"/>
      <c r="HJJ6"/>
      <c r="HJK6"/>
      <c r="HJL6"/>
      <c r="HJM6"/>
      <c r="HJN6"/>
      <c r="HJO6"/>
      <c r="HJP6"/>
      <c r="HJQ6"/>
      <c r="HJR6"/>
      <c r="HJS6"/>
      <c r="HJT6"/>
      <c r="HJU6"/>
      <c r="HJV6"/>
      <c r="HJW6"/>
      <c r="HJX6"/>
      <c r="HJY6"/>
      <c r="HJZ6"/>
      <c r="HKA6"/>
      <c r="HKB6"/>
      <c r="HKC6"/>
      <c r="HKD6"/>
      <c r="HKE6"/>
      <c r="HKF6"/>
      <c r="HKG6"/>
      <c r="HKH6"/>
      <c r="HKI6"/>
      <c r="HKJ6"/>
      <c r="HKK6"/>
      <c r="HKL6"/>
      <c r="HKM6"/>
      <c r="HKN6"/>
      <c r="HKO6"/>
      <c r="HKP6"/>
      <c r="HKQ6"/>
      <c r="HKR6"/>
      <c r="HKS6"/>
      <c r="HKT6"/>
      <c r="HKU6"/>
      <c r="HKV6"/>
      <c r="HKW6"/>
      <c r="HKX6"/>
      <c r="HKY6"/>
      <c r="HKZ6"/>
      <c r="HLA6"/>
      <c r="HLB6"/>
      <c r="HLC6"/>
      <c r="HLD6"/>
      <c r="HLE6"/>
      <c r="HLF6"/>
      <c r="HLG6"/>
      <c r="HLH6"/>
      <c r="HLI6"/>
      <c r="HLJ6"/>
      <c r="HLK6"/>
      <c r="HLL6"/>
      <c r="HLM6"/>
      <c r="HLN6"/>
      <c r="HLO6"/>
      <c r="HLP6"/>
      <c r="HLQ6"/>
      <c r="HLR6"/>
      <c r="HLS6"/>
      <c r="HLT6"/>
      <c r="HLU6"/>
      <c r="HLV6"/>
      <c r="HLW6"/>
      <c r="HLX6"/>
      <c r="HLY6"/>
      <c r="HLZ6"/>
      <c r="HMA6"/>
      <c r="HMB6"/>
      <c r="HMC6"/>
      <c r="HMD6"/>
      <c r="HME6"/>
      <c r="HMF6"/>
      <c r="HMG6"/>
      <c r="HMH6"/>
      <c r="HMI6"/>
      <c r="HMJ6"/>
      <c r="HMK6"/>
      <c r="HML6"/>
      <c r="HMM6"/>
      <c r="HMN6"/>
      <c r="HMO6"/>
      <c r="HMP6"/>
      <c r="HMQ6"/>
      <c r="HMR6"/>
      <c r="HMS6"/>
      <c r="HMT6"/>
      <c r="HMU6"/>
      <c r="HMV6"/>
      <c r="HMW6"/>
      <c r="HMX6"/>
      <c r="HMY6"/>
      <c r="HMZ6"/>
      <c r="HNA6"/>
      <c r="HNB6"/>
      <c r="HNC6"/>
      <c r="HND6"/>
      <c r="HNE6"/>
      <c r="HNF6"/>
      <c r="HNG6"/>
      <c r="HNH6"/>
      <c r="HNI6"/>
      <c r="HNJ6"/>
      <c r="HNK6"/>
      <c r="HNL6"/>
      <c r="HNM6"/>
      <c r="HNN6"/>
      <c r="HNO6"/>
      <c r="HNP6"/>
      <c r="HNQ6"/>
      <c r="HNR6"/>
      <c r="HNS6"/>
      <c r="HNT6"/>
      <c r="HNU6"/>
      <c r="HNV6"/>
      <c r="HNW6"/>
      <c r="HNX6"/>
      <c r="HNY6"/>
      <c r="HNZ6"/>
      <c r="HOA6"/>
      <c r="HOB6"/>
      <c r="HOC6"/>
      <c r="HOD6"/>
      <c r="HOE6"/>
      <c r="HOF6"/>
      <c r="HOG6"/>
      <c r="HOH6"/>
      <c r="HOI6"/>
      <c r="HOJ6"/>
      <c r="HOK6"/>
      <c r="HOL6"/>
      <c r="HOM6"/>
      <c r="HON6"/>
      <c r="HOO6"/>
      <c r="HOP6"/>
      <c r="HOQ6"/>
      <c r="HOR6"/>
      <c r="HOS6"/>
      <c r="HOT6"/>
      <c r="HOU6"/>
      <c r="HOV6"/>
      <c r="HOW6"/>
      <c r="HOX6"/>
      <c r="HOY6"/>
      <c r="HOZ6"/>
      <c r="HPA6"/>
      <c r="HPB6"/>
      <c r="HPC6"/>
      <c r="HPD6"/>
      <c r="HPE6"/>
      <c r="HPF6"/>
      <c r="HPG6"/>
      <c r="HPH6"/>
      <c r="HPI6"/>
      <c r="HPJ6"/>
      <c r="HPK6"/>
      <c r="HPL6"/>
      <c r="HPM6"/>
      <c r="HPN6"/>
      <c r="HPO6"/>
      <c r="HPP6"/>
      <c r="HPQ6"/>
      <c r="HPR6"/>
      <c r="HPS6"/>
      <c r="HPT6"/>
      <c r="HPU6"/>
      <c r="HPV6"/>
      <c r="HPW6"/>
      <c r="HPX6"/>
      <c r="HPY6"/>
      <c r="HPZ6"/>
      <c r="HQA6"/>
      <c r="HQB6"/>
      <c r="HQC6"/>
      <c r="HQD6"/>
      <c r="HQE6"/>
      <c r="HQF6"/>
      <c r="HQG6"/>
      <c r="HQH6"/>
      <c r="HQI6"/>
      <c r="HQJ6"/>
      <c r="HQK6"/>
      <c r="HQL6"/>
      <c r="HQM6"/>
      <c r="HQN6"/>
      <c r="HQO6"/>
      <c r="HQP6"/>
      <c r="HQQ6"/>
      <c r="HQR6"/>
      <c r="HQS6"/>
      <c r="HQT6"/>
      <c r="HQU6"/>
      <c r="HQV6"/>
      <c r="HQW6"/>
      <c r="HQX6"/>
      <c r="HQY6"/>
      <c r="HQZ6"/>
      <c r="HRA6"/>
      <c r="HRB6"/>
      <c r="HRC6"/>
      <c r="HRD6"/>
      <c r="HRE6"/>
      <c r="HRF6"/>
      <c r="HRG6"/>
      <c r="HRH6"/>
      <c r="HRI6"/>
      <c r="HRJ6"/>
      <c r="HRK6"/>
      <c r="HRL6"/>
      <c r="HRM6"/>
      <c r="HRN6"/>
      <c r="HRO6"/>
      <c r="HRP6"/>
      <c r="HRQ6"/>
      <c r="HRR6"/>
      <c r="HRS6"/>
      <c r="HRT6"/>
      <c r="HRU6"/>
      <c r="HRV6"/>
      <c r="HRW6"/>
      <c r="HRX6"/>
      <c r="HRY6"/>
      <c r="HRZ6"/>
      <c r="HSA6"/>
      <c r="HSB6"/>
      <c r="HSC6"/>
      <c r="HSD6"/>
      <c r="HSE6"/>
      <c r="HSF6"/>
      <c r="HSG6"/>
      <c r="HSH6"/>
      <c r="HSI6"/>
      <c r="HSJ6"/>
      <c r="HSK6"/>
      <c r="HSL6"/>
      <c r="HSM6"/>
      <c r="HSN6"/>
      <c r="HSO6"/>
      <c r="HSP6"/>
      <c r="HSQ6"/>
      <c r="HSR6"/>
      <c r="HSS6"/>
      <c r="HST6"/>
      <c r="HSU6"/>
      <c r="HSV6"/>
      <c r="HSW6"/>
      <c r="HSX6"/>
      <c r="HSY6"/>
      <c r="HSZ6"/>
      <c r="HTA6"/>
      <c r="HTB6"/>
      <c r="HTC6"/>
      <c r="HTD6"/>
      <c r="HTE6"/>
      <c r="HTF6"/>
      <c r="HTG6"/>
      <c r="HTH6"/>
      <c r="HTI6"/>
      <c r="HTJ6"/>
      <c r="HTK6"/>
      <c r="HTL6"/>
      <c r="HTM6"/>
      <c r="HTN6"/>
      <c r="HTO6"/>
      <c r="HTP6"/>
      <c r="HTQ6"/>
      <c r="HTR6"/>
      <c r="HTS6"/>
      <c r="HTT6"/>
      <c r="HTU6"/>
      <c r="HTV6"/>
      <c r="HTW6"/>
      <c r="HTX6"/>
      <c r="HTY6"/>
      <c r="HTZ6"/>
      <c r="HUA6"/>
      <c r="HUB6"/>
      <c r="HUC6"/>
      <c r="HUD6"/>
      <c r="HUE6"/>
      <c r="HUF6"/>
      <c r="HUG6"/>
      <c r="HUH6"/>
      <c r="HUI6"/>
      <c r="HUJ6"/>
      <c r="HUK6"/>
      <c r="HUL6"/>
      <c r="HUM6"/>
      <c r="HUN6"/>
      <c r="HUO6"/>
      <c r="HUP6"/>
      <c r="HUQ6"/>
      <c r="HUR6"/>
      <c r="HUS6"/>
      <c r="HUT6"/>
      <c r="HUU6"/>
      <c r="HUV6"/>
      <c r="HUW6"/>
      <c r="HUX6"/>
      <c r="HUY6"/>
      <c r="HUZ6"/>
      <c r="HVA6"/>
      <c r="HVB6"/>
      <c r="HVC6"/>
      <c r="HVD6"/>
      <c r="HVE6"/>
      <c r="HVF6"/>
      <c r="HVG6"/>
      <c r="HVH6"/>
      <c r="HVI6"/>
      <c r="HVJ6"/>
      <c r="HVK6"/>
      <c r="HVL6"/>
      <c r="HVM6"/>
      <c r="HVN6"/>
      <c r="HVO6"/>
      <c r="HVP6"/>
      <c r="HVQ6"/>
      <c r="HVR6"/>
      <c r="HVS6"/>
      <c r="HVT6"/>
      <c r="HVU6"/>
      <c r="HVV6"/>
      <c r="HVW6"/>
      <c r="HVX6"/>
      <c r="HVY6"/>
      <c r="HVZ6"/>
      <c r="HWA6"/>
      <c r="HWB6"/>
      <c r="HWC6"/>
      <c r="HWD6"/>
      <c r="HWE6"/>
      <c r="HWF6"/>
      <c r="HWG6"/>
      <c r="HWH6"/>
      <c r="HWI6"/>
      <c r="HWJ6"/>
      <c r="HWK6"/>
      <c r="HWL6"/>
      <c r="HWM6"/>
      <c r="HWN6"/>
      <c r="HWO6"/>
      <c r="HWP6"/>
      <c r="HWQ6"/>
      <c r="HWR6"/>
      <c r="HWS6"/>
      <c r="HWT6"/>
      <c r="HWU6"/>
      <c r="HWV6"/>
      <c r="HWW6"/>
      <c r="HWX6"/>
      <c r="HWY6"/>
      <c r="HWZ6"/>
      <c r="HXA6"/>
      <c r="HXB6"/>
      <c r="HXC6"/>
      <c r="HXD6"/>
      <c r="HXE6"/>
      <c r="HXF6"/>
      <c r="HXG6"/>
      <c r="HXH6"/>
      <c r="HXI6"/>
      <c r="HXJ6"/>
      <c r="HXK6"/>
      <c r="HXL6"/>
      <c r="HXM6"/>
      <c r="HXN6"/>
      <c r="HXO6"/>
      <c r="HXP6"/>
      <c r="HXQ6"/>
      <c r="HXR6"/>
      <c r="HXS6"/>
      <c r="HXT6"/>
      <c r="HXU6"/>
      <c r="HXV6"/>
      <c r="HXW6"/>
      <c r="HXX6"/>
      <c r="HXY6"/>
      <c r="HXZ6"/>
      <c r="HYA6"/>
      <c r="HYB6"/>
      <c r="HYC6"/>
      <c r="HYD6"/>
      <c r="HYE6"/>
      <c r="HYF6"/>
      <c r="HYG6"/>
      <c r="HYH6"/>
      <c r="HYI6"/>
      <c r="HYJ6"/>
      <c r="HYK6"/>
      <c r="HYL6"/>
      <c r="HYM6"/>
      <c r="HYN6"/>
      <c r="HYO6"/>
      <c r="HYP6"/>
      <c r="HYQ6"/>
      <c r="HYR6"/>
      <c r="HYS6"/>
      <c r="HYT6"/>
      <c r="HYU6"/>
      <c r="HYV6"/>
      <c r="HYW6"/>
      <c r="HYX6"/>
      <c r="HYY6"/>
      <c r="HYZ6"/>
      <c r="HZA6"/>
      <c r="HZB6"/>
      <c r="HZC6"/>
      <c r="HZD6"/>
      <c r="HZE6"/>
      <c r="HZF6"/>
      <c r="HZG6"/>
      <c r="HZH6"/>
      <c r="HZI6"/>
      <c r="HZJ6"/>
      <c r="HZK6"/>
      <c r="HZL6"/>
      <c r="HZM6"/>
      <c r="HZN6"/>
      <c r="HZO6"/>
      <c r="HZP6"/>
      <c r="HZQ6"/>
      <c r="HZR6"/>
      <c r="HZS6"/>
      <c r="HZT6"/>
      <c r="HZU6"/>
      <c r="HZV6"/>
      <c r="HZW6"/>
      <c r="HZX6"/>
      <c r="HZY6"/>
      <c r="HZZ6"/>
      <c r="IAA6"/>
      <c r="IAB6"/>
      <c r="IAC6"/>
      <c r="IAD6"/>
      <c r="IAE6"/>
      <c r="IAF6"/>
      <c r="IAG6"/>
      <c r="IAH6"/>
      <c r="IAI6"/>
      <c r="IAJ6"/>
      <c r="IAK6"/>
      <c r="IAL6"/>
      <c r="IAM6"/>
      <c r="IAN6"/>
      <c r="IAO6"/>
      <c r="IAP6"/>
      <c r="IAQ6"/>
      <c r="IAR6"/>
      <c r="IAS6"/>
      <c r="IAT6"/>
      <c r="IAU6"/>
      <c r="IAV6"/>
      <c r="IAW6"/>
      <c r="IAX6"/>
      <c r="IAY6"/>
      <c r="IAZ6"/>
      <c r="IBA6"/>
      <c r="IBB6"/>
      <c r="IBC6"/>
      <c r="IBD6"/>
      <c r="IBE6"/>
      <c r="IBF6"/>
      <c r="IBG6"/>
      <c r="IBH6"/>
      <c r="IBI6"/>
      <c r="IBJ6"/>
      <c r="IBK6"/>
      <c r="IBL6"/>
      <c r="IBM6"/>
      <c r="IBN6"/>
      <c r="IBO6"/>
      <c r="IBP6"/>
      <c r="IBQ6"/>
      <c r="IBR6"/>
      <c r="IBS6"/>
      <c r="IBT6"/>
      <c r="IBU6"/>
      <c r="IBV6"/>
      <c r="IBW6"/>
      <c r="IBX6"/>
      <c r="IBY6"/>
      <c r="IBZ6"/>
      <c r="ICA6"/>
      <c r="ICB6"/>
      <c r="ICC6"/>
      <c r="ICD6"/>
      <c r="ICE6"/>
      <c r="ICF6"/>
      <c r="ICG6"/>
      <c r="ICH6"/>
      <c r="ICI6"/>
      <c r="ICJ6"/>
      <c r="ICK6"/>
      <c r="ICL6"/>
      <c r="ICM6"/>
      <c r="ICN6"/>
      <c r="ICO6"/>
      <c r="ICP6"/>
      <c r="ICQ6"/>
      <c r="ICR6"/>
      <c r="ICS6"/>
      <c r="ICT6"/>
      <c r="ICU6"/>
      <c r="ICV6"/>
      <c r="ICW6"/>
      <c r="ICX6"/>
      <c r="ICY6"/>
      <c r="ICZ6"/>
      <c r="IDA6"/>
      <c r="IDB6"/>
      <c r="IDC6"/>
      <c r="IDD6"/>
      <c r="IDE6"/>
      <c r="IDF6"/>
      <c r="IDG6"/>
      <c r="IDH6"/>
      <c r="IDI6"/>
      <c r="IDJ6"/>
      <c r="IDK6"/>
      <c r="IDL6"/>
      <c r="IDM6"/>
      <c r="IDN6"/>
      <c r="IDO6"/>
      <c r="IDP6"/>
      <c r="IDQ6"/>
      <c r="IDR6"/>
      <c r="IDS6"/>
      <c r="IDT6"/>
      <c r="IDU6"/>
      <c r="IDV6"/>
      <c r="IDW6"/>
      <c r="IDX6"/>
      <c r="IDY6"/>
      <c r="IDZ6"/>
      <c r="IEA6"/>
      <c r="IEB6"/>
      <c r="IEC6"/>
      <c r="IED6"/>
      <c r="IEE6"/>
      <c r="IEF6"/>
      <c r="IEG6"/>
      <c r="IEH6"/>
      <c r="IEI6"/>
      <c r="IEJ6"/>
      <c r="IEK6"/>
      <c r="IEL6"/>
      <c r="IEM6"/>
      <c r="IEN6"/>
      <c r="IEO6"/>
      <c r="IEP6"/>
      <c r="IEQ6"/>
      <c r="IER6"/>
      <c r="IES6"/>
      <c r="IET6"/>
      <c r="IEU6"/>
      <c r="IEV6"/>
      <c r="IEW6"/>
      <c r="IEX6"/>
      <c r="IEY6"/>
      <c r="IEZ6"/>
      <c r="IFA6"/>
      <c r="IFB6"/>
      <c r="IFC6"/>
      <c r="IFD6"/>
      <c r="IFE6"/>
      <c r="IFF6"/>
      <c r="IFG6"/>
      <c r="IFH6"/>
      <c r="IFI6"/>
      <c r="IFJ6"/>
      <c r="IFK6"/>
      <c r="IFL6"/>
      <c r="IFM6"/>
      <c r="IFN6"/>
      <c r="IFO6"/>
      <c r="IFP6"/>
      <c r="IFQ6"/>
      <c r="IFR6"/>
      <c r="IFS6"/>
      <c r="IFT6"/>
      <c r="IFU6"/>
      <c r="IFV6"/>
      <c r="IFW6"/>
      <c r="IFX6"/>
      <c r="IFY6"/>
      <c r="IFZ6"/>
      <c r="IGA6"/>
      <c r="IGB6"/>
      <c r="IGC6"/>
      <c r="IGD6"/>
      <c r="IGE6"/>
      <c r="IGF6"/>
      <c r="IGG6"/>
      <c r="IGH6"/>
      <c r="IGI6"/>
      <c r="IGJ6"/>
      <c r="IGK6"/>
      <c r="IGL6"/>
      <c r="IGM6"/>
      <c r="IGN6"/>
      <c r="IGO6"/>
      <c r="IGP6"/>
      <c r="IGQ6"/>
      <c r="IGR6"/>
      <c r="IGS6"/>
      <c r="IGT6"/>
      <c r="IGU6"/>
      <c r="IGV6"/>
      <c r="IGW6"/>
      <c r="IGX6"/>
      <c r="IGY6"/>
      <c r="IGZ6"/>
      <c r="IHA6"/>
      <c r="IHB6"/>
      <c r="IHC6"/>
      <c r="IHD6"/>
      <c r="IHE6"/>
      <c r="IHF6"/>
      <c r="IHG6"/>
      <c r="IHH6"/>
      <c r="IHI6"/>
      <c r="IHJ6"/>
      <c r="IHK6"/>
      <c r="IHL6"/>
      <c r="IHM6"/>
      <c r="IHN6"/>
      <c r="IHO6"/>
      <c r="IHP6"/>
      <c r="IHQ6"/>
      <c r="IHR6"/>
      <c r="IHS6"/>
      <c r="IHT6"/>
      <c r="IHU6"/>
      <c r="IHV6"/>
      <c r="IHW6"/>
      <c r="IHX6"/>
      <c r="IHY6"/>
      <c r="IHZ6"/>
      <c r="IIA6"/>
      <c r="IIB6"/>
      <c r="IIC6"/>
      <c r="IID6"/>
      <c r="IIE6"/>
      <c r="IIF6"/>
      <c r="IIG6"/>
      <c r="IIH6"/>
      <c r="III6"/>
      <c r="IIJ6"/>
      <c r="IIK6"/>
      <c r="IIL6"/>
      <c r="IIM6"/>
      <c r="IIN6"/>
      <c r="IIO6"/>
      <c r="IIP6"/>
      <c r="IIQ6"/>
      <c r="IIR6"/>
      <c r="IIS6"/>
      <c r="IIT6"/>
      <c r="IIU6"/>
      <c r="IIV6"/>
      <c r="IIW6"/>
      <c r="IIX6"/>
      <c r="IIY6"/>
      <c r="IIZ6"/>
      <c r="IJA6"/>
      <c r="IJB6"/>
      <c r="IJC6"/>
      <c r="IJD6"/>
      <c r="IJE6"/>
      <c r="IJF6"/>
      <c r="IJG6"/>
      <c r="IJH6"/>
      <c r="IJI6"/>
      <c r="IJJ6"/>
      <c r="IJK6"/>
      <c r="IJL6"/>
      <c r="IJM6"/>
      <c r="IJN6"/>
      <c r="IJO6"/>
      <c r="IJP6"/>
      <c r="IJQ6"/>
      <c r="IJR6"/>
      <c r="IJS6"/>
      <c r="IJT6"/>
      <c r="IJU6"/>
      <c r="IJV6"/>
      <c r="IJW6"/>
      <c r="IJX6"/>
      <c r="IJY6"/>
      <c r="IJZ6"/>
      <c r="IKA6"/>
      <c r="IKB6"/>
      <c r="IKC6"/>
      <c r="IKD6"/>
      <c r="IKE6"/>
      <c r="IKF6"/>
      <c r="IKG6"/>
      <c r="IKH6"/>
      <c r="IKI6"/>
      <c r="IKJ6"/>
      <c r="IKK6"/>
      <c r="IKL6"/>
      <c r="IKM6"/>
      <c r="IKN6"/>
      <c r="IKO6"/>
      <c r="IKP6"/>
      <c r="IKQ6"/>
      <c r="IKR6"/>
      <c r="IKS6"/>
      <c r="IKT6"/>
      <c r="IKU6"/>
      <c r="IKV6"/>
      <c r="IKW6"/>
      <c r="IKX6"/>
      <c r="IKY6"/>
      <c r="IKZ6"/>
      <c r="ILA6"/>
      <c r="ILB6"/>
      <c r="ILC6"/>
      <c r="ILD6"/>
      <c r="ILE6"/>
      <c r="ILF6"/>
      <c r="ILG6"/>
      <c r="ILH6"/>
      <c r="ILI6"/>
      <c r="ILJ6"/>
      <c r="ILK6"/>
      <c r="ILL6"/>
      <c r="ILM6"/>
      <c r="ILN6"/>
      <c r="ILO6"/>
      <c r="ILP6"/>
      <c r="ILQ6"/>
      <c r="ILR6"/>
      <c r="ILS6"/>
      <c r="ILT6"/>
      <c r="ILU6"/>
      <c r="ILV6"/>
      <c r="ILW6"/>
      <c r="ILX6"/>
      <c r="ILY6"/>
      <c r="ILZ6"/>
      <c r="IMA6"/>
      <c r="IMB6"/>
      <c r="IMC6"/>
      <c r="IMD6"/>
      <c r="IME6"/>
      <c r="IMF6"/>
      <c r="IMG6"/>
      <c r="IMH6"/>
      <c r="IMI6"/>
      <c r="IMJ6"/>
      <c r="IMK6"/>
      <c r="IML6"/>
      <c r="IMM6"/>
      <c r="IMN6"/>
      <c r="IMO6"/>
      <c r="IMP6"/>
      <c r="IMQ6"/>
      <c r="IMR6"/>
      <c r="IMS6"/>
      <c r="IMT6"/>
      <c r="IMU6"/>
      <c r="IMV6"/>
      <c r="IMW6"/>
      <c r="IMX6"/>
      <c r="IMY6"/>
      <c r="IMZ6"/>
      <c r="INA6"/>
      <c r="INB6"/>
      <c r="INC6"/>
      <c r="IND6"/>
      <c r="INE6"/>
      <c r="INF6"/>
      <c r="ING6"/>
      <c r="INH6"/>
      <c r="INI6"/>
      <c r="INJ6"/>
      <c r="INK6"/>
      <c r="INL6"/>
      <c r="INM6"/>
      <c r="INN6"/>
      <c r="INO6"/>
      <c r="INP6"/>
      <c r="INQ6"/>
      <c r="INR6"/>
      <c r="INS6"/>
      <c r="INT6"/>
      <c r="INU6"/>
      <c r="INV6"/>
      <c r="INW6"/>
      <c r="INX6"/>
      <c r="INY6"/>
      <c r="INZ6"/>
      <c r="IOA6"/>
      <c r="IOB6"/>
      <c r="IOC6"/>
      <c r="IOD6"/>
      <c r="IOE6"/>
      <c r="IOF6"/>
      <c r="IOG6"/>
      <c r="IOH6"/>
      <c r="IOI6"/>
      <c r="IOJ6"/>
      <c r="IOK6"/>
      <c r="IOL6"/>
      <c r="IOM6"/>
      <c r="ION6"/>
      <c r="IOO6"/>
      <c r="IOP6"/>
      <c r="IOQ6"/>
      <c r="IOR6"/>
      <c r="IOS6"/>
      <c r="IOT6"/>
      <c r="IOU6"/>
      <c r="IOV6"/>
      <c r="IOW6"/>
      <c r="IOX6"/>
      <c r="IOY6"/>
      <c r="IOZ6"/>
      <c r="IPA6"/>
      <c r="IPB6"/>
      <c r="IPC6"/>
      <c r="IPD6"/>
      <c r="IPE6"/>
      <c r="IPF6"/>
      <c r="IPG6"/>
      <c r="IPH6"/>
      <c r="IPI6"/>
      <c r="IPJ6"/>
      <c r="IPK6"/>
      <c r="IPL6"/>
      <c r="IPM6"/>
      <c r="IPN6"/>
      <c r="IPO6"/>
      <c r="IPP6"/>
      <c r="IPQ6"/>
      <c r="IPR6"/>
      <c r="IPS6"/>
      <c r="IPT6"/>
      <c r="IPU6"/>
      <c r="IPV6"/>
      <c r="IPW6"/>
      <c r="IPX6"/>
      <c r="IPY6"/>
      <c r="IPZ6"/>
      <c r="IQA6"/>
      <c r="IQB6"/>
      <c r="IQC6"/>
      <c r="IQD6"/>
      <c r="IQE6"/>
      <c r="IQF6"/>
      <c r="IQG6"/>
      <c r="IQH6"/>
      <c r="IQI6"/>
      <c r="IQJ6"/>
      <c r="IQK6"/>
      <c r="IQL6"/>
      <c r="IQM6"/>
      <c r="IQN6"/>
      <c r="IQO6"/>
      <c r="IQP6"/>
      <c r="IQQ6"/>
      <c r="IQR6"/>
      <c r="IQS6"/>
      <c r="IQT6"/>
      <c r="IQU6"/>
      <c r="IQV6"/>
      <c r="IQW6"/>
      <c r="IQX6"/>
      <c r="IQY6"/>
      <c r="IQZ6"/>
      <c r="IRA6"/>
      <c r="IRB6"/>
      <c r="IRC6"/>
      <c r="IRD6"/>
      <c r="IRE6"/>
      <c r="IRF6"/>
      <c r="IRG6"/>
      <c r="IRH6"/>
      <c r="IRI6"/>
      <c r="IRJ6"/>
      <c r="IRK6"/>
      <c r="IRL6"/>
      <c r="IRM6"/>
      <c r="IRN6"/>
      <c r="IRO6"/>
      <c r="IRP6"/>
      <c r="IRQ6"/>
      <c r="IRR6"/>
      <c r="IRS6"/>
      <c r="IRT6"/>
      <c r="IRU6"/>
      <c r="IRV6"/>
      <c r="IRW6"/>
      <c r="IRX6"/>
      <c r="IRY6"/>
      <c r="IRZ6"/>
      <c r="ISA6"/>
      <c r="ISB6"/>
      <c r="ISC6"/>
      <c r="ISD6"/>
      <c r="ISE6"/>
      <c r="ISF6"/>
      <c r="ISG6"/>
      <c r="ISH6"/>
      <c r="ISI6"/>
      <c r="ISJ6"/>
      <c r="ISK6"/>
      <c r="ISL6"/>
      <c r="ISM6"/>
      <c r="ISN6"/>
      <c r="ISO6"/>
      <c r="ISP6"/>
      <c r="ISQ6"/>
      <c r="ISR6"/>
      <c r="ISS6"/>
      <c r="IST6"/>
      <c r="ISU6"/>
      <c r="ISV6"/>
      <c r="ISW6"/>
      <c r="ISX6"/>
      <c r="ISY6"/>
      <c r="ISZ6"/>
      <c r="ITA6"/>
      <c r="ITB6"/>
      <c r="ITC6"/>
      <c r="ITD6"/>
      <c r="ITE6"/>
      <c r="ITF6"/>
      <c r="ITG6"/>
      <c r="ITH6"/>
      <c r="ITI6"/>
      <c r="ITJ6"/>
      <c r="ITK6"/>
      <c r="ITL6"/>
      <c r="ITM6"/>
      <c r="ITN6"/>
      <c r="ITO6"/>
      <c r="ITP6"/>
      <c r="ITQ6"/>
      <c r="ITR6"/>
      <c r="ITS6"/>
      <c r="ITT6"/>
      <c r="ITU6"/>
      <c r="ITV6"/>
      <c r="ITW6"/>
      <c r="ITX6"/>
      <c r="ITY6"/>
      <c r="ITZ6"/>
      <c r="IUA6"/>
      <c r="IUB6"/>
      <c r="IUC6"/>
      <c r="IUD6"/>
      <c r="IUE6"/>
      <c r="IUF6"/>
      <c r="IUG6"/>
      <c r="IUH6"/>
      <c r="IUI6"/>
      <c r="IUJ6"/>
      <c r="IUK6"/>
      <c r="IUL6"/>
      <c r="IUM6"/>
      <c r="IUN6"/>
      <c r="IUO6"/>
      <c r="IUP6"/>
      <c r="IUQ6"/>
      <c r="IUR6"/>
      <c r="IUS6"/>
      <c r="IUT6"/>
      <c r="IUU6"/>
      <c r="IUV6"/>
      <c r="IUW6"/>
      <c r="IUX6"/>
      <c r="IUY6"/>
      <c r="IUZ6"/>
      <c r="IVA6"/>
      <c r="IVB6"/>
      <c r="IVC6"/>
      <c r="IVD6"/>
      <c r="IVE6"/>
      <c r="IVF6"/>
      <c r="IVG6"/>
      <c r="IVH6"/>
      <c r="IVI6"/>
      <c r="IVJ6"/>
      <c r="IVK6"/>
      <c r="IVL6"/>
      <c r="IVM6"/>
      <c r="IVN6"/>
      <c r="IVO6"/>
      <c r="IVP6"/>
      <c r="IVQ6"/>
      <c r="IVR6"/>
      <c r="IVS6"/>
      <c r="IVT6"/>
      <c r="IVU6"/>
      <c r="IVV6"/>
      <c r="IVW6"/>
      <c r="IVX6"/>
      <c r="IVY6"/>
      <c r="IVZ6"/>
      <c r="IWA6"/>
      <c r="IWB6"/>
      <c r="IWC6"/>
      <c r="IWD6"/>
      <c r="IWE6"/>
      <c r="IWF6"/>
      <c r="IWG6"/>
      <c r="IWH6"/>
      <c r="IWI6"/>
      <c r="IWJ6"/>
      <c r="IWK6"/>
      <c r="IWL6"/>
      <c r="IWM6"/>
      <c r="IWN6"/>
      <c r="IWO6"/>
      <c r="IWP6"/>
      <c r="IWQ6"/>
      <c r="IWR6"/>
      <c r="IWS6"/>
      <c r="IWT6"/>
      <c r="IWU6"/>
      <c r="IWV6"/>
      <c r="IWW6"/>
      <c r="IWX6"/>
      <c r="IWY6"/>
      <c r="IWZ6"/>
      <c r="IXA6"/>
      <c r="IXB6"/>
      <c r="IXC6"/>
      <c r="IXD6"/>
      <c r="IXE6"/>
      <c r="IXF6"/>
      <c r="IXG6"/>
      <c r="IXH6"/>
      <c r="IXI6"/>
      <c r="IXJ6"/>
      <c r="IXK6"/>
      <c r="IXL6"/>
      <c r="IXM6"/>
      <c r="IXN6"/>
      <c r="IXO6"/>
      <c r="IXP6"/>
      <c r="IXQ6"/>
      <c r="IXR6"/>
      <c r="IXS6"/>
      <c r="IXT6"/>
      <c r="IXU6"/>
      <c r="IXV6"/>
      <c r="IXW6"/>
      <c r="IXX6"/>
      <c r="IXY6"/>
      <c r="IXZ6"/>
      <c r="IYA6"/>
      <c r="IYB6"/>
      <c r="IYC6"/>
      <c r="IYD6"/>
      <c r="IYE6"/>
      <c r="IYF6"/>
      <c r="IYG6"/>
      <c r="IYH6"/>
      <c r="IYI6"/>
      <c r="IYJ6"/>
      <c r="IYK6"/>
      <c r="IYL6"/>
      <c r="IYM6"/>
      <c r="IYN6"/>
      <c r="IYO6"/>
      <c r="IYP6"/>
      <c r="IYQ6"/>
      <c r="IYR6"/>
      <c r="IYS6"/>
      <c r="IYT6"/>
      <c r="IYU6"/>
      <c r="IYV6"/>
      <c r="IYW6"/>
      <c r="IYX6"/>
      <c r="IYY6"/>
      <c r="IYZ6"/>
      <c r="IZA6"/>
      <c r="IZB6"/>
      <c r="IZC6"/>
      <c r="IZD6"/>
      <c r="IZE6"/>
      <c r="IZF6"/>
      <c r="IZG6"/>
      <c r="IZH6"/>
      <c r="IZI6"/>
      <c r="IZJ6"/>
      <c r="IZK6"/>
      <c r="IZL6"/>
      <c r="IZM6"/>
      <c r="IZN6"/>
      <c r="IZO6"/>
      <c r="IZP6"/>
      <c r="IZQ6"/>
      <c r="IZR6"/>
      <c r="IZS6"/>
      <c r="IZT6"/>
      <c r="IZU6"/>
      <c r="IZV6"/>
      <c r="IZW6"/>
      <c r="IZX6"/>
      <c r="IZY6"/>
      <c r="IZZ6"/>
      <c r="JAA6"/>
      <c r="JAB6"/>
      <c r="JAC6"/>
      <c r="JAD6"/>
      <c r="JAE6"/>
      <c r="JAF6"/>
      <c r="JAG6"/>
      <c r="JAH6"/>
      <c r="JAI6"/>
      <c r="JAJ6"/>
      <c r="JAK6"/>
      <c r="JAL6"/>
      <c r="JAM6"/>
      <c r="JAN6"/>
      <c r="JAO6"/>
      <c r="JAP6"/>
      <c r="JAQ6"/>
      <c r="JAR6"/>
      <c r="JAS6"/>
      <c r="JAT6"/>
      <c r="JAU6"/>
      <c r="JAV6"/>
      <c r="JAW6"/>
      <c r="JAX6"/>
      <c r="JAY6"/>
      <c r="JAZ6"/>
      <c r="JBA6"/>
      <c r="JBB6"/>
      <c r="JBC6"/>
      <c r="JBD6"/>
      <c r="JBE6"/>
      <c r="JBF6"/>
      <c r="JBG6"/>
      <c r="JBH6"/>
      <c r="JBI6"/>
      <c r="JBJ6"/>
      <c r="JBK6"/>
      <c r="JBL6"/>
      <c r="JBM6"/>
      <c r="JBN6"/>
      <c r="JBO6"/>
      <c r="JBP6"/>
      <c r="JBQ6"/>
      <c r="JBR6"/>
      <c r="JBS6"/>
      <c r="JBT6"/>
      <c r="JBU6"/>
      <c r="JBV6"/>
      <c r="JBW6"/>
      <c r="JBX6"/>
      <c r="JBY6"/>
      <c r="JBZ6"/>
      <c r="JCA6"/>
      <c r="JCB6"/>
      <c r="JCC6"/>
      <c r="JCD6"/>
      <c r="JCE6"/>
      <c r="JCF6"/>
      <c r="JCG6"/>
      <c r="JCH6"/>
      <c r="JCI6"/>
      <c r="JCJ6"/>
      <c r="JCK6"/>
      <c r="JCL6"/>
      <c r="JCM6"/>
      <c r="JCN6"/>
      <c r="JCO6"/>
      <c r="JCP6"/>
      <c r="JCQ6"/>
      <c r="JCR6"/>
      <c r="JCS6"/>
      <c r="JCT6"/>
      <c r="JCU6"/>
      <c r="JCV6"/>
      <c r="JCW6"/>
      <c r="JCX6"/>
      <c r="JCY6"/>
      <c r="JCZ6"/>
      <c r="JDA6"/>
      <c r="JDB6"/>
      <c r="JDC6"/>
      <c r="JDD6"/>
      <c r="JDE6"/>
      <c r="JDF6"/>
      <c r="JDG6"/>
      <c r="JDH6"/>
      <c r="JDI6"/>
      <c r="JDJ6"/>
      <c r="JDK6"/>
      <c r="JDL6"/>
      <c r="JDM6"/>
      <c r="JDN6"/>
      <c r="JDO6"/>
      <c r="JDP6"/>
      <c r="JDQ6"/>
      <c r="JDR6"/>
      <c r="JDS6"/>
      <c r="JDT6"/>
      <c r="JDU6"/>
      <c r="JDV6"/>
      <c r="JDW6"/>
      <c r="JDX6"/>
      <c r="JDY6"/>
      <c r="JDZ6"/>
      <c r="JEA6"/>
      <c r="JEB6"/>
      <c r="JEC6"/>
      <c r="JED6"/>
      <c r="JEE6"/>
      <c r="JEF6"/>
      <c r="JEG6"/>
      <c r="JEH6"/>
      <c r="JEI6"/>
      <c r="JEJ6"/>
      <c r="JEK6"/>
      <c r="JEL6"/>
      <c r="JEM6"/>
      <c r="JEN6"/>
      <c r="JEO6"/>
      <c r="JEP6"/>
      <c r="JEQ6"/>
      <c r="JER6"/>
      <c r="JES6"/>
      <c r="JET6"/>
      <c r="JEU6"/>
      <c r="JEV6"/>
      <c r="JEW6"/>
      <c r="JEX6"/>
      <c r="JEY6"/>
      <c r="JEZ6"/>
      <c r="JFA6"/>
      <c r="JFB6"/>
      <c r="JFC6"/>
      <c r="JFD6"/>
      <c r="JFE6"/>
      <c r="JFF6"/>
      <c r="JFG6"/>
      <c r="JFH6"/>
      <c r="JFI6"/>
      <c r="JFJ6"/>
      <c r="JFK6"/>
      <c r="JFL6"/>
      <c r="JFM6"/>
      <c r="JFN6"/>
      <c r="JFO6"/>
      <c r="JFP6"/>
      <c r="JFQ6"/>
      <c r="JFR6"/>
      <c r="JFS6"/>
      <c r="JFT6"/>
      <c r="JFU6"/>
      <c r="JFV6"/>
      <c r="JFW6"/>
      <c r="JFX6"/>
      <c r="JFY6"/>
      <c r="JFZ6"/>
      <c r="JGA6"/>
      <c r="JGB6"/>
      <c r="JGC6"/>
      <c r="JGD6"/>
      <c r="JGE6"/>
      <c r="JGF6"/>
      <c r="JGG6"/>
      <c r="JGH6"/>
      <c r="JGI6"/>
      <c r="JGJ6"/>
      <c r="JGK6"/>
      <c r="JGL6"/>
      <c r="JGM6"/>
      <c r="JGN6"/>
      <c r="JGO6"/>
      <c r="JGP6"/>
      <c r="JGQ6"/>
      <c r="JGR6"/>
      <c r="JGS6"/>
      <c r="JGT6"/>
      <c r="JGU6"/>
      <c r="JGV6"/>
      <c r="JGW6"/>
      <c r="JGX6"/>
      <c r="JGY6"/>
      <c r="JGZ6"/>
      <c r="JHA6"/>
      <c r="JHB6"/>
      <c r="JHC6"/>
      <c r="JHD6"/>
      <c r="JHE6"/>
      <c r="JHF6"/>
      <c r="JHG6"/>
      <c r="JHH6"/>
      <c r="JHI6"/>
      <c r="JHJ6"/>
      <c r="JHK6"/>
      <c r="JHL6"/>
      <c r="JHM6"/>
      <c r="JHN6"/>
      <c r="JHO6"/>
      <c r="JHP6"/>
      <c r="JHQ6"/>
      <c r="JHR6"/>
      <c r="JHS6"/>
      <c r="JHT6"/>
      <c r="JHU6"/>
      <c r="JHV6"/>
      <c r="JHW6"/>
      <c r="JHX6"/>
      <c r="JHY6"/>
      <c r="JHZ6"/>
      <c r="JIA6"/>
      <c r="JIB6"/>
      <c r="JIC6"/>
      <c r="JID6"/>
      <c r="JIE6"/>
      <c r="JIF6"/>
      <c r="JIG6"/>
      <c r="JIH6"/>
      <c r="JII6"/>
      <c r="JIJ6"/>
      <c r="JIK6"/>
      <c r="JIL6"/>
      <c r="JIM6"/>
      <c r="JIN6"/>
      <c r="JIO6"/>
      <c r="JIP6"/>
      <c r="JIQ6"/>
      <c r="JIR6"/>
      <c r="JIS6"/>
      <c r="JIT6"/>
      <c r="JIU6"/>
      <c r="JIV6"/>
      <c r="JIW6"/>
      <c r="JIX6"/>
      <c r="JIY6"/>
      <c r="JIZ6"/>
      <c r="JJA6"/>
      <c r="JJB6"/>
      <c r="JJC6"/>
      <c r="JJD6"/>
      <c r="JJE6"/>
      <c r="JJF6"/>
      <c r="JJG6"/>
      <c r="JJH6"/>
      <c r="JJI6"/>
      <c r="JJJ6"/>
      <c r="JJK6"/>
      <c r="JJL6"/>
      <c r="JJM6"/>
      <c r="JJN6"/>
      <c r="JJO6"/>
      <c r="JJP6"/>
      <c r="JJQ6"/>
      <c r="JJR6"/>
      <c r="JJS6"/>
      <c r="JJT6"/>
      <c r="JJU6"/>
      <c r="JJV6"/>
      <c r="JJW6"/>
      <c r="JJX6"/>
      <c r="JJY6"/>
      <c r="JJZ6"/>
      <c r="JKA6"/>
      <c r="JKB6"/>
      <c r="JKC6"/>
      <c r="JKD6"/>
      <c r="JKE6"/>
      <c r="JKF6"/>
      <c r="JKG6"/>
      <c r="JKH6"/>
      <c r="JKI6"/>
      <c r="JKJ6"/>
      <c r="JKK6"/>
      <c r="JKL6"/>
      <c r="JKM6"/>
      <c r="JKN6"/>
      <c r="JKO6"/>
      <c r="JKP6"/>
      <c r="JKQ6"/>
      <c r="JKR6"/>
      <c r="JKS6"/>
      <c r="JKT6"/>
      <c r="JKU6"/>
      <c r="JKV6"/>
      <c r="JKW6"/>
      <c r="JKX6"/>
      <c r="JKY6"/>
      <c r="JKZ6"/>
      <c r="JLA6"/>
      <c r="JLB6"/>
      <c r="JLC6"/>
      <c r="JLD6"/>
      <c r="JLE6"/>
      <c r="JLF6"/>
      <c r="JLG6"/>
      <c r="JLH6"/>
      <c r="JLI6"/>
      <c r="JLJ6"/>
      <c r="JLK6"/>
      <c r="JLL6"/>
      <c r="JLM6"/>
      <c r="JLN6"/>
      <c r="JLO6"/>
      <c r="JLP6"/>
      <c r="JLQ6"/>
      <c r="JLR6"/>
      <c r="JLS6"/>
      <c r="JLT6"/>
      <c r="JLU6"/>
      <c r="JLV6"/>
      <c r="JLW6"/>
      <c r="JLX6"/>
      <c r="JLY6"/>
      <c r="JLZ6"/>
      <c r="JMA6"/>
      <c r="JMB6"/>
      <c r="JMC6"/>
      <c r="JMD6"/>
      <c r="JME6"/>
      <c r="JMF6"/>
      <c r="JMG6"/>
      <c r="JMH6"/>
      <c r="JMI6"/>
      <c r="JMJ6"/>
      <c r="JMK6"/>
      <c r="JML6"/>
      <c r="JMM6"/>
      <c r="JMN6"/>
      <c r="JMO6"/>
      <c r="JMP6"/>
      <c r="JMQ6"/>
      <c r="JMR6"/>
      <c r="JMS6"/>
      <c r="JMT6"/>
      <c r="JMU6"/>
      <c r="JMV6"/>
      <c r="JMW6"/>
      <c r="JMX6"/>
      <c r="JMY6"/>
      <c r="JMZ6"/>
      <c r="JNA6"/>
      <c r="JNB6"/>
      <c r="JNC6"/>
      <c r="JND6"/>
      <c r="JNE6"/>
      <c r="JNF6"/>
      <c r="JNG6"/>
      <c r="JNH6"/>
      <c r="JNI6"/>
      <c r="JNJ6"/>
      <c r="JNK6"/>
      <c r="JNL6"/>
      <c r="JNM6"/>
      <c r="JNN6"/>
      <c r="JNO6"/>
      <c r="JNP6"/>
      <c r="JNQ6"/>
      <c r="JNR6"/>
      <c r="JNS6"/>
      <c r="JNT6"/>
      <c r="JNU6"/>
      <c r="JNV6"/>
      <c r="JNW6"/>
      <c r="JNX6"/>
      <c r="JNY6"/>
      <c r="JNZ6"/>
      <c r="JOA6"/>
      <c r="JOB6"/>
      <c r="JOC6"/>
      <c r="JOD6"/>
      <c r="JOE6"/>
      <c r="JOF6"/>
      <c r="JOG6"/>
      <c r="JOH6"/>
      <c r="JOI6"/>
      <c r="JOJ6"/>
      <c r="JOK6"/>
      <c r="JOL6"/>
      <c r="JOM6"/>
      <c r="JON6"/>
      <c r="JOO6"/>
      <c r="JOP6"/>
      <c r="JOQ6"/>
      <c r="JOR6"/>
      <c r="JOS6"/>
      <c r="JOT6"/>
      <c r="JOU6"/>
      <c r="JOV6"/>
      <c r="JOW6"/>
      <c r="JOX6"/>
      <c r="JOY6"/>
      <c r="JOZ6"/>
      <c r="JPA6"/>
      <c r="JPB6"/>
      <c r="JPC6"/>
      <c r="JPD6"/>
      <c r="JPE6"/>
      <c r="JPF6"/>
      <c r="JPG6"/>
      <c r="JPH6"/>
      <c r="JPI6"/>
      <c r="JPJ6"/>
      <c r="JPK6"/>
      <c r="JPL6"/>
      <c r="JPM6"/>
      <c r="JPN6"/>
      <c r="JPO6"/>
      <c r="JPP6"/>
      <c r="JPQ6"/>
      <c r="JPR6"/>
      <c r="JPS6"/>
      <c r="JPT6"/>
      <c r="JPU6"/>
      <c r="JPV6"/>
      <c r="JPW6"/>
      <c r="JPX6"/>
      <c r="JPY6"/>
      <c r="JPZ6"/>
      <c r="JQA6"/>
      <c r="JQB6"/>
      <c r="JQC6"/>
      <c r="JQD6"/>
      <c r="JQE6"/>
      <c r="JQF6"/>
      <c r="JQG6"/>
      <c r="JQH6"/>
      <c r="JQI6"/>
      <c r="JQJ6"/>
      <c r="JQK6"/>
      <c r="JQL6"/>
      <c r="JQM6"/>
      <c r="JQN6"/>
      <c r="JQO6"/>
      <c r="JQP6"/>
      <c r="JQQ6"/>
      <c r="JQR6"/>
      <c r="JQS6"/>
      <c r="JQT6"/>
      <c r="JQU6"/>
      <c r="JQV6"/>
      <c r="JQW6"/>
      <c r="JQX6"/>
      <c r="JQY6"/>
      <c r="JQZ6"/>
      <c r="JRA6"/>
      <c r="JRB6"/>
      <c r="JRC6"/>
      <c r="JRD6"/>
      <c r="JRE6"/>
      <c r="JRF6"/>
      <c r="JRG6"/>
      <c r="JRH6"/>
      <c r="JRI6"/>
      <c r="JRJ6"/>
      <c r="JRK6"/>
      <c r="JRL6"/>
      <c r="JRM6"/>
      <c r="JRN6"/>
      <c r="JRO6"/>
      <c r="JRP6"/>
      <c r="JRQ6"/>
      <c r="JRR6"/>
      <c r="JRS6"/>
      <c r="JRT6"/>
      <c r="JRU6"/>
      <c r="JRV6"/>
      <c r="JRW6"/>
      <c r="JRX6"/>
      <c r="JRY6"/>
      <c r="JRZ6"/>
      <c r="JSA6"/>
      <c r="JSB6"/>
      <c r="JSC6"/>
      <c r="JSD6"/>
      <c r="JSE6"/>
      <c r="JSF6"/>
      <c r="JSG6"/>
      <c r="JSH6"/>
      <c r="JSI6"/>
      <c r="JSJ6"/>
      <c r="JSK6"/>
      <c r="JSL6"/>
      <c r="JSM6"/>
      <c r="JSN6"/>
      <c r="JSO6"/>
      <c r="JSP6"/>
      <c r="JSQ6"/>
      <c r="JSR6"/>
      <c r="JSS6"/>
      <c r="JST6"/>
      <c r="JSU6"/>
      <c r="JSV6"/>
      <c r="JSW6"/>
      <c r="JSX6"/>
      <c r="JSY6"/>
      <c r="JSZ6"/>
      <c r="JTA6"/>
      <c r="JTB6"/>
      <c r="JTC6"/>
      <c r="JTD6"/>
      <c r="JTE6"/>
      <c r="JTF6"/>
      <c r="JTG6"/>
      <c r="JTH6"/>
      <c r="JTI6"/>
      <c r="JTJ6"/>
      <c r="JTK6"/>
      <c r="JTL6"/>
      <c r="JTM6"/>
      <c r="JTN6"/>
      <c r="JTO6"/>
      <c r="JTP6"/>
      <c r="JTQ6"/>
      <c r="JTR6"/>
      <c r="JTS6"/>
      <c r="JTT6"/>
      <c r="JTU6"/>
      <c r="JTV6"/>
      <c r="JTW6"/>
      <c r="JTX6"/>
      <c r="JTY6"/>
      <c r="JTZ6"/>
      <c r="JUA6"/>
      <c r="JUB6"/>
      <c r="JUC6"/>
      <c r="JUD6"/>
      <c r="JUE6"/>
      <c r="JUF6"/>
      <c r="JUG6"/>
      <c r="JUH6"/>
      <c r="JUI6"/>
      <c r="JUJ6"/>
      <c r="JUK6"/>
      <c r="JUL6"/>
      <c r="JUM6"/>
      <c r="JUN6"/>
      <c r="JUO6"/>
      <c r="JUP6"/>
      <c r="JUQ6"/>
      <c r="JUR6"/>
      <c r="JUS6"/>
      <c r="JUT6"/>
      <c r="JUU6"/>
      <c r="JUV6"/>
      <c r="JUW6"/>
      <c r="JUX6"/>
      <c r="JUY6"/>
      <c r="JUZ6"/>
      <c r="JVA6"/>
      <c r="JVB6"/>
      <c r="JVC6"/>
      <c r="JVD6"/>
      <c r="JVE6"/>
      <c r="JVF6"/>
      <c r="JVG6"/>
      <c r="JVH6"/>
      <c r="JVI6"/>
      <c r="JVJ6"/>
      <c r="JVK6"/>
      <c r="JVL6"/>
      <c r="JVM6"/>
      <c r="JVN6"/>
      <c r="JVO6"/>
      <c r="JVP6"/>
      <c r="JVQ6"/>
      <c r="JVR6"/>
      <c r="JVS6"/>
      <c r="JVT6"/>
      <c r="JVU6"/>
      <c r="JVV6"/>
      <c r="JVW6"/>
      <c r="JVX6"/>
      <c r="JVY6"/>
      <c r="JVZ6"/>
      <c r="JWA6"/>
      <c r="JWB6"/>
      <c r="JWC6"/>
      <c r="JWD6"/>
      <c r="JWE6"/>
      <c r="JWF6"/>
      <c r="JWG6"/>
      <c r="JWH6"/>
      <c r="JWI6"/>
      <c r="JWJ6"/>
      <c r="JWK6"/>
      <c r="JWL6"/>
      <c r="JWM6"/>
      <c r="JWN6"/>
      <c r="JWO6"/>
      <c r="JWP6"/>
      <c r="JWQ6"/>
      <c r="JWR6"/>
      <c r="JWS6"/>
      <c r="JWT6"/>
      <c r="JWU6"/>
      <c r="JWV6"/>
      <c r="JWW6"/>
      <c r="JWX6"/>
      <c r="JWY6"/>
      <c r="JWZ6"/>
      <c r="JXA6"/>
      <c r="JXB6"/>
      <c r="JXC6"/>
      <c r="JXD6"/>
      <c r="JXE6"/>
      <c r="JXF6"/>
      <c r="JXG6"/>
      <c r="JXH6"/>
      <c r="JXI6"/>
      <c r="JXJ6"/>
      <c r="JXK6"/>
      <c r="JXL6"/>
      <c r="JXM6"/>
      <c r="JXN6"/>
      <c r="JXO6"/>
      <c r="JXP6"/>
      <c r="JXQ6"/>
      <c r="JXR6"/>
      <c r="JXS6"/>
      <c r="JXT6"/>
      <c r="JXU6"/>
      <c r="JXV6"/>
      <c r="JXW6"/>
      <c r="JXX6"/>
      <c r="JXY6"/>
      <c r="JXZ6"/>
      <c r="JYA6"/>
      <c r="JYB6"/>
      <c r="JYC6"/>
      <c r="JYD6"/>
      <c r="JYE6"/>
      <c r="JYF6"/>
      <c r="JYG6"/>
      <c r="JYH6"/>
      <c r="JYI6"/>
      <c r="JYJ6"/>
      <c r="JYK6"/>
      <c r="JYL6"/>
      <c r="JYM6"/>
      <c r="JYN6"/>
      <c r="JYO6"/>
      <c r="JYP6"/>
      <c r="JYQ6"/>
      <c r="JYR6"/>
      <c r="JYS6"/>
      <c r="JYT6"/>
      <c r="JYU6"/>
      <c r="JYV6"/>
      <c r="JYW6"/>
      <c r="JYX6"/>
      <c r="JYY6"/>
      <c r="JYZ6"/>
      <c r="JZA6"/>
      <c r="JZB6"/>
      <c r="JZC6"/>
      <c r="JZD6"/>
      <c r="JZE6"/>
      <c r="JZF6"/>
      <c r="JZG6"/>
      <c r="JZH6"/>
      <c r="JZI6"/>
      <c r="JZJ6"/>
      <c r="JZK6"/>
      <c r="JZL6"/>
      <c r="JZM6"/>
      <c r="JZN6"/>
      <c r="JZO6"/>
      <c r="JZP6"/>
      <c r="JZQ6"/>
      <c r="JZR6"/>
      <c r="JZS6"/>
      <c r="JZT6"/>
      <c r="JZU6"/>
      <c r="JZV6"/>
      <c r="JZW6"/>
      <c r="JZX6"/>
      <c r="JZY6"/>
      <c r="JZZ6"/>
      <c r="KAA6"/>
      <c r="KAB6"/>
      <c r="KAC6"/>
      <c r="KAD6"/>
      <c r="KAE6"/>
      <c r="KAF6"/>
      <c r="KAG6"/>
      <c r="KAH6"/>
      <c r="KAI6"/>
      <c r="KAJ6"/>
      <c r="KAK6"/>
      <c r="KAL6"/>
      <c r="KAM6"/>
      <c r="KAN6"/>
      <c r="KAO6"/>
      <c r="KAP6"/>
      <c r="KAQ6"/>
      <c r="KAR6"/>
      <c r="KAS6"/>
      <c r="KAT6"/>
      <c r="KAU6"/>
      <c r="KAV6"/>
      <c r="KAW6"/>
      <c r="KAX6"/>
      <c r="KAY6"/>
      <c r="KAZ6"/>
      <c r="KBA6"/>
      <c r="KBB6"/>
      <c r="KBC6"/>
      <c r="KBD6"/>
      <c r="KBE6"/>
      <c r="KBF6"/>
      <c r="KBG6"/>
      <c r="KBH6"/>
      <c r="KBI6"/>
      <c r="KBJ6"/>
      <c r="KBK6"/>
      <c r="KBL6"/>
      <c r="KBM6"/>
      <c r="KBN6"/>
      <c r="KBO6"/>
      <c r="KBP6"/>
      <c r="KBQ6"/>
      <c r="KBR6"/>
      <c r="KBS6"/>
      <c r="KBT6"/>
      <c r="KBU6"/>
      <c r="KBV6"/>
      <c r="KBW6"/>
      <c r="KBX6"/>
      <c r="KBY6"/>
      <c r="KBZ6"/>
      <c r="KCA6"/>
      <c r="KCB6"/>
      <c r="KCC6"/>
      <c r="KCD6"/>
      <c r="KCE6"/>
      <c r="KCF6"/>
      <c r="KCG6"/>
      <c r="KCH6"/>
      <c r="KCI6"/>
      <c r="KCJ6"/>
      <c r="KCK6"/>
      <c r="KCL6"/>
      <c r="KCM6"/>
      <c r="KCN6"/>
      <c r="KCO6"/>
      <c r="KCP6"/>
      <c r="KCQ6"/>
      <c r="KCR6"/>
      <c r="KCS6"/>
      <c r="KCT6"/>
      <c r="KCU6"/>
      <c r="KCV6"/>
      <c r="KCW6"/>
      <c r="KCX6"/>
      <c r="KCY6"/>
      <c r="KCZ6"/>
      <c r="KDA6"/>
      <c r="KDB6"/>
      <c r="KDC6"/>
      <c r="KDD6"/>
      <c r="KDE6"/>
      <c r="KDF6"/>
      <c r="KDG6"/>
      <c r="KDH6"/>
      <c r="KDI6"/>
      <c r="KDJ6"/>
      <c r="KDK6"/>
      <c r="KDL6"/>
      <c r="KDM6"/>
      <c r="KDN6"/>
      <c r="KDO6"/>
      <c r="KDP6"/>
      <c r="KDQ6"/>
      <c r="KDR6"/>
      <c r="KDS6"/>
      <c r="KDT6"/>
      <c r="KDU6"/>
      <c r="KDV6"/>
      <c r="KDW6"/>
      <c r="KDX6"/>
      <c r="KDY6"/>
      <c r="KDZ6"/>
      <c r="KEA6"/>
      <c r="KEB6"/>
      <c r="KEC6"/>
      <c r="KED6"/>
      <c r="KEE6"/>
      <c r="KEF6"/>
      <c r="KEG6"/>
      <c r="KEH6"/>
      <c r="KEI6"/>
      <c r="KEJ6"/>
      <c r="KEK6"/>
      <c r="KEL6"/>
      <c r="KEM6"/>
      <c r="KEN6"/>
      <c r="KEO6"/>
      <c r="KEP6"/>
      <c r="KEQ6"/>
      <c r="KER6"/>
      <c r="KES6"/>
      <c r="KET6"/>
      <c r="KEU6"/>
      <c r="KEV6"/>
      <c r="KEW6"/>
      <c r="KEX6"/>
      <c r="KEY6"/>
      <c r="KEZ6"/>
      <c r="KFA6"/>
      <c r="KFB6"/>
      <c r="KFC6"/>
      <c r="KFD6"/>
      <c r="KFE6"/>
      <c r="KFF6"/>
      <c r="KFG6"/>
      <c r="KFH6"/>
      <c r="KFI6"/>
      <c r="KFJ6"/>
      <c r="KFK6"/>
      <c r="KFL6"/>
      <c r="KFM6"/>
      <c r="KFN6"/>
      <c r="KFO6"/>
      <c r="KFP6"/>
      <c r="KFQ6"/>
      <c r="KFR6"/>
      <c r="KFS6"/>
      <c r="KFT6"/>
      <c r="KFU6"/>
      <c r="KFV6"/>
      <c r="KFW6"/>
      <c r="KFX6"/>
      <c r="KFY6"/>
      <c r="KFZ6"/>
      <c r="KGA6"/>
      <c r="KGB6"/>
      <c r="KGC6"/>
      <c r="KGD6"/>
      <c r="KGE6"/>
      <c r="KGF6"/>
      <c r="KGG6"/>
      <c r="KGH6"/>
      <c r="KGI6"/>
      <c r="KGJ6"/>
      <c r="KGK6"/>
      <c r="KGL6"/>
      <c r="KGM6"/>
      <c r="KGN6"/>
      <c r="KGO6"/>
      <c r="KGP6"/>
      <c r="KGQ6"/>
      <c r="KGR6"/>
      <c r="KGS6"/>
      <c r="KGT6"/>
      <c r="KGU6"/>
      <c r="KGV6"/>
      <c r="KGW6"/>
      <c r="KGX6"/>
      <c r="KGY6"/>
      <c r="KGZ6"/>
      <c r="KHA6"/>
      <c r="KHB6"/>
      <c r="KHC6"/>
      <c r="KHD6"/>
      <c r="KHE6"/>
      <c r="KHF6"/>
      <c r="KHG6"/>
      <c r="KHH6"/>
      <c r="KHI6"/>
      <c r="KHJ6"/>
      <c r="KHK6"/>
      <c r="KHL6"/>
      <c r="KHM6"/>
      <c r="KHN6"/>
      <c r="KHO6"/>
      <c r="KHP6"/>
      <c r="KHQ6"/>
      <c r="KHR6"/>
      <c r="KHS6"/>
      <c r="KHT6"/>
      <c r="KHU6"/>
      <c r="KHV6"/>
      <c r="KHW6"/>
      <c r="KHX6"/>
      <c r="KHY6"/>
      <c r="KHZ6"/>
      <c r="KIA6"/>
      <c r="KIB6"/>
      <c r="KIC6"/>
      <c r="KID6"/>
      <c r="KIE6"/>
      <c r="KIF6"/>
      <c r="KIG6"/>
      <c r="KIH6"/>
      <c r="KII6"/>
      <c r="KIJ6"/>
      <c r="KIK6"/>
      <c r="KIL6"/>
      <c r="KIM6"/>
      <c r="KIN6"/>
      <c r="KIO6"/>
      <c r="KIP6"/>
      <c r="KIQ6"/>
      <c r="KIR6"/>
      <c r="KIS6"/>
      <c r="KIT6"/>
      <c r="KIU6"/>
      <c r="KIV6"/>
      <c r="KIW6"/>
      <c r="KIX6"/>
      <c r="KIY6"/>
      <c r="KIZ6"/>
      <c r="KJA6"/>
      <c r="KJB6"/>
      <c r="KJC6"/>
      <c r="KJD6"/>
      <c r="KJE6"/>
      <c r="KJF6"/>
      <c r="KJG6"/>
      <c r="KJH6"/>
      <c r="KJI6"/>
      <c r="KJJ6"/>
      <c r="KJK6"/>
      <c r="KJL6"/>
      <c r="KJM6"/>
      <c r="KJN6"/>
      <c r="KJO6"/>
      <c r="KJP6"/>
      <c r="KJQ6"/>
      <c r="KJR6"/>
      <c r="KJS6"/>
      <c r="KJT6"/>
      <c r="KJU6"/>
      <c r="KJV6"/>
      <c r="KJW6"/>
      <c r="KJX6"/>
      <c r="KJY6"/>
      <c r="KJZ6"/>
      <c r="KKA6"/>
      <c r="KKB6"/>
      <c r="KKC6"/>
      <c r="KKD6"/>
      <c r="KKE6"/>
      <c r="KKF6"/>
      <c r="KKG6"/>
      <c r="KKH6"/>
      <c r="KKI6"/>
      <c r="KKJ6"/>
      <c r="KKK6"/>
      <c r="KKL6"/>
      <c r="KKM6"/>
      <c r="KKN6"/>
      <c r="KKO6"/>
      <c r="KKP6"/>
      <c r="KKQ6"/>
      <c r="KKR6"/>
      <c r="KKS6"/>
      <c r="KKT6"/>
      <c r="KKU6"/>
      <c r="KKV6"/>
      <c r="KKW6"/>
      <c r="KKX6"/>
      <c r="KKY6"/>
      <c r="KKZ6"/>
      <c r="KLA6"/>
      <c r="KLB6"/>
      <c r="KLC6"/>
      <c r="KLD6"/>
      <c r="KLE6"/>
      <c r="KLF6"/>
      <c r="KLG6"/>
      <c r="KLH6"/>
      <c r="KLI6"/>
      <c r="KLJ6"/>
      <c r="KLK6"/>
      <c r="KLL6"/>
      <c r="KLM6"/>
      <c r="KLN6"/>
      <c r="KLO6"/>
      <c r="KLP6"/>
      <c r="KLQ6"/>
      <c r="KLR6"/>
      <c r="KLS6"/>
      <c r="KLT6"/>
      <c r="KLU6"/>
      <c r="KLV6"/>
      <c r="KLW6"/>
      <c r="KLX6"/>
      <c r="KLY6"/>
      <c r="KLZ6"/>
      <c r="KMA6"/>
      <c r="KMB6"/>
      <c r="KMC6"/>
      <c r="KMD6"/>
      <c r="KME6"/>
      <c r="KMF6"/>
      <c r="KMG6"/>
      <c r="KMH6"/>
      <c r="KMI6"/>
      <c r="KMJ6"/>
      <c r="KMK6"/>
      <c r="KML6"/>
      <c r="KMM6"/>
      <c r="KMN6"/>
      <c r="KMO6"/>
      <c r="KMP6"/>
      <c r="KMQ6"/>
      <c r="KMR6"/>
      <c r="KMS6"/>
      <c r="KMT6"/>
      <c r="KMU6"/>
      <c r="KMV6"/>
      <c r="KMW6"/>
      <c r="KMX6"/>
      <c r="KMY6"/>
      <c r="KMZ6"/>
      <c r="KNA6"/>
      <c r="KNB6"/>
      <c r="KNC6"/>
      <c r="KND6"/>
      <c r="KNE6"/>
      <c r="KNF6"/>
      <c r="KNG6"/>
      <c r="KNH6"/>
      <c r="KNI6"/>
      <c r="KNJ6"/>
      <c r="KNK6"/>
      <c r="KNL6"/>
      <c r="KNM6"/>
      <c r="KNN6"/>
      <c r="KNO6"/>
      <c r="KNP6"/>
      <c r="KNQ6"/>
      <c r="KNR6"/>
      <c r="KNS6"/>
      <c r="KNT6"/>
      <c r="KNU6"/>
      <c r="KNV6"/>
      <c r="KNW6"/>
      <c r="KNX6"/>
      <c r="KNY6"/>
      <c r="KNZ6"/>
      <c r="KOA6"/>
      <c r="KOB6"/>
      <c r="KOC6"/>
      <c r="KOD6"/>
      <c r="KOE6"/>
      <c r="KOF6"/>
      <c r="KOG6"/>
      <c r="KOH6"/>
      <c r="KOI6"/>
      <c r="KOJ6"/>
      <c r="KOK6"/>
      <c r="KOL6"/>
      <c r="KOM6"/>
      <c r="KON6"/>
      <c r="KOO6"/>
      <c r="KOP6"/>
      <c r="KOQ6"/>
      <c r="KOR6"/>
      <c r="KOS6"/>
      <c r="KOT6"/>
      <c r="KOU6"/>
      <c r="KOV6"/>
      <c r="KOW6"/>
      <c r="KOX6"/>
      <c r="KOY6"/>
      <c r="KOZ6"/>
      <c r="KPA6"/>
      <c r="KPB6"/>
      <c r="KPC6"/>
      <c r="KPD6"/>
      <c r="KPE6"/>
      <c r="KPF6"/>
      <c r="KPG6"/>
      <c r="KPH6"/>
      <c r="KPI6"/>
      <c r="KPJ6"/>
      <c r="KPK6"/>
      <c r="KPL6"/>
      <c r="KPM6"/>
      <c r="KPN6"/>
      <c r="KPO6"/>
      <c r="KPP6"/>
      <c r="KPQ6"/>
      <c r="KPR6"/>
      <c r="KPS6"/>
      <c r="KPT6"/>
      <c r="KPU6"/>
      <c r="KPV6"/>
      <c r="KPW6"/>
      <c r="KPX6"/>
      <c r="KPY6"/>
      <c r="KPZ6"/>
      <c r="KQA6"/>
      <c r="KQB6"/>
      <c r="KQC6"/>
      <c r="KQD6"/>
      <c r="KQE6"/>
      <c r="KQF6"/>
      <c r="KQG6"/>
      <c r="KQH6"/>
      <c r="KQI6"/>
      <c r="KQJ6"/>
      <c r="KQK6"/>
      <c r="KQL6"/>
      <c r="KQM6"/>
      <c r="KQN6"/>
      <c r="KQO6"/>
      <c r="KQP6"/>
      <c r="KQQ6"/>
      <c r="KQR6"/>
      <c r="KQS6"/>
      <c r="KQT6"/>
      <c r="KQU6"/>
      <c r="KQV6"/>
      <c r="KQW6"/>
      <c r="KQX6"/>
      <c r="KQY6"/>
      <c r="KQZ6"/>
      <c r="KRA6"/>
      <c r="KRB6"/>
      <c r="KRC6"/>
      <c r="KRD6"/>
      <c r="KRE6"/>
      <c r="KRF6"/>
      <c r="KRG6"/>
      <c r="KRH6"/>
      <c r="KRI6"/>
      <c r="KRJ6"/>
      <c r="KRK6"/>
      <c r="KRL6"/>
      <c r="KRM6"/>
      <c r="KRN6"/>
      <c r="KRO6"/>
      <c r="KRP6"/>
      <c r="KRQ6"/>
      <c r="KRR6"/>
      <c r="KRS6"/>
      <c r="KRT6"/>
      <c r="KRU6"/>
      <c r="KRV6"/>
      <c r="KRW6"/>
      <c r="KRX6"/>
      <c r="KRY6"/>
      <c r="KRZ6"/>
      <c r="KSA6"/>
      <c r="KSB6"/>
      <c r="KSC6"/>
      <c r="KSD6"/>
      <c r="KSE6"/>
      <c r="KSF6"/>
      <c r="KSG6"/>
      <c r="KSH6"/>
      <c r="KSI6"/>
      <c r="KSJ6"/>
      <c r="KSK6"/>
      <c r="KSL6"/>
      <c r="KSM6"/>
      <c r="KSN6"/>
      <c r="KSO6"/>
      <c r="KSP6"/>
      <c r="KSQ6"/>
      <c r="KSR6"/>
      <c r="KSS6"/>
      <c r="KST6"/>
      <c r="KSU6"/>
      <c r="KSV6"/>
      <c r="KSW6"/>
      <c r="KSX6"/>
      <c r="KSY6"/>
      <c r="KSZ6"/>
      <c r="KTA6"/>
      <c r="KTB6"/>
      <c r="KTC6"/>
      <c r="KTD6"/>
      <c r="KTE6"/>
      <c r="KTF6"/>
      <c r="KTG6"/>
      <c r="KTH6"/>
      <c r="KTI6"/>
      <c r="KTJ6"/>
      <c r="KTK6"/>
      <c r="KTL6"/>
      <c r="KTM6"/>
      <c r="KTN6"/>
      <c r="KTO6"/>
      <c r="KTP6"/>
      <c r="KTQ6"/>
      <c r="KTR6"/>
      <c r="KTS6"/>
      <c r="KTT6"/>
      <c r="KTU6"/>
      <c r="KTV6"/>
      <c r="KTW6"/>
      <c r="KTX6"/>
      <c r="KTY6"/>
      <c r="KTZ6"/>
      <c r="KUA6"/>
      <c r="KUB6"/>
      <c r="KUC6"/>
      <c r="KUD6"/>
      <c r="KUE6"/>
      <c r="KUF6"/>
      <c r="KUG6"/>
      <c r="KUH6"/>
      <c r="KUI6"/>
      <c r="KUJ6"/>
      <c r="KUK6"/>
      <c r="KUL6"/>
      <c r="KUM6"/>
      <c r="KUN6"/>
      <c r="KUO6"/>
      <c r="KUP6"/>
      <c r="KUQ6"/>
      <c r="KUR6"/>
      <c r="KUS6"/>
      <c r="KUT6"/>
      <c r="KUU6"/>
      <c r="KUV6"/>
      <c r="KUW6"/>
      <c r="KUX6"/>
      <c r="KUY6"/>
      <c r="KUZ6"/>
      <c r="KVA6"/>
      <c r="KVB6"/>
      <c r="KVC6"/>
      <c r="KVD6"/>
      <c r="KVE6"/>
      <c r="KVF6"/>
      <c r="KVG6"/>
      <c r="KVH6"/>
      <c r="KVI6"/>
      <c r="KVJ6"/>
      <c r="KVK6"/>
      <c r="KVL6"/>
      <c r="KVM6"/>
      <c r="KVN6"/>
      <c r="KVO6"/>
      <c r="KVP6"/>
      <c r="KVQ6"/>
      <c r="KVR6"/>
      <c r="KVS6"/>
      <c r="KVT6"/>
      <c r="KVU6"/>
      <c r="KVV6"/>
      <c r="KVW6"/>
      <c r="KVX6"/>
      <c r="KVY6"/>
      <c r="KVZ6"/>
      <c r="KWA6"/>
      <c r="KWB6"/>
      <c r="KWC6"/>
      <c r="KWD6"/>
      <c r="KWE6"/>
      <c r="KWF6"/>
      <c r="KWG6"/>
      <c r="KWH6"/>
      <c r="KWI6"/>
      <c r="KWJ6"/>
      <c r="KWK6"/>
      <c r="KWL6"/>
      <c r="KWM6"/>
      <c r="KWN6"/>
      <c r="KWO6"/>
      <c r="KWP6"/>
      <c r="KWQ6"/>
      <c r="KWR6"/>
      <c r="KWS6"/>
      <c r="KWT6"/>
      <c r="KWU6"/>
      <c r="KWV6"/>
      <c r="KWW6"/>
      <c r="KWX6"/>
      <c r="KWY6"/>
      <c r="KWZ6"/>
      <c r="KXA6"/>
      <c r="KXB6"/>
      <c r="KXC6"/>
      <c r="KXD6"/>
      <c r="KXE6"/>
      <c r="KXF6"/>
      <c r="KXG6"/>
      <c r="KXH6"/>
      <c r="KXI6"/>
      <c r="KXJ6"/>
      <c r="KXK6"/>
      <c r="KXL6"/>
      <c r="KXM6"/>
      <c r="KXN6"/>
      <c r="KXO6"/>
      <c r="KXP6"/>
      <c r="KXQ6"/>
      <c r="KXR6"/>
      <c r="KXS6"/>
      <c r="KXT6"/>
      <c r="KXU6"/>
      <c r="KXV6"/>
      <c r="KXW6"/>
      <c r="KXX6"/>
      <c r="KXY6"/>
      <c r="KXZ6"/>
      <c r="KYA6"/>
      <c r="KYB6"/>
      <c r="KYC6"/>
      <c r="KYD6"/>
      <c r="KYE6"/>
      <c r="KYF6"/>
      <c r="KYG6"/>
      <c r="KYH6"/>
      <c r="KYI6"/>
      <c r="KYJ6"/>
      <c r="KYK6"/>
      <c r="KYL6"/>
      <c r="KYM6"/>
      <c r="KYN6"/>
      <c r="KYO6"/>
      <c r="KYP6"/>
      <c r="KYQ6"/>
      <c r="KYR6"/>
      <c r="KYS6"/>
      <c r="KYT6"/>
      <c r="KYU6"/>
      <c r="KYV6"/>
      <c r="KYW6"/>
      <c r="KYX6"/>
      <c r="KYY6"/>
      <c r="KYZ6"/>
      <c r="KZA6"/>
      <c r="KZB6"/>
      <c r="KZC6"/>
      <c r="KZD6"/>
      <c r="KZE6"/>
      <c r="KZF6"/>
      <c r="KZG6"/>
      <c r="KZH6"/>
      <c r="KZI6"/>
      <c r="KZJ6"/>
      <c r="KZK6"/>
      <c r="KZL6"/>
      <c r="KZM6"/>
      <c r="KZN6"/>
      <c r="KZO6"/>
      <c r="KZP6"/>
      <c r="KZQ6"/>
      <c r="KZR6"/>
      <c r="KZS6"/>
      <c r="KZT6"/>
      <c r="KZU6"/>
      <c r="KZV6"/>
      <c r="KZW6"/>
      <c r="KZX6"/>
      <c r="KZY6"/>
      <c r="KZZ6"/>
      <c r="LAA6"/>
      <c r="LAB6"/>
      <c r="LAC6"/>
      <c r="LAD6"/>
      <c r="LAE6"/>
      <c r="LAF6"/>
      <c r="LAG6"/>
      <c r="LAH6"/>
      <c r="LAI6"/>
      <c r="LAJ6"/>
      <c r="LAK6"/>
      <c r="LAL6"/>
      <c r="LAM6"/>
      <c r="LAN6"/>
      <c r="LAO6"/>
      <c r="LAP6"/>
      <c r="LAQ6"/>
      <c r="LAR6"/>
      <c r="LAS6"/>
      <c r="LAT6"/>
      <c r="LAU6"/>
      <c r="LAV6"/>
      <c r="LAW6"/>
      <c r="LAX6"/>
      <c r="LAY6"/>
      <c r="LAZ6"/>
      <c r="LBA6"/>
      <c r="LBB6"/>
      <c r="LBC6"/>
      <c r="LBD6"/>
      <c r="LBE6"/>
      <c r="LBF6"/>
      <c r="LBG6"/>
      <c r="LBH6"/>
      <c r="LBI6"/>
      <c r="LBJ6"/>
      <c r="LBK6"/>
      <c r="LBL6"/>
      <c r="LBM6"/>
      <c r="LBN6"/>
      <c r="LBO6"/>
      <c r="LBP6"/>
      <c r="LBQ6"/>
      <c r="LBR6"/>
      <c r="LBS6"/>
      <c r="LBT6"/>
      <c r="LBU6"/>
      <c r="LBV6"/>
      <c r="LBW6"/>
      <c r="LBX6"/>
      <c r="LBY6"/>
      <c r="LBZ6"/>
      <c r="LCA6"/>
      <c r="LCB6"/>
      <c r="LCC6"/>
      <c r="LCD6"/>
      <c r="LCE6"/>
      <c r="LCF6"/>
      <c r="LCG6"/>
      <c r="LCH6"/>
      <c r="LCI6"/>
      <c r="LCJ6"/>
      <c r="LCK6"/>
      <c r="LCL6"/>
      <c r="LCM6"/>
      <c r="LCN6"/>
      <c r="LCO6"/>
      <c r="LCP6"/>
      <c r="LCQ6"/>
      <c r="LCR6"/>
      <c r="LCS6"/>
      <c r="LCT6"/>
      <c r="LCU6"/>
      <c r="LCV6"/>
      <c r="LCW6"/>
      <c r="LCX6"/>
      <c r="LCY6"/>
      <c r="LCZ6"/>
      <c r="LDA6"/>
      <c r="LDB6"/>
      <c r="LDC6"/>
      <c r="LDD6"/>
      <c r="LDE6"/>
      <c r="LDF6"/>
      <c r="LDG6"/>
      <c r="LDH6"/>
      <c r="LDI6"/>
      <c r="LDJ6"/>
      <c r="LDK6"/>
      <c r="LDL6"/>
      <c r="LDM6"/>
      <c r="LDN6"/>
      <c r="LDO6"/>
      <c r="LDP6"/>
      <c r="LDQ6"/>
      <c r="LDR6"/>
      <c r="LDS6"/>
      <c r="LDT6"/>
      <c r="LDU6"/>
      <c r="LDV6"/>
      <c r="LDW6"/>
      <c r="LDX6"/>
      <c r="LDY6"/>
      <c r="LDZ6"/>
      <c r="LEA6"/>
      <c r="LEB6"/>
      <c r="LEC6"/>
      <c r="LED6"/>
      <c r="LEE6"/>
      <c r="LEF6"/>
      <c r="LEG6"/>
      <c r="LEH6"/>
      <c r="LEI6"/>
      <c r="LEJ6"/>
      <c r="LEK6"/>
      <c r="LEL6"/>
      <c r="LEM6"/>
      <c r="LEN6"/>
      <c r="LEO6"/>
      <c r="LEP6"/>
      <c r="LEQ6"/>
      <c r="LER6"/>
      <c r="LES6"/>
      <c r="LET6"/>
      <c r="LEU6"/>
      <c r="LEV6"/>
      <c r="LEW6"/>
      <c r="LEX6"/>
      <c r="LEY6"/>
      <c r="LEZ6"/>
      <c r="LFA6"/>
      <c r="LFB6"/>
      <c r="LFC6"/>
      <c r="LFD6"/>
      <c r="LFE6"/>
      <c r="LFF6"/>
      <c r="LFG6"/>
      <c r="LFH6"/>
      <c r="LFI6"/>
      <c r="LFJ6"/>
      <c r="LFK6"/>
      <c r="LFL6"/>
      <c r="LFM6"/>
      <c r="LFN6"/>
      <c r="LFO6"/>
      <c r="LFP6"/>
      <c r="LFQ6"/>
      <c r="LFR6"/>
      <c r="LFS6"/>
      <c r="LFT6"/>
      <c r="LFU6"/>
      <c r="LFV6"/>
      <c r="LFW6"/>
      <c r="LFX6"/>
      <c r="LFY6"/>
      <c r="LFZ6"/>
      <c r="LGA6"/>
      <c r="LGB6"/>
      <c r="LGC6"/>
      <c r="LGD6"/>
      <c r="LGE6"/>
      <c r="LGF6"/>
      <c r="LGG6"/>
      <c r="LGH6"/>
      <c r="LGI6"/>
      <c r="LGJ6"/>
      <c r="LGK6"/>
      <c r="LGL6"/>
      <c r="LGM6"/>
      <c r="LGN6"/>
      <c r="LGO6"/>
      <c r="LGP6"/>
      <c r="LGQ6"/>
      <c r="LGR6"/>
      <c r="LGS6"/>
      <c r="LGT6"/>
      <c r="LGU6"/>
      <c r="LGV6"/>
      <c r="LGW6"/>
      <c r="LGX6"/>
      <c r="LGY6"/>
      <c r="LGZ6"/>
      <c r="LHA6"/>
      <c r="LHB6"/>
      <c r="LHC6"/>
      <c r="LHD6"/>
      <c r="LHE6"/>
      <c r="LHF6"/>
      <c r="LHG6"/>
      <c r="LHH6"/>
      <c r="LHI6"/>
      <c r="LHJ6"/>
      <c r="LHK6"/>
      <c r="LHL6"/>
      <c r="LHM6"/>
      <c r="LHN6"/>
      <c r="LHO6"/>
      <c r="LHP6"/>
      <c r="LHQ6"/>
      <c r="LHR6"/>
      <c r="LHS6"/>
      <c r="LHT6"/>
      <c r="LHU6"/>
      <c r="LHV6"/>
      <c r="LHW6"/>
      <c r="LHX6"/>
      <c r="LHY6"/>
      <c r="LHZ6"/>
      <c r="LIA6"/>
      <c r="LIB6"/>
      <c r="LIC6"/>
      <c r="LID6"/>
      <c r="LIE6"/>
      <c r="LIF6"/>
      <c r="LIG6"/>
      <c r="LIH6"/>
      <c r="LII6"/>
      <c r="LIJ6"/>
      <c r="LIK6"/>
      <c r="LIL6"/>
      <c r="LIM6"/>
      <c r="LIN6"/>
      <c r="LIO6"/>
      <c r="LIP6"/>
      <c r="LIQ6"/>
      <c r="LIR6"/>
      <c r="LIS6"/>
      <c r="LIT6"/>
      <c r="LIU6"/>
      <c r="LIV6"/>
      <c r="LIW6"/>
      <c r="LIX6"/>
      <c r="LIY6"/>
      <c r="LIZ6"/>
      <c r="LJA6"/>
      <c r="LJB6"/>
      <c r="LJC6"/>
      <c r="LJD6"/>
      <c r="LJE6"/>
      <c r="LJF6"/>
      <c r="LJG6"/>
      <c r="LJH6"/>
      <c r="LJI6"/>
      <c r="LJJ6"/>
      <c r="LJK6"/>
      <c r="LJL6"/>
      <c r="LJM6"/>
      <c r="LJN6"/>
      <c r="LJO6"/>
      <c r="LJP6"/>
      <c r="LJQ6"/>
      <c r="LJR6"/>
      <c r="LJS6"/>
      <c r="LJT6"/>
      <c r="LJU6"/>
      <c r="LJV6"/>
      <c r="LJW6"/>
      <c r="LJX6"/>
      <c r="LJY6"/>
      <c r="LJZ6"/>
      <c r="LKA6"/>
      <c r="LKB6"/>
      <c r="LKC6"/>
      <c r="LKD6"/>
      <c r="LKE6"/>
      <c r="LKF6"/>
      <c r="LKG6"/>
      <c r="LKH6"/>
      <c r="LKI6"/>
      <c r="LKJ6"/>
      <c r="LKK6"/>
      <c r="LKL6"/>
      <c r="LKM6"/>
      <c r="LKN6"/>
      <c r="LKO6"/>
      <c r="LKP6"/>
      <c r="LKQ6"/>
      <c r="LKR6"/>
      <c r="LKS6"/>
      <c r="LKT6"/>
      <c r="LKU6"/>
      <c r="LKV6"/>
      <c r="LKW6"/>
      <c r="LKX6"/>
      <c r="LKY6"/>
      <c r="LKZ6"/>
      <c r="LLA6"/>
      <c r="LLB6"/>
      <c r="LLC6"/>
      <c r="LLD6"/>
      <c r="LLE6"/>
      <c r="LLF6"/>
      <c r="LLG6"/>
      <c r="LLH6"/>
      <c r="LLI6"/>
      <c r="LLJ6"/>
      <c r="LLK6"/>
      <c r="LLL6"/>
      <c r="LLM6"/>
      <c r="LLN6"/>
      <c r="LLO6"/>
      <c r="LLP6"/>
      <c r="LLQ6"/>
      <c r="LLR6"/>
      <c r="LLS6"/>
      <c r="LLT6"/>
      <c r="LLU6"/>
      <c r="LLV6"/>
      <c r="LLW6"/>
      <c r="LLX6"/>
      <c r="LLY6"/>
      <c r="LLZ6"/>
      <c r="LMA6"/>
      <c r="LMB6"/>
      <c r="LMC6"/>
      <c r="LMD6"/>
      <c r="LME6"/>
      <c r="LMF6"/>
      <c r="LMG6"/>
      <c r="LMH6"/>
      <c r="LMI6"/>
      <c r="LMJ6"/>
      <c r="LMK6"/>
      <c r="LML6"/>
      <c r="LMM6"/>
      <c r="LMN6"/>
      <c r="LMO6"/>
      <c r="LMP6"/>
      <c r="LMQ6"/>
      <c r="LMR6"/>
      <c r="LMS6"/>
      <c r="LMT6"/>
      <c r="LMU6"/>
      <c r="LMV6"/>
      <c r="LMW6"/>
      <c r="LMX6"/>
      <c r="LMY6"/>
      <c r="LMZ6"/>
      <c r="LNA6"/>
      <c r="LNB6"/>
      <c r="LNC6"/>
      <c r="LND6"/>
      <c r="LNE6"/>
      <c r="LNF6"/>
      <c r="LNG6"/>
      <c r="LNH6"/>
      <c r="LNI6"/>
      <c r="LNJ6"/>
      <c r="LNK6"/>
      <c r="LNL6"/>
      <c r="LNM6"/>
      <c r="LNN6"/>
      <c r="LNO6"/>
      <c r="LNP6"/>
      <c r="LNQ6"/>
      <c r="LNR6"/>
      <c r="LNS6"/>
      <c r="LNT6"/>
      <c r="LNU6"/>
      <c r="LNV6"/>
      <c r="LNW6"/>
      <c r="LNX6"/>
      <c r="LNY6"/>
      <c r="LNZ6"/>
      <c r="LOA6"/>
      <c r="LOB6"/>
      <c r="LOC6"/>
      <c r="LOD6"/>
      <c r="LOE6"/>
      <c r="LOF6"/>
      <c r="LOG6"/>
      <c r="LOH6"/>
      <c r="LOI6"/>
      <c r="LOJ6"/>
      <c r="LOK6"/>
      <c r="LOL6"/>
      <c r="LOM6"/>
      <c r="LON6"/>
      <c r="LOO6"/>
      <c r="LOP6"/>
      <c r="LOQ6"/>
      <c r="LOR6"/>
      <c r="LOS6"/>
      <c r="LOT6"/>
      <c r="LOU6"/>
      <c r="LOV6"/>
      <c r="LOW6"/>
      <c r="LOX6"/>
      <c r="LOY6"/>
      <c r="LOZ6"/>
      <c r="LPA6"/>
      <c r="LPB6"/>
      <c r="LPC6"/>
      <c r="LPD6"/>
      <c r="LPE6"/>
      <c r="LPF6"/>
      <c r="LPG6"/>
      <c r="LPH6"/>
      <c r="LPI6"/>
      <c r="LPJ6"/>
      <c r="LPK6"/>
      <c r="LPL6"/>
      <c r="LPM6"/>
      <c r="LPN6"/>
      <c r="LPO6"/>
      <c r="LPP6"/>
      <c r="LPQ6"/>
      <c r="LPR6"/>
      <c r="LPS6"/>
      <c r="LPT6"/>
      <c r="LPU6"/>
      <c r="LPV6"/>
      <c r="LPW6"/>
      <c r="LPX6"/>
      <c r="LPY6"/>
      <c r="LPZ6"/>
      <c r="LQA6"/>
      <c r="LQB6"/>
      <c r="LQC6"/>
      <c r="LQD6"/>
      <c r="LQE6"/>
      <c r="LQF6"/>
      <c r="LQG6"/>
      <c r="LQH6"/>
      <c r="LQI6"/>
      <c r="LQJ6"/>
      <c r="LQK6"/>
      <c r="LQL6"/>
      <c r="LQM6"/>
      <c r="LQN6"/>
      <c r="LQO6"/>
      <c r="LQP6"/>
      <c r="LQQ6"/>
      <c r="LQR6"/>
      <c r="LQS6"/>
      <c r="LQT6"/>
      <c r="LQU6"/>
      <c r="LQV6"/>
      <c r="LQW6"/>
      <c r="LQX6"/>
      <c r="LQY6"/>
      <c r="LQZ6"/>
      <c r="LRA6"/>
      <c r="LRB6"/>
      <c r="LRC6"/>
      <c r="LRD6"/>
      <c r="LRE6"/>
      <c r="LRF6"/>
      <c r="LRG6"/>
      <c r="LRH6"/>
      <c r="LRI6"/>
      <c r="LRJ6"/>
      <c r="LRK6"/>
      <c r="LRL6"/>
      <c r="LRM6"/>
      <c r="LRN6"/>
      <c r="LRO6"/>
      <c r="LRP6"/>
      <c r="LRQ6"/>
      <c r="LRR6"/>
      <c r="LRS6"/>
      <c r="LRT6"/>
      <c r="LRU6"/>
      <c r="LRV6"/>
      <c r="LRW6"/>
      <c r="LRX6"/>
      <c r="LRY6"/>
      <c r="LRZ6"/>
      <c r="LSA6"/>
      <c r="LSB6"/>
      <c r="LSC6"/>
      <c r="LSD6"/>
      <c r="LSE6"/>
      <c r="LSF6"/>
      <c r="LSG6"/>
      <c r="LSH6"/>
      <c r="LSI6"/>
      <c r="LSJ6"/>
      <c r="LSK6"/>
      <c r="LSL6"/>
      <c r="LSM6"/>
      <c r="LSN6"/>
      <c r="LSO6"/>
      <c r="LSP6"/>
      <c r="LSQ6"/>
      <c r="LSR6"/>
      <c r="LSS6"/>
      <c r="LST6"/>
      <c r="LSU6"/>
      <c r="LSV6"/>
      <c r="LSW6"/>
      <c r="LSX6"/>
      <c r="LSY6"/>
      <c r="LSZ6"/>
      <c r="LTA6"/>
      <c r="LTB6"/>
      <c r="LTC6"/>
      <c r="LTD6"/>
      <c r="LTE6"/>
      <c r="LTF6"/>
      <c r="LTG6"/>
      <c r="LTH6"/>
      <c r="LTI6"/>
      <c r="LTJ6"/>
      <c r="LTK6"/>
      <c r="LTL6"/>
      <c r="LTM6"/>
      <c r="LTN6"/>
      <c r="LTO6"/>
      <c r="LTP6"/>
      <c r="LTQ6"/>
      <c r="LTR6"/>
      <c r="LTS6"/>
      <c r="LTT6"/>
      <c r="LTU6"/>
      <c r="LTV6"/>
      <c r="LTW6"/>
      <c r="LTX6"/>
      <c r="LTY6"/>
      <c r="LTZ6"/>
      <c r="LUA6"/>
      <c r="LUB6"/>
      <c r="LUC6"/>
      <c r="LUD6"/>
      <c r="LUE6"/>
      <c r="LUF6"/>
      <c r="LUG6"/>
      <c r="LUH6"/>
      <c r="LUI6"/>
      <c r="LUJ6"/>
      <c r="LUK6"/>
      <c r="LUL6"/>
      <c r="LUM6"/>
      <c r="LUN6"/>
      <c r="LUO6"/>
      <c r="LUP6"/>
      <c r="LUQ6"/>
      <c r="LUR6"/>
      <c r="LUS6"/>
      <c r="LUT6"/>
      <c r="LUU6"/>
      <c r="LUV6"/>
      <c r="LUW6"/>
      <c r="LUX6"/>
      <c r="LUY6"/>
      <c r="LUZ6"/>
      <c r="LVA6"/>
      <c r="LVB6"/>
      <c r="LVC6"/>
      <c r="LVD6"/>
      <c r="LVE6"/>
      <c r="LVF6"/>
      <c r="LVG6"/>
      <c r="LVH6"/>
      <c r="LVI6"/>
      <c r="LVJ6"/>
      <c r="LVK6"/>
      <c r="LVL6"/>
      <c r="LVM6"/>
      <c r="LVN6"/>
      <c r="LVO6"/>
      <c r="LVP6"/>
      <c r="LVQ6"/>
      <c r="LVR6"/>
      <c r="LVS6"/>
      <c r="LVT6"/>
      <c r="LVU6"/>
      <c r="LVV6"/>
      <c r="LVW6"/>
      <c r="LVX6"/>
      <c r="LVY6"/>
      <c r="LVZ6"/>
      <c r="LWA6"/>
      <c r="LWB6"/>
      <c r="LWC6"/>
      <c r="LWD6"/>
      <c r="LWE6"/>
      <c r="LWF6"/>
      <c r="LWG6"/>
      <c r="LWH6"/>
      <c r="LWI6"/>
      <c r="LWJ6"/>
      <c r="LWK6"/>
      <c r="LWL6"/>
      <c r="LWM6"/>
      <c r="LWN6"/>
      <c r="LWO6"/>
      <c r="LWP6"/>
      <c r="LWQ6"/>
      <c r="LWR6"/>
      <c r="LWS6"/>
      <c r="LWT6"/>
      <c r="LWU6"/>
      <c r="LWV6"/>
      <c r="LWW6"/>
      <c r="LWX6"/>
      <c r="LWY6"/>
      <c r="LWZ6"/>
      <c r="LXA6"/>
      <c r="LXB6"/>
      <c r="LXC6"/>
      <c r="LXD6"/>
      <c r="LXE6"/>
      <c r="LXF6"/>
      <c r="LXG6"/>
      <c r="LXH6"/>
      <c r="LXI6"/>
      <c r="LXJ6"/>
      <c r="LXK6"/>
      <c r="LXL6"/>
      <c r="LXM6"/>
      <c r="LXN6"/>
      <c r="LXO6"/>
      <c r="LXP6"/>
      <c r="LXQ6"/>
      <c r="LXR6"/>
      <c r="LXS6"/>
      <c r="LXT6"/>
      <c r="LXU6"/>
      <c r="LXV6"/>
      <c r="LXW6"/>
      <c r="LXX6"/>
      <c r="LXY6"/>
      <c r="LXZ6"/>
      <c r="LYA6"/>
      <c r="LYB6"/>
      <c r="LYC6"/>
      <c r="LYD6"/>
      <c r="LYE6"/>
      <c r="LYF6"/>
      <c r="LYG6"/>
      <c r="LYH6"/>
      <c r="LYI6"/>
      <c r="LYJ6"/>
      <c r="LYK6"/>
      <c r="LYL6"/>
      <c r="LYM6"/>
      <c r="LYN6"/>
      <c r="LYO6"/>
      <c r="LYP6"/>
      <c r="LYQ6"/>
      <c r="LYR6"/>
      <c r="LYS6"/>
      <c r="LYT6"/>
      <c r="LYU6"/>
      <c r="LYV6"/>
      <c r="LYW6"/>
      <c r="LYX6"/>
      <c r="LYY6"/>
      <c r="LYZ6"/>
      <c r="LZA6"/>
      <c r="LZB6"/>
      <c r="LZC6"/>
      <c r="LZD6"/>
      <c r="LZE6"/>
      <c r="LZF6"/>
      <c r="LZG6"/>
      <c r="LZH6"/>
      <c r="LZI6"/>
      <c r="LZJ6"/>
      <c r="LZK6"/>
      <c r="LZL6"/>
      <c r="LZM6"/>
      <c r="LZN6"/>
      <c r="LZO6"/>
      <c r="LZP6"/>
      <c r="LZQ6"/>
      <c r="LZR6"/>
      <c r="LZS6"/>
      <c r="LZT6"/>
      <c r="LZU6"/>
      <c r="LZV6"/>
      <c r="LZW6"/>
      <c r="LZX6"/>
      <c r="LZY6"/>
      <c r="LZZ6"/>
      <c r="MAA6"/>
      <c r="MAB6"/>
      <c r="MAC6"/>
      <c r="MAD6"/>
      <c r="MAE6"/>
      <c r="MAF6"/>
      <c r="MAG6"/>
      <c r="MAH6"/>
      <c r="MAI6"/>
      <c r="MAJ6"/>
      <c r="MAK6"/>
      <c r="MAL6"/>
      <c r="MAM6"/>
      <c r="MAN6"/>
      <c r="MAO6"/>
      <c r="MAP6"/>
      <c r="MAQ6"/>
      <c r="MAR6"/>
      <c r="MAS6"/>
      <c r="MAT6"/>
      <c r="MAU6"/>
      <c r="MAV6"/>
      <c r="MAW6"/>
      <c r="MAX6"/>
      <c r="MAY6"/>
      <c r="MAZ6"/>
      <c r="MBA6"/>
      <c r="MBB6"/>
      <c r="MBC6"/>
      <c r="MBD6"/>
      <c r="MBE6"/>
      <c r="MBF6"/>
      <c r="MBG6"/>
      <c r="MBH6"/>
      <c r="MBI6"/>
      <c r="MBJ6"/>
      <c r="MBK6"/>
      <c r="MBL6"/>
      <c r="MBM6"/>
      <c r="MBN6"/>
      <c r="MBO6"/>
      <c r="MBP6"/>
      <c r="MBQ6"/>
      <c r="MBR6"/>
      <c r="MBS6"/>
      <c r="MBT6"/>
      <c r="MBU6"/>
      <c r="MBV6"/>
      <c r="MBW6"/>
      <c r="MBX6"/>
      <c r="MBY6"/>
      <c r="MBZ6"/>
      <c r="MCA6"/>
      <c r="MCB6"/>
      <c r="MCC6"/>
      <c r="MCD6"/>
      <c r="MCE6"/>
      <c r="MCF6"/>
      <c r="MCG6"/>
      <c r="MCH6"/>
      <c r="MCI6"/>
      <c r="MCJ6"/>
      <c r="MCK6"/>
      <c r="MCL6"/>
      <c r="MCM6"/>
      <c r="MCN6"/>
      <c r="MCO6"/>
      <c r="MCP6"/>
      <c r="MCQ6"/>
      <c r="MCR6"/>
      <c r="MCS6"/>
      <c r="MCT6"/>
      <c r="MCU6"/>
      <c r="MCV6"/>
      <c r="MCW6"/>
      <c r="MCX6"/>
      <c r="MCY6"/>
      <c r="MCZ6"/>
      <c r="MDA6"/>
      <c r="MDB6"/>
      <c r="MDC6"/>
      <c r="MDD6"/>
      <c r="MDE6"/>
      <c r="MDF6"/>
      <c r="MDG6"/>
      <c r="MDH6"/>
      <c r="MDI6"/>
      <c r="MDJ6"/>
      <c r="MDK6"/>
      <c r="MDL6"/>
      <c r="MDM6"/>
      <c r="MDN6"/>
      <c r="MDO6"/>
      <c r="MDP6"/>
      <c r="MDQ6"/>
      <c r="MDR6"/>
      <c r="MDS6"/>
      <c r="MDT6"/>
      <c r="MDU6"/>
      <c r="MDV6"/>
      <c r="MDW6"/>
      <c r="MDX6"/>
      <c r="MDY6"/>
      <c r="MDZ6"/>
      <c r="MEA6"/>
      <c r="MEB6"/>
      <c r="MEC6"/>
      <c r="MED6"/>
      <c r="MEE6"/>
      <c r="MEF6"/>
      <c r="MEG6"/>
      <c r="MEH6"/>
      <c r="MEI6"/>
      <c r="MEJ6"/>
      <c r="MEK6"/>
      <c r="MEL6"/>
      <c r="MEM6"/>
      <c r="MEN6"/>
      <c r="MEO6"/>
      <c r="MEP6"/>
      <c r="MEQ6"/>
      <c r="MER6"/>
      <c r="MES6"/>
      <c r="MET6"/>
      <c r="MEU6"/>
      <c r="MEV6"/>
      <c r="MEW6"/>
      <c r="MEX6"/>
      <c r="MEY6"/>
      <c r="MEZ6"/>
      <c r="MFA6"/>
      <c r="MFB6"/>
      <c r="MFC6"/>
      <c r="MFD6"/>
      <c r="MFE6"/>
      <c r="MFF6"/>
      <c r="MFG6"/>
      <c r="MFH6"/>
      <c r="MFI6"/>
      <c r="MFJ6"/>
      <c r="MFK6"/>
      <c r="MFL6"/>
      <c r="MFM6"/>
      <c r="MFN6"/>
      <c r="MFO6"/>
      <c r="MFP6"/>
      <c r="MFQ6"/>
      <c r="MFR6"/>
      <c r="MFS6"/>
      <c r="MFT6"/>
      <c r="MFU6"/>
      <c r="MFV6"/>
      <c r="MFW6"/>
      <c r="MFX6"/>
      <c r="MFY6"/>
      <c r="MFZ6"/>
      <c r="MGA6"/>
      <c r="MGB6"/>
      <c r="MGC6"/>
      <c r="MGD6"/>
      <c r="MGE6"/>
      <c r="MGF6"/>
      <c r="MGG6"/>
      <c r="MGH6"/>
      <c r="MGI6"/>
      <c r="MGJ6"/>
      <c r="MGK6"/>
      <c r="MGL6"/>
      <c r="MGM6"/>
      <c r="MGN6"/>
      <c r="MGO6"/>
      <c r="MGP6"/>
      <c r="MGQ6"/>
      <c r="MGR6"/>
      <c r="MGS6"/>
      <c r="MGT6"/>
      <c r="MGU6"/>
      <c r="MGV6"/>
      <c r="MGW6"/>
      <c r="MGX6"/>
      <c r="MGY6"/>
      <c r="MGZ6"/>
      <c r="MHA6"/>
      <c r="MHB6"/>
      <c r="MHC6"/>
      <c r="MHD6"/>
      <c r="MHE6"/>
      <c r="MHF6"/>
      <c r="MHG6"/>
      <c r="MHH6"/>
      <c r="MHI6"/>
      <c r="MHJ6"/>
      <c r="MHK6"/>
      <c r="MHL6"/>
      <c r="MHM6"/>
      <c r="MHN6"/>
      <c r="MHO6"/>
      <c r="MHP6"/>
      <c r="MHQ6"/>
      <c r="MHR6"/>
      <c r="MHS6"/>
      <c r="MHT6"/>
      <c r="MHU6"/>
      <c r="MHV6"/>
      <c r="MHW6"/>
      <c r="MHX6"/>
      <c r="MHY6"/>
      <c r="MHZ6"/>
      <c r="MIA6"/>
      <c r="MIB6"/>
      <c r="MIC6"/>
      <c r="MID6"/>
      <c r="MIE6"/>
      <c r="MIF6"/>
      <c r="MIG6"/>
      <c r="MIH6"/>
      <c r="MII6"/>
      <c r="MIJ6"/>
      <c r="MIK6"/>
      <c r="MIL6"/>
      <c r="MIM6"/>
      <c r="MIN6"/>
      <c r="MIO6"/>
      <c r="MIP6"/>
      <c r="MIQ6"/>
      <c r="MIR6"/>
      <c r="MIS6"/>
      <c r="MIT6"/>
      <c r="MIU6"/>
      <c r="MIV6"/>
      <c r="MIW6"/>
      <c r="MIX6"/>
      <c r="MIY6"/>
      <c r="MIZ6"/>
      <c r="MJA6"/>
      <c r="MJB6"/>
      <c r="MJC6"/>
      <c r="MJD6"/>
      <c r="MJE6"/>
      <c r="MJF6"/>
      <c r="MJG6"/>
      <c r="MJH6"/>
      <c r="MJI6"/>
      <c r="MJJ6"/>
      <c r="MJK6"/>
      <c r="MJL6"/>
      <c r="MJM6"/>
      <c r="MJN6"/>
      <c r="MJO6"/>
      <c r="MJP6"/>
      <c r="MJQ6"/>
      <c r="MJR6"/>
      <c r="MJS6"/>
      <c r="MJT6"/>
      <c r="MJU6"/>
      <c r="MJV6"/>
      <c r="MJW6"/>
      <c r="MJX6"/>
      <c r="MJY6"/>
      <c r="MJZ6"/>
      <c r="MKA6"/>
      <c r="MKB6"/>
      <c r="MKC6"/>
      <c r="MKD6"/>
      <c r="MKE6"/>
      <c r="MKF6"/>
      <c r="MKG6"/>
      <c r="MKH6"/>
      <c r="MKI6"/>
      <c r="MKJ6"/>
      <c r="MKK6"/>
      <c r="MKL6"/>
      <c r="MKM6"/>
      <c r="MKN6"/>
      <c r="MKO6"/>
      <c r="MKP6"/>
      <c r="MKQ6"/>
      <c r="MKR6"/>
      <c r="MKS6"/>
      <c r="MKT6"/>
      <c r="MKU6"/>
      <c r="MKV6"/>
      <c r="MKW6"/>
      <c r="MKX6"/>
      <c r="MKY6"/>
      <c r="MKZ6"/>
      <c r="MLA6"/>
      <c r="MLB6"/>
      <c r="MLC6"/>
      <c r="MLD6"/>
      <c r="MLE6"/>
      <c r="MLF6"/>
      <c r="MLG6"/>
      <c r="MLH6"/>
      <c r="MLI6"/>
      <c r="MLJ6"/>
      <c r="MLK6"/>
      <c r="MLL6"/>
      <c r="MLM6"/>
      <c r="MLN6"/>
      <c r="MLO6"/>
      <c r="MLP6"/>
      <c r="MLQ6"/>
      <c r="MLR6"/>
      <c r="MLS6"/>
      <c r="MLT6"/>
      <c r="MLU6"/>
      <c r="MLV6"/>
      <c r="MLW6"/>
      <c r="MLX6"/>
      <c r="MLY6"/>
      <c r="MLZ6"/>
      <c r="MMA6"/>
      <c r="MMB6"/>
      <c r="MMC6"/>
      <c r="MMD6"/>
      <c r="MME6"/>
      <c r="MMF6"/>
      <c r="MMG6"/>
      <c r="MMH6"/>
      <c r="MMI6"/>
      <c r="MMJ6"/>
      <c r="MMK6"/>
      <c r="MML6"/>
      <c r="MMM6"/>
      <c r="MMN6"/>
      <c r="MMO6"/>
      <c r="MMP6"/>
      <c r="MMQ6"/>
      <c r="MMR6"/>
      <c r="MMS6"/>
      <c r="MMT6"/>
      <c r="MMU6"/>
      <c r="MMV6"/>
      <c r="MMW6"/>
      <c r="MMX6"/>
      <c r="MMY6"/>
      <c r="MMZ6"/>
      <c r="MNA6"/>
      <c r="MNB6"/>
      <c r="MNC6"/>
      <c r="MND6"/>
      <c r="MNE6"/>
      <c r="MNF6"/>
      <c r="MNG6"/>
      <c r="MNH6"/>
      <c r="MNI6"/>
      <c r="MNJ6"/>
      <c r="MNK6"/>
      <c r="MNL6"/>
      <c r="MNM6"/>
      <c r="MNN6"/>
      <c r="MNO6"/>
      <c r="MNP6"/>
      <c r="MNQ6"/>
      <c r="MNR6"/>
      <c r="MNS6"/>
      <c r="MNT6"/>
      <c r="MNU6"/>
      <c r="MNV6"/>
      <c r="MNW6"/>
      <c r="MNX6"/>
      <c r="MNY6"/>
      <c r="MNZ6"/>
      <c r="MOA6"/>
      <c r="MOB6"/>
      <c r="MOC6"/>
      <c r="MOD6"/>
      <c r="MOE6"/>
      <c r="MOF6"/>
      <c r="MOG6"/>
      <c r="MOH6"/>
      <c r="MOI6"/>
      <c r="MOJ6"/>
      <c r="MOK6"/>
      <c r="MOL6"/>
      <c r="MOM6"/>
      <c r="MON6"/>
      <c r="MOO6"/>
      <c r="MOP6"/>
      <c r="MOQ6"/>
      <c r="MOR6"/>
      <c r="MOS6"/>
      <c r="MOT6"/>
      <c r="MOU6"/>
      <c r="MOV6"/>
      <c r="MOW6"/>
      <c r="MOX6"/>
      <c r="MOY6"/>
      <c r="MOZ6"/>
      <c r="MPA6"/>
      <c r="MPB6"/>
      <c r="MPC6"/>
      <c r="MPD6"/>
      <c r="MPE6"/>
      <c r="MPF6"/>
      <c r="MPG6"/>
      <c r="MPH6"/>
      <c r="MPI6"/>
      <c r="MPJ6"/>
      <c r="MPK6"/>
      <c r="MPL6"/>
      <c r="MPM6"/>
      <c r="MPN6"/>
      <c r="MPO6"/>
      <c r="MPP6"/>
      <c r="MPQ6"/>
      <c r="MPR6"/>
      <c r="MPS6"/>
      <c r="MPT6"/>
      <c r="MPU6"/>
      <c r="MPV6"/>
      <c r="MPW6"/>
      <c r="MPX6"/>
      <c r="MPY6"/>
      <c r="MPZ6"/>
      <c r="MQA6"/>
      <c r="MQB6"/>
      <c r="MQC6"/>
      <c r="MQD6"/>
      <c r="MQE6"/>
      <c r="MQF6"/>
      <c r="MQG6"/>
      <c r="MQH6"/>
      <c r="MQI6"/>
      <c r="MQJ6"/>
      <c r="MQK6"/>
      <c r="MQL6"/>
      <c r="MQM6"/>
      <c r="MQN6"/>
      <c r="MQO6"/>
      <c r="MQP6"/>
      <c r="MQQ6"/>
      <c r="MQR6"/>
      <c r="MQS6"/>
      <c r="MQT6"/>
      <c r="MQU6"/>
      <c r="MQV6"/>
      <c r="MQW6"/>
      <c r="MQX6"/>
      <c r="MQY6"/>
      <c r="MQZ6"/>
      <c r="MRA6"/>
      <c r="MRB6"/>
      <c r="MRC6"/>
      <c r="MRD6"/>
      <c r="MRE6"/>
      <c r="MRF6"/>
      <c r="MRG6"/>
      <c r="MRH6"/>
      <c r="MRI6"/>
      <c r="MRJ6"/>
      <c r="MRK6"/>
      <c r="MRL6"/>
      <c r="MRM6"/>
      <c r="MRN6"/>
      <c r="MRO6"/>
      <c r="MRP6"/>
      <c r="MRQ6"/>
      <c r="MRR6"/>
      <c r="MRS6"/>
      <c r="MRT6"/>
      <c r="MRU6"/>
      <c r="MRV6"/>
      <c r="MRW6"/>
      <c r="MRX6"/>
      <c r="MRY6"/>
      <c r="MRZ6"/>
      <c r="MSA6"/>
      <c r="MSB6"/>
      <c r="MSC6"/>
      <c r="MSD6"/>
      <c r="MSE6"/>
      <c r="MSF6"/>
      <c r="MSG6"/>
      <c r="MSH6"/>
      <c r="MSI6"/>
      <c r="MSJ6"/>
      <c r="MSK6"/>
      <c r="MSL6"/>
      <c r="MSM6"/>
      <c r="MSN6"/>
      <c r="MSO6"/>
      <c r="MSP6"/>
      <c r="MSQ6"/>
      <c r="MSR6"/>
      <c r="MSS6"/>
      <c r="MST6"/>
      <c r="MSU6"/>
      <c r="MSV6"/>
      <c r="MSW6"/>
      <c r="MSX6"/>
      <c r="MSY6"/>
      <c r="MSZ6"/>
      <c r="MTA6"/>
      <c r="MTB6"/>
      <c r="MTC6"/>
      <c r="MTD6"/>
      <c r="MTE6"/>
      <c r="MTF6"/>
      <c r="MTG6"/>
      <c r="MTH6"/>
      <c r="MTI6"/>
      <c r="MTJ6"/>
      <c r="MTK6"/>
      <c r="MTL6"/>
      <c r="MTM6"/>
      <c r="MTN6"/>
      <c r="MTO6"/>
      <c r="MTP6"/>
      <c r="MTQ6"/>
      <c r="MTR6"/>
      <c r="MTS6"/>
      <c r="MTT6"/>
      <c r="MTU6"/>
      <c r="MTV6"/>
      <c r="MTW6"/>
      <c r="MTX6"/>
      <c r="MTY6"/>
      <c r="MTZ6"/>
      <c r="MUA6"/>
      <c r="MUB6"/>
      <c r="MUC6"/>
      <c r="MUD6"/>
      <c r="MUE6"/>
      <c r="MUF6"/>
      <c r="MUG6"/>
      <c r="MUH6"/>
      <c r="MUI6"/>
      <c r="MUJ6"/>
      <c r="MUK6"/>
      <c r="MUL6"/>
      <c r="MUM6"/>
      <c r="MUN6"/>
      <c r="MUO6"/>
      <c r="MUP6"/>
      <c r="MUQ6"/>
      <c r="MUR6"/>
      <c r="MUS6"/>
      <c r="MUT6"/>
      <c r="MUU6"/>
      <c r="MUV6"/>
      <c r="MUW6"/>
      <c r="MUX6"/>
      <c r="MUY6"/>
      <c r="MUZ6"/>
      <c r="MVA6"/>
      <c r="MVB6"/>
      <c r="MVC6"/>
      <c r="MVD6"/>
      <c r="MVE6"/>
      <c r="MVF6"/>
      <c r="MVG6"/>
      <c r="MVH6"/>
      <c r="MVI6"/>
      <c r="MVJ6"/>
      <c r="MVK6"/>
      <c r="MVL6"/>
      <c r="MVM6"/>
      <c r="MVN6"/>
      <c r="MVO6"/>
      <c r="MVP6"/>
      <c r="MVQ6"/>
      <c r="MVR6"/>
      <c r="MVS6"/>
      <c r="MVT6"/>
      <c r="MVU6"/>
      <c r="MVV6"/>
      <c r="MVW6"/>
      <c r="MVX6"/>
      <c r="MVY6"/>
      <c r="MVZ6"/>
      <c r="MWA6"/>
      <c r="MWB6"/>
      <c r="MWC6"/>
      <c r="MWD6"/>
      <c r="MWE6"/>
      <c r="MWF6"/>
      <c r="MWG6"/>
      <c r="MWH6"/>
      <c r="MWI6"/>
      <c r="MWJ6"/>
      <c r="MWK6"/>
      <c r="MWL6"/>
      <c r="MWM6"/>
      <c r="MWN6"/>
      <c r="MWO6"/>
      <c r="MWP6"/>
      <c r="MWQ6"/>
      <c r="MWR6"/>
      <c r="MWS6"/>
      <c r="MWT6"/>
      <c r="MWU6"/>
      <c r="MWV6"/>
      <c r="MWW6"/>
      <c r="MWX6"/>
      <c r="MWY6"/>
      <c r="MWZ6"/>
      <c r="MXA6"/>
      <c r="MXB6"/>
      <c r="MXC6"/>
      <c r="MXD6"/>
      <c r="MXE6"/>
      <c r="MXF6"/>
      <c r="MXG6"/>
      <c r="MXH6"/>
      <c r="MXI6"/>
      <c r="MXJ6"/>
      <c r="MXK6"/>
      <c r="MXL6"/>
      <c r="MXM6"/>
      <c r="MXN6"/>
      <c r="MXO6"/>
      <c r="MXP6"/>
      <c r="MXQ6"/>
      <c r="MXR6"/>
      <c r="MXS6"/>
      <c r="MXT6"/>
      <c r="MXU6"/>
      <c r="MXV6"/>
      <c r="MXW6"/>
      <c r="MXX6"/>
      <c r="MXY6"/>
      <c r="MXZ6"/>
      <c r="MYA6"/>
      <c r="MYB6"/>
      <c r="MYC6"/>
      <c r="MYD6"/>
      <c r="MYE6"/>
      <c r="MYF6"/>
      <c r="MYG6"/>
      <c r="MYH6"/>
      <c r="MYI6"/>
      <c r="MYJ6"/>
      <c r="MYK6"/>
      <c r="MYL6"/>
      <c r="MYM6"/>
      <c r="MYN6"/>
      <c r="MYO6"/>
      <c r="MYP6"/>
      <c r="MYQ6"/>
      <c r="MYR6"/>
      <c r="MYS6"/>
      <c r="MYT6"/>
      <c r="MYU6"/>
      <c r="MYV6"/>
      <c r="MYW6"/>
      <c r="MYX6"/>
      <c r="MYY6"/>
      <c r="MYZ6"/>
      <c r="MZA6"/>
      <c r="MZB6"/>
      <c r="MZC6"/>
      <c r="MZD6"/>
      <c r="MZE6"/>
      <c r="MZF6"/>
      <c r="MZG6"/>
      <c r="MZH6"/>
      <c r="MZI6"/>
      <c r="MZJ6"/>
      <c r="MZK6"/>
      <c r="MZL6"/>
      <c r="MZM6"/>
      <c r="MZN6"/>
      <c r="MZO6"/>
      <c r="MZP6"/>
      <c r="MZQ6"/>
      <c r="MZR6"/>
      <c r="MZS6"/>
      <c r="MZT6"/>
      <c r="MZU6"/>
      <c r="MZV6"/>
      <c r="MZW6"/>
      <c r="MZX6"/>
      <c r="MZY6"/>
      <c r="MZZ6"/>
      <c r="NAA6"/>
      <c r="NAB6"/>
      <c r="NAC6"/>
      <c r="NAD6"/>
      <c r="NAE6"/>
      <c r="NAF6"/>
      <c r="NAG6"/>
      <c r="NAH6"/>
      <c r="NAI6"/>
      <c r="NAJ6"/>
      <c r="NAK6"/>
      <c r="NAL6"/>
      <c r="NAM6"/>
      <c r="NAN6"/>
      <c r="NAO6"/>
      <c r="NAP6"/>
      <c r="NAQ6"/>
      <c r="NAR6"/>
      <c r="NAS6"/>
      <c r="NAT6"/>
      <c r="NAU6"/>
      <c r="NAV6"/>
      <c r="NAW6"/>
      <c r="NAX6"/>
      <c r="NAY6"/>
      <c r="NAZ6"/>
      <c r="NBA6"/>
      <c r="NBB6"/>
      <c r="NBC6"/>
      <c r="NBD6"/>
      <c r="NBE6"/>
      <c r="NBF6"/>
      <c r="NBG6"/>
      <c r="NBH6"/>
      <c r="NBI6"/>
      <c r="NBJ6"/>
      <c r="NBK6"/>
      <c r="NBL6"/>
      <c r="NBM6"/>
      <c r="NBN6"/>
      <c r="NBO6"/>
      <c r="NBP6"/>
      <c r="NBQ6"/>
      <c r="NBR6"/>
      <c r="NBS6"/>
      <c r="NBT6"/>
      <c r="NBU6"/>
      <c r="NBV6"/>
      <c r="NBW6"/>
      <c r="NBX6"/>
      <c r="NBY6"/>
      <c r="NBZ6"/>
      <c r="NCA6"/>
      <c r="NCB6"/>
      <c r="NCC6"/>
      <c r="NCD6"/>
      <c r="NCE6"/>
      <c r="NCF6"/>
      <c r="NCG6"/>
      <c r="NCH6"/>
      <c r="NCI6"/>
      <c r="NCJ6"/>
      <c r="NCK6"/>
      <c r="NCL6"/>
      <c r="NCM6"/>
      <c r="NCN6"/>
      <c r="NCO6"/>
      <c r="NCP6"/>
      <c r="NCQ6"/>
      <c r="NCR6"/>
      <c r="NCS6"/>
      <c r="NCT6"/>
      <c r="NCU6"/>
      <c r="NCV6"/>
      <c r="NCW6"/>
      <c r="NCX6"/>
      <c r="NCY6"/>
      <c r="NCZ6"/>
      <c r="NDA6"/>
      <c r="NDB6"/>
      <c r="NDC6"/>
      <c r="NDD6"/>
      <c r="NDE6"/>
      <c r="NDF6"/>
      <c r="NDG6"/>
      <c r="NDH6"/>
      <c r="NDI6"/>
      <c r="NDJ6"/>
      <c r="NDK6"/>
      <c r="NDL6"/>
      <c r="NDM6"/>
      <c r="NDN6"/>
      <c r="NDO6"/>
      <c r="NDP6"/>
      <c r="NDQ6"/>
      <c r="NDR6"/>
      <c r="NDS6"/>
      <c r="NDT6"/>
      <c r="NDU6"/>
      <c r="NDV6"/>
      <c r="NDW6"/>
      <c r="NDX6"/>
      <c r="NDY6"/>
      <c r="NDZ6"/>
      <c r="NEA6"/>
      <c r="NEB6"/>
      <c r="NEC6"/>
      <c r="NED6"/>
      <c r="NEE6"/>
      <c r="NEF6"/>
      <c r="NEG6"/>
      <c r="NEH6"/>
      <c r="NEI6"/>
      <c r="NEJ6"/>
      <c r="NEK6"/>
      <c r="NEL6"/>
      <c r="NEM6"/>
      <c r="NEN6"/>
      <c r="NEO6"/>
      <c r="NEP6"/>
      <c r="NEQ6"/>
      <c r="NER6"/>
      <c r="NES6"/>
      <c r="NET6"/>
      <c r="NEU6"/>
      <c r="NEV6"/>
      <c r="NEW6"/>
      <c r="NEX6"/>
      <c r="NEY6"/>
      <c r="NEZ6"/>
      <c r="NFA6"/>
      <c r="NFB6"/>
      <c r="NFC6"/>
      <c r="NFD6"/>
      <c r="NFE6"/>
      <c r="NFF6"/>
      <c r="NFG6"/>
      <c r="NFH6"/>
      <c r="NFI6"/>
      <c r="NFJ6"/>
      <c r="NFK6"/>
      <c r="NFL6"/>
      <c r="NFM6"/>
      <c r="NFN6"/>
      <c r="NFO6"/>
      <c r="NFP6"/>
      <c r="NFQ6"/>
      <c r="NFR6"/>
      <c r="NFS6"/>
      <c r="NFT6"/>
      <c r="NFU6"/>
      <c r="NFV6"/>
      <c r="NFW6"/>
      <c r="NFX6"/>
      <c r="NFY6"/>
      <c r="NFZ6"/>
      <c r="NGA6"/>
      <c r="NGB6"/>
      <c r="NGC6"/>
      <c r="NGD6"/>
      <c r="NGE6"/>
      <c r="NGF6"/>
      <c r="NGG6"/>
      <c r="NGH6"/>
      <c r="NGI6"/>
      <c r="NGJ6"/>
      <c r="NGK6"/>
      <c r="NGL6"/>
      <c r="NGM6"/>
      <c r="NGN6"/>
      <c r="NGO6"/>
      <c r="NGP6"/>
      <c r="NGQ6"/>
      <c r="NGR6"/>
      <c r="NGS6"/>
      <c r="NGT6"/>
      <c r="NGU6"/>
      <c r="NGV6"/>
      <c r="NGW6"/>
      <c r="NGX6"/>
      <c r="NGY6"/>
      <c r="NGZ6"/>
      <c r="NHA6"/>
      <c r="NHB6"/>
      <c r="NHC6"/>
      <c r="NHD6"/>
      <c r="NHE6"/>
      <c r="NHF6"/>
      <c r="NHG6"/>
      <c r="NHH6"/>
      <c r="NHI6"/>
      <c r="NHJ6"/>
      <c r="NHK6"/>
      <c r="NHL6"/>
      <c r="NHM6"/>
      <c r="NHN6"/>
      <c r="NHO6"/>
      <c r="NHP6"/>
      <c r="NHQ6"/>
      <c r="NHR6"/>
      <c r="NHS6"/>
      <c r="NHT6"/>
      <c r="NHU6"/>
      <c r="NHV6"/>
      <c r="NHW6"/>
      <c r="NHX6"/>
      <c r="NHY6"/>
      <c r="NHZ6"/>
      <c r="NIA6"/>
      <c r="NIB6"/>
      <c r="NIC6"/>
      <c r="NID6"/>
      <c r="NIE6"/>
      <c r="NIF6"/>
      <c r="NIG6"/>
      <c r="NIH6"/>
      <c r="NII6"/>
      <c r="NIJ6"/>
      <c r="NIK6"/>
      <c r="NIL6"/>
      <c r="NIM6"/>
      <c r="NIN6"/>
      <c r="NIO6"/>
      <c r="NIP6"/>
      <c r="NIQ6"/>
      <c r="NIR6"/>
      <c r="NIS6"/>
      <c r="NIT6"/>
      <c r="NIU6"/>
      <c r="NIV6"/>
      <c r="NIW6"/>
      <c r="NIX6"/>
      <c r="NIY6"/>
      <c r="NIZ6"/>
      <c r="NJA6"/>
      <c r="NJB6"/>
      <c r="NJC6"/>
      <c r="NJD6"/>
      <c r="NJE6"/>
      <c r="NJF6"/>
      <c r="NJG6"/>
      <c r="NJH6"/>
      <c r="NJI6"/>
      <c r="NJJ6"/>
      <c r="NJK6"/>
      <c r="NJL6"/>
      <c r="NJM6"/>
      <c r="NJN6"/>
      <c r="NJO6"/>
      <c r="NJP6"/>
      <c r="NJQ6"/>
      <c r="NJR6"/>
      <c r="NJS6"/>
      <c r="NJT6"/>
      <c r="NJU6"/>
      <c r="NJV6"/>
      <c r="NJW6"/>
      <c r="NJX6"/>
      <c r="NJY6"/>
      <c r="NJZ6"/>
      <c r="NKA6"/>
      <c r="NKB6"/>
      <c r="NKC6"/>
      <c r="NKD6"/>
      <c r="NKE6"/>
      <c r="NKF6"/>
      <c r="NKG6"/>
      <c r="NKH6"/>
      <c r="NKI6"/>
      <c r="NKJ6"/>
      <c r="NKK6"/>
      <c r="NKL6"/>
      <c r="NKM6"/>
      <c r="NKN6"/>
      <c r="NKO6"/>
      <c r="NKP6"/>
      <c r="NKQ6"/>
      <c r="NKR6"/>
      <c r="NKS6"/>
      <c r="NKT6"/>
      <c r="NKU6"/>
      <c r="NKV6"/>
      <c r="NKW6"/>
      <c r="NKX6"/>
      <c r="NKY6"/>
      <c r="NKZ6"/>
      <c r="NLA6"/>
      <c r="NLB6"/>
      <c r="NLC6"/>
      <c r="NLD6"/>
      <c r="NLE6"/>
      <c r="NLF6"/>
      <c r="NLG6"/>
      <c r="NLH6"/>
      <c r="NLI6"/>
      <c r="NLJ6"/>
      <c r="NLK6"/>
      <c r="NLL6"/>
      <c r="NLM6"/>
      <c r="NLN6"/>
      <c r="NLO6"/>
      <c r="NLP6"/>
      <c r="NLQ6"/>
      <c r="NLR6"/>
      <c r="NLS6"/>
      <c r="NLT6"/>
      <c r="NLU6"/>
      <c r="NLV6"/>
      <c r="NLW6"/>
      <c r="NLX6"/>
      <c r="NLY6"/>
      <c r="NLZ6"/>
      <c r="NMA6"/>
      <c r="NMB6"/>
      <c r="NMC6"/>
      <c r="NMD6"/>
      <c r="NME6"/>
      <c r="NMF6"/>
      <c r="NMG6"/>
      <c r="NMH6"/>
      <c r="NMI6"/>
      <c r="NMJ6"/>
      <c r="NMK6"/>
      <c r="NML6"/>
      <c r="NMM6"/>
      <c r="NMN6"/>
      <c r="NMO6"/>
      <c r="NMP6"/>
      <c r="NMQ6"/>
      <c r="NMR6"/>
      <c r="NMS6"/>
      <c r="NMT6"/>
      <c r="NMU6"/>
      <c r="NMV6"/>
      <c r="NMW6"/>
      <c r="NMX6"/>
      <c r="NMY6"/>
      <c r="NMZ6"/>
      <c r="NNA6"/>
      <c r="NNB6"/>
      <c r="NNC6"/>
      <c r="NND6"/>
      <c r="NNE6"/>
      <c r="NNF6"/>
      <c r="NNG6"/>
      <c r="NNH6"/>
      <c r="NNI6"/>
      <c r="NNJ6"/>
      <c r="NNK6"/>
      <c r="NNL6"/>
      <c r="NNM6"/>
      <c r="NNN6"/>
      <c r="NNO6"/>
      <c r="NNP6"/>
      <c r="NNQ6"/>
      <c r="NNR6"/>
      <c r="NNS6"/>
      <c r="NNT6"/>
      <c r="NNU6"/>
      <c r="NNV6"/>
      <c r="NNW6"/>
      <c r="NNX6"/>
      <c r="NNY6"/>
      <c r="NNZ6"/>
      <c r="NOA6"/>
      <c r="NOB6"/>
      <c r="NOC6"/>
      <c r="NOD6"/>
      <c r="NOE6"/>
      <c r="NOF6"/>
      <c r="NOG6"/>
      <c r="NOH6"/>
      <c r="NOI6"/>
      <c r="NOJ6"/>
      <c r="NOK6"/>
      <c r="NOL6"/>
      <c r="NOM6"/>
      <c r="NON6"/>
      <c r="NOO6"/>
      <c r="NOP6"/>
      <c r="NOQ6"/>
      <c r="NOR6"/>
      <c r="NOS6"/>
      <c r="NOT6"/>
      <c r="NOU6"/>
      <c r="NOV6"/>
      <c r="NOW6"/>
      <c r="NOX6"/>
      <c r="NOY6"/>
      <c r="NOZ6"/>
      <c r="NPA6"/>
      <c r="NPB6"/>
      <c r="NPC6"/>
      <c r="NPD6"/>
      <c r="NPE6"/>
      <c r="NPF6"/>
      <c r="NPG6"/>
      <c r="NPH6"/>
      <c r="NPI6"/>
      <c r="NPJ6"/>
      <c r="NPK6"/>
      <c r="NPL6"/>
      <c r="NPM6"/>
      <c r="NPN6"/>
      <c r="NPO6"/>
      <c r="NPP6"/>
      <c r="NPQ6"/>
      <c r="NPR6"/>
      <c r="NPS6"/>
      <c r="NPT6"/>
      <c r="NPU6"/>
      <c r="NPV6"/>
      <c r="NPW6"/>
      <c r="NPX6"/>
      <c r="NPY6"/>
      <c r="NPZ6"/>
      <c r="NQA6"/>
      <c r="NQB6"/>
      <c r="NQC6"/>
      <c r="NQD6"/>
      <c r="NQE6"/>
      <c r="NQF6"/>
      <c r="NQG6"/>
      <c r="NQH6"/>
      <c r="NQI6"/>
      <c r="NQJ6"/>
      <c r="NQK6"/>
      <c r="NQL6"/>
      <c r="NQM6"/>
      <c r="NQN6"/>
      <c r="NQO6"/>
      <c r="NQP6"/>
      <c r="NQQ6"/>
      <c r="NQR6"/>
      <c r="NQS6"/>
      <c r="NQT6"/>
      <c r="NQU6"/>
      <c r="NQV6"/>
      <c r="NQW6"/>
      <c r="NQX6"/>
      <c r="NQY6"/>
      <c r="NQZ6"/>
      <c r="NRA6"/>
      <c r="NRB6"/>
      <c r="NRC6"/>
      <c r="NRD6"/>
      <c r="NRE6"/>
      <c r="NRF6"/>
      <c r="NRG6"/>
      <c r="NRH6"/>
      <c r="NRI6"/>
      <c r="NRJ6"/>
      <c r="NRK6"/>
      <c r="NRL6"/>
      <c r="NRM6"/>
      <c r="NRN6"/>
      <c r="NRO6"/>
      <c r="NRP6"/>
      <c r="NRQ6"/>
      <c r="NRR6"/>
      <c r="NRS6"/>
      <c r="NRT6"/>
      <c r="NRU6"/>
      <c r="NRV6"/>
      <c r="NRW6"/>
      <c r="NRX6"/>
      <c r="NRY6"/>
      <c r="NRZ6"/>
      <c r="NSA6"/>
      <c r="NSB6"/>
      <c r="NSC6"/>
      <c r="NSD6"/>
      <c r="NSE6"/>
      <c r="NSF6"/>
      <c r="NSG6"/>
      <c r="NSH6"/>
      <c r="NSI6"/>
      <c r="NSJ6"/>
      <c r="NSK6"/>
      <c r="NSL6"/>
      <c r="NSM6"/>
      <c r="NSN6"/>
      <c r="NSO6"/>
      <c r="NSP6"/>
      <c r="NSQ6"/>
      <c r="NSR6"/>
      <c r="NSS6"/>
      <c r="NST6"/>
      <c r="NSU6"/>
      <c r="NSV6"/>
      <c r="NSW6"/>
      <c r="NSX6"/>
      <c r="NSY6"/>
      <c r="NSZ6"/>
      <c r="NTA6"/>
      <c r="NTB6"/>
      <c r="NTC6"/>
      <c r="NTD6"/>
      <c r="NTE6"/>
      <c r="NTF6"/>
      <c r="NTG6"/>
      <c r="NTH6"/>
      <c r="NTI6"/>
      <c r="NTJ6"/>
      <c r="NTK6"/>
      <c r="NTL6"/>
      <c r="NTM6"/>
      <c r="NTN6"/>
      <c r="NTO6"/>
      <c r="NTP6"/>
      <c r="NTQ6"/>
      <c r="NTR6"/>
      <c r="NTS6"/>
      <c r="NTT6"/>
      <c r="NTU6"/>
      <c r="NTV6"/>
      <c r="NTW6"/>
      <c r="NTX6"/>
      <c r="NTY6"/>
      <c r="NTZ6"/>
      <c r="NUA6"/>
      <c r="NUB6"/>
      <c r="NUC6"/>
      <c r="NUD6"/>
      <c r="NUE6"/>
      <c r="NUF6"/>
      <c r="NUG6"/>
      <c r="NUH6"/>
      <c r="NUI6"/>
      <c r="NUJ6"/>
      <c r="NUK6"/>
      <c r="NUL6"/>
      <c r="NUM6"/>
      <c r="NUN6"/>
      <c r="NUO6"/>
      <c r="NUP6"/>
      <c r="NUQ6"/>
      <c r="NUR6"/>
      <c r="NUS6"/>
      <c r="NUT6"/>
      <c r="NUU6"/>
      <c r="NUV6"/>
      <c r="NUW6"/>
      <c r="NUX6"/>
      <c r="NUY6"/>
      <c r="NUZ6"/>
      <c r="NVA6"/>
      <c r="NVB6"/>
      <c r="NVC6"/>
      <c r="NVD6"/>
      <c r="NVE6"/>
      <c r="NVF6"/>
      <c r="NVG6"/>
      <c r="NVH6"/>
      <c r="NVI6"/>
      <c r="NVJ6"/>
      <c r="NVK6"/>
      <c r="NVL6"/>
      <c r="NVM6"/>
      <c r="NVN6"/>
      <c r="NVO6"/>
      <c r="NVP6"/>
      <c r="NVQ6"/>
      <c r="NVR6"/>
      <c r="NVS6"/>
      <c r="NVT6"/>
      <c r="NVU6"/>
      <c r="NVV6"/>
      <c r="NVW6"/>
      <c r="NVX6"/>
      <c r="NVY6"/>
      <c r="NVZ6"/>
      <c r="NWA6"/>
      <c r="NWB6"/>
      <c r="NWC6"/>
      <c r="NWD6"/>
      <c r="NWE6"/>
      <c r="NWF6"/>
      <c r="NWG6"/>
      <c r="NWH6"/>
      <c r="NWI6"/>
      <c r="NWJ6"/>
      <c r="NWK6"/>
      <c r="NWL6"/>
      <c r="NWM6"/>
      <c r="NWN6"/>
      <c r="NWO6"/>
      <c r="NWP6"/>
      <c r="NWQ6"/>
      <c r="NWR6"/>
      <c r="NWS6"/>
      <c r="NWT6"/>
      <c r="NWU6"/>
      <c r="NWV6"/>
      <c r="NWW6"/>
      <c r="NWX6"/>
      <c r="NWY6"/>
      <c r="NWZ6"/>
      <c r="NXA6"/>
      <c r="NXB6"/>
      <c r="NXC6"/>
      <c r="NXD6"/>
      <c r="NXE6"/>
      <c r="NXF6"/>
      <c r="NXG6"/>
      <c r="NXH6"/>
      <c r="NXI6"/>
      <c r="NXJ6"/>
      <c r="NXK6"/>
      <c r="NXL6"/>
      <c r="NXM6"/>
      <c r="NXN6"/>
      <c r="NXO6"/>
      <c r="NXP6"/>
      <c r="NXQ6"/>
      <c r="NXR6"/>
      <c r="NXS6"/>
      <c r="NXT6"/>
      <c r="NXU6"/>
      <c r="NXV6"/>
      <c r="NXW6"/>
      <c r="NXX6"/>
      <c r="NXY6"/>
      <c r="NXZ6"/>
      <c r="NYA6"/>
      <c r="NYB6"/>
      <c r="NYC6"/>
      <c r="NYD6"/>
      <c r="NYE6"/>
      <c r="NYF6"/>
      <c r="NYG6"/>
      <c r="NYH6"/>
      <c r="NYI6"/>
      <c r="NYJ6"/>
      <c r="NYK6"/>
      <c r="NYL6"/>
      <c r="NYM6"/>
      <c r="NYN6"/>
      <c r="NYO6"/>
      <c r="NYP6"/>
      <c r="NYQ6"/>
      <c r="NYR6"/>
      <c r="NYS6"/>
      <c r="NYT6"/>
      <c r="NYU6"/>
      <c r="NYV6"/>
      <c r="NYW6"/>
      <c r="NYX6"/>
      <c r="NYY6"/>
      <c r="NYZ6"/>
      <c r="NZA6"/>
      <c r="NZB6"/>
      <c r="NZC6"/>
      <c r="NZD6"/>
      <c r="NZE6"/>
      <c r="NZF6"/>
      <c r="NZG6"/>
      <c r="NZH6"/>
      <c r="NZI6"/>
      <c r="NZJ6"/>
      <c r="NZK6"/>
      <c r="NZL6"/>
      <c r="NZM6"/>
      <c r="NZN6"/>
      <c r="NZO6"/>
      <c r="NZP6"/>
      <c r="NZQ6"/>
      <c r="NZR6"/>
      <c r="NZS6"/>
      <c r="NZT6"/>
      <c r="NZU6"/>
      <c r="NZV6"/>
      <c r="NZW6"/>
      <c r="NZX6"/>
      <c r="NZY6"/>
      <c r="NZZ6"/>
      <c r="OAA6"/>
      <c r="OAB6"/>
      <c r="OAC6"/>
      <c r="OAD6"/>
      <c r="OAE6"/>
      <c r="OAF6"/>
      <c r="OAG6"/>
      <c r="OAH6"/>
      <c r="OAI6"/>
      <c r="OAJ6"/>
      <c r="OAK6"/>
      <c r="OAL6"/>
      <c r="OAM6"/>
      <c r="OAN6"/>
      <c r="OAO6"/>
      <c r="OAP6"/>
      <c r="OAQ6"/>
      <c r="OAR6"/>
      <c r="OAS6"/>
      <c r="OAT6"/>
      <c r="OAU6"/>
      <c r="OAV6"/>
      <c r="OAW6"/>
      <c r="OAX6"/>
      <c r="OAY6"/>
      <c r="OAZ6"/>
      <c r="OBA6"/>
      <c r="OBB6"/>
      <c r="OBC6"/>
      <c r="OBD6"/>
      <c r="OBE6"/>
      <c r="OBF6"/>
      <c r="OBG6"/>
      <c r="OBH6"/>
      <c r="OBI6"/>
      <c r="OBJ6"/>
      <c r="OBK6"/>
      <c r="OBL6"/>
      <c r="OBM6"/>
      <c r="OBN6"/>
      <c r="OBO6"/>
      <c r="OBP6"/>
      <c r="OBQ6"/>
      <c r="OBR6"/>
      <c r="OBS6"/>
      <c r="OBT6"/>
      <c r="OBU6"/>
      <c r="OBV6"/>
      <c r="OBW6"/>
      <c r="OBX6"/>
      <c r="OBY6"/>
      <c r="OBZ6"/>
      <c r="OCA6"/>
      <c r="OCB6"/>
      <c r="OCC6"/>
      <c r="OCD6"/>
      <c r="OCE6"/>
      <c r="OCF6"/>
      <c r="OCG6"/>
      <c r="OCH6"/>
      <c r="OCI6"/>
      <c r="OCJ6"/>
      <c r="OCK6"/>
      <c r="OCL6"/>
      <c r="OCM6"/>
      <c r="OCN6"/>
      <c r="OCO6"/>
      <c r="OCP6"/>
      <c r="OCQ6"/>
      <c r="OCR6"/>
      <c r="OCS6"/>
      <c r="OCT6"/>
      <c r="OCU6"/>
      <c r="OCV6"/>
      <c r="OCW6"/>
      <c r="OCX6"/>
      <c r="OCY6"/>
      <c r="OCZ6"/>
      <c r="ODA6"/>
      <c r="ODB6"/>
      <c r="ODC6"/>
      <c r="ODD6"/>
      <c r="ODE6"/>
      <c r="ODF6"/>
      <c r="ODG6"/>
      <c r="ODH6"/>
      <c r="ODI6"/>
      <c r="ODJ6"/>
      <c r="ODK6"/>
      <c r="ODL6"/>
      <c r="ODM6"/>
      <c r="ODN6"/>
      <c r="ODO6"/>
      <c r="ODP6"/>
      <c r="ODQ6"/>
      <c r="ODR6"/>
      <c r="ODS6"/>
      <c r="ODT6"/>
      <c r="ODU6"/>
      <c r="ODV6"/>
      <c r="ODW6"/>
      <c r="ODX6"/>
      <c r="ODY6"/>
      <c r="ODZ6"/>
      <c r="OEA6"/>
      <c r="OEB6"/>
      <c r="OEC6"/>
      <c r="OED6"/>
      <c r="OEE6"/>
      <c r="OEF6"/>
      <c r="OEG6"/>
      <c r="OEH6"/>
      <c r="OEI6"/>
      <c r="OEJ6"/>
      <c r="OEK6"/>
      <c r="OEL6"/>
      <c r="OEM6"/>
      <c r="OEN6"/>
      <c r="OEO6"/>
      <c r="OEP6"/>
      <c r="OEQ6"/>
      <c r="OER6"/>
      <c r="OES6"/>
      <c r="OET6"/>
      <c r="OEU6"/>
      <c r="OEV6"/>
      <c r="OEW6"/>
      <c r="OEX6"/>
      <c r="OEY6"/>
      <c r="OEZ6"/>
      <c r="OFA6"/>
      <c r="OFB6"/>
      <c r="OFC6"/>
      <c r="OFD6"/>
      <c r="OFE6"/>
      <c r="OFF6"/>
      <c r="OFG6"/>
      <c r="OFH6"/>
      <c r="OFI6"/>
      <c r="OFJ6"/>
      <c r="OFK6"/>
      <c r="OFL6"/>
      <c r="OFM6"/>
      <c r="OFN6"/>
      <c r="OFO6"/>
      <c r="OFP6"/>
      <c r="OFQ6"/>
      <c r="OFR6"/>
      <c r="OFS6"/>
      <c r="OFT6"/>
      <c r="OFU6"/>
      <c r="OFV6"/>
      <c r="OFW6"/>
      <c r="OFX6"/>
      <c r="OFY6"/>
      <c r="OFZ6"/>
      <c r="OGA6"/>
      <c r="OGB6"/>
      <c r="OGC6"/>
      <c r="OGD6"/>
      <c r="OGE6"/>
      <c r="OGF6"/>
      <c r="OGG6"/>
      <c r="OGH6"/>
      <c r="OGI6"/>
      <c r="OGJ6"/>
      <c r="OGK6"/>
      <c r="OGL6"/>
      <c r="OGM6"/>
      <c r="OGN6"/>
      <c r="OGO6"/>
      <c r="OGP6"/>
      <c r="OGQ6"/>
      <c r="OGR6"/>
      <c r="OGS6"/>
      <c r="OGT6"/>
      <c r="OGU6"/>
      <c r="OGV6"/>
      <c r="OGW6"/>
      <c r="OGX6"/>
      <c r="OGY6"/>
      <c r="OGZ6"/>
      <c r="OHA6"/>
      <c r="OHB6"/>
      <c r="OHC6"/>
      <c r="OHD6"/>
      <c r="OHE6"/>
      <c r="OHF6"/>
      <c r="OHG6"/>
      <c r="OHH6"/>
      <c r="OHI6"/>
      <c r="OHJ6"/>
      <c r="OHK6"/>
      <c r="OHL6"/>
      <c r="OHM6"/>
      <c r="OHN6"/>
      <c r="OHO6"/>
      <c r="OHP6"/>
      <c r="OHQ6"/>
      <c r="OHR6"/>
      <c r="OHS6"/>
      <c r="OHT6"/>
      <c r="OHU6"/>
      <c r="OHV6"/>
      <c r="OHW6"/>
      <c r="OHX6"/>
      <c r="OHY6"/>
      <c r="OHZ6"/>
      <c r="OIA6"/>
      <c r="OIB6"/>
      <c r="OIC6"/>
      <c r="OID6"/>
      <c r="OIE6"/>
      <c r="OIF6"/>
      <c r="OIG6"/>
      <c r="OIH6"/>
      <c r="OII6"/>
      <c r="OIJ6"/>
      <c r="OIK6"/>
      <c r="OIL6"/>
      <c r="OIM6"/>
      <c r="OIN6"/>
      <c r="OIO6"/>
      <c r="OIP6"/>
      <c r="OIQ6"/>
      <c r="OIR6"/>
      <c r="OIS6"/>
      <c r="OIT6"/>
      <c r="OIU6"/>
      <c r="OIV6"/>
      <c r="OIW6"/>
      <c r="OIX6"/>
      <c r="OIY6"/>
      <c r="OIZ6"/>
      <c r="OJA6"/>
      <c r="OJB6"/>
      <c r="OJC6"/>
      <c r="OJD6"/>
      <c r="OJE6"/>
      <c r="OJF6"/>
      <c r="OJG6"/>
      <c r="OJH6"/>
      <c r="OJI6"/>
      <c r="OJJ6"/>
      <c r="OJK6"/>
      <c r="OJL6"/>
      <c r="OJM6"/>
      <c r="OJN6"/>
      <c r="OJO6"/>
      <c r="OJP6"/>
      <c r="OJQ6"/>
      <c r="OJR6"/>
      <c r="OJS6"/>
      <c r="OJT6"/>
      <c r="OJU6"/>
      <c r="OJV6"/>
      <c r="OJW6"/>
      <c r="OJX6"/>
      <c r="OJY6"/>
      <c r="OJZ6"/>
      <c r="OKA6"/>
      <c r="OKB6"/>
      <c r="OKC6"/>
      <c r="OKD6"/>
      <c r="OKE6"/>
      <c r="OKF6"/>
      <c r="OKG6"/>
      <c r="OKH6"/>
      <c r="OKI6"/>
      <c r="OKJ6"/>
      <c r="OKK6"/>
      <c r="OKL6"/>
      <c r="OKM6"/>
      <c r="OKN6"/>
      <c r="OKO6"/>
      <c r="OKP6"/>
      <c r="OKQ6"/>
      <c r="OKR6"/>
      <c r="OKS6"/>
      <c r="OKT6"/>
      <c r="OKU6"/>
      <c r="OKV6"/>
      <c r="OKW6"/>
      <c r="OKX6"/>
      <c r="OKY6"/>
      <c r="OKZ6"/>
      <c r="OLA6"/>
      <c r="OLB6"/>
      <c r="OLC6"/>
      <c r="OLD6"/>
      <c r="OLE6"/>
      <c r="OLF6"/>
      <c r="OLG6"/>
      <c r="OLH6"/>
      <c r="OLI6"/>
      <c r="OLJ6"/>
      <c r="OLK6"/>
      <c r="OLL6"/>
      <c r="OLM6"/>
      <c r="OLN6"/>
      <c r="OLO6"/>
      <c r="OLP6"/>
      <c r="OLQ6"/>
      <c r="OLR6"/>
      <c r="OLS6"/>
      <c r="OLT6"/>
      <c r="OLU6"/>
      <c r="OLV6"/>
      <c r="OLW6"/>
      <c r="OLX6"/>
      <c r="OLY6"/>
      <c r="OLZ6"/>
      <c r="OMA6"/>
      <c r="OMB6"/>
      <c r="OMC6"/>
      <c r="OMD6"/>
      <c r="OME6"/>
      <c r="OMF6"/>
      <c r="OMG6"/>
      <c r="OMH6"/>
      <c r="OMI6"/>
      <c r="OMJ6"/>
      <c r="OMK6"/>
      <c r="OML6"/>
      <c r="OMM6"/>
      <c r="OMN6"/>
      <c r="OMO6"/>
      <c r="OMP6"/>
      <c r="OMQ6"/>
      <c r="OMR6"/>
      <c r="OMS6"/>
      <c r="OMT6"/>
      <c r="OMU6"/>
      <c r="OMV6"/>
      <c r="OMW6"/>
      <c r="OMX6"/>
      <c r="OMY6"/>
      <c r="OMZ6"/>
      <c r="ONA6"/>
      <c r="ONB6"/>
      <c r="ONC6"/>
      <c r="OND6"/>
      <c r="ONE6"/>
      <c r="ONF6"/>
      <c r="ONG6"/>
      <c r="ONH6"/>
      <c r="ONI6"/>
      <c r="ONJ6"/>
      <c r="ONK6"/>
      <c r="ONL6"/>
      <c r="ONM6"/>
      <c r="ONN6"/>
      <c r="ONO6"/>
      <c r="ONP6"/>
      <c r="ONQ6"/>
      <c r="ONR6"/>
      <c r="ONS6"/>
      <c r="ONT6"/>
      <c r="ONU6"/>
      <c r="ONV6"/>
      <c r="ONW6"/>
      <c r="ONX6"/>
      <c r="ONY6"/>
      <c r="ONZ6"/>
      <c r="OOA6"/>
      <c r="OOB6"/>
      <c r="OOC6"/>
      <c r="OOD6"/>
      <c r="OOE6"/>
      <c r="OOF6"/>
      <c r="OOG6"/>
      <c r="OOH6"/>
      <c r="OOI6"/>
      <c r="OOJ6"/>
      <c r="OOK6"/>
      <c r="OOL6"/>
      <c r="OOM6"/>
      <c r="OON6"/>
      <c r="OOO6"/>
      <c r="OOP6"/>
      <c r="OOQ6"/>
      <c r="OOR6"/>
      <c r="OOS6"/>
      <c r="OOT6"/>
      <c r="OOU6"/>
      <c r="OOV6"/>
      <c r="OOW6"/>
      <c r="OOX6"/>
      <c r="OOY6"/>
      <c r="OOZ6"/>
      <c r="OPA6"/>
      <c r="OPB6"/>
      <c r="OPC6"/>
      <c r="OPD6"/>
      <c r="OPE6"/>
      <c r="OPF6"/>
      <c r="OPG6"/>
      <c r="OPH6"/>
      <c r="OPI6"/>
      <c r="OPJ6"/>
      <c r="OPK6"/>
      <c r="OPL6"/>
      <c r="OPM6"/>
      <c r="OPN6"/>
      <c r="OPO6"/>
      <c r="OPP6"/>
      <c r="OPQ6"/>
      <c r="OPR6"/>
      <c r="OPS6"/>
      <c r="OPT6"/>
      <c r="OPU6"/>
      <c r="OPV6"/>
      <c r="OPW6"/>
      <c r="OPX6"/>
      <c r="OPY6"/>
      <c r="OPZ6"/>
      <c r="OQA6"/>
      <c r="OQB6"/>
      <c r="OQC6"/>
      <c r="OQD6"/>
      <c r="OQE6"/>
      <c r="OQF6"/>
      <c r="OQG6"/>
      <c r="OQH6"/>
      <c r="OQI6"/>
      <c r="OQJ6"/>
      <c r="OQK6"/>
      <c r="OQL6"/>
      <c r="OQM6"/>
      <c r="OQN6"/>
      <c r="OQO6"/>
      <c r="OQP6"/>
      <c r="OQQ6"/>
      <c r="OQR6"/>
      <c r="OQS6"/>
      <c r="OQT6"/>
      <c r="OQU6"/>
      <c r="OQV6"/>
      <c r="OQW6"/>
      <c r="OQX6"/>
      <c r="OQY6"/>
      <c r="OQZ6"/>
      <c r="ORA6"/>
      <c r="ORB6"/>
      <c r="ORC6"/>
      <c r="ORD6"/>
      <c r="ORE6"/>
      <c r="ORF6"/>
      <c r="ORG6"/>
      <c r="ORH6"/>
      <c r="ORI6"/>
      <c r="ORJ6"/>
      <c r="ORK6"/>
      <c r="ORL6"/>
      <c r="ORM6"/>
      <c r="ORN6"/>
      <c r="ORO6"/>
      <c r="ORP6"/>
      <c r="ORQ6"/>
      <c r="ORR6"/>
      <c r="ORS6"/>
      <c r="ORT6"/>
      <c r="ORU6"/>
      <c r="ORV6"/>
      <c r="ORW6"/>
      <c r="ORX6"/>
      <c r="ORY6"/>
      <c r="ORZ6"/>
      <c r="OSA6"/>
      <c r="OSB6"/>
      <c r="OSC6"/>
      <c r="OSD6"/>
      <c r="OSE6"/>
      <c r="OSF6"/>
      <c r="OSG6"/>
      <c r="OSH6"/>
      <c r="OSI6"/>
      <c r="OSJ6"/>
      <c r="OSK6"/>
      <c r="OSL6"/>
      <c r="OSM6"/>
      <c r="OSN6"/>
      <c r="OSO6"/>
      <c r="OSP6"/>
      <c r="OSQ6"/>
      <c r="OSR6"/>
      <c r="OSS6"/>
      <c r="OST6"/>
      <c r="OSU6"/>
      <c r="OSV6"/>
      <c r="OSW6"/>
      <c r="OSX6"/>
      <c r="OSY6"/>
      <c r="OSZ6"/>
      <c r="OTA6"/>
      <c r="OTB6"/>
      <c r="OTC6"/>
      <c r="OTD6"/>
      <c r="OTE6"/>
      <c r="OTF6"/>
      <c r="OTG6"/>
      <c r="OTH6"/>
      <c r="OTI6"/>
      <c r="OTJ6"/>
      <c r="OTK6"/>
      <c r="OTL6"/>
      <c r="OTM6"/>
      <c r="OTN6"/>
      <c r="OTO6"/>
      <c r="OTP6"/>
      <c r="OTQ6"/>
      <c r="OTR6"/>
      <c r="OTS6"/>
      <c r="OTT6"/>
      <c r="OTU6"/>
      <c r="OTV6"/>
      <c r="OTW6"/>
      <c r="OTX6"/>
      <c r="OTY6"/>
      <c r="OTZ6"/>
      <c r="OUA6"/>
      <c r="OUB6"/>
      <c r="OUC6"/>
      <c r="OUD6"/>
      <c r="OUE6"/>
      <c r="OUF6"/>
      <c r="OUG6"/>
      <c r="OUH6"/>
      <c r="OUI6"/>
      <c r="OUJ6"/>
      <c r="OUK6"/>
      <c r="OUL6"/>
      <c r="OUM6"/>
      <c r="OUN6"/>
      <c r="OUO6"/>
      <c r="OUP6"/>
      <c r="OUQ6"/>
      <c r="OUR6"/>
      <c r="OUS6"/>
      <c r="OUT6"/>
      <c r="OUU6"/>
      <c r="OUV6"/>
      <c r="OUW6"/>
      <c r="OUX6"/>
      <c r="OUY6"/>
      <c r="OUZ6"/>
      <c r="OVA6"/>
      <c r="OVB6"/>
      <c r="OVC6"/>
      <c r="OVD6"/>
      <c r="OVE6"/>
      <c r="OVF6"/>
      <c r="OVG6"/>
      <c r="OVH6"/>
      <c r="OVI6"/>
      <c r="OVJ6"/>
      <c r="OVK6"/>
      <c r="OVL6"/>
      <c r="OVM6"/>
      <c r="OVN6"/>
      <c r="OVO6"/>
      <c r="OVP6"/>
      <c r="OVQ6"/>
      <c r="OVR6"/>
      <c r="OVS6"/>
      <c r="OVT6"/>
      <c r="OVU6"/>
      <c r="OVV6"/>
      <c r="OVW6"/>
      <c r="OVX6"/>
      <c r="OVY6"/>
      <c r="OVZ6"/>
      <c r="OWA6"/>
      <c r="OWB6"/>
      <c r="OWC6"/>
      <c r="OWD6"/>
      <c r="OWE6"/>
      <c r="OWF6"/>
      <c r="OWG6"/>
      <c r="OWH6"/>
      <c r="OWI6"/>
      <c r="OWJ6"/>
      <c r="OWK6"/>
      <c r="OWL6"/>
      <c r="OWM6"/>
      <c r="OWN6"/>
      <c r="OWO6"/>
      <c r="OWP6"/>
      <c r="OWQ6"/>
      <c r="OWR6"/>
      <c r="OWS6"/>
      <c r="OWT6"/>
      <c r="OWU6"/>
      <c r="OWV6"/>
      <c r="OWW6"/>
      <c r="OWX6"/>
      <c r="OWY6"/>
      <c r="OWZ6"/>
      <c r="OXA6"/>
      <c r="OXB6"/>
      <c r="OXC6"/>
      <c r="OXD6"/>
      <c r="OXE6"/>
      <c r="OXF6"/>
      <c r="OXG6"/>
      <c r="OXH6"/>
      <c r="OXI6"/>
      <c r="OXJ6"/>
      <c r="OXK6"/>
      <c r="OXL6"/>
      <c r="OXM6"/>
      <c r="OXN6"/>
      <c r="OXO6"/>
      <c r="OXP6"/>
      <c r="OXQ6"/>
      <c r="OXR6"/>
      <c r="OXS6"/>
      <c r="OXT6"/>
      <c r="OXU6"/>
      <c r="OXV6"/>
      <c r="OXW6"/>
      <c r="OXX6"/>
      <c r="OXY6"/>
      <c r="OXZ6"/>
      <c r="OYA6"/>
      <c r="OYB6"/>
      <c r="OYC6"/>
      <c r="OYD6"/>
      <c r="OYE6"/>
      <c r="OYF6"/>
      <c r="OYG6"/>
      <c r="OYH6"/>
      <c r="OYI6"/>
      <c r="OYJ6"/>
      <c r="OYK6"/>
      <c r="OYL6"/>
      <c r="OYM6"/>
      <c r="OYN6"/>
      <c r="OYO6"/>
      <c r="OYP6"/>
      <c r="OYQ6"/>
      <c r="OYR6"/>
      <c r="OYS6"/>
      <c r="OYT6"/>
      <c r="OYU6"/>
      <c r="OYV6"/>
      <c r="OYW6"/>
      <c r="OYX6"/>
      <c r="OYY6"/>
      <c r="OYZ6"/>
      <c r="OZA6"/>
      <c r="OZB6"/>
      <c r="OZC6"/>
      <c r="OZD6"/>
      <c r="OZE6"/>
      <c r="OZF6"/>
      <c r="OZG6"/>
      <c r="OZH6"/>
      <c r="OZI6"/>
      <c r="OZJ6"/>
      <c r="OZK6"/>
      <c r="OZL6"/>
      <c r="OZM6"/>
      <c r="OZN6"/>
      <c r="OZO6"/>
      <c r="OZP6"/>
      <c r="OZQ6"/>
      <c r="OZR6"/>
      <c r="OZS6"/>
      <c r="OZT6"/>
      <c r="OZU6"/>
      <c r="OZV6"/>
      <c r="OZW6"/>
      <c r="OZX6"/>
      <c r="OZY6"/>
      <c r="OZZ6"/>
      <c r="PAA6"/>
      <c r="PAB6"/>
      <c r="PAC6"/>
      <c r="PAD6"/>
      <c r="PAE6"/>
      <c r="PAF6"/>
      <c r="PAG6"/>
      <c r="PAH6"/>
      <c r="PAI6"/>
      <c r="PAJ6"/>
      <c r="PAK6"/>
      <c r="PAL6"/>
      <c r="PAM6"/>
      <c r="PAN6"/>
      <c r="PAO6"/>
      <c r="PAP6"/>
      <c r="PAQ6"/>
      <c r="PAR6"/>
      <c r="PAS6"/>
      <c r="PAT6"/>
      <c r="PAU6"/>
      <c r="PAV6"/>
      <c r="PAW6"/>
      <c r="PAX6"/>
      <c r="PAY6"/>
      <c r="PAZ6"/>
      <c r="PBA6"/>
      <c r="PBB6"/>
      <c r="PBC6"/>
      <c r="PBD6"/>
      <c r="PBE6"/>
      <c r="PBF6"/>
      <c r="PBG6"/>
      <c r="PBH6"/>
      <c r="PBI6"/>
      <c r="PBJ6"/>
      <c r="PBK6"/>
      <c r="PBL6"/>
      <c r="PBM6"/>
      <c r="PBN6"/>
      <c r="PBO6"/>
      <c r="PBP6"/>
      <c r="PBQ6"/>
      <c r="PBR6"/>
      <c r="PBS6"/>
      <c r="PBT6"/>
      <c r="PBU6"/>
      <c r="PBV6"/>
      <c r="PBW6"/>
      <c r="PBX6"/>
      <c r="PBY6"/>
      <c r="PBZ6"/>
      <c r="PCA6"/>
      <c r="PCB6"/>
      <c r="PCC6"/>
      <c r="PCD6"/>
      <c r="PCE6"/>
      <c r="PCF6"/>
      <c r="PCG6"/>
      <c r="PCH6"/>
      <c r="PCI6"/>
      <c r="PCJ6"/>
      <c r="PCK6"/>
      <c r="PCL6"/>
      <c r="PCM6"/>
      <c r="PCN6"/>
      <c r="PCO6"/>
      <c r="PCP6"/>
      <c r="PCQ6"/>
      <c r="PCR6"/>
      <c r="PCS6"/>
      <c r="PCT6"/>
      <c r="PCU6"/>
      <c r="PCV6"/>
      <c r="PCW6"/>
      <c r="PCX6"/>
      <c r="PCY6"/>
      <c r="PCZ6"/>
      <c r="PDA6"/>
      <c r="PDB6"/>
      <c r="PDC6"/>
      <c r="PDD6"/>
      <c r="PDE6"/>
      <c r="PDF6"/>
      <c r="PDG6"/>
      <c r="PDH6"/>
      <c r="PDI6"/>
      <c r="PDJ6"/>
      <c r="PDK6"/>
      <c r="PDL6"/>
      <c r="PDM6"/>
      <c r="PDN6"/>
      <c r="PDO6"/>
      <c r="PDP6"/>
      <c r="PDQ6"/>
      <c r="PDR6"/>
      <c r="PDS6"/>
      <c r="PDT6"/>
      <c r="PDU6"/>
      <c r="PDV6"/>
      <c r="PDW6"/>
      <c r="PDX6"/>
      <c r="PDY6"/>
      <c r="PDZ6"/>
      <c r="PEA6"/>
      <c r="PEB6"/>
      <c r="PEC6"/>
      <c r="PED6"/>
      <c r="PEE6"/>
      <c r="PEF6"/>
      <c r="PEG6"/>
      <c r="PEH6"/>
      <c r="PEI6"/>
      <c r="PEJ6"/>
      <c r="PEK6"/>
      <c r="PEL6"/>
      <c r="PEM6"/>
      <c r="PEN6"/>
      <c r="PEO6"/>
      <c r="PEP6"/>
      <c r="PEQ6"/>
      <c r="PER6"/>
      <c r="PES6"/>
      <c r="PET6"/>
      <c r="PEU6"/>
      <c r="PEV6"/>
      <c r="PEW6"/>
      <c r="PEX6"/>
      <c r="PEY6"/>
      <c r="PEZ6"/>
      <c r="PFA6"/>
      <c r="PFB6"/>
      <c r="PFC6"/>
      <c r="PFD6"/>
      <c r="PFE6"/>
      <c r="PFF6"/>
      <c r="PFG6"/>
      <c r="PFH6"/>
      <c r="PFI6"/>
      <c r="PFJ6"/>
      <c r="PFK6"/>
      <c r="PFL6"/>
      <c r="PFM6"/>
      <c r="PFN6"/>
      <c r="PFO6"/>
      <c r="PFP6"/>
      <c r="PFQ6"/>
      <c r="PFR6"/>
      <c r="PFS6"/>
      <c r="PFT6"/>
      <c r="PFU6"/>
      <c r="PFV6"/>
      <c r="PFW6"/>
      <c r="PFX6"/>
      <c r="PFY6"/>
      <c r="PFZ6"/>
      <c r="PGA6"/>
      <c r="PGB6"/>
      <c r="PGC6"/>
      <c r="PGD6"/>
      <c r="PGE6"/>
      <c r="PGF6"/>
      <c r="PGG6"/>
      <c r="PGH6"/>
      <c r="PGI6"/>
      <c r="PGJ6"/>
      <c r="PGK6"/>
      <c r="PGL6"/>
      <c r="PGM6"/>
      <c r="PGN6"/>
      <c r="PGO6"/>
      <c r="PGP6"/>
      <c r="PGQ6"/>
      <c r="PGR6"/>
      <c r="PGS6"/>
      <c r="PGT6"/>
      <c r="PGU6"/>
      <c r="PGV6"/>
      <c r="PGW6"/>
      <c r="PGX6"/>
      <c r="PGY6"/>
      <c r="PGZ6"/>
      <c r="PHA6"/>
      <c r="PHB6"/>
      <c r="PHC6"/>
      <c r="PHD6"/>
      <c r="PHE6"/>
      <c r="PHF6"/>
      <c r="PHG6"/>
      <c r="PHH6"/>
      <c r="PHI6"/>
      <c r="PHJ6"/>
      <c r="PHK6"/>
      <c r="PHL6"/>
      <c r="PHM6"/>
      <c r="PHN6"/>
      <c r="PHO6"/>
      <c r="PHP6"/>
      <c r="PHQ6"/>
      <c r="PHR6"/>
      <c r="PHS6"/>
      <c r="PHT6"/>
      <c r="PHU6"/>
      <c r="PHV6"/>
      <c r="PHW6"/>
      <c r="PHX6"/>
      <c r="PHY6"/>
      <c r="PHZ6"/>
      <c r="PIA6"/>
      <c r="PIB6"/>
      <c r="PIC6"/>
      <c r="PID6"/>
      <c r="PIE6"/>
      <c r="PIF6"/>
      <c r="PIG6"/>
      <c r="PIH6"/>
      <c r="PII6"/>
      <c r="PIJ6"/>
      <c r="PIK6"/>
      <c r="PIL6"/>
      <c r="PIM6"/>
      <c r="PIN6"/>
      <c r="PIO6"/>
      <c r="PIP6"/>
      <c r="PIQ6"/>
      <c r="PIR6"/>
      <c r="PIS6"/>
      <c r="PIT6"/>
      <c r="PIU6"/>
      <c r="PIV6"/>
      <c r="PIW6"/>
      <c r="PIX6"/>
      <c r="PIY6"/>
      <c r="PIZ6"/>
      <c r="PJA6"/>
      <c r="PJB6"/>
      <c r="PJC6"/>
      <c r="PJD6"/>
      <c r="PJE6"/>
      <c r="PJF6"/>
      <c r="PJG6"/>
      <c r="PJH6"/>
      <c r="PJI6"/>
      <c r="PJJ6"/>
      <c r="PJK6"/>
      <c r="PJL6"/>
      <c r="PJM6"/>
      <c r="PJN6"/>
      <c r="PJO6"/>
      <c r="PJP6"/>
      <c r="PJQ6"/>
      <c r="PJR6"/>
      <c r="PJS6"/>
      <c r="PJT6"/>
      <c r="PJU6"/>
      <c r="PJV6"/>
      <c r="PJW6"/>
      <c r="PJX6"/>
      <c r="PJY6"/>
      <c r="PJZ6"/>
      <c r="PKA6"/>
      <c r="PKB6"/>
      <c r="PKC6"/>
      <c r="PKD6"/>
      <c r="PKE6"/>
      <c r="PKF6"/>
      <c r="PKG6"/>
      <c r="PKH6"/>
      <c r="PKI6"/>
      <c r="PKJ6"/>
      <c r="PKK6"/>
      <c r="PKL6"/>
      <c r="PKM6"/>
      <c r="PKN6"/>
      <c r="PKO6"/>
      <c r="PKP6"/>
      <c r="PKQ6"/>
      <c r="PKR6"/>
      <c r="PKS6"/>
      <c r="PKT6"/>
      <c r="PKU6"/>
      <c r="PKV6"/>
      <c r="PKW6"/>
      <c r="PKX6"/>
      <c r="PKY6"/>
      <c r="PKZ6"/>
      <c r="PLA6"/>
      <c r="PLB6"/>
      <c r="PLC6"/>
      <c r="PLD6"/>
      <c r="PLE6"/>
      <c r="PLF6"/>
      <c r="PLG6"/>
      <c r="PLH6"/>
      <c r="PLI6"/>
      <c r="PLJ6"/>
      <c r="PLK6"/>
      <c r="PLL6"/>
      <c r="PLM6"/>
      <c r="PLN6"/>
      <c r="PLO6"/>
      <c r="PLP6"/>
      <c r="PLQ6"/>
      <c r="PLR6"/>
      <c r="PLS6"/>
      <c r="PLT6"/>
      <c r="PLU6"/>
      <c r="PLV6"/>
      <c r="PLW6"/>
      <c r="PLX6"/>
      <c r="PLY6"/>
      <c r="PLZ6"/>
      <c r="PMA6"/>
      <c r="PMB6"/>
      <c r="PMC6"/>
      <c r="PMD6"/>
      <c r="PME6"/>
      <c r="PMF6"/>
      <c r="PMG6"/>
      <c r="PMH6"/>
      <c r="PMI6"/>
      <c r="PMJ6"/>
      <c r="PMK6"/>
      <c r="PML6"/>
      <c r="PMM6"/>
      <c r="PMN6"/>
      <c r="PMO6"/>
      <c r="PMP6"/>
      <c r="PMQ6"/>
      <c r="PMR6"/>
      <c r="PMS6"/>
      <c r="PMT6"/>
      <c r="PMU6"/>
      <c r="PMV6"/>
      <c r="PMW6"/>
      <c r="PMX6"/>
      <c r="PMY6"/>
      <c r="PMZ6"/>
      <c r="PNA6"/>
      <c r="PNB6"/>
      <c r="PNC6"/>
      <c r="PND6"/>
      <c r="PNE6"/>
      <c r="PNF6"/>
      <c r="PNG6"/>
      <c r="PNH6"/>
      <c r="PNI6"/>
      <c r="PNJ6"/>
      <c r="PNK6"/>
      <c r="PNL6"/>
      <c r="PNM6"/>
      <c r="PNN6"/>
      <c r="PNO6"/>
      <c r="PNP6"/>
      <c r="PNQ6"/>
      <c r="PNR6"/>
      <c r="PNS6"/>
      <c r="PNT6"/>
      <c r="PNU6"/>
      <c r="PNV6"/>
      <c r="PNW6"/>
      <c r="PNX6"/>
      <c r="PNY6"/>
      <c r="PNZ6"/>
      <c r="POA6"/>
      <c r="POB6"/>
      <c r="POC6"/>
      <c r="POD6"/>
      <c r="POE6"/>
      <c r="POF6"/>
      <c r="POG6"/>
      <c r="POH6"/>
      <c r="POI6"/>
      <c r="POJ6"/>
      <c r="POK6"/>
      <c r="POL6"/>
      <c r="POM6"/>
      <c r="PON6"/>
      <c r="POO6"/>
      <c r="POP6"/>
      <c r="POQ6"/>
      <c r="POR6"/>
      <c r="POS6"/>
      <c r="POT6"/>
      <c r="POU6"/>
      <c r="POV6"/>
      <c r="POW6"/>
      <c r="POX6"/>
      <c r="POY6"/>
      <c r="POZ6"/>
      <c r="PPA6"/>
      <c r="PPB6"/>
      <c r="PPC6"/>
      <c r="PPD6"/>
      <c r="PPE6"/>
      <c r="PPF6"/>
      <c r="PPG6"/>
      <c r="PPH6"/>
      <c r="PPI6"/>
      <c r="PPJ6"/>
      <c r="PPK6"/>
      <c r="PPL6"/>
      <c r="PPM6"/>
      <c r="PPN6"/>
      <c r="PPO6"/>
      <c r="PPP6"/>
      <c r="PPQ6"/>
      <c r="PPR6"/>
      <c r="PPS6"/>
      <c r="PPT6"/>
      <c r="PPU6"/>
      <c r="PPV6"/>
      <c r="PPW6"/>
      <c r="PPX6"/>
      <c r="PPY6"/>
      <c r="PPZ6"/>
      <c r="PQA6"/>
      <c r="PQB6"/>
      <c r="PQC6"/>
      <c r="PQD6"/>
      <c r="PQE6"/>
      <c r="PQF6"/>
      <c r="PQG6"/>
      <c r="PQH6"/>
      <c r="PQI6"/>
      <c r="PQJ6"/>
      <c r="PQK6"/>
      <c r="PQL6"/>
      <c r="PQM6"/>
      <c r="PQN6"/>
      <c r="PQO6"/>
      <c r="PQP6"/>
      <c r="PQQ6"/>
      <c r="PQR6"/>
      <c r="PQS6"/>
      <c r="PQT6"/>
      <c r="PQU6"/>
      <c r="PQV6"/>
      <c r="PQW6"/>
      <c r="PQX6"/>
      <c r="PQY6"/>
      <c r="PQZ6"/>
      <c r="PRA6"/>
      <c r="PRB6"/>
      <c r="PRC6"/>
      <c r="PRD6"/>
      <c r="PRE6"/>
      <c r="PRF6"/>
      <c r="PRG6"/>
      <c r="PRH6"/>
      <c r="PRI6"/>
      <c r="PRJ6"/>
      <c r="PRK6"/>
      <c r="PRL6"/>
      <c r="PRM6"/>
      <c r="PRN6"/>
      <c r="PRO6"/>
      <c r="PRP6"/>
      <c r="PRQ6"/>
      <c r="PRR6"/>
      <c r="PRS6"/>
      <c r="PRT6"/>
      <c r="PRU6"/>
      <c r="PRV6"/>
      <c r="PRW6"/>
      <c r="PRX6"/>
      <c r="PRY6"/>
      <c r="PRZ6"/>
      <c r="PSA6"/>
      <c r="PSB6"/>
      <c r="PSC6"/>
      <c r="PSD6"/>
      <c r="PSE6"/>
      <c r="PSF6"/>
      <c r="PSG6"/>
      <c r="PSH6"/>
      <c r="PSI6"/>
      <c r="PSJ6"/>
      <c r="PSK6"/>
      <c r="PSL6"/>
      <c r="PSM6"/>
      <c r="PSN6"/>
      <c r="PSO6"/>
      <c r="PSP6"/>
      <c r="PSQ6"/>
      <c r="PSR6"/>
      <c r="PSS6"/>
      <c r="PST6"/>
      <c r="PSU6"/>
      <c r="PSV6"/>
      <c r="PSW6"/>
      <c r="PSX6"/>
      <c r="PSY6"/>
      <c r="PSZ6"/>
      <c r="PTA6"/>
      <c r="PTB6"/>
      <c r="PTC6"/>
      <c r="PTD6"/>
      <c r="PTE6"/>
      <c r="PTF6"/>
      <c r="PTG6"/>
      <c r="PTH6"/>
      <c r="PTI6"/>
      <c r="PTJ6"/>
      <c r="PTK6"/>
      <c r="PTL6"/>
      <c r="PTM6"/>
      <c r="PTN6"/>
      <c r="PTO6"/>
      <c r="PTP6"/>
      <c r="PTQ6"/>
      <c r="PTR6"/>
      <c r="PTS6"/>
      <c r="PTT6"/>
      <c r="PTU6"/>
      <c r="PTV6"/>
      <c r="PTW6"/>
      <c r="PTX6"/>
      <c r="PTY6"/>
      <c r="PTZ6"/>
      <c r="PUA6"/>
      <c r="PUB6"/>
      <c r="PUC6"/>
      <c r="PUD6"/>
      <c r="PUE6"/>
      <c r="PUF6"/>
      <c r="PUG6"/>
      <c r="PUH6"/>
      <c r="PUI6"/>
      <c r="PUJ6"/>
      <c r="PUK6"/>
      <c r="PUL6"/>
      <c r="PUM6"/>
      <c r="PUN6"/>
      <c r="PUO6"/>
      <c r="PUP6"/>
      <c r="PUQ6"/>
      <c r="PUR6"/>
      <c r="PUS6"/>
      <c r="PUT6"/>
      <c r="PUU6"/>
      <c r="PUV6"/>
      <c r="PUW6"/>
      <c r="PUX6"/>
      <c r="PUY6"/>
      <c r="PUZ6"/>
      <c r="PVA6"/>
      <c r="PVB6"/>
      <c r="PVC6"/>
      <c r="PVD6"/>
      <c r="PVE6"/>
      <c r="PVF6"/>
      <c r="PVG6"/>
      <c r="PVH6"/>
      <c r="PVI6"/>
      <c r="PVJ6"/>
      <c r="PVK6"/>
      <c r="PVL6"/>
      <c r="PVM6"/>
      <c r="PVN6"/>
      <c r="PVO6"/>
      <c r="PVP6"/>
      <c r="PVQ6"/>
      <c r="PVR6"/>
      <c r="PVS6"/>
      <c r="PVT6"/>
      <c r="PVU6"/>
      <c r="PVV6"/>
      <c r="PVW6"/>
      <c r="PVX6"/>
      <c r="PVY6"/>
      <c r="PVZ6"/>
      <c r="PWA6"/>
      <c r="PWB6"/>
      <c r="PWC6"/>
      <c r="PWD6"/>
      <c r="PWE6"/>
      <c r="PWF6"/>
      <c r="PWG6"/>
      <c r="PWH6"/>
      <c r="PWI6"/>
      <c r="PWJ6"/>
      <c r="PWK6"/>
      <c r="PWL6"/>
      <c r="PWM6"/>
      <c r="PWN6"/>
      <c r="PWO6"/>
      <c r="PWP6"/>
      <c r="PWQ6"/>
      <c r="PWR6"/>
      <c r="PWS6"/>
      <c r="PWT6"/>
      <c r="PWU6"/>
      <c r="PWV6"/>
      <c r="PWW6"/>
      <c r="PWX6"/>
      <c r="PWY6"/>
      <c r="PWZ6"/>
      <c r="PXA6"/>
      <c r="PXB6"/>
      <c r="PXC6"/>
      <c r="PXD6"/>
      <c r="PXE6"/>
      <c r="PXF6"/>
      <c r="PXG6"/>
      <c r="PXH6"/>
      <c r="PXI6"/>
      <c r="PXJ6"/>
      <c r="PXK6"/>
      <c r="PXL6"/>
      <c r="PXM6"/>
      <c r="PXN6"/>
      <c r="PXO6"/>
      <c r="PXP6"/>
      <c r="PXQ6"/>
      <c r="PXR6"/>
      <c r="PXS6"/>
      <c r="PXT6"/>
      <c r="PXU6"/>
      <c r="PXV6"/>
      <c r="PXW6"/>
      <c r="PXX6"/>
      <c r="PXY6"/>
      <c r="PXZ6"/>
      <c r="PYA6"/>
      <c r="PYB6"/>
      <c r="PYC6"/>
      <c r="PYD6"/>
      <c r="PYE6"/>
      <c r="PYF6"/>
      <c r="PYG6"/>
      <c r="PYH6"/>
      <c r="PYI6"/>
      <c r="PYJ6"/>
      <c r="PYK6"/>
      <c r="PYL6"/>
      <c r="PYM6"/>
      <c r="PYN6"/>
      <c r="PYO6"/>
      <c r="PYP6"/>
      <c r="PYQ6"/>
      <c r="PYR6"/>
      <c r="PYS6"/>
      <c r="PYT6"/>
      <c r="PYU6"/>
      <c r="PYV6"/>
      <c r="PYW6"/>
      <c r="PYX6"/>
      <c r="PYY6"/>
      <c r="PYZ6"/>
      <c r="PZA6"/>
      <c r="PZB6"/>
      <c r="PZC6"/>
      <c r="PZD6"/>
      <c r="PZE6"/>
      <c r="PZF6"/>
      <c r="PZG6"/>
      <c r="PZH6"/>
      <c r="PZI6"/>
      <c r="PZJ6"/>
      <c r="PZK6"/>
      <c r="PZL6"/>
      <c r="PZM6"/>
      <c r="PZN6"/>
      <c r="PZO6"/>
      <c r="PZP6"/>
      <c r="PZQ6"/>
      <c r="PZR6"/>
      <c r="PZS6"/>
      <c r="PZT6"/>
      <c r="PZU6"/>
      <c r="PZV6"/>
      <c r="PZW6"/>
      <c r="PZX6"/>
      <c r="PZY6"/>
      <c r="PZZ6"/>
      <c r="QAA6"/>
      <c r="QAB6"/>
      <c r="QAC6"/>
      <c r="QAD6"/>
      <c r="QAE6"/>
      <c r="QAF6"/>
      <c r="QAG6"/>
      <c r="QAH6"/>
      <c r="QAI6"/>
      <c r="QAJ6"/>
      <c r="QAK6"/>
      <c r="QAL6"/>
      <c r="QAM6"/>
      <c r="QAN6"/>
      <c r="QAO6"/>
      <c r="QAP6"/>
      <c r="QAQ6"/>
      <c r="QAR6"/>
      <c r="QAS6"/>
      <c r="QAT6"/>
      <c r="QAU6"/>
      <c r="QAV6"/>
      <c r="QAW6"/>
      <c r="QAX6"/>
      <c r="QAY6"/>
      <c r="QAZ6"/>
      <c r="QBA6"/>
      <c r="QBB6"/>
      <c r="QBC6"/>
      <c r="QBD6"/>
      <c r="QBE6"/>
      <c r="QBF6"/>
      <c r="QBG6"/>
      <c r="QBH6"/>
      <c r="QBI6"/>
      <c r="QBJ6"/>
      <c r="QBK6"/>
      <c r="QBL6"/>
      <c r="QBM6"/>
      <c r="QBN6"/>
      <c r="QBO6"/>
      <c r="QBP6"/>
      <c r="QBQ6"/>
      <c r="QBR6"/>
      <c r="QBS6"/>
      <c r="QBT6"/>
      <c r="QBU6"/>
      <c r="QBV6"/>
      <c r="QBW6"/>
      <c r="QBX6"/>
      <c r="QBY6"/>
      <c r="QBZ6"/>
      <c r="QCA6"/>
      <c r="QCB6"/>
      <c r="QCC6"/>
      <c r="QCD6"/>
      <c r="QCE6"/>
      <c r="QCF6"/>
      <c r="QCG6"/>
      <c r="QCH6"/>
      <c r="QCI6"/>
      <c r="QCJ6"/>
      <c r="QCK6"/>
      <c r="QCL6"/>
      <c r="QCM6"/>
      <c r="QCN6"/>
      <c r="QCO6"/>
      <c r="QCP6"/>
      <c r="QCQ6"/>
      <c r="QCR6"/>
      <c r="QCS6"/>
      <c r="QCT6"/>
      <c r="QCU6"/>
      <c r="QCV6"/>
      <c r="QCW6"/>
      <c r="QCX6"/>
      <c r="QCY6"/>
      <c r="QCZ6"/>
      <c r="QDA6"/>
      <c r="QDB6"/>
      <c r="QDC6"/>
      <c r="QDD6"/>
      <c r="QDE6"/>
      <c r="QDF6"/>
      <c r="QDG6"/>
      <c r="QDH6"/>
      <c r="QDI6"/>
      <c r="QDJ6"/>
      <c r="QDK6"/>
      <c r="QDL6"/>
      <c r="QDM6"/>
      <c r="QDN6"/>
      <c r="QDO6"/>
      <c r="QDP6"/>
      <c r="QDQ6"/>
      <c r="QDR6"/>
      <c r="QDS6"/>
      <c r="QDT6"/>
      <c r="QDU6"/>
      <c r="QDV6"/>
      <c r="QDW6"/>
      <c r="QDX6"/>
      <c r="QDY6"/>
      <c r="QDZ6"/>
      <c r="QEA6"/>
      <c r="QEB6"/>
      <c r="QEC6"/>
      <c r="QED6"/>
      <c r="QEE6"/>
      <c r="QEF6"/>
      <c r="QEG6"/>
      <c r="QEH6"/>
      <c r="QEI6"/>
      <c r="QEJ6"/>
      <c r="QEK6"/>
      <c r="QEL6"/>
      <c r="QEM6"/>
      <c r="QEN6"/>
      <c r="QEO6"/>
      <c r="QEP6"/>
      <c r="QEQ6"/>
      <c r="QER6"/>
      <c r="QES6"/>
      <c r="QET6"/>
      <c r="QEU6"/>
      <c r="QEV6"/>
      <c r="QEW6"/>
      <c r="QEX6"/>
      <c r="QEY6"/>
      <c r="QEZ6"/>
      <c r="QFA6"/>
      <c r="QFB6"/>
      <c r="QFC6"/>
      <c r="QFD6"/>
      <c r="QFE6"/>
      <c r="QFF6"/>
      <c r="QFG6"/>
      <c r="QFH6"/>
      <c r="QFI6"/>
      <c r="QFJ6"/>
      <c r="QFK6"/>
      <c r="QFL6"/>
      <c r="QFM6"/>
      <c r="QFN6"/>
      <c r="QFO6"/>
      <c r="QFP6"/>
      <c r="QFQ6"/>
      <c r="QFR6"/>
      <c r="QFS6"/>
      <c r="QFT6"/>
      <c r="QFU6"/>
      <c r="QFV6"/>
      <c r="QFW6"/>
      <c r="QFX6"/>
      <c r="QFY6"/>
      <c r="QFZ6"/>
      <c r="QGA6"/>
      <c r="QGB6"/>
      <c r="QGC6"/>
      <c r="QGD6"/>
      <c r="QGE6"/>
      <c r="QGF6"/>
      <c r="QGG6"/>
      <c r="QGH6"/>
      <c r="QGI6"/>
      <c r="QGJ6"/>
      <c r="QGK6"/>
      <c r="QGL6"/>
      <c r="QGM6"/>
      <c r="QGN6"/>
      <c r="QGO6"/>
      <c r="QGP6"/>
      <c r="QGQ6"/>
      <c r="QGR6"/>
      <c r="QGS6"/>
      <c r="QGT6"/>
      <c r="QGU6"/>
      <c r="QGV6"/>
      <c r="QGW6"/>
      <c r="QGX6"/>
      <c r="QGY6"/>
      <c r="QGZ6"/>
      <c r="QHA6"/>
      <c r="QHB6"/>
      <c r="QHC6"/>
      <c r="QHD6"/>
      <c r="QHE6"/>
      <c r="QHF6"/>
      <c r="QHG6"/>
      <c r="QHH6"/>
      <c r="QHI6"/>
      <c r="QHJ6"/>
      <c r="QHK6"/>
      <c r="QHL6"/>
      <c r="QHM6"/>
      <c r="QHN6"/>
      <c r="QHO6"/>
      <c r="QHP6"/>
      <c r="QHQ6"/>
      <c r="QHR6"/>
      <c r="QHS6"/>
      <c r="QHT6"/>
      <c r="QHU6"/>
      <c r="QHV6"/>
      <c r="QHW6"/>
      <c r="QHX6"/>
      <c r="QHY6"/>
      <c r="QHZ6"/>
      <c r="QIA6"/>
      <c r="QIB6"/>
      <c r="QIC6"/>
      <c r="QID6"/>
      <c r="QIE6"/>
      <c r="QIF6"/>
      <c r="QIG6"/>
      <c r="QIH6"/>
      <c r="QII6"/>
      <c r="QIJ6"/>
      <c r="QIK6"/>
      <c r="QIL6"/>
      <c r="QIM6"/>
      <c r="QIN6"/>
      <c r="QIO6"/>
      <c r="QIP6"/>
      <c r="QIQ6"/>
      <c r="QIR6"/>
      <c r="QIS6"/>
      <c r="QIT6"/>
      <c r="QIU6"/>
      <c r="QIV6"/>
      <c r="QIW6"/>
      <c r="QIX6"/>
      <c r="QIY6"/>
      <c r="QIZ6"/>
      <c r="QJA6"/>
      <c r="QJB6"/>
      <c r="QJC6"/>
      <c r="QJD6"/>
      <c r="QJE6"/>
      <c r="QJF6"/>
      <c r="QJG6"/>
      <c r="QJH6"/>
      <c r="QJI6"/>
      <c r="QJJ6"/>
      <c r="QJK6"/>
      <c r="QJL6"/>
      <c r="QJM6"/>
      <c r="QJN6"/>
      <c r="QJO6"/>
      <c r="QJP6"/>
      <c r="QJQ6"/>
      <c r="QJR6"/>
      <c r="QJS6"/>
      <c r="QJT6"/>
      <c r="QJU6"/>
      <c r="QJV6"/>
      <c r="QJW6"/>
      <c r="QJX6"/>
      <c r="QJY6"/>
      <c r="QJZ6"/>
      <c r="QKA6"/>
      <c r="QKB6"/>
      <c r="QKC6"/>
      <c r="QKD6"/>
      <c r="QKE6"/>
      <c r="QKF6"/>
      <c r="QKG6"/>
      <c r="QKH6"/>
      <c r="QKI6"/>
      <c r="QKJ6"/>
      <c r="QKK6"/>
      <c r="QKL6"/>
      <c r="QKM6"/>
      <c r="QKN6"/>
      <c r="QKO6"/>
      <c r="QKP6"/>
      <c r="QKQ6"/>
      <c r="QKR6"/>
      <c r="QKS6"/>
      <c r="QKT6"/>
      <c r="QKU6"/>
      <c r="QKV6"/>
      <c r="QKW6"/>
      <c r="QKX6"/>
      <c r="QKY6"/>
      <c r="QKZ6"/>
      <c r="QLA6"/>
      <c r="QLB6"/>
      <c r="QLC6"/>
      <c r="QLD6"/>
      <c r="QLE6"/>
      <c r="QLF6"/>
      <c r="QLG6"/>
      <c r="QLH6"/>
      <c r="QLI6"/>
      <c r="QLJ6"/>
      <c r="QLK6"/>
      <c r="QLL6"/>
      <c r="QLM6"/>
      <c r="QLN6"/>
      <c r="QLO6"/>
      <c r="QLP6"/>
      <c r="QLQ6"/>
      <c r="QLR6"/>
      <c r="QLS6"/>
      <c r="QLT6"/>
      <c r="QLU6"/>
      <c r="QLV6"/>
      <c r="QLW6"/>
      <c r="QLX6"/>
      <c r="QLY6"/>
      <c r="QLZ6"/>
      <c r="QMA6"/>
      <c r="QMB6"/>
      <c r="QMC6"/>
      <c r="QMD6"/>
      <c r="QME6"/>
      <c r="QMF6"/>
      <c r="QMG6"/>
      <c r="QMH6"/>
      <c r="QMI6"/>
      <c r="QMJ6"/>
      <c r="QMK6"/>
      <c r="QML6"/>
      <c r="QMM6"/>
      <c r="QMN6"/>
      <c r="QMO6"/>
      <c r="QMP6"/>
      <c r="QMQ6"/>
      <c r="QMR6"/>
      <c r="QMS6"/>
      <c r="QMT6"/>
      <c r="QMU6"/>
      <c r="QMV6"/>
      <c r="QMW6"/>
      <c r="QMX6"/>
      <c r="QMY6"/>
      <c r="QMZ6"/>
      <c r="QNA6"/>
      <c r="QNB6"/>
      <c r="QNC6"/>
      <c r="QND6"/>
      <c r="QNE6"/>
      <c r="QNF6"/>
      <c r="QNG6"/>
      <c r="QNH6"/>
      <c r="QNI6"/>
      <c r="QNJ6"/>
      <c r="QNK6"/>
      <c r="QNL6"/>
      <c r="QNM6"/>
      <c r="QNN6"/>
      <c r="QNO6"/>
      <c r="QNP6"/>
      <c r="QNQ6"/>
      <c r="QNR6"/>
      <c r="QNS6"/>
      <c r="QNT6"/>
      <c r="QNU6"/>
      <c r="QNV6"/>
      <c r="QNW6"/>
      <c r="QNX6"/>
      <c r="QNY6"/>
      <c r="QNZ6"/>
      <c r="QOA6"/>
      <c r="QOB6"/>
      <c r="QOC6"/>
      <c r="QOD6"/>
      <c r="QOE6"/>
      <c r="QOF6"/>
      <c r="QOG6"/>
      <c r="QOH6"/>
      <c r="QOI6"/>
      <c r="QOJ6"/>
      <c r="QOK6"/>
      <c r="QOL6"/>
      <c r="QOM6"/>
      <c r="QON6"/>
      <c r="QOO6"/>
      <c r="QOP6"/>
      <c r="QOQ6"/>
      <c r="QOR6"/>
      <c r="QOS6"/>
      <c r="QOT6"/>
      <c r="QOU6"/>
      <c r="QOV6"/>
      <c r="QOW6"/>
      <c r="QOX6"/>
      <c r="QOY6"/>
      <c r="QOZ6"/>
      <c r="QPA6"/>
      <c r="QPB6"/>
      <c r="QPC6"/>
      <c r="QPD6"/>
      <c r="QPE6"/>
      <c r="QPF6"/>
      <c r="QPG6"/>
      <c r="QPH6"/>
      <c r="QPI6"/>
      <c r="QPJ6"/>
      <c r="QPK6"/>
      <c r="QPL6"/>
      <c r="QPM6"/>
      <c r="QPN6"/>
      <c r="QPO6"/>
      <c r="QPP6"/>
      <c r="QPQ6"/>
      <c r="QPR6"/>
      <c r="QPS6"/>
      <c r="QPT6"/>
      <c r="QPU6"/>
      <c r="QPV6"/>
      <c r="QPW6"/>
      <c r="QPX6"/>
      <c r="QPY6"/>
      <c r="QPZ6"/>
      <c r="QQA6"/>
      <c r="QQB6"/>
      <c r="QQC6"/>
      <c r="QQD6"/>
      <c r="QQE6"/>
      <c r="QQF6"/>
      <c r="QQG6"/>
      <c r="QQH6"/>
      <c r="QQI6"/>
      <c r="QQJ6"/>
      <c r="QQK6"/>
      <c r="QQL6"/>
      <c r="QQM6"/>
      <c r="QQN6"/>
      <c r="QQO6"/>
      <c r="QQP6"/>
      <c r="QQQ6"/>
      <c r="QQR6"/>
      <c r="QQS6"/>
      <c r="QQT6"/>
      <c r="QQU6"/>
      <c r="QQV6"/>
      <c r="QQW6"/>
      <c r="QQX6"/>
      <c r="QQY6"/>
      <c r="QQZ6"/>
      <c r="QRA6"/>
      <c r="QRB6"/>
      <c r="QRC6"/>
      <c r="QRD6"/>
      <c r="QRE6"/>
      <c r="QRF6"/>
      <c r="QRG6"/>
      <c r="QRH6"/>
      <c r="QRI6"/>
      <c r="QRJ6"/>
      <c r="QRK6"/>
      <c r="QRL6"/>
      <c r="QRM6"/>
      <c r="QRN6"/>
      <c r="QRO6"/>
      <c r="QRP6"/>
      <c r="QRQ6"/>
      <c r="QRR6"/>
      <c r="QRS6"/>
      <c r="QRT6"/>
      <c r="QRU6"/>
      <c r="QRV6"/>
      <c r="QRW6"/>
      <c r="QRX6"/>
      <c r="QRY6"/>
      <c r="QRZ6"/>
      <c r="QSA6"/>
      <c r="QSB6"/>
      <c r="QSC6"/>
      <c r="QSD6"/>
      <c r="QSE6"/>
      <c r="QSF6"/>
      <c r="QSG6"/>
      <c r="QSH6"/>
      <c r="QSI6"/>
      <c r="QSJ6"/>
      <c r="QSK6"/>
      <c r="QSL6"/>
      <c r="QSM6"/>
      <c r="QSN6"/>
      <c r="QSO6"/>
      <c r="QSP6"/>
      <c r="QSQ6"/>
      <c r="QSR6"/>
      <c r="QSS6"/>
      <c r="QST6"/>
      <c r="QSU6"/>
      <c r="QSV6"/>
      <c r="QSW6"/>
      <c r="QSX6"/>
      <c r="QSY6"/>
      <c r="QSZ6"/>
      <c r="QTA6"/>
      <c r="QTB6"/>
      <c r="QTC6"/>
      <c r="QTD6"/>
      <c r="QTE6"/>
      <c r="QTF6"/>
      <c r="QTG6"/>
      <c r="QTH6"/>
      <c r="QTI6"/>
      <c r="QTJ6"/>
      <c r="QTK6"/>
      <c r="QTL6"/>
      <c r="QTM6"/>
      <c r="QTN6"/>
      <c r="QTO6"/>
      <c r="QTP6"/>
      <c r="QTQ6"/>
      <c r="QTR6"/>
      <c r="QTS6"/>
      <c r="QTT6"/>
      <c r="QTU6"/>
      <c r="QTV6"/>
      <c r="QTW6"/>
      <c r="QTX6"/>
      <c r="QTY6"/>
      <c r="QTZ6"/>
      <c r="QUA6"/>
      <c r="QUB6"/>
      <c r="QUC6"/>
      <c r="QUD6"/>
      <c r="QUE6"/>
      <c r="QUF6"/>
      <c r="QUG6"/>
      <c r="QUH6"/>
      <c r="QUI6"/>
      <c r="QUJ6"/>
      <c r="QUK6"/>
      <c r="QUL6"/>
      <c r="QUM6"/>
      <c r="QUN6"/>
      <c r="QUO6"/>
      <c r="QUP6"/>
      <c r="QUQ6"/>
      <c r="QUR6"/>
      <c r="QUS6"/>
      <c r="QUT6"/>
      <c r="QUU6"/>
      <c r="QUV6"/>
      <c r="QUW6"/>
      <c r="QUX6"/>
      <c r="QUY6"/>
      <c r="QUZ6"/>
      <c r="QVA6"/>
      <c r="QVB6"/>
      <c r="QVC6"/>
      <c r="QVD6"/>
      <c r="QVE6"/>
      <c r="QVF6"/>
      <c r="QVG6"/>
      <c r="QVH6"/>
      <c r="QVI6"/>
      <c r="QVJ6"/>
      <c r="QVK6"/>
      <c r="QVL6"/>
      <c r="QVM6"/>
      <c r="QVN6"/>
      <c r="QVO6"/>
      <c r="QVP6"/>
      <c r="QVQ6"/>
      <c r="QVR6"/>
      <c r="QVS6"/>
      <c r="QVT6"/>
      <c r="QVU6"/>
      <c r="QVV6"/>
      <c r="QVW6"/>
      <c r="QVX6"/>
      <c r="QVY6"/>
      <c r="QVZ6"/>
      <c r="QWA6"/>
      <c r="QWB6"/>
      <c r="QWC6"/>
      <c r="QWD6"/>
      <c r="QWE6"/>
      <c r="QWF6"/>
      <c r="QWG6"/>
      <c r="QWH6"/>
      <c r="QWI6"/>
      <c r="QWJ6"/>
      <c r="QWK6"/>
      <c r="QWL6"/>
      <c r="QWM6"/>
      <c r="QWN6"/>
      <c r="QWO6"/>
      <c r="QWP6"/>
      <c r="QWQ6"/>
      <c r="QWR6"/>
      <c r="QWS6"/>
      <c r="QWT6"/>
      <c r="QWU6"/>
      <c r="QWV6"/>
      <c r="QWW6"/>
      <c r="QWX6"/>
      <c r="QWY6"/>
      <c r="QWZ6"/>
      <c r="QXA6"/>
      <c r="QXB6"/>
      <c r="QXC6"/>
      <c r="QXD6"/>
      <c r="QXE6"/>
      <c r="QXF6"/>
      <c r="QXG6"/>
      <c r="QXH6"/>
      <c r="QXI6"/>
      <c r="QXJ6"/>
      <c r="QXK6"/>
      <c r="QXL6"/>
      <c r="QXM6"/>
      <c r="QXN6"/>
      <c r="QXO6"/>
      <c r="QXP6"/>
      <c r="QXQ6"/>
      <c r="QXR6"/>
      <c r="QXS6"/>
      <c r="QXT6"/>
      <c r="QXU6"/>
      <c r="QXV6"/>
      <c r="QXW6"/>
      <c r="QXX6"/>
      <c r="QXY6"/>
      <c r="QXZ6"/>
      <c r="QYA6"/>
      <c r="QYB6"/>
      <c r="QYC6"/>
      <c r="QYD6"/>
      <c r="QYE6"/>
      <c r="QYF6"/>
      <c r="QYG6"/>
      <c r="QYH6"/>
      <c r="QYI6"/>
      <c r="QYJ6"/>
      <c r="QYK6"/>
      <c r="QYL6"/>
      <c r="QYM6"/>
      <c r="QYN6"/>
      <c r="QYO6"/>
      <c r="QYP6"/>
      <c r="QYQ6"/>
      <c r="QYR6"/>
      <c r="QYS6"/>
      <c r="QYT6"/>
      <c r="QYU6"/>
      <c r="QYV6"/>
      <c r="QYW6"/>
      <c r="QYX6"/>
      <c r="QYY6"/>
      <c r="QYZ6"/>
      <c r="QZA6"/>
      <c r="QZB6"/>
      <c r="QZC6"/>
      <c r="QZD6"/>
      <c r="QZE6"/>
      <c r="QZF6"/>
      <c r="QZG6"/>
      <c r="QZH6"/>
      <c r="QZI6"/>
      <c r="QZJ6"/>
      <c r="QZK6"/>
      <c r="QZL6"/>
      <c r="QZM6"/>
      <c r="QZN6"/>
      <c r="QZO6"/>
      <c r="QZP6"/>
      <c r="QZQ6"/>
      <c r="QZR6"/>
      <c r="QZS6"/>
      <c r="QZT6"/>
      <c r="QZU6"/>
      <c r="QZV6"/>
      <c r="QZW6"/>
      <c r="QZX6"/>
      <c r="QZY6"/>
      <c r="QZZ6"/>
      <c r="RAA6"/>
      <c r="RAB6"/>
      <c r="RAC6"/>
      <c r="RAD6"/>
      <c r="RAE6"/>
      <c r="RAF6"/>
      <c r="RAG6"/>
      <c r="RAH6"/>
      <c r="RAI6"/>
      <c r="RAJ6"/>
      <c r="RAK6"/>
      <c r="RAL6"/>
      <c r="RAM6"/>
      <c r="RAN6"/>
      <c r="RAO6"/>
      <c r="RAP6"/>
      <c r="RAQ6"/>
      <c r="RAR6"/>
      <c r="RAS6"/>
      <c r="RAT6"/>
      <c r="RAU6"/>
      <c r="RAV6"/>
      <c r="RAW6"/>
      <c r="RAX6"/>
      <c r="RAY6"/>
      <c r="RAZ6"/>
      <c r="RBA6"/>
      <c r="RBB6"/>
      <c r="RBC6"/>
      <c r="RBD6"/>
      <c r="RBE6"/>
      <c r="RBF6"/>
      <c r="RBG6"/>
      <c r="RBH6"/>
      <c r="RBI6"/>
      <c r="RBJ6"/>
      <c r="RBK6"/>
      <c r="RBL6"/>
      <c r="RBM6"/>
      <c r="RBN6"/>
      <c r="RBO6"/>
      <c r="RBP6"/>
      <c r="RBQ6"/>
      <c r="RBR6"/>
      <c r="RBS6"/>
      <c r="RBT6"/>
      <c r="RBU6"/>
      <c r="RBV6"/>
      <c r="RBW6"/>
      <c r="RBX6"/>
      <c r="RBY6"/>
      <c r="RBZ6"/>
      <c r="RCA6"/>
      <c r="RCB6"/>
      <c r="RCC6"/>
      <c r="RCD6"/>
      <c r="RCE6"/>
      <c r="RCF6"/>
      <c r="RCG6"/>
      <c r="RCH6"/>
      <c r="RCI6"/>
      <c r="RCJ6"/>
      <c r="RCK6"/>
      <c r="RCL6"/>
      <c r="RCM6"/>
      <c r="RCN6"/>
      <c r="RCO6"/>
      <c r="RCP6"/>
      <c r="RCQ6"/>
      <c r="RCR6"/>
      <c r="RCS6"/>
      <c r="RCT6"/>
      <c r="RCU6"/>
      <c r="RCV6"/>
      <c r="RCW6"/>
      <c r="RCX6"/>
      <c r="RCY6"/>
      <c r="RCZ6"/>
      <c r="RDA6"/>
      <c r="RDB6"/>
      <c r="RDC6"/>
      <c r="RDD6"/>
      <c r="RDE6"/>
      <c r="RDF6"/>
      <c r="RDG6"/>
      <c r="RDH6"/>
      <c r="RDI6"/>
      <c r="RDJ6"/>
      <c r="RDK6"/>
      <c r="RDL6"/>
      <c r="RDM6"/>
      <c r="RDN6"/>
      <c r="RDO6"/>
      <c r="RDP6"/>
      <c r="RDQ6"/>
      <c r="RDR6"/>
      <c r="RDS6"/>
      <c r="RDT6"/>
      <c r="RDU6"/>
      <c r="RDV6"/>
      <c r="RDW6"/>
      <c r="RDX6"/>
      <c r="RDY6"/>
      <c r="RDZ6"/>
      <c r="REA6"/>
      <c r="REB6"/>
      <c r="REC6"/>
      <c r="RED6"/>
      <c r="REE6"/>
      <c r="REF6"/>
      <c r="REG6"/>
      <c r="REH6"/>
      <c r="REI6"/>
      <c r="REJ6"/>
      <c r="REK6"/>
      <c r="REL6"/>
      <c r="REM6"/>
      <c r="REN6"/>
      <c r="REO6"/>
      <c r="REP6"/>
      <c r="REQ6"/>
      <c r="RER6"/>
      <c r="RES6"/>
      <c r="RET6"/>
      <c r="REU6"/>
      <c r="REV6"/>
      <c r="REW6"/>
      <c r="REX6"/>
      <c r="REY6"/>
      <c r="REZ6"/>
      <c r="RFA6"/>
      <c r="RFB6"/>
      <c r="RFC6"/>
      <c r="RFD6"/>
      <c r="RFE6"/>
      <c r="RFF6"/>
      <c r="RFG6"/>
      <c r="RFH6"/>
      <c r="RFI6"/>
      <c r="RFJ6"/>
      <c r="RFK6"/>
      <c r="RFL6"/>
      <c r="RFM6"/>
      <c r="RFN6"/>
      <c r="RFO6"/>
      <c r="RFP6"/>
      <c r="RFQ6"/>
      <c r="RFR6"/>
      <c r="RFS6"/>
      <c r="RFT6"/>
      <c r="RFU6"/>
      <c r="RFV6"/>
      <c r="RFW6"/>
      <c r="RFX6"/>
      <c r="RFY6"/>
      <c r="RFZ6"/>
      <c r="RGA6"/>
      <c r="RGB6"/>
      <c r="RGC6"/>
      <c r="RGD6"/>
      <c r="RGE6"/>
      <c r="RGF6"/>
      <c r="RGG6"/>
      <c r="RGH6"/>
      <c r="RGI6"/>
      <c r="RGJ6"/>
      <c r="RGK6"/>
      <c r="RGL6"/>
      <c r="RGM6"/>
      <c r="RGN6"/>
      <c r="RGO6"/>
      <c r="RGP6"/>
      <c r="RGQ6"/>
      <c r="RGR6"/>
      <c r="RGS6"/>
      <c r="RGT6"/>
      <c r="RGU6"/>
      <c r="RGV6"/>
      <c r="RGW6"/>
      <c r="RGX6"/>
      <c r="RGY6"/>
      <c r="RGZ6"/>
      <c r="RHA6"/>
      <c r="RHB6"/>
      <c r="RHC6"/>
      <c r="RHD6"/>
      <c r="RHE6"/>
      <c r="RHF6"/>
      <c r="RHG6"/>
      <c r="RHH6"/>
      <c r="RHI6"/>
      <c r="RHJ6"/>
      <c r="RHK6"/>
      <c r="RHL6"/>
      <c r="RHM6"/>
      <c r="RHN6"/>
      <c r="RHO6"/>
      <c r="RHP6"/>
      <c r="RHQ6"/>
      <c r="RHR6"/>
      <c r="RHS6"/>
      <c r="RHT6"/>
      <c r="RHU6"/>
      <c r="RHV6"/>
      <c r="RHW6"/>
      <c r="RHX6"/>
      <c r="RHY6"/>
      <c r="RHZ6"/>
      <c r="RIA6"/>
      <c r="RIB6"/>
      <c r="RIC6"/>
      <c r="RID6"/>
      <c r="RIE6"/>
      <c r="RIF6"/>
      <c r="RIG6"/>
      <c r="RIH6"/>
      <c r="RII6"/>
      <c r="RIJ6"/>
      <c r="RIK6"/>
      <c r="RIL6"/>
      <c r="RIM6"/>
      <c r="RIN6"/>
      <c r="RIO6"/>
      <c r="RIP6"/>
      <c r="RIQ6"/>
      <c r="RIR6"/>
      <c r="RIS6"/>
      <c r="RIT6"/>
      <c r="RIU6"/>
      <c r="RIV6"/>
      <c r="RIW6"/>
      <c r="RIX6"/>
      <c r="RIY6"/>
      <c r="RIZ6"/>
      <c r="RJA6"/>
      <c r="RJB6"/>
      <c r="RJC6"/>
      <c r="RJD6"/>
      <c r="RJE6"/>
      <c r="RJF6"/>
      <c r="RJG6"/>
      <c r="RJH6"/>
      <c r="RJI6"/>
      <c r="RJJ6"/>
      <c r="RJK6"/>
      <c r="RJL6"/>
      <c r="RJM6"/>
      <c r="RJN6"/>
      <c r="RJO6"/>
      <c r="RJP6"/>
      <c r="RJQ6"/>
      <c r="RJR6"/>
      <c r="RJS6"/>
      <c r="RJT6"/>
      <c r="RJU6"/>
      <c r="RJV6"/>
      <c r="RJW6"/>
      <c r="RJX6"/>
      <c r="RJY6"/>
      <c r="RJZ6"/>
      <c r="RKA6"/>
      <c r="RKB6"/>
      <c r="RKC6"/>
      <c r="RKD6"/>
      <c r="RKE6"/>
      <c r="RKF6"/>
      <c r="RKG6"/>
      <c r="RKH6"/>
      <c r="RKI6"/>
      <c r="RKJ6"/>
      <c r="RKK6"/>
      <c r="RKL6"/>
      <c r="RKM6"/>
      <c r="RKN6"/>
      <c r="RKO6"/>
      <c r="RKP6"/>
      <c r="RKQ6"/>
      <c r="RKR6"/>
      <c r="RKS6"/>
      <c r="RKT6"/>
      <c r="RKU6"/>
      <c r="RKV6"/>
      <c r="RKW6"/>
      <c r="RKX6"/>
      <c r="RKY6"/>
      <c r="RKZ6"/>
      <c r="RLA6"/>
      <c r="RLB6"/>
      <c r="RLC6"/>
      <c r="RLD6"/>
      <c r="RLE6"/>
      <c r="RLF6"/>
      <c r="RLG6"/>
      <c r="RLH6"/>
      <c r="RLI6"/>
      <c r="RLJ6"/>
      <c r="RLK6"/>
      <c r="RLL6"/>
      <c r="RLM6"/>
      <c r="RLN6"/>
      <c r="RLO6"/>
      <c r="RLP6"/>
      <c r="RLQ6"/>
      <c r="RLR6"/>
      <c r="RLS6"/>
      <c r="RLT6"/>
      <c r="RLU6"/>
      <c r="RLV6"/>
      <c r="RLW6"/>
      <c r="RLX6"/>
      <c r="RLY6"/>
      <c r="RLZ6"/>
      <c r="RMA6"/>
      <c r="RMB6"/>
      <c r="RMC6"/>
      <c r="RMD6"/>
      <c r="RME6"/>
      <c r="RMF6"/>
      <c r="RMG6"/>
      <c r="RMH6"/>
      <c r="RMI6"/>
      <c r="RMJ6"/>
      <c r="RMK6"/>
      <c r="RML6"/>
      <c r="RMM6"/>
      <c r="RMN6"/>
      <c r="RMO6"/>
      <c r="RMP6"/>
      <c r="RMQ6"/>
      <c r="RMR6"/>
      <c r="RMS6"/>
      <c r="RMT6"/>
      <c r="RMU6"/>
      <c r="RMV6"/>
      <c r="RMW6"/>
      <c r="RMX6"/>
      <c r="RMY6"/>
      <c r="RMZ6"/>
      <c r="RNA6"/>
      <c r="RNB6"/>
      <c r="RNC6"/>
      <c r="RND6"/>
      <c r="RNE6"/>
      <c r="RNF6"/>
      <c r="RNG6"/>
      <c r="RNH6"/>
      <c r="RNI6"/>
      <c r="RNJ6"/>
      <c r="RNK6"/>
      <c r="RNL6"/>
      <c r="RNM6"/>
      <c r="RNN6"/>
      <c r="RNO6"/>
      <c r="RNP6"/>
      <c r="RNQ6"/>
      <c r="RNR6"/>
      <c r="RNS6"/>
      <c r="RNT6"/>
      <c r="RNU6"/>
      <c r="RNV6"/>
      <c r="RNW6"/>
      <c r="RNX6"/>
      <c r="RNY6"/>
      <c r="RNZ6"/>
      <c r="ROA6"/>
      <c r="ROB6"/>
      <c r="ROC6"/>
      <c r="ROD6"/>
      <c r="ROE6"/>
      <c r="ROF6"/>
      <c r="ROG6"/>
      <c r="ROH6"/>
      <c r="ROI6"/>
      <c r="ROJ6"/>
      <c r="ROK6"/>
      <c r="ROL6"/>
      <c r="ROM6"/>
      <c r="RON6"/>
      <c r="ROO6"/>
      <c r="ROP6"/>
      <c r="ROQ6"/>
      <c r="ROR6"/>
      <c r="ROS6"/>
      <c r="ROT6"/>
      <c r="ROU6"/>
      <c r="ROV6"/>
      <c r="ROW6"/>
      <c r="ROX6"/>
      <c r="ROY6"/>
      <c r="ROZ6"/>
      <c r="RPA6"/>
      <c r="RPB6"/>
      <c r="RPC6"/>
      <c r="RPD6"/>
      <c r="RPE6"/>
      <c r="RPF6"/>
      <c r="RPG6"/>
      <c r="RPH6"/>
      <c r="RPI6"/>
      <c r="RPJ6"/>
      <c r="RPK6"/>
      <c r="RPL6"/>
      <c r="RPM6"/>
      <c r="RPN6"/>
      <c r="RPO6"/>
      <c r="RPP6"/>
      <c r="RPQ6"/>
      <c r="RPR6"/>
      <c r="RPS6"/>
      <c r="RPT6"/>
      <c r="RPU6"/>
      <c r="RPV6"/>
      <c r="RPW6"/>
      <c r="RPX6"/>
      <c r="RPY6"/>
      <c r="RPZ6"/>
      <c r="RQA6"/>
      <c r="RQB6"/>
      <c r="RQC6"/>
      <c r="RQD6"/>
      <c r="RQE6"/>
      <c r="RQF6"/>
      <c r="RQG6"/>
      <c r="RQH6"/>
      <c r="RQI6"/>
      <c r="RQJ6"/>
      <c r="RQK6"/>
      <c r="RQL6"/>
      <c r="RQM6"/>
      <c r="RQN6"/>
      <c r="RQO6"/>
      <c r="RQP6"/>
      <c r="RQQ6"/>
      <c r="RQR6"/>
      <c r="RQS6"/>
      <c r="RQT6"/>
      <c r="RQU6"/>
      <c r="RQV6"/>
      <c r="RQW6"/>
      <c r="RQX6"/>
      <c r="RQY6"/>
      <c r="RQZ6"/>
      <c r="RRA6"/>
      <c r="RRB6"/>
      <c r="RRC6"/>
      <c r="RRD6"/>
      <c r="RRE6"/>
      <c r="RRF6"/>
      <c r="RRG6"/>
      <c r="RRH6"/>
      <c r="RRI6"/>
      <c r="RRJ6"/>
      <c r="RRK6"/>
      <c r="RRL6"/>
      <c r="RRM6"/>
      <c r="RRN6"/>
      <c r="RRO6"/>
      <c r="RRP6"/>
      <c r="RRQ6"/>
      <c r="RRR6"/>
      <c r="RRS6"/>
      <c r="RRT6"/>
      <c r="RRU6"/>
      <c r="RRV6"/>
      <c r="RRW6"/>
      <c r="RRX6"/>
      <c r="RRY6"/>
      <c r="RRZ6"/>
      <c r="RSA6"/>
      <c r="RSB6"/>
      <c r="RSC6"/>
      <c r="RSD6"/>
      <c r="RSE6"/>
      <c r="RSF6"/>
      <c r="RSG6"/>
      <c r="RSH6"/>
      <c r="RSI6"/>
      <c r="RSJ6"/>
      <c r="RSK6"/>
      <c r="RSL6"/>
      <c r="RSM6"/>
      <c r="RSN6"/>
      <c r="RSO6"/>
      <c r="RSP6"/>
      <c r="RSQ6"/>
      <c r="RSR6"/>
      <c r="RSS6"/>
      <c r="RST6"/>
      <c r="RSU6"/>
      <c r="RSV6"/>
      <c r="RSW6"/>
      <c r="RSX6"/>
      <c r="RSY6"/>
      <c r="RSZ6"/>
      <c r="RTA6"/>
      <c r="RTB6"/>
      <c r="RTC6"/>
      <c r="RTD6"/>
      <c r="RTE6"/>
      <c r="RTF6"/>
      <c r="RTG6"/>
      <c r="RTH6"/>
      <c r="RTI6"/>
      <c r="RTJ6"/>
      <c r="RTK6"/>
      <c r="RTL6"/>
      <c r="RTM6"/>
      <c r="RTN6"/>
      <c r="RTO6"/>
      <c r="RTP6"/>
      <c r="RTQ6"/>
      <c r="RTR6"/>
      <c r="RTS6"/>
      <c r="RTT6"/>
      <c r="RTU6"/>
      <c r="RTV6"/>
      <c r="RTW6"/>
      <c r="RTX6"/>
      <c r="RTY6"/>
      <c r="RTZ6"/>
      <c r="RUA6"/>
      <c r="RUB6"/>
      <c r="RUC6"/>
      <c r="RUD6"/>
      <c r="RUE6"/>
      <c r="RUF6"/>
      <c r="RUG6"/>
      <c r="RUH6"/>
      <c r="RUI6"/>
      <c r="RUJ6"/>
      <c r="RUK6"/>
      <c r="RUL6"/>
      <c r="RUM6"/>
      <c r="RUN6"/>
      <c r="RUO6"/>
      <c r="RUP6"/>
      <c r="RUQ6"/>
      <c r="RUR6"/>
      <c r="RUS6"/>
      <c r="RUT6"/>
      <c r="RUU6"/>
      <c r="RUV6"/>
      <c r="RUW6"/>
      <c r="RUX6"/>
      <c r="RUY6"/>
      <c r="RUZ6"/>
      <c r="RVA6"/>
      <c r="RVB6"/>
      <c r="RVC6"/>
      <c r="RVD6"/>
      <c r="RVE6"/>
      <c r="RVF6"/>
      <c r="RVG6"/>
      <c r="RVH6"/>
      <c r="RVI6"/>
      <c r="RVJ6"/>
      <c r="RVK6"/>
      <c r="RVL6"/>
      <c r="RVM6"/>
      <c r="RVN6"/>
      <c r="RVO6"/>
      <c r="RVP6"/>
      <c r="RVQ6"/>
      <c r="RVR6"/>
      <c r="RVS6"/>
      <c r="RVT6"/>
      <c r="RVU6"/>
      <c r="RVV6"/>
      <c r="RVW6"/>
      <c r="RVX6"/>
      <c r="RVY6"/>
      <c r="RVZ6"/>
      <c r="RWA6"/>
      <c r="RWB6"/>
      <c r="RWC6"/>
      <c r="RWD6"/>
      <c r="RWE6"/>
      <c r="RWF6"/>
      <c r="RWG6"/>
      <c r="RWH6"/>
      <c r="RWI6"/>
      <c r="RWJ6"/>
      <c r="RWK6"/>
      <c r="RWL6"/>
      <c r="RWM6"/>
      <c r="RWN6"/>
      <c r="RWO6"/>
      <c r="RWP6"/>
      <c r="RWQ6"/>
      <c r="RWR6"/>
      <c r="RWS6"/>
      <c r="RWT6"/>
      <c r="RWU6"/>
      <c r="RWV6"/>
      <c r="RWW6"/>
      <c r="RWX6"/>
      <c r="RWY6"/>
      <c r="RWZ6"/>
      <c r="RXA6"/>
      <c r="RXB6"/>
      <c r="RXC6"/>
      <c r="RXD6"/>
      <c r="RXE6"/>
      <c r="RXF6"/>
      <c r="RXG6"/>
      <c r="RXH6"/>
      <c r="RXI6"/>
      <c r="RXJ6"/>
      <c r="RXK6"/>
      <c r="RXL6"/>
      <c r="RXM6"/>
      <c r="RXN6"/>
      <c r="RXO6"/>
      <c r="RXP6"/>
      <c r="RXQ6"/>
      <c r="RXR6"/>
      <c r="RXS6"/>
      <c r="RXT6"/>
      <c r="RXU6"/>
      <c r="RXV6"/>
      <c r="RXW6"/>
      <c r="RXX6"/>
      <c r="RXY6"/>
      <c r="RXZ6"/>
      <c r="RYA6"/>
      <c r="RYB6"/>
      <c r="RYC6"/>
      <c r="RYD6"/>
      <c r="RYE6"/>
      <c r="RYF6"/>
      <c r="RYG6"/>
      <c r="RYH6"/>
      <c r="RYI6"/>
      <c r="RYJ6"/>
      <c r="RYK6"/>
      <c r="RYL6"/>
      <c r="RYM6"/>
      <c r="RYN6"/>
      <c r="RYO6"/>
      <c r="RYP6"/>
      <c r="RYQ6"/>
      <c r="RYR6"/>
      <c r="RYS6"/>
      <c r="RYT6"/>
      <c r="RYU6"/>
      <c r="RYV6"/>
      <c r="RYW6"/>
      <c r="RYX6"/>
      <c r="RYY6"/>
      <c r="RYZ6"/>
      <c r="RZA6"/>
      <c r="RZB6"/>
      <c r="RZC6"/>
      <c r="RZD6"/>
      <c r="RZE6"/>
      <c r="RZF6"/>
      <c r="RZG6"/>
      <c r="RZH6"/>
      <c r="RZI6"/>
      <c r="RZJ6"/>
      <c r="RZK6"/>
      <c r="RZL6"/>
      <c r="RZM6"/>
      <c r="RZN6"/>
      <c r="RZO6"/>
      <c r="RZP6"/>
      <c r="RZQ6"/>
      <c r="RZR6"/>
      <c r="RZS6"/>
      <c r="RZT6"/>
      <c r="RZU6"/>
      <c r="RZV6"/>
      <c r="RZW6"/>
      <c r="RZX6"/>
      <c r="RZY6"/>
      <c r="RZZ6"/>
      <c r="SAA6"/>
      <c r="SAB6"/>
      <c r="SAC6"/>
      <c r="SAD6"/>
      <c r="SAE6"/>
      <c r="SAF6"/>
      <c r="SAG6"/>
      <c r="SAH6"/>
      <c r="SAI6"/>
      <c r="SAJ6"/>
      <c r="SAK6"/>
      <c r="SAL6"/>
      <c r="SAM6"/>
      <c r="SAN6"/>
      <c r="SAO6"/>
      <c r="SAP6"/>
      <c r="SAQ6"/>
      <c r="SAR6"/>
      <c r="SAS6"/>
      <c r="SAT6"/>
      <c r="SAU6"/>
      <c r="SAV6"/>
      <c r="SAW6"/>
      <c r="SAX6"/>
      <c r="SAY6"/>
      <c r="SAZ6"/>
      <c r="SBA6"/>
      <c r="SBB6"/>
      <c r="SBC6"/>
      <c r="SBD6"/>
      <c r="SBE6"/>
      <c r="SBF6"/>
      <c r="SBG6"/>
      <c r="SBH6"/>
      <c r="SBI6"/>
      <c r="SBJ6"/>
      <c r="SBK6"/>
      <c r="SBL6"/>
      <c r="SBM6"/>
      <c r="SBN6"/>
      <c r="SBO6"/>
      <c r="SBP6"/>
      <c r="SBQ6"/>
      <c r="SBR6"/>
      <c r="SBS6"/>
      <c r="SBT6"/>
      <c r="SBU6"/>
      <c r="SBV6"/>
      <c r="SBW6"/>
      <c r="SBX6"/>
      <c r="SBY6"/>
      <c r="SBZ6"/>
      <c r="SCA6"/>
      <c r="SCB6"/>
      <c r="SCC6"/>
      <c r="SCD6"/>
      <c r="SCE6"/>
      <c r="SCF6"/>
      <c r="SCG6"/>
      <c r="SCH6"/>
      <c r="SCI6"/>
      <c r="SCJ6"/>
      <c r="SCK6"/>
      <c r="SCL6"/>
      <c r="SCM6"/>
      <c r="SCN6"/>
      <c r="SCO6"/>
      <c r="SCP6"/>
      <c r="SCQ6"/>
      <c r="SCR6"/>
      <c r="SCS6"/>
      <c r="SCT6"/>
      <c r="SCU6"/>
      <c r="SCV6"/>
      <c r="SCW6"/>
      <c r="SCX6"/>
      <c r="SCY6"/>
      <c r="SCZ6"/>
      <c r="SDA6"/>
      <c r="SDB6"/>
      <c r="SDC6"/>
      <c r="SDD6"/>
      <c r="SDE6"/>
      <c r="SDF6"/>
      <c r="SDG6"/>
      <c r="SDH6"/>
      <c r="SDI6"/>
      <c r="SDJ6"/>
      <c r="SDK6"/>
      <c r="SDL6"/>
      <c r="SDM6"/>
      <c r="SDN6"/>
      <c r="SDO6"/>
      <c r="SDP6"/>
      <c r="SDQ6"/>
      <c r="SDR6"/>
      <c r="SDS6"/>
      <c r="SDT6"/>
      <c r="SDU6"/>
      <c r="SDV6"/>
      <c r="SDW6"/>
      <c r="SDX6"/>
      <c r="SDY6"/>
      <c r="SDZ6"/>
      <c r="SEA6"/>
      <c r="SEB6"/>
      <c r="SEC6"/>
      <c r="SED6"/>
      <c r="SEE6"/>
      <c r="SEF6"/>
      <c r="SEG6"/>
      <c r="SEH6"/>
      <c r="SEI6"/>
      <c r="SEJ6"/>
      <c r="SEK6"/>
      <c r="SEL6"/>
      <c r="SEM6"/>
      <c r="SEN6"/>
      <c r="SEO6"/>
      <c r="SEP6"/>
      <c r="SEQ6"/>
      <c r="SER6"/>
      <c r="SES6"/>
      <c r="SET6"/>
      <c r="SEU6"/>
      <c r="SEV6"/>
      <c r="SEW6"/>
      <c r="SEX6"/>
      <c r="SEY6"/>
      <c r="SEZ6"/>
      <c r="SFA6"/>
      <c r="SFB6"/>
      <c r="SFC6"/>
      <c r="SFD6"/>
      <c r="SFE6"/>
      <c r="SFF6"/>
      <c r="SFG6"/>
      <c r="SFH6"/>
      <c r="SFI6"/>
      <c r="SFJ6"/>
      <c r="SFK6"/>
      <c r="SFL6"/>
      <c r="SFM6"/>
      <c r="SFN6"/>
      <c r="SFO6"/>
      <c r="SFP6"/>
      <c r="SFQ6"/>
      <c r="SFR6"/>
      <c r="SFS6"/>
      <c r="SFT6"/>
      <c r="SFU6"/>
      <c r="SFV6"/>
      <c r="SFW6"/>
      <c r="SFX6"/>
      <c r="SFY6"/>
      <c r="SFZ6"/>
      <c r="SGA6"/>
      <c r="SGB6"/>
      <c r="SGC6"/>
      <c r="SGD6"/>
      <c r="SGE6"/>
      <c r="SGF6"/>
      <c r="SGG6"/>
      <c r="SGH6"/>
      <c r="SGI6"/>
      <c r="SGJ6"/>
      <c r="SGK6"/>
      <c r="SGL6"/>
      <c r="SGM6"/>
      <c r="SGN6"/>
      <c r="SGO6"/>
      <c r="SGP6"/>
      <c r="SGQ6"/>
      <c r="SGR6"/>
      <c r="SGS6"/>
      <c r="SGT6"/>
      <c r="SGU6"/>
      <c r="SGV6"/>
      <c r="SGW6"/>
      <c r="SGX6"/>
      <c r="SGY6"/>
      <c r="SGZ6"/>
      <c r="SHA6"/>
      <c r="SHB6"/>
      <c r="SHC6"/>
      <c r="SHD6"/>
      <c r="SHE6"/>
      <c r="SHF6"/>
      <c r="SHG6"/>
      <c r="SHH6"/>
      <c r="SHI6"/>
      <c r="SHJ6"/>
      <c r="SHK6"/>
      <c r="SHL6"/>
      <c r="SHM6"/>
      <c r="SHN6"/>
      <c r="SHO6"/>
      <c r="SHP6"/>
      <c r="SHQ6"/>
      <c r="SHR6"/>
      <c r="SHS6"/>
      <c r="SHT6"/>
      <c r="SHU6"/>
      <c r="SHV6"/>
      <c r="SHW6"/>
      <c r="SHX6"/>
      <c r="SHY6"/>
      <c r="SHZ6"/>
      <c r="SIA6"/>
      <c r="SIB6"/>
      <c r="SIC6"/>
      <c r="SID6"/>
      <c r="SIE6"/>
      <c r="SIF6"/>
      <c r="SIG6"/>
      <c r="SIH6"/>
      <c r="SII6"/>
      <c r="SIJ6"/>
      <c r="SIK6"/>
      <c r="SIL6"/>
      <c r="SIM6"/>
      <c r="SIN6"/>
      <c r="SIO6"/>
      <c r="SIP6"/>
      <c r="SIQ6"/>
      <c r="SIR6"/>
      <c r="SIS6"/>
      <c r="SIT6"/>
      <c r="SIU6"/>
      <c r="SIV6"/>
      <c r="SIW6"/>
      <c r="SIX6"/>
      <c r="SIY6"/>
      <c r="SIZ6"/>
      <c r="SJA6"/>
      <c r="SJB6"/>
      <c r="SJC6"/>
      <c r="SJD6"/>
      <c r="SJE6"/>
      <c r="SJF6"/>
      <c r="SJG6"/>
      <c r="SJH6"/>
      <c r="SJI6"/>
      <c r="SJJ6"/>
      <c r="SJK6"/>
      <c r="SJL6"/>
      <c r="SJM6"/>
      <c r="SJN6"/>
      <c r="SJO6"/>
      <c r="SJP6"/>
      <c r="SJQ6"/>
      <c r="SJR6"/>
      <c r="SJS6"/>
      <c r="SJT6"/>
      <c r="SJU6"/>
      <c r="SJV6"/>
      <c r="SJW6"/>
      <c r="SJX6"/>
      <c r="SJY6"/>
      <c r="SJZ6"/>
      <c r="SKA6"/>
      <c r="SKB6"/>
      <c r="SKC6"/>
      <c r="SKD6"/>
      <c r="SKE6"/>
      <c r="SKF6"/>
      <c r="SKG6"/>
      <c r="SKH6"/>
      <c r="SKI6"/>
      <c r="SKJ6"/>
      <c r="SKK6"/>
      <c r="SKL6"/>
      <c r="SKM6"/>
      <c r="SKN6"/>
      <c r="SKO6"/>
      <c r="SKP6"/>
      <c r="SKQ6"/>
      <c r="SKR6"/>
      <c r="SKS6"/>
      <c r="SKT6"/>
      <c r="SKU6"/>
      <c r="SKV6"/>
      <c r="SKW6"/>
      <c r="SKX6"/>
      <c r="SKY6"/>
      <c r="SKZ6"/>
      <c r="SLA6"/>
      <c r="SLB6"/>
      <c r="SLC6"/>
      <c r="SLD6"/>
      <c r="SLE6"/>
      <c r="SLF6"/>
      <c r="SLG6"/>
      <c r="SLH6"/>
      <c r="SLI6"/>
      <c r="SLJ6"/>
      <c r="SLK6"/>
      <c r="SLL6"/>
      <c r="SLM6"/>
      <c r="SLN6"/>
      <c r="SLO6"/>
      <c r="SLP6"/>
      <c r="SLQ6"/>
      <c r="SLR6"/>
      <c r="SLS6"/>
      <c r="SLT6"/>
      <c r="SLU6"/>
      <c r="SLV6"/>
      <c r="SLW6"/>
      <c r="SLX6"/>
      <c r="SLY6"/>
      <c r="SLZ6"/>
      <c r="SMA6"/>
      <c r="SMB6"/>
      <c r="SMC6"/>
      <c r="SMD6"/>
      <c r="SME6"/>
      <c r="SMF6"/>
      <c r="SMG6"/>
      <c r="SMH6"/>
      <c r="SMI6"/>
      <c r="SMJ6"/>
      <c r="SMK6"/>
      <c r="SML6"/>
      <c r="SMM6"/>
      <c r="SMN6"/>
      <c r="SMO6"/>
      <c r="SMP6"/>
      <c r="SMQ6"/>
      <c r="SMR6"/>
      <c r="SMS6"/>
      <c r="SMT6"/>
      <c r="SMU6"/>
      <c r="SMV6"/>
      <c r="SMW6"/>
      <c r="SMX6"/>
      <c r="SMY6"/>
      <c r="SMZ6"/>
      <c r="SNA6"/>
      <c r="SNB6"/>
      <c r="SNC6"/>
      <c r="SND6"/>
      <c r="SNE6"/>
      <c r="SNF6"/>
      <c r="SNG6"/>
      <c r="SNH6"/>
      <c r="SNI6"/>
      <c r="SNJ6"/>
      <c r="SNK6"/>
      <c r="SNL6"/>
      <c r="SNM6"/>
      <c r="SNN6"/>
      <c r="SNO6"/>
      <c r="SNP6"/>
      <c r="SNQ6"/>
      <c r="SNR6"/>
      <c r="SNS6"/>
      <c r="SNT6"/>
      <c r="SNU6"/>
      <c r="SNV6"/>
      <c r="SNW6"/>
      <c r="SNX6"/>
      <c r="SNY6"/>
      <c r="SNZ6"/>
      <c r="SOA6"/>
      <c r="SOB6"/>
      <c r="SOC6"/>
      <c r="SOD6"/>
      <c r="SOE6"/>
      <c r="SOF6"/>
      <c r="SOG6"/>
      <c r="SOH6"/>
      <c r="SOI6"/>
      <c r="SOJ6"/>
      <c r="SOK6"/>
      <c r="SOL6"/>
      <c r="SOM6"/>
      <c r="SON6"/>
      <c r="SOO6"/>
      <c r="SOP6"/>
      <c r="SOQ6"/>
      <c r="SOR6"/>
      <c r="SOS6"/>
      <c r="SOT6"/>
      <c r="SOU6"/>
      <c r="SOV6"/>
      <c r="SOW6"/>
      <c r="SOX6"/>
      <c r="SOY6"/>
      <c r="SOZ6"/>
      <c r="SPA6"/>
      <c r="SPB6"/>
      <c r="SPC6"/>
      <c r="SPD6"/>
      <c r="SPE6"/>
      <c r="SPF6"/>
      <c r="SPG6"/>
      <c r="SPH6"/>
      <c r="SPI6"/>
      <c r="SPJ6"/>
      <c r="SPK6"/>
      <c r="SPL6"/>
      <c r="SPM6"/>
      <c r="SPN6"/>
      <c r="SPO6"/>
      <c r="SPP6"/>
      <c r="SPQ6"/>
      <c r="SPR6"/>
      <c r="SPS6"/>
      <c r="SPT6"/>
      <c r="SPU6"/>
      <c r="SPV6"/>
      <c r="SPW6"/>
      <c r="SPX6"/>
      <c r="SPY6"/>
      <c r="SPZ6"/>
      <c r="SQA6"/>
      <c r="SQB6"/>
      <c r="SQC6"/>
      <c r="SQD6"/>
      <c r="SQE6"/>
      <c r="SQF6"/>
      <c r="SQG6"/>
      <c r="SQH6"/>
      <c r="SQI6"/>
      <c r="SQJ6"/>
      <c r="SQK6"/>
      <c r="SQL6"/>
      <c r="SQM6"/>
      <c r="SQN6"/>
      <c r="SQO6"/>
      <c r="SQP6"/>
      <c r="SQQ6"/>
      <c r="SQR6"/>
      <c r="SQS6"/>
      <c r="SQT6"/>
      <c r="SQU6"/>
      <c r="SQV6"/>
      <c r="SQW6"/>
      <c r="SQX6"/>
      <c r="SQY6"/>
      <c r="SQZ6"/>
      <c r="SRA6"/>
      <c r="SRB6"/>
      <c r="SRC6"/>
      <c r="SRD6"/>
      <c r="SRE6"/>
      <c r="SRF6"/>
      <c r="SRG6"/>
      <c r="SRH6"/>
      <c r="SRI6"/>
      <c r="SRJ6"/>
      <c r="SRK6"/>
      <c r="SRL6"/>
      <c r="SRM6"/>
      <c r="SRN6"/>
      <c r="SRO6"/>
      <c r="SRP6"/>
      <c r="SRQ6"/>
      <c r="SRR6"/>
      <c r="SRS6"/>
      <c r="SRT6"/>
      <c r="SRU6"/>
      <c r="SRV6"/>
      <c r="SRW6"/>
      <c r="SRX6"/>
      <c r="SRY6"/>
      <c r="SRZ6"/>
      <c r="SSA6"/>
      <c r="SSB6"/>
      <c r="SSC6"/>
      <c r="SSD6"/>
      <c r="SSE6"/>
      <c r="SSF6"/>
      <c r="SSG6"/>
      <c r="SSH6"/>
      <c r="SSI6"/>
      <c r="SSJ6"/>
      <c r="SSK6"/>
      <c r="SSL6"/>
      <c r="SSM6"/>
      <c r="SSN6"/>
      <c r="SSO6"/>
      <c r="SSP6"/>
      <c r="SSQ6"/>
      <c r="SSR6"/>
      <c r="SSS6"/>
      <c r="SST6"/>
      <c r="SSU6"/>
      <c r="SSV6"/>
      <c r="SSW6"/>
      <c r="SSX6"/>
      <c r="SSY6"/>
      <c r="SSZ6"/>
      <c r="STA6"/>
      <c r="STB6"/>
      <c r="STC6"/>
      <c r="STD6"/>
      <c r="STE6"/>
      <c r="STF6"/>
      <c r="STG6"/>
      <c r="STH6"/>
      <c r="STI6"/>
      <c r="STJ6"/>
      <c r="STK6"/>
      <c r="STL6"/>
      <c r="STM6"/>
      <c r="STN6"/>
      <c r="STO6"/>
      <c r="STP6"/>
      <c r="STQ6"/>
      <c r="STR6"/>
      <c r="STS6"/>
      <c r="STT6"/>
      <c r="STU6"/>
      <c r="STV6"/>
      <c r="STW6"/>
      <c r="STX6"/>
      <c r="STY6"/>
      <c r="STZ6"/>
      <c r="SUA6"/>
      <c r="SUB6"/>
      <c r="SUC6"/>
      <c r="SUD6"/>
      <c r="SUE6"/>
      <c r="SUF6"/>
      <c r="SUG6"/>
      <c r="SUH6"/>
      <c r="SUI6"/>
      <c r="SUJ6"/>
      <c r="SUK6"/>
      <c r="SUL6"/>
      <c r="SUM6"/>
      <c r="SUN6"/>
      <c r="SUO6"/>
      <c r="SUP6"/>
      <c r="SUQ6"/>
      <c r="SUR6"/>
      <c r="SUS6"/>
      <c r="SUT6"/>
      <c r="SUU6"/>
      <c r="SUV6"/>
      <c r="SUW6"/>
      <c r="SUX6"/>
      <c r="SUY6"/>
      <c r="SUZ6"/>
      <c r="SVA6"/>
      <c r="SVB6"/>
      <c r="SVC6"/>
      <c r="SVD6"/>
      <c r="SVE6"/>
      <c r="SVF6"/>
      <c r="SVG6"/>
      <c r="SVH6"/>
      <c r="SVI6"/>
      <c r="SVJ6"/>
      <c r="SVK6"/>
      <c r="SVL6"/>
      <c r="SVM6"/>
      <c r="SVN6"/>
      <c r="SVO6"/>
      <c r="SVP6"/>
      <c r="SVQ6"/>
      <c r="SVR6"/>
      <c r="SVS6"/>
      <c r="SVT6"/>
      <c r="SVU6"/>
      <c r="SVV6"/>
      <c r="SVW6"/>
      <c r="SVX6"/>
      <c r="SVY6"/>
      <c r="SVZ6"/>
      <c r="SWA6"/>
      <c r="SWB6"/>
      <c r="SWC6"/>
      <c r="SWD6"/>
      <c r="SWE6"/>
      <c r="SWF6"/>
      <c r="SWG6"/>
      <c r="SWH6"/>
      <c r="SWI6"/>
      <c r="SWJ6"/>
      <c r="SWK6"/>
      <c r="SWL6"/>
      <c r="SWM6"/>
      <c r="SWN6"/>
      <c r="SWO6"/>
      <c r="SWP6"/>
      <c r="SWQ6"/>
      <c r="SWR6"/>
      <c r="SWS6"/>
      <c r="SWT6"/>
      <c r="SWU6"/>
      <c r="SWV6"/>
      <c r="SWW6"/>
      <c r="SWX6"/>
      <c r="SWY6"/>
      <c r="SWZ6"/>
      <c r="SXA6"/>
      <c r="SXB6"/>
      <c r="SXC6"/>
      <c r="SXD6"/>
      <c r="SXE6"/>
      <c r="SXF6"/>
      <c r="SXG6"/>
      <c r="SXH6"/>
      <c r="SXI6"/>
      <c r="SXJ6"/>
      <c r="SXK6"/>
      <c r="SXL6"/>
      <c r="SXM6"/>
      <c r="SXN6"/>
      <c r="SXO6"/>
      <c r="SXP6"/>
      <c r="SXQ6"/>
      <c r="SXR6"/>
      <c r="SXS6"/>
      <c r="SXT6"/>
      <c r="SXU6"/>
      <c r="SXV6"/>
      <c r="SXW6"/>
      <c r="SXX6"/>
      <c r="SXY6"/>
      <c r="SXZ6"/>
      <c r="SYA6"/>
      <c r="SYB6"/>
      <c r="SYC6"/>
      <c r="SYD6"/>
      <c r="SYE6"/>
      <c r="SYF6"/>
      <c r="SYG6"/>
      <c r="SYH6"/>
      <c r="SYI6"/>
      <c r="SYJ6"/>
      <c r="SYK6"/>
      <c r="SYL6"/>
      <c r="SYM6"/>
      <c r="SYN6"/>
      <c r="SYO6"/>
      <c r="SYP6"/>
      <c r="SYQ6"/>
      <c r="SYR6"/>
      <c r="SYS6"/>
      <c r="SYT6"/>
      <c r="SYU6"/>
      <c r="SYV6"/>
      <c r="SYW6"/>
      <c r="SYX6"/>
      <c r="SYY6"/>
      <c r="SYZ6"/>
      <c r="SZA6"/>
      <c r="SZB6"/>
      <c r="SZC6"/>
      <c r="SZD6"/>
      <c r="SZE6"/>
      <c r="SZF6"/>
      <c r="SZG6"/>
      <c r="SZH6"/>
      <c r="SZI6"/>
      <c r="SZJ6"/>
      <c r="SZK6"/>
      <c r="SZL6"/>
      <c r="SZM6"/>
      <c r="SZN6"/>
      <c r="SZO6"/>
      <c r="SZP6"/>
      <c r="SZQ6"/>
      <c r="SZR6"/>
      <c r="SZS6"/>
      <c r="SZT6"/>
      <c r="SZU6"/>
      <c r="SZV6"/>
      <c r="SZW6"/>
      <c r="SZX6"/>
      <c r="SZY6"/>
      <c r="SZZ6"/>
      <c r="TAA6"/>
      <c r="TAB6"/>
      <c r="TAC6"/>
      <c r="TAD6"/>
      <c r="TAE6"/>
      <c r="TAF6"/>
      <c r="TAG6"/>
      <c r="TAH6"/>
      <c r="TAI6"/>
      <c r="TAJ6"/>
      <c r="TAK6"/>
      <c r="TAL6"/>
      <c r="TAM6"/>
      <c r="TAN6"/>
      <c r="TAO6"/>
      <c r="TAP6"/>
      <c r="TAQ6"/>
      <c r="TAR6"/>
      <c r="TAS6"/>
      <c r="TAT6"/>
      <c r="TAU6"/>
      <c r="TAV6"/>
      <c r="TAW6"/>
      <c r="TAX6"/>
      <c r="TAY6"/>
      <c r="TAZ6"/>
      <c r="TBA6"/>
      <c r="TBB6"/>
      <c r="TBC6"/>
      <c r="TBD6"/>
      <c r="TBE6"/>
      <c r="TBF6"/>
      <c r="TBG6"/>
      <c r="TBH6"/>
      <c r="TBI6"/>
      <c r="TBJ6"/>
      <c r="TBK6"/>
      <c r="TBL6"/>
      <c r="TBM6"/>
      <c r="TBN6"/>
      <c r="TBO6"/>
      <c r="TBP6"/>
      <c r="TBQ6"/>
      <c r="TBR6"/>
      <c r="TBS6"/>
      <c r="TBT6"/>
      <c r="TBU6"/>
      <c r="TBV6"/>
      <c r="TBW6"/>
      <c r="TBX6"/>
      <c r="TBY6"/>
      <c r="TBZ6"/>
      <c r="TCA6"/>
      <c r="TCB6"/>
      <c r="TCC6"/>
      <c r="TCD6"/>
      <c r="TCE6"/>
      <c r="TCF6"/>
      <c r="TCG6"/>
      <c r="TCH6"/>
      <c r="TCI6"/>
      <c r="TCJ6"/>
      <c r="TCK6"/>
      <c r="TCL6"/>
      <c r="TCM6"/>
      <c r="TCN6"/>
      <c r="TCO6"/>
      <c r="TCP6"/>
      <c r="TCQ6"/>
      <c r="TCR6"/>
      <c r="TCS6"/>
      <c r="TCT6"/>
      <c r="TCU6"/>
      <c r="TCV6"/>
      <c r="TCW6"/>
      <c r="TCX6"/>
      <c r="TCY6"/>
      <c r="TCZ6"/>
      <c r="TDA6"/>
      <c r="TDB6"/>
      <c r="TDC6"/>
      <c r="TDD6"/>
      <c r="TDE6"/>
      <c r="TDF6"/>
      <c r="TDG6"/>
      <c r="TDH6"/>
      <c r="TDI6"/>
      <c r="TDJ6"/>
      <c r="TDK6"/>
      <c r="TDL6"/>
      <c r="TDM6"/>
      <c r="TDN6"/>
      <c r="TDO6"/>
      <c r="TDP6"/>
      <c r="TDQ6"/>
      <c r="TDR6"/>
      <c r="TDS6"/>
      <c r="TDT6"/>
      <c r="TDU6"/>
      <c r="TDV6"/>
      <c r="TDW6"/>
      <c r="TDX6"/>
      <c r="TDY6"/>
      <c r="TDZ6"/>
      <c r="TEA6"/>
      <c r="TEB6"/>
      <c r="TEC6"/>
      <c r="TED6"/>
      <c r="TEE6"/>
      <c r="TEF6"/>
      <c r="TEG6"/>
      <c r="TEH6"/>
      <c r="TEI6"/>
      <c r="TEJ6"/>
      <c r="TEK6"/>
      <c r="TEL6"/>
      <c r="TEM6"/>
      <c r="TEN6"/>
      <c r="TEO6"/>
      <c r="TEP6"/>
      <c r="TEQ6"/>
      <c r="TER6"/>
      <c r="TES6"/>
      <c r="TET6"/>
      <c r="TEU6"/>
      <c r="TEV6"/>
      <c r="TEW6"/>
      <c r="TEX6"/>
      <c r="TEY6"/>
      <c r="TEZ6"/>
      <c r="TFA6"/>
      <c r="TFB6"/>
      <c r="TFC6"/>
      <c r="TFD6"/>
      <c r="TFE6"/>
      <c r="TFF6"/>
      <c r="TFG6"/>
      <c r="TFH6"/>
      <c r="TFI6"/>
      <c r="TFJ6"/>
      <c r="TFK6"/>
      <c r="TFL6"/>
      <c r="TFM6"/>
      <c r="TFN6"/>
      <c r="TFO6"/>
      <c r="TFP6"/>
      <c r="TFQ6"/>
      <c r="TFR6"/>
      <c r="TFS6"/>
      <c r="TFT6"/>
      <c r="TFU6"/>
      <c r="TFV6"/>
      <c r="TFW6"/>
      <c r="TFX6"/>
      <c r="TFY6"/>
      <c r="TFZ6"/>
      <c r="TGA6"/>
      <c r="TGB6"/>
      <c r="TGC6"/>
      <c r="TGD6"/>
      <c r="TGE6"/>
      <c r="TGF6"/>
      <c r="TGG6"/>
      <c r="TGH6"/>
      <c r="TGI6"/>
      <c r="TGJ6"/>
      <c r="TGK6"/>
      <c r="TGL6"/>
      <c r="TGM6"/>
      <c r="TGN6"/>
      <c r="TGO6"/>
      <c r="TGP6"/>
      <c r="TGQ6"/>
      <c r="TGR6"/>
      <c r="TGS6"/>
      <c r="TGT6"/>
      <c r="TGU6"/>
      <c r="TGV6"/>
      <c r="TGW6"/>
      <c r="TGX6"/>
      <c r="TGY6"/>
      <c r="TGZ6"/>
      <c r="THA6"/>
      <c r="THB6"/>
      <c r="THC6"/>
      <c r="THD6"/>
      <c r="THE6"/>
      <c r="THF6"/>
      <c r="THG6"/>
      <c r="THH6"/>
      <c r="THI6"/>
      <c r="THJ6"/>
      <c r="THK6"/>
      <c r="THL6"/>
      <c r="THM6"/>
      <c r="THN6"/>
      <c r="THO6"/>
      <c r="THP6"/>
      <c r="THQ6"/>
      <c r="THR6"/>
      <c r="THS6"/>
      <c r="THT6"/>
      <c r="THU6"/>
      <c r="THV6"/>
      <c r="THW6"/>
      <c r="THX6"/>
      <c r="THY6"/>
      <c r="THZ6"/>
      <c r="TIA6"/>
      <c r="TIB6"/>
      <c r="TIC6"/>
      <c r="TID6"/>
      <c r="TIE6"/>
      <c r="TIF6"/>
      <c r="TIG6"/>
      <c r="TIH6"/>
      <c r="TII6"/>
      <c r="TIJ6"/>
      <c r="TIK6"/>
      <c r="TIL6"/>
      <c r="TIM6"/>
      <c r="TIN6"/>
      <c r="TIO6"/>
      <c r="TIP6"/>
      <c r="TIQ6"/>
      <c r="TIR6"/>
      <c r="TIS6"/>
      <c r="TIT6"/>
      <c r="TIU6"/>
      <c r="TIV6"/>
      <c r="TIW6"/>
      <c r="TIX6"/>
      <c r="TIY6"/>
      <c r="TIZ6"/>
      <c r="TJA6"/>
      <c r="TJB6"/>
      <c r="TJC6"/>
      <c r="TJD6"/>
      <c r="TJE6"/>
      <c r="TJF6"/>
      <c r="TJG6"/>
      <c r="TJH6"/>
      <c r="TJI6"/>
      <c r="TJJ6"/>
      <c r="TJK6"/>
      <c r="TJL6"/>
      <c r="TJM6"/>
      <c r="TJN6"/>
      <c r="TJO6"/>
      <c r="TJP6"/>
      <c r="TJQ6"/>
      <c r="TJR6"/>
      <c r="TJS6"/>
      <c r="TJT6"/>
      <c r="TJU6"/>
      <c r="TJV6"/>
      <c r="TJW6"/>
      <c r="TJX6"/>
      <c r="TJY6"/>
      <c r="TJZ6"/>
      <c r="TKA6"/>
      <c r="TKB6"/>
      <c r="TKC6"/>
      <c r="TKD6"/>
      <c r="TKE6"/>
      <c r="TKF6"/>
      <c r="TKG6"/>
      <c r="TKH6"/>
      <c r="TKI6"/>
      <c r="TKJ6"/>
      <c r="TKK6"/>
      <c r="TKL6"/>
      <c r="TKM6"/>
      <c r="TKN6"/>
      <c r="TKO6"/>
      <c r="TKP6"/>
      <c r="TKQ6"/>
      <c r="TKR6"/>
      <c r="TKS6"/>
      <c r="TKT6"/>
      <c r="TKU6"/>
      <c r="TKV6"/>
      <c r="TKW6"/>
      <c r="TKX6"/>
      <c r="TKY6"/>
      <c r="TKZ6"/>
      <c r="TLA6"/>
      <c r="TLB6"/>
      <c r="TLC6"/>
      <c r="TLD6"/>
      <c r="TLE6"/>
      <c r="TLF6"/>
      <c r="TLG6"/>
      <c r="TLH6"/>
      <c r="TLI6"/>
      <c r="TLJ6"/>
      <c r="TLK6"/>
      <c r="TLL6"/>
      <c r="TLM6"/>
      <c r="TLN6"/>
      <c r="TLO6"/>
      <c r="TLP6"/>
      <c r="TLQ6"/>
      <c r="TLR6"/>
      <c r="TLS6"/>
      <c r="TLT6"/>
      <c r="TLU6"/>
      <c r="TLV6"/>
      <c r="TLW6"/>
      <c r="TLX6"/>
      <c r="TLY6"/>
      <c r="TLZ6"/>
      <c r="TMA6"/>
      <c r="TMB6"/>
      <c r="TMC6"/>
      <c r="TMD6"/>
      <c r="TME6"/>
      <c r="TMF6"/>
      <c r="TMG6"/>
      <c r="TMH6"/>
      <c r="TMI6"/>
      <c r="TMJ6"/>
      <c r="TMK6"/>
      <c r="TML6"/>
      <c r="TMM6"/>
      <c r="TMN6"/>
      <c r="TMO6"/>
      <c r="TMP6"/>
      <c r="TMQ6"/>
      <c r="TMR6"/>
      <c r="TMS6"/>
      <c r="TMT6"/>
      <c r="TMU6"/>
      <c r="TMV6"/>
      <c r="TMW6"/>
      <c r="TMX6"/>
      <c r="TMY6"/>
      <c r="TMZ6"/>
      <c r="TNA6"/>
      <c r="TNB6"/>
      <c r="TNC6"/>
      <c r="TND6"/>
      <c r="TNE6"/>
      <c r="TNF6"/>
      <c r="TNG6"/>
      <c r="TNH6"/>
      <c r="TNI6"/>
      <c r="TNJ6"/>
      <c r="TNK6"/>
      <c r="TNL6"/>
      <c r="TNM6"/>
      <c r="TNN6"/>
      <c r="TNO6"/>
      <c r="TNP6"/>
      <c r="TNQ6"/>
      <c r="TNR6"/>
      <c r="TNS6"/>
      <c r="TNT6"/>
      <c r="TNU6"/>
      <c r="TNV6"/>
      <c r="TNW6"/>
      <c r="TNX6"/>
      <c r="TNY6"/>
      <c r="TNZ6"/>
      <c r="TOA6"/>
      <c r="TOB6"/>
      <c r="TOC6"/>
      <c r="TOD6"/>
      <c r="TOE6"/>
      <c r="TOF6"/>
      <c r="TOG6"/>
      <c r="TOH6"/>
      <c r="TOI6"/>
      <c r="TOJ6"/>
      <c r="TOK6"/>
      <c r="TOL6"/>
      <c r="TOM6"/>
      <c r="TON6"/>
      <c r="TOO6"/>
      <c r="TOP6"/>
      <c r="TOQ6"/>
      <c r="TOR6"/>
      <c r="TOS6"/>
      <c r="TOT6"/>
      <c r="TOU6"/>
      <c r="TOV6"/>
      <c r="TOW6"/>
      <c r="TOX6"/>
      <c r="TOY6"/>
      <c r="TOZ6"/>
      <c r="TPA6"/>
      <c r="TPB6"/>
      <c r="TPC6"/>
      <c r="TPD6"/>
      <c r="TPE6"/>
      <c r="TPF6"/>
      <c r="TPG6"/>
      <c r="TPH6"/>
      <c r="TPI6"/>
      <c r="TPJ6"/>
      <c r="TPK6"/>
      <c r="TPL6"/>
      <c r="TPM6"/>
      <c r="TPN6"/>
      <c r="TPO6"/>
      <c r="TPP6"/>
      <c r="TPQ6"/>
      <c r="TPR6"/>
      <c r="TPS6"/>
      <c r="TPT6"/>
      <c r="TPU6"/>
      <c r="TPV6"/>
      <c r="TPW6"/>
      <c r="TPX6"/>
      <c r="TPY6"/>
      <c r="TPZ6"/>
      <c r="TQA6"/>
      <c r="TQB6"/>
      <c r="TQC6"/>
      <c r="TQD6"/>
      <c r="TQE6"/>
      <c r="TQF6"/>
      <c r="TQG6"/>
      <c r="TQH6"/>
      <c r="TQI6"/>
      <c r="TQJ6"/>
      <c r="TQK6"/>
      <c r="TQL6"/>
      <c r="TQM6"/>
      <c r="TQN6"/>
      <c r="TQO6"/>
      <c r="TQP6"/>
      <c r="TQQ6"/>
      <c r="TQR6"/>
      <c r="TQS6"/>
      <c r="TQT6"/>
      <c r="TQU6"/>
      <c r="TQV6"/>
      <c r="TQW6"/>
      <c r="TQX6"/>
      <c r="TQY6"/>
      <c r="TQZ6"/>
      <c r="TRA6"/>
      <c r="TRB6"/>
      <c r="TRC6"/>
      <c r="TRD6"/>
      <c r="TRE6"/>
      <c r="TRF6"/>
      <c r="TRG6"/>
      <c r="TRH6"/>
      <c r="TRI6"/>
      <c r="TRJ6"/>
      <c r="TRK6"/>
      <c r="TRL6"/>
      <c r="TRM6"/>
      <c r="TRN6"/>
      <c r="TRO6"/>
      <c r="TRP6"/>
      <c r="TRQ6"/>
      <c r="TRR6"/>
      <c r="TRS6"/>
      <c r="TRT6"/>
      <c r="TRU6"/>
      <c r="TRV6"/>
      <c r="TRW6"/>
      <c r="TRX6"/>
      <c r="TRY6"/>
      <c r="TRZ6"/>
      <c r="TSA6"/>
      <c r="TSB6"/>
      <c r="TSC6"/>
      <c r="TSD6"/>
      <c r="TSE6"/>
      <c r="TSF6"/>
      <c r="TSG6"/>
      <c r="TSH6"/>
      <c r="TSI6"/>
      <c r="TSJ6"/>
      <c r="TSK6"/>
      <c r="TSL6"/>
      <c r="TSM6"/>
      <c r="TSN6"/>
      <c r="TSO6"/>
      <c r="TSP6"/>
      <c r="TSQ6"/>
      <c r="TSR6"/>
      <c r="TSS6"/>
      <c r="TST6"/>
      <c r="TSU6"/>
      <c r="TSV6"/>
      <c r="TSW6"/>
      <c r="TSX6"/>
      <c r="TSY6"/>
      <c r="TSZ6"/>
      <c r="TTA6"/>
      <c r="TTB6"/>
      <c r="TTC6"/>
      <c r="TTD6"/>
      <c r="TTE6"/>
      <c r="TTF6"/>
      <c r="TTG6"/>
      <c r="TTH6"/>
      <c r="TTI6"/>
      <c r="TTJ6"/>
      <c r="TTK6"/>
      <c r="TTL6"/>
      <c r="TTM6"/>
      <c r="TTN6"/>
      <c r="TTO6"/>
      <c r="TTP6"/>
      <c r="TTQ6"/>
      <c r="TTR6"/>
      <c r="TTS6"/>
      <c r="TTT6"/>
      <c r="TTU6"/>
      <c r="TTV6"/>
      <c r="TTW6"/>
      <c r="TTX6"/>
      <c r="TTY6"/>
      <c r="TTZ6"/>
      <c r="TUA6"/>
      <c r="TUB6"/>
      <c r="TUC6"/>
      <c r="TUD6"/>
      <c r="TUE6"/>
      <c r="TUF6"/>
      <c r="TUG6"/>
      <c r="TUH6"/>
      <c r="TUI6"/>
      <c r="TUJ6"/>
      <c r="TUK6"/>
      <c r="TUL6"/>
      <c r="TUM6"/>
      <c r="TUN6"/>
      <c r="TUO6"/>
      <c r="TUP6"/>
      <c r="TUQ6"/>
      <c r="TUR6"/>
      <c r="TUS6"/>
      <c r="TUT6"/>
      <c r="TUU6"/>
      <c r="TUV6"/>
      <c r="TUW6"/>
      <c r="TUX6"/>
      <c r="TUY6"/>
      <c r="TUZ6"/>
      <c r="TVA6"/>
      <c r="TVB6"/>
      <c r="TVC6"/>
      <c r="TVD6"/>
      <c r="TVE6"/>
      <c r="TVF6"/>
      <c r="TVG6"/>
      <c r="TVH6"/>
      <c r="TVI6"/>
      <c r="TVJ6"/>
      <c r="TVK6"/>
      <c r="TVL6"/>
      <c r="TVM6"/>
      <c r="TVN6"/>
      <c r="TVO6"/>
      <c r="TVP6"/>
      <c r="TVQ6"/>
      <c r="TVR6"/>
      <c r="TVS6"/>
      <c r="TVT6"/>
      <c r="TVU6"/>
      <c r="TVV6"/>
      <c r="TVW6"/>
      <c r="TVX6"/>
      <c r="TVY6"/>
      <c r="TVZ6"/>
      <c r="TWA6"/>
      <c r="TWB6"/>
      <c r="TWC6"/>
      <c r="TWD6"/>
      <c r="TWE6"/>
      <c r="TWF6"/>
      <c r="TWG6"/>
      <c r="TWH6"/>
      <c r="TWI6"/>
      <c r="TWJ6"/>
      <c r="TWK6"/>
      <c r="TWL6"/>
      <c r="TWM6"/>
      <c r="TWN6"/>
      <c r="TWO6"/>
      <c r="TWP6"/>
      <c r="TWQ6"/>
      <c r="TWR6"/>
      <c r="TWS6"/>
      <c r="TWT6"/>
      <c r="TWU6"/>
      <c r="TWV6"/>
      <c r="TWW6"/>
      <c r="TWX6"/>
      <c r="TWY6"/>
      <c r="TWZ6"/>
      <c r="TXA6"/>
      <c r="TXB6"/>
      <c r="TXC6"/>
      <c r="TXD6"/>
      <c r="TXE6"/>
      <c r="TXF6"/>
      <c r="TXG6"/>
      <c r="TXH6"/>
      <c r="TXI6"/>
      <c r="TXJ6"/>
      <c r="TXK6"/>
      <c r="TXL6"/>
      <c r="TXM6"/>
      <c r="TXN6"/>
      <c r="TXO6"/>
      <c r="TXP6"/>
      <c r="TXQ6"/>
      <c r="TXR6"/>
      <c r="TXS6"/>
      <c r="TXT6"/>
      <c r="TXU6"/>
      <c r="TXV6"/>
      <c r="TXW6"/>
      <c r="TXX6"/>
      <c r="TXY6"/>
      <c r="TXZ6"/>
      <c r="TYA6"/>
      <c r="TYB6"/>
      <c r="TYC6"/>
      <c r="TYD6"/>
      <c r="TYE6"/>
      <c r="TYF6"/>
      <c r="TYG6"/>
      <c r="TYH6"/>
      <c r="TYI6"/>
      <c r="TYJ6"/>
      <c r="TYK6"/>
      <c r="TYL6"/>
      <c r="TYM6"/>
      <c r="TYN6"/>
      <c r="TYO6"/>
      <c r="TYP6"/>
      <c r="TYQ6"/>
      <c r="TYR6"/>
      <c r="TYS6"/>
      <c r="TYT6"/>
      <c r="TYU6"/>
      <c r="TYV6"/>
      <c r="TYW6"/>
      <c r="TYX6"/>
      <c r="TYY6"/>
      <c r="TYZ6"/>
      <c r="TZA6"/>
      <c r="TZB6"/>
      <c r="TZC6"/>
      <c r="TZD6"/>
      <c r="TZE6"/>
      <c r="TZF6"/>
      <c r="TZG6"/>
      <c r="TZH6"/>
      <c r="TZI6"/>
      <c r="TZJ6"/>
      <c r="TZK6"/>
      <c r="TZL6"/>
      <c r="TZM6"/>
      <c r="TZN6"/>
      <c r="TZO6"/>
      <c r="TZP6"/>
      <c r="TZQ6"/>
      <c r="TZR6"/>
      <c r="TZS6"/>
      <c r="TZT6"/>
      <c r="TZU6"/>
      <c r="TZV6"/>
      <c r="TZW6"/>
      <c r="TZX6"/>
      <c r="TZY6"/>
      <c r="TZZ6"/>
      <c r="UAA6"/>
      <c r="UAB6"/>
      <c r="UAC6"/>
      <c r="UAD6"/>
      <c r="UAE6"/>
      <c r="UAF6"/>
      <c r="UAG6"/>
      <c r="UAH6"/>
      <c r="UAI6"/>
      <c r="UAJ6"/>
      <c r="UAK6"/>
      <c r="UAL6"/>
      <c r="UAM6"/>
      <c r="UAN6"/>
      <c r="UAO6"/>
      <c r="UAP6"/>
      <c r="UAQ6"/>
      <c r="UAR6"/>
      <c r="UAS6"/>
      <c r="UAT6"/>
      <c r="UAU6"/>
      <c r="UAV6"/>
      <c r="UAW6"/>
      <c r="UAX6"/>
      <c r="UAY6"/>
      <c r="UAZ6"/>
      <c r="UBA6"/>
      <c r="UBB6"/>
      <c r="UBC6"/>
      <c r="UBD6"/>
      <c r="UBE6"/>
      <c r="UBF6"/>
      <c r="UBG6"/>
      <c r="UBH6"/>
      <c r="UBI6"/>
      <c r="UBJ6"/>
      <c r="UBK6"/>
      <c r="UBL6"/>
      <c r="UBM6"/>
      <c r="UBN6"/>
      <c r="UBO6"/>
      <c r="UBP6"/>
      <c r="UBQ6"/>
      <c r="UBR6"/>
      <c r="UBS6"/>
      <c r="UBT6"/>
      <c r="UBU6"/>
      <c r="UBV6"/>
      <c r="UBW6"/>
      <c r="UBX6"/>
      <c r="UBY6"/>
      <c r="UBZ6"/>
      <c r="UCA6"/>
      <c r="UCB6"/>
      <c r="UCC6"/>
      <c r="UCD6"/>
      <c r="UCE6"/>
      <c r="UCF6"/>
      <c r="UCG6"/>
      <c r="UCH6"/>
      <c r="UCI6"/>
      <c r="UCJ6"/>
      <c r="UCK6"/>
      <c r="UCL6"/>
      <c r="UCM6"/>
      <c r="UCN6"/>
      <c r="UCO6"/>
      <c r="UCP6"/>
      <c r="UCQ6"/>
      <c r="UCR6"/>
      <c r="UCS6"/>
      <c r="UCT6"/>
      <c r="UCU6"/>
      <c r="UCV6"/>
      <c r="UCW6"/>
      <c r="UCX6"/>
      <c r="UCY6"/>
      <c r="UCZ6"/>
      <c r="UDA6"/>
      <c r="UDB6"/>
      <c r="UDC6"/>
      <c r="UDD6"/>
      <c r="UDE6"/>
      <c r="UDF6"/>
      <c r="UDG6"/>
      <c r="UDH6"/>
      <c r="UDI6"/>
      <c r="UDJ6"/>
      <c r="UDK6"/>
      <c r="UDL6"/>
      <c r="UDM6"/>
      <c r="UDN6"/>
      <c r="UDO6"/>
      <c r="UDP6"/>
      <c r="UDQ6"/>
      <c r="UDR6"/>
      <c r="UDS6"/>
      <c r="UDT6"/>
      <c r="UDU6"/>
      <c r="UDV6"/>
      <c r="UDW6"/>
      <c r="UDX6"/>
      <c r="UDY6"/>
      <c r="UDZ6"/>
      <c r="UEA6"/>
      <c r="UEB6"/>
      <c r="UEC6"/>
      <c r="UED6"/>
      <c r="UEE6"/>
      <c r="UEF6"/>
      <c r="UEG6"/>
      <c r="UEH6"/>
      <c r="UEI6"/>
      <c r="UEJ6"/>
      <c r="UEK6"/>
      <c r="UEL6"/>
      <c r="UEM6"/>
      <c r="UEN6"/>
      <c r="UEO6"/>
      <c r="UEP6"/>
      <c r="UEQ6"/>
      <c r="UER6"/>
      <c r="UES6"/>
      <c r="UET6"/>
      <c r="UEU6"/>
      <c r="UEV6"/>
      <c r="UEW6"/>
      <c r="UEX6"/>
      <c r="UEY6"/>
      <c r="UEZ6"/>
      <c r="UFA6"/>
      <c r="UFB6"/>
      <c r="UFC6"/>
      <c r="UFD6"/>
      <c r="UFE6"/>
      <c r="UFF6"/>
      <c r="UFG6"/>
      <c r="UFH6"/>
      <c r="UFI6"/>
      <c r="UFJ6"/>
      <c r="UFK6"/>
      <c r="UFL6"/>
      <c r="UFM6"/>
      <c r="UFN6"/>
      <c r="UFO6"/>
      <c r="UFP6"/>
      <c r="UFQ6"/>
      <c r="UFR6"/>
      <c r="UFS6"/>
      <c r="UFT6"/>
      <c r="UFU6"/>
      <c r="UFV6"/>
      <c r="UFW6"/>
      <c r="UFX6"/>
      <c r="UFY6"/>
      <c r="UFZ6"/>
      <c r="UGA6"/>
      <c r="UGB6"/>
      <c r="UGC6"/>
      <c r="UGD6"/>
      <c r="UGE6"/>
      <c r="UGF6"/>
      <c r="UGG6"/>
      <c r="UGH6"/>
      <c r="UGI6"/>
      <c r="UGJ6"/>
      <c r="UGK6"/>
      <c r="UGL6"/>
      <c r="UGM6"/>
      <c r="UGN6"/>
      <c r="UGO6"/>
      <c r="UGP6"/>
      <c r="UGQ6"/>
      <c r="UGR6"/>
      <c r="UGS6"/>
      <c r="UGT6"/>
      <c r="UGU6"/>
      <c r="UGV6"/>
      <c r="UGW6"/>
      <c r="UGX6"/>
      <c r="UGY6"/>
      <c r="UGZ6"/>
      <c r="UHA6"/>
      <c r="UHB6"/>
      <c r="UHC6"/>
      <c r="UHD6"/>
      <c r="UHE6"/>
      <c r="UHF6"/>
      <c r="UHG6"/>
      <c r="UHH6"/>
      <c r="UHI6"/>
      <c r="UHJ6"/>
      <c r="UHK6"/>
      <c r="UHL6"/>
      <c r="UHM6"/>
      <c r="UHN6"/>
      <c r="UHO6"/>
      <c r="UHP6"/>
      <c r="UHQ6"/>
      <c r="UHR6"/>
      <c r="UHS6"/>
      <c r="UHT6"/>
      <c r="UHU6"/>
      <c r="UHV6"/>
      <c r="UHW6"/>
      <c r="UHX6"/>
      <c r="UHY6"/>
      <c r="UHZ6"/>
      <c r="UIA6"/>
      <c r="UIB6"/>
      <c r="UIC6"/>
      <c r="UID6"/>
      <c r="UIE6"/>
      <c r="UIF6"/>
      <c r="UIG6"/>
      <c r="UIH6"/>
      <c r="UII6"/>
      <c r="UIJ6"/>
      <c r="UIK6"/>
      <c r="UIL6"/>
      <c r="UIM6"/>
      <c r="UIN6"/>
      <c r="UIO6"/>
      <c r="UIP6"/>
      <c r="UIQ6"/>
      <c r="UIR6"/>
      <c r="UIS6"/>
      <c r="UIT6"/>
      <c r="UIU6"/>
      <c r="UIV6"/>
      <c r="UIW6"/>
      <c r="UIX6"/>
      <c r="UIY6"/>
      <c r="UIZ6"/>
      <c r="UJA6"/>
      <c r="UJB6"/>
      <c r="UJC6"/>
      <c r="UJD6"/>
      <c r="UJE6"/>
      <c r="UJF6"/>
      <c r="UJG6"/>
      <c r="UJH6"/>
      <c r="UJI6"/>
      <c r="UJJ6"/>
      <c r="UJK6"/>
      <c r="UJL6"/>
      <c r="UJM6"/>
      <c r="UJN6"/>
      <c r="UJO6"/>
      <c r="UJP6"/>
      <c r="UJQ6"/>
      <c r="UJR6"/>
      <c r="UJS6"/>
      <c r="UJT6"/>
      <c r="UJU6"/>
      <c r="UJV6"/>
      <c r="UJW6"/>
      <c r="UJX6"/>
      <c r="UJY6"/>
      <c r="UJZ6"/>
      <c r="UKA6"/>
      <c r="UKB6"/>
      <c r="UKC6"/>
      <c r="UKD6"/>
      <c r="UKE6"/>
      <c r="UKF6"/>
      <c r="UKG6"/>
      <c r="UKH6"/>
      <c r="UKI6"/>
      <c r="UKJ6"/>
      <c r="UKK6"/>
      <c r="UKL6"/>
      <c r="UKM6"/>
      <c r="UKN6"/>
      <c r="UKO6"/>
      <c r="UKP6"/>
      <c r="UKQ6"/>
      <c r="UKR6"/>
      <c r="UKS6"/>
      <c r="UKT6"/>
      <c r="UKU6"/>
      <c r="UKV6"/>
      <c r="UKW6"/>
      <c r="UKX6"/>
      <c r="UKY6"/>
      <c r="UKZ6"/>
      <c r="ULA6"/>
      <c r="ULB6"/>
      <c r="ULC6"/>
      <c r="ULD6"/>
      <c r="ULE6"/>
      <c r="ULF6"/>
      <c r="ULG6"/>
      <c r="ULH6"/>
      <c r="ULI6"/>
      <c r="ULJ6"/>
      <c r="ULK6"/>
      <c r="ULL6"/>
      <c r="ULM6"/>
      <c r="ULN6"/>
      <c r="ULO6"/>
      <c r="ULP6"/>
      <c r="ULQ6"/>
      <c r="ULR6"/>
      <c r="ULS6"/>
      <c r="ULT6"/>
      <c r="ULU6"/>
      <c r="ULV6"/>
      <c r="ULW6"/>
      <c r="ULX6"/>
      <c r="ULY6"/>
      <c r="ULZ6"/>
      <c r="UMA6"/>
      <c r="UMB6"/>
      <c r="UMC6"/>
      <c r="UMD6"/>
      <c r="UME6"/>
      <c r="UMF6"/>
      <c r="UMG6"/>
      <c r="UMH6"/>
      <c r="UMI6"/>
      <c r="UMJ6"/>
      <c r="UMK6"/>
      <c r="UML6"/>
      <c r="UMM6"/>
      <c r="UMN6"/>
      <c r="UMO6"/>
      <c r="UMP6"/>
      <c r="UMQ6"/>
      <c r="UMR6"/>
      <c r="UMS6"/>
      <c r="UMT6"/>
      <c r="UMU6"/>
      <c r="UMV6"/>
      <c r="UMW6"/>
      <c r="UMX6"/>
      <c r="UMY6"/>
      <c r="UMZ6"/>
      <c r="UNA6"/>
      <c r="UNB6"/>
      <c r="UNC6"/>
      <c r="UND6"/>
      <c r="UNE6"/>
      <c r="UNF6"/>
      <c r="UNG6"/>
      <c r="UNH6"/>
      <c r="UNI6"/>
      <c r="UNJ6"/>
      <c r="UNK6"/>
      <c r="UNL6"/>
      <c r="UNM6"/>
      <c r="UNN6"/>
      <c r="UNO6"/>
      <c r="UNP6"/>
      <c r="UNQ6"/>
      <c r="UNR6"/>
      <c r="UNS6"/>
      <c r="UNT6"/>
      <c r="UNU6"/>
      <c r="UNV6"/>
      <c r="UNW6"/>
      <c r="UNX6"/>
      <c r="UNY6"/>
      <c r="UNZ6"/>
      <c r="UOA6"/>
      <c r="UOB6"/>
      <c r="UOC6"/>
      <c r="UOD6"/>
      <c r="UOE6"/>
      <c r="UOF6"/>
      <c r="UOG6"/>
      <c r="UOH6"/>
      <c r="UOI6"/>
      <c r="UOJ6"/>
      <c r="UOK6"/>
      <c r="UOL6"/>
      <c r="UOM6"/>
      <c r="UON6"/>
      <c r="UOO6"/>
      <c r="UOP6"/>
      <c r="UOQ6"/>
      <c r="UOR6"/>
      <c r="UOS6"/>
      <c r="UOT6"/>
      <c r="UOU6"/>
      <c r="UOV6"/>
      <c r="UOW6"/>
      <c r="UOX6"/>
      <c r="UOY6"/>
      <c r="UOZ6"/>
      <c r="UPA6"/>
      <c r="UPB6"/>
      <c r="UPC6"/>
      <c r="UPD6"/>
      <c r="UPE6"/>
      <c r="UPF6"/>
      <c r="UPG6"/>
      <c r="UPH6"/>
      <c r="UPI6"/>
      <c r="UPJ6"/>
      <c r="UPK6"/>
      <c r="UPL6"/>
      <c r="UPM6"/>
      <c r="UPN6"/>
      <c r="UPO6"/>
      <c r="UPP6"/>
      <c r="UPQ6"/>
      <c r="UPR6"/>
      <c r="UPS6"/>
      <c r="UPT6"/>
      <c r="UPU6"/>
      <c r="UPV6"/>
      <c r="UPW6"/>
      <c r="UPX6"/>
      <c r="UPY6"/>
      <c r="UPZ6"/>
      <c r="UQA6"/>
      <c r="UQB6"/>
      <c r="UQC6"/>
      <c r="UQD6"/>
      <c r="UQE6"/>
      <c r="UQF6"/>
      <c r="UQG6"/>
      <c r="UQH6"/>
      <c r="UQI6"/>
      <c r="UQJ6"/>
      <c r="UQK6"/>
      <c r="UQL6"/>
      <c r="UQM6"/>
      <c r="UQN6"/>
      <c r="UQO6"/>
      <c r="UQP6"/>
      <c r="UQQ6"/>
      <c r="UQR6"/>
      <c r="UQS6"/>
      <c r="UQT6"/>
      <c r="UQU6"/>
      <c r="UQV6"/>
      <c r="UQW6"/>
      <c r="UQX6"/>
      <c r="UQY6"/>
      <c r="UQZ6"/>
      <c r="URA6"/>
      <c r="URB6"/>
      <c r="URC6"/>
      <c r="URD6"/>
      <c r="URE6"/>
      <c r="URF6"/>
      <c r="URG6"/>
      <c r="URH6"/>
      <c r="URI6"/>
      <c r="URJ6"/>
      <c r="URK6"/>
      <c r="URL6"/>
      <c r="URM6"/>
      <c r="URN6"/>
      <c r="URO6"/>
      <c r="URP6"/>
      <c r="URQ6"/>
      <c r="URR6"/>
      <c r="URS6"/>
      <c r="URT6"/>
      <c r="URU6"/>
      <c r="URV6"/>
      <c r="URW6"/>
      <c r="URX6"/>
      <c r="URY6"/>
      <c r="URZ6"/>
      <c r="USA6"/>
      <c r="USB6"/>
      <c r="USC6"/>
      <c r="USD6"/>
      <c r="USE6"/>
      <c r="USF6"/>
      <c r="USG6"/>
      <c r="USH6"/>
      <c r="USI6"/>
      <c r="USJ6"/>
      <c r="USK6"/>
      <c r="USL6"/>
      <c r="USM6"/>
      <c r="USN6"/>
      <c r="USO6"/>
      <c r="USP6"/>
      <c r="USQ6"/>
      <c r="USR6"/>
      <c r="USS6"/>
      <c r="UST6"/>
      <c r="USU6"/>
      <c r="USV6"/>
      <c r="USW6"/>
      <c r="USX6"/>
      <c r="USY6"/>
      <c r="USZ6"/>
      <c r="UTA6"/>
      <c r="UTB6"/>
      <c r="UTC6"/>
      <c r="UTD6"/>
      <c r="UTE6"/>
      <c r="UTF6"/>
      <c r="UTG6"/>
      <c r="UTH6"/>
      <c r="UTI6"/>
      <c r="UTJ6"/>
      <c r="UTK6"/>
      <c r="UTL6"/>
      <c r="UTM6"/>
      <c r="UTN6"/>
      <c r="UTO6"/>
      <c r="UTP6"/>
      <c r="UTQ6"/>
      <c r="UTR6"/>
      <c r="UTS6"/>
      <c r="UTT6"/>
      <c r="UTU6"/>
      <c r="UTV6"/>
      <c r="UTW6"/>
      <c r="UTX6"/>
      <c r="UTY6"/>
      <c r="UTZ6"/>
      <c r="UUA6"/>
      <c r="UUB6"/>
      <c r="UUC6"/>
      <c r="UUD6"/>
      <c r="UUE6"/>
      <c r="UUF6"/>
      <c r="UUG6"/>
      <c r="UUH6"/>
      <c r="UUI6"/>
      <c r="UUJ6"/>
      <c r="UUK6"/>
      <c r="UUL6"/>
      <c r="UUM6"/>
      <c r="UUN6"/>
      <c r="UUO6"/>
      <c r="UUP6"/>
      <c r="UUQ6"/>
      <c r="UUR6"/>
      <c r="UUS6"/>
      <c r="UUT6"/>
      <c r="UUU6"/>
      <c r="UUV6"/>
      <c r="UUW6"/>
      <c r="UUX6"/>
      <c r="UUY6"/>
      <c r="UUZ6"/>
      <c r="UVA6"/>
      <c r="UVB6"/>
      <c r="UVC6"/>
      <c r="UVD6"/>
      <c r="UVE6"/>
      <c r="UVF6"/>
      <c r="UVG6"/>
      <c r="UVH6"/>
      <c r="UVI6"/>
      <c r="UVJ6"/>
      <c r="UVK6"/>
      <c r="UVL6"/>
      <c r="UVM6"/>
      <c r="UVN6"/>
      <c r="UVO6"/>
      <c r="UVP6"/>
      <c r="UVQ6"/>
      <c r="UVR6"/>
      <c r="UVS6"/>
      <c r="UVT6"/>
      <c r="UVU6"/>
      <c r="UVV6"/>
      <c r="UVW6"/>
      <c r="UVX6"/>
      <c r="UVY6"/>
      <c r="UVZ6"/>
      <c r="UWA6"/>
      <c r="UWB6"/>
      <c r="UWC6"/>
      <c r="UWD6"/>
      <c r="UWE6"/>
      <c r="UWF6"/>
      <c r="UWG6"/>
      <c r="UWH6"/>
      <c r="UWI6"/>
      <c r="UWJ6"/>
      <c r="UWK6"/>
      <c r="UWL6"/>
      <c r="UWM6"/>
      <c r="UWN6"/>
      <c r="UWO6"/>
      <c r="UWP6"/>
      <c r="UWQ6"/>
      <c r="UWR6"/>
      <c r="UWS6"/>
      <c r="UWT6"/>
      <c r="UWU6"/>
      <c r="UWV6"/>
      <c r="UWW6"/>
      <c r="UWX6"/>
      <c r="UWY6"/>
      <c r="UWZ6"/>
      <c r="UXA6"/>
      <c r="UXB6"/>
      <c r="UXC6"/>
      <c r="UXD6"/>
      <c r="UXE6"/>
      <c r="UXF6"/>
      <c r="UXG6"/>
      <c r="UXH6"/>
      <c r="UXI6"/>
      <c r="UXJ6"/>
      <c r="UXK6"/>
      <c r="UXL6"/>
      <c r="UXM6"/>
      <c r="UXN6"/>
      <c r="UXO6"/>
      <c r="UXP6"/>
      <c r="UXQ6"/>
      <c r="UXR6"/>
      <c r="UXS6"/>
      <c r="UXT6"/>
      <c r="UXU6"/>
      <c r="UXV6"/>
      <c r="UXW6"/>
      <c r="UXX6"/>
      <c r="UXY6"/>
      <c r="UXZ6"/>
      <c r="UYA6"/>
      <c r="UYB6"/>
      <c r="UYC6"/>
      <c r="UYD6"/>
      <c r="UYE6"/>
      <c r="UYF6"/>
      <c r="UYG6"/>
      <c r="UYH6"/>
      <c r="UYI6"/>
      <c r="UYJ6"/>
      <c r="UYK6"/>
      <c r="UYL6"/>
      <c r="UYM6"/>
      <c r="UYN6"/>
      <c r="UYO6"/>
      <c r="UYP6"/>
      <c r="UYQ6"/>
      <c r="UYR6"/>
      <c r="UYS6"/>
      <c r="UYT6"/>
      <c r="UYU6"/>
      <c r="UYV6"/>
      <c r="UYW6"/>
      <c r="UYX6"/>
      <c r="UYY6"/>
      <c r="UYZ6"/>
      <c r="UZA6"/>
      <c r="UZB6"/>
      <c r="UZC6"/>
      <c r="UZD6"/>
      <c r="UZE6"/>
      <c r="UZF6"/>
      <c r="UZG6"/>
      <c r="UZH6"/>
      <c r="UZI6"/>
      <c r="UZJ6"/>
      <c r="UZK6"/>
      <c r="UZL6"/>
      <c r="UZM6"/>
      <c r="UZN6"/>
      <c r="UZO6"/>
      <c r="UZP6"/>
      <c r="UZQ6"/>
      <c r="UZR6"/>
      <c r="UZS6"/>
      <c r="UZT6"/>
      <c r="UZU6"/>
      <c r="UZV6"/>
      <c r="UZW6"/>
      <c r="UZX6"/>
      <c r="UZY6"/>
      <c r="UZZ6"/>
      <c r="VAA6"/>
      <c r="VAB6"/>
      <c r="VAC6"/>
      <c r="VAD6"/>
      <c r="VAE6"/>
      <c r="VAF6"/>
      <c r="VAG6"/>
      <c r="VAH6"/>
      <c r="VAI6"/>
      <c r="VAJ6"/>
      <c r="VAK6"/>
      <c r="VAL6"/>
      <c r="VAM6"/>
      <c r="VAN6"/>
      <c r="VAO6"/>
      <c r="VAP6"/>
      <c r="VAQ6"/>
      <c r="VAR6"/>
      <c r="VAS6"/>
      <c r="VAT6"/>
      <c r="VAU6"/>
      <c r="VAV6"/>
      <c r="VAW6"/>
      <c r="VAX6"/>
      <c r="VAY6"/>
      <c r="VAZ6"/>
      <c r="VBA6"/>
      <c r="VBB6"/>
      <c r="VBC6"/>
      <c r="VBD6"/>
      <c r="VBE6"/>
      <c r="VBF6"/>
      <c r="VBG6"/>
      <c r="VBH6"/>
      <c r="VBI6"/>
      <c r="VBJ6"/>
      <c r="VBK6"/>
      <c r="VBL6"/>
      <c r="VBM6"/>
      <c r="VBN6"/>
      <c r="VBO6"/>
      <c r="VBP6"/>
      <c r="VBQ6"/>
      <c r="VBR6"/>
      <c r="VBS6"/>
      <c r="VBT6"/>
      <c r="VBU6"/>
      <c r="VBV6"/>
      <c r="VBW6"/>
      <c r="VBX6"/>
      <c r="VBY6"/>
      <c r="VBZ6"/>
      <c r="VCA6"/>
      <c r="VCB6"/>
      <c r="VCC6"/>
      <c r="VCD6"/>
      <c r="VCE6"/>
      <c r="VCF6"/>
      <c r="VCG6"/>
      <c r="VCH6"/>
      <c r="VCI6"/>
      <c r="VCJ6"/>
      <c r="VCK6"/>
      <c r="VCL6"/>
      <c r="VCM6"/>
      <c r="VCN6"/>
      <c r="VCO6"/>
      <c r="VCP6"/>
      <c r="VCQ6"/>
      <c r="VCR6"/>
      <c r="VCS6"/>
      <c r="VCT6"/>
      <c r="VCU6"/>
      <c r="VCV6"/>
      <c r="VCW6"/>
      <c r="VCX6"/>
      <c r="VCY6"/>
      <c r="VCZ6"/>
      <c r="VDA6"/>
      <c r="VDB6"/>
      <c r="VDC6"/>
      <c r="VDD6"/>
      <c r="VDE6"/>
      <c r="VDF6"/>
      <c r="VDG6"/>
      <c r="VDH6"/>
      <c r="VDI6"/>
      <c r="VDJ6"/>
      <c r="VDK6"/>
      <c r="VDL6"/>
      <c r="VDM6"/>
      <c r="VDN6"/>
      <c r="VDO6"/>
      <c r="VDP6"/>
      <c r="VDQ6"/>
      <c r="VDR6"/>
      <c r="VDS6"/>
      <c r="VDT6"/>
      <c r="VDU6"/>
      <c r="VDV6"/>
      <c r="VDW6"/>
      <c r="VDX6"/>
      <c r="VDY6"/>
      <c r="VDZ6"/>
      <c r="VEA6"/>
      <c r="VEB6"/>
      <c r="VEC6"/>
      <c r="VED6"/>
      <c r="VEE6"/>
      <c r="VEF6"/>
      <c r="VEG6"/>
      <c r="VEH6"/>
      <c r="VEI6"/>
      <c r="VEJ6"/>
      <c r="VEK6"/>
      <c r="VEL6"/>
      <c r="VEM6"/>
      <c r="VEN6"/>
      <c r="VEO6"/>
      <c r="VEP6"/>
      <c r="VEQ6"/>
      <c r="VER6"/>
      <c r="VES6"/>
      <c r="VET6"/>
      <c r="VEU6"/>
      <c r="VEV6"/>
      <c r="VEW6"/>
      <c r="VEX6"/>
      <c r="VEY6"/>
      <c r="VEZ6"/>
      <c r="VFA6"/>
      <c r="VFB6"/>
      <c r="VFC6"/>
      <c r="VFD6"/>
      <c r="VFE6"/>
      <c r="VFF6"/>
      <c r="VFG6"/>
      <c r="VFH6"/>
      <c r="VFI6"/>
      <c r="VFJ6"/>
      <c r="VFK6"/>
      <c r="VFL6"/>
      <c r="VFM6"/>
      <c r="VFN6"/>
      <c r="VFO6"/>
      <c r="VFP6"/>
      <c r="VFQ6"/>
      <c r="VFR6"/>
      <c r="VFS6"/>
      <c r="VFT6"/>
      <c r="VFU6"/>
      <c r="VFV6"/>
      <c r="VFW6"/>
      <c r="VFX6"/>
      <c r="VFY6"/>
      <c r="VFZ6"/>
      <c r="VGA6"/>
      <c r="VGB6"/>
      <c r="VGC6"/>
      <c r="VGD6"/>
      <c r="VGE6"/>
      <c r="VGF6"/>
      <c r="VGG6"/>
      <c r="VGH6"/>
      <c r="VGI6"/>
      <c r="VGJ6"/>
      <c r="VGK6"/>
      <c r="VGL6"/>
      <c r="VGM6"/>
      <c r="VGN6"/>
      <c r="VGO6"/>
      <c r="VGP6"/>
      <c r="VGQ6"/>
      <c r="VGR6"/>
      <c r="VGS6"/>
      <c r="VGT6"/>
      <c r="VGU6"/>
      <c r="VGV6"/>
      <c r="VGW6"/>
      <c r="VGX6"/>
      <c r="VGY6"/>
      <c r="VGZ6"/>
      <c r="VHA6"/>
      <c r="VHB6"/>
      <c r="VHC6"/>
      <c r="VHD6"/>
      <c r="VHE6"/>
      <c r="VHF6"/>
      <c r="VHG6"/>
      <c r="VHH6"/>
      <c r="VHI6"/>
      <c r="VHJ6"/>
      <c r="VHK6"/>
      <c r="VHL6"/>
      <c r="VHM6"/>
      <c r="VHN6"/>
      <c r="VHO6"/>
      <c r="VHP6"/>
      <c r="VHQ6"/>
      <c r="VHR6"/>
      <c r="VHS6"/>
      <c r="VHT6"/>
      <c r="VHU6"/>
      <c r="VHV6"/>
      <c r="VHW6"/>
      <c r="VHX6"/>
      <c r="VHY6"/>
      <c r="VHZ6"/>
      <c r="VIA6"/>
      <c r="VIB6"/>
      <c r="VIC6"/>
      <c r="VID6"/>
      <c r="VIE6"/>
      <c r="VIF6"/>
      <c r="VIG6"/>
      <c r="VIH6"/>
      <c r="VII6"/>
      <c r="VIJ6"/>
      <c r="VIK6"/>
      <c r="VIL6"/>
      <c r="VIM6"/>
      <c r="VIN6"/>
      <c r="VIO6"/>
      <c r="VIP6"/>
      <c r="VIQ6"/>
      <c r="VIR6"/>
      <c r="VIS6"/>
      <c r="VIT6"/>
      <c r="VIU6"/>
      <c r="VIV6"/>
      <c r="VIW6"/>
      <c r="VIX6"/>
      <c r="VIY6"/>
      <c r="VIZ6"/>
      <c r="VJA6"/>
      <c r="VJB6"/>
      <c r="VJC6"/>
      <c r="VJD6"/>
      <c r="VJE6"/>
      <c r="VJF6"/>
      <c r="VJG6"/>
      <c r="VJH6"/>
      <c r="VJI6"/>
      <c r="VJJ6"/>
      <c r="VJK6"/>
      <c r="VJL6"/>
      <c r="VJM6"/>
      <c r="VJN6"/>
      <c r="VJO6"/>
      <c r="VJP6"/>
      <c r="VJQ6"/>
      <c r="VJR6"/>
      <c r="VJS6"/>
      <c r="VJT6"/>
      <c r="VJU6"/>
      <c r="VJV6"/>
      <c r="VJW6"/>
      <c r="VJX6"/>
      <c r="VJY6"/>
      <c r="VJZ6"/>
      <c r="VKA6"/>
      <c r="VKB6"/>
      <c r="VKC6"/>
      <c r="VKD6"/>
      <c r="VKE6"/>
      <c r="VKF6"/>
      <c r="VKG6"/>
      <c r="VKH6"/>
      <c r="VKI6"/>
      <c r="VKJ6"/>
      <c r="VKK6"/>
      <c r="VKL6"/>
      <c r="VKM6"/>
      <c r="VKN6"/>
      <c r="VKO6"/>
      <c r="VKP6"/>
      <c r="VKQ6"/>
      <c r="VKR6"/>
      <c r="VKS6"/>
      <c r="VKT6"/>
      <c r="VKU6"/>
      <c r="VKV6"/>
      <c r="VKW6"/>
      <c r="VKX6"/>
      <c r="VKY6"/>
      <c r="VKZ6"/>
      <c r="VLA6"/>
      <c r="VLB6"/>
      <c r="VLC6"/>
      <c r="VLD6"/>
      <c r="VLE6"/>
      <c r="VLF6"/>
      <c r="VLG6"/>
      <c r="VLH6"/>
      <c r="VLI6"/>
      <c r="VLJ6"/>
      <c r="VLK6"/>
      <c r="VLL6"/>
      <c r="VLM6"/>
      <c r="VLN6"/>
      <c r="VLO6"/>
      <c r="VLP6"/>
      <c r="VLQ6"/>
      <c r="VLR6"/>
      <c r="VLS6"/>
      <c r="VLT6"/>
      <c r="VLU6"/>
      <c r="VLV6"/>
      <c r="VLW6"/>
      <c r="VLX6"/>
      <c r="VLY6"/>
      <c r="VLZ6"/>
      <c r="VMA6"/>
      <c r="VMB6"/>
      <c r="VMC6"/>
      <c r="VMD6"/>
      <c r="VME6"/>
      <c r="VMF6"/>
      <c r="VMG6"/>
      <c r="VMH6"/>
      <c r="VMI6"/>
      <c r="VMJ6"/>
      <c r="VMK6"/>
      <c r="VML6"/>
      <c r="VMM6"/>
      <c r="VMN6"/>
      <c r="VMO6"/>
      <c r="VMP6"/>
      <c r="VMQ6"/>
      <c r="VMR6"/>
      <c r="VMS6"/>
      <c r="VMT6"/>
      <c r="VMU6"/>
      <c r="VMV6"/>
      <c r="VMW6"/>
      <c r="VMX6"/>
      <c r="VMY6"/>
      <c r="VMZ6"/>
      <c r="VNA6"/>
      <c r="VNB6"/>
      <c r="VNC6"/>
      <c r="VND6"/>
      <c r="VNE6"/>
      <c r="VNF6"/>
      <c r="VNG6"/>
      <c r="VNH6"/>
      <c r="VNI6"/>
      <c r="VNJ6"/>
      <c r="VNK6"/>
      <c r="VNL6"/>
      <c r="VNM6"/>
      <c r="VNN6"/>
      <c r="VNO6"/>
      <c r="VNP6"/>
      <c r="VNQ6"/>
      <c r="VNR6"/>
      <c r="VNS6"/>
      <c r="VNT6"/>
      <c r="VNU6"/>
      <c r="VNV6"/>
      <c r="VNW6"/>
      <c r="VNX6"/>
      <c r="VNY6"/>
      <c r="VNZ6"/>
      <c r="VOA6"/>
      <c r="VOB6"/>
      <c r="VOC6"/>
      <c r="VOD6"/>
      <c r="VOE6"/>
      <c r="VOF6"/>
      <c r="VOG6"/>
      <c r="VOH6"/>
      <c r="VOI6"/>
      <c r="VOJ6"/>
      <c r="VOK6"/>
      <c r="VOL6"/>
      <c r="VOM6"/>
      <c r="VON6"/>
      <c r="VOO6"/>
      <c r="VOP6"/>
      <c r="VOQ6"/>
      <c r="VOR6"/>
      <c r="VOS6"/>
      <c r="VOT6"/>
      <c r="VOU6"/>
      <c r="VOV6"/>
      <c r="VOW6"/>
      <c r="VOX6"/>
      <c r="VOY6"/>
      <c r="VOZ6"/>
      <c r="VPA6"/>
      <c r="VPB6"/>
      <c r="VPC6"/>
      <c r="VPD6"/>
      <c r="VPE6"/>
      <c r="VPF6"/>
      <c r="VPG6"/>
      <c r="VPH6"/>
      <c r="VPI6"/>
      <c r="VPJ6"/>
      <c r="VPK6"/>
      <c r="VPL6"/>
      <c r="VPM6"/>
      <c r="VPN6"/>
      <c r="VPO6"/>
      <c r="VPP6"/>
      <c r="VPQ6"/>
      <c r="VPR6"/>
      <c r="VPS6"/>
      <c r="VPT6"/>
      <c r="VPU6"/>
      <c r="VPV6"/>
      <c r="VPW6"/>
      <c r="VPX6"/>
      <c r="VPY6"/>
      <c r="VPZ6"/>
      <c r="VQA6"/>
      <c r="VQB6"/>
      <c r="VQC6"/>
      <c r="VQD6"/>
      <c r="VQE6"/>
      <c r="VQF6"/>
      <c r="VQG6"/>
      <c r="VQH6"/>
      <c r="VQI6"/>
      <c r="VQJ6"/>
      <c r="VQK6"/>
      <c r="VQL6"/>
      <c r="VQM6"/>
      <c r="VQN6"/>
      <c r="VQO6"/>
      <c r="VQP6"/>
      <c r="VQQ6"/>
      <c r="VQR6"/>
      <c r="VQS6"/>
      <c r="VQT6"/>
      <c r="VQU6"/>
      <c r="VQV6"/>
      <c r="VQW6"/>
      <c r="VQX6"/>
      <c r="VQY6"/>
      <c r="VQZ6"/>
      <c r="VRA6"/>
      <c r="VRB6"/>
      <c r="VRC6"/>
      <c r="VRD6"/>
      <c r="VRE6"/>
      <c r="VRF6"/>
      <c r="VRG6"/>
      <c r="VRH6"/>
      <c r="VRI6"/>
      <c r="VRJ6"/>
      <c r="VRK6"/>
      <c r="VRL6"/>
      <c r="VRM6"/>
      <c r="VRN6"/>
      <c r="VRO6"/>
      <c r="VRP6"/>
      <c r="VRQ6"/>
      <c r="VRR6"/>
      <c r="VRS6"/>
      <c r="VRT6"/>
      <c r="VRU6"/>
      <c r="VRV6"/>
      <c r="VRW6"/>
      <c r="VRX6"/>
      <c r="VRY6"/>
      <c r="VRZ6"/>
      <c r="VSA6"/>
      <c r="VSB6"/>
      <c r="VSC6"/>
      <c r="VSD6"/>
      <c r="VSE6"/>
      <c r="VSF6"/>
      <c r="VSG6"/>
      <c r="VSH6"/>
      <c r="VSI6"/>
      <c r="VSJ6"/>
      <c r="VSK6"/>
      <c r="VSL6"/>
      <c r="VSM6"/>
      <c r="VSN6"/>
      <c r="VSO6"/>
      <c r="VSP6"/>
      <c r="VSQ6"/>
      <c r="VSR6"/>
      <c r="VSS6"/>
      <c r="VST6"/>
      <c r="VSU6"/>
      <c r="VSV6"/>
      <c r="VSW6"/>
      <c r="VSX6"/>
      <c r="VSY6"/>
      <c r="VSZ6"/>
      <c r="VTA6"/>
      <c r="VTB6"/>
      <c r="VTC6"/>
      <c r="VTD6"/>
      <c r="VTE6"/>
      <c r="VTF6"/>
      <c r="VTG6"/>
      <c r="VTH6"/>
      <c r="VTI6"/>
      <c r="VTJ6"/>
      <c r="VTK6"/>
      <c r="VTL6"/>
      <c r="VTM6"/>
      <c r="VTN6"/>
      <c r="VTO6"/>
      <c r="VTP6"/>
      <c r="VTQ6"/>
      <c r="VTR6"/>
      <c r="VTS6"/>
      <c r="VTT6"/>
      <c r="VTU6"/>
      <c r="VTV6"/>
      <c r="VTW6"/>
      <c r="VTX6"/>
      <c r="VTY6"/>
      <c r="VTZ6"/>
      <c r="VUA6"/>
      <c r="VUB6"/>
      <c r="VUC6"/>
      <c r="VUD6"/>
      <c r="VUE6"/>
      <c r="VUF6"/>
      <c r="VUG6"/>
      <c r="VUH6"/>
      <c r="VUI6"/>
      <c r="VUJ6"/>
      <c r="VUK6"/>
      <c r="VUL6"/>
      <c r="VUM6"/>
      <c r="VUN6"/>
      <c r="VUO6"/>
      <c r="VUP6"/>
      <c r="VUQ6"/>
      <c r="VUR6"/>
      <c r="VUS6"/>
      <c r="VUT6"/>
      <c r="VUU6"/>
      <c r="VUV6"/>
      <c r="VUW6"/>
      <c r="VUX6"/>
      <c r="VUY6"/>
      <c r="VUZ6"/>
      <c r="VVA6"/>
      <c r="VVB6"/>
      <c r="VVC6"/>
      <c r="VVD6"/>
      <c r="VVE6"/>
      <c r="VVF6"/>
      <c r="VVG6"/>
      <c r="VVH6"/>
      <c r="VVI6"/>
      <c r="VVJ6"/>
      <c r="VVK6"/>
      <c r="VVL6"/>
      <c r="VVM6"/>
      <c r="VVN6"/>
      <c r="VVO6"/>
      <c r="VVP6"/>
      <c r="VVQ6"/>
      <c r="VVR6"/>
      <c r="VVS6"/>
      <c r="VVT6"/>
      <c r="VVU6"/>
      <c r="VVV6"/>
      <c r="VVW6"/>
      <c r="VVX6"/>
      <c r="VVY6"/>
      <c r="VVZ6"/>
      <c r="VWA6"/>
      <c r="VWB6"/>
      <c r="VWC6"/>
      <c r="VWD6"/>
      <c r="VWE6"/>
      <c r="VWF6"/>
      <c r="VWG6"/>
      <c r="VWH6"/>
      <c r="VWI6"/>
      <c r="VWJ6"/>
      <c r="VWK6"/>
      <c r="VWL6"/>
      <c r="VWM6"/>
      <c r="VWN6"/>
      <c r="VWO6"/>
      <c r="VWP6"/>
      <c r="VWQ6"/>
      <c r="VWR6"/>
      <c r="VWS6"/>
      <c r="VWT6"/>
      <c r="VWU6"/>
      <c r="VWV6"/>
      <c r="VWW6"/>
      <c r="VWX6"/>
      <c r="VWY6"/>
      <c r="VWZ6"/>
      <c r="VXA6"/>
      <c r="VXB6"/>
      <c r="VXC6"/>
      <c r="VXD6"/>
      <c r="VXE6"/>
      <c r="VXF6"/>
      <c r="VXG6"/>
      <c r="VXH6"/>
      <c r="VXI6"/>
      <c r="VXJ6"/>
      <c r="VXK6"/>
      <c r="VXL6"/>
      <c r="VXM6"/>
      <c r="VXN6"/>
      <c r="VXO6"/>
      <c r="VXP6"/>
      <c r="VXQ6"/>
      <c r="VXR6"/>
      <c r="VXS6"/>
      <c r="VXT6"/>
      <c r="VXU6"/>
      <c r="VXV6"/>
      <c r="VXW6"/>
      <c r="VXX6"/>
      <c r="VXY6"/>
      <c r="VXZ6"/>
      <c r="VYA6"/>
      <c r="VYB6"/>
      <c r="VYC6"/>
      <c r="VYD6"/>
      <c r="VYE6"/>
      <c r="VYF6"/>
      <c r="VYG6"/>
      <c r="VYH6"/>
      <c r="VYI6"/>
      <c r="VYJ6"/>
      <c r="VYK6"/>
      <c r="VYL6"/>
      <c r="VYM6"/>
      <c r="VYN6"/>
      <c r="VYO6"/>
      <c r="VYP6"/>
      <c r="VYQ6"/>
      <c r="VYR6"/>
      <c r="VYS6"/>
      <c r="VYT6"/>
      <c r="VYU6"/>
      <c r="VYV6"/>
      <c r="VYW6"/>
      <c r="VYX6"/>
      <c r="VYY6"/>
      <c r="VYZ6"/>
      <c r="VZA6"/>
      <c r="VZB6"/>
      <c r="VZC6"/>
      <c r="VZD6"/>
      <c r="VZE6"/>
      <c r="VZF6"/>
      <c r="VZG6"/>
      <c r="VZH6"/>
      <c r="VZI6"/>
      <c r="VZJ6"/>
      <c r="VZK6"/>
      <c r="VZL6"/>
      <c r="VZM6"/>
      <c r="VZN6"/>
      <c r="VZO6"/>
      <c r="VZP6"/>
      <c r="VZQ6"/>
      <c r="VZR6"/>
      <c r="VZS6"/>
      <c r="VZT6"/>
      <c r="VZU6"/>
      <c r="VZV6"/>
      <c r="VZW6"/>
      <c r="VZX6"/>
      <c r="VZY6"/>
      <c r="VZZ6"/>
      <c r="WAA6"/>
      <c r="WAB6"/>
      <c r="WAC6"/>
      <c r="WAD6"/>
      <c r="WAE6"/>
      <c r="WAF6"/>
      <c r="WAG6"/>
      <c r="WAH6"/>
      <c r="WAI6"/>
      <c r="WAJ6"/>
      <c r="WAK6"/>
      <c r="WAL6"/>
      <c r="WAM6"/>
      <c r="WAN6"/>
      <c r="WAO6"/>
      <c r="WAP6"/>
      <c r="WAQ6"/>
      <c r="WAR6"/>
      <c r="WAS6"/>
      <c r="WAT6"/>
      <c r="WAU6"/>
      <c r="WAV6"/>
      <c r="WAW6"/>
      <c r="WAX6"/>
      <c r="WAY6"/>
      <c r="WAZ6"/>
      <c r="WBA6"/>
      <c r="WBB6"/>
      <c r="WBC6"/>
      <c r="WBD6"/>
      <c r="WBE6"/>
      <c r="WBF6"/>
      <c r="WBG6"/>
      <c r="WBH6"/>
      <c r="WBI6"/>
      <c r="WBJ6"/>
      <c r="WBK6"/>
      <c r="WBL6"/>
      <c r="WBM6"/>
      <c r="WBN6"/>
      <c r="WBO6"/>
      <c r="WBP6"/>
      <c r="WBQ6"/>
      <c r="WBR6"/>
      <c r="WBS6"/>
      <c r="WBT6"/>
      <c r="WBU6"/>
      <c r="WBV6"/>
      <c r="WBW6"/>
      <c r="WBX6"/>
      <c r="WBY6"/>
      <c r="WBZ6"/>
      <c r="WCA6"/>
      <c r="WCB6"/>
      <c r="WCC6"/>
      <c r="WCD6"/>
      <c r="WCE6"/>
      <c r="WCF6"/>
      <c r="WCG6"/>
      <c r="WCH6"/>
      <c r="WCI6"/>
      <c r="WCJ6"/>
      <c r="WCK6"/>
      <c r="WCL6"/>
      <c r="WCM6"/>
      <c r="WCN6"/>
      <c r="WCO6"/>
      <c r="WCP6"/>
      <c r="WCQ6"/>
      <c r="WCR6"/>
      <c r="WCS6"/>
      <c r="WCT6"/>
      <c r="WCU6"/>
      <c r="WCV6"/>
      <c r="WCW6"/>
      <c r="WCX6"/>
      <c r="WCY6"/>
      <c r="WCZ6"/>
      <c r="WDA6"/>
      <c r="WDB6"/>
      <c r="WDC6"/>
      <c r="WDD6"/>
      <c r="WDE6"/>
      <c r="WDF6"/>
      <c r="WDG6"/>
      <c r="WDH6"/>
      <c r="WDI6"/>
      <c r="WDJ6"/>
      <c r="WDK6"/>
      <c r="WDL6"/>
      <c r="WDM6"/>
      <c r="WDN6"/>
      <c r="WDO6"/>
      <c r="WDP6"/>
      <c r="WDQ6"/>
      <c r="WDR6"/>
      <c r="WDS6"/>
      <c r="WDT6"/>
      <c r="WDU6"/>
      <c r="WDV6"/>
      <c r="WDW6"/>
      <c r="WDX6"/>
      <c r="WDY6"/>
      <c r="WDZ6"/>
      <c r="WEA6"/>
      <c r="WEB6"/>
      <c r="WEC6"/>
      <c r="WED6"/>
      <c r="WEE6"/>
      <c r="WEF6"/>
      <c r="WEG6"/>
      <c r="WEH6"/>
      <c r="WEI6"/>
      <c r="WEJ6"/>
      <c r="WEK6"/>
      <c r="WEL6"/>
      <c r="WEM6"/>
      <c r="WEN6"/>
      <c r="WEO6"/>
      <c r="WEP6"/>
      <c r="WEQ6"/>
      <c r="WER6"/>
      <c r="WES6"/>
      <c r="WET6"/>
      <c r="WEU6"/>
      <c r="WEV6"/>
      <c r="WEW6"/>
      <c r="WEX6"/>
      <c r="WEY6"/>
      <c r="WEZ6"/>
      <c r="WFA6"/>
      <c r="WFB6"/>
      <c r="WFC6"/>
      <c r="WFD6"/>
      <c r="WFE6"/>
      <c r="WFF6"/>
      <c r="WFG6"/>
      <c r="WFH6"/>
      <c r="WFI6"/>
      <c r="WFJ6"/>
      <c r="WFK6"/>
      <c r="WFL6"/>
      <c r="WFM6"/>
      <c r="WFN6"/>
      <c r="WFO6"/>
      <c r="WFP6"/>
      <c r="WFQ6"/>
      <c r="WFR6"/>
      <c r="WFS6"/>
      <c r="WFT6"/>
      <c r="WFU6"/>
      <c r="WFV6"/>
      <c r="WFW6"/>
      <c r="WFX6"/>
      <c r="WFY6"/>
      <c r="WFZ6"/>
      <c r="WGA6"/>
      <c r="WGB6"/>
      <c r="WGC6"/>
      <c r="WGD6"/>
      <c r="WGE6"/>
      <c r="WGF6"/>
      <c r="WGG6"/>
      <c r="WGH6"/>
      <c r="WGI6"/>
      <c r="WGJ6"/>
      <c r="WGK6"/>
      <c r="WGL6"/>
      <c r="WGM6"/>
      <c r="WGN6"/>
      <c r="WGO6"/>
      <c r="WGP6"/>
      <c r="WGQ6"/>
      <c r="WGR6"/>
      <c r="WGS6"/>
      <c r="WGT6"/>
      <c r="WGU6"/>
      <c r="WGV6"/>
      <c r="WGW6"/>
      <c r="WGX6"/>
      <c r="WGY6"/>
      <c r="WGZ6"/>
      <c r="WHA6"/>
      <c r="WHB6"/>
      <c r="WHC6"/>
      <c r="WHD6"/>
      <c r="WHE6"/>
      <c r="WHF6"/>
      <c r="WHG6"/>
      <c r="WHH6"/>
      <c r="WHI6"/>
      <c r="WHJ6"/>
      <c r="WHK6"/>
      <c r="WHL6"/>
      <c r="WHM6"/>
      <c r="WHN6"/>
      <c r="WHO6"/>
      <c r="WHP6"/>
      <c r="WHQ6"/>
      <c r="WHR6"/>
      <c r="WHS6"/>
      <c r="WHT6"/>
      <c r="WHU6"/>
      <c r="WHV6"/>
      <c r="WHW6"/>
      <c r="WHX6"/>
      <c r="WHY6"/>
      <c r="WHZ6"/>
      <c r="WIA6"/>
      <c r="WIB6"/>
      <c r="WIC6"/>
      <c r="WID6"/>
      <c r="WIE6"/>
      <c r="WIF6"/>
      <c r="WIG6"/>
      <c r="WIH6"/>
      <c r="WII6"/>
      <c r="WIJ6"/>
      <c r="WIK6"/>
      <c r="WIL6"/>
      <c r="WIM6"/>
      <c r="WIN6"/>
      <c r="WIO6"/>
      <c r="WIP6"/>
      <c r="WIQ6"/>
      <c r="WIR6"/>
      <c r="WIS6"/>
      <c r="WIT6"/>
      <c r="WIU6"/>
      <c r="WIV6"/>
      <c r="WIW6"/>
      <c r="WIX6"/>
      <c r="WIY6"/>
      <c r="WIZ6"/>
      <c r="WJA6"/>
      <c r="WJB6"/>
      <c r="WJC6"/>
      <c r="WJD6"/>
      <c r="WJE6"/>
      <c r="WJF6"/>
      <c r="WJG6"/>
      <c r="WJH6"/>
      <c r="WJI6"/>
      <c r="WJJ6"/>
      <c r="WJK6"/>
      <c r="WJL6"/>
      <c r="WJM6"/>
      <c r="WJN6"/>
      <c r="WJO6"/>
      <c r="WJP6"/>
      <c r="WJQ6"/>
      <c r="WJR6"/>
      <c r="WJS6"/>
      <c r="WJT6"/>
      <c r="WJU6"/>
      <c r="WJV6"/>
      <c r="WJW6"/>
      <c r="WJX6"/>
      <c r="WJY6"/>
      <c r="WJZ6"/>
      <c r="WKA6"/>
      <c r="WKB6"/>
      <c r="WKC6"/>
      <c r="WKD6"/>
      <c r="WKE6"/>
      <c r="WKF6"/>
      <c r="WKG6"/>
      <c r="WKH6"/>
      <c r="WKI6"/>
      <c r="WKJ6"/>
      <c r="WKK6"/>
      <c r="WKL6"/>
      <c r="WKM6"/>
      <c r="WKN6"/>
      <c r="WKO6"/>
      <c r="WKP6"/>
      <c r="WKQ6"/>
      <c r="WKR6"/>
      <c r="WKS6"/>
      <c r="WKT6"/>
      <c r="WKU6"/>
      <c r="WKV6"/>
      <c r="WKW6"/>
      <c r="WKX6"/>
      <c r="WKY6"/>
      <c r="WKZ6"/>
      <c r="WLA6"/>
      <c r="WLB6"/>
      <c r="WLC6"/>
      <c r="WLD6"/>
      <c r="WLE6"/>
      <c r="WLF6"/>
      <c r="WLG6"/>
      <c r="WLH6"/>
      <c r="WLI6"/>
      <c r="WLJ6"/>
      <c r="WLK6"/>
      <c r="WLL6"/>
      <c r="WLM6"/>
      <c r="WLN6"/>
      <c r="WLO6"/>
      <c r="WLP6"/>
      <c r="WLQ6"/>
      <c r="WLR6"/>
      <c r="WLS6"/>
      <c r="WLT6"/>
      <c r="WLU6"/>
      <c r="WLV6"/>
      <c r="WLW6"/>
      <c r="WLX6"/>
      <c r="WLY6"/>
      <c r="WLZ6"/>
      <c r="WMA6"/>
      <c r="WMB6"/>
      <c r="WMC6"/>
      <c r="WMD6"/>
      <c r="WME6"/>
      <c r="WMF6"/>
      <c r="WMG6"/>
      <c r="WMH6"/>
      <c r="WMI6"/>
      <c r="WMJ6"/>
      <c r="WMK6"/>
      <c r="WML6"/>
      <c r="WMM6"/>
      <c r="WMN6"/>
      <c r="WMO6"/>
      <c r="WMP6"/>
      <c r="WMQ6"/>
      <c r="WMR6"/>
      <c r="WMS6"/>
      <c r="WMT6"/>
      <c r="WMU6"/>
      <c r="WMV6"/>
      <c r="WMW6"/>
      <c r="WMX6"/>
      <c r="WMY6"/>
      <c r="WMZ6"/>
      <c r="WNA6"/>
      <c r="WNB6"/>
      <c r="WNC6"/>
      <c r="WND6"/>
      <c r="WNE6"/>
      <c r="WNF6"/>
      <c r="WNG6"/>
      <c r="WNH6"/>
      <c r="WNI6"/>
      <c r="WNJ6"/>
      <c r="WNK6"/>
      <c r="WNL6"/>
      <c r="WNM6"/>
      <c r="WNN6"/>
      <c r="WNO6"/>
      <c r="WNP6"/>
      <c r="WNQ6"/>
      <c r="WNR6"/>
      <c r="WNS6"/>
      <c r="WNT6"/>
      <c r="WNU6"/>
      <c r="WNV6"/>
      <c r="WNW6"/>
      <c r="WNX6"/>
      <c r="WNY6"/>
      <c r="WNZ6"/>
      <c r="WOA6"/>
      <c r="WOB6"/>
      <c r="WOC6"/>
      <c r="WOD6"/>
      <c r="WOE6"/>
      <c r="WOF6"/>
      <c r="WOG6"/>
      <c r="WOH6"/>
      <c r="WOI6"/>
      <c r="WOJ6"/>
      <c r="WOK6"/>
      <c r="WOL6"/>
      <c r="WOM6"/>
      <c r="WON6"/>
      <c r="WOO6"/>
      <c r="WOP6"/>
      <c r="WOQ6"/>
      <c r="WOR6"/>
      <c r="WOS6"/>
      <c r="WOT6"/>
      <c r="WOU6"/>
      <c r="WOV6"/>
      <c r="WOW6"/>
      <c r="WOX6"/>
      <c r="WOY6"/>
      <c r="WOZ6"/>
      <c r="WPA6"/>
      <c r="WPB6"/>
      <c r="WPC6"/>
      <c r="WPD6"/>
      <c r="WPE6"/>
      <c r="WPF6"/>
      <c r="WPG6"/>
      <c r="WPH6"/>
      <c r="WPI6"/>
      <c r="WPJ6"/>
      <c r="WPK6"/>
      <c r="WPL6"/>
      <c r="WPM6"/>
      <c r="WPN6"/>
      <c r="WPO6"/>
      <c r="WPP6"/>
      <c r="WPQ6"/>
      <c r="WPR6"/>
      <c r="WPS6"/>
      <c r="WPT6"/>
      <c r="WPU6"/>
      <c r="WPV6"/>
      <c r="WPW6"/>
      <c r="WPX6"/>
      <c r="WPY6"/>
      <c r="WPZ6"/>
      <c r="WQA6"/>
      <c r="WQB6"/>
      <c r="WQC6"/>
      <c r="WQD6"/>
      <c r="WQE6"/>
      <c r="WQF6"/>
      <c r="WQG6"/>
      <c r="WQH6"/>
      <c r="WQI6"/>
      <c r="WQJ6"/>
      <c r="WQK6"/>
      <c r="WQL6"/>
      <c r="WQM6"/>
      <c r="WQN6"/>
      <c r="WQO6"/>
      <c r="WQP6"/>
      <c r="WQQ6"/>
      <c r="WQR6"/>
      <c r="WQS6"/>
      <c r="WQT6"/>
      <c r="WQU6"/>
      <c r="WQV6"/>
      <c r="WQW6"/>
      <c r="WQX6"/>
      <c r="WQY6"/>
      <c r="WQZ6"/>
      <c r="WRA6"/>
      <c r="WRB6"/>
      <c r="WRC6"/>
      <c r="WRD6"/>
      <c r="WRE6"/>
      <c r="WRF6"/>
      <c r="WRG6"/>
      <c r="WRH6"/>
      <c r="WRI6"/>
      <c r="WRJ6"/>
      <c r="WRK6"/>
      <c r="WRL6"/>
      <c r="WRM6"/>
      <c r="WRN6"/>
      <c r="WRO6"/>
      <c r="WRP6"/>
      <c r="WRQ6"/>
      <c r="WRR6"/>
      <c r="WRS6"/>
      <c r="WRT6"/>
      <c r="WRU6"/>
      <c r="WRV6"/>
      <c r="WRW6"/>
      <c r="WRX6"/>
      <c r="WRY6"/>
      <c r="WRZ6"/>
      <c r="WSA6"/>
      <c r="WSB6"/>
      <c r="WSC6"/>
      <c r="WSD6"/>
      <c r="WSE6"/>
      <c r="WSF6"/>
      <c r="WSG6"/>
      <c r="WSH6"/>
      <c r="WSI6"/>
      <c r="WSJ6"/>
      <c r="WSK6"/>
      <c r="WSL6"/>
      <c r="WSM6"/>
      <c r="WSN6"/>
      <c r="WSO6"/>
      <c r="WSP6"/>
      <c r="WSQ6"/>
      <c r="WSR6"/>
      <c r="WSS6"/>
      <c r="WST6"/>
      <c r="WSU6"/>
      <c r="WSV6"/>
      <c r="WSW6"/>
      <c r="WSX6"/>
      <c r="WSY6"/>
      <c r="WSZ6"/>
      <c r="WTA6"/>
      <c r="WTB6"/>
      <c r="WTC6"/>
      <c r="WTD6"/>
      <c r="WTE6"/>
      <c r="WTF6"/>
      <c r="WTG6"/>
      <c r="WTH6"/>
      <c r="WTI6"/>
      <c r="WTJ6"/>
      <c r="WTK6"/>
      <c r="WTL6"/>
      <c r="WTM6"/>
      <c r="WTN6"/>
      <c r="WTO6"/>
      <c r="WTP6"/>
      <c r="WTQ6"/>
      <c r="WTR6"/>
      <c r="WTS6"/>
      <c r="WTT6"/>
      <c r="WTU6"/>
      <c r="WTV6"/>
      <c r="WTW6"/>
      <c r="WTX6"/>
      <c r="WTY6"/>
      <c r="WTZ6"/>
      <c r="WUA6"/>
      <c r="WUB6"/>
      <c r="WUC6"/>
      <c r="WUD6"/>
      <c r="WUE6"/>
      <c r="WUF6"/>
      <c r="WUG6"/>
      <c r="WUH6"/>
      <c r="WUI6"/>
      <c r="WUJ6"/>
      <c r="WUK6"/>
      <c r="WUL6"/>
      <c r="WUM6"/>
      <c r="WUN6"/>
      <c r="WUO6"/>
      <c r="WUP6"/>
      <c r="WUQ6"/>
      <c r="WUR6"/>
      <c r="WUS6"/>
      <c r="WUT6"/>
      <c r="WUU6"/>
      <c r="WUV6"/>
      <c r="WUW6"/>
      <c r="WUX6"/>
      <c r="WUY6"/>
      <c r="WUZ6"/>
      <c r="WVA6"/>
      <c r="WVB6"/>
      <c r="WVC6"/>
      <c r="WVD6"/>
      <c r="WVE6"/>
      <c r="WVF6"/>
      <c r="WVG6"/>
      <c r="WVH6"/>
      <c r="WVI6"/>
      <c r="WVJ6"/>
      <c r="WVK6"/>
      <c r="WVL6"/>
      <c r="WVM6"/>
      <c r="WVN6"/>
      <c r="WVO6"/>
      <c r="WVP6"/>
      <c r="WVQ6"/>
      <c r="WVR6"/>
      <c r="WVS6"/>
      <c r="WVT6"/>
      <c r="WVU6"/>
      <c r="WVV6"/>
      <c r="WVW6"/>
      <c r="WVX6"/>
      <c r="WVY6"/>
      <c r="WVZ6"/>
      <c r="WWA6"/>
      <c r="WWB6"/>
      <c r="WWC6"/>
      <c r="WWD6"/>
      <c r="WWE6"/>
      <c r="WWF6"/>
      <c r="WWG6"/>
      <c r="WWH6"/>
      <c r="WWI6"/>
      <c r="WWJ6"/>
      <c r="WWK6"/>
      <c r="WWL6"/>
      <c r="WWM6"/>
      <c r="WWN6"/>
      <c r="WWO6"/>
      <c r="WWP6"/>
      <c r="WWQ6"/>
      <c r="WWR6"/>
      <c r="WWS6"/>
      <c r="WWT6"/>
      <c r="WWU6"/>
      <c r="WWV6"/>
      <c r="WWW6"/>
      <c r="WWX6"/>
      <c r="WWY6"/>
      <c r="WWZ6"/>
      <c r="WXA6"/>
      <c r="WXB6"/>
      <c r="WXC6"/>
      <c r="WXD6"/>
      <c r="WXE6"/>
      <c r="WXF6"/>
      <c r="WXG6"/>
      <c r="WXH6"/>
      <c r="WXI6"/>
      <c r="WXJ6"/>
      <c r="WXK6"/>
      <c r="WXL6"/>
      <c r="WXM6"/>
      <c r="WXN6"/>
      <c r="WXO6"/>
      <c r="WXP6"/>
      <c r="WXQ6"/>
      <c r="WXR6"/>
      <c r="WXS6"/>
      <c r="WXT6"/>
      <c r="WXU6"/>
      <c r="WXV6"/>
      <c r="WXW6"/>
      <c r="WXX6"/>
      <c r="WXY6"/>
      <c r="WXZ6"/>
      <c r="WYA6"/>
      <c r="WYB6"/>
      <c r="WYC6"/>
      <c r="WYD6"/>
      <c r="WYE6"/>
      <c r="WYF6"/>
      <c r="WYG6"/>
      <c r="WYH6"/>
      <c r="WYI6"/>
      <c r="WYJ6"/>
      <c r="WYK6"/>
      <c r="WYL6"/>
      <c r="WYM6"/>
      <c r="WYN6"/>
      <c r="WYO6"/>
      <c r="WYP6"/>
      <c r="WYQ6"/>
      <c r="WYR6"/>
      <c r="WYS6"/>
      <c r="WYT6"/>
      <c r="WYU6"/>
      <c r="WYV6"/>
      <c r="WYW6"/>
      <c r="WYX6"/>
      <c r="WYY6"/>
      <c r="WYZ6"/>
      <c r="WZA6"/>
      <c r="WZB6"/>
      <c r="WZC6"/>
      <c r="WZD6"/>
      <c r="WZE6"/>
      <c r="WZF6"/>
      <c r="WZG6"/>
      <c r="WZH6"/>
      <c r="WZI6"/>
      <c r="WZJ6"/>
      <c r="WZK6"/>
      <c r="WZL6"/>
      <c r="WZM6"/>
      <c r="WZN6"/>
      <c r="WZO6"/>
      <c r="WZP6"/>
      <c r="WZQ6"/>
      <c r="WZR6"/>
      <c r="WZS6"/>
      <c r="WZT6"/>
      <c r="WZU6"/>
      <c r="WZV6"/>
      <c r="WZW6"/>
      <c r="WZX6"/>
      <c r="WZY6"/>
      <c r="WZZ6"/>
      <c r="XAA6"/>
      <c r="XAB6"/>
      <c r="XAC6"/>
      <c r="XAD6"/>
      <c r="XAE6"/>
      <c r="XAF6"/>
      <c r="XAG6"/>
      <c r="XAH6"/>
      <c r="XAI6"/>
      <c r="XAJ6"/>
      <c r="XAK6"/>
      <c r="XAL6"/>
      <c r="XAM6"/>
      <c r="XAN6"/>
      <c r="XAO6"/>
      <c r="XAP6"/>
      <c r="XAQ6"/>
      <c r="XAR6"/>
      <c r="XAS6"/>
      <c r="XAT6"/>
      <c r="XAU6"/>
      <c r="XAV6"/>
      <c r="XAW6"/>
      <c r="XAX6"/>
      <c r="XAY6"/>
      <c r="XAZ6"/>
      <c r="XBA6"/>
      <c r="XBB6"/>
      <c r="XBC6"/>
      <c r="XBD6"/>
      <c r="XBE6"/>
      <c r="XBF6"/>
      <c r="XBG6"/>
      <c r="XBH6"/>
      <c r="XBI6"/>
      <c r="XBJ6"/>
      <c r="XBK6"/>
      <c r="XBL6"/>
      <c r="XBM6"/>
      <c r="XBN6"/>
      <c r="XBO6"/>
      <c r="XBP6"/>
      <c r="XBQ6"/>
      <c r="XBR6"/>
      <c r="XBS6"/>
      <c r="XBT6"/>
      <c r="XBU6"/>
      <c r="XBV6"/>
      <c r="XBW6"/>
      <c r="XBX6"/>
      <c r="XBY6"/>
      <c r="XBZ6"/>
      <c r="XCA6"/>
      <c r="XCB6"/>
      <c r="XCC6"/>
      <c r="XCD6"/>
      <c r="XCE6"/>
      <c r="XCF6"/>
      <c r="XCG6"/>
      <c r="XCH6"/>
      <c r="XCI6"/>
      <c r="XCJ6"/>
      <c r="XCK6"/>
      <c r="XCL6"/>
      <c r="XCM6"/>
      <c r="XCN6"/>
      <c r="XCO6"/>
      <c r="XCP6"/>
      <c r="XCQ6"/>
      <c r="XCR6"/>
      <c r="XCS6"/>
      <c r="XCT6"/>
      <c r="XCU6"/>
      <c r="XCV6"/>
      <c r="XCW6"/>
      <c r="XCX6"/>
      <c r="XCY6"/>
      <c r="XCZ6"/>
      <c r="XDA6"/>
      <c r="XDB6"/>
      <c r="XDC6"/>
      <c r="XDD6"/>
      <c r="XDE6"/>
      <c r="XDF6"/>
      <c r="XDG6"/>
      <c r="XDH6"/>
      <c r="XDI6"/>
      <c r="XDJ6"/>
      <c r="XDK6"/>
      <c r="XDL6"/>
      <c r="XDM6"/>
      <c r="XDN6"/>
      <c r="XDO6"/>
      <c r="XDP6"/>
      <c r="XDQ6"/>
      <c r="XDR6"/>
      <c r="XDS6"/>
      <c r="XDT6"/>
      <c r="XDU6"/>
      <c r="XDV6"/>
      <c r="XDW6"/>
      <c r="XDX6"/>
      <c r="XDY6"/>
      <c r="XDZ6"/>
      <c r="XEA6"/>
      <c r="XEB6"/>
      <c r="XEC6"/>
      <c r="XED6"/>
      <c r="XEE6"/>
      <c r="XEF6"/>
      <c r="XEG6"/>
      <c r="XEH6"/>
      <c r="XEI6"/>
      <c r="XEJ6"/>
      <c r="XEK6"/>
      <c r="XEL6"/>
      <c r="XEM6"/>
      <c r="XEN6"/>
      <c r="XEO6"/>
      <c r="XEP6"/>
      <c r="XEQ6"/>
      <c r="XER6"/>
      <c r="XES6"/>
      <c r="XET6"/>
      <c r="XEU6"/>
      <c r="XEV6"/>
      <c r="XEW6"/>
      <c r="XEX6"/>
      <c r="XEY6"/>
      <c r="XEZ6"/>
      <c r="XFA6"/>
      <c r="XFB6"/>
      <c r="XFC6"/>
      <c r="XFD6"/>
    </row>
    <row r="7" spans="1:16384" s="40" customFormat="1" ht="15" customHeight="1" x14ac:dyDescent="0.25">
      <c r="A7" s="65" t="str">
        <f>'Sups'' Final Roster 0823-0829'!A7</f>
        <v>Pérez Zitzke Agustina</v>
      </c>
      <c r="B7" s="51" t="str">
        <f>'Sups'' Final Roster 0823-0829'!B7</f>
        <v>Ramallo Jose Emanuel</v>
      </c>
      <c r="C7" s="51"/>
      <c r="D7" s="51"/>
      <c r="E7" s="51"/>
      <c r="F7" s="51"/>
      <c r="G7" s="51"/>
      <c r="H7" s="51"/>
      <c r="I7" s="51"/>
      <c r="J7" s="51"/>
      <c r="K7" s="51"/>
      <c r="L7" s="51"/>
      <c r="M7" s="54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  <c r="AMK7"/>
      <c r="AML7"/>
      <c r="AMM7"/>
      <c r="AMN7"/>
      <c r="AMO7"/>
      <c r="AMP7"/>
      <c r="AMQ7"/>
      <c r="AMR7"/>
      <c r="AMS7"/>
      <c r="AMT7"/>
      <c r="AMU7"/>
      <c r="AMV7"/>
      <c r="AMW7"/>
      <c r="AMX7"/>
      <c r="AMY7"/>
      <c r="AMZ7"/>
      <c r="ANA7"/>
      <c r="ANB7"/>
      <c r="ANC7"/>
      <c r="AND7"/>
      <c r="ANE7"/>
      <c r="ANF7"/>
      <c r="ANG7"/>
      <c r="ANH7"/>
      <c r="ANI7"/>
      <c r="ANJ7"/>
      <c r="ANK7"/>
      <c r="ANL7"/>
      <c r="ANM7"/>
      <c r="ANN7"/>
      <c r="ANO7"/>
      <c r="ANP7"/>
      <c r="ANQ7"/>
      <c r="ANR7"/>
      <c r="ANS7"/>
      <c r="ANT7"/>
      <c r="ANU7"/>
      <c r="ANV7"/>
      <c r="ANW7"/>
      <c r="ANX7"/>
      <c r="ANY7"/>
      <c r="ANZ7"/>
      <c r="AOA7"/>
      <c r="AOB7"/>
      <c r="AOC7"/>
      <c r="AOD7"/>
      <c r="AOE7"/>
      <c r="AOF7"/>
      <c r="AOG7"/>
      <c r="AOH7"/>
      <c r="AOI7"/>
      <c r="AOJ7"/>
      <c r="AOK7"/>
      <c r="AOL7"/>
      <c r="AOM7"/>
      <c r="AON7"/>
      <c r="AOO7"/>
      <c r="AOP7"/>
      <c r="AOQ7"/>
      <c r="AOR7"/>
      <c r="AOS7"/>
      <c r="AOT7"/>
      <c r="AOU7"/>
      <c r="AOV7"/>
      <c r="AOW7"/>
      <c r="AOX7"/>
      <c r="AOY7"/>
      <c r="AOZ7"/>
      <c r="APA7"/>
      <c r="APB7"/>
      <c r="APC7"/>
      <c r="APD7"/>
      <c r="APE7"/>
      <c r="APF7"/>
      <c r="APG7"/>
      <c r="APH7"/>
      <c r="API7"/>
      <c r="APJ7"/>
      <c r="APK7"/>
      <c r="APL7"/>
      <c r="APM7"/>
      <c r="APN7"/>
      <c r="APO7"/>
      <c r="APP7"/>
      <c r="APQ7"/>
      <c r="APR7"/>
      <c r="APS7"/>
      <c r="APT7"/>
      <c r="APU7"/>
      <c r="APV7"/>
      <c r="APW7"/>
      <c r="APX7"/>
      <c r="APY7"/>
      <c r="APZ7"/>
      <c r="AQA7"/>
      <c r="AQB7"/>
      <c r="AQC7"/>
      <c r="AQD7"/>
      <c r="AQE7"/>
      <c r="AQF7"/>
      <c r="AQG7"/>
      <c r="AQH7"/>
      <c r="AQI7"/>
      <c r="AQJ7"/>
      <c r="AQK7"/>
      <c r="AQL7"/>
      <c r="AQM7"/>
      <c r="AQN7"/>
      <c r="AQO7"/>
      <c r="AQP7"/>
      <c r="AQQ7"/>
      <c r="AQR7"/>
      <c r="AQS7"/>
      <c r="AQT7"/>
      <c r="AQU7"/>
      <c r="AQV7"/>
      <c r="AQW7"/>
      <c r="AQX7"/>
      <c r="AQY7"/>
      <c r="AQZ7"/>
      <c r="ARA7"/>
      <c r="ARB7"/>
      <c r="ARC7"/>
      <c r="ARD7"/>
      <c r="ARE7"/>
      <c r="ARF7"/>
      <c r="ARG7"/>
      <c r="ARH7"/>
      <c r="ARI7"/>
      <c r="ARJ7"/>
      <c r="ARK7"/>
      <c r="ARL7"/>
      <c r="ARM7"/>
      <c r="ARN7"/>
      <c r="ARO7"/>
      <c r="ARP7"/>
      <c r="ARQ7"/>
      <c r="ARR7"/>
      <c r="ARS7"/>
      <c r="ART7"/>
      <c r="ARU7"/>
      <c r="ARV7"/>
      <c r="ARW7"/>
      <c r="ARX7"/>
      <c r="ARY7"/>
      <c r="ARZ7"/>
      <c r="ASA7"/>
      <c r="ASB7"/>
      <c r="ASC7"/>
      <c r="ASD7"/>
      <c r="ASE7"/>
      <c r="ASF7"/>
      <c r="ASG7"/>
      <c r="ASH7"/>
      <c r="ASI7"/>
      <c r="ASJ7"/>
      <c r="ASK7"/>
      <c r="ASL7"/>
      <c r="ASM7"/>
      <c r="ASN7"/>
      <c r="ASO7"/>
      <c r="ASP7"/>
      <c r="ASQ7"/>
      <c r="ASR7"/>
      <c r="ASS7"/>
      <c r="AST7"/>
      <c r="ASU7"/>
      <c r="ASV7"/>
      <c r="ASW7"/>
      <c r="ASX7"/>
      <c r="ASY7"/>
      <c r="ASZ7"/>
      <c r="ATA7"/>
      <c r="ATB7"/>
      <c r="ATC7"/>
      <c r="ATD7"/>
      <c r="ATE7"/>
      <c r="ATF7"/>
      <c r="ATG7"/>
      <c r="ATH7"/>
      <c r="ATI7"/>
      <c r="ATJ7"/>
      <c r="ATK7"/>
      <c r="ATL7"/>
      <c r="ATM7"/>
      <c r="ATN7"/>
      <c r="ATO7"/>
      <c r="ATP7"/>
      <c r="ATQ7"/>
      <c r="ATR7"/>
      <c r="ATS7"/>
      <c r="ATT7"/>
      <c r="ATU7"/>
      <c r="ATV7"/>
      <c r="ATW7"/>
      <c r="ATX7"/>
      <c r="ATY7"/>
      <c r="ATZ7"/>
      <c r="AUA7"/>
      <c r="AUB7"/>
      <c r="AUC7"/>
      <c r="AUD7"/>
      <c r="AUE7"/>
      <c r="AUF7"/>
      <c r="AUG7"/>
      <c r="AUH7"/>
      <c r="AUI7"/>
      <c r="AUJ7"/>
      <c r="AUK7"/>
      <c r="AUL7"/>
      <c r="AUM7"/>
      <c r="AUN7"/>
      <c r="AUO7"/>
      <c r="AUP7"/>
      <c r="AUQ7"/>
      <c r="AUR7"/>
      <c r="AUS7"/>
      <c r="AUT7"/>
      <c r="AUU7"/>
      <c r="AUV7"/>
      <c r="AUW7"/>
      <c r="AUX7"/>
      <c r="AUY7"/>
      <c r="AUZ7"/>
      <c r="AVA7"/>
      <c r="AVB7"/>
      <c r="AVC7"/>
      <c r="AVD7"/>
      <c r="AVE7"/>
      <c r="AVF7"/>
      <c r="AVG7"/>
      <c r="AVH7"/>
      <c r="AVI7"/>
      <c r="AVJ7"/>
      <c r="AVK7"/>
      <c r="AVL7"/>
      <c r="AVM7"/>
      <c r="AVN7"/>
      <c r="AVO7"/>
      <c r="AVP7"/>
      <c r="AVQ7"/>
      <c r="AVR7"/>
      <c r="AVS7"/>
      <c r="AVT7"/>
      <c r="AVU7"/>
      <c r="AVV7"/>
      <c r="AVW7"/>
      <c r="AVX7"/>
      <c r="AVY7"/>
      <c r="AVZ7"/>
      <c r="AWA7"/>
      <c r="AWB7"/>
      <c r="AWC7"/>
      <c r="AWD7"/>
      <c r="AWE7"/>
      <c r="AWF7"/>
      <c r="AWG7"/>
      <c r="AWH7"/>
      <c r="AWI7"/>
      <c r="AWJ7"/>
      <c r="AWK7"/>
      <c r="AWL7"/>
      <c r="AWM7"/>
      <c r="AWN7"/>
      <c r="AWO7"/>
      <c r="AWP7"/>
      <c r="AWQ7"/>
      <c r="AWR7"/>
      <c r="AWS7"/>
      <c r="AWT7"/>
      <c r="AWU7"/>
      <c r="AWV7"/>
      <c r="AWW7"/>
      <c r="AWX7"/>
      <c r="AWY7"/>
      <c r="AWZ7"/>
      <c r="AXA7"/>
      <c r="AXB7"/>
      <c r="AXC7"/>
      <c r="AXD7"/>
      <c r="AXE7"/>
      <c r="AXF7"/>
      <c r="AXG7"/>
      <c r="AXH7"/>
      <c r="AXI7"/>
      <c r="AXJ7"/>
      <c r="AXK7"/>
      <c r="AXL7"/>
      <c r="AXM7"/>
      <c r="AXN7"/>
      <c r="AXO7"/>
      <c r="AXP7"/>
      <c r="AXQ7"/>
      <c r="AXR7"/>
      <c r="AXS7"/>
      <c r="AXT7"/>
      <c r="AXU7"/>
      <c r="AXV7"/>
      <c r="AXW7"/>
      <c r="AXX7"/>
      <c r="AXY7"/>
      <c r="AXZ7"/>
      <c r="AYA7"/>
      <c r="AYB7"/>
      <c r="AYC7"/>
      <c r="AYD7"/>
      <c r="AYE7"/>
      <c r="AYF7"/>
      <c r="AYG7"/>
      <c r="AYH7"/>
      <c r="AYI7"/>
      <c r="AYJ7"/>
      <c r="AYK7"/>
      <c r="AYL7"/>
      <c r="AYM7"/>
      <c r="AYN7"/>
      <c r="AYO7"/>
      <c r="AYP7"/>
      <c r="AYQ7"/>
      <c r="AYR7"/>
      <c r="AYS7"/>
      <c r="AYT7"/>
      <c r="AYU7"/>
      <c r="AYV7"/>
      <c r="AYW7"/>
      <c r="AYX7"/>
      <c r="AYY7"/>
      <c r="AYZ7"/>
      <c r="AZA7"/>
      <c r="AZB7"/>
      <c r="AZC7"/>
      <c r="AZD7"/>
      <c r="AZE7"/>
      <c r="AZF7"/>
      <c r="AZG7"/>
      <c r="AZH7"/>
      <c r="AZI7"/>
      <c r="AZJ7"/>
      <c r="AZK7"/>
      <c r="AZL7"/>
      <c r="AZM7"/>
      <c r="AZN7"/>
      <c r="AZO7"/>
      <c r="AZP7"/>
      <c r="AZQ7"/>
      <c r="AZR7"/>
      <c r="AZS7"/>
      <c r="AZT7"/>
      <c r="AZU7"/>
      <c r="AZV7"/>
      <c r="AZW7"/>
      <c r="AZX7"/>
      <c r="AZY7"/>
      <c r="AZZ7"/>
      <c r="BAA7"/>
      <c r="BAB7"/>
      <c r="BAC7"/>
      <c r="BAD7"/>
      <c r="BAE7"/>
      <c r="BAF7"/>
      <c r="BAG7"/>
      <c r="BAH7"/>
      <c r="BAI7"/>
      <c r="BAJ7"/>
      <c r="BAK7"/>
      <c r="BAL7"/>
      <c r="BAM7"/>
      <c r="BAN7"/>
      <c r="BAO7"/>
      <c r="BAP7"/>
      <c r="BAQ7"/>
      <c r="BAR7"/>
      <c r="BAS7"/>
      <c r="BAT7"/>
      <c r="BAU7"/>
      <c r="BAV7"/>
      <c r="BAW7"/>
      <c r="BAX7"/>
      <c r="BAY7"/>
      <c r="BAZ7"/>
      <c r="BBA7"/>
      <c r="BBB7"/>
      <c r="BBC7"/>
      <c r="BBD7"/>
      <c r="BBE7"/>
      <c r="BBF7"/>
      <c r="BBG7"/>
      <c r="BBH7"/>
      <c r="BBI7"/>
      <c r="BBJ7"/>
      <c r="BBK7"/>
      <c r="BBL7"/>
      <c r="BBM7"/>
      <c r="BBN7"/>
      <c r="BBO7"/>
      <c r="BBP7"/>
      <c r="BBQ7"/>
      <c r="BBR7"/>
      <c r="BBS7"/>
      <c r="BBT7"/>
      <c r="BBU7"/>
      <c r="BBV7"/>
      <c r="BBW7"/>
      <c r="BBX7"/>
      <c r="BBY7"/>
      <c r="BBZ7"/>
      <c r="BCA7"/>
      <c r="BCB7"/>
      <c r="BCC7"/>
      <c r="BCD7"/>
      <c r="BCE7"/>
      <c r="BCF7"/>
      <c r="BCG7"/>
      <c r="BCH7"/>
      <c r="BCI7"/>
      <c r="BCJ7"/>
      <c r="BCK7"/>
      <c r="BCL7"/>
      <c r="BCM7"/>
      <c r="BCN7"/>
      <c r="BCO7"/>
      <c r="BCP7"/>
      <c r="BCQ7"/>
      <c r="BCR7"/>
      <c r="BCS7"/>
      <c r="BCT7"/>
      <c r="BCU7"/>
      <c r="BCV7"/>
      <c r="BCW7"/>
      <c r="BCX7"/>
      <c r="BCY7"/>
      <c r="BCZ7"/>
      <c r="BDA7"/>
      <c r="BDB7"/>
      <c r="BDC7"/>
      <c r="BDD7"/>
      <c r="BDE7"/>
      <c r="BDF7"/>
      <c r="BDG7"/>
      <c r="BDH7"/>
      <c r="BDI7"/>
      <c r="BDJ7"/>
      <c r="BDK7"/>
      <c r="BDL7"/>
      <c r="BDM7"/>
      <c r="BDN7"/>
      <c r="BDO7"/>
      <c r="BDP7"/>
      <c r="BDQ7"/>
      <c r="BDR7"/>
      <c r="BDS7"/>
      <c r="BDT7"/>
      <c r="BDU7"/>
      <c r="BDV7"/>
      <c r="BDW7"/>
      <c r="BDX7"/>
      <c r="BDY7"/>
      <c r="BDZ7"/>
      <c r="BEA7"/>
      <c r="BEB7"/>
      <c r="BEC7"/>
      <c r="BED7"/>
      <c r="BEE7"/>
      <c r="BEF7"/>
      <c r="BEG7"/>
      <c r="BEH7"/>
      <c r="BEI7"/>
      <c r="BEJ7"/>
      <c r="BEK7"/>
      <c r="BEL7"/>
      <c r="BEM7"/>
      <c r="BEN7"/>
      <c r="BEO7"/>
      <c r="BEP7"/>
      <c r="BEQ7"/>
      <c r="BER7"/>
      <c r="BES7"/>
      <c r="BET7"/>
      <c r="BEU7"/>
      <c r="BEV7"/>
      <c r="BEW7"/>
      <c r="BEX7"/>
      <c r="BEY7"/>
      <c r="BEZ7"/>
      <c r="BFA7"/>
      <c r="BFB7"/>
      <c r="BFC7"/>
      <c r="BFD7"/>
      <c r="BFE7"/>
      <c r="BFF7"/>
      <c r="BFG7"/>
      <c r="BFH7"/>
      <c r="BFI7"/>
      <c r="BFJ7"/>
      <c r="BFK7"/>
      <c r="BFL7"/>
      <c r="BFM7"/>
      <c r="BFN7"/>
      <c r="BFO7"/>
      <c r="BFP7"/>
      <c r="BFQ7"/>
      <c r="BFR7"/>
      <c r="BFS7"/>
      <c r="BFT7"/>
      <c r="BFU7"/>
      <c r="BFV7"/>
      <c r="BFW7"/>
      <c r="BFX7"/>
      <c r="BFY7"/>
      <c r="BFZ7"/>
      <c r="BGA7"/>
      <c r="BGB7"/>
      <c r="BGC7"/>
      <c r="BGD7"/>
      <c r="BGE7"/>
      <c r="BGF7"/>
      <c r="BGG7"/>
      <c r="BGH7"/>
      <c r="BGI7"/>
      <c r="BGJ7"/>
      <c r="BGK7"/>
      <c r="BGL7"/>
      <c r="BGM7"/>
      <c r="BGN7"/>
      <c r="BGO7"/>
      <c r="BGP7"/>
      <c r="BGQ7"/>
      <c r="BGR7"/>
      <c r="BGS7"/>
      <c r="BGT7"/>
      <c r="BGU7"/>
      <c r="BGV7"/>
      <c r="BGW7"/>
      <c r="BGX7"/>
      <c r="BGY7"/>
      <c r="BGZ7"/>
      <c r="BHA7"/>
      <c r="BHB7"/>
      <c r="BHC7"/>
      <c r="BHD7"/>
      <c r="BHE7"/>
      <c r="BHF7"/>
      <c r="BHG7"/>
      <c r="BHH7"/>
      <c r="BHI7"/>
      <c r="BHJ7"/>
      <c r="BHK7"/>
      <c r="BHL7"/>
      <c r="BHM7"/>
      <c r="BHN7"/>
      <c r="BHO7"/>
      <c r="BHP7"/>
      <c r="BHQ7"/>
      <c r="BHR7"/>
      <c r="BHS7"/>
      <c r="BHT7"/>
      <c r="BHU7"/>
      <c r="BHV7"/>
      <c r="BHW7"/>
      <c r="BHX7"/>
      <c r="BHY7"/>
      <c r="BHZ7"/>
      <c r="BIA7"/>
      <c r="BIB7"/>
      <c r="BIC7"/>
      <c r="BID7"/>
      <c r="BIE7"/>
      <c r="BIF7"/>
      <c r="BIG7"/>
      <c r="BIH7"/>
      <c r="BII7"/>
      <c r="BIJ7"/>
      <c r="BIK7"/>
      <c r="BIL7"/>
      <c r="BIM7"/>
      <c r="BIN7"/>
      <c r="BIO7"/>
      <c r="BIP7"/>
      <c r="BIQ7"/>
      <c r="BIR7"/>
      <c r="BIS7"/>
      <c r="BIT7"/>
      <c r="BIU7"/>
      <c r="BIV7"/>
      <c r="BIW7"/>
      <c r="BIX7"/>
      <c r="BIY7"/>
      <c r="BIZ7"/>
      <c r="BJA7"/>
      <c r="BJB7"/>
      <c r="BJC7"/>
      <c r="BJD7"/>
      <c r="BJE7"/>
      <c r="BJF7"/>
      <c r="BJG7"/>
      <c r="BJH7"/>
      <c r="BJI7"/>
      <c r="BJJ7"/>
      <c r="BJK7"/>
      <c r="BJL7"/>
      <c r="BJM7"/>
      <c r="BJN7"/>
      <c r="BJO7"/>
      <c r="BJP7"/>
      <c r="BJQ7"/>
      <c r="BJR7"/>
      <c r="BJS7"/>
      <c r="BJT7"/>
      <c r="BJU7"/>
      <c r="BJV7"/>
      <c r="BJW7"/>
      <c r="BJX7"/>
      <c r="BJY7"/>
      <c r="BJZ7"/>
      <c r="BKA7"/>
      <c r="BKB7"/>
      <c r="BKC7"/>
      <c r="BKD7"/>
      <c r="BKE7"/>
      <c r="BKF7"/>
      <c r="BKG7"/>
      <c r="BKH7"/>
      <c r="BKI7"/>
      <c r="BKJ7"/>
      <c r="BKK7"/>
      <c r="BKL7"/>
      <c r="BKM7"/>
      <c r="BKN7"/>
      <c r="BKO7"/>
      <c r="BKP7"/>
      <c r="BKQ7"/>
      <c r="BKR7"/>
      <c r="BKS7"/>
      <c r="BKT7"/>
      <c r="BKU7"/>
      <c r="BKV7"/>
      <c r="BKW7"/>
      <c r="BKX7"/>
      <c r="BKY7"/>
      <c r="BKZ7"/>
      <c r="BLA7"/>
      <c r="BLB7"/>
      <c r="BLC7"/>
      <c r="BLD7"/>
      <c r="BLE7"/>
      <c r="BLF7"/>
      <c r="BLG7"/>
      <c r="BLH7"/>
      <c r="BLI7"/>
      <c r="BLJ7"/>
      <c r="BLK7"/>
      <c r="BLL7"/>
      <c r="BLM7"/>
      <c r="BLN7"/>
      <c r="BLO7"/>
      <c r="BLP7"/>
      <c r="BLQ7"/>
      <c r="BLR7"/>
      <c r="BLS7"/>
      <c r="BLT7"/>
      <c r="BLU7"/>
      <c r="BLV7"/>
      <c r="BLW7"/>
      <c r="BLX7"/>
      <c r="BLY7"/>
      <c r="BLZ7"/>
      <c r="BMA7"/>
      <c r="BMB7"/>
      <c r="BMC7"/>
      <c r="BMD7"/>
      <c r="BME7"/>
      <c r="BMF7"/>
      <c r="BMG7"/>
      <c r="BMH7"/>
      <c r="BMI7"/>
      <c r="BMJ7"/>
      <c r="BMK7"/>
      <c r="BML7"/>
      <c r="BMM7"/>
      <c r="BMN7"/>
      <c r="BMO7"/>
      <c r="BMP7"/>
      <c r="BMQ7"/>
      <c r="BMR7"/>
      <c r="BMS7"/>
      <c r="BMT7"/>
      <c r="BMU7"/>
      <c r="BMV7"/>
      <c r="BMW7"/>
      <c r="BMX7"/>
      <c r="BMY7"/>
      <c r="BMZ7"/>
      <c r="BNA7"/>
      <c r="BNB7"/>
      <c r="BNC7"/>
      <c r="BND7"/>
      <c r="BNE7"/>
      <c r="BNF7"/>
      <c r="BNG7"/>
      <c r="BNH7"/>
      <c r="BNI7"/>
      <c r="BNJ7"/>
      <c r="BNK7"/>
      <c r="BNL7"/>
      <c r="BNM7"/>
      <c r="BNN7"/>
      <c r="BNO7"/>
      <c r="BNP7"/>
      <c r="BNQ7"/>
      <c r="BNR7"/>
      <c r="BNS7"/>
      <c r="BNT7"/>
      <c r="BNU7"/>
      <c r="BNV7"/>
      <c r="BNW7"/>
      <c r="BNX7"/>
      <c r="BNY7"/>
      <c r="BNZ7"/>
      <c r="BOA7"/>
      <c r="BOB7"/>
      <c r="BOC7"/>
      <c r="BOD7"/>
      <c r="BOE7"/>
      <c r="BOF7"/>
      <c r="BOG7"/>
      <c r="BOH7"/>
      <c r="BOI7"/>
      <c r="BOJ7"/>
      <c r="BOK7"/>
      <c r="BOL7"/>
      <c r="BOM7"/>
      <c r="BON7"/>
      <c r="BOO7"/>
      <c r="BOP7"/>
      <c r="BOQ7"/>
      <c r="BOR7"/>
      <c r="BOS7"/>
      <c r="BOT7"/>
      <c r="BOU7"/>
      <c r="BOV7"/>
      <c r="BOW7"/>
      <c r="BOX7"/>
      <c r="BOY7"/>
      <c r="BOZ7"/>
      <c r="BPA7"/>
      <c r="BPB7"/>
      <c r="BPC7"/>
      <c r="BPD7"/>
      <c r="BPE7"/>
      <c r="BPF7"/>
      <c r="BPG7"/>
      <c r="BPH7"/>
      <c r="BPI7"/>
      <c r="BPJ7"/>
      <c r="BPK7"/>
      <c r="BPL7"/>
      <c r="BPM7"/>
      <c r="BPN7"/>
      <c r="BPO7"/>
      <c r="BPP7"/>
      <c r="BPQ7"/>
      <c r="BPR7"/>
      <c r="BPS7"/>
      <c r="BPT7"/>
      <c r="BPU7"/>
      <c r="BPV7"/>
      <c r="BPW7"/>
      <c r="BPX7"/>
      <c r="BPY7"/>
      <c r="BPZ7"/>
      <c r="BQA7"/>
      <c r="BQB7"/>
      <c r="BQC7"/>
      <c r="BQD7"/>
      <c r="BQE7"/>
      <c r="BQF7"/>
      <c r="BQG7"/>
      <c r="BQH7"/>
      <c r="BQI7"/>
      <c r="BQJ7"/>
      <c r="BQK7"/>
      <c r="BQL7"/>
      <c r="BQM7"/>
      <c r="BQN7"/>
      <c r="BQO7"/>
      <c r="BQP7"/>
      <c r="BQQ7"/>
      <c r="BQR7"/>
      <c r="BQS7"/>
      <c r="BQT7"/>
      <c r="BQU7"/>
      <c r="BQV7"/>
      <c r="BQW7"/>
      <c r="BQX7"/>
      <c r="BQY7"/>
      <c r="BQZ7"/>
      <c r="BRA7"/>
      <c r="BRB7"/>
      <c r="BRC7"/>
      <c r="BRD7"/>
      <c r="BRE7"/>
      <c r="BRF7"/>
      <c r="BRG7"/>
      <c r="BRH7"/>
      <c r="BRI7"/>
      <c r="BRJ7"/>
      <c r="BRK7"/>
      <c r="BRL7"/>
      <c r="BRM7"/>
      <c r="BRN7"/>
      <c r="BRO7"/>
      <c r="BRP7"/>
      <c r="BRQ7"/>
      <c r="BRR7"/>
      <c r="BRS7"/>
      <c r="BRT7"/>
      <c r="BRU7"/>
      <c r="BRV7"/>
      <c r="BRW7"/>
      <c r="BRX7"/>
      <c r="BRY7"/>
      <c r="BRZ7"/>
      <c r="BSA7"/>
      <c r="BSB7"/>
      <c r="BSC7"/>
      <c r="BSD7"/>
      <c r="BSE7"/>
      <c r="BSF7"/>
      <c r="BSG7"/>
      <c r="BSH7"/>
      <c r="BSI7"/>
      <c r="BSJ7"/>
      <c r="BSK7"/>
      <c r="BSL7"/>
      <c r="BSM7"/>
      <c r="BSN7"/>
      <c r="BSO7"/>
      <c r="BSP7"/>
      <c r="BSQ7"/>
      <c r="BSR7"/>
      <c r="BSS7"/>
      <c r="BST7"/>
      <c r="BSU7"/>
      <c r="BSV7"/>
      <c r="BSW7"/>
      <c r="BSX7"/>
      <c r="BSY7"/>
      <c r="BSZ7"/>
      <c r="BTA7"/>
      <c r="BTB7"/>
      <c r="BTC7"/>
      <c r="BTD7"/>
      <c r="BTE7"/>
      <c r="BTF7"/>
      <c r="BTG7"/>
      <c r="BTH7"/>
      <c r="BTI7"/>
      <c r="BTJ7"/>
      <c r="BTK7"/>
      <c r="BTL7"/>
      <c r="BTM7"/>
      <c r="BTN7"/>
      <c r="BTO7"/>
      <c r="BTP7"/>
      <c r="BTQ7"/>
      <c r="BTR7"/>
      <c r="BTS7"/>
      <c r="BTT7"/>
      <c r="BTU7"/>
      <c r="BTV7"/>
      <c r="BTW7"/>
      <c r="BTX7"/>
      <c r="BTY7"/>
      <c r="BTZ7"/>
      <c r="BUA7"/>
      <c r="BUB7"/>
      <c r="BUC7"/>
      <c r="BUD7"/>
      <c r="BUE7"/>
      <c r="BUF7"/>
      <c r="BUG7"/>
      <c r="BUH7"/>
      <c r="BUI7"/>
      <c r="BUJ7"/>
      <c r="BUK7"/>
      <c r="BUL7"/>
      <c r="BUM7"/>
      <c r="BUN7"/>
      <c r="BUO7"/>
      <c r="BUP7"/>
      <c r="BUQ7"/>
      <c r="BUR7"/>
      <c r="BUS7"/>
      <c r="BUT7"/>
      <c r="BUU7"/>
      <c r="BUV7"/>
      <c r="BUW7"/>
      <c r="BUX7"/>
      <c r="BUY7"/>
      <c r="BUZ7"/>
      <c r="BVA7"/>
      <c r="BVB7"/>
      <c r="BVC7"/>
      <c r="BVD7"/>
      <c r="BVE7"/>
      <c r="BVF7"/>
      <c r="BVG7"/>
      <c r="BVH7"/>
      <c r="BVI7"/>
      <c r="BVJ7"/>
      <c r="BVK7"/>
      <c r="BVL7"/>
      <c r="BVM7"/>
      <c r="BVN7"/>
      <c r="BVO7"/>
      <c r="BVP7"/>
      <c r="BVQ7"/>
      <c r="BVR7"/>
      <c r="BVS7"/>
      <c r="BVT7"/>
      <c r="BVU7"/>
      <c r="BVV7"/>
      <c r="BVW7"/>
      <c r="BVX7"/>
      <c r="BVY7"/>
      <c r="BVZ7"/>
      <c r="BWA7"/>
      <c r="BWB7"/>
      <c r="BWC7"/>
      <c r="BWD7"/>
      <c r="BWE7"/>
      <c r="BWF7"/>
      <c r="BWG7"/>
      <c r="BWH7"/>
      <c r="BWI7"/>
      <c r="BWJ7"/>
      <c r="BWK7"/>
      <c r="BWL7"/>
      <c r="BWM7"/>
      <c r="BWN7"/>
      <c r="BWO7"/>
      <c r="BWP7"/>
      <c r="BWQ7"/>
      <c r="BWR7"/>
      <c r="BWS7"/>
      <c r="BWT7"/>
      <c r="BWU7"/>
      <c r="BWV7"/>
      <c r="BWW7"/>
      <c r="BWX7"/>
      <c r="BWY7"/>
      <c r="BWZ7"/>
      <c r="BXA7"/>
      <c r="BXB7"/>
      <c r="BXC7"/>
      <c r="BXD7"/>
      <c r="BXE7"/>
      <c r="BXF7"/>
      <c r="BXG7"/>
      <c r="BXH7"/>
      <c r="BXI7"/>
      <c r="BXJ7"/>
      <c r="BXK7"/>
      <c r="BXL7"/>
      <c r="BXM7"/>
      <c r="BXN7"/>
      <c r="BXO7"/>
      <c r="BXP7"/>
      <c r="BXQ7"/>
      <c r="BXR7"/>
      <c r="BXS7"/>
      <c r="BXT7"/>
      <c r="BXU7"/>
      <c r="BXV7"/>
      <c r="BXW7"/>
      <c r="BXX7"/>
      <c r="BXY7"/>
      <c r="BXZ7"/>
      <c r="BYA7"/>
      <c r="BYB7"/>
      <c r="BYC7"/>
      <c r="BYD7"/>
      <c r="BYE7"/>
      <c r="BYF7"/>
      <c r="BYG7"/>
      <c r="BYH7"/>
      <c r="BYI7"/>
      <c r="BYJ7"/>
      <c r="BYK7"/>
      <c r="BYL7"/>
      <c r="BYM7"/>
      <c r="BYN7"/>
      <c r="BYO7"/>
      <c r="BYP7"/>
      <c r="BYQ7"/>
      <c r="BYR7"/>
      <c r="BYS7"/>
      <c r="BYT7"/>
      <c r="BYU7"/>
      <c r="BYV7"/>
      <c r="BYW7"/>
      <c r="BYX7"/>
      <c r="BYY7"/>
      <c r="BYZ7"/>
      <c r="BZA7"/>
      <c r="BZB7"/>
      <c r="BZC7"/>
      <c r="BZD7"/>
      <c r="BZE7"/>
      <c r="BZF7"/>
      <c r="BZG7"/>
      <c r="BZH7"/>
      <c r="BZI7"/>
      <c r="BZJ7"/>
      <c r="BZK7"/>
      <c r="BZL7"/>
      <c r="BZM7"/>
      <c r="BZN7"/>
      <c r="BZO7"/>
      <c r="BZP7"/>
      <c r="BZQ7"/>
      <c r="BZR7"/>
      <c r="BZS7"/>
      <c r="BZT7"/>
      <c r="BZU7"/>
      <c r="BZV7"/>
      <c r="BZW7"/>
      <c r="BZX7"/>
      <c r="BZY7"/>
      <c r="BZZ7"/>
      <c r="CAA7"/>
      <c r="CAB7"/>
      <c r="CAC7"/>
      <c r="CAD7"/>
      <c r="CAE7"/>
      <c r="CAF7"/>
      <c r="CAG7"/>
      <c r="CAH7"/>
      <c r="CAI7"/>
      <c r="CAJ7"/>
      <c r="CAK7"/>
      <c r="CAL7"/>
      <c r="CAM7"/>
      <c r="CAN7"/>
      <c r="CAO7"/>
      <c r="CAP7"/>
      <c r="CAQ7"/>
      <c r="CAR7"/>
      <c r="CAS7"/>
      <c r="CAT7"/>
      <c r="CAU7"/>
      <c r="CAV7"/>
      <c r="CAW7"/>
      <c r="CAX7"/>
      <c r="CAY7"/>
      <c r="CAZ7"/>
      <c r="CBA7"/>
      <c r="CBB7"/>
      <c r="CBC7"/>
      <c r="CBD7"/>
      <c r="CBE7"/>
      <c r="CBF7"/>
      <c r="CBG7"/>
      <c r="CBH7"/>
      <c r="CBI7"/>
      <c r="CBJ7"/>
      <c r="CBK7"/>
      <c r="CBL7"/>
      <c r="CBM7"/>
      <c r="CBN7"/>
      <c r="CBO7"/>
      <c r="CBP7"/>
      <c r="CBQ7"/>
      <c r="CBR7"/>
      <c r="CBS7"/>
      <c r="CBT7"/>
      <c r="CBU7"/>
      <c r="CBV7"/>
      <c r="CBW7"/>
      <c r="CBX7"/>
      <c r="CBY7"/>
      <c r="CBZ7"/>
      <c r="CCA7"/>
      <c r="CCB7"/>
      <c r="CCC7"/>
      <c r="CCD7"/>
      <c r="CCE7"/>
      <c r="CCF7"/>
      <c r="CCG7"/>
      <c r="CCH7"/>
      <c r="CCI7"/>
      <c r="CCJ7"/>
      <c r="CCK7"/>
      <c r="CCL7"/>
      <c r="CCM7"/>
      <c r="CCN7"/>
      <c r="CCO7"/>
      <c r="CCP7"/>
      <c r="CCQ7"/>
      <c r="CCR7"/>
      <c r="CCS7"/>
      <c r="CCT7"/>
      <c r="CCU7"/>
      <c r="CCV7"/>
      <c r="CCW7"/>
      <c r="CCX7"/>
      <c r="CCY7"/>
      <c r="CCZ7"/>
      <c r="CDA7"/>
      <c r="CDB7"/>
      <c r="CDC7"/>
      <c r="CDD7"/>
      <c r="CDE7"/>
      <c r="CDF7"/>
      <c r="CDG7"/>
      <c r="CDH7"/>
      <c r="CDI7"/>
      <c r="CDJ7"/>
      <c r="CDK7"/>
      <c r="CDL7"/>
      <c r="CDM7"/>
      <c r="CDN7"/>
      <c r="CDO7"/>
      <c r="CDP7"/>
      <c r="CDQ7"/>
      <c r="CDR7"/>
      <c r="CDS7"/>
      <c r="CDT7"/>
      <c r="CDU7"/>
      <c r="CDV7"/>
      <c r="CDW7"/>
      <c r="CDX7"/>
      <c r="CDY7"/>
      <c r="CDZ7"/>
      <c r="CEA7"/>
      <c r="CEB7"/>
      <c r="CEC7"/>
      <c r="CED7"/>
      <c r="CEE7"/>
      <c r="CEF7"/>
      <c r="CEG7"/>
      <c r="CEH7"/>
      <c r="CEI7"/>
      <c r="CEJ7"/>
      <c r="CEK7"/>
      <c r="CEL7"/>
      <c r="CEM7"/>
      <c r="CEN7"/>
      <c r="CEO7"/>
      <c r="CEP7"/>
      <c r="CEQ7"/>
      <c r="CER7"/>
      <c r="CES7"/>
      <c r="CET7"/>
      <c r="CEU7"/>
      <c r="CEV7"/>
      <c r="CEW7"/>
      <c r="CEX7"/>
      <c r="CEY7"/>
      <c r="CEZ7"/>
      <c r="CFA7"/>
      <c r="CFB7"/>
      <c r="CFC7"/>
      <c r="CFD7"/>
      <c r="CFE7"/>
      <c r="CFF7"/>
      <c r="CFG7"/>
      <c r="CFH7"/>
      <c r="CFI7"/>
      <c r="CFJ7"/>
      <c r="CFK7"/>
      <c r="CFL7"/>
      <c r="CFM7"/>
      <c r="CFN7"/>
      <c r="CFO7"/>
      <c r="CFP7"/>
      <c r="CFQ7"/>
      <c r="CFR7"/>
      <c r="CFS7"/>
      <c r="CFT7"/>
      <c r="CFU7"/>
      <c r="CFV7"/>
      <c r="CFW7"/>
      <c r="CFX7"/>
      <c r="CFY7"/>
      <c r="CFZ7"/>
      <c r="CGA7"/>
      <c r="CGB7"/>
      <c r="CGC7"/>
      <c r="CGD7"/>
      <c r="CGE7"/>
      <c r="CGF7"/>
      <c r="CGG7"/>
      <c r="CGH7"/>
      <c r="CGI7"/>
      <c r="CGJ7"/>
      <c r="CGK7"/>
      <c r="CGL7"/>
      <c r="CGM7"/>
      <c r="CGN7"/>
      <c r="CGO7"/>
      <c r="CGP7"/>
      <c r="CGQ7"/>
      <c r="CGR7"/>
      <c r="CGS7"/>
      <c r="CGT7"/>
      <c r="CGU7"/>
      <c r="CGV7"/>
      <c r="CGW7"/>
      <c r="CGX7"/>
      <c r="CGY7"/>
      <c r="CGZ7"/>
      <c r="CHA7"/>
      <c r="CHB7"/>
      <c r="CHC7"/>
      <c r="CHD7"/>
      <c r="CHE7"/>
      <c r="CHF7"/>
      <c r="CHG7"/>
      <c r="CHH7"/>
      <c r="CHI7"/>
      <c r="CHJ7"/>
      <c r="CHK7"/>
      <c r="CHL7"/>
      <c r="CHM7"/>
      <c r="CHN7"/>
      <c r="CHO7"/>
      <c r="CHP7"/>
      <c r="CHQ7"/>
      <c r="CHR7"/>
      <c r="CHS7"/>
      <c r="CHT7"/>
      <c r="CHU7"/>
      <c r="CHV7"/>
      <c r="CHW7"/>
      <c r="CHX7"/>
      <c r="CHY7"/>
      <c r="CHZ7"/>
      <c r="CIA7"/>
      <c r="CIB7"/>
      <c r="CIC7"/>
      <c r="CID7"/>
      <c r="CIE7"/>
      <c r="CIF7"/>
      <c r="CIG7"/>
      <c r="CIH7"/>
      <c r="CII7"/>
      <c r="CIJ7"/>
      <c r="CIK7"/>
      <c r="CIL7"/>
      <c r="CIM7"/>
      <c r="CIN7"/>
      <c r="CIO7"/>
      <c r="CIP7"/>
      <c r="CIQ7"/>
      <c r="CIR7"/>
      <c r="CIS7"/>
      <c r="CIT7"/>
      <c r="CIU7"/>
      <c r="CIV7"/>
      <c r="CIW7"/>
      <c r="CIX7"/>
      <c r="CIY7"/>
      <c r="CIZ7"/>
      <c r="CJA7"/>
      <c r="CJB7"/>
      <c r="CJC7"/>
      <c r="CJD7"/>
      <c r="CJE7"/>
      <c r="CJF7"/>
      <c r="CJG7"/>
      <c r="CJH7"/>
      <c r="CJI7"/>
      <c r="CJJ7"/>
      <c r="CJK7"/>
      <c r="CJL7"/>
      <c r="CJM7"/>
      <c r="CJN7"/>
      <c r="CJO7"/>
      <c r="CJP7"/>
      <c r="CJQ7"/>
      <c r="CJR7"/>
      <c r="CJS7"/>
      <c r="CJT7"/>
      <c r="CJU7"/>
      <c r="CJV7"/>
      <c r="CJW7"/>
      <c r="CJX7"/>
      <c r="CJY7"/>
      <c r="CJZ7"/>
      <c r="CKA7"/>
      <c r="CKB7"/>
      <c r="CKC7"/>
      <c r="CKD7"/>
      <c r="CKE7"/>
      <c r="CKF7"/>
      <c r="CKG7"/>
      <c r="CKH7"/>
      <c r="CKI7"/>
      <c r="CKJ7"/>
      <c r="CKK7"/>
      <c r="CKL7"/>
      <c r="CKM7"/>
      <c r="CKN7"/>
      <c r="CKO7"/>
      <c r="CKP7"/>
      <c r="CKQ7"/>
      <c r="CKR7"/>
      <c r="CKS7"/>
      <c r="CKT7"/>
      <c r="CKU7"/>
      <c r="CKV7"/>
      <c r="CKW7"/>
      <c r="CKX7"/>
      <c r="CKY7"/>
      <c r="CKZ7"/>
      <c r="CLA7"/>
      <c r="CLB7"/>
      <c r="CLC7"/>
      <c r="CLD7"/>
      <c r="CLE7"/>
      <c r="CLF7"/>
      <c r="CLG7"/>
      <c r="CLH7"/>
      <c r="CLI7"/>
      <c r="CLJ7"/>
      <c r="CLK7"/>
      <c r="CLL7"/>
      <c r="CLM7"/>
      <c r="CLN7"/>
      <c r="CLO7"/>
      <c r="CLP7"/>
      <c r="CLQ7"/>
      <c r="CLR7"/>
      <c r="CLS7"/>
      <c r="CLT7"/>
      <c r="CLU7"/>
      <c r="CLV7"/>
      <c r="CLW7"/>
      <c r="CLX7"/>
      <c r="CLY7"/>
      <c r="CLZ7"/>
      <c r="CMA7"/>
      <c r="CMB7"/>
      <c r="CMC7"/>
      <c r="CMD7"/>
      <c r="CME7"/>
      <c r="CMF7"/>
      <c r="CMG7"/>
      <c r="CMH7"/>
      <c r="CMI7"/>
      <c r="CMJ7"/>
      <c r="CMK7"/>
      <c r="CML7"/>
      <c r="CMM7"/>
      <c r="CMN7"/>
      <c r="CMO7"/>
      <c r="CMP7"/>
      <c r="CMQ7"/>
      <c r="CMR7"/>
      <c r="CMS7"/>
      <c r="CMT7"/>
      <c r="CMU7"/>
      <c r="CMV7"/>
      <c r="CMW7"/>
      <c r="CMX7"/>
      <c r="CMY7"/>
      <c r="CMZ7"/>
      <c r="CNA7"/>
      <c r="CNB7"/>
      <c r="CNC7"/>
      <c r="CND7"/>
      <c r="CNE7"/>
      <c r="CNF7"/>
      <c r="CNG7"/>
      <c r="CNH7"/>
      <c r="CNI7"/>
      <c r="CNJ7"/>
      <c r="CNK7"/>
      <c r="CNL7"/>
      <c r="CNM7"/>
      <c r="CNN7"/>
      <c r="CNO7"/>
      <c r="CNP7"/>
      <c r="CNQ7"/>
      <c r="CNR7"/>
      <c r="CNS7"/>
      <c r="CNT7"/>
      <c r="CNU7"/>
      <c r="CNV7"/>
      <c r="CNW7"/>
      <c r="CNX7"/>
      <c r="CNY7"/>
      <c r="CNZ7"/>
      <c r="COA7"/>
      <c r="COB7"/>
      <c r="COC7"/>
      <c r="COD7"/>
      <c r="COE7"/>
      <c r="COF7"/>
      <c r="COG7"/>
      <c r="COH7"/>
      <c r="COI7"/>
      <c r="COJ7"/>
      <c r="COK7"/>
      <c r="COL7"/>
      <c r="COM7"/>
      <c r="CON7"/>
      <c r="COO7"/>
      <c r="COP7"/>
      <c r="COQ7"/>
      <c r="COR7"/>
      <c r="COS7"/>
      <c r="COT7"/>
      <c r="COU7"/>
      <c r="COV7"/>
      <c r="COW7"/>
      <c r="COX7"/>
      <c r="COY7"/>
      <c r="COZ7"/>
      <c r="CPA7"/>
      <c r="CPB7"/>
      <c r="CPC7"/>
      <c r="CPD7"/>
      <c r="CPE7"/>
      <c r="CPF7"/>
      <c r="CPG7"/>
      <c r="CPH7"/>
      <c r="CPI7"/>
      <c r="CPJ7"/>
      <c r="CPK7"/>
      <c r="CPL7"/>
      <c r="CPM7"/>
      <c r="CPN7"/>
      <c r="CPO7"/>
      <c r="CPP7"/>
      <c r="CPQ7"/>
      <c r="CPR7"/>
      <c r="CPS7"/>
      <c r="CPT7"/>
      <c r="CPU7"/>
      <c r="CPV7"/>
      <c r="CPW7"/>
      <c r="CPX7"/>
      <c r="CPY7"/>
      <c r="CPZ7"/>
      <c r="CQA7"/>
      <c r="CQB7"/>
      <c r="CQC7"/>
      <c r="CQD7"/>
      <c r="CQE7"/>
      <c r="CQF7"/>
      <c r="CQG7"/>
      <c r="CQH7"/>
      <c r="CQI7"/>
      <c r="CQJ7"/>
      <c r="CQK7"/>
      <c r="CQL7"/>
      <c r="CQM7"/>
      <c r="CQN7"/>
      <c r="CQO7"/>
      <c r="CQP7"/>
      <c r="CQQ7"/>
      <c r="CQR7"/>
      <c r="CQS7"/>
      <c r="CQT7"/>
      <c r="CQU7"/>
      <c r="CQV7"/>
      <c r="CQW7"/>
      <c r="CQX7"/>
      <c r="CQY7"/>
      <c r="CQZ7"/>
      <c r="CRA7"/>
      <c r="CRB7"/>
      <c r="CRC7"/>
      <c r="CRD7"/>
      <c r="CRE7"/>
      <c r="CRF7"/>
      <c r="CRG7"/>
      <c r="CRH7"/>
      <c r="CRI7"/>
      <c r="CRJ7"/>
      <c r="CRK7"/>
      <c r="CRL7"/>
      <c r="CRM7"/>
      <c r="CRN7"/>
      <c r="CRO7"/>
      <c r="CRP7"/>
      <c r="CRQ7"/>
      <c r="CRR7"/>
      <c r="CRS7"/>
      <c r="CRT7"/>
      <c r="CRU7"/>
      <c r="CRV7"/>
      <c r="CRW7"/>
      <c r="CRX7"/>
      <c r="CRY7"/>
      <c r="CRZ7"/>
      <c r="CSA7"/>
      <c r="CSB7"/>
      <c r="CSC7"/>
      <c r="CSD7"/>
      <c r="CSE7"/>
      <c r="CSF7"/>
      <c r="CSG7"/>
      <c r="CSH7"/>
      <c r="CSI7"/>
      <c r="CSJ7"/>
      <c r="CSK7"/>
      <c r="CSL7"/>
      <c r="CSM7"/>
      <c r="CSN7"/>
      <c r="CSO7"/>
      <c r="CSP7"/>
      <c r="CSQ7"/>
      <c r="CSR7"/>
      <c r="CSS7"/>
      <c r="CST7"/>
      <c r="CSU7"/>
      <c r="CSV7"/>
      <c r="CSW7"/>
      <c r="CSX7"/>
      <c r="CSY7"/>
      <c r="CSZ7"/>
      <c r="CTA7"/>
      <c r="CTB7"/>
      <c r="CTC7"/>
      <c r="CTD7"/>
      <c r="CTE7"/>
      <c r="CTF7"/>
      <c r="CTG7"/>
      <c r="CTH7"/>
      <c r="CTI7"/>
      <c r="CTJ7"/>
      <c r="CTK7"/>
      <c r="CTL7"/>
      <c r="CTM7"/>
      <c r="CTN7"/>
      <c r="CTO7"/>
      <c r="CTP7"/>
      <c r="CTQ7"/>
      <c r="CTR7"/>
      <c r="CTS7"/>
      <c r="CTT7"/>
      <c r="CTU7"/>
      <c r="CTV7"/>
      <c r="CTW7"/>
      <c r="CTX7"/>
      <c r="CTY7"/>
      <c r="CTZ7"/>
      <c r="CUA7"/>
      <c r="CUB7"/>
      <c r="CUC7"/>
      <c r="CUD7"/>
      <c r="CUE7"/>
      <c r="CUF7"/>
      <c r="CUG7"/>
      <c r="CUH7"/>
      <c r="CUI7"/>
      <c r="CUJ7"/>
      <c r="CUK7"/>
      <c r="CUL7"/>
      <c r="CUM7"/>
      <c r="CUN7"/>
      <c r="CUO7"/>
      <c r="CUP7"/>
      <c r="CUQ7"/>
      <c r="CUR7"/>
      <c r="CUS7"/>
      <c r="CUT7"/>
      <c r="CUU7"/>
      <c r="CUV7"/>
      <c r="CUW7"/>
      <c r="CUX7"/>
      <c r="CUY7"/>
      <c r="CUZ7"/>
      <c r="CVA7"/>
      <c r="CVB7"/>
      <c r="CVC7"/>
      <c r="CVD7"/>
      <c r="CVE7"/>
      <c r="CVF7"/>
      <c r="CVG7"/>
      <c r="CVH7"/>
      <c r="CVI7"/>
      <c r="CVJ7"/>
      <c r="CVK7"/>
      <c r="CVL7"/>
      <c r="CVM7"/>
      <c r="CVN7"/>
      <c r="CVO7"/>
      <c r="CVP7"/>
      <c r="CVQ7"/>
      <c r="CVR7"/>
      <c r="CVS7"/>
      <c r="CVT7"/>
      <c r="CVU7"/>
      <c r="CVV7"/>
      <c r="CVW7"/>
      <c r="CVX7"/>
      <c r="CVY7"/>
      <c r="CVZ7"/>
      <c r="CWA7"/>
      <c r="CWB7"/>
      <c r="CWC7"/>
      <c r="CWD7"/>
      <c r="CWE7"/>
      <c r="CWF7"/>
      <c r="CWG7"/>
      <c r="CWH7"/>
      <c r="CWI7"/>
      <c r="CWJ7"/>
      <c r="CWK7"/>
      <c r="CWL7"/>
      <c r="CWM7"/>
      <c r="CWN7"/>
      <c r="CWO7"/>
      <c r="CWP7"/>
      <c r="CWQ7"/>
      <c r="CWR7"/>
      <c r="CWS7"/>
      <c r="CWT7"/>
      <c r="CWU7"/>
      <c r="CWV7"/>
      <c r="CWW7"/>
      <c r="CWX7"/>
      <c r="CWY7"/>
      <c r="CWZ7"/>
      <c r="CXA7"/>
      <c r="CXB7"/>
      <c r="CXC7"/>
      <c r="CXD7"/>
      <c r="CXE7"/>
      <c r="CXF7"/>
      <c r="CXG7"/>
      <c r="CXH7"/>
      <c r="CXI7"/>
      <c r="CXJ7"/>
      <c r="CXK7"/>
      <c r="CXL7"/>
      <c r="CXM7"/>
      <c r="CXN7"/>
      <c r="CXO7"/>
      <c r="CXP7"/>
      <c r="CXQ7"/>
      <c r="CXR7"/>
      <c r="CXS7"/>
      <c r="CXT7"/>
      <c r="CXU7"/>
      <c r="CXV7"/>
      <c r="CXW7"/>
      <c r="CXX7"/>
      <c r="CXY7"/>
      <c r="CXZ7"/>
      <c r="CYA7"/>
      <c r="CYB7"/>
      <c r="CYC7"/>
      <c r="CYD7"/>
      <c r="CYE7"/>
      <c r="CYF7"/>
      <c r="CYG7"/>
      <c r="CYH7"/>
      <c r="CYI7"/>
      <c r="CYJ7"/>
      <c r="CYK7"/>
      <c r="CYL7"/>
      <c r="CYM7"/>
      <c r="CYN7"/>
      <c r="CYO7"/>
      <c r="CYP7"/>
      <c r="CYQ7"/>
      <c r="CYR7"/>
      <c r="CYS7"/>
      <c r="CYT7"/>
      <c r="CYU7"/>
      <c r="CYV7"/>
      <c r="CYW7"/>
      <c r="CYX7"/>
      <c r="CYY7"/>
      <c r="CYZ7"/>
      <c r="CZA7"/>
      <c r="CZB7"/>
      <c r="CZC7"/>
      <c r="CZD7"/>
      <c r="CZE7"/>
      <c r="CZF7"/>
      <c r="CZG7"/>
      <c r="CZH7"/>
      <c r="CZI7"/>
      <c r="CZJ7"/>
      <c r="CZK7"/>
      <c r="CZL7"/>
      <c r="CZM7"/>
      <c r="CZN7"/>
      <c r="CZO7"/>
      <c r="CZP7"/>
      <c r="CZQ7"/>
      <c r="CZR7"/>
      <c r="CZS7"/>
      <c r="CZT7"/>
      <c r="CZU7"/>
      <c r="CZV7"/>
      <c r="CZW7"/>
      <c r="CZX7"/>
      <c r="CZY7"/>
      <c r="CZZ7"/>
      <c r="DAA7"/>
      <c r="DAB7"/>
      <c r="DAC7"/>
      <c r="DAD7"/>
      <c r="DAE7"/>
      <c r="DAF7"/>
      <c r="DAG7"/>
      <c r="DAH7"/>
      <c r="DAI7"/>
      <c r="DAJ7"/>
      <c r="DAK7"/>
      <c r="DAL7"/>
      <c r="DAM7"/>
      <c r="DAN7"/>
      <c r="DAO7"/>
      <c r="DAP7"/>
      <c r="DAQ7"/>
      <c r="DAR7"/>
      <c r="DAS7"/>
      <c r="DAT7"/>
      <c r="DAU7"/>
      <c r="DAV7"/>
      <c r="DAW7"/>
      <c r="DAX7"/>
      <c r="DAY7"/>
      <c r="DAZ7"/>
      <c r="DBA7"/>
      <c r="DBB7"/>
      <c r="DBC7"/>
      <c r="DBD7"/>
      <c r="DBE7"/>
      <c r="DBF7"/>
      <c r="DBG7"/>
      <c r="DBH7"/>
      <c r="DBI7"/>
      <c r="DBJ7"/>
      <c r="DBK7"/>
      <c r="DBL7"/>
      <c r="DBM7"/>
      <c r="DBN7"/>
      <c r="DBO7"/>
      <c r="DBP7"/>
      <c r="DBQ7"/>
      <c r="DBR7"/>
      <c r="DBS7"/>
      <c r="DBT7"/>
      <c r="DBU7"/>
      <c r="DBV7"/>
      <c r="DBW7"/>
      <c r="DBX7"/>
      <c r="DBY7"/>
      <c r="DBZ7"/>
      <c r="DCA7"/>
      <c r="DCB7"/>
      <c r="DCC7"/>
      <c r="DCD7"/>
      <c r="DCE7"/>
      <c r="DCF7"/>
      <c r="DCG7"/>
      <c r="DCH7"/>
      <c r="DCI7"/>
      <c r="DCJ7"/>
      <c r="DCK7"/>
      <c r="DCL7"/>
      <c r="DCM7"/>
      <c r="DCN7"/>
      <c r="DCO7"/>
      <c r="DCP7"/>
      <c r="DCQ7"/>
      <c r="DCR7"/>
      <c r="DCS7"/>
      <c r="DCT7"/>
      <c r="DCU7"/>
      <c r="DCV7"/>
      <c r="DCW7"/>
      <c r="DCX7"/>
      <c r="DCY7"/>
      <c r="DCZ7"/>
      <c r="DDA7"/>
      <c r="DDB7"/>
      <c r="DDC7"/>
      <c r="DDD7"/>
      <c r="DDE7"/>
      <c r="DDF7"/>
      <c r="DDG7"/>
      <c r="DDH7"/>
      <c r="DDI7"/>
      <c r="DDJ7"/>
      <c r="DDK7"/>
      <c r="DDL7"/>
      <c r="DDM7"/>
      <c r="DDN7"/>
      <c r="DDO7"/>
      <c r="DDP7"/>
      <c r="DDQ7"/>
      <c r="DDR7"/>
      <c r="DDS7"/>
      <c r="DDT7"/>
      <c r="DDU7"/>
      <c r="DDV7"/>
      <c r="DDW7"/>
      <c r="DDX7"/>
      <c r="DDY7"/>
      <c r="DDZ7"/>
      <c r="DEA7"/>
      <c r="DEB7"/>
      <c r="DEC7"/>
      <c r="DED7"/>
      <c r="DEE7"/>
      <c r="DEF7"/>
      <c r="DEG7"/>
      <c r="DEH7"/>
      <c r="DEI7"/>
      <c r="DEJ7"/>
      <c r="DEK7"/>
      <c r="DEL7"/>
      <c r="DEM7"/>
      <c r="DEN7"/>
      <c r="DEO7"/>
      <c r="DEP7"/>
      <c r="DEQ7"/>
      <c r="DER7"/>
      <c r="DES7"/>
      <c r="DET7"/>
      <c r="DEU7"/>
      <c r="DEV7"/>
      <c r="DEW7"/>
      <c r="DEX7"/>
      <c r="DEY7"/>
      <c r="DEZ7"/>
      <c r="DFA7"/>
      <c r="DFB7"/>
      <c r="DFC7"/>
      <c r="DFD7"/>
      <c r="DFE7"/>
      <c r="DFF7"/>
      <c r="DFG7"/>
      <c r="DFH7"/>
      <c r="DFI7"/>
      <c r="DFJ7"/>
      <c r="DFK7"/>
      <c r="DFL7"/>
      <c r="DFM7"/>
      <c r="DFN7"/>
      <c r="DFO7"/>
      <c r="DFP7"/>
      <c r="DFQ7"/>
      <c r="DFR7"/>
      <c r="DFS7"/>
      <c r="DFT7"/>
      <c r="DFU7"/>
      <c r="DFV7"/>
      <c r="DFW7"/>
      <c r="DFX7"/>
      <c r="DFY7"/>
      <c r="DFZ7"/>
      <c r="DGA7"/>
      <c r="DGB7"/>
      <c r="DGC7"/>
      <c r="DGD7"/>
      <c r="DGE7"/>
      <c r="DGF7"/>
      <c r="DGG7"/>
      <c r="DGH7"/>
      <c r="DGI7"/>
      <c r="DGJ7"/>
      <c r="DGK7"/>
      <c r="DGL7"/>
      <c r="DGM7"/>
      <c r="DGN7"/>
      <c r="DGO7"/>
      <c r="DGP7"/>
      <c r="DGQ7"/>
      <c r="DGR7"/>
      <c r="DGS7"/>
      <c r="DGT7"/>
      <c r="DGU7"/>
      <c r="DGV7"/>
      <c r="DGW7"/>
      <c r="DGX7"/>
      <c r="DGY7"/>
      <c r="DGZ7"/>
      <c r="DHA7"/>
      <c r="DHB7"/>
      <c r="DHC7"/>
      <c r="DHD7"/>
      <c r="DHE7"/>
      <c r="DHF7"/>
      <c r="DHG7"/>
      <c r="DHH7"/>
      <c r="DHI7"/>
      <c r="DHJ7"/>
      <c r="DHK7"/>
      <c r="DHL7"/>
      <c r="DHM7"/>
      <c r="DHN7"/>
      <c r="DHO7"/>
      <c r="DHP7"/>
      <c r="DHQ7"/>
      <c r="DHR7"/>
      <c r="DHS7"/>
      <c r="DHT7"/>
      <c r="DHU7"/>
      <c r="DHV7"/>
      <c r="DHW7"/>
      <c r="DHX7"/>
      <c r="DHY7"/>
      <c r="DHZ7"/>
      <c r="DIA7"/>
      <c r="DIB7"/>
      <c r="DIC7"/>
      <c r="DID7"/>
      <c r="DIE7"/>
      <c r="DIF7"/>
      <c r="DIG7"/>
      <c r="DIH7"/>
      <c r="DII7"/>
      <c r="DIJ7"/>
      <c r="DIK7"/>
      <c r="DIL7"/>
      <c r="DIM7"/>
      <c r="DIN7"/>
      <c r="DIO7"/>
      <c r="DIP7"/>
      <c r="DIQ7"/>
      <c r="DIR7"/>
      <c r="DIS7"/>
      <c r="DIT7"/>
      <c r="DIU7"/>
      <c r="DIV7"/>
      <c r="DIW7"/>
      <c r="DIX7"/>
      <c r="DIY7"/>
      <c r="DIZ7"/>
      <c r="DJA7"/>
      <c r="DJB7"/>
      <c r="DJC7"/>
      <c r="DJD7"/>
      <c r="DJE7"/>
      <c r="DJF7"/>
      <c r="DJG7"/>
      <c r="DJH7"/>
      <c r="DJI7"/>
      <c r="DJJ7"/>
      <c r="DJK7"/>
      <c r="DJL7"/>
      <c r="DJM7"/>
      <c r="DJN7"/>
      <c r="DJO7"/>
      <c r="DJP7"/>
      <c r="DJQ7"/>
      <c r="DJR7"/>
      <c r="DJS7"/>
      <c r="DJT7"/>
      <c r="DJU7"/>
      <c r="DJV7"/>
      <c r="DJW7"/>
      <c r="DJX7"/>
      <c r="DJY7"/>
      <c r="DJZ7"/>
      <c r="DKA7"/>
      <c r="DKB7"/>
      <c r="DKC7"/>
      <c r="DKD7"/>
      <c r="DKE7"/>
      <c r="DKF7"/>
      <c r="DKG7"/>
      <c r="DKH7"/>
      <c r="DKI7"/>
      <c r="DKJ7"/>
      <c r="DKK7"/>
      <c r="DKL7"/>
      <c r="DKM7"/>
      <c r="DKN7"/>
      <c r="DKO7"/>
      <c r="DKP7"/>
      <c r="DKQ7"/>
      <c r="DKR7"/>
      <c r="DKS7"/>
      <c r="DKT7"/>
      <c r="DKU7"/>
      <c r="DKV7"/>
      <c r="DKW7"/>
      <c r="DKX7"/>
      <c r="DKY7"/>
      <c r="DKZ7"/>
      <c r="DLA7"/>
      <c r="DLB7"/>
      <c r="DLC7"/>
      <c r="DLD7"/>
      <c r="DLE7"/>
      <c r="DLF7"/>
      <c r="DLG7"/>
      <c r="DLH7"/>
      <c r="DLI7"/>
      <c r="DLJ7"/>
      <c r="DLK7"/>
      <c r="DLL7"/>
      <c r="DLM7"/>
      <c r="DLN7"/>
      <c r="DLO7"/>
      <c r="DLP7"/>
      <c r="DLQ7"/>
      <c r="DLR7"/>
      <c r="DLS7"/>
      <c r="DLT7"/>
      <c r="DLU7"/>
      <c r="DLV7"/>
      <c r="DLW7"/>
      <c r="DLX7"/>
      <c r="DLY7"/>
      <c r="DLZ7"/>
      <c r="DMA7"/>
      <c r="DMB7"/>
      <c r="DMC7"/>
      <c r="DMD7"/>
      <c r="DME7"/>
      <c r="DMF7"/>
      <c r="DMG7"/>
      <c r="DMH7"/>
      <c r="DMI7"/>
      <c r="DMJ7"/>
      <c r="DMK7"/>
      <c r="DML7"/>
      <c r="DMM7"/>
      <c r="DMN7"/>
      <c r="DMO7"/>
      <c r="DMP7"/>
      <c r="DMQ7"/>
      <c r="DMR7"/>
      <c r="DMS7"/>
      <c r="DMT7"/>
      <c r="DMU7"/>
      <c r="DMV7"/>
      <c r="DMW7"/>
      <c r="DMX7"/>
      <c r="DMY7"/>
      <c r="DMZ7"/>
      <c r="DNA7"/>
      <c r="DNB7"/>
      <c r="DNC7"/>
      <c r="DND7"/>
      <c r="DNE7"/>
      <c r="DNF7"/>
      <c r="DNG7"/>
      <c r="DNH7"/>
      <c r="DNI7"/>
      <c r="DNJ7"/>
      <c r="DNK7"/>
      <c r="DNL7"/>
      <c r="DNM7"/>
      <c r="DNN7"/>
      <c r="DNO7"/>
      <c r="DNP7"/>
      <c r="DNQ7"/>
      <c r="DNR7"/>
      <c r="DNS7"/>
      <c r="DNT7"/>
      <c r="DNU7"/>
      <c r="DNV7"/>
      <c r="DNW7"/>
      <c r="DNX7"/>
      <c r="DNY7"/>
      <c r="DNZ7"/>
      <c r="DOA7"/>
      <c r="DOB7"/>
      <c r="DOC7"/>
      <c r="DOD7"/>
      <c r="DOE7"/>
      <c r="DOF7"/>
      <c r="DOG7"/>
      <c r="DOH7"/>
      <c r="DOI7"/>
      <c r="DOJ7"/>
      <c r="DOK7"/>
      <c r="DOL7"/>
      <c r="DOM7"/>
      <c r="DON7"/>
      <c r="DOO7"/>
      <c r="DOP7"/>
      <c r="DOQ7"/>
      <c r="DOR7"/>
      <c r="DOS7"/>
      <c r="DOT7"/>
      <c r="DOU7"/>
      <c r="DOV7"/>
      <c r="DOW7"/>
      <c r="DOX7"/>
      <c r="DOY7"/>
      <c r="DOZ7"/>
      <c r="DPA7"/>
      <c r="DPB7"/>
      <c r="DPC7"/>
      <c r="DPD7"/>
      <c r="DPE7"/>
      <c r="DPF7"/>
      <c r="DPG7"/>
      <c r="DPH7"/>
      <c r="DPI7"/>
      <c r="DPJ7"/>
      <c r="DPK7"/>
      <c r="DPL7"/>
      <c r="DPM7"/>
      <c r="DPN7"/>
      <c r="DPO7"/>
      <c r="DPP7"/>
      <c r="DPQ7"/>
      <c r="DPR7"/>
      <c r="DPS7"/>
      <c r="DPT7"/>
      <c r="DPU7"/>
      <c r="DPV7"/>
      <c r="DPW7"/>
      <c r="DPX7"/>
      <c r="DPY7"/>
      <c r="DPZ7"/>
      <c r="DQA7"/>
      <c r="DQB7"/>
      <c r="DQC7"/>
      <c r="DQD7"/>
      <c r="DQE7"/>
      <c r="DQF7"/>
      <c r="DQG7"/>
      <c r="DQH7"/>
      <c r="DQI7"/>
      <c r="DQJ7"/>
      <c r="DQK7"/>
      <c r="DQL7"/>
      <c r="DQM7"/>
      <c r="DQN7"/>
      <c r="DQO7"/>
      <c r="DQP7"/>
      <c r="DQQ7"/>
      <c r="DQR7"/>
      <c r="DQS7"/>
      <c r="DQT7"/>
      <c r="DQU7"/>
      <c r="DQV7"/>
      <c r="DQW7"/>
      <c r="DQX7"/>
      <c r="DQY7"/>
      <c r="DQZ7"/>
      <c r="DRA7"/>
      <c r="DRB7"/>
      <c r="DRC7"/>
      <c r="DRD7"/>
      <c r="DRE7"/>
      <c r="DRF7"/>
      <c r="DRG7"/>
      <c r="DRH7"/>
      <c r="DRI7"/>
      <c r="DRJ7"/>
      <c r="DRK7"/>
      <c r="DRL7"/>
      <c r="DRM7"/>
      <c r="DRN7"/>
      <c r="DRO7"/>
      <c r="DRP7"/>
      <c r="DRQ7"/>
      <c r="DRR7"/>
      <c r="DRS7"/>
      <c r="DRT7"/>
      <c r="DRU7"/>
      <c r="DRV7"/>
      <c r="DRW7"/>
      <c r="DRX7"/>
      <c r="DRY7"/>
      <c r="DRZ7"/>
      <c r="DSA7"/>
      <c r="DSB7"/>
      <c r="DSC7"/>
      <c r="DSD7"/>
      <c r="DSE7"/>
      <c r="DSF7"/>
      <c r="DSG7"/>
      <c r="DSH7"/>
      <c r="DSI7"/>
      <c r="DSJ7"/>
      <c r="DSK7"/>
      <c r="DSL7"/>
      <c r="DSM7"/>
      <c r="DSN7"/>
      <c r="DSO7"/>
      <c r="DSP7"/>
      <c r="DSQ7"/>
      <c r="DSR7"/>
      <c r="DSS7"/>
      <c r="DST7"/>
      <c r="DSU7"/>
      <c r="DSV7"/>
      <c r="DSW7"/>
      <c r="DSX7"/>
      <c r="DSY7"/>
      <c r="DSZ7"/>
      <c r="DTA7"/>
      <c r="DTB7"/>
      <c r="DTC7"/>
      <c r="DTD7"/>
      <c r="DTE7"/>
      <c r="DTF7"/>
      <c r="DTG7"/>
      <c r="DTH7"/>
      <c r="DTI7"/>
      <c r="DTJ7"/>
      <c r="DTK7"/>
      <c r="DTL7"/>
      <c r="DTM7"/>
      <c r="DTN7"/>
      <c r="DTO7"/>
      <c r="DTP7"/>
      <c r="DTQ7"/>
      <c r="DTR7"/>
      <c r="DTS7"/>
      <c r="DTT7"/>
      <c r="DTU7"/>
      <c r="DTV7"/>
      <c r="DTW7"/>
      <c r="DTX7"/>
      <c r="DTY7"/>
      <c r="DTZ7"/>
      <c r="DUA7"/>
      <c r="DUB7"/>
      <c r="DUC7"/>
      <c r="DUD7"/>
      <c r="DUE7"/>
      <c r="DUF7"/>
      <c r="DUG7"/>
      <c r="DUH7"/>
      <c r="DUI7"/>
      <c r="DUJ7"/>
      <c r="DUK7"/>
      <c r="DUL7"/>
      <c r="DUM7"/>
      <c r="DUN7"/>
      <c r="DUO7"/>
      <c r="DUP7"/>
      <c r="DUQ7"/>
      <c r="DUR7"/>
      <c r="DUS7"/>
      <c r="DUT7"/>
      <c r="DUU7"/>
      <c r="DUV7"/>
      <c r="DUW7"/>
      <c r="DUX7"/>
      <c r="DUY7"/>
      <c r="DUZ7"/>
      <c r="DVA7"/>
      <c r="DVB7"/>
      <c r="DVC7"/>
      <c r="DVD7"/>
      <c r="DVE7"/>
      <c r="DVF7"/>
      <c r="DVG7"/>
      <c r="DVH7"/>
      <c r="DVI7"/>
      <c r="DVJ7"/>
      <c r="DVK7"/>
      <c r="DVL7"/>
      <c r="DVM7"/>
      <c r="DVN7"/>
      <c r="DVO7"/>
      <c r="DVP7"/>
      <c r="DVQ7"/>
      <c r="DVR7"/>
      <c r="DVS7"/>
      <c r="DVT7"/>
      <c r="DVU7"/>
      <c r="DVV7"/>
      <c r="DVW7"/>
      <c r="DVX7"/>
      <c r="DVY7"/>
      <c r="DVZ7"/>
      <c r="DWA7"/>
      <c r="DWB7"/>
      <c r="DWC7"/>
      <c r="DWD7"/>
      <c r="DWE7"/>
      <c r="DWF7"/>
      <c r="DWG7"/>
      <c r="DWH7"/>
      <c r="DWI7"/>
      <c r="DWJ7"/>
      <c r="DWK7"/>
      <c r="DWL7"/>
      <c r="DWM7"/>
      <c r="DWN7"/>
      <c r="DWO7"/>
      <c r="DWP7"/>
      <c r="DWQ7"/>
      <c r="DWR7"/>
      <c r="DWS7"/>
      <c r="DWT7"/>
      <c r="DWU7"/>
      <c r="DWV7"/>
      <c r="DWW7"/>
      <c r="DWX7"/>
      <c r="DWY7"/>
      <c r="DWZ7"/>
      <c r="DXA7"/>
      <c r="DXB7"/>
      <c r="DXC7"/>
      <c r="DXD7"/>
      <c r="DXE7"/>
      <c r="DXF7"/>
      <c r="DXG7"/>
      <c r="DXH7"/>
      <c r="DXI7"/>
      <c r="DXJ7"/>
      <c r="DXK7"/>
      <c r="DXL7"/>
      <c r="DXM7"/>
      <c r="DXN7"/>
      <c r="DXO7"/>
      <c r="DXP7"/>
      <c r="DXQ7"/>
      <c r="DXR7"/>
      <c r="DXS7"/>
      <c r="DXT7"/>
      <c r="DXU7"/>
      <c r="DXV7"/>
      <c r="DXW7"/>
      <c r="DXX7"/>
      <c r="DXY7"/>
      <c r="DXZ7"/>
      <c r="DYA7"/>
      <c r="DYB7"/>
      <c r="DYC7"/>
      <c r="DYD7"/>
      <c r="DYE7"/>
      <c r="DYF7"/>
      <c r="DYG7"/>
      <c r="DYH7"/>
      <c r="DYI7"/>
      <c r="DYJ7"/>
      <c r="DYK7"/>
      <c r="DYL7"/>
      <c r="DYM7"/>
      <c r="DYN7"/>
      <c r="DYO7"/>
      <c r="DYP7"/>
      <c r="DYQ7"/>
      <c r="DYR7"/>
      <c r="DYS7"/>
      <c r="DYT7"/>
      <c r="DYU7"/>
      <c r="DYV7"/>
      <c r="DYW7"/>
      <c r="DYX7"/>
      <c r="DYY7"/>
      <c r="DYZ7"/>
      <c r="DZA7"/>
      <c r="DZB7"/>
      <c r="DZC7"/>
      <c r="DZD7"/>
      <c r="DZE7"/>
      <c r="DZF7"/>
      <c r="DZG7"/>
      <c r="DZH7"/>
      <c r="DZI7"/>
      <c r="DZJ7"/>
      <c r="DZK7"/>
      <c r="DZL7"/>
      <c r="DZM7"/>
      <c r="DZN7"/>
      <c r="DZO7"/>
      <c r="DZP7"/>
      <c r="DZQ7"/>
      <c r="DZR7"/>
      <c r="DZS7"/>
      <c r="DZT7"/>
      <c r="DZU7"/>
      <c r="DZV7"/>
      <c r="DZW7"/>
      <c r="DZX7"/>
      <c r="DZY7"/>
      <c r="DZZ7"/>
      <c r="EAA7"/>
      <c r="EAB7"/>
      <c r="EAC7"/>
      <c r="EAD7"/>
      <c r="EAE7"/>
      <c r="EAF7"/>
      <c r="EAG7"/>
      <c r="EAH7"/>
      <c r="EAI7"/>
      <c r="EAJ7"/>
      <c r="EAK7"/>
      <c r="EAL7"/>
      <c r="EAM7"/>
      <c r="EAN7"/>
      <c r="EAO7"/>
      <c r="EAP7"/>
      <c r="EAQ7"/>
      <c r="EAR7"/>
      <c r="EAS7"/>
      <c r="EAT7"/>
      <c r="EAU7"/>
      <c r="EAV7"/>
      <c r="EAW7"/>
      <c r="EAX7"/>
      <c r="EAY7"/>
      <c r="EAZ7"/>
      <c r="EBA7"/>
      <c r="EBB7"/>
      <c r="EBC7"/>
      <c r="EBD7"/>
      <c r="EBE7"/>
      <c r="EBF7"/>
      <c r="EBG7"/>
      <c r="EBH7"/>
      <c r="EBI7"/>
      <c r="EBJ7"/>
      <c r="EBK7"/>
      <c r="EBL7"/>
      <c r="EBM7"/>
      <c r="EBN7"/>
      <c r="EBO7"/>
      <c r="EBP7"/>
      <c r="EBQ7"/>
      <c r="EBR7"/>
      <c r="EBS7"/>
      <c r="EBT7"/>
      <c r="EBU7"/>
      <c r="EBV7"/>
      <c r="EBW7"/>
      <c r="EBX7"/>
      <c r="EBY7"/>
      <c r="EBZ7"/>
      <c r="ECA7"/>
      <c r="ECB7"/>
      <c r="ECC7"/>
      <c r="ECD7"/>
      <c r="ECE7"/>
      <c r="ECF7"/>
      <c r="ECG7"/>
      <c r="ECH7"/>
      <c r="ECI7"/>
      <c r="ECJ7"/>
      <c r="ECK7"/>
      <c r="ECL7"/>
      <c r="ECM7"/>
      <c r="ECN7"/>
      <c r="ECO7"/>
      <c r="ECP7"/>
      <c r="ECQ7"/>
      <c r="ECR7"/>
      <c r="ECS7"/>
      <c r="ECT7"/>
      <c r="ECU7"/>
      <c r="ECV7"/>
      <c r="ECW7"/>
      <c r="ECX7"/>
      <c r="ECY7"/>
      <c r="ECZ7"/>
      <c r="EDA7"/>
      <c r="EDB7"/>
      <c r="EDC7"/>
      <c r="EDD7"/>
      <c r="EDE7"/>
      <c r="EDF7"/>
      <c r="EDG7"/>
      <c r="EDH7"/>
      <c r="EDI7"/>
      <c r="EDJ7"/>
      <c r="EDK7"/>
      <c r="EDL7"/>
      <c r="EDM7"/>
      <c r="EDN7"/>
      <c r="EDO7"/>
      <c r="EDP7"/>
      <c r="EDQ7"/>
      <c r="EDR7"/>
      <c r="EDS7"/>
      <c r="EDT7"/>
      <c r="EDU7"/>
      <c r="EDV7"/>
      <c r="EDW7"/>
      <c r="EDX7"/>
      <c r="EDY7"/>
      <c r="EDZ7"/>
      <c r="EEA7"/>
      <c r="EEB7"/>
      <c r="EEC7"/>
      <c r="EED7"/>
      <c r="EEE7"/>
      <c r="EEF7"/>
      <c r="EEG7"/>
      <c r="EEH7"/>
      <c r="EEI7"/>
      <c r="EEJ7"/>
      <c r="EEK7"/>
      <c r="EEL7"/>
      <c r="EEM7"/>
      <c r="EEN7"/>
      <c r="EEO7"/>
      <c r="EEP7"/>
      <c r="EEQ7"/>
      <c r="EER7"/>
      <c r="EES7"/>
      <c r="EET7"/>
      <c r="EEU7"/>
      <c r="EEV7"/>
      <c r="EEW7"/>
      <c r="EEX7"/>
      <c r="EEY7"/>
      <c r="EEZ7"/>
      <c r="EFA7"/>
      <c r="EFB7"/>
      <c r="EFC7"/>
      <c r="EFD7"/>
      <c r="EFE7"/>
      <c r="EFF7"/>
      <c r="EFG7"/>
      <c r="EFH7"/>
      <c r="EFI7"/>
      <c r="EFJ7"/>
      <c r="EFK7"/>
      <c r="EFL7"/>
      <c r="EFM7"/>
      <c r="EFN7"/>
      <c r="EFO7"/>
      <c r="EFP7"/>
      <c r="EFQ7"/>
      <c r="EFR7"/>
      <c r="EFS7"/>
      <c r="EFT7"/>
      <c r="EFU7"/>
      <c r="EFV7"/>
      <c r="EFW7"/>
      <c r="EFX7"/>
      <c r="EFY7"/>
      <c r="EFZ7"/>
      <c r="EGA7"/>
      <c r="EGB7"/>
      <c r="EGC7"/>
      <c r="EGD7"/>
      <c r="EGE7"/>
      <c r="EGF7"/>
      <c r="EGG7"/>
      <c r="EGH7"/>
      <c r="EGI7"/>
      <c r="EGJ7"/>
      <c r="EGK7"/>
      <c r="EGL7"/>
      <c r="EGM7"/>
      <c r="EGN7"/>
      <c r="EGO7"/>
      <c r="EGP7"/>
      <c r="EGQ7"/>
      <c r="EGR7"/>
      <c r="EGS7"/>
      <c r="EGT7"/>
      <c r="EGU7"/>
      <c r="EGV7"/>
      <c r="EGW7"/>
      <c r="EGX7"/>
      <c r="EGY7"/>
      <c r="EGZ7"/>
      <c r="EHA7"/>
      <c r="EHB7"/>
      <c r="EHC7"/>
      <c r="EHD7"/>
      <c r="EHE7"/>
      <c r="EHF7"/>
      <c r="EHG7"/>
      <c r="EHH7"/>
      <c r="EHI7"/>
      <c r="EHJ7"/>
      <c r="EHK7"/>
      <c r="EHL7"/>
      <c r="EHM7"/>
      <c r="EHN7"/>
      <c r="EHO7"/>
      <c r="EHP7"/>
      <c r="EHQ7"/>
      <c r="EHR7"/>
      <c r="EHS7"/>
      <c r="EHT7"/>
      <c r="EHU7"/>
      <c r="EHV7"/>
      <c r="EHW7"/>
      <c r="EHX7"/>
      <c r="EHY7"/>
      <c r="EHZ7"/>
      <c r="EIA7"/>
      <c r="EIB7"/>
      <c r="EIC7"/>
      <c r="EID7"/>
      <c r="EIE7"/>
      <c r="EIF7"/>
      <c r="EIG7"/>
      <c r="EIH7"/>
      <c r="EII7"/>
      <c r="EIJ7"/>
      <c r="EIK7"/>
      <c r="EIL7"/>
      <c r="EIM7"/>
      <c r="EIN7"/>
      <c r="EIO7"/>
      <c r="EIP7"/>
      <c r="EIQ7"/>
      <c r="EIR7"/>
      <c r="EIS7"/>
      <c r="EIT7"/>
      <c r="EIU7"/>
      <c r="EIV7"/>
      <c r="EIW7"/>
      <c r="EIX7"/>
      <c r="EIY7"/>
      <c r="EIZ7"/>
      <c r="EJA7"/>
      <c r="EJB7"/>
      <c r="EJC7"/>
      <c r="EJD7"/>
      <c r="EJE7"/>
      <c r="EJF7"/>
      <c r="EJG7"/>
      <c r="EJH7"/>
      <c r="EJI7"/>
      <c r="EJJ7"/>
      <c r="EJK7"/>
      <c r="EJL7"/>
      <c r="EJM7"/>
      <c r="EJN7"/>
      <c r="EJO7"/>
      <c r="EJP7"/>
      <c r="EJQ7"/>
      <c r="EJR7"/>
      <c r="EJS7"/>
      <c r="EJT7"/>
      <c r="EJU7"/>
      <c r="EJV7"/>
      <c r="EJW7"/>
      <c r="EJX7"/>
      <c r="EJY7"/>
      <c r="EJZ7"/>
      <c r="EKA7"/>
      <c r="EKB7"/>
      <c r="EKC7"/>
      <c r="EKD7"/>
      <c r="EKE7"/>
      <c r="EKF7"/>
      <c r="EKG7"/>
      <c r="EKH7"/>
      <c r="EKI7"/>
      <c r="EKJ7"/>
      <c r="EKK7"/>
      <c r="EKL7"/>
      <c r="EKM7"/>
      <c r="EKN7"/>
      <c r="EKO7"/>
      <c r="EKP7"/>
      <c r="EKQ7"/>
      <c r="EKR7"/>
      <c r="EKS7"/>
      <c r="EKT7"/>
      <c r="EKU7"/>
      <c r="EKV7"/>
      <c r="EKW7"/>
      <c r="EKX7"/>
      <c r="EKY7"/>
      <c r="EKZ7"/>
      <c r="ELA7"/>
      <c r="ELB7"/>
      <c r="ELC7"/>
      <c r="ELD7"/>
      <c r="ELE7"/>
      <c r="ELF7"/>
      <c r="ELG7"/>
      <c r="ELH7"/>
      <c r="ELI7"/>
      <c r="ELJ7"/>
      <c r="ELK7"/>
      <c r="ELL7"/>
      <c r="ELM7"/>
      <c r="ELN7"/>
      <c r="ELO7"/>
      <c r="ELP7"/>
      <c r="ELQ7"/>
      <c r="ELR7"/>
      <c r="ELS7"/>
      <c r="ELT7"/>
      <c r="ELU7"/>
      <c r="ELV7"/>
      <c r="ELW7"/>
      <c r="ELX7"/>
      <c r="ELY7"/>
      <c r="ELZ7"/>
      <c r="EMA7"/>
      <c r="EMB7"/>
      <c r="EMC7"/>
      <c r="EMD7"/>
      <c r="EME7"/>
      <c r="EMF7"/>
      <c r="EMG7"/>
      <c r="EMH7"/>
      <c r="EMI7"/>
      <c r="EMJ7"/>
      <c r="EMK7"/>
      <c r="EML7"/>
      <c r="EMM7"/>
      <c r="EMN7"/>
      <c r="EMO7"/>
      <c r="EMP7"/>
      <c r="EMQ7"/>
      <c r="EMR7"/>
      <c r="EMS7"/>
      <c r="EMT7"/>
      <c r="EMU7"/>
      <c r="EMV7"/>
      <c r="EMW7"/>
      <c r="EMX7"/>
      <c r="EMY7"/>
      <c r="EMZ7"/>
      <c r="ENA7"/>
      <c r="ENB7"/>
      <c r="ENC7"/>
      <c r="END7"/>
      <c r="ENE7"/>
      <c r="ENF7"/>
      <c r="ENG7"/>
      <c r="ENH7"/>
      <c r="ENI7"/>
      <c r="ENJ7"/>
      <c r="ENK7"/>
      <c r="ENL7"/>
      <c r="ENM7"/>
      <c r="ENN7"/>
      <c r="ENO7"/>
      <c r="ENP7"/>
      <c r="ENQ7"/>
      <c r="ENR7"/>
      <c r="ENS7"/>
      <c r="ENT7"/>
      <c r="ENU7"/>
      <c r="ENV7"/>
      <c r="ENW7"/>
      <c r="ENX7"/>
      <c r="ENY7"/>
      <c r="ENZ7"/>
      <c r="EOA7"/>
      <c r="EOB7"/>
      <c r="EOC7"/>
      <c r="EOD7"/>
      <c r="EOE7"/>
      <c r="EOF7"/>
      <c r="EOG7"/>
      <c r="EOH7"/>
      <c r="EOI7"/>
      <c r="EOJ7"/>
      <c r="EOK7"/>
      <c r="EOL7"/>
      <c r="EOM7"/>
      <c r="EON7"/>
      <c r="EOO7"/>
      <c r="EOP7"/>
      <c r="EOQ7"/>
      <c r="EOR7"/>
      <c r="EOS7"/>
      <c r="EOT7"/>
      <c r="EOU7"/>
      <c r="EOV7"/>
      <c r="EOW7"/>
      <c r="EOX7"/>
      <c r="EOY7"/>
      <c r="EOZ7"/>
      <c r="EPA7"/>
      <c r="EPB7"/>
      <c r="EPC7"/>
      <c r="EPD7"/>
      <c r="EPE7"/>
      <c r="EPF7"/>
      <c r="EPG7"/>
      <c r="EPH7"/>
      <c r="EPI7"/>
      <c r="EPJ7"/>
      <c r="EPK7"/>
      <c r="EPL7"/>
      <c r="EPM7"/>
      <c r="EPN7"/>
      <c r="EPO7"/>
      <c r="EPP7"/>
      <c r="EPQ7"/>
      <c r="EPR7"/>
      <c r="EPS7"/>
      <c r="EPT7"/>
      <c r="EPU7"/>
      <c r="EPV7"/>
      <c r="EPW7"/>
      <c r="EPX7"/>
      <c r="EPY7"/>
      <c r="EPZ7"/>
      <c r="EQA7"/>
      <c r="EQB7"/>
      <c r="EQC7"/>
      <c r="EQD7"/>
      <c r="EQE7"/>
      <c r="EQF7"/>
      <c r="EQG7"/>
      <c r="EQH7"/>
      <c r="EQI7"/>
      <c r="EQJ7"/>
      <c r="EQK7"/>
      <c r="EQL7"/>
      <c r="EQM7"/>
      <c r="EQN7"/>
      <c r="EQO7"/>
      <c r="EQP7"/>
      <c r="EQQ7"/>
      <c r="EQR7"/>
      <c r="EQS7"/>
      <c r="EQT7"/>
      <c r="EQU7"/>
      <c r="EQV7"/>
      <c r="EQW7"/>
      <c r="EQX7"/>
      <c r="EQY7"/>
      <c r="EQZ7"/>
      <c r="ERA7"/>
      <c r="ERB7"/>
      <c r="ERC7"/>
      <c r="ERD7"/>
      <c r="ERE7"/>
      <c r="ERF7"/>
      <c r="ERG7"/>
      <c r="ERH7"/>
      <c r="ERI7"/>
      <c r="ERJ7"/>
      <c r="ERK7"/>
      <c r="ERL7"/>
      <c r="ERM7"/>
      <c r="ERN7"/>
      <c r="ERO7"/>
      <c r="ERP7"/>
      <c r="ERQ7"/>
      <c r="ERR7"/>
      <c r="ERS7"/>
      <c r="ERT7"/>
      <c r="ERU7"/>
      <c r="ERV7"/>
      <c r="ERW7"/>
      <c r="ERX7"/>
      <c r="ERY7"/>
      <c r="ERZ7"/>
      <c r="ESA7"/>
      <c r="ESB7"/>
      <c r="ESC7"/>
      <c r="ESD7"/>
      <c r="ESE7"/>
      <c r="ESF7"/>
      <c r="ESG7"/>
      <c r="ESH7"/>
      <c r="ESI7"/>
      <c r="ESJ7"/>
      <c r="ESK7"/>
      <c r="ESL7"/>
      <c r="ESM7"/>
      <c r="ESN7"/>
      <c r="ESO7"/>
      <c r="ESP7"/>
      <c r="ESQ7"/>
      <c r="ESR7"/>
      <c r="ESS7"/>
      <c r="EST7"/>
      <c r="ESU7"/>
      <c r="ESV7"/>
      <c r="ESW7"/>
      <c r="ESX7"/>
      <c r="ESY7"/>
      <c r="ESZ7"/>
      <c r="ETA7"/>
      <c r="ETB7"/>
      <c r="ETC7"/>
      <c r="ETD7"/>
      <c r="ETE7"/>
      <c r="ETF7"/>
      <c r="ETG7"/>
      <c r="ETH7"/>
      <c r="ETI7"/>
      <c r="ETJ7"/>
      <c r="ETK7"/>
      <c r="ETL7"/>
      <c r="ETM7"/>
      <c r="ETN7"/>
      <c r="ETO7"/>
      <c r="ETP7"/>
      <c r="ETQ7"/>
      <c r="ETR7"/>
      <c r="ETS7"/>
      <c r="ETT7"/>
      <c r="ETU7"/>
      <c r="ETV7"/>
      <c r="ETW7"/>
      <c r="ETX7"/>
      <c r="ETY7"/>
      <c r="ETZ7"/>
      <c r="EUA7"/>
      <c r="EUB7"/>
      <c r="EUC7"/>
      <c r="EUD7"/>
      <c r="EUE7"/>
      <c r="EUF7"/>
      <c r="EUG7"/>
      <c r="EUH7"/>
      <c r="EUI7"/>
      <c r="EUJ7"/>
      <c r="EUK7"/>
      <c r="EUL7"/>
      <c r="EUM7"/>
      <c r="EUN7"/>
      <c r="EUO7"/>
      <c r="EUP7"/>
      <c r="EUQ7"/>
      <c r="EUR7"/>
      <c r="EUS7"/>
      <c r="EUT7"/>
      <c r="EUU7"/>
      <c r="EUV7"/>
      <c r="EUW7"/>
      <c r="EUX7"/>
      <c r="EUY7"/>
      <c r="EUZ7"/>
      <c r="EVA7"/>
      <c r="EVB7"/>
      <c r="EVC7"/>
      <c r="EVD7"/>
      <c r="EVE7"/>
      <c r="EVF7"/>
      <c r="EVG7"/>
      <c r="EVH7"/>
      <c r="EVI7"/>
      <c r="EVJ7"/>
      <c r="EVK7"/>
      <c r="EVL7"/>
      <c r="EVM7"/>
      <c r="EVN7"/>
      <c r="EVO7"/>
      <c r="EVP7"/>
      <c r="EVQ7"/>
      <c r="EVR7"/>
      <c r="EVS7"/>
      <c r="EVT7"/>
      <c r="EVU7"/>
      <c r="EVV7"/>
      <c r="EVW7"/>
      <c r="EVX7"/>
      <c r="EVY7"/>
      <c r="EVZ7"/>
      <c r="EWA7"/>
      <c r="EWB7"/>
      <c r="EWC7"/>
      <c r="EWD7"/>
      <c r="EWE7"/>
      <c r="EWF7"/>
      <c r="EWG7"/>
      <c r="EWH7"/>
      <c r="EWI7"/>
      <c r="EWJ7"/>
      <c r="EWK7"/>
      <c r="EWL7"/>
      <c r="EWM7"/>
      <c r="EWN7"/>
      <c r="EWO7"/>
      <c r="EWP7"/>
      <c r="EWQ7"/>
      <c r="EWR7"/>
      <c r="EWS7"/>
      <c r="EWT7"/>
      <c r="EWU7"/>
      <c r="EWV7"/>
      <c r="EWW7"/>
      <c r="EWX7"/>
      <c r="EWY7"/>
      <c r="EWZ7"/>
      <c r="EXA7"/>
      <c r="EXB7"/>
      <c r="EXC7"/>
      <c r="EXD7"/>
      <c r="EXE7"/>
      <c r="EXF7"/>
      <c r="EXG7"/>
      <c r="EXH7"/>
      <c r="EXI7"/>
      <c r="EXJ7"/>
      <c r="EXK7"/>
      <c r="EXL7"/>
      <c r="EXM7"/>
      <c r="EXN7"/>
      <c r="EXO7"/>
      <c r="EXP7"/>
      <c r="EXQ7"/>
      <c r="EXR7"/>
      <c r="EXS7"/>
      <c r="EXT7"/>
      <c r="EXU7"/>
      <c r="EXV7"/>
      <c r="EXW7"/>
      <c r="EXX7"/>
      <c r="EXY7"/>
      <c r="EXZ7"/>
      <c r="EYA7"/>
      <c r="EYB7"/>
      <c r="EYC7"/>
      <c r="EYD7"/>
      <c r="EYE7"/>
      <c r="EYF7"/>
      <c r="EYG7"/>
      <c r="EYH7"/>
      <c r="EYI7"/>
      <c r="EYJ7"/>
      <c r="EYK7"/>
      <c r="EYL7"/>
      <c r="EYM7"/>
      <c r="EYN7"/>
      <c r="EYO7"/>
      <c r="EYP7"/>
      <c r="EYQ7"/>
      <c r="EYR7"/>
      <c r="EYS7"/>
      <c r="EYT7"/>
      <c r="EYU7"/>
      <c r="EYV7"/>
      <c r="EYW7"/>
      <c r="EYX7"/>
      <c r="EYY7"/>
      <c r="EYZ7"/>
      <c r="EZA7"/>
      <c r="EZB7"/>
      <c r="EZC7"/>
      <c r="EZD7"/>
      <c r="EZE7"/>
      <c r="EZF7"/>
      <c r="EZG7"/>
      <c r="EZH7"/>
      <c r="EZI7"/>
      <c r="EZJ7"/>
      <c r="EZK7"/>
      <c r="EZL7"/>
      <c r="EZM7"/>
      <c r="EZN7"/>
      <c r="EZO7"/>
      <c r="EZP7"/>
      <c r="EZQ7"/>
      <c r="EZR7"/>
      <c r="EZS7"/>
      <c r="EZT7"/>
      <c r="EZU7"/>
      <c r="EZV7"/>
      <c r="EZW7"/>
      <c r="EZX7"/>
      <c r="EZY7"/>
      <c r="EZZ7"/>
      <c r="FAA7"/>
      <c r="FAB7"/>
      <c r="FAC7"/>
      <c r="FAD7"/>
      <c r="FAE7"/>
      <c r="FAF7"/>
      <c r="FAG7"/>
      <c r="FAH7"/>
      <c r="FAI7"/>
      <c r="FAJ7"/>
      <c r="FAK7"/>
      <c r="FAL7"/>
      <c r="FAM7"/>
      <c r="FAN7"/>
      <c r="FAO7"/>
      <c r="FAP7"/>
      <c r="FAQ7"/>
      <c r="FAR7"/>
      <c r="FAS7"/>
      <c r="FAT7"/>
      <c r="FAU7"/>
      <c r="FAV7"/>
      <c r="FAW7"/>
      <c r="FAX7"/>
      <c r="FAY7"/>
      <c r="FAZ7"/>
      <c r="FBA7"/>
      <c r="FBB7"/>
      <c r="FBC7"/>
      <c r="FBD7"/>
      <c r="FBE7"/>
      <c r="FBF7"/>
      <c r="FBG7"/>
      <c r="FBH7"/>
      <c r="FBI7"/>
      <c r="FBJ7"/>
      <c r="FBK7"/>
      <c r="FBL7"/>
      <c r="FBM7"/>
      <c r="FBN7"/>
      <c r="FBO7"/>
      <c r="FBP7"/>
      <c r="FBQ7"/>
      <c r="FBR7"/>
      <c r="FBS7"/>
      <c r="FBT7"/>
      <c r="FBU7"/>
      <c r="FBV7"/>
      <c r="FBW7"/>
      <c r="FBX7"/>
      <c r="FBY7"/>
      <c r="FBZ7"/>
      <c r="FCA7"/>
      <c r="FCB7"/>
      <c r="FCC7"/>
      <c r="FCD7"/>
      <c r="FCE7"/>
      <c r="FCF7"/>
      <c r="FCG7"/>
      <c r="FCH7"/>
      <c r="FCI7"/>
      <c r="FCJ7"/>
      <c r="FCK7"/>
      <c r="FCL7"/>
      <c r="FCM7"/>
      <c r="FCN7"/>
      <c r="FCO7"/>
      <c r="FCP7"/>
      <c r="FCQ7"/>
      <c r="FCR7"/>
      <c r="FCS7"/>
      <c r="FCT7"/>
      <c r="FCU7"/>
      <c r="FCV7"/>
      <c r="FCW7"/>
      <c r="FCX7"/>
      <c r="FCY7"/>
      <c r="FCZ7"/>
      <c r="FDA7"/>
      <c r="FDB7"/>
      <c r="FDC7"/>
      <c r="FDD7"/>
      <c r="FDE7"/>
      <c r="FDF7"/>
      <c r="FDG7"/>
      <c r="FDH7"/>
      <c r="FDI7"/>
      <c r="FDJ7"/>
      <c r="FDK7"/>
      <c r="FDL7"/>
      <c r="FDM7"/>
      <c r="FDN7"/>
      <c r="FDO7"/>
      <c r="FDP7"/>
      <c r="FDQ7"/>
      <c r="FDR7"/>
      <c r="FDS7"/>
      <c r="FDT7"/>
      <c r="FDU7"/>
      <c r="FDV7"/>
      <c r="FDW7"/>
      <c r="FDX7"/>
      <c r="FDY7"/>
      <c r="FDZ7"/>
      <c r="FEA7"/>
      <c r="FEB7"/>
      <c r="FEC7"/>
      <c r="FED7"/>
      <c r="FEE7"/>
      <c r="FEF7"/>
      <c r="FEG7"/>
      <c r="FEH7"/>
      <c r="FEI7"/>
      <c r="FEJ7"/>
      <c r="FEK7"/>
      <c r="FEL7"/>
      <c r="FEM7"/>
      <c r="FEN7"/>
      <c r="FEO7"/>
      <c r="FEP7"/>
      <c r="FEQ7"/>
      <c r="FER7"/>
      <c r="FES7"/>
      <c r="FET7"/>
      <c r="FEU7"/>
      <c r="FEV7"/>
      <c r="FEW7"/>
      <c r="FEX7"/>
      <c r="FEY7"/>
      <c r="FEZ7"/>
      <c r="FFA7"/>
      <c r="FFB7"/>
      <c r="FFC7"/>
      <c r="FFD7"/>
      <c r="FFE7"/>
      <c r="FFF7"/>
      <c r="FFG7"/>
      <c r="FFH7"/>
      <c r="FFI7"/>
      <c r="FFJ7"/>
      <c r="FFK7"/>
      <c r="FFL7"/>
      <c r="FFM7"/>
      <c r="FFN7"/>
      <c r="FFO7"/>
      <c r="FFP7"/>
      <c r="FFQ7"/>
      <c r="FFR7"/>
      <c r="FFS7"/>
      <c r="FFT7"/>
      <c r="FFU7"/>
      <c r="FFV7"/>
      <c r="FFW7"/>
      <c r="FFX7"/>
      <c r="FFY7"/>
      <c r="FFZ7"/>
      <c r="FGA7"/>
      <c r="FGB7"/>
      <c r="FGC7"/>
      <c r="FGD7"/>
      <c r="FGE7"/>
      <c r="FGF7"/>
      <c r="FGG7"/>
      <c r="FGH7"/>
      <c r="FGI7"/>
      <c r="FGJ7"/>
      <c r="FGK7"/>
      <c r="FGL7"/>
      <c r="FGM7"/>
      <c r="FGN7"/>
      <c r="FGO7"/>
      <c r="FGP7"/>
      <c r="FGQ7"/>
      <c r="FGR7"/>
      <c r="FGS7"/>
      <c r="FGT7"/>
      <c r="FGU7"/>
      <c r="FGV7"/>
      <c r="FGW7"/>
      <c r="FGX7"/>
      <c r="FGY7"/>
      <c r="FGZ7"/>
      <c r="FHA7"/>
      <c r="FHB7"/>
      <c r="FHC7"/>
      <c r="FHD7"/>
      <c r="FHE7"/>
      <c r="FHF7"/>
      <c r="FHG7"/>
      <c r="FHH7"/>
      <c r="FHI7"/>
      <c r="FHJ7"/>
      <c r="FHK7"/>
      <c r="FHL7"/>
      <c r="FHM7"/>
      <c r="FHN7"/>
      <c r="FHO7"/>
      <c r="FHP7"/>
      <c r="FHQ7"/>
      <c r="FHR7"/>
      <c r="FHS7"/>
      <c r="FHT7"/>
      <c r="FHU7"/>
      <c r="FHV7"/>
      <c r="FHW7"/>
      <c r="FHX7"/>
      <c r="FHY7"/>
      <c r="FHZ7"/>
      <c r="FIA7"/>
      <c r="FIB7"/>
      <c r="FIC7"/>
      <c r="FID7"/>
      <c r="FIE7"/>
      <c r="FIF7"/>
      <c r="FIG7"/>
      <c r="FIH7"/>
      <c r="FII7"/>
      <c r="FIJ7"/>
      <c r="FIK7"/>
      <c r="FIL7"/>
      <c r="FIM7"/>
      <c r="FIN7"/>
      <c r="FIO7"/>
      <c r="FIP7"/>
      <c r="FIQ7"/>
      <c r="FIR7"/>
      <c r="FIS7"/>
      <c r="FIT7"/>
      <c r="FIU7"/>
      <c r="FIV7"/>
      <c r="FIW7"/>
      <c r="FIX7"/>
      <c r="FIY7"/>
      <c r="FIZ7"/>
      <c r="FJA7"/>
      <c r="FJB7"/>
      <c r="FJC7"/>
      <c r="FJD7"/>
      <c r="FJE7"/>
      <c r="FJF7"/>
      <c r="FJG7"/>
      <c r="FJH7"/>
      <c r="FJI7"/>
      <c r="FJJ7"/>
      <c r="FJK7"/>
      <c r="FJL7"/>
      <c r="FJM7"/>
      <c r="FJN7"/>
      <c r="FJO7"/>
      <c r="FJP7"/>
      <c r="FJQ7"/>
      <c r="FJR7"/>
      <c r="FJS7"/>
      <c r="FJT7"/>
      <c r="FJU7"/>
      <c r="FJV7"/>
      <c r="FJW7"/>
      <c r="FJX7"/>
      <c r="FJY7"/>
      <c r="FJZ7"/>
      <c r="FKA7"/>
      <c r="FKB7"/>
      <c r="FKC7"/>
      <c r="FKD7"/>
      <c r="FKE7"/>
      <c r="FKF7"/>
      <c r="FKG7"/>
      <c r="FKH7"/>
      <c r="FKI7"/>
      <c r="FKJ7"/>
      <c r="FKK7"/>
      <c r="FKL7"/>
      <c r="FKM7"/>
      <c r="FKN7"/>
      <c r="FKO7"/>
      <c r="FKP7"/>
      <c r="FKQ7"/>
      <c r="FKR7"/>
      <c r="FKS7"/>
      <c r="FKT7"/>
      <c r="FKU7"/>
      <c r="FKV7"/>
      <c r="FKW7"/>
      <c r="FKX7"/>
      <c r="FKY7"/>
      <c r="FKZ7"/>
      <c r="FLA7"/>
      <c r="FLB7"/>
      <c r="FLC7"/>
      <c r="FLD7"/>
      <c r="FLE7"/>
      <c r="FLF7"/>
      <c r="FLG7"/>
      <c r="FLH7"/>
      <c r="FLI7"/>
      <c r="FLJ7"/>
      <c r="FLK7"/>
      <c r="FLL7"/>
      <c r="FLM7"/>
      <c r="FLN7"/>
      <c r="FLO7"/>
      <c r="FLP7"/>
      <c r="FLQ7"/>
      <c r="FLR7"/>
      <c r="FLS7"/>
      <c r="FLT7"/>
      <c r="FLU7"/>
      <c r="FLV7"/>
      <c r="FLW7"/>
      <c r="FLX7"/>
      <c r="FLY7"/>
      <c r="FLZ7"/>
      <c r="FMA7"/>
      <c r="FMB7"/>
      <c r="FMC7"/>
      <c r="FMD7"/>
      <c r="FME7"/>
      <c r="FMF7"/>
      <c r="FMG7"/>
      <c r="FMH7"/>
      <c r="FMI7"/>
      <c r="FMJ7"/>
      <c r="FMK7"/>
      <c r="FML7"/>
      <c r="FMM7"/>
      <c r="FMN7"/>
      <c r="FMO7"/>
      <c r="FMP7"/>
      <c r="FMQ7"/>
      <c r="FMR7"/>
      <c r="FMS7"/>
      <c r="FMT7"/>
      <c r="FMU7"/>
      <c r="FMV7"/>
      <c r="FMW7"/>
      <c r="FMX7"/>
      <c r="FMY7"/>
      <c r="FMZ7"/>
      <c r="FNA7"/>
      <c r="FNB7"/>
      <c r="FNC7"/>
      <c r="FND7"/>
      <c r="FNE7"/>
      <c r="FNF7"/>
      <c r="FNG7"/>
      <c r="FNH7"/>
      <c r="FNI7"/>
      <c r="FNJ7"/>
      <c r="FNK7"/>
      <c r="FNL7"/>
      <c r="FNM7"/>
      <c r="FNN7"/>
      <c r="FNO7"/>
      <c r="FNP7"/>
      <c r="FNQ7"/>
      <c r="FNR7"/>
      <c r="FNS7"/>
      <c r="FNT7"/>
      <c r="FNU7"/>
      <c r="FNV7"/>
      <c r="FNW7"/>
      <c r="FNX7"/>
      <c r="FNY7"/>
      <c r="FNZ7"/>
      <c r="FOA7"/>
      <c r="FOB7"/>
      <c r="FOC7"/>
      <c r="FOD7"/>
      <c r="FOE7"/>
      <c r="FOF7"/>
      <c r="FOG7"/>
      <c r="FOH7"/>
      <c r="FOI7"/>
      <c r="FOJ7"/>
      <c r="FOK7"/>
      <c r="FOL7"/>
      <c r="FOM7"/>
      <c r="FON7"/>
      <c r="FOO7"/>
      <c r="FOP7"/>
      <c r="FOQ7"/>
      <c r="FOR7"/>
      <c r="FOS7"/>
      <c r="FOT7"/>
      <c r="FOU7"/>
      <c r="FOV7"/>
      <c r="FOW7"/>
      <c r="FOX7"/>
      <c r="FOY7"/>
      <c r="FOZ7"/>
      <c r="FPA7"/>
      <c r="FPB7"/>
      <c r="FPC7"/>
      <c r="FPD7"/>
      <c r="FPE7"/>
      <c r="FPF7"/>
      <c r="FPG7"/>
      <c r="FPH7"/>
      <c r="FPI7"/>
      <c r="FPJ7"/>
      <c r="FPK7"/>
      <c r="FPL7"/>
      <c r="FPM7"/>
      <c r="FPN7"/>
      <c r="FPO7"/>
      <c r="FPP7"/>
      <c r="FPQ7"/>
      <c r="FPR7"/>
      <c r="FPS7"/>
      <c r="FPT7"/>
      <c r="FPU7"/>
      <c r="FPV7"/>
      <c r="FPW7"/>
      <c r="FPX7"/>
      <c r="FPY7"/>
      <c r="FPZ7"/>
      <c r="FQA7"/>
      <c r="FQB7"/>
      <c r="FQC7"/>
      <c r="FQD7"/>
      <c r="FQE7"/>
      <c r="FQF7"/>
      <c r="FQG7"/>
      <c r="FQH7"/>
      <c r="FQI7"/>
      <c r="FQJ7"/>
      <c r="FQK7"/>
      <c r="FQL7"/>
      <c r="FQM7"/>
      <c r="FQN7"/>
      <c r="FQO7"/>
      <c r="FQP7"/>
      <c r="FQQ7"/>
      <c r="FQR7"/>
      <c r="FQS7"/>
      <c r="FQT7"/>
      <c r="FQU7"/>
      <c r="FQV7"/>
      <c r="FQW7"/>
      <c r="FQX7"/>
      <c r="FQY7"/>
      <c r="FQZ7"/>
      <c r="FRA7"/>
      <c r="FRB7"/>
      <c r="FRC7"/>
      <c r="FRD7"/>
      <c r="FRE7"/>
      <c r="FRF7"/>
      <c r="FRG7"/>
      <c r="FRH7"/>
      <c r="FRI7"/>
      <c r="FRJ7"/>
      <c r="FRK7"/>
      <c r="FRL7"/>
      <c r="FRM7"/>
      <c r="FRN7"/>
      <c r="FRO7"/>
      <c r="FRP7"/>
      <c r="FRQ7"/>
      <c r="FRR7"/>
      <c r="FRS7"/>
      <c r="FRT7"/>
      <c r="FRU7"/>
      <c r="FRV7"/>
      <c r="FRW7"/>
      <c r="FRX7"/>
      <c r="FRY7"/>
      <c r="FRZ7"/>
      <c r="FSA7"/>
      <c r="FSB7"/>
      <c r="FSC7"/>
      <c r="FSD7"/>
      <c r="FSE7"/>
      <c r="FSF7"/>
      <c r="FSG7"/>
      <c r="FSH7"/>
      <c r="FSI7"/>
      <c r="FSJ7"/>
      <c r="FSK7"/>
      <c r="FSL7"/>
      <c r="FSM7"/>
      <c r="FSN7"/>
      <c r="FSO7"/>
      <c r="FSP7"/>
      <c r="FSQ7"/>
      <c r="FSR7"/>
      <c r="FSS7"/>
      <c r="FST7"/>
      <c r="FSU7"/>
      <c r="FSV7"/>
      <c r="FSW7"/>
      <c r="FSX7"/>
      <c r="FSY7"/>
      <c r="FSZ7"/>
      <c r="FTA7"/>
      <c r="FTB7"/>
      <c r="FTC7"/>
      <c r="FTD7"/>
      <c r="FTE7"/>
      <c r="FTF7"/>
      <c r="FTG7"/>
      <c r="FTH7"/>
      <c r="FTI7"/>
      <c r="FTJ7"/>
      <c r="FTK7"/>
      <c r="FTL7"/>
      <c r="FTM7"/>
      <c r="FTN7"/>
      <c r="FTO7"/>
      <c r="FTP7"/>
      <c r="FTQ7"/>
      <c r="FTR7"/>
      <c r="FTS7"/>
      <c r="FTT7"/>
      <c r="FTU7"/>
      <c r="FTV7"/>
      <c r="FTW7"/>
      <c r="FTX7"/>
      <c r="FTY7"/>
      <c r="FTZ7"/>
      <c r="FUA7"/>
      <c r="FUB7"/>
      <c r="FUC7"/>
      <c r="FUD7"/>
      <c r="FUE7"/>
      <c r="FUF7"/>
      <c r="FUG7"/>
      <c r="FUH7"/>
      <c r="FUI7"/>
      <c r="FUJ7"/>
      <c r="FUK7"/>
      <c r="FUL7"/>
      <c r="FUM7"/>
      <c r="FUN7"/>
      <c r="FUO7"/>
      <c r="FUP7"/>
      <c r="FUQ7"/>
      <c r="FUR7"/>
      <c r="FUS7"/>
      <c r="FUT7"/>
      <c r="FUU7"/>
      <c r="FUV7"/>
      <c r="FUW7"/>
      <c r="FUX7"/>
      <c r="FUY7"/>
      <c r="FUZ7"/>
      <c r="FVA7"/>
      <c r="FVB7"/>
      <c r="FVC7"/>
      <c r="FVD7"/>
      <c r="FVE7"/>
      <c r="FVF7"/>
      <c r="FVG7"/>
      <c r="FVH7"/>
      <c r="FVI7"/>
      <c r="FVJ7"/>
      <c r="FVK7"/>
      <c r="FVL7"/>
      <c r="FVM7"/>
      <c r="FVN7"/>
      <c r="FVO7"/>
      <c r="FVP7"/>
      <c r="FVQ7"/>
      <c r="FVR7"/>
      <c r="FVS7"/>
      <c r="FVT7"/>
      <c r="FVU7"/>
      <c r="FVV7"/>
      <c r="FVW7"/>
      <c r="FVX7"/>
      <c r="FVY7"/>
      <c r="FVZ7"/>
      <c r="FWA7"/>
      <c r="FWB7"/>
      <c r="FWC7"/>
      <c r="FWD7"/>
      <c r="FWE7"/>
      <c r="FWF7"/>
      <c r="FWG7"/>
      <c r="FWH7"/>
      <c r="FWI7"/>
      <c r="FWJ7"/>
      <c r="FWK7"/>
      <c r="FWL7"/>
      <c r="FWM7"/>
      <c r="FWN7"/>
      <c r="FWO7"/>
      <c r="FWP7"/>
      <c r="FWQ7"/>
      <c r="FWR7"/>
      <c r="FWS7"/>
      <c r="FWT7"/>
      <c r="FWU7"/>
      <c r="FWV7"/>
      <c r="FWW7"/>
      <c r="FWX7"/>
      <c r="FWY7"/>
      <c r="FWZ7"/>
      <c r="FXA7"/>
      <c r="FXB7"/>
      <c r="FXC7"/>
      <c r="FXD7"/>
      <c r="FXE7"/>
      <c r="FXF7"/>
      <c r="FXG7"/>
      <c r="FXH7"/>
      <c r="FXI7"/>
      <c r="FXJ7"/>
      <c r="FXK7"/>
      <c r="FXL7"/>
      <c r="FXM7"/>
      <c r="FXN7"/>
      <c r="FXO7"/>
      <c r="FXP7"/>
      <c r="FXQ7"/>
      <c r="FXR7"/>
      <c r="FXS7"/>
      <c r="FXT7"/>
      <c r="FXU7"/>
      <c r="FXV7"/>
      <c r="FXW7"/>
      <c r="FXX7"/>
      <c r="FXY7"/>
      <c r="FXZ7"/>
      <c r="FYA7"/>
      <c r="FYB7"/>
      <c r="FYC7"/>
      <c r="FYD7"/>
      <c r="FYE7"/>
      <c r="FYF7"/>
      <c r="FYG7"/>
      <c r="FYH7"/>
      <c r="FYI7"/>
      <c r="FYJ7"/>
      <c r="FYK7"/>
      <c r="FYL7"/>
      <c r="FYM7"/>
      <c r="FYN7"/>
      <c r="FYO7"/>
      <c r="FYP7"/>
      <c r="FYQ7"/>
      <c r="FYR7"/>
      <c r="FYS7"/>
      <c r="FYT7"/>
      <c r="FYU7"/>
      <c r="FYV7"/>
      <c r="FYW7"/>
      <c r="FYX7"/>
      <c r="FYY7"/>
      <c r="FYZ7"/>
      <c r="FZA7"/>
      <c r="FZB7"/>
      <c r="FZC7"/>
      <c r="FZD7"/>
      <c r="FZE7"/>
      <c r="FZF7"/>
      <c r="FZG7"/>
      <c r="FZH7"/>
      <c r="FZI7"/>
      <c r="FZJ7"/>
      <c r="FZK7"/>
      <c r="FZL7"/>
      <c r="FZM7"/>
      <c r="FZN7"/>
      <c r="FZO7"/>
      <c r="FZP7"/>
      <c r="FZQ7"/>
      <c r="FZR7"/>
      <c r="FZS7"/>
      <c r="FZT7"/>
      <c r="FZU7"/>
      <c r="FZV7"/>
      <c r="FZW7"/>
      <c r="FZX7"/>
      <c r="FZY7"/>
      <c r="FZZ7"/>
      <c r="GAA7"/>
      <c r="GAB7"/>
      <c r="GAC7"/>
      <c r="GAD7"/>
      <c r="GAE7"/>
      <c r="GAF7"/>
      <c r="GAG7"/>
      <c r="GAH7"/>
      <c r="GAI7"/>
      <c r="GAJ7"/>
      <c r="GAK7"/>
      <c r="GAL7"/>
      <c r="GAM7"/>
      <c r="GAN7"/>
      <c r="GAO7"/>
      <c r="GAP7"/>
      <c r="GAQ7"/>
      <c r="GAR7"/>
      <c r="GAS7"/>
      <c r="GAT7"/>
      <c r="GAU7"/>
      <c r="GAV7"/>
      <c r="GAW7"/>
      <c r="GAX7"/>
      <c r="GAY7"/>
      <c r="GAZ7"/>
      <c r="GBA7"/>
      <c r="GBB7"/>
      <c r="GBC7"/>
      <c r="GBD7"/>
      <c r="GBE7"/>
      <c r="GBF7"/>
      <c r="GBG7"/>
      <c r="GBH7"/>
      <c r="GBI7"/>
      <c r="GBJ7"/>
      <c r="GBK7"/>
      <c r="GBL7"/>
      <c r="GBM7"/>
      <c r="GBN7"/>
      <c r="GBO7"/>
      <c r="GBP7"/>
      <c r="GBQ7"/>
      <c r="GBR7"/>
      <c r="GBS7"/>
      <c r="GBT7"/>
      <c r="GBU7"/>
      <c r="GBV7"/>
      <c r="GBW7"/>
      <c r="GBX7"/>
      <c r="GBY7"/>
      <c r="GBZ7"/>
      <c r="GCA7"/>
      <c r="GCB7"/>
      <c r="GCC7"/>
      <c r="GCD7"/>
      <c r="GCE7"/>
      <c r="GCF7"/>
      <c r="GCG7"/>
      <c r="GCH7"/>
      <c r="GCI7"/>
      <c r="GCJ7"/>
      <c r="GCK7"/>
      <c r="GCL7"/>
      <c r="GCM7"/>
      <c r="GCN7"/>
      <c r="GCO7"/>
      <c r="GCP7"/>
      <c r="GCQ7"/>
      <c r="GCR7"/>
      <c r="GCS7"/>
      <c r="GCT7"/>
      <c r="GCU7"/>
      <c r="GCV7"/>
      <c r="GCW7"/>
      <c r="GCX7"/>
      <c r="GCY7"/>
      <c r="GCZ7"/>
      <c r="GDA7"/>
      <c r="GDB7"/>
      <c r="GDC7"/>
      <c r="GDD7"/>
      <c r="GDE7"/>
      <c r="GDF7"/>
      <c r="GDG7"/>
      <c r="GDH7"/>
      <c r="GDI7"/>
      <c r="GDJ7"/>
      <c r="GDK7"/>
      <c r="GDL7"/>
      <c r="GDM7"/>
      <c r="GDN7"/>
      <c r="GDO7"/>
      <c r="GDP7"/>
      <c r="GDQ7"/>
      <c r="GDR7"/>
      <c r="GDS7"/>
      <c r="GDT7"/>
      <c r="GDU7"/>
      <c r="GDV7"/>
      <c r="GDW7"/>
      <c r="GDX7"/>
      <c r="GDY7"/>
      <c r="GDZ7"/>
      <c r="GEA7"/>
      <c r="GEB7"/>
      <c r="GEC7"/>
      <c r="GED7"/>
      <c r="GEE7"/>
      <c r="GEF7"/>
      <c r="GEG7"/>
      <c r="GEH7"/>
      <c r="GEI7"/>
      <c r="GEJ7"/>
      <c r="GEK7"/>
      <c r="GEL7"/>
      <c r="GEM7"/>
      <c r="GEN7"/>
      <c r="GEO7"/>
      <c r="GEP7"/>
      <c r="GEQ7"/>
      <c r="GER7"/>
      <c r="GES7"/>
      <c r="GET7"/>
      <c r="GEU7"/>
      <c r="GEV7"/>
      <c r="GEW7"/>
      <c r="GEX7"/>
      <c r="GEY7"/>
      <c r="GEZ7"/>
      <c r="GFA7"/>
      <c r="GFB7"/>
      <c r="GFC7"/>
      <c r="GFD7"/>
      <c r="GFE7"/>
      <c r="GFF7"/>
      <c r="GFG7"/>
      <c r="GFH7"/>
      <c r="GFI7"/>
      <c r="GFJ7"/>
      <c r="GFK7"/>
      <c r="GFL7"/>
      <c r="GFM7"/>
      <c r="GFN7"/>
      <c r="GFO7"/>
      <c r="GFP7"/>
      <c r="GFQ7"/>
      <c r="GFR7"/>
      <c r="GFS7"/>
      <c r="GFT7"/>
      <c r="GFU7"/>
      <c r="GFV7"/>
      <c r="GFW7"/>
      <c r="GFX7"/>
      <c r="GFY7"/>
      <c r="GFZ7"/>
      <c r="GGA7"/>
      <c r="GGB7"/>
      <c r="GGC7"/>
      <c r="GGD7"/>
      <c r="GGE7"/>
      <c r="GGF7"/>
      <c r="GGG7"/>
      <c r="GGH7"/>
      <c r="GGI7"/>
      <c r="GGJ7"/>
      <c r="GGK7"/>
      <c r="GGL7"/>
      <c r="GGM7"/>
      <c r="GGN7"/>
      <c r="GGO7"/>
      <c r="GGP7"/>
      <c r="GGQ7"/>
      <c r="GGR7"/>
      <c r="GGS7"/>
      <c r="GGT7"/>
      <c r="GGU7"/>
      <c r="GGV7"/>
      <c r="GGW7"/>
      <c r="GGX7"/>
      <c r="GGY7"/>
      <c r="GGZ7"/>
      <c r="GHA7"/>
      <c r="GHB7"/>
      <c r="GHC7"/>
      <c r="GHD7"/>
      <c r="GHE7"/>
      <c r="GHF7"/>
      <c r="GHG7"/>
      <c r="GHH7"/>
      <c r="GHI7"/>
      <c r="GHJ7"/>
      <c r="GHK7"/>
      <c r="GHL7"/>
      <c r="GHM7"/>
      <c r="GHN7"/>
      <c r="GHO7"/>
      <c r="GHP7"/>
      <c r="GHQ7"/>
      <c r="GHR7"/>
      <c r="GHS7"/>
      <c r="GHT7"/>
      <c r="GHU7"/>
      <c r="GHV7"/>
      <c r="GHW7"/>
      <c r="GHX7"/>
      <c r="GHY7"/>
      <c r="GHZ7"/>
      <c r="GIA7"/>
      <c r="GIB7"/>
      <c r="GIC7"/>
      <c r="GID7"/>
      <c r="GIE7"/>
      <c r="GIF7"/>
      <c r="GIG7"/>
      <c r="GIH7"/>
      <c r="GII7"/>
      <c r="GIJ7"/>
      <c r="GIK7"/>
      <c r="GIL7"/>
      <c r="GIM7"/>
      <c r="GIN7"/>
      <c r="GIO7"/>
      <c r="GIP7"/>
      <c r="GIQ7"/>
      <c r="GIR7"/>
      <c r="GIS7"/>
      <c r="GIT7"/>
      <c r="GIU7"/>
      <c r="GIV7"/>
      <c r="GIW7"/>
      <c r="GIX7"/>
      <c r="GIY7"/>
      <c r="GIZ7"/>
      <c r="GJA7"/>
      <c r="GJB7"/>
      <c r="GJC7"/>
      <c r="GJD7"/>
      <c r="GJE7"/>
      <c r="GJF7"/>
      <c r="GJG7"/>
      <c r="GJH7"/>
      <c r="GJI7"/>
      <c r="GJJ7"/>
      <c r="GJK7"/>
      <c r="GJL7"/>
      <c r="GJM7"/>
      <c r="GJN7"/>
      <c r="GJO7"/>
      <c r="GJP7"/>
      <c r="GJQ7"/>
      <c r="GJR7"/>
      <c r="GJS7"/>
      <c r="GJT7"/>
      <c r="GJU7"/>
      <c r="GJV7"/>
      <c r="GJW7"/>
      <c r="GJX7"/>
      <c r="GJY7"/>
      <c r="GJZ7"/>
      <c r="GKA7"/>
      <c r="GKB7"/>
      <c r="GKC7"/>
      <c r="GKD7"/>
      <c r="GKE7"/>
      <c r="GKF7"/>
      <c r="GKG7"/>
      <c r="GKH7"/>
      <c r="GKI7"/>
      <c r="GKJ7"/>
      <c r="GKK7"/>
      <c r="GKL7"/>
      <c r="GKM7"/>
      <c r="GKN7"/>
      <c r="GKO7"/>
      <c r="GKP7"/>
      <c r="GKQ7"/>
      <c r="GKR7"/>
      <c r="GKS7"/>
      <c r="GKT7"/>
      <c r="GKU7"/>
      <c r="GKV7"/>
      <c r="GKW7"/>
      <c r="GKX7"/>
      <c r="GKY7"/>
      <c r="GKZ7"/>
      <c r="GLA7"/>
      <c r="GLB7"/>
      <c r="GLC7"/>
      <c r="GLD7"/>
      <c r="GLE7"/>
      <c r="GLF7"/>
      <c r="GLG7"/>
      <c r="GLH7"/>
      <c r="GLI7"/>
      <c r="GLJ7"/>
      <c r="GLK7"/>
      <c r="GLL7"/>
      <c r="GLM7"/>
      <c r="GLN7"/>
      <c r="GLO7"/>
      <c r="GLP7"/>
      <c r="GLQ7"/>
      <c r="GLR7"/>
      <c r="GLS7"/>
      <c r="GLT7"/>
      <c r="GLU7"/>
      <c r="GLV7"/>
      <c r="GLW7"/>
      <c r="GLX7"/>
      <c r="GLY7"/>
      <c r="GLZ7"/>
      <c r="GMA7"/>
      <c r="GMB7"/>
      <c r="GMC7"/>
      <c r="GMD7"/>
      <c r="GME7"/>
      <c r="GMF7"/>
      <c r="GMG7"/>
      <c r="GMH7"/>
      <c r="GMI7"/>
      <c r="GMJ7"/>
      <c r="GMK7"/>
      <c r="GML7"/>
      <c r="GMM7"/>
      <c r="GMN7"/>
      <c r="GMO7"/>
      <c r="GMP7"/>
      <c r="GMQ7"/>
      <c r="GMR7"/>
      <c r="GMS7"/>
      <c r="GMT7"/>
      <c r="GMU7"/>
      <c r="GMV7"/>
      <c r="GMW7"/>
      <c r="GMX7"/>
      <c r="GMY7"/>
      <c r="GMZ7"/>
      <c r="GNA7"/>
      <c r="GNB7"/>
      <c r="GNC7"/>
      <c r="GND7"/>
      <c r="GNE7"/>
      <c r="GNF7"/>
      <c r="GNG7"/>
      <c r="GNH7"/>
      <c r="GNI7"/>
      <c r="GNJ7"/>
      <c r="GNK7"/>
      <c r="GNL7"/>
      <c r="GNM7"/>
      <c r="GNN7"/>
      <c r="GNO7"/>
      <c r="GNP7"/>
      <c r="GNQ7"/>
      <c r="GNR7"/>
      <c r="GNS7"/>
      <c r="GNT7"/>
      <c r="GNU7"/>
      <c r="GNV7"/>
      <c r="GNW7"/>
      <c r="GNX7"/>
      <c r="GNY7"/>
      <c r="GNZ7"/>
      <c r="GOA7"/>
      <c r="GOB7"/>
      <c r="GOC7"/>
      <c r="GOD7"/>
      <c r="GOE7"/>
      <c r="GOF7"/>
      <c r="GOG7"/>
      <c r="GOH7"/>
      <c r="GOI7"/>
      <c r="GOJ7"/>
      <c r="GOK7"/>
      <c r="GOL7"/>
      <c r="GOM7"/>
      <c r="GON7"/>
      <c r="GOO7"/>
      <c r="GOP7"/>
      <c r="GOQ7"/>
      <c r="GOR7"/>
      <c r="GOS7"/>
      <c r="GOT7"/>
      <c r="GOU7"/>
      <c r="GOV7"/>
      <c r="GOW7"/>
      <c r="GOX7"/>
      <c r="GOY7"/>
      <c r="GOZ7"/>
      <c r="GPA7"/>
      <c r="GPB7"/>
      <c r="GPC7"/>
      <c r="GPD7"/>
      <c r="GPE7"/>
      <c r="GPF7"/>
      <c r="GPG7"/>
      <c r="GPH7"/>
      <c r="GPI7"/>
      <c r="GPJ7"/>
      <c r="GPK7"/>
      <c r="GPL7"/>
      <c r="GPM7"/>
      <c r="GPN7"/>
      <c r="GPO7"/>
      <c r="GPP7"/>
      <c r="GPQ7"/>
      <c r="GPR7"/>
      <c r="GPS7"/>
      <c r="GPT7"/>
      <c r="GPU7"/>
      <c r="GPV7"/>
      <c r="GPW7"/>
      <c r="GPX7"/>
      <c r="GPY7"/>
      <c r="GPZ7"/>
      <c r="GQA7"/>
      <c r="GQB7"/>
      <c r="GQC7"/>
      <c r="GQD7"/>
      <c r="GQE7"/>
      <c r="GQF7"/>
      <c r="GQG7"/>
      <c r="GQH7"/>
      <c r="GQI7"/>
      <c r="GQJ7"/>
      <c r="GQK7"/>
      <c r="GQL7"/>
      <c r="GQM7"/>
      <c r="GQN7"/>
      <c r="GQO7"/>
      <c r="GQP7"/>
      <c r="GQQ7"/>
      <c r="GQR7"/>
      <c r="GQS7"/>
      <c r="GQT7"/>
      <c r="GQU7"/>
      <c r="GQV7"/>
      <c r="GQW7"/>
      <c r="GQX7"/>
      <c r="GQY7"/>
      <c r="GQZ7"/>
      <c r="GRA7"/>
      <c r="GRB7"/>
      <c r="GRC7"/>
      <c r="GRD7"/>
      <c r="GRE7"/>
      <c r="GRF7"/>
      <c r="GRG7"/>
      <c r="GRH7"/>
      <c r="GRI7"/>
      <c r="GRJ7"/>
      <c r="GRK7"/>
      <c r="GRL7"/>
      <c r="GRM7"/>
      <c r="GRN7"/>
      <c r="GRO7"/>
      <c r="GRP7"/>
      <c r="GRQ7"/>
      <c r="GRR7"/>
      <c r="GRS7"/>
      <c r="GRT7"/>
      <c r="GRU7"/>
      <c r="GRV7"/>
      <c r="GRW7"/>
      <c r="GRX7"/>
      <c r="GRY7"/>
      <c r="GRZ7"/>
      <c r="GSA7"/>
      <c r="GSB7"/>
      <c r="GSC7"/>
      <c r="GSD7"/>
      <c r="GSE7"/>
      <c r="GSF7"/>
      <c r="GSG7"/>
      <c r="GSH7"/>
      <c r="GSI7"/>
      <c r="GSJ7"/>
      <c r="GSK7"/>
      <c r="GSL7"/>
      <c r="GSM7"/>
      <c r="GSN7"/>
      <c r="GSO7"/>
      <c r="GSP7"/>
      <c r="GSQ7"/>
      <c r="GSR7"/>
      <c r="GSS7"/>
      <c r="GST7"/>
      <c r="GSU7"/>
      <c r="GSV7"/>
      <c r="GSW7"/>
      <c r="GSX7"/>
      <c r="GSY7"/>
      <c r="GSZ7"/>
      <c r="GTA7"/>
      <c r="GTB7"/>
      <c r="GTC7"/>
      <c r="GTD7"/>
      <c r="GTE7"/>
      <c r="GTF7"/>
      <c r="GTG7"/>
      <c r="GTH7"/>
      <c r="GTI7"/>
      <c r="GTJ7"/>
      <c r="GTK7"/>
      <c r="GTL7"/>
      <c r="GTM7"/>
      <c r="GTN7"/>
      <c r="GTO7"/>
      <c r="GTP7"/>
      <c r="GTQ7"/>
      <c r="GTR7"/>
      <c r="GTS7"/>
      <c r="GTT7"/>
      <c r="GTU7"/>
      <c r="GTV7"/>
      <c r="GTW7"/>
      <c r="GTX7"/>
      <c r="GTY7"/>
      <c r="GTZ7"/>
      <c r="GUA7"/>
      <c r="GUB7"/>
      <c r="GUC7"/>
      <c r="GUD7"/>
      <c r="GUE7"/>
      <c r="GUF7"/>
      <c r="GUG7"/>
      <c r="GUH7"/>
      <c r="GUI7"/>
      <c r="GUJ7"/>
      <c r="GUK7"/>
      <c r="GUL7"/>
      <c r="GUM7"/>
      <c r="GUN7"/>
      <c r="GUO7"/>
      <c r="GUP7"/>
      <c r="GUQ7"/>
      <c r="GUR7"/>
      <c r="GUS7"/>
      <c r="GUT7"/>
      <c r="GUU7"/>
      <c r="GUV7"/>
      <c r="GUW7"/>
      <c r="GUX7"/>
      <c r="GUY7"/>
      <c r="GUZ7"/>
      <c r="GVA7"/>
      <c r="GVB7"/>
      <c r="GVC7"/>
      <c r="GVD7"/>
      <c r="GVE7"/>
      <c r="GVF7"/>
      <c r="GVG7"/>
      <c r="GVH7"/>
      <c r="GVI7"/>
      <c r="GVJ7"/>
      <c r="GVK7"/>
      <c r="GVL7"/>
      <c r="GVM7"/>
      <c r="GVN7"/>
      <c r="GVO7"/>
      <c r="GVP7"/>
      <c r="GVQ7"/>
      <c r="GVR7"/>
      <c r="GVS7"/>
      <c r="GVT7"/>
      <c r="GVU7"/>
      <c r="GVV7"/>
      <c r="GVW7"/>
      <c r="GVX7"/>
      <c r="GVY7"/>
      <c r="GVZ7"/>
      <c r="GWA7"/>
      <c r="GWB7"/>
      <c r="GWC7"/>
      <c r="GWD7"/>
      <c r="GWE7"/>
      <c r="GWF7"/>
      <c r="GWG7"/>
      <c r="GWH7"/>
      <c r="GWI7"/>
      <c r="GWJ7"/>
      <c r="GWK7"/>
      <c r="GWL7"/>
      <c r="GWM7"/>
      <c r="GWN7"/>
      <c r="GWO7"/>
      <c r="GWP7"/>
      <c r="GWQ7"/>
      <c r="GWR7"/>
      <c r="GWS7"/>
      <c r="GWT7"/>
      <c r="GWU7"/>
      <c r="GWV7"/>
      <c r="GWW7"/>
      <c r="GWX7"/>
      <c r="GWY7"/>
      <c r="GWZ7"/>
      <c r="GXA7"/>
      <c r="GXB7"/>
      <c r="GXC7"/>
      <c r="GXD7"/>
      <c r="GXE7"/>
      <c r="GXF7"/>
      <c r="GXG7"/>
      <c r="GXH7"/>
      <c r="GXI7"/>
      <c r="GXJ7"/>
      <c r="GXK7"/>
      <c r="GXL7"/>
      <c r="GXM7"/>
      <c r="GXN7"/>
      <c r="GXO7"/>
      <c r="GXP7"/>
      <c r="GXQ7"/>
      <c r="GXR7"/>
      <c r="GXS7"/>
      <c r="GXT7"/>
      <c r="GXU7"/>
      <c r="GXV7"/>
      <c r="GXW7"/>
      <c r="GXX7"/>
      <c r="GXY7"/>
      <c r="GXZ7"/>
      <c r="GYA7"/>
      <c r="GYB7"/>
      <c r="GYC7"/>
      <c r="GYD7"/>
      <c r="GYE7"/>
      <c r="GYF7"/>
      <c r="GYG7"/>
      <c r="GYH7"/>
      <c r="GYI7"/>
      <c r="GYJ7"/>
      <c r="GYK7"/>
      <c r="GYL7"/>
      <c r="GYM7"/>
      <c r="GYN7"/>
      <c r="GYO7"/>
      <c r="GYP7"/>
      <c r="GYQ7"/>
      <c r="GYR7"/>
      <c r="GYS7"/>
      <c r="GYT7"/>
      <c r="GYU7"/>
      <c r="GYV7"/>
      <c r="GYW7"/>
      <c r="GYX7"/>
      <c r="GYY7"/>
      <c r="GYZ7"/>
      <c r="GZA7"/>
      <c r="GZB7"/>
      <c r="GZC7"/>
      <c r="GZD7"/>
      <c r="GZE7"/>
      <c r="GZF7"/>
      <c r="GZG7"/>
      <c r="GZH7"/>
      <c r="GZI7"/>
      <c r="GZJ7"/>
      <c r="GZK7"/>
      <c r="GZL7"/>
      <c r="GZM7"/>
      <c r="GZN7"/>
      <c r="GZO7"/>
      <c r="GZP7"/>
      <c r="GZQ7"/>
      <c r="GZR7"/>
      <c r="GZS7"/>
      <c r="GZT7"/>
      <c r="GZU7"/>
      <c r="GZV7"/>
      <c r="GZW7"/>
      <c r="GZX7"/>
      <c r="GZY7"/>
      <c r="GZZ7"/>
      <c r="HAA7"/>
      <c r="HAB7"/>
      <c r="HAC7"/>
      <c r="HAD7"/>
      <c r="HAE7"/>
      <c r="HAF7"/>
      <c r="HAG7"/>
      <c r="HAH7"/>
      <c r="HAI7"/>
      <c r="HAJ7"/>
      <c r="HAK7"/>
      <c r="HAL7"/>
      <c r="HAM7"/>
      <c r="HAN7"/>
      <c r="HAO7"/>
      <c r="HAP7"/>
      <c r="HAQ7"/>
      <c r="HAR7"/>
      <c r="HAS7"/>
      <c r="HAT7"/>
      <c r="HAU7"/>
      <c r="HAV7"/>
      <c r="HAW7"/>
      <c r="HAX7"/>
      <c r="HAY7"/>
      <c r="HAZ7"/>
      <c r="HBA7"/>
      <c r="HBB7"/>
      <c r="HBC7"/>
      <c r="HBD7"/>
      <c r="HBE7"/>
      <c r="HBF7"/>
      <c r="HBG7"/>
      <c r="HBH7"/>
      <c r="HBI7"/>
      <c r="HBJ7"/>
      <c r="HBK7"/>
      <c r="HBL7"/>
      <c r="HBM7"/>
      <c r="HBN7"/>
      <c r="HBO7"/>
      <c r="HBP7"/>
      <c r="HBQ7"/>
      <c r="HBR7"/>
      <c r="HBS7"/>
      <c r="HBT7"/>
      <c r="HBU7"/>
      <c r="HBV7"/>
      <c r="HBW7"/>
      <c r="HBX7"/>
      <c r="HBY7"/>
      <c r="HBZ7"/>
      <c r="HCA7"/>
      <c r="HCB7"/>
      <c r="HCC7"/>
      <c r="HCD7"/>
      <c r="HCE7"/>
      <c r="HCF7"/>
      <c r="HCG7"/>
      <c r="HCH7"/>
      <c r="HCI7"/>
      <c r="HCJ7"/>
      <c r="HCK7"/>
      <c r="HCL7"/>
      <c r="HCM7"/>
      <c r="HCN7"/>
      <c r="HCO7"/>
      <c r="HCP7"/>
      <c r="HCQ7"/>
      <c r="HCR7"/>
      <c r="HCS7"/>
      <c r="HCT7"/>
      <c r="HCU7"/>
      <c r="HCV7"/>
      <c r="HCW7"/>
      <c r="HCX7"/>
      <c r="HCY7"/>
      <c r="HCZ7"/>
      <c r="HDA7"/>
      <c r="HDB7"/>
      <c r="HDC7"/>
      <c r="HDD7"/>
      <c r="HDE7"/>
      <c r="HDF7"/>
      <c r="HDG7"/>
      <c r="HDH7"/>
      <c r="HDI7"/>
      <c r="HDJ7"/>
      <c r="HDK7"/>
      <c r="HDL7"/>
      <c r="HDM7"/>
      <c r="HDN7"/>
      <c r="HDO7"/>
      <c r="HDP7"/>
      <c r="HDQ7"/>
      <c r="HDR7"/>
      <c r="HDS7"/>
      <c r="HDT7"/>
      <c r="HDU7"/>
      <c r="HDV7"/>
      <c r="HDW7"/>
      <c r="HDX7"/>
      <c r="HDY7"/>
      <c r="HDZ7"/>
      <c r="HEA7"/>
      <c r="HEB7"/>
      <c r="HEC7"/>
      <c r="HED7"/>
      <c r="HEE7"/>
      <c r="HEF7"/>
      <c r="HEG7"/>
      <c r="HEH7"/>
      <c r="HEI7"/>
      <c r="HEJ7"/>
      <c r="HEK7"/>
      <c r="HEL7"/>
      <c r="HEM7"/>
      <c r="HEN7"/>
      <c r="HEO7"/>
      <c r="HEP7"/>
      <c r="HEQ7"/>
      <c r="HER7"/>
      <c r="HES7"/>
      <c r="HET7"/>
      <c r="HEU7"/>
      <c r="HEV7"/>
      <c r="HEW7"/>
      <c r="HEX7"/>
      <c r="HEY7"/>
      <c r="HEZ7"/>
      <c r="HFA7"/>
      <c r="HFB7"/>
      <c r="HFC7"/>
      <c r="HFD7"/>
      <c r="HFE7"/>
      <c r="HFF7"/>
      <c r="HFG7"/>
      <c r="HFH7"/>
      <c r="HFI7"/>
      <c r="HFJ7"/>
      <c r="HFK7"/>
      <c r="HFL7"/>
      <c r="HFM7"/>
      <c r="HFN7"/>
      <c r="HFO7"/>
      <c r="HFP7"/>
      <c r="HFQ7"/>
      <c r="HFR7"/>
      <c r="HFS7"/>
      <c r="HFT7"/>
      <c r="HFU7"/>
      <c r="HFV7"/>
      <c r="HFW7"/>
      <c r="HFX7"/>
      <c r="HFY7"/>
      <c r="HFZ7"/>
      <c r="HGA7"/>
      <c r="HGB7"/>
      <c r="HGC7"/>
      <c r="HGD7"/>
      <c r="HGE7"/>
      <c r="HGF7"/>
      <c r="HGG7"/>
      <c r="HGH7"/>
      <c r="HGI7"/>
      <c r="HGJ7"/>
      <c r="HGK7"/>
      <c r="HGL7"/>
      <c r="HGM7"/>
      <c r="HGN7"/>
      <c r="HGO7"/>
      <c r="HGP7"/>
      <c r="HGQ7"/>
      <c r="HGR7"/>
      <c r="HGS7"/>
      <c r="HGT7"/>
      <c r="HGU7"/>
      <c r="HGV7"/>
      <c r="HGW7"/>
      <c r="HGX7"/>
      <c r="HGY7"/>
      <c r="HGZ7"/>
      <c r="HHA7"/>
      <c r="HHB7"/>
      <c r="HHC7"/>
      <c r="HHD7"/>
      <c r="HHE7"/>
      <c r="HHF7"/>
      <c r="HHG7"/>
      <c r="HHH7"/>
      <c r="HHI7"/>
      <c r="HHJ7"/>
      <c r="HHK7"/>
      <c r="HHL7"/>
      <c r="HHM7"/>
      <c r="HHN7"/>
      <c r="HHO7"/>
      <c r="HHP7"/>
      <c r="HHQ7"/>
      <c r="HHR7"/>
      <c r="HHS7"/>
      <c r="HHT7"/>
      <c r="HHU7"/>
      <c r="HHV7"/>
      <c r="HHW7"/>
      <c r="HHX7"/>
      <c r="HHY7"/>
      <c r="HHZ7"/>
      <c r="HIA7"/>
      <c r="HIB7"/>
      <c r="HIC7"/>
      <c r="HID7"/>
      <c r="HIE7"/>
      <c r="HIF7"/>
      <c r="HIG7"/>
      <c r="HIH7"/>
      <c r="HII7"/>
      <c r="HIJ7"/>
      <c r="HIK7"/>
      <c r="HIL7"/>
      <c r="HIM7"/>
      <c r="HIN7"/>
      <c r="HIO7"/>
      <c r="HIP7"/>
      <c r="HIQ7"/>
      <c r="HIR7"/>
      <c r="HIS7"/>
      <c r="HIT7"/>
      <c r="HIU7"/>
      <c r="HIV7"/>
      <c r="HIW7"/>
      <c r="HIX7"/>
      <c r="HIY7"/>
      <c r="HIZ7"/>
      <c r="HJA7"/>
      <c r="HJB7"/>
      <c r="HJC7"/>
      <c r="HJD7"/>
      <c r="HJE7"/>
      <c r="HJF7"/>
      <c r="HJG7"/>
      <c r="HJH7"/>
      <c r="HJI7"/>
      <c r="HJJ7"/>
      <c r="HJK7"/>
      <c r="HJL7"/>
      <c r="HJM7"/>
      <c r="HJN7"/>
      <c r="HJO7"/>
      <c r="HJP7"/>
      <c r="HJQ7"/>
      <c r="HJR7"/>
      <c r="HJS7"/>
      <c r="HJT7"/>
      <c r="HJU7"/>
      <c r="HJV7"/>
      <c r="HJW7"/>
      <c r="HJX7"/>
      <c r="HJY7"/>
      <c r="HJZ7"/>
      <c r="HKA7"/>
      <c r="HKB7"/>
      <c r="HKC7"/>
      <c r="HKD7"/>
      <c r="HKE7"/>
      <c r="HKF7"/>
      <c r="HKG7"/>
      <c r="HKH7"/>
      <c r="HKI7"/>
      <c r="HKJ7"/>
      <c r="HKK7"/>
      <c r="HKL7"/>
      <c r="HKM7"/>
      <c r="HKN7"/>
      <c r="HKO7"/>
      <c r="HKP7"/>
      <c r="HKQ7"/>
      <c r="HKR7"/>
      <c r="HKS7"/>
      <c r="HKT7"/>
      <c r="HKU7"/>
      <c r="HKV7"/>
      <c r="HKW7"/>
      <c r="HKX7"/>
      <c r="HKY7"/>
      <c r="HKZ7"/>
      <c r="HLA7"/>
      <c r="HLB7"/>
      <c r="HLC7"/>
      <c r="HLD7"/>
      <c r="HLE7"/>
      <c r="HLF7"/>
      <c r="HLG7"/>
      <c r="HLH7"/>
      <c r="HLI7"/>
      <c r="HLJ7"/>
      <c r="HLK7"/>
      <c r="HLL7"/>
      <c r="HLM7"/>
      <c r="HLN7"/>
      <c r="HLO7"/>
      <c r="HLP7"/>
      <c r="HLQ7"/>
      <c r="HLR7"/>
      <c r="HLS7"/>
      <c r="HLT7"/>
      <c r="HLU7"/>
      <c r="HLV7"/>
      <c r="HLW7"/>
      <c r="HLX7"/>
      <c r="HLY7"/>
      <c r="HLZ7"/>
      <c r="HMA7"/>
      <c r="HMB7"/>
      <c r="HMC7"/>
      <c r="HMD7"/>
      <c r="HME7"/>
      <c r="HMF7"/>
      <c r="HMG7"/>
      <c r="HMH7"/>
      <c r="HMI7"/>
      <c r="HMJ7"/>
      <c r="HMK7"/>
      <c r="HML7"/>
      <c r="HMM7"/>
      <c r="HMN7"/>
      <c r="HMO7"/>
      <c r="HMP7"/>
      <c r="HMQ7"/>
      <c r="HMR7"/>
      <c r="HMS7"/>
      <c r="HMT7"/>
      <c r="HMU7"/>
      <c r="HMV7"/>
      <c r="HMW7"/>
      <c r="HMX7"/>
      <c r="HMY7"/>
      <c r="HMZ7"/>
      <c r="HNA7"/>
      <c r="HNB7"/>
      <c r="HNC7"/>
      <c r="HND7"/>
      <c r="HNE7"/>
      <c r="HNF7"/>
      <c r="HNG7"/>
      <c r="HNH7"/>
      <c r="HNI7"/>
      <c r="HNJ7"/>
      <c r="HNK7"/>
      <c r="HNL7"/>
      <c r="HNM7"/>
      <c r="HNN7"/>
      <c r="HNO7"/>
      <c r="HNP7"/>
      <c r="HNQ7"/>
      <c r="HNR7"/>
      <c r="HNS7"/>
      <c r="HNT7"/>
      <c r="HNU7"/>
      <c r="HNV7"/>
      <c r="HNW7"/>
      <c r="HNX7"/>
      <c r="HNY7"/>
      <c r="HNZ7"/>
      <c r="HOA7"/>
      <c r="HOB7"/>
      <c r="HOC7"/>
      <c r="HOD7"/>
      <c r="HOE7"/>
      <c r="HOF7"/>
      <c r="HOG7"/>
      <c r="HOH7"/>
      <c r="HOI7"/>
      <c r="HOJ7"/>
      <c r="HOK7"/>
      <c r="HOL7"/>
      <c r="HOM7"/>
      <c r="HON7"/>
      <c r="HOO7"/>
      <c r="HOP7"/>
      <c r="HOQ7"/>
      <c r="HOR7"/>
      <c r="HOS7"/>
      <c r="HOT7"/>
      <c r="HOU7"/>
      <c r="HOV7"/>
      <c r="HOW7"/>
      <c r="HOX7"/>
      <c r="HOY7"/>
      <c r="HOZ7"/>
      <c r="HPA7"/>
      <c r="HPB7"/>
      <c r="HPC7"/>
      <c r="HPD7"/>
      <c r="HPE7"/>
      <c r="HPF7"/>
      <c r="HPG7"/>
      <c r="HPH7"/>
      <c r="HPI7"/>
      <c r="HPJ7"/>
      <c r="HPK7"/>
      <c r="HPL7"/>
      <c r="HPM7"/>
      <c r="HPN7"/>
      <c r="HPO7"/>
      <c r="HPP7"/>
      <c r="HPQ7"/>
      <c r="HPR7"/>
      <c r="HPS7"/>
      <c r="HPT7"/>
      <c r="HPU7"/>
      <c r="HPV7"/>
      <c r="HPW7"/>
      <c r="HPX7"/>
      <c r="HPY7"/>
      <c r="HPZ7"/>
      <c r="HQA7"/>
      <c r="HQB7"/>
      <c r="HQC7"/>
      <c r="HQD7"/>
      <c r="HQE7"/>
      <c r="HQF7"/>
      <c r="HQG7"/>
      <c r="HQH7"/>
      <c r="HQI7"/>
      <c r="HQJ7"/>
      <c r="HQK7"/>
      <c r="HQL7"/>
      <c r="HQM7"/>
      <c r="HQN7"/>
      <c r="HQO7"/>
      <c r="HQP7"/>
      <c r="HQQ7"/>
      <c r="HQR7"/>
      <c r="HQS7"/>
      <c r="HQT7"/>
      <c r="HQU7"/>
      <c r="HQV7"/>
      <c r="HQW7"/>
      <c r="HQX7"/>
      <c r="HQY7"/>
      <c r="HQZ7"/>
      <c r="HRA7"/>
      <c r="HRB7"/>
      <c r="HRC7"/>
      <c r="HRD7"/>
      <c r="HRE7"/>
      <c r="HRF7"/>
      <c r="HRG7"/>
      <c r="HRH7"/>
      <c r="HRI7"/>
      <c r="HRJ7"/>
      <c r="HRK7"/>
      <c r="HRL7"/>
      <c r="HRM7"/>
      <c r="HRN7"/>
      <c r="HRO7"/>
      <c r="HRP7"/>
      <c r="HRQ7"/>
      <c r="HRR7"/>
      <c r="HRS7"/>
      <c r="HRT7"/>
      <c r="HRU7"/>
      <c r="HRV7"/>
      <c r="HRW7"/>
      <c r="HRX7"/>
      <c r="HRY7"/>
      <c r="HRZ7"/>
      <c r="HSA7"/>
      <c r="HSB7"/>
      <c r="HSC7"/>
      <c r="HSD7"/>
      <c r="HSE7"/>
      <c r="HSF7"/>
      <c r="HSG7"/>
      <c r="HSH7"/>
      <c r="HSI7"/>
      <c r="HSJ7"/>
      <c r="HSK7"/>
      <c r="HSL7"/>
      <c r="HSM7"/>
      <c r="HSN7"/>
      <c r="HSO7"/>
      <c r="HSP7"/>
      <c r="HSQ7"/>
      <c r="HSR7"/>
      <c r="HSS7"/>
      <c r="HST7"/>
      <c r="HSU7"/>
      <c r="HSV7"/>
      <c r="HSW7"/>
      <c r="HSX7"/>
      <c r="HSY7"/>
      <c r="HSZ7"/>
      <c r="HTA7"/>
      <c r="HTB7"/>
      <c r="HTC7"/>
      <c r="HTD7"/>
      <c r="HTE7"/>
      <c r="HTF7"/>
      <c r="HTG7"/>
      <c r="HTH7"/>
      <c r="HTI7"/>
      <c r="HTJ7"/>
      <c r="HTK7"/>
      <c r="HTL7"/>
      <c r="HTM7"/>
      <c r="HTN7"/>
      <c r="HTO7"/>
      <c r="HTP7"/>
      <c r="HTQ7"/>
      <c r="HTR7"/>
      <c r="HTS7"/>
      <c r="HTT7"/>
      <c r="HTU7"/>
      <c r="HTV7"/>
      <c r="HTW7"/>
      <c r="HTX7"/>
      <c r="HTY7"/>
      <c r="HTZ7"/>
      <c r="HUA7"/>
      <c r="HUB7"/>
      <c r="HUC7"/>
      <c r="HUD7"/>
      <c r="HUE7"/>
      <c r="HUF7"/>
      <c r="HUG7"/>
      <c r="HUH7"/>
      <c r="HUI7"/>
      <c r="HUJ7"/>
      <c r="HUK7"/>
      <c r="HUL7"/>
      <c r="HUM7"/>
      <c r="HUN7"/>
      <c r="HUO7"/>
      <c r="HUP7"/>
      <c r="HUQ7"/>
      <c r="HUR7"/>
      <c r="HUS7"/>
      <c r="HUT7"/>
      <c r="HUU7"/>
      <c r="HUV7"/>
      <c r="HUW7"/>
      <c r="HUX7"/>
      <c r="HUY7"/>
      <c r="HUZ7"/>
      <c r="HVA7"/>
      <c r="HVB7"/>
      <c r="HVC7"/>
      <c r="HVD7"/>
      <c r="HVE7"/>
      <c r="HVF7"/>
      <c r="HVG7"/>
      <c r="HVH7"/>
      <c r="HVI7"/>
      <c r="HVJ7"/>
      <c r="HVK7"/>
      <c r="HVL7"/>
      <c r="HVM7"/>
      <c r="HVN7"/>
      <c r="HVO7"/>
      <c r="HVP7"/>
      <c r="HVQ7"/>
      <c r="HVR7"/>
      <c r="HVS7"/>
      <c r="HVT7"/>
      <c r="HVU7"/>
      <c r="HVV7"/>
      <c r="HVW7"/>
      <c r="HVX7"/>
      <c r="HVY7"/>
      <c r="HVZ7"/>
      <c r="HWA7"/>
      <c r="HWB7"/>
      <c r="HWC7"/>
      <c r="HWD7"/>
      <c r="HWE7"/>
      <c r="HWF7"/>
      <c r="HWG7"/>
      <c r="HWH7"/>
      <c r="HWI7"/>
      <c r="HWJ7"/>
      <c r="HWK7"/>
      <c r="HWL7"/>
      <c r="HWM7"/>
      <c r="HWN7"/>
      <c r="HWO7"/>
      <c r="HWP7"/>
      <c r="HWQ7"/>
      <c r="HWR7"/>
      <c r="HWS7"/>
      <c r="HWT7"/>
      <c r="HWU7"/>
      <c r="HWV7"/>
      <c r="HWW7"/>
      <c r="HWX7"/>
      <c r="HWY7"/>
      <c r="HWZ7"/>
      <c r="HXA7"/>
      <c r="HXB7"/>
      <c r="HXC7"/>
      <c r="HXD7"/>
      <c r="HXE7"/>
      <c r="HXF7"/>
      <c r="HXG7"/>
      <c r="HXH7"/>
      <c r="HXI7"/>
      <c r="HXJ7"/>
      <c r="HXK7"/>
      <c r="HXL7"/>
      <c r="HXM7"/>
      <c r="HXN7"/>
      <c r="HXO7"/>
      <c r="HXP7"/>
      <c r="HXQ7"/>
      <c r="HXR7"/>
      <c r="HXS7"/>
      <c r="HXT7"/>
      <c r="HXU7"/>
      <c r="HXV7"/>
      <c r="HXW7"/>
      <c r="HXX7"/>
      <c r="HXY7"/>
      <c r="HXZ7"/>
      <c r="HYA7"/>
      <c r="HYB7"/>
      <c r="HYC7"/>
      <c r="HYD7"/>
      <c r="HYE7"/>
      <c r="HYF7"/>
      <c r="HYG7"/>
      <c r="HYH7"/>
      <c r="HYI7"/>
      <c r="HYJ7"/>
      <c r="HYK7"/>
      <c r="HYL7"/>
      <c r="HYM7"/>
      <c r="HYN7"/>
      <c r="HYO7"/>
      <c r="HYP7"/>
      <c r="HYQ7"/>
      <c r="HYR7"/>
      <c r="HYS7"/>
      <c r="HYT7"/>
      <c r="HYU7"/>
      <c r="HYV7"/>
      <c r="HYW7"/>
      <c r="HYX7"/>
      <c r="HYY7"/>
      <c r="HYZ7"/>
      <c r="HZA7"/>
      <c r="HZB7"/>
      <c r="HZC7"/>
      <c r="HZD7"/>
      <c r="HZE7"/>
      <c r="HZF7"/>
      <c r="HZG7"/>
      <c r="HZH7"/>
      <c r="HZI7"/>
      <c r="HZJ7"/>
      <c r="HZK7"/>
      <c r="HZL7"/>
      <c r="HZM7"/>
      <c r="HZN7"/>
      <c r="HZO7"/>
      <c r="HZP7"/>
      <c r="HZQ7"/>
      <c r="HZR7"/>
      <c r="HZS7"/>
      <c r="HZT7"/>
      <c r="HZU7"/>
      <c r="HZV7"/>
      <c r="HZW7"/>
      <c r="HZX7"/>
      <c r="HZY7"/>
      <c r="HZZ7"/>
      <c r="IAA7"/>
      <c r="IAB7"/>
      <c r="IAC7"/>
      <c r="IAD7"/>
      <c r="IAE7"/>
      <c r="IAF7"/>
      <c r="IAG7"/>
      <c r="IAH7"/>
      <c r="IAI7"/>
      <c r="IAJ7"/>
      <c r="IAK7"/>
      <c r="IAL7"/>
      <c r="IAM7"/>
      <c r="IAN7"/>
      <c r="IAO7"/>
      <c r="IAP7"/>
      <c r="IAQ7"/>
      <c r="IAR7"/>
      <c r="IAS7"/>
      <c r="IAT7"/>
      <c r="IAU7"/>
      <c r="IAV7"/>
      <c r="IAW7"/>
      <c r="IAX7"/>
      <c r="IAY7"/>
      <c r="IAZ7"/>
      <c r="IBA7"/>
      <c r="IBB7"/>
      <c r="IBC7"/>
      <c r="IBD7"/>
      <c r="IBE7"/>
      <c r="IBF7"/>
      <c r="IBG7"/>
      <c r="IBH7"/>
      <c r="IBI7"/>
      <c r="IBJ7"/>
      <c r="IBK7"/>
      <c r="IBL7"/>
      <c r="IBM7"/>
      <c r="IBN7"/>
      <c r="IBO7"/>
      <c r="IBP7"/>
      <c r="IBQ7"/>
      <c r="IBR7"/>
      <c r="IBS7"/>
      <c r="IBT7"/>
      <c r="IBU7"/>
      <c r="IBV7"/>
      <c r="IBW7"/>
      <c r="IBX7"/>
      <c r="IBY7"/>
      <c r="IBZ7"/>
      <c r="ICA7"/>
      <c r="ICB7"/>
      <c r="ICC7"/>
      <c r="ICD7"/>
      <c r="ICE7"/>
      <c r="ICF7"/>
      <c r="ICG7"/>
      <c r="ICH7"/>
      <c r="ICI7"/>
      <c r="ICJ7"/>
      <c r="ICK7"/>
      <c r="ICL7"/>
      <c r="ICM7"/>
      <c r="ICN7"/>
      <c r="ICO7"/>
      <c r="ICP7"/>
      <c r="ICQ7"/>
      <c r="ICR7"/>
      <c r="ICS7"/>
      <c r="ICT7"/>
      <c r="ICU7"/>
      <c r="ICV7"/>
      <c r="ICW7"/>
      <c r="ICX7"/>
      <c r="ICY7"/>
      <c r="ICZ7"/>
      <c r="IDA7"/>
      <c r="IDB7"/>
      <c r="IDC7"/>
      <c r="IDD7"/>
      <c r="IDE7"/>
      <c r="IDF7"/>
      <c r="IDG7"/>
      <c r="IDH7"/>
      <c r="IDI7"/>
      <c r="IDJ7"/>
      <c r="IDK7"/>
      <c r="IDL7"/>
      <c r="IDM7"/>
      <c r="IDN7"/>
      <c r="IDO7"/>
      <c r="IDP7"/>
      <c r="IDQ7"/>
      <c r="IDR7"/>
      <c r="IDS7"/>
      <c r="IDT7"/>
      <c r="IDU7"/>
      <c r="IDV7"/>
      <c r="IDW7"/>
      <c r="IDX7"/>
      <c r="IDY7"/>
      <c r="IDZ7"/>
      <c r="IEA7"/>
      <c r="IEB7"/>
      <c r="IEC7"/>
      <c r="IED7"/>
      <c r="IEE7"/>
      <c r="IEF7"/>
      <c r="IEG7"/>
      <c r="IEH7"/>
      <c r="IEI7"/>
      <c r="IEJ7"/>
      <c r="IEK7"/>
      <c r="IEL7"/>
      <c r="IEM7"/>
      <c r="IEN7"/>
      <c r="IEO7"/>
      <c r="IEP7"/>
      <c r="IEQ7"/>
      <c r="IER7"/>
      <c r="IES7"/>
      <c r="IET7"/>
      <c r="IEU7"/>
      <c r="IEV7"/>
      <c r="IEW7"/>
      <c r="IEX7"/>
      <c r="IEY7"/>
      <c r="IEZ7"/>
      <c r="IFA7"/>
      <c r="IFB7"/>
      <c r="IFC7"/>
      <c r="IFD7"/>
      <c r="IFE7"/>
      <c r="IFF7"/>
      <c r="IFG7"/>
      <c r="IFH7"/>
      <c r="IFI7"/>
      <c r="IFJ7"/>
      <c r="IFK7"/>
      <c r="IFL7"/>
      <c r="IFM7"/>
      <c r="IFN7"/>
      <c r="IFO7"/>
      <c r="IFP7"/>
      <c r="IFQ7"/>
      <c r="IFR7"/>
      <c r="IFS7"/>
      <c r="IFT7"/>
      <c r="IFU7"/>
      <c r="IFV7"/>
      <c r="IFW7"/>
      <c r="IFX7"/>
      <c r="IFY7"/>
      <c r="IFZ7"/>
      <c r="IGA7"/>
      <c r="IGB7"/>
      <c r="IGC7"/>
      <c r="IGD7"/>
      <c r="IGE7"/>
      <c r="IGF7"/>
      <c r="IGG7"/>
      <c r="IGH7"/>
      <c r="IGI7"/>
      <c r="IGJ7"/>
      <c r="IGK7"/>
      <c r="IGL7"/>
      <c r="IGM7"/>
      <c r="IGN7"/>
      <c r="IGO7"/>
      <c r="IGP7"/>
      <c r="IGQ7"/>
      <c r="IGR7"/>
      <c r="IGS7"/>
      <c r="IGT7"/>
      <c r="IGU7"/>
      <c r="IGV7"/>
      <c r="IGW7"/>
      <c r="IGX7"/>
      <c r="IGY7"/>
      <c r="IGZ7"/>
      <c r="IHA7"/>
      <c r="IHB7"/>
      <c r="IHC7"/>
      <c r="IHD7"/>
      <c r="IHE7"/>
      <c r="IHF7"/>
      <c r="IHG7"/>
      <c r="IHH7"/>
      <c r="IHI7"/>
      <c r="IHJ7"/>
      <c r="IHK7"/>
      <c r="IHL7"/>
      <c r="IHM7"/>
      <c r="IHN7"/>
      <c r="IHO7"/>
      <c r="IHP7"/>
      <c r="IHQ7"/>
      <c r="IHR7"/>
      <c r="IHS7"/>
      <c r="IHT7"/>
      <c r="IHU7"/>
      <c r="IHV7"/>
      <c r="IHW7"/>
      <c r="IHX7"/>
      <c r="IHY7"/>
      <c r="IHZ7"/>
      <c r="IIA7"/>
      <c r="IIB7"/>
      <c r="IIC7"/>
      <c r="IID7"/>
      <c r="IIE7"/>
      <c r="IIF7"/>
      <c r="IIG7"/>
      <c r="IIH7"/>
      <c r="III7"/>
      <c r="IIJ7"/>
      <c r="IIK7"/>
      <c r="IIL7"/>
      <c r="IIM7"/>
      <c r="IIN7"/>
      <c r="IIO7"/>
      <c r="IIP7"/>
      <c r="IIQ7"/>
      <c r="IIR7"/>
      <c r="IIS7"/>
      <c r="IIT7"/>
      <c r="IIU7"/>
      <c r="IIV7"/>
      <c r="IIW7"/>
      <c r="IIX7"/>
      <c r="IIY7"/>
      <c r="IIZ7"/>
      <c r="IJA7"/>
      <c r="IJB7"/>
      <c r="IJC7"/>
      <c r="IJD7"/>
      <c r="IJE7"/>
      <c r="IJF7"/>
      <c r="IJG7"/>
      <c r="IJH7"/>
      <c r="IJI7"/>
      <c r="IJJ7"/>
      <c r="IJK7"/>
      <c r="IJL7"/>
      <c r="IJM7"/>
      <c r="IJN7"/>
      <c r="IJO7"/>
      <c r="IJP7"/>
      <c r="IJQ7"/>
      <c r="IJR7"/>
      <c r="IJS7"/>
      <c r="IJT7"/>
      <c r="IJU7"/>
      <c r="IJV7"/>
      <c r="IJW7"/>
      <c r="IJX7"/>
      <c r="IJY7"/>
      <c r="IJZ7"/>
      <c r="IKA7"/>
      <c r="IKB7"/>
      <c r="IKC7"/>
      <c r="IKD7"/>
      <c r="IKE7"/>
      <c r="IKF7"/>
      <c r="IKG7"/>
      <c r="IKH7"/>
      <c r="IKI7"/>
      <c r="IKJ7"/>
      <c r="IKK7"/>
      <c r="IKL7"/>
      <c r="IKM7"/>
      <c r="IKN7"/>
      <c r="IKO7"/>
      <c r="IKP7"/>
      <c r="IKQ7"/>
      <c r="IKR7"/>
      <c r="IKS7"/>
      <c r="IKT7"/>
      <c r="IKU7"/>
      <c r="IKV7"/>
      <c r="IKW7"/>
      <c r="IKX7"/>
      <c r="IKY7"/>
      <c r="IKZ7"/>
      <c r="ILA7"/>
      <c r="ILB7"/>
      <c r="ILC7"/>
      <c r="ILD7"/>
      <c r="ILE7"/>
      <c r="ILF7"/>
      <c r="ILG7"/>
      <c r="ILH7"/>
      <c r="ILI7"/>
      <c r="ILJ7"/>
      <c r="ILK7"/>
      <c r="ILL7"/>
      <c r="ILM7"/>
      <c r="ILN7"/>
      <c r="ILO7"/>
      <c r="ILP7"/>
      <c r="ILQ7"/>
      <c r="ILR7"/>
      <c r="ILS7"/>
      <c r="ILT7"/>
      <c r="ILU7"/>
      <c r="ILV7"/>
      <c r="ILW7"/>
      <c r="ILX7"/>
      <c r="ILY7"/>
      <c r="ILZ7"/>
      <c r="IMA7"/>
      <c r="IMB7"/>
      <c r="IMC7"/>
      <c r="IMD7"/>
      <c r="IME7"/>
      <c r="IMF7"/>
      <c r="IMG7"/>
      <c r="IMH7"/>
      <c r="IMI7"/>
      <c r="IMJ7"/>
      <c r="IMK7"/>
      <c r="IML7"/>
      <c r="IMM7"/>
      <c r="IMN7"/>
      <c r="IMO7"/>
      <c r="IMP7"/>
      <c r="IMQ7"/>
      <c r="IMR7"/>
      <c r="IMS7"/>
      <c r="IMT7"/>
      <c r="IMU7"/>
      <c r="IMV7"/>
      <c r="IMW7"/>
      <c r="IMX7"/>
      <c r="IMY7"/>
      <c r="IMZ7"/>
      <c r="INA7"/>
      <c r="INB7"/>
      <c r="INC7"/>
      <c r="IND7"/>
      <c r="INE7"/>
      <c r="INF7"/>
      <c r="ING7"/>
      <c r="INH7"/>
      <c r="INI7"/>
      <c r="INJ7"/>
      <c r="INK7"/>
      <c r="INL7"/>
      <c r="INM7"/>
      <c r="INN7"/>
      <c r="INO7"/>
      <c r="INP7"/>
      <c r="INQ7"/>
      <c r="INR7"/>
      <c r="INS7"/>
      <c r="INT7"/>
      <c r="INU7"/>
      <c r="INV7"/>
      <c r="INW7"/>
      <c r="INX7"/>
      <c r="INY7"/>
      <c r="INZ7"/>
      <c r="IOA7"/>
      <c r="IOB7"/>
      <c r="IOC7"/>
      <c r="IOD7"/>
      <c r="IOE7"/>
      <c r="IOF7"/>
      <c r="IOG7"/>
      <c r="IOH7"/>
      <c r="IOI7"/>
      <c r="IOJ7"/>
      <c r="IOK7"/>
      <c r="IOL7"/>
      <c r="IOM7"/>
      <c r="ION7"/>
      <c r="IOO7"/>
      <c r="IOP7"/>
      <c r="IOQ7"/>
      <c r="IOR7"/>
      <c r="IOS7"/>
      <c r="IOT7"/>
      <c r="IOU7"/>
      <c r="IOV7"/>
      <c r="IOW7"/>
      <c r="IOX7"/>
      <c r="IOY7"/>
      <c r="IOZ7"/>
      <c r="IPA7"/>
      <c r="IPB7"/>
      <c r="IPC7"/>
      <c r="IPD7"/>
      <c r="IPE7"/>
      <c r="IPF7"/>
      <c r="IPG7"/>
      <c r="IPH7"/>
      <c r="IPI7"/>
      <c r="IPJ7"/>
      <c r="IPK7"/>
      <c r="IPL7"/>
      <c r="IPM7"/>
      <c r="IPN7"/>
      <c r="IPO7"/>
      <c r="IPP7"/>
      <c r="IPQ7"/>
      <c r="IPR7"/>
      <c r="IPS7"/>
      <c r="IPT7"/>
      <c r="IPU7"/>
      <c r="IPV7"/>
      <c r="IPW7"/>
      <c r="IPX7"/>
      <c r="IPY7"/>
      <c r="IPZ7"/>
      <c r="IQA7"/>
      <c r="IQB7"/>
      <c r="IQC7"/>
      <c r="IQD7"/>
      <c r="IQE7"/>
      <c r="IQF7"/>
      <c r="IQG7"/>
      <c r="IQH7"/>
      <c r="IQI7"/>
      <c r="IQJ7"/>
      <c r="IQK7"/>
      <c r="IQL7"/>
      <c r="IQM7"/>
      <c r="IQN7"/>
      <c r="IQO7"/>
      <c r="IQP7"/>
      <c r="IQQ7"/>
      <c r="IQR7"/>
      <c r="IQS7"/>
      <c r="IQT7"/>
      <c r="IQU7"/>
      <c r="IQV7"/>
      <c r="IQW7"/>
      <c r="IQX7"/>
      <c r="IQY7"/>
      <c r="IQZ7"/>
      <c r="IRA7"/>
      <c r="IRB7"/>
      <c r="IRC7"/>
      <c r="IRD7"/>
      <c r="IRE7"/>
      <c r="IRF7"/>
      <c r="IRG7"/>
      <c r="IRH7"/>
      <c r="IRI7"/>
      <c r="IRJ7"/>
      <c r="IRK7"/>
      <c r="IRL7"/>
      <c r="IRM7"/>
      <c r="IRN7"/>
      <c r="IRO7"/>
      <c r="IRP7"/>
      <c r="IRQ7"/>
      <c r="IRR7"/>
      <c r="IRS7"/>
      <c r="IRT7"/>
      <c r="IRU7"/>
      <c r="IRV7"/>
      <c r="IRW7"/>
      <c r="IRX7"/>
      <c r="IRY7"/>
      <c r="IRZ7"/>
      <c r="ISA7"/>
      <c r="ISB7"/>
      <c r="ISC7"/>
      <c r="ISD7"/>
      <c r="ISE7"/>
      <c r="ISF7"/>
      <c r="ISG7"/>
      <c r="ISH7"/>
      <c r="ISI7"/>
      <c r="ISJ7"/>
      <c r="ISK7"/>
      <c r="ISL7"/>
      <c r="ISM7"/>
      <c r="ISN7"/>
      <c r="ISO7"/>
      <c r="ISP7"/>
      <c r="ISQ7"/>
      <c r="ISR7"/>
      <c r="ISS7"/>
      <c r="IST7"/>
      <c r="ISU7"/>
      <c r="ISV7"/>
      <c r="ISW7"/>
      <c r="ISX7"/>
      <c r="ISY7"/>
      <c r="ISZ7"/>
      <c r="ITA7"/>
      <c r="ITB7"/>
      <c r="ITC7"/>
      <c r="ITD7"/>
      <c r="ITE7"/>
      <c r="ITF7"/>
      <c r="ITG7"/>
      <c r="ITH7"/>
      <c r="ITI7"/>
      <c r="ITJ7"/>
      <c r="ITK7"/>
      <c r="ITL7"/>
      <c r="ITM7"/>
      <c r="ITN7"/>
      <c r="ITO7"/>
      <c r="ITP7"/>
      <c r="ITQ7"/>
      <c r="ITR7"/>
      <c r="ITS7"/>
      <c r="ITT7"/>
      <c r="ITU7"/>
      <c r="ITV7"/>
      <c r="ITW7"/>
      <c r="ITX7"/>
      <c r="ITY7"/>
      <c r="ITZ7"/>
      <c r="IUA7"/>
      <c r="IUB7"/>
      <c r="IUC7"/>
      <c r="IUD7"/>
      <c r="IUE7"/>
      <c r="IUF7"/>
      <c r="IUG7"/>
      <c r="IUH7"/>
      <c r="IUI7"/>
      <c r="IUJ7"/>
      <c r="IUK7"/>
      <c r="IUL7"/>
      <c r="IUM7"/>
      <c r="IUN7"/>
      <c r="IUO7"/>
      <c r="IUP7"/>
      <c r="IUQ7"/>
      <c r="IUR7"/>
      <c r="IUS7"/>
      <c r="IUT7"/>
      <c r="IUU7"/>
      <c r="IUV7"/>
      <c r="IUW7"/>
      <c r="IUX7"/>
      <c r="IUY7"/>
      <c r="IUZ7"/>
      <c r="IVA7"/>
      <c r="IVB7"/>
      <c r="IVC7"/>
      <c r="IVD7"/>
      <c r="IVE7"/>
      <c r="IVF7"/>
      <c r="IVG7"/>
      <c r="IVH7"/>
      <c r="IVI7"/>
      <c r="IVJ7"/>
      <c r="IVK7"/>
      <c r="IVL7"/>
      <c r="IVM7"/>
      <c r="IVN7"/>
      <c r="IVO7"/>
      <c r="IVP7"/>
      <c r="IVQ7"/>
      <c r="IVR7"/>
      <c r="IVS7"/>
      <c r="IVT7"/>
      <c r="IVU7"/>
      <c r="IVV7"/>
      <c r="IVW7"/>
      <c r="IVX7"/>
      <c r="IVY7"/>
      <c r="IVZ7"/>
      <c r="IWA7"/>
      <c r="IWB7"/>
      <c r="IWC7"/>
      <c r="IWD7"/>
      <c r="IWE7"/>
      <c r="IWF7"/>
      <c r="IWG7"/>
      <c r="IWH7"/>
      <c r="IWI7"/>
      <c r="IWJ7"/>
      <c r="IWK7"/>
      <c r="IWL7"/>
      <c r="IWM7"/>
      <c r="IWN7"/>
      <c r="IWO7"/>
      <c r="IWP7"/>
      <c r="IWQ7"/>
      <c r="IWR7"/>
      <c r="IWS7"/>
      <c r="IWT7"/>
      <c r="IWU7"/>
      <c r="IWV7"/>
      <c r="IWW7"/>
      <c r="IWX7"/>
      <c r="IWY7"/>
      <c r="IWZ7"/>
      <c r="IXA7"/>
      <c r="IXB7"/>
      <c r="IXC7"/>
      <c r="IXD7"/>
      <c r="IXE7"/>
      <c r="IXF7"/>
      <c r="IXG7"/>
      <c r="IXH7"/>
      <c r="IXI7"/>
      <c r="IXJ7"/>
      <c r="IXK7"/>
      <c r="IXL7"/>
      <c r="IXM7"/>
      <c r="IXN7"/>
      <c r="IXO7"/>
      <c r="IXP7"/>
      <c r="IXQ7"/>
      <c r="IXR7"/>
      <c r="IXS7"/>
      <c r="IXT7"/>
      <c r="IXU7"/>
      <c r="IXV7"/>
      <c r="IXW7"/>
      <c r="IXX7"/>
      <c r="IXY7"/>
      <c r="IXZ7"/>
      <c r="IYA7"/>
      <c r="IYB7"/>
      <c r="IYC7"/>
      <c r="IYD7"/>
      <c r="IYE7"/>
      <c r="IYF7"/>
      <c r="IYG7"/>
      <c r="IYH7"/>
      <c r="IYI7"/>
      <c r="IYJ7"/>
      <c r="IYK7"/>
      <c r="IYL7"/>
      <c r="IYM7"/>
      <c r="IYN7"/>
      <c r="IYO7"/>
      <c r="IYP7"/>
      <c r="IYQ7"/>
      <c r="IYR7"/>
      <c r="IYS7"/>
      <c r="IYT7"/>
      <c r="IYU7"/>
      <c r="IYV7"/>
      <c r="IYW7"/>
      <c r="IYX7"/>
      <c r="IYY7"/>
      <c r="IYZ7"/>
      <c r="IZA7"/>
      <c r="IZB7"/>
      <c r="IZC7"/>
      <c r="IZD7"/>
      <c r="IZE7"/>
      <c r="IZF7"/>
      <c r="IZG7"/>
      <c r="IZH7"/>
      <c r="IZI7"/>
      <c r="IZJ7"/>
      <c r="IZK7"/>
      <c r="IZL7"/>
      <c r="IZM7"/>
      <c r="IZN7"/>
      <c r="IZO7"/>
      <c r="IZP7"/>
      <c r="IZQ7"/>
      <c r="IZR7"/>
      <c r="IZS7"/>
      <c r="IZT7"/>
      <c r="IZU7"/>
      <c r="IZV7"/>
      <c r="IZW7"/>
      <c r="IZX7"/>
      <c r="IZY7"/>
      <c r="IZZ7"/>
      <c r="JAA7"/>
      <c r="JAB7"/>
      <c r="JAC7"/>
      <c r="JAD7"/>
      <c r="JAE7"/>
      <c r="JAF7"/>
      <c r="JAG7"/>
      <c r="JAH7"/>
      <c r="JAI7"/>
      <c r="JAJ7"/>
      <c r="JAK7"/>
      <c r="JAL7"/>
      <c r="JAM7"/>
      <c r="JAN7"/>
      <c r="JAO7"/>
      <c r="JAP7"/>
      <c r="JAQ7"/>
      <c r="JAR7"/>
      <c r="JAS7"/>
      <c r="JAT7"/>
      <c r="JAU7"/>
      <c r="JAV7"/>
      <c r="JAW7"/>
      <c r="JAX7"/>
      <c r="JAY7"/>
      <c r="JAZ7"/>
      <c r="JBA7"/>
      <c r="JBB7"/>
      <c r="JBC7"/>
      <c r="JBD7"/>
      <c r="JBE7"/>
      <c r="JBF7"/>
      <c r="JBG7"/>
      <c r="JBH7"/>
      <c r="JBI7"/>
      <c r="JBJ7"/>
      <c r="JBK7"/>
      <c r="JBL7"/>
      <c r="JBM7"/>
      <c r="JBN7"/>
      <c r="JBO7"/>
      <c r="JBP7"/>
      <c r="JBQ7"/>
      <c r="JBR7"/>
      <c r="JBS7"/>
      <c r="JBT7"/>
      <c r="JBU7"/>
      <c r="JBV7"/>
      <c r="JBW7"/>
      <c r="JBX7"/>
      <c r="JBY7"/>
      <c r="JBZ7"/>
      <c r="JCA7"/>
      <c r="JCB7"/>
      <c r="JCC7"/>
      <c r="JCD7"/>
      <c r="JCE7"/>
      <c r="JCF7"/>
      <c r="JCG7"/>
      <c r="JCH7"/>
      <c r="JCI7"/>
      <c r="JCJ7"/>
      <c r="JCK7"/>
      <c r="JCL7"/>
      <c r="JCM7"/>
      <c r="JCN7"/>
      <c r="JCO7"/>
      <c r="JCP7"/>
      <c r="JCQ7"/>
      <c r="JCR7"/>
      <c r="JCS7"/>
      <c r="JCT7"/>
      <c r="JCU7"/>
      <c r="JCV7"/>
      <c r="JCW7"/>
      <c r="JCX7"/>
      <c r="JCY7"/>
      <c r="JCZ7"/>
      <c r="JDA7"/>
      <c r="JDB7"/>
      <c r="JDC7"/>
      <c r="JDD7"/>
      <c r="JDE7"/>
      <c r="JDF7"/>
      <c r="JDG7"/>
      <c r="JDH7"/>
      <c r="JDI7"/>
      <c r="JDJ7"/>
      <c r="JDK7"/>
      <c r="JDL7"/>
      <c r="JDM7"/>
      <c r="JDN7"/>
      <c r="JDO7"/>
      <c r="JDP7"/>
      <c r="JDQ7"/>
      <c r="JDR7"/>
      <c r="JDS7"/>
      <c r="JDT7"/>
      <c r="JDU7"/>
      <c r="JDV7"/>
      <c r="JDW7"/>
      <c r="JDX7"/>
      <c r="JDY7"/>
      <c r="JDZ7"/>
      <c r="JEA7"/>
      <c r="JEB7"/>
      <c r="JEC7"/>
      <c r="JED7"/>
      <c r="JEE7"/>
      <c r="JEF7"/>
      <c r="JEG7"/>
      <c r="JEH7"/>
      <c r="JEI7"/>
      <c r="JEJ7"/>
      <c r="JEK7"/>
      <c r="JEL7"/>
      <c r="JEM7"/>
      <c r="JEN7"/>
      <c r="JEO7"/>
      <c r="JEP7"/>
      <c r="JEQ7"/>
      <c r="JER7"/>
      <c r="JES7"/>
      <c r="JET7"/>
      <c r="JEU7"/>
      <c r="JEV7"/>
      <c r="JEW7"/>
      <c r="JEX7"/>
      <c r="JEY7"/>
      <c r="JEZ7"/>
      <c r="JFA7"/>
      <c r="JFB7"/>
      <c r="JFC7"/>
      <c r="JFD7"/>
      <c r="JFE7"/>
      <c r="JFF7"/>
      <c r="JFG7"/>
      <c r="JFH7"/>
      <c r="JFI7"/>
      <c r="JFJ7"/>
      <c r="JFK7"/>
      <c r="JFL7"/>
      <c r="JFM7"/>
      <c r="JFN7"/>
      <c r="JFO7"/>
      <c r="JFP7"/>
      <c r="JFQ7"/>
      <c r="JFR7"/>
      <c r="JFS7"/>
      <c r="JFT7"/>
      <c r="JFU7"/>
      <c r="JFV7"/>
      <c r="JFW7"/>
      <c r="JFX7"/>
      <c r="JFY7"/>
      <c r="JFZ7"/>
      <c r="JGA7"/>
      <c r="JGB7"/>
      <c r="JGC7"/>
      <c r="JGD7"/>
      <c r="JGE7"/>
      <c r="JGF7"/>
      <c r="JGG7"/>
      <c r="JGH7"/>
      <c r="JGI7"/>
      <c r="JGJ7"/>
      <c r="JGK7"/>
      <c r="JGL7"/>
      <c r="JGM7"/>
      <c r="JGN7"/>
      <c r="JGO7"/>
      <c r="JGP7"/>
      <c r="JGQ7"/>
      <c r="JGR7"/>
      <c r="JGS7"/>
      <c r="JGT7"/>
      <c r="JGU7"/>
      <c r="JGV7"/>
      <c r="JGW7"/>
      <c r="JGX7"/>
      <c r="JGY7"/>
      <c r="JGZ7"/>
      <c r="JHA7"/>
      <c r="JHB7"/>
      <c r="JHC7"/>
      <c r="JHD7"/>
      <c r="JHE7"/>
      <c r="JHF7"/>
      <c r="JHG7"/>
      <c r="JHH7"/>
      <c r="JHI7"/>
      <c r="JHJ7"/>
      <c r="JHK7"/>
      <c r="JHL7"/>
      <c r="JHM7"/>
      <c r="JHN7"/>
      <c r="JHO7"/>
      <c r="JHP7"/>
      <c r="JHQ7"/>
      <c r="JHR7"/>
      <c r="JHS7"/>
      <c r="JHT7"/>
      <c r="JHU7"/>
      <c r="JHV7"/>
      <c r="JHW7"/>
      <c r="JHX7"/>
      <c r="JHY7"/>
      <c r="JHZ7"/>
      <c r="JIA7"/>
      <c r="JIB7"/>
      <c r="JIC7"/>
      <c r="JID7"/>
      <c r="JIE7"/>
      <c r="JIF7"/>
      <c r="JIG7"/>
      <c r="JIH7"/>
      <c r="JII7"/>
      <c r="JIJ7"/>
      <c r="JIK7"/>
      <c r="JIL7"/>
      <c r="JIM7"/>
      <c r="JIN7"/>
      <c r="JIO7"/>
      <c r="JIP7"/>
      <c r="JIQ7"/>
      <c r="JIR7"/>
      <c r="JIS7"/>
      <c r="JIT7"/>
      <c r="JIU7"/>
      <c r="JIV7"/>
      <c r="JIW7"/>
      <c r="JIX7"/>
      <c r="JIY7"/>
      <c r="JIZ7"/>
      <c r="JJA7"/>
      <c r="JJB7"/>
      <c r="JJC7"/>
      <c r="JJD7"/>
      <c r="JJE7"/>
      <c r="JJF7"/>
      <c r="JJG7"/>
      <c r="JJH7"/>
      <c r="JJI7"/>
      <c r="JJJ7"/>
      <c r="JJK7"/>
      <c r="JJL7"/>
      <c r="JJM7"/>
      <c r="JJN7"/>
      <c r="JJO7"/>
      <c r="JJP7"/>
      <c r="JJQ7"/>
      <c r="JJR7"/>
      <c r="JJS7"/>
      <c r="JJT7"/>
      <c r="JJU7"/>
      <c r="JJV7"/>
      <c r="JJW7"/>
      <c r="JJX7"/>
      <c r="JJY7"/>
      <c r="JJZ7"/>
      <c r="JKA7"/>
      <c r="JKB7"/>
      <c r="JKC7"/>
      <c r="JKD7"/>
      <c r="JKE7"/>
      <c r="JKF7"/>
      <c r="JKG7"/>
      <c r="JKH7"/>
      <c r="JKI7"/>
      <c r="JKJ7"/>
      <c r="JKK7"/>
      <c r="JKL7"/>
      <c r="JKM7"/>
      <c r="JKN7"/>
      <c r="JKO7"/>
      <c r="JKP7"/>
      <c r="JKQ7"/>
      <c r="JKR7"/>
      <c r="JKS7"/>
      <c r="JKT7"/>
      <c r="JKU7"/>
      <c r="JKV7"/>
      <c r="JKW7"/>
      <c r="JKX7"/>
      <c r="JKY7"/>
      <c r="JKZ7"/>
      <c r="JLA7"/>
      <c r="JLB7"/>
      <c r="JLC7"/>
      <c r="JLD7"/>
      <c r="JLE7"/>
      <c r="JLF7"/>
      <c r="JLG7"/>
      <c r="JLH7"/>
      <c r="JLI7"/>
      <c r="JLJ7"/>
      <c r="JLK7"/>
      <c r="JLL7"/>
      <c r="JLM7"/>
      <c r="JLN7"/>
      <c r="JLO7"/>
      <c r="JLP7"/>
      <c r="JLQ7"/>
      <c r="JLR7"/>
      <c r="JLS7"/>
      <c r="JLT7"/>
      <c r="JLU7"/>
      <c r="JLV7"/>
      <c r="JLW7"/>
      <c r="JLX7"/>
      <c r="JLY7"/>
      <c r="JLZ7"/>
      <c r="JMA7"/>
      <c r="JMB7"/>
      <c r="JMC7"/>
      <c r="JMD7"/>
      <c r="JME7"/>
      <c r="JMF7"/>
      <c r="JMG7"/>
      <c r="JMH7"/>
      <c r="JMI7"/>
      <c r="JMJ7"/>
      <c r="JMK7"/>
      <c r="JML7"/>
      <c r="JMM7"/>
      <c r="JMN7"/>
      <c r="JMO7"/>
      <c r="JMP7"/>
      <c r="JMQ7"/>
      <c r="JMR7"/>
      <c r="JMS7"/>
      <c r="JMT7"/>
      <c r="JMU7"/>
      <c r="JMV7"/>
      <c r="JMW7"/>
      <c r="JMX7"/>
      <c r="JMY7"/>
      <c r="JMZ7"/>
      <c r="JNA7"/>
      <c r="JNB7"/>
      <c r="JNC7"/>
      <c r="JND7"/>
      <c r="JNE7"/>
      <c r="JNF7"/>
      <c r="JNG7"/>
      <c r="JNH7"/>
      <c r="JNI7"/>
      <c r="JNJ7"/>
      <c r="JNK7"/>
      <c r="JNL7"/>
      <c r="JNM7"/>
      <c r="JNN7"/>
      <c r="JNO7"/>
      <c r="JNP7"/>
      <c r="JNQ7"/>
      <c r="JNR7"/>
      <c r="JNS7"/>
      <c r="JNT7"/>
      <c r="JNU7"/>
      <c r="JNV7"/>
      <c r="JNW7"/>
      <c r="JNX7"/>
      <c r="JNY7"/>
      <c r="JNZ7"/>
      <c r="JOA7"/>
      <c r="JOB7"/>
      <c r="JOC7"/>
      <c r="JOD7"/>
      <c r="JOE7"/>
      <c r="JOF7"/>
      <c r="JOG7"/>
      <c r="JOH7"/>
      <c r="JOI7"/>
      <c r="JOJ7"/>
      <c r="JOK7"/>
      <c r="JOL7"/>
      <c r="JOM7"/>
      <c r="JON7"/>
      <c r="JOO7"/>
      <c r="JOP7"/>
      <c r="JOQ7"/>
      <c r="JOR7"/>
      <c r="JOS7"/>
      <c r="JOT7"/>
      <c r="JOU7"/>
      <c r="JOV7"/>
      <c r="JOW7"/>
      <c r="JOX7"/>
      <c r="JOY7"/>
      <c r="JOZ7"/>
      <c r="JPA7"/>
      <c r="JPB7"/>
      <c r="JPC7"/>
      <c r="JPD7"/>
      <c r="JPE7"/>
      <c r="JPF7"/>
      <c r="JPG7"/>
      <c r="JPH7"/>
      <c r="JPI7"/>
      <c r="JPJ7"/>
      <c r="JPK7"/>
      <c r="JPL7"/>
      <c r="JPM7"/>
      <c r="JPN7"/>
      <c r="JPO7"/>
      <c r="JPP7"/>
      <c r="JPQ7"/>
      <c r="JPR7"/>
      <c r="JPS7"/>
      <c r="JPT7"/>
      <c r="JPU7"/>
      <c r="JPV7"/>
      <c r="JPW7"/>
      <c r="JPX7"/>
      <c r="JPY7"/>
      <c r="JPZ7"/>
      <c r="JQA7"/>
      <c r="JQB7"/>
      <c r="JQC7"/>
      <c r="JQD7"/>
      <c r="JQE7"/>
      <c r="JQF7"/>
      <c r="JQG7"/>
      <c r="JQH7"/>
      <c r="JQI7"/>
      <c r="JQJ7"/>
      <c r="JQK7"/>
      <c r="JQL7"/>
      <c r="JQM7"/>
      <c r="JQN7"/>
      <c r="JQO7"/>
      <c r="JQP7"/>
      <c r="JQQ7"/>
      <c r="JQR7"/>
      <c r="JQS7"/>
      <c r="JQT7"/>
      <c r="JQU7"/>
      <c r="JQV7"/>
      <c r="JQW7"/>
      <c r="JQX7"/>
      <c r="JQY7"/>
      <c r="JQZ7"/>
      <c r="JRA7"/>
      <c r="JRB7"/>
      <c r="JRC7"/>
      <c r="JRD7"/>
      <c r="JRE7"/>
      <c r="JRF7"/>
      <c r="JRG7"/>
      <c r="JRH7"/>
      <c r="JRI7"/>
      <c r="JRJ7"/>
      <c r="JRK7"/>
      <c r="JRL7"/>
      <c r="JRM7"/>
      <c r="JRN7"/>
      <c r="JRO7"/>
      <c r="JRP7"/>
      <c r="JRQ7"/>
      <c r="JRR7"/>
      <c r="JRS7"/>
      <c r="JRT7"/>
      <c r="JRU7"/>
      <c r="JRV7"/>
      <c r="JRW7"/>
      <c r="JRX7"/>
      <c r="JRY7"/>
      <c r="JRZ7"/>
      <c r="JSA7"/>
      <c r="JSB7"/>
      <c r="JSC7"/>
      <c r="JSD7"/>
      <c r="JSE7"/>
      <c r="JSF7"/>
      <c r="JSG7"/>
      <c r="JSH7"/>
      <c r="JSI7"/>
      <c r="JSJ7"/>
      <c r="JSK7"/>
      <c r="JSL7"/>
      <c r="JSM7"/>
      <c r="JSN7"/>
      <c r="JSO7"/>
      <c r="JSP7"/>
      <c r="JSQ7"/>
      <c r="JSR7"/>
      <c r="JSS7"/>
      <c r="JST7"/>
      <c r="JSU7"/>
      <c r="JSV7"/>
      <c r="JSW7"/>
      <c r="JSX7"/>
      <c r="JSY7"/>
      <c r="JSZ7"/>
      <c r="JTA7"/>
      <c r="JTB7"/>
      <c r="JTC7"/>
      <c r="JTD7"/>
      <c r="JTE7"/>
      <c r="JTF7"/>
      <c r="JTG7"/>
      <c r="JTH7"/>
      <c r="JTI7"/>
      <c r="JTJ7"/>
      <c r="JTK7"/>
      <c r="JTL7"/>
      <c r="JTM7"/>
      <c r="JTN7"/>
      <c r="JTO7"/>
      <c r="JTP7"/>
      <c r="JTQ7"/>
      <c r="JTR7"/>
      <c r="JTS7"/>
      <c r="JTT7"/>
      <c r="JTU7"/>
      <c r="JTV7"/>
      <c r="JTW7"/>
      <c r="JTX7"/>
      <c r="JTY7"/>
      <c r="JTZ7"/>
      <c r="JUA7"/>
      <c r="JUB7"/>
      <c r="JUC7"/>
      <c r="JUD7"/>
      <c r="JUE7"/>
      <c r="JUF7"/>
      <c r="JUG7"/>
      <c r="JUH7"/>
      <c r="JUI7"/>
      <c r="JUJ7"/>
      <c r="JUK7"/>
      <c r="JUL7"/>
      <c r="JUM7"/>
      <c r="JUN7"/>
      <c r="JUO7"/>
      <c r="JUP7"/>
      <c r="JUQ7"/>
      <c r="JUR7"/>
      <c r="JUS7"/>
      <c r="JUT7"/>
      <c r="JUU7"/>
      <c r="JUV7"/>
      <c r="JUW7"/>
      <c r="JUX7"/>
      <c r="JUY7"/>
      <c r="JUZ7"/>
      <c r="JVA7"/>
      <c r="JVB7"/>
      <c r="JVC7"/>
      <c r="JVD7"/>
      <c r="JVE7"/>
      <c r="JVF7"/>
      <c r="JVG7"/>
      <c r="JVH7"/>
      <c r="JVI7"/>
      <c r="JVJ7"/>
      <c r="JVK7"/>
      <c r="JVL7"/>
      <c r="JVM7"/>
      <c r="JVN7"/>
      <c r="JVO7"/>
      <c r="JVP7"/>
      <c r="JVQ7"/>
      <c r="JVR7"/>
      <c r="JVS7"/>
      <c r="JVT7"/>
      <c r="JVU7"/>
      <c r="JVV7"/>
      <c r="JVW7"/>
      <c r="JVX7"/>
      <c r="JVY7"/>
      <c r="JVZ7"/>
      <c r="JWA7"/>
      <c r="JWB7"/>
      <c r="JWC7"/>
      <c r="JWD7"/>
      <c r="JWE7"/>
      <c r="JWF7"/>
      <c r="JWG7"/>
      <c r="JWH7"/>
      <c r="JWI7"/>
      <c r="JWJ7"/>
      <c r="JWK7"/>
      <c r="JWL7"/>
      <c r="JWM7"/>
      <c r="JWN7"/>
      <c r="JWO7"/>
      <c r="JWP7"/>
      <c r="JWQ7"/>
      <c r="JWR7"/>
      <c r="JWS7"/>
      <c r="JWT7"/>
      <c r="JWU7"/>
      <c r="JWV7"/>
      <c r="JWW7"/>
      <c r="JWX7"/>
      <c r="JWY7"/>
      <c r="JWZ7"/>
      <c r="JXA7"/>
      <c r="JXB7"/>
      <c r="JXC7"/>
      <c r="JXD7"/>
      <c r="JXE7"/>
      <c r="JXF7"/>
      <c r="JXG7"/>
      <c r="JXH7"/>
      <c r="JXI7"/>
      <c r="JXJ7"/>
      <c r="JXK7"/>
      <c r="JXL7"/>
      <c r="JXM7"/>
      <c r="JXN7"/>
      <c r="JXO7"/>
      <c r="JXP7"/>
      <c r="JXQ7"/>
      <c r="JXR7"/>
      <c r="JXS7"/>
      <c r="JXT7"/>
      <c r="JXU7"/>
      <c r="JXV7"/>
      <c r="JXW7"/>
      <c r="JXX7"/>
      <c r="JXY7"/>
      <c r="JXZ7"/>
      <c r="JYA7"/>
      <c r="JYB7"/>
      <c r="JYC7"/>
      <c r="JYD7"/>
      <c r="JYE7"/>
      <c r="JYF7"/>
      <c r="JYG7"/>
      <c r="JYH7"/>
      <c r="JYI7"/>
      <c r="JYJ7"/>
      <c r="JYK7"/>
      <c r="JYL7"/>
      <c r="JYM7"/>
      <c r="JYN7"/>
      <c r="JYO7"/>
      <c r="JYP7"/>
      <c r="JYQ7"/>
      <c r="JYR7"/>
      <c r="JYS7"/>
      <c r="JYT7"/>
      <c r="JYU7"/>
      <c r="JYV7"/>
      <c r="JYW7"/>
      <c r="JYX7"/>
      <c r="JYY7"/>
      <c r="JYZ7"/>
      <c r="JZA7"/>
      <c r="JZB7"/>
      <c r="JZC7"/>
      <c r="JZD7"/>
      <c r="JZE7"/>
      <c r="JZF7"/>
      <c r="JZG7"/>
      <c r="JZH7"/>
      <c r="JZI7"/>
      <c r="JZJ7"/>
      <c r="JZK7"/>
      <c r="JZL7"/>
      <c r="JZM7"/>
      <c r="JZN7"/>
      <c r="JZO7"/>
      <c r="JZP7"/>
      <c r="JZQ7"/>
      <c r="JZR7"/>
      <c r="JZS7"/>
      <c r="JZT7"/>
      <c r="JZU7"/>
      <c r="JZV7"/>
      <c r="JZW7"/>
      <c r="JZX7"/>
      <c r="JZY7"/>
      <c r="JZZ7"/>
      <c r="KAA7"/>
      <c r="KAB7"/>
      <c r="KAC7"/>
      <c r="KAD7"/>
      <c r="KAE7"/>
      <c r="KAF7"/>
      <c r="KAG7"/>
      <c r="KAH7"/>
      <c r="KAI7"/>
      <c r="KAJ7"/>
      <c r="KAK7"/>
      <c r="KAL7"/>
      <c r="KAM7"/>
      <c r="KAN7"/>
      <c r="KAO7"/>
      <c r="KAP7"/>
      <c r="KAQ7"/>
      <c r="KAR7"/>
      <c r="KAS7"/>
      <c r="KAT7"/>
      <c r="KAU7"/>
      <c r="KAV7"/>
      <c r="KAW7"/>
      <c r="KAX7"/>
      <c r="KAY7"/>
      <c r="KAZ7"/>
      <c r="KBA7"/>
      <c r="KBB7"/>
      <c r="KBC7"/>
      <c r="KBD7"/>
      <c r="KBE7"/>
      <c r="KBF7"/>
      <c r="KBG7"/>
      <c r="KBH7"/>
      <c r="KBI7"/>
      <c r="KBJ7"/>
      <c r="KBK7"/>
      <c r="KBL7"/>
      <c r="KBM7"/>
      <c r="KBN7"/>
      <c r="KBO7"/>
      <c r="KBP7"/>
      <c r="KBQ7"/>
      <c r="KBR7"/>
      <c r="KBS7"/>
      <c r="KBT7"/>
      <c r="KBU7"/>
      <c r="KBV7"/>
      <c r="KBW7"/>
      <c r="KBX7"/>
      <c r="KBY7"/>
      <c r="KBZ7"/>
      <c r="KCA7"/>
      <c r="KCB7"/>
      <c r="KCC7"/>
      <c r="KCD7"/>
      <c r="KCE7"/>
      <c r="KCF7"/>
      <c r="KCG7"/>
      <c r="KCH7"/>
      <c r="KCI7"/>
      <c r="KCJ7"/>
      <c r="KCK7"/>
      <c r="KCL7"/>
      <c r="KCM7"/>
      <c r="KCN7"/>
      <c r="KCO7"/>
      <c r="KCP7"/>
      <c r="KCQ7"/>
      <c r="KCR7"/>
      <c r="KCS7"/>
      <c r="KCT7"/>
      <c r="KCU7"/>
      <c r="KCV7"/>
      <c r="KCW7"/>
      <c r="KCX7"/>
      <c r="KCY7"/>
      <c r="KCZ7"/>
      <c r="KDA7"/>
      <c r="KDB7"/>
      <c r="KDC7"/>
      <c r="KDD7"/>
      <c r="KDE7"/>
      <c r="KDF7"/>
      <c r="KDG7"/>
      <c r="KDH7"/>
      <c r="KDI7"/>
      <c r="KDJ7"/>
      <c r="KDK7"/>
      <c r="KDL7"/>
      <c r="KDM7"/>
      <c r="KDN7"/>
      <c r="KDO7"/>
      <c r="KDP7"/>
      <c r="KDQ7"/>
      <c r="KDR7"/>
      <c r="KDS7"/>
      <c r="KDT7"/>
      <c r="KDU7"/>
      <c r="KDV7"/>
      <c r="KDW7"/>
      <c r="KDX7"/>
      <c r="KDY7"/>
      <c r="KDZ7"/>
      <c r="KEA7"/>
      <c r="KEB7"/>
      <c r="KEC7"/>
      <c r="KED7"/>
      <c r="KEE7"/>
      <c r="KEF7"/>
      <c r="KEG7"/>
      <c r="KEH7"/>
      <c r="KEI7"/>
      <c r="KEJ7"/>
      <c r="KEK7"/>
      <c r="KEL7"/>
      <c r="KEM7"/>
      <c r="KEN7"/>
      <c r="KEO7"/>
      <c r="KEP7"/>
      <c r="KEQ7"/>
      <c r="KER7"/>
      <c r="KES7"/>
      <c r="KET7"/>
      <c r="KEU7"/>
      <c r="KEV7"/>
      <c r="KEW7"/>
      <c r="KEX7"/>
      <c r="KEY7"/>
      <c r="KEZ7"/>
      <c r="KFA7"/>
      <c r="KFB7"/>
      <c r="KFC7"/>
      <c r="KFD7"/>
      <c r="KFE7"/>
      <c r="KFF7"/>
      <c r="KFG7"/>
      <c r="KFH7"/>
      <c r="KFI7"/>
      <c r="KFJ7"/>
      <c r="KFK7"/>
      <c r="KFL7"/>
      <c r="KFM7"/>
      <c r="KFN7"/>
      <c r="KFO7"/>
      <c r="KFP7"/>
      <c r="KFQ7"/>
      <c r="KFR7"/>
      <c r="KFS7"/>
      <c r="KFT7"/>
      <c r="KFU7"/>
      <c r="KFV7"/>
      <c r="KFW7"/>
      <c r="KFX7"/>
      <c r="KFY7"/>
      <c r="KFZ7"/>
      <c r="KGA7"/>
      <c r="KGB7"/>
      <c r="KGC7"/>
      <c r="KGD7"/>
      <c r="KGE7"/>
      <c r="KGF7"/>
      <c r="KGG7"/>
      <c r="KGH7"/>
      <c r="KGI7"/>
      <c r="KGJ7"/>
      <c r="KGK7"/>
      <c r="KGL7"/>
      <c r="KGM7"/>
      <c r="KGN7"/>
      <c r="KGO7"/>
      <c r="KGP7"/>
      <c r="KGQ7"/>
      <c r="KGR7"/>
      <c r="KGS7"/>
      <c r="KGT7"/>
      <c r="KGU7"/>
      <c r="KGV7"/>
      <c r="KGW7"/>
      <c r="KGX7"/>
      <c r="KGY7"/>
      <c r="KGZ7"/>
      <c r="KHA7"/>
      <c r="KHB7"/>
      <c r="KHC7"/>
      <c r="KHD7"/>
      <c r="KHE7"/>
      <c r="KHF7"/>
      <c r="KHG7"/>
      <c r="KHH7"/>
      <c r="KHI7"/>
      <c r="KHJ7"/>
      <c r="KHK7"/>
      <c r="KHL7"/>
      <c r="KHM7"/>
      <c r="KHN7"/>
      <c r="KHO7"/>
      <c r="KHP7"/>
      <c r="KHQ7"/>
      <c r="KHR7"/>
      <c r="KHS7"/>
      <c r="KHT7"/>
      <c r="KHU7"/>
      <c r="KHV7"/>
      <c r="KHW7"/>
      <c r="KHX7"/>
      <c r="KHY7"/>
      <c r="KHZ7"/>
      <c r="KIA7"/>
      <c r="KIB7"/>
      <c r="KIC7"/>
      <c r="KID7"/>
      <c r="KIE7"/>
      <c r="KIF7"/>
      <c r="KIG7"/>
      <c r="KIH7"/>
      <c r="KII7"/>
      <c r="KIJ7"/>
      <c r="KIK7"/>
      <c r="KIL7"/>
      <c r="KIM7"/>
      <c r="KIN7"/>
      <c r="KIO7"/>
      <c r="KIP7"/>
      <c r="KIQ7"/>
      <c r="KIR7"/>
      <c r="KIS7"/>
      <c r="KIT7"/>
      <c r="KIU7"/>
      <c r="KIV7"/>
      <c r="KIW7"/>
      <c r="KIX7"/>
      <c r="KIY7"/>
      <c r="KIZ7"/>
      <c r="KJA7"/>
      <c r="KJB7"/>
      <c r="KJC7"/>
      <c r="KJD7"/>
      <c r="KJE7"/>
      <c r="KJF7"/>
      <c r="KJG7"/>
      <c r="KJH7"/>
      <c r="KJI7"/>
      <c r="KJJ7"/>
      <c r="KJK7"/>
      <c r="KJL7"/>
      <c r="KJM7"/>
      <c r="KJN7"/>
      <c r="KJO7"/>
      <c r="KJP7"/>
      <c r="KJQ7"/>
      <c r="KJR7"/>
      <c r="KJS7"/>
      <c r="KJT7"/>
      <c r="KJU7"/>
      <c r="KJV7"/>
      <c r="KJW7"/>
      <c r="KJX7"/>
      <c r="KJY7"/>
      <c r="KJZ7"/>
      <c r="KKA7"/>
      <c r="KKB7"/>
      <c r="KKC7"/>
      <c r="KKD7"/>
      <c r="KKE7"/>
      <c r="KKF7"/>
      <c r="KKG7"/>
      <c r="KKH7"/>
      <c r="KKI7"/>
      <c r="KKJ7"/>
      <c r="KKK7"/>
      <c r="KKL7"/>
      <c r="KKM7"/>
      <c r="KKN7"/>
      <c r="KKO7"/>
      <c r="KKP7"/>
      <c r="KKQ7"/>
      <c r="KKR7"/>
      <c r="KKS7"/>
      <c r="KKT7"/>
      <c r="KKU7"/>
      <c r="KKV7"/>
      <c r="KKW7"/>
      <c r="KKX7"/>
      <c r="KKY7"/>
      <c r="KKZ7"/>
      <c r="KLA7"/>
      <c r="KLB7"/>
      <c r="KLC7"/>
      <c r="KLD7"/>
      <c r="KLE7"/>
      <c r="KLF7"/>
      <c r="KLG7"/>
      <c r="KLH7"/>
      <c r="KLI7"/>
      <c r="KLJ7"/>
      <c r="KLK7"/>
      <c r="KLL7"/>
      <c r="KLM7"/>
      <c r="KLN7"/>
      <c r="KLO7"/>
      <c r="KLP7"/>
      <c r="KLQ7"/>
      <c r="KLR7"/>
      <c r="KLS7"/>
      <c r="KLT7"/>
      <c r="KLU7"/>
      <c r="KLV7"/>
      <c r="KLW7"/>
      <c r="KLX7"/>
      <c r="KLY7"/>
      <c r="KLZ7"/>
      <c r="KMA7"/>
      <c r="KMB7"/>
      <c r="KMC7"/>
      <c r="KMD7"/>
      <c r="KME7"/>
      <c r="KMF7"/>
      <c r="KMG7"/>
      <c r="KMH7"/>
      <c r="KMI7"/>
      <c r="KMJ7"/>
      <c r="KMK7"/>
      <c r="KML7"/>
      <c r="KMM7"/>
      <c r="KMN7"/>
      <c r="KMO7"/>
      <c r="KMP7"/>
      <c r="KMQ7"/>
      <c r="KMR7"/>
      <c r="KMS7"/>
      <c r="KMT7"/>
      <c r="KMU7"/>
      <c r="KMV7"/>
      <c r="KMW7"/>
      <c r="KMX7"/>
      <c r="KMY7"/>
      <c r="KMZ7"/>
      <c r="KNA7"/>
      <c r="KNB7"/>
      <c r="KNC7"/>
      <c r="KND7"/>
      <c r="KNE7"/>
      <c r="KNF7"/>
      <c r="KNG7"/>
      <c r="KNH7"/>
      <c r="KNI7"/>
      <c r="KNJ7"/>
      <c r="KNK7"/>
      <c r="KNL7"/>
      <c r="KNM7"/>
      <c r="KNN7"/>
      <c r="KNO7"/>
      <c r="KNP7"/>
      <c r="KNQ7"/>
      <c r="KNR7"/>
      <c r="KNS7"/>
      <c r="KNT7"/>
      <c r="KNU7"/>
      <c r="KNV7"/>
      <c r="KNW7"/>
      <c r="KNX7"/>
      <c r="KNY7"/>
      <c r="KNZ7"/>
      <c r="KOA7"/>
      <c r="KOB7"/>
      <c r="KOC7"/>
      <c r="KOD7"/>
      <c r="KOE7"/>
      <c r="KOF7"/>
      <c r="KOG7"/>
      <c r="KOH7"/>
      <c r="KOI7"/>
      <c r="KOJ7"/>
      <c r="KOK7"/>
      <c r="KOL7"/>
      <c r="KOM7"/>
      <c r="KON7"/>
      <c r="KOO7"/>
      <c r="KOP7"/>
      <c r="KOQ7"/>
      <c r="KOR7"/>
      <c r="KOS7"/>
      <c r="KOT7"/>
      <c r="KOU7"/>
      <c r="KOV7"/>
      <c r="KOW7"/>
      <c r="KOX7"/>
      <c r="KOY7"/>
      <c r="KOZ7"/>
      <c r="KPA7"/>
      <c r="KPB7"/>
      <c r="KPC7"/>
      <c r="KPD7"/>
      <c r="KPE7"/>
      <c r="KPF7"/>
      <c r="KPG7"/>
      <c r="KPH7"/>
      <c r="KPI7"/>
      <c r="KPJ7"/>
      <c r="KPK7"/>
      <c r="KPL7"/>
      <c r="KPM7"/>
      <c r="KPN7"/>
      <c r="KPO7"/>
      <c r="KPP7"/>
      <c r="KPQ7"/>
      <c r="KPR7"/>
      <c r="KPS7"/>
      <c r="KPT7"/>
      <c r="KPU7"/>
      <c r="KPV7"/>
      <c r="KPW7"/>
      <c r="KPX7"/>
      <c r="KPY7"/>
      <c r="KPZ7"/>
      <c r="KQA7"/>
      <c r="KQB7"/>
      <c r="KQC7"/>
      <c r="KQD7"/>
      <c r="KQE7"/>
      <c r="KQF7"/>
      <c r="KQG7"/>
      <c r="KQH7"/>
      <c r="KQI7"/>
      <c r="KQJ7"/>
      <c r="KQK7"/>
      <c r="KQL7"/>
      <c r="KQM7"/>
      <c r="KQN7"/>
      <c r="KQO7"/>
      <c r="KQP7"/>
      <c r="KQQ7"/>
      <c r="KQR7"/>
      <c r="KQS7"/>
      <c r="KQT7"/>
      <c r="KQU7"/>
      <c r="KQV7"/>
      <c r="KQW7"/>
      <c r="KQX7"/>
      <c r="KQY7"/>
      <c r="KQZ7"/>
      <c r="KRA7"/>
      <c r="KRB7"/>
      <c r="KRC7"/>
      <c r="KRD7"/>
      <c r="KRE7"/>
      <c r="KRF7"/>
      <c r="KRG7"/>
      <c r="KRH7"/>
      <c r="KRI7"/>
      <c r="KRJ7"/>
      <c r="KRK7"/>
      <c r="KRL7"/>
      <c r="KRM7"/>
      <c r="KRN7"/>
      <c r="KRO7"/>
      <c r="KRP7"/>
      <c r="KRQ7"/>
      <c r="KRR7"/>
      <c r="KRS7"/>
      <c r="KRT7"/>
      <c r="KRU7"/>
      <c r="KRV7"/>
      <c r="KRW7"/>
      <c r="KRX7"/>
      <c r="KRY7"/>
      <c r="KRZ7"/>
      <c r="KSA7"/>
      <c r="KSB7"/>
      <c r="KSC7"/>
      <c r="KSD7"/>
      <c r="KSE7"/>
      <c r="KSF7"/>
      <c r="KSG7"/>
      <c r="KSH7"/>
      <c r="KSI7"/>
      <c r="KSJ7"/>
      <c r="KSK7"/>
      <c r="KSL7"/>
      <c r="KSM7"/>
      <c r="KSN7"/>
      <c r="KSO7"/>
      <c r="KSP7"/>
      <c r="KSQ7"/>
      <c r="KSR7"/>
      <c r="KSS7"/>
      <c r="KST7"/>
      <c r="KSU7"/>
      <c r="KSV7"/>
      <c r="KSW7"/>
      <c r="KSX7"/>
      <c r="KSY7"/>
      <c r="KSZ7"/>
      <c r="KTA7"/>
      <c r="KTB7"/>
      <c r="KTC7"/>
      <c r="KTD7"/>
      <c r="KTE7"/>
      <c r="KTF7"/>
      <c r="KTG7"/>
      <c r="KTH7"/>
      <c r="KTI7"/>
      <c r="KTJ7"/>
      <c r="KTK7"/>
      <c r="KTL7"/>
      <c r="KTM7"/>
      <c r="KTN7"/>
      <c r="KTO7"/>
      <c r="KTP7"/>
      <c r="KTQ7"/>
      <c r="KTR7"/>
      <c r="KTS7"/>
      <c r="KTT7"/>
      <c r="KTU7"/>
      <c r="KTV7"/>
      <c r="KTW7"/>
      <c r="KTX7"/>
      <c r="KTY7"/>
      <c r="KTZ7"/>
      <c r="KUA7"/>
      <c r="KUB7"/>
      <c r="KUC7"/>
      <c r="KUD7"/>
      <c r="KUE7"/>
      <c r="KUF7"/>
      <c r="KUG7"/>
      <c r="KUH7"/>
      <c r="KUI7"/>
      <c r="KUJ7"/>
      <c r="KUK7"/>
      <c r="KUL7"/>
      <c r="KUM7"/>
      <c r="KUN7"/>
      <c r="KUO7"/>
      <c r="KUP7"/>
      <c r="KUQ7"/>
      <c r="KUR7"/>
      <c r="KUS7"/>
      <c r="KUT7"/>
      <c r="KUU7"/>
      <c r="KUV7"/>
      <c r="KUW7"/>
      <c r="KUX7"/>
      <c r="KUY7"/>
      <c r="KUZ7"/>
      <c r="KVA7"/>
      <c r="KVB7"/>
      <c r="KVC7"/>
      <c r="KVD7"/>
      <c r="KVE7"/>
      <c r="KVF7"/>
      <c r="KVG7"/>
      <c r="KVH7"/>
      <c r="KVI7"/>
      <c r="KVJ7"/>
      <c r="KVK7"/>
      <c r="KVL7"/>
      <c r="KVM7"/>
      <c r="KVN7"/>
      <c r="KVO7"/>
      <c r="KVP7"/>
      <c r="KVQ7"/>
      <c r="KVR7"/>
      <c r="KVS7"/>
      <c r="KVT7"/>
      <c r="KVU7"/>
      <c r="KVV7"/>
      <c r="KVW7"/>
      <c r="KVX7"/>
      <c r="KVY7"/>
      <c r="KVZ7"/>
      <c r="KWA7"/>
      <c r="KWB7"/>
      <c r="KWC7"/>
      <c r="KWD7"/>
      <c r="KWE7"/>
      <c r="KWF7"/>
      <c r="KWG7"/>
      <c r="KWH7"/>
      <c r="KWI7"/>
      <c r="KWJ7"/>
      <c r="KWK7"/>
      <c r="KWL7"/>
      <c r="KWM7"/>
      <c r="KWN7"/>
      <c r="KWO7"/>
      <c r="KWP7"/>
      <c r="KWQ7"/>
      <c r="KWR7"/>
      <c r="KWS7"/>
      <c r="KWT7"/>
      <c r="KWU7"/>
      <c r="KWV7"/>
      <c r="KWW7"/>
      <c r="KWX7"/>
      <c r="KWY7"/>
      <c r="KWZ7"/>
      <c r="KXA7"/>
      <c r="KXB7"/>
      <c r="KXC7"/>
      <c r="KXD7"/>
      <c r="KXE7"/>
      <c r="KXF7"/>
      <c r="KXG7"/>
      <c r="KXH7"/>
      <c r="KXI7"/>
      <c r="KXJ7"/>
      <c r="KXK7"/>
      <c r="KXL7"/>
      <c r="KXM7"/>
      <c r="KXN7"/>
      <c r="KXO7"/>
      <c r="KXP7"/>
      <c r="KXQ7"/>
      <c r="KXR7"/>
      <c r="KXS7"/>
      <c r="KXT7"/>
      <c r="KXU7"/>
      <c r="KXV7"/>
      <c r="KXW7"/>
      <c r="KXX7"/>
      <c r="KXY7"/>
      <c r="KXZ7"/>
      <c r="KYA7"/>
      <c r="KYB7"/>
      <c r="KYC7"/>
      <c r="KYD7"/>
      <c r="KYE7"/>
      <c r="KYF7"/>
      <c r="KYG7"/>
      <c r="KYH7"/>
      <c r="KYI7"/>
      <c r="KYJ7"/>
      <c r="KYK7"/>
      <c r="KYL7"/>
      <c r="KYM7"/>
      <c r="KYN7"/>
      <c r="KYO7"/>
      <c r="KYP7"/>
      <c r="KYQ7"/>
      <c r="KYR7"/>
      <c r="KYS7"/>
      <c r="KYT7"/>
      <c r="KYU7"/>
      <c r="KYV7"/>
      <c r="KYW7"/>
      <c r="KYX7"/>
      <c r="KYY7"/>
      <c r="KYZ7"/>
      <c r="KZA7"/>
      <c r="KZB7"/>
      <c r="KZC7"/>
      <c r="KZD7"/>
      <c r="KZE7"/>
      <c r="KZF7"/>
      <c r="KZG7"/>
      <c r="KZH7"/>
      <c r="KZI7"/>
      <c r="KZJ7"/>
      <c r="KZK7"/>
      <c r="KZL7"/>
      <c r="KZM7"/>
      <c r="KZN7"/>
      <c r="KZO7"/>
      <c r="KZP7"/>
      <c r="KZQ7"/>
      <c r="KZR7"/>
      <c r="KZS7"/>
      <c r="KZT7"/>
      <c r="KZU7"/>
      <c r="KZV7"/>
      <c r="KZW7"/>
      <c r="KZX7"/>
      <c r="KZY7"/>
      <c r="KZZ7"/>
      <c r="LAA7"/>
      <c r="LAB7"/>
      <c r="LAC7"/>
      <c r="LAD7"/>
      <c r="LAE7"/>
      <c r="LAF7"/>
      <c r="LAG7"/>
      <c r="LAH7"/>
      <c r="LAI7"/>
      <c r="LAJ7"/>
      <c r="LAK7"/>
      <c r="LAL7"/>
      <c r="LAM7"/>
      <c r="LAN7"/>
      <c r="LAO7"/>
      <c r="LAP7"/>
      <c r="LAQ7"/>
      <c r="LAR7"/>
      <c r="LAS7"/>
      <c r="LAT7"/>
      <c r="LAU7"/>
      <c r="LAV7"/>
      <c r="LAW7"/>
      <c r="LAX7"/>
      <c r="LAY7"/>
      <c r="LAZ7"/>
      <c r="LBA7"/>
      <c r="LBB7"/>
      <c r="LBC7"/>
      <c r="LBD7"/>
      <c r="LBE7"/>
      <c r="LBF7"/>
      <c r="LBG7"/>
      <c r="LBH7"/>
      <c r="LBI7"/>
      <c r="LBJ7"/>
      <c r="LBK7"/>
      <c r="LBL7"/>
      <c r="LBM7"/>
      <c r="LBN7"/>
      <c r="LBO7"/>
      <c r="LBP7"/>
      <c r="LBQ7"/>
      <c r="LBR7"/>
      <c r="LBS7"/>
      <c r="LBT7"/>
      <c r="LBU7"/>
      <c r="LBV7"/>
      <c r="LBW7"/>
      <c r="LBX7"/>
      <c r="LBY7"/>
      <c r="LBZ7"/>
      <c r="LCA7"/>
      <c r="LCB7"/>
      <c r="LCC7"/>
      <c r="LCD7"/>
      <c r="LCE7"/>
      <c r="LCF7"/>
      <c r="LCG7"/>
      <c r="LCH7"/>
      <c r="LCI7"/>
      <c r="LCJ7"/>
      <c r="LCK7"/>
      <c r="LCL7"/>
      <c r="LCM7"/>
      <c r="LCN7"/>
      <c r="LCO7"/>
      <c r="LCP7"/>
      <c r="LCQ7"/>
      <c r="LCR7"/>
      <c r="LCS7"/>
      <c r="LCT7"/>
      <c r="LCU7"/>
      <c r="LCV7"/>
      <c r="LCW7"/>
      <c r="LCX7"/>
      <c r="LCY7"/>
      <c r="LCZ7"/>
      <c r="LDA7"/>
      <c r="LDB7"/>
      <c r="LDC7"/>
      <c r="LDD7"/>
      <c r="LDE7"/>
      <c r="LDF7"/>
      <c r="LDG7"/>
      <c r="LDH7"/>
      <c r="LDI7"/>
      <c r="LDJ7"/>
      <c r="LDK7"/>
      <c r="LDL7"/>
      <c r="LDM7"/>
      <c r="LDN7"/>
      <c r="LDO7"/>
      <c r="LDP7"/>
      <c r="LDQ7"/>
      <c r="LDR7"/>
      <c r="LDS7"/>
      <c r="LDT7"/>
      <c r="LDU7"/>
      <c r="LDV7"/>
      <c r="LDW7"/>
      <c r="LDX7"/>
      <c r="LDY7"/>
      <c r="LDZ7"/>
      <c r="LEA7"/>
      <c r="LEB7"/>
      <c r="LEC7"/>
      <c r="LED7"/>
      <c r="LEE7"/>
      <c r="LEF7"/>
      <c r="LEG7"/>
      <c r="LEH7"/>
      <c r="LEI7"/>
      <c r="LEJ7"/>
      <c r="LEK7"/>
      <c r="LEL7"/>
      <c r="LEM7"/>
      <c r="LEN7"/>
      <c r="LEO7"/>
      <c r="LEP7"/>
      <c r="LEQ7"/>
      <c r="LER7"/>
      <c r="LES7"/>
      <c r="LET7"/>
      <c r="LEU7"/>
      <c r="LEV7"/>
      <c r="LEW7"/>
      <c r="LEX7"/>
      <c r="LEY7"/>
      <c r="LEZ7"/>
      <c r="LFA7"/>
      <c r="LFB7"/>
      <c r="LFC7"/>
      <c r="LFD7"/>
      <c r="LFE7"/>
      <c r="LFF7"/>
      <c r="LFG7"/>
      <c r="LFH7"/>
      <c r="LFI7"/>
      <c r="LFJ7"/>
      <c r="LFK7"/>
      <c r="LFL7"/>
      <c r="LFM7"/>
      <c r="LFN7"/>
      <c r="LFO7"/>
      <c r="LFP7"/>
      <c r="LFQ7"/>
      <c r="LFR7"/>
      <c r="LFS7"/>
      <c r="LFT7"/>
      <c r="LFU7"/>
      <c r="LFV7"/>
      <c r="LFW7"/>
      <c r="LFX7"/>
      <c r="LFY7"/>
      <c r="LFZ7"/>
      <c r="LGA7"/>
      <c r="LGB7"/>
      <c r="LGC7"/>
      <c r="LGD7"/>
      <c r="LGE7"/>
      <c r="LGF7"/>
      <c r="LGG7"/>
      <c r="LGH7"/>
      <c r="LGI7"/>
      <c r="LGJ7"/>
      <c r="LGK7"/>
      <c r="LGL7"/>
      <c r="LGM7"/>
      <c r="LGN7"/>
      <c r="LGO7"/>
      <c r="LGP7"/>
      <c r="LGQ7"/>
      <c r="LGR7"/>
      <c r="LGS7"/>
      <c r="LGT7"/>
      <c r="LGU7"/>
      <c r="LGV7"/>
      <c r="LGW7"/>
      <c r="LGX7"/>
      <c r="LGY7"/>
      <c r="LGZ7"/>
      <c r="LHA7"/>
      <c r="LHB7"/>
      <c r="LHC7"/>
      <c r="LHD7"/>
      <c r="LHE7"/>
      <c r="LHF7"/>
      <c r="LHG7"/>
      <c r="LHH7"/>
      <c r="LHI7"/>
      <c r="LHJ7"/>
      <c r="LHK7"/>
      <c r="LHL7"/>
      <c r="LHM7"/>
      <c r="LHN7"/>
      <c r="LHO7"/>
      <c r="LHP7"/>
      <c r="LHQ7"/>
      <c r="LHR7"/>
      <c r="LHS7"/>
      <c r="LHT7"/>
      <c r="LHU7"/>
      <c r="LHV7"/>
      <c r="LHW7"/>
      <c r="LHX7"/>
      <c r="LHY7"/>
      <c r="LHZ7"/>
      <c r="LIA7"/>
      <c r="LIB7"/>
      <c r="LIC7"/>
      <c r="LID7"/>
      <c r="LIE7"/>
      <c r="LIF7"/>
      <c r="LIG7"/>
      <c r="LIH7"/>
      <c r="LII7"/>
      <c r="LIJ7"/>
      <c r="LIK7"/>
      <c r="LIL7"/>
      <c r="LIM7"/>
      <c r="LIN7"/>
      <c r="LIO7"/>
      <c r="LIP7"/>
      <c r="LIQ7"/>
      <c r="LIR7"/>
      <c r="LIS7"/>
      <c r="LIT7"/>
      <c r="LIU7"/>
      <c r="LIV7"/>
      <c r="LIW7"/>
      <c r="LIX7"/>
      <c r="LIY7"/>
      <c r="LIZ7"/>
      <c r="LJA7"/>
      <c r="LJB7"/>
      <c r="LJC7"/>
      <c r="LJD7"/>
      <c r="LJE7"/>
      <c r="LJF7"/>
      <c r="LJG7"/>
      <c r="LJH7"/>
      <c r="LJI7"/>
      <c r="LJJ7"/>
      <c r="LJK7"/>
      <c r="LJL7"/>
      <c r="LJM7"/>
      <c r="LJN7"/>
      <c r="LJO7"/>
      <c r="LJP7"/>
      <c r="LJQ7"/>
      <c r="LJR7"/>
      <c r="LJS7"/>
      <c r="LJT7"/>
      <c r="LJU7"/>
      <c r="LJV7"/>
      <c r="LJW7"/>
      <c r="LJX7"/>
      <c r="LJY7"/>
      <c r="LJZ7"/>
      <c r="LKA7"/>
      <c r="LKB7"/>
      <c r="LKC7"/>
      <c r="LKD7"/>
      <c r="LKE7"/>
      <c r="LKF7"/>
      <c r="LKG7"/>
      <c r="LKH7"/>
      <c r="LKI7"/>
      <c r="LKJ7"/>
      <c r="LKK7"/>
      <c r="LKL7"/>
      <c r="LKM7"/>
      <c r="LKN7"/>
      <c r="LKO7"/>
      <c r="LKP7"/>
      <c r="LKQ7"/>
      <c r="LKR7"/>
      <c r="LKS7"/>
      <c r="LKT7"/>
      <c r="LKU7"/>
      <c r="LKV7"/>
      <c r="LKW7"/>
      <c r="LKX7"/>
      <c r="LKY7"/>
      <c r="LKZ7"/>
      <c r="LLA7"/>
      <c r="LLB7"/>
      <c r="LLC7"/>
      <c r="LLD7"/>
      <c r="LLE7"/>
      <c r="LLF7"/>
      <c r="LLG7"/>
      <c r="LLH7"/>
      <c r="LLI7"/>
      <c r="LLJ7"/>
      <c r="LLK7"/>
      <c r="LLL7"/>
      <c r="LLM7"/>
      <c r="LLN7"/>
      <c r="LLO7"/>
      <c r="LLP7"/>
      <c r="LLQ7"/>
      <c r="LLR7"/>
      <c r="LLS7"/>
      <c r="LLT7"/>
      <c r="LLU7"/>
      <c r="LLV7"/>
      <c r="LLW7"/>
      <c r="LLX7"/>
      <c r="LLY7"/>
      <c r="LLZ7"/>
      <c r="LMA7"/>
      <c r="LMB7"/>
      <c r="LMC7"/>
      <c r="LMD7"/>
      <c r="LME7"/>
      <c r="LMF7"/>
      <c r="LMG7"/>
      <c r="LMH7"/>
      <c r="LMI7"/>
      <c r="LMJ7"/>
      <c r="LMK7"/>
      <c r="LML7"/>
      <c r="LMM7"/>
      <c r="LMN7"/>
      <c r="LMO7"/>
      <c r="LMP7"/>
      <c r="LMQ7"/>
      <c r="LMR7"/>
      <c r="LMS7"/>
      <c r="LMT7"/>
      <c r="LMU7"/>
      <c r="LMV7"/>
      <c r="LMW7"/>
      <c r="LMX7"/>
      <c r="LMY7"/>
      <c r="LMZ7"/>
      <c r="LNA7"/>
      <c r="LNB7"/>
      <c r="LNC7"/>
      <c r="LND7"/>
      <c r="LNE7"/>
      <c r="LNF7"/>
      <c r="LNG7"/>
      <c r="LNH7"/>
      <c r="LNI7"/>
      <c r="LNJ7"/>
      <c r="LNK7"/>
      <c r="LNL7"/>
      <c r="LNM7"/>
      <c r="LNN7"/>
      <c r="LNO7"/>
      <c r="LNP7"/>
      <c r="LNQ7"/>
      <c r="LNR7"/>
      <c r="LNS7"/>
      <c r="LNT7"/>
      <c r="LNU7"/>
      <c r="LNV7"/>
      <c r="LNW7"/>
      <c r="LNX7"/>
      <c r="LNY7"/>
      <c r="LNZ7"/>
      <c r="LOA7"/>
      <c r="LOB7"/>
      <c r="LOC7"/>
      <c r="LOD7"/>
      <c r="LOE7"/>
      <c r="LOF7"/>
      <c r="LOG7"/>
      <c r="LOH7"/>
      <c r="LOI7"/>
      <c r="LOJ7"/>
      <c r="LOK7"/>
      <c r="LOL7"/>
      <c r="LOM7"/>
      <c r="LON7"/>
      <c r="LOO7"/>
      <c r="LOP7"/>
      <c r="LOQ7"/>
      <c r="LOR7"/>
      <c r="LOS7"/>
      <c r="LOT7"/>
      <c r="LOU7"/>
      <c r="LOV7"/>
      <c r="LOW7"/>
      <c r="LOX7"/>
      <c r="LOY7"/>
      <c r="LOZ7"/>
      <c r="LPA7"/>
      <c r="LPB7"/>
      <c r="LPC7"/>
      <c r="LPD7"/>
      <c r="LPE7"/>
      <c r="LPF7"/>
      <c r="LPG7"/>
      <c r="LPH7"/>
      <c r="LPI7"/>
      <c r="LPJ7"/>
      <c r="LPK7"/>
      <c r="LPL7"/>
      <c r="LPM7"/>
      <c r="LPN7"/>
      <c r="LPO7"/>
      <c r="LPP7"/>
      <c r="LPQ7"/>
      <c r="LPR7"/>
      <c r="LPS7"/>
      <c r="LPT7"/>
      <c r="LPU7"/>
      <c r="LPV7"/>
      <c r="LPW7"/>
      <c r="LPX7"/>
      <c r="LPY7"/>
      <c r="LPZ7"/>
      <c r="LQA7"/>
      <c r="LQB7"/>
      <c r="LQC7"/>
      <c r="LQD7"/>
      <c r="LQE7"/>
      <c r="LQF7"/>
      <c r="LQG7"/>
      <c r="LQH7"/>
      <c r="LQI7"/>
      <c r="LQJ7"/>
      <c r="LQK7"/>
      <c r="LQL7"/>
      <c r="LQM7"/>
      <c r="LQN7"/>
      <c r="LQO7"/>
      <c r="LQP7"/>
      <c r="LQQ7"/>
      <c r="LQR7"/>
      <c r="LQS7"/>
      <c r="LQT7"/>
      <c r="LQU7"/>
      <c r="LQV7"/>
      <c r="LQW7"/>
      <c r="LQX7"/>
      <c r="LQY7"/>
      <c r="LQZ7"/>
      <c r="LRA7"/>
      <c r="LRB7"/>
      <c r="LRC7"/>
      <c r="LRD7"/>
      <c r="LRE7"/>
      <c r="LRF7"/>
      <c r="LRG7"/>
      <c r="LRH7"/>
      <c r="LRI7"/>
      <c r="LRJ7"/>
      <c r="LRK7"/>
      <c r="LRL7"/>
      <c r="LRM7"/>
      <c r="LRN7"/>
      <c r="LRO7"/>
      <c r="LRP7"/>
      <c r="LRQ7"/>
      <c r="LRR7"/>
      <c r="LRS7"/>
      <c r="LRT7"/>
      <c r="LRU7"/>
      <c r="LRV7"/>
      <c r="LRW7"/>
      <c r="LRX7"/>
      <c r="LRY7"/>
      <c r="LRZ7"/>
      <c r="LSA7"/>
      <c r="LSB7"/>
      <c r="LSC7"/>
      <c r="LSD7"/>
      <c r="LSE7"/>
      <c r="LSF7"/>
      <c r="LSG7"/>
      <c r="LSH7"/>
      <c r="LSI7"/>
      <c r="LSJ7"/>
      <c r="LSK7"/>
      <c r="LSL7"/>
      <c r="LSM7"/>
      <c r="LSN7"/>
      <c r="LSO7"/>
      <c r="LSP7"/>
      <c r="LSQ7"/>
      <c r="LSR7"/>
      <c r="LSS7"/>
      <c r="LST7"/>
      <c r="LSU7"/>
      <c r="LSV7"/>
      <c r="LSW7"/>
      <c r="LSX7"/>
      <c r="LSY7"/>
      <c r="LSZ7"/>
      <c r="LTA7"/>
      <c r="LTB7"/>
      <c r="LTC7"/>
      <c r="LTD7"/>
      <c r="LTE7"/>
      <c r="LTF7"/>
      <c r="LTG7"/>
      <c r="LTH7"/>
      <c r="LTI7"/>
      <c r="LTJ7"/>
      <c r="LTK7"/>
      <c r="LTL7"/>
      <c r="LTM7"/>
      <c r="LTN7"/>
      <c r="LTO7"/>
      <c r="LTP7"/>
      <c r="LTQ7"/>
      <c r="LTR7"/>
      <c r="LTS7"/>
      <c r="LTT7"/>
      <c r="LTU7"/>
      <c r="LTV7"/>
      <c r="LTW7"/>
      <c r="LTX7"/>
      <c r="LTY7"/>
      <c r="LTZ7"/>
      <c r="LUA7"/>
      <c r="LUB7"/>
      <c r="LUC7"/>
      <c r="LUD7"/>
      <c r="LUE7"/>
      <c r="LUF7"/>
      <c r="LUG7"/>
      <c r="LUH7"/>
      <c r="LUI7"/>
      <c r="LUJ7"/>
      <c r="LUK7"/>
      <c r="LUL7"/>
      <c r="LUM7"/>
      <c r="LUN7"/>
      <c r="LUO7"/>
      <c r="LUP7"/>
      <c r="LUQ7"/>
      <c r="LUR7"/>
      <c r="LUS7"/>
      <c r="LUT7"/>
      <c r="LUU7"/>
      <c r="LUV7"/>
      <c r="LUW7"/>
      <c r="LUX7"/>
      <c r="LUY7"/>
      <c r="LUZ7"/>
      <c r="LVA7"/>
      <c r="LVB7"/>
      <c r="LVC7"/>
      <c r="LVD7"/>
      <c r="LVE7"/>
      <c r="LVF7"/>
      <c r="LVG7"/>
      <c r="LVH7"/>
      <c r="LVI7"/>
      <c r="LVJ7"/>
      <c r="LVK7"/>
      <c r="LVL7"/>
      <c r="LVM7"/>
      <c r="LVN7"/>
      <c r="LVO7"/>
      <c r="LVP7"/>
      <c r="LVQ7"/>
      <c r="LVR7"/>
      <c r="LVS7"/>
      <c r="LVT7"/>
      <c r="LVU7"/>
      <c r="LVV7"/>
      <c r="LVW7"/>
      <c r="LVX7"/>
      <c r="LVY7"/>
      <c r="LVZ7"/>
      <c r="LWA7"/>
      <c r="LWB7"/>
      <c r="LWC7"/>
      <c r="LWD7"/>
      <c r="LWE7"/>
      <c r="LWF7"/>
      <c r="LWG7"/>
      <c r="LWH7"/>
      <c r="LWI7"/>
      <c r="LWJ7"/>
      <c r="LWK7"/>
      <c r="LWL7"/>
      <c r="LWM7"/>
      <c r="LWN7"/>
      <c r="LWO7"/>
      <c r="LWP7"/>
      <c r="LWQ7"/>
      <c r="LWR7"/>
      <c r="LWS7"/>
      <c r="LWT7"/>
      <c r="LWU7"/>
      <c r="LWV7"/>
      <c r="LWW7"/>
      <c r="LWX7"/>
      <c r="LWY7"/>
      <c r="LWZ7"/>
      <c r="LXA7"/>
      <c r="LXB7"/>
      <c r="LXC7"/>
      <c r="LXD7"/>
      <c r="LXE7"/>
      <c r="LXF7"/>
      <c r="LXG7"/>
      <c r="LXH7"/>
      <c r="LXI7"/>
      <c r="LXJ7"/>
      <c r="LXK7"/>
      <c r="LXL7"/>
      <c r="LXM7"/>
      <c r="LXN7"/>
      <c r="LXO7"/>
      <c r="LXP7"/>
      <c r="LXQ7"/>
      <c r="LXR7"/>
      <c r="LXS7"/>
      <c r="LXT7"/>
      <c r="LXU7"/>
      <c r="LXV7"/>
      <c r="LXW7"/>
      <c r="LXX7"/>
      <c r="LXY7"/>
      <c r="LXZ7"/>
      <c r="LYA7"/>
      <c r="LYB7"/>
      <c r="LYC7"/>
      <c r="LYD7"/>
      <c r="LYE7"/>
      <c r="LYF7"/>
      <c r="LYG7"/>
      <c r="LYH7"/>
      <c r="LYI7"/>
      <c r="LYJ7"/>
      <c r="LYK7"/>
      <c r="LYL7"/>
      <c r="LYM7"/>
      <c r="LYN7"/>
      <c r="LYO7"/>
      <c r="LYP7"/>
      <c r="LYQ7"/>
      <c r="LYR7"/>
      <c r="LYS7"/>
      <c r="LYT7"/>
      <c r="LYU7"/>
      <c r="LYV7"/>
      <c r="LYW7"/>
      <c r="LYX7"/>
      <c r="LYY7"/>
      <c r="LYZ7"/>
      <c r="LZA7"/>
      <c r="LZB7"/>
      <c r="LZC7"/>
      <c r="LZD7"/>
      <c r="LZE7"/>
      <c r="LZF7"/>
      <c r="LZG7"/>
      <c r="LZH7"/>
      <c r="LZI7"/>
      <c r="LZJ7"/>
      <c r="LZK7"/>
      <c r="LZL7"/>
      <c r="LZM7"/>
      <c r="LZN7"/>
      <c r="LZO7"/>
      <c r="LZP7"/>
      <c r="LZQ7"/>
      <c r="LZR7"/>
      <c r="LZS7"/>
      <c r="LZT7"/>
      <c r="LZU7"/>
      <c r="LZV7"/>
      <c r="LZW7"/>
      <c r="LZX7"/>
      <c r="LZY7"/>
      <c r="LZZ7"/>
      <c r="MAA7"/>
      <c r="MAB7"/>
      <c r="MAC7"/>
      <c r="MAD7"/>
      <c r="MAE7"/>
      <c r="MAF7"/>
      <c r="MAG7"/>
      <c r="MAH7"/>
      <c r="MAI7"/>
      <c r="MAJ7"/>
      <c r="MAK7"/>
      <c r="MAL7"/>
      <c r="MAM7"/>
      <c r="MAN7"/>
      <c r="MAO7"/>
      <c r="MAP7"/>
      <c r="MAQ7"/>
      <c r="MAR7"/>
      <c r="MAS7"/>
      <c r="MAT7"/>
      <c r="MAU7"/>
      <c r="MAV7"/>
      <c r="MAW7"/>
      <c r="MAX7"/>
      <c r="MAY7"/>
      <c r="MAZ7"/>
      <c r="MBA7"/>
      <c r="MBB7"/>
      <c r="MBC7"/>
      <c r="MBD7"/>
      <c r="MBE7"/>
      <c r="MBF7"/>
      <c r="MBG7"/>
      <c r="MBH7"/>
      <c r="MBI7"/>
      <c r="MBJ7"/>
      <c r="MBK7"/>
      <c r="MBL7"/>
      <c r="MBM7"/>
      <c r="MBN7"/>
      <c r="MBO7"/>
      <c r="MBP7"/>
      <c r="MBQ7"/>
      <c r="MBR7"/>
      <c r="MBS7"/>
      <c r="MBT7"/>
      <c r="MBU7"/>
      <c r="MBV7"/>
      <c r="MBW7"/>
      <c r="MBX7"/>
      <c r="MBY7"/>
      <c r="MBZ7"/>
      <c r="MCA7"/>
      <c r="MCB7"/>
      <c r="MCC7"/>
      <c r="MCD7"/>
      <c r="MCE7"/>
      <c r="MCF7"/>
      <c r="MCG7"/>
      <c r="MCH7"/>
      <c r="MCI7"/>
      <c r="MCJ7"/>
      <c r="MCK7"/>
      <c r="MCL7"/>
      <c r="MCM7"/>
      <c r="MCN7"/>
      <c r="MCO7"/>
      <c r="MCP7"/>
      <c r="MCQ7"/>
      <c r="MCR7"/>
      <c r="MCS7"/>
      <c r="MCT7"/>
      <c r="MCU7"/>
      <c r="MCV7"/>
      <c r="MCW7"/>
      <c r="MCX7"/>
      <c r="MCY7"/>
      <c r="MCZ7"/>
      <c r="MDA7"/>
      <c r="MDB7"/>
      <c r="MDC7"/>
      <c r="MDD7"/>
      <c r="MDE7"/>
      <c r="MDF7"/>
      <c r="MDG7"/>
      <c r="MDH7"/>
      <c r="MDI7"/>
      <c r="MDJ7"/>
      <c r="MDK7"/>
      <c r="MDL7"/>
      <c r="MDM7"/>
      <c r="MDN7"/>
      <c r="MDO7"/>
      <c r="MDP7"/>
      <c r="MDQ7"/>
      <c r="MDR7"/>
      <c r="MDS7"/>
      <c r="MDT7"/>
      <c r="MDU7"/>
      <c r="MDV7"/>
      <c r="MDW7"/>
      <c r="MDX7"/>
      <c r="MDY7"/>
      <c r="MDZ7"/>
      <c r="MEA7"/>
      <c r="MEB7"/>
      <c r="MEC7"/>
      <c r="MED7"/>
      <c r="MEE7"/>
      <c r="MEF7"/>
      <c r="MEG7"/>
      <c r="MEH7"/>
      <c r="MEI7"/>
      <c r="MEJ7"/>
      <c r="MEK7"/>
      <c r="MEL7"/>
      <c r="MEM7"/>
      <c r="MEN7"/>
      <c r="MEO7"/>
      <c r="MEP7"/>
      <c r="MEQ7"/>
      <c r="MER7"/>
      <c r="MES7"/>
      <c r="MET7"/>
      <c r="MEU7"/>
      <c r="MEV7"/>
      <c r="MEW7"/>
      <c r="MEX7"/>
      <c r="MEY7"/>
      <c r="MEZ7"/>
      <c r="MFA7"/>
      <c r="MFB7"/>
      <c r="MFC7"/>
      <c r="MFD7"/>
      <c r="MFE7"/>
      <c r="MFF7"/>
      <c r="MFG7"/>
      <c r="MFH7"/>
      <c r="MFI7"/>
      <c r="MFJ7"/>
      <c r="MFK7"/>
      <c r="MFL7"/>
      <c r="MFM7"/>
      <c r="MFN7"/>
      <c r="MFO7"/>
      <c r="MFP7"/>
      <c r="MFQ7"/>
      <c r="MFR7"/>
      <c r="MFS7"/>
      <c r="MFT7"/>
      <c r="MFU7"/>
      <c r="MFV7"/>
      <c r="MFW7"/>
      <c r="MFX7"/>
      <c r="MFY7"/>
      <c r="MFZ7"/>
      <c r="MGA7"/>
      <c r="MGB7"/>
      <c r="MGC7"/>
      <c r="MGD7"/>
      <c r="MGE7"/>
      <c r="MGF7"/>
      <c r="MGG7"/>
      <c r="MGH7"/>
      <c r="MGI7"/>
      <c r="MGJ7"/>
      <c r="MGK7"/>
      <c r="MGL7"/>
      <c r="MGM7"/>
      <c r="MGN7"/>
      <c r="MGO7"/>
      <c r="MGP7"/>
      <c r="MGQ7"/>
      <c r="MGR7"/>
      <c r="MGS7"/>
      <c r="MGT7"/>
      <c r="MGU7"/>
      <c r="MGV7"/>
      <c r="MGW7"/>
      <c r="MGX7"/>
      <c r="MGY7"/>
      <c r="MGZ7"/>
      <c r="MHA7"/>
      <c r="MHB7"/>
      <c r="MHC7"/>
      <c r="MHD7"/>
      <c r="MHE7"/>
      <c r="MHF7"/>
      <c r="MHG7"/>
      <c r="MHH7"/>
      <c r="MHI7"/>
      <c r="MHJ7"/>
      <c r="MHK7"/>
      <c r="MHL7"/>
      <c r="MHM7"/>
      <c r="MHN7"/>
      <c r="MHO7"/>
      <c r="MHP7"/>
      <c r="MHQ7"/>
      <c r="MHR7"/>
      <c r="MHS7"/>
      <c r="MHT7"/>
      <c r="MHU7"/>
      <c r="MHV7"/>
      <c r="MHW7"/>
      <c r="MHX7"/>
      <c r="MHY7"/>
      <c r="MHZ7"/>
      <c r="MIA7"/>
      <c r="MIB7"/>
      <c r="MIC7"/>
      <c r="MID7"/>
      <c r="MIE7"/>
      <c r="MIF7"/>
      <c r="MIG7"/>
      <c r="MIH7"/>
      <c r="MII7"/>
      <c r="MIJ7"/>
      <c r="MIK7"/>
      <c r="MIL7"/>
      <c r="MIM7"/>
      <c r="MIN7"/>
      <c r="MIO7"/>
      <c r="MIP7"/>
      <c r="MIQ7"/>
      <c r="MIR7"/>
      <c r="MIS7"/>
      <c r="MIT7"/>
      <c r="MIU7"/>
      <c r="MIV7"/>
      <c r="MIW7"/>
      <c r="MIX7"/>
      <c r="MIY7"/>
      <c r="MIZ7"/>
      <c r="MJA7"/>
      <c r="MJB7"/>
      <c r="MJC7"/>
      <c r="MJD7"/>
      <c r="MJE7"/>
      <c r="MJF7"/>
      <c r="MJG7"/>
      <c r="MJH7"/>
      <c r="MJI7"/>
      <c r="MJJ7"/>
      <c r="MJK7"/>
      <c r="MJL7"/>
      <c r="MJM7"/>
      <c r="MJN7"/>
      <c r="MJO7"/>
      <c r="MJP7"/>
      <c r="MJQ7"/>
      <c r="MJR7"/>
      <c r="MJS7"/>
      <c r="MJT7"/>
      <c r="MJU7"/>
      <c r="MJV7"/>
      <c r="MJW7"/>
      <c r="MJX7"/>
      <c r="MJY7"/>
      <c r="MJZ7"/>
      <c r="MKA7"/>
      <c r="MKB7"/>
      <c r="MKC7"/>
      <c r="MKD7"/>
      <c r="MKE7"/>
      <c r="MKF7"/>
      <c r="MKG7"/>
      <c r="MKH7"/>
      <c r="MKI7"/>
      <c r="MKJ7"/>
      <c r="MKK7"/>
      <c r="MKL7"/>
      <c r="MKM7"/>
      <c r="MKN7"/>
      <c r="MKO7"/>
      <c r="MKP7"/>
      <c r="MKQ7"/>
      <c r="MKR7"/>
      <c r="MKS7"/>
      <c r="MKT7"/>
      <c r="MKU7"/>
      <c r="MKV7"/>
      <c r="MKW7"/>
      <c r="MKX7"/>
      <c r="MKY7"/>
      <c r="MKZ7"/>
      <c r="MLA7"/>
      <c r="MLB7"/>
      <c r="MLC7"/>
      <c r="MLD7"/>
      <c r="MLE7"/>
      <c r="MLF7"/>
      <c r="MLG7"/>
      <c r="MLH7"/>
      <c r="MLI7"/>
      <c r="MLJ7"/>
      <c r="MLK7"/>
      <c r="MLL7"/>
      <c r="MLM7"/>
      <c r="MLN7"/>
      <c r="MLO7"/>
      <c r="MLP7"/>
      <c r="MLQ7"/>
      <c r="MLR7"/>
      <c r="MLS7"/>
      <c r="MLT7"/>
      <c r="MLU7"/>
      <c r="MLV7"/>
      <c r="MLW7"/>
      <c r="MLX7"/>
      <c r="MLY7"/>
      <c r="MLZ7"/>
      <c r="MMA7"/>
      <c r="MMB7"/>
      <c r="MMC7"/>
      <c r="MMD7"/>
      <c r="MME7"/>
      <c r="MMF7"/>
      <c r="MMG7"/>
      <c r="MMH7"/>
      <c r="MMI7"/>
      <c r="MMJ7"/>
      <c r="MMK7"/>
      <c r="MML7"/>
      <c r="MMM7"/>
      <c r="MMN7"/>
      <c r="MMO7"/>
      <c r="MMP7"/>
      <c r="MMQ7"/>
      <c r="MMR7"/>
      <c r="MMS7"/>
      <c r="MMT7"/>
      <c r="MMU7"/>
      <c r="MMV7"/>
      <c r="MMW7"/>
      <c r="MMX7"/>
      <c r="MMY7"/>
      <c r="MMZ7"/>
      <c r="MNA7"/>
      <c r="MNB7"/>
      <c r="MNC7"/>
      <c r="MND7"/>
      <c r="MNE7"/>
      <c r="MNF7"/>
      <c r="MNG7"/>
      <c r="MNH7"/>
      <c r="MNI7"/>
      <c r="MNJ7"/>
      <c r="MNK7"/>
      <c r="MNL7"/>
      <c r="MNM7"/>
      <c r="MNN7"/>
      <c r="MNO7"/>
      <c r="MNP7"/>
      <c r="MNQ7"/>
      <c r="MNR7"/>
      <c r="MNS7"/>
      <c r="MNT7"/>
      <c r="MNU7"/>
      <c r="MNV7"/>
      <c r="MNW7"/>
      <c r="MNX7"/>
      <c r="MNY7"/>
      <c r="MNZ7"/>
      <c r="MOA7"/>
      <c r="MOB7"/>
      <c r="MOC7"/>
      <c r="MOD7"/>
      <c r="MOE7"/>
      <c r="MOF7"/>
      <c r="MOG7"/>
      <c r="MOH7"/>
      <c r="MOI7"/>
      <c r="MOJ7"/>
      <c r="MOK7"/>
      <c r="MOL7"/>
      <c r="MOM7"/>
      <c r="MON7"/>
      <c r="MOO7"/>
      <c r="MOP7"/>
      <c r="MOQ7"/>
      <c r="MOR7"/>
      <c r="MOS7"/>
      <c r="MOT7"/>
      <c r="MOU7"/>
      <c r="MOV7"/>
      <c r="MOW7"/>
      <c r="MOX7"/>
      <c r="MOY7"/>
      <c r="MOZ7"/>
      <c r="MPA7"/>
      <c r="MPB7"/>
      <c r="MPC7"/>
      <c r="MPD7"/>
      <c r="MPE7"/>
      <c r="MPF7"/>
      <c r="MPG7"/>
      <c r="MPH7"/>
      <c r="MPI7"/>
      <c r="MPJ7"/>
      <c r="MPK7"/>
      <c r="MPL7"/>
      <c r="MPM7"/>
      <c r="MPN7"/>
      <c r="MPO7"/>
      <c r="MPP7"/>
      <c r="MPQ7"/>
      <c r="MPR7"/>
      <c r="MPS7"/>
      <c r="MPT7"/>
      <c r="MPU7"/>
      <c r="MPV7"/>
      <c r="MPW7"/>
      <c r="MPX7"/>
      <c r="MPY7"/>
      <c r="MPZ7"/>
      <c r="MQA7"/>
      <c r="MQB7"/>
      <c r="MQC7"/>
      <c r="MQD7"/>
      <c r="MQE7"/>
      <c r="MQF7"/>
      <c r="MQG7"/>
      <c r="MQH7"/>
      <c r="MQI7"/>
      <c r="MQJ7"/>
      <c r="MQK7"/>
      <c r="MQL7"/>
      <c r="MQM7"/>
      <c r="MQN7"/>
      <c r="MQO7"/>
      <c r="MQP7"/>
      <c r="MQQ7"/>
      <c r="MQR7"/>
      <c r="MQS7"/>
      <c r="MQT7"/>
      <c r="MQU7"/>
      <c r="MQV7"/>
      <c r="MQW7"/>
      <c r="MQX7"/>
      <c r="MQY7"/>
      <c r="MQZ7"/>
      <c r="MRA7"/>
      <c r="MRB7"/>
      <c r="MRC7"/>
      <c r="MRD7"/>
      <c r="MRE7"/>
      <c r="MRF7"/>
      <c r="MRG7"/>
      <c r="MRH7"/>
      <c r="MRI7"/>
      <c r="MRJ7"/>
      <c r="MRK7"/>
      <c r="MRL7"/>
      <c r="MRM7"/>
      <c r="MRN7"/>
      <c r="MRO7"/>
      <c r="MRP7"/>
      <c r="MRQ7"/>
      <c r="MRR7"/>
      <c r="MRS7"/>
      <c r="MRT7"/>
      <c r="MRU7"/>
      <c r="MRV7"/>
      <c r="MRW7"/>
      <c r="MRX7"/>
      <c r="MRY7"/>
      <c r="MRZ7"/>
      <c r="MSA7"/>
      <c r="MSB7"/>
      <c r="MSC7"/>
      <c r="MSD7"/>
      <c r="MSE7"/>
      <c r="MSF7"/>
      <c r="MSG7"/>
      <c r="MSH7"/>
      <c r="MSI7"/>
      <c r="MSJ7"/>
      <c r="MSK7"/>
      <c r="MSL7"/>
      <c r="MSM7"/>
      <c r="MSN7"/>
      <c r="MSO7"/>
      <c r="MSP7"/>
      <c r="MSQ7"/>
      <c r="MSR7"/>
      <c r="MSS7"/>
      <c r="MST7"/>
      <c r="MSU7"/>
      <c r="MSV7"/>
      <c r="MSW7"/>
      <c r="MSX7"/>
      <c r="MSY7"/>
      <c r="MSZ7"/>
      <c r="MTA7"/>
      <c r="MTB7"/>
      <c r="MTC7"/>
      <c r="MTD7"/>
      <c r="MTE7"/>
      <c r="MTF7"/>
      <c r="MTG7"/>
      <c r="MTH7"/>
      <c r="MTI7"/>
      <c r="MTJ7"/>
      <c r="MTK7"/>
      <c r="MTL7"/>
      <c r="MTM7"/>
      <c r="MTN7"/>
      <c r="MTO7"/>
      <c r="MTP7"/>
      <c r="MTQ7"/>
      <c r="MTR7"/>
      <c r="MTS7"/>
      <c r="MTT7"/>
      <c r="MTU7"/>
      <c r="MTV7"/>
      <c r="MTW7"/>
      <c r="MTX7"/>
      <c r="MTY7"/>
      <c r="MTZ7"/>
      <c r="MUA7"/>
      <c r="MUB7"/>
      <c r="MUC7"/>
      <c r="MUD7"/>
      <c r="MUE7"/>
      <c r="MUF7"/>
      <c r="MUG7"/>
      <c r="MUH7"/>
      <c r="MUI7"/>
      <c r="MUJ7"/>
      <c r="MUK7"/>
      <c r="MUL7"/>
      <c r="MUM7"/>
      <c r="MUN7"/>
      <c r="MUO7"/>
      <c r="MUP7"/>
      <c r="MUQ7"/>
      <c r="MUR7"/>
      <c r="MUS7"/>
      <c r="MUT7"/>
      <c r="MUU7"/>
      <c r="MUV7"/>
      <c r="MUW7"/>
      <c r="MUX7"/>
      <c r="MUY7"/>
      <c r="MUZ7"/>
      <c r="MVA7"/>
      <c r="MVB7"/>
      <c r="MVC7"/>
      <c r="MVD7"/>
      <c r="MVE7"/>
      <c r="MVF7"/>
      <c r="MVG7"/>
      <c r="MVH7"/>
      <c r="MVI7"/>
      <c r="MVJ7"/>
      <c r="MVK7"/>
      <c r="MVL7"/>
      <c r="MVM7"/>
      <c r="MVN7"/>
      <c r="MVO7"/>
      <c r="MVP7"/>
      <c r="MVQ7"/>
      <c r="MVR7"/>
      <c r="MVS7"/>
      <c r="MVT7"/>
      <c r="MVU7"/>
      <c r="MVV7"/>
      <c r="MVW7"/>
      <c r="MVX7"/>
      <c r="MVY7"/>
      <c r="MVZ7"/>
      <c r="MWA7"/>
      <c r="MWB7"/>
      <c r="MWC7"/>
      <c r="MWD7"/>
      <c r="MWE7"/>
      <c r="MWF7"/>
      <c r="MWG7"/>
      <c r="MWH7"/>
      <c r="MWI7"/>
      <c r="MWJ7"/>
      <c r="MWK7"/>
      <c r="MWL7"/>
      <c r="MWM7"/>
      <c r="MWN7"/>
      <c r="MWO7"/>
      <c r="MWP7"/>
      <c r="MWQ7"/>
      <c r="MWR7"/>
      <c r="MWS7"/>
      <c r="MWT7"/>
      <c r="MWU7"/>
      <c r="MWV7"/>
      <c r="MWW7"/>
      <c r="MWX7"/>
      <c r="MWY7"/>
      <c r="MWZ7"/>
      <c r="MXA7"/>
      <c r="MXB7"/>
      <c r="MXC7"/>
      <c r="MXD7"/>
      <c r="MXE7"/>
      <c r="MXF7"/>
      <c r="MXG7"/>
      <c r="MXH7"/>
      <c r="MXI7"/>
      <c r="MXJ7"/>
      <c r="MXK7"/>
      <c r="MXL7"/>
      <c r="MXM7"/>
      <c r="MXN7"/>
      <c r="MXO7"/>
      <c r="MXP7"/>
      <c r="MXQ7"/>
      <c r="MXR7"/>
      <c r="MXS7"/>
      <c r="MXT7"/>
      <c r="MXU7"/>
      <c r="MXV7"/>
      <c r="MXW7"/>
      <c r="MXX7"/>
      <c r="MXY7"/>
      <c r="MXZ7"/>
      <c r="MYA7"/>
      <c r="MYB7"/>
      <c r="MYC7"/>
      <c r="MYD7"/>
      <c r="MYE7"/>
      <c r="MYF7"/>
      <c r="MYG7"/>
      <c r="MYH7"/>
      <c r="MYI7"/>
      <c r="MYJ7"/>
      <c r="MYK7"/>
      <c r="MYL7"/>
      <c r="MYM7"/>
      <c r="MYN7"/>
      <c r="MYO7"/>
      <c r="MYP7"/>
      <c r="MYQ7"/>
      <c r="MYR7"/>
      <c r="MYS7"/>
      <c r="MYT7"/>
      <c r="MYU7"/>
      <c r="MYV7"/>
      <c r="MYW7"/>
      <c r="MYX7"/>
      <c r="MYY7"/>
      <c r="MYZ7"/>
      <c r="MZA7"/>
      <c r="MZB7"/>
      <c r="MZC7"/>
      <c r="MZD7"/>
      <c r="MZE7"/>
      <c r="MZF7"/>
      <c r="MZG7"/>
      <c r="MZH7"/>
      <c r="MZI7"/>
      <c r="MZJ7"/>
      <c r="MZK7"/>
      <c r="MZL7"/>
      <c r="MZM7"/>
      <c r="MZN7"/>
      <c r="MZO7"/>
      <c r="MZP7"/>
      <c r="MZQ7"/>
      <c r="MZR7"/>
      <c r="MZS7"/>
      <c r="MZT7"/>
      <c r="MZU7"/>
      <c r="MZV7"/>
      <c r="MZW7"/>
      <c r="MZX7"/>
      <c r="MZY7"/>
      <c r="MZZ7"/>
      <c r="NAA7"/>
      <c r="NAB7"/>
      <c r="NAC7"/>
      <c r="NAD7"/>
      <c r="NAE7"/>
      <c r="NAF7"/>
      <c r="NAG7"/>
      <c r="NAH7"/>
      <c r="NAI7"/>
      <c r="NAJ7"/>
      <c r="NAK7"/>
      <c r="NAL7"/>
      <c r="NAM7"/>
      <c r="NAN7"/>
      <c r="NAO7"/>
      <c r="NAP7"/>
      <c r="NAQ7"/>
      <c r="NAR7"/>
      <c r="NAS7"/>
      <c r="NAT7"/>
      <c r="NAU7"/>
      <c r="NAV7"/>
      <c r="NAW7"/>
      <c r="NAX7"/>
      <c r="NAY7"/>
      <c r="NAZ7"/>
      <c r="NBA7"/>
      <c r="NBB7"/>
      <c r="NBC7"/>
      <c r="NBD7"/>
      <c r="NBE7"/>
      <c r="NBF7"/>
      <c r="NBG7"/>
      <c r="NBH7"/>
      <c r="NBI7"/>
      <c r="NBJ7"/>
      <c r="NBK7"/>
      <c r="NBL7"/>
      <c r="NBM7"/>
      <c r="NBN7"/>
      <c r="NBO7"/>
      <c r="NBP7"/>
      <c r="NBQ7"/>
      <c r="NBR7"/>
      <c r="NBS7"/>
      <c r="NBT7"/>
      <c r="NBU7"/>
      <c r="NBV7"/>
      <c r="NBW7"/>
      <c r="NBX7"/>
      <c r="NBY7"/>
      <c r="NBZ7"/>
      <c r="NCA7"/>
      <c r="NCB7"/>
      <c r="NCC7"/>
      <c r="NCD7"/>
      <c r="NCE7"/>
      <c r="NCF7"/>
      <c r="NCG7"/>
      <c r="NCH7"/>
      <c r="NCI7"/>
      <c r="NCJ7"/>
      <c r="NCK7"/>
      <c r="NCL7"/>
      <c r="NCM7"/>
      <c r="NCN7"/>
      <c r="NCO7"/>
      <c r="NCP7"/>
      <c r="NCQ7"/>
      <c r="NCR7"/>
      <c r="NCS7"/>
      <c r="NCT7"/>
      <c r="NCU7"/>
      <c r="NCV7"/>
      <c r="NCW7"/>
      <c r="NCX7"/>
      <c r="NCY7"/>
      <c r="NCZ7"/>
      <c r="NDA7"/>
      <c r="NDB7"/>
      <c r="NDC7"/>
      <c r="NDD7"/>
      <c r="NDE7"/>
      <c r="NDF7"/>
      <c r="NDG7"/>
      <c r="NDH7"/>
      <c r="NDI7"/>
      <c r="NDJ7"/>
      <c r="NDK7"/>
      <c r="NDL7"/>
      <c r="NDM7"/>
      <c r="NDN7"/>
      <c r="NDO7"/>
      <c r="NDP7"/>
      <c r="NDQ7"/>
      <c r="NDR7"/>
      <c r="NDS7"/>
      <c r="NDT7"/>
      <c r="NDU7"/>
      <c r="NDV7"/>
      <c r="NDW7"/>
      <c r="NDX7"/>
      <c r="NDY7"/>
      <c r="NDZ7"/>
      <c r="NEA7"/>
      <c r="NEB7"/>
      <c r="NEC7"/>
      <c r="NED7"/>
      <c r="NEE7"/>
      <c r="NEF7"/>
      <c r="NEG7"/>
      <c r="NEH7"/>
      <c r="NEI7"/>
      <c r="NEJ7"/>
      <c r="NEK7"/>
      <c r="NEL7"/>
      <c r="NEM7"/>
      <c r="NEN7"/>
      <c r="NEO7"/>
      <c r="NEP7"/>
      <c r="NEQ7"/>
      <c r="NER7"/>
      <c r="NES7"/>
      <c r="NET7"/>
      <c r="NEU7"/>
      <c r="NEV7"/>
      <c r="NEW7"/>
      <c r="NEX7"/>
      <c r="NEY7"/>
      <c r="NEZ7"/>
      <c r="NFA7"/>
      <c r="NFB7"/>
      <c r="NFC7"/>
      <c r="NFD7"/>
      <c r="NFE7"/>
      <c r="NFF7"/>
      <c r="NFG7"/>
      <c r="NFH7"/>
      <c r="NFI7"/>
      <c r="NFJ7"/>
      <c r="NFK7"/>
      <c r="NFL7"/>
      <c r="NFM7"/>
      <c r="NFN7"/>
      <c r="NFO7"/>
      <c r="NFP7"/>
      <c r="NFQ7"/>
      <c r="NFR7"/>
      <c r="NFS7"/>
      <c r="NFT7"/>
      <c r="NFU7"/>
      <c r="NFV7"/>
      <c r="NFW7"/>
      <c r="NFX7"/>
      <c r="NFY7"/>
      <c r="NFZ7"/>
      <c r="NGA7"/>
      <c r="NGB7"/>
      <c r="NGC7"/>
      <c r="NGD7"/>
      <c r="NGE7"/>
      <c r="NGF7"/>
      <c r="NGG7"/>
      <c r="NGH7"/>
      <c r="NGI7"/>
      <c r="NGJ7"/>
      <c r="NGK7"/>
      <c r="NGL7"/>
      <c r="NGM7"/>
      <c r="NGN7"/>
      <c r="NGO7"/>
      <c r="NGP7"/>
      <c r="NGQ7"/>
      <c r="NGR7"/>
      <c r="NGS7"/>
      <c r="NGT7"/>
      <c r="NGU7"/>
      <c r="NGV7"/>
      <c r="NGW7"/>
      <c r="NGX7"/>
      <c r="NGY7"/>
      <c r="NGZ7"/>
      <c r="NHA7"/>
      <c r="NHB7"/>
      <c r="NHC7"/>
      <c r="NHD7"/>
      <c r="NHE7"/>
      <c r="NHF7"/>
      <c r="NHG7"/>
      <c r="NHH7"/>
      <c r="NHI7"/>
      <c r="NHJ7"/>
      <c r="NHK7"/>
      <c r="NHL7"/>
      <c r="NHM7"/>
      <c r="NHN7"/>
      <c r="NHO7"/>
      <c r="NHP7"/>
      <c r="NHQ7"/>
      <c r="NHR7"/>
      <c r="NHS7"/>
      <c r="NHT7"/>
      <c r="NHU7"/>
      <c r="NHV7"/>
      <c r="NHW7"/>
      <c r="NHX7"/>
      <c r="NHY7"/>
      <c r="NHZ7"/>
      <c r="NIA7"/>
      <c r="NIB7"/>
      <c r="NIC7"/>
      <c r="NID7"/>
      <c r="NIE7"/>
      <c r="NIF7"/>
      <c r="NIG7"/>
      <c r="NIH7"/>
      <c r="NII7"/>
      <c r="NIJ7"/>
      <c r="NIK7"/>
      <c r="NIL7"/>
      <c r="NIM7"/>
      <c r="NIN7"/>
      <c r="NIO7"/>
      <c r="NIP7"/>
      <c r="NIQ7"/>
      <c r="NIR7"/>
      <c r="NIS7"/>
      <c r="NIT7"/>
      <c r="NIU7"/>
      <c r="NIV7"/>
      <c r="NIW7"/>
      <c r="NIX7"/>
      <c r="NIY7"/>
      <c r="NIZ7"/>
      <c r="NJA7"/>
      <c r="NJB7"/>
      <c r="NJC7"/>
      <c r="NJD7"/>
      <c r="NJE7"/>
      <c r="NJF7"/>
      <c r="NJG7"/>
      <c r="NJH7"/>
      <c r="NJI7"/>
      <c r="NJJ7"/>
      <c r="NJK7"/>
      <c r="NJL7"/>
      <c r="NJM7"/>
      <c r="NJN7"/>
      <c r="NJO7"/>
      <c r="NJP7"/>
      <c r="NJQ7"/>
      <c r="NJR7"/>
      <c r="NJS7"/>
      <c r="NJT7"/>
      <c r="NJU7"/>
      <c r="NJV7"/>
      <c r="NJW7"/>
      <c r="NJX7"/>
      <c r="NJY7"/>
      <c r="NJZ7"/>
      <c r="NKA7"/>
      <c r="NKB7"/>
      <c r="NKC7"/>
      <c r="NKD7"/>
      <c r="NKE7"/>
      <c r="NKF7"/>
      <c r="NKG7"/>
      <c r="NKH7"/>
      <c r="NKI7"/>
      <c r="NKJ7"/>
      <c r="NKK7"/>
      <c r="NKL7"/>
      <c r="NKM7"/>
      <c r="NKN7"/>
      <c r="NKO7"/>
      <c r="NKP7"/>
      <c r="NKQ7"/>
      <c r="NKR7"/>
      <c r="NKS7"/>
      <c r="NKT7"/>
      <c r="NKU7"/>
      <c r="NKV7"/>
      <c r="NKW7"/>
      <c r="NKX7"/>
      <c r="NKY7"/>
      <c r="NKZ7"/>
      <c r="NLA7"/>
      <c r="NLB7"/>
      <c r="NLC7"/>
      <c r="NLD7"/>
      <c r="NLE7"/>
      <c r="NLF7"/>
      <c r="NLG7"/>
      <c r="NLH7"/>
      <c r="NLI7"/>
      <c r="NLJ7"/>
      <c r="NLK7"/>
      <c r="NLL7"/>
      <c r="NLM7"/>
      <c r="NLN7"/>
      <c r="NLO7"/>
      <c r="NLP7"/>
      <c r="NLQ7"/>
      <c r="NLR7"/>
      <c r="NLS7"/>
      <c r="NLT7"/>
      <c r="NLU7"/>
      <c r="NLV7"/>
      <c r="NLW7"/>
      <c r="NLX7"/>
      <c r="NLY7"/>
      <c r="NLZ7"/>
      <c r="NMA7"/>
      <c r="NMB7"/>
      <c r="NMC7"/>
      <c r="NMD7"/>
      <c r="NME7"/>
      <c r="NMF7"/>
      <c r="NMG7"/>
      <c r="NMH7"/>
      <c r="NMI7"/>
      <c r="NMJ7"/>
      <c r="NMK7"/>
      <c r="NML7"/>
      <c r="NMM7"/>
      <c r="NMN7"/>
      <c r="NMO7"/>
      <c r="NMP7"/>
      <c r="NMQ7"/>
      <c r="NMR7"/>
      <c r="NMS7"/>
      <c r="NMT7"/>
      <c r="NMU7"/>
      <c r="NMV7"/>
      <c r="NMW7"/>
      <c r="NMX7"/>
      <c r="NMY7"/>
      <c r="NMZ7"/>
      <c r="NNA7"/>
      <c r="NNB7"/>
      <c r="NNC7"/>
      <c r="NND7"/>
      <c r="NNE7"/>
      <c r="NNF7"/>
      <c r="NNG7"/>
      <c r="NNH7"/>
      <c r="NNI7"/>
      <c r="NNJ7"/>
      <c r="NNK7"/>
      <c r="NNL7"/>
      <c r="NNM7"/>
      <c r="NNN7"/>
      <c r="NNO7"/>
      <c r="NNP7"/>
      <c r="NNQ7"/>
      <c r="NNR7"/>
      <c r="NNS7"/>
      <c r="NNT7"/>
      <c r="NNU7"/>
      <c r="NNV7"/>
      <c r="NNW7"/>
      <c r="NNX7"/>
      <c r="NNY7"/>
      <c r="NNZ7"/>
      <c r="NOA7"/>
      <c r="NOB7"/>
      <c r="NOC7"/>
      <c r="NOD7"/>
      <c r="NOE7"/>
      <c r="NOF7"/>
      <c r="NOG7"/>
      <c r="NOH7"/>
      <c r="NOI7"/>
      <c r="NOJ7"/>
      <c r="NOK7"/>
      <c r="NOL7"/>
      <c r="NOM7"/>
      <c r="NON7"/>
      <c r="NOO7"/>
      <c r="NOP7"/>
      <c r="NOQ7"/>
      <c r="NOR7"/>
      <c r="NOS7"/>
      <c r="NOT7"/>
      <c r="NOU7"/>
      <c r="NOV7"/>
      <c r="NOW7"/>
      <c r="NOX7"/>
      <c r="NOY7"/>
      <c r="NOZ7"/>
      <c r="NPA7"/>
      <c r="NPB7"/>
      <c r="NPC7"/>
      <c r="NPD7"/>
      <c r="NPE7"/>
      <c r="NPF7"/>
      <c r="NPG7"/>
      <c r="NPH7"/>
      <c r="NPI7"/>
      <c r="NPJ7"/>
      <c r="NPK7"/>
      <c r="NPL7"/>
      <c r="NPM7"/>
      <c r="NPN7"/>
      <c r="NPO7"/>
      <c r="NPP7"/>
      <c r="NPQ7"/>
      <c r="NPR7"/>
      <c r="NPS7"/>
      <c r="NPT7"/>
      <c r="NPU7"/>
      <c r="NPV7"/>
      <c r="NPW7"/>
      <c r="NPX7"/>
      <c r="NPY7"/>
      <c r="NPZ7"/>
      <c r="NQA7"/>
      <c r="NQB7"/>
      <c r="NQC7"/>
      <c r="NQD7"/>
      <c r="NQE7"/>
      <c r="NQF7"/>
      <c r="NQG7"/>
      <c r="NQH7"/>
      <c r="NQI7"/>
      <c r="NQJ7"/>
      <c r="NQK7"/>
      <c r="NQL7"/>
      <c r="NQM7"/>
      <c r="NQN7"/>
      <c r="NQO7"/>
      <c r="NQP7"/>
      <c r="NQQ7"/>
      <c r="NQR7"/>
      <c r="NQS7"/>
      <c r="NQT7"/>
      <c r="NQU7"/>
      <c r="NQV7"/>
      <c r="NQW7"/>
      <c r="NQX7"/>
      <c r="NQY7"/>
      <c r="NQZ7"/>
      <c r="NRA7"/>
      <c r="NRB7"/>
      <c r="NRC7"/>
      <c r="NRD7"/>
      <c r="NRE7"/>
      <c r="NRF7"/>
      <c r="NRG7"/>
      <c r="NRH7"/>
      <c r="NRI7"/>
      <c r="NRJ7"/>
      <c r="NRK7"/>
      <c r="NRL7"/>
      <c r="NRM7"/>
      <c r="NRN7"/>
      <c r="NRO7"/>
      <c r="NRP7"/>
      <c r="NRQ7"/>
      <c r="NRR7"/>
      <c r="NRS7"/>
      <c r="NRT7"/>
      <c r="NRU7"/>
      <c r="NRV7"/>
      <c r="NRW7"/>
      <c r="NRX7"/>
      <c r="NRY7"/>
      <c r="NRZ7"/>
      <c r="NSA7"/>
      <c r="NSB7"/>
      <c r="NSC7"/>
      <c r="NSD7"/>
      <c r="NSE7"/>
      <c r="NSF7"/>
      <c r="NSG7"/>
      <c r="NSH7"/>
      <c r="NSI7"/>
      <c r="NSJ7"/>
      <c r="NSK7"/>
      <c r="NSL7"/>
      <c r="NSM7"/>
      <c r="NSN7"/>
      <c r="NSO7"/>
      <c r="NSP7"/>
      <c r="NSQ7"/>
      <c r="NSR7"/>
      <c r="NSS7"/>
      <c r="NST7"/>
      <c r="NSU7"/>
      <c r="NSV7"/>
      <c r="NSW7"/>
      <c r="NSX7"/>
      <c r="NSY7"/>
      <c r="NSZ7"/>
      <c r="NTA7"/>
      <c r="NTB7"/>
      <c r="NTC7"/>
      <c r="NTD7"/>
      <c r="NTE7"/>
      <c r="NTF7"/>
      <c r="NTG7"/>
      <c r="NTH7"/>
      <c r="NTI7"/>
      <c r="NTJ7"/>
      <c r="NTK7"/>
      <c r="NTL7"/>
      <c r="NTM7"/>
      <c r="NTN7"/>
      <c r="NTO7"/>
      <c r="NTP7"/>
      <c r="NTQ7"/>
      <c r="NTR7"/>
      <c r="NTS7"/>
      <c r="NTT7"/>
      <c r="NTU7"/>
      <c r="NTV7"/>
      <c r="NTW7"/>
      <c r="NTX7"/>
      <c r="NTY7"/>
      <c r="NTZ7"/>
      <c r="NUA7"/>
      <c r="NUB7"/>
      <c r="NUC7"/>
      <c r="NUD7"/>
      <c r="NUE7"/>
      <c r="NUF7"/>
      <c r="NUG7"/>
      <c r="NUH7"/>
      <c r="NUI7"/>
      <c r="NUJ7"/>
      <c r="NUK7"/>
      <c r="NUL7"/>
      <c r="NUM7"/>
      <c r="NUN7"/>
      <c r="NUO7"/>
      <c r="NUP7"/>
      <c r="NUQ7"/>
      <c r="NUR7"/>
      <c r="NUS7"/>
      <c r="NUT7"/>
      <c r="NUU7"/>
      <c r="NUV7"/>
      <c r="NUW7"/>
      <c r="NUX7"/>
      <c r="NUY7"/>
      <c r="NUZ7"/>
      <c r="NVA7"/>
      <c r="NVB7"/>
      <c r="NVC7"/>
      <c r="NVD7"/>
      <c r="NVE7"/>
      <c r="NVF7"/>
      <c r="NVG7"/>
      <c r="NVH7"/>
      <c r="NVI7"/>
      <c r="NVJ7"/>
      <c r="NVK7"/>
      <c r="NVL7"/>
      <c r="NVM7"/>
      <c r="NVN7"/>
      <c r="NVO7"/>
      <c r="NVP7"/>
      <c r="NVQ7"/>
      <c r="NVR7"/>
      <c r="NVS7"/>
      <c r="NVT7"/>
      <c r="NVU7"/>
      <c r="NVV7"/>
      <c r="NVW7"/>
      <c r="NVX7"/>
      <c r="NVY7"/>
      <c r="NVZ7"/>
      <c r="NWA7"/>
      <c r="NWB7"/>
      <c r="NWC7"/>
      <c r="NWD7"/>
      <c r="NWE7"/>
      <c r="NWF7"/>
      <c r="NWG7"/>
      <c r="NWH7"/>
      <c r="NWI7"/>
      <c r="NWJ7"/>
      <c r="NWK7"/>
      <c r="NWL7"/>
      <c r="NWM7"/>
      <c r="NWN7"/>
      <c r="NWO7"/>
      <c r="NWP7"/>
      <c r="NWQ7"/>
      <c r="NWR7"/>
      <c r="NWS7"/>
      <c r="NWT7"/>
      <c r="NWU7"/>
      <c r="NWV7"/>
      <c r="NWW7"/>
      <c r="NWX7"/>
      <c r="NWY7"/>
      <c r="NWZ7"/>
      <c r="NXA7"/>
      <c r="NXB7"/>
      <c r="NXC7"/>
      <c r="NXD7"/>
      <c r="NXE7"/>
      <c r="NXF7"/>
      <c r="NXG7"/>
      <c r="NXH7"/>
      <c r="NXI7"/>
      <c r="NXJ7"/>
      <c r="NXK7"/>
      <c r="NXL7"/>
      <c r="NXM7"/>
      <c r="NXN7"/>
      <c r="NXO7"/>
      <c r="NXP7"/>
      <c r="NXQ7"/>
      <c r="NXR7"/>
      <c r="NXS7"/>
      <c r="NXT7"/>
      <c r="NXU7"/>
      <c r="NXV7"/>
      <c r="NXW7"/>
      <c r="NXX7"/>
      <c r="NXY7"/>
      <c r="NXZ7"/>
      <c r="NYA7"/>
      <c r="NYB7"/>
      <c r="NYC7"/>
      <c r="NYD7"/>
      <c r="NYE7"/>
      <c r="NYF7"/>
      <c r="NYG7"/>
      <c r="NYH7"/>
      <c r="NYI7"/>
      <c r="NYJ7"/>
      <c r="NYK7"/>
      <c r="NYL7"/>
      <c r="NYM7"/>
      <c r="NYN7"/>
      <c r="NYO7"/>
      <c r="NYP7"/>
      <c r="NYQ7"/>
      <c r="NYR7"/>
      <c r="NYS7"/>
      <c r="NYT7"/>
      <c r="NYU7"/>
      <c r="NYV7"/>
      <c r="NYW7"/>
      <c r="NYX7"/>
      <c r="NYY7"/>
      <c r="NYZ7"/>
      <c r="NZA7"/>
      <c r="NZB7"/>
      <c r="NZC7"/>
      <c r="NZD7"/>
      <c r="NZE7"/>
      <c r="NZF7"/>
      <c r="NZG7"/>
      <c r="NZH7"/>
      <c r="NZI7"/>
      <c r="NZJ7"/>
      <c r="NZK7"/>
      <c r="NZL7"/>
      <c r="NZM7"/>
      <c r="NZN7"/>
      <c r="NZO7"/>
      <c r="NZP7"/>
      <c r="NZQ7"/>
      <c r="NZR7"/>
      <c r="NZS7"/>
      <c r="NZT7"/>
      <c r="NZU7"/>
      <c r="NZV7"/>
      <c r="NZW7"/>
      <c r="NZX7"/>
      <c r="NZY7"/>
      <c r="NZZ7"/>
      <c r="OAA7"/>
      <c r="OAB7"/>
      <c r="OAC7"/>
      <c r="OAD7"/>
      <c r="OAE7"/>
      <c r="OAF7"/>
      <c r="OAG7"/>
      <c r="OAH7"/>
      <c r="OAI7"/>
      <c r="OAJ7"/>
      <c r="OAK7"/>
      <c r="OAL7"/>
      <c r="OAM7"/>
      <c r="OAN7"/>
      <c r="OAO7"/>
      <c r="OAP7"/>
      <c r="OAQ7"/>
      <c r="OAR7"/>
      <c r="OAS7"/>
      <c r="OAT7"/>
      <c r="OAU7"/>
      <c r="OAV7"/>
      <c r="OAW7"/>
      <c r="OAX7"/>
      <c r="OAY7"/>
      <c r="OAZ7"/>
      <c r="OBA7"/>
      <c r="OBB7"/>
      <c r="OBC7"/>
      <c r="OBD7"/>
      <c r="OBE7"/>
      <c r="OBF7"/>
      <c r="OBG7"/>
      <c r="OBH7"/>
      <c r="OBI7"/>
      <c r="OBJ7"/>
      <c r="OBK7"/>
      <c r="OBL7"/>
      <c r="OBM7"/>
      <c r="OBN7"/>
      <c r="OBO7"/>
      <c r="OBP7"/>
      <c r="OBQ7"/>
      <c r="OBR7"/>
      <c r="OBS7"/>
      <c r="OBT7"/>
      <c r="OBU7"/>
      <c r="OBV7"/>
      <c r="OBW7"/>
      <c r="OBX7"/>
      <c r="OBY7"/>
      <c r="OBZ7"/>
      <c r="OCA7"/>
      <c r="OCB7"/>
      <c r="OCC7"/>
      <c r="OCD7"/>
      <c r="OCE7"/>
      <c r="OCF7"/>
      <c r="OCG7"/>
      <c r="OCH7"/>
      <c r="OCI7"/>
      <c r="OCJ7"/>
      <c r="OCK7"/>
      <c r="OCL7"/>
      <c r="OCM7"/>
      <c r="OCN7"/>
      <c r="OCO7"/>
      <c r="OCP7"/>
      <c r="OCQ7"/>
      <c r="OCR7"/>
      <c r="OCS7"/>
      <c r="OCT7"/>
      <c r="OCU7"/>
      <c r="OCV7"/>
      <c r="OCW7"/>
      <c r="OCX7"/>
      <c r="OCY7"/>
      <c r="OCZ7"/>
      <c r="ODA7"/>
      <c r="ODB7"/>
      <c r="ODC7"/>
      <c r="ODD7"/>
      <c r="ODE7"/>
      <c r="ODF7"/>
      <c r="ODG7"/>
      <c r="ODH7"/>
      <c r="ODI7"/>
      <c r="ODJ7"/>
      <c r="ODK7"/>
      <c r="ODL7"/>
      <c r="ODM7"/>
      <c r="ODN7"/>
      <c r="ODO7"/>
      <c r="ODP7"/>
      <c r="ODQ7"/>
      <c r="ODR7"/>
      <c r="ODS7"/>
      <c r="ODT7"/>
      <c r="ODU7"/>
      <c r="ODV7"/>
      <c r="ODW7"/>
      <c r="ODX7"/>
      <c r="ODY7"/>
      <c r="ODZ7"/>
      <c r="OEA7"/>
      <c r="OEB7"/>
      <c r="OEC7"/>
      <c r="OED7"/>
      <c r="OEE7"/>
      <c r="OEF7"/>
      <c r="OEG7"/>
      <c r="OEH7"/>
      <c r="OEI7"/>
      <c r="OEJ7"/>
      <c r="OEK7"/>
      <c r="OEL7"/>
      <c r="OEM7"/>
      <c r="OEN7"/>
      <c r="OEO7"/>
      <c r="OEP7"/>
      <c r="OEQ7"/>
      <c r="OER7"/>
      <c r="OES7"/>
      <c r="OET7"/>
      <c r="OEU7"/>
      <c r="OEV7"/>
      <c r="OEW7"/>
      <c r="OEX7"/>
      <c r="OEY7"/>
      <c r="OEZ7"/>
      <c r="OFA7"/>
      <c r="OFB7"/>
      <c r="OFC7"/>
      <c r="OFD7"/>
      <c r="OFE7"/>
      <c r="OFF7"/>
      <c r="OFG7"/>
      <c r="OFH7"/>
      <c r="OFI7"/>
      <c r="OFJ7"/>
      <c r="OFK7"/>
      <c r="OFL7"/>
      <c r="OFM7"/>
      <c r="OFN7"/>
      <c r="OFO7"/>
      <c r="OFP7"/>
      <c r="OFQ7"/>
      <c r="OFR7"/>
      <c r="OFS7"/>
      <c r="OFT7"/>
      <c r="OFU7"/>
      <c r="OFV7"/>
      <c r="OFW7"/>
      <c r="OFX7"/>
      <c r="OFY7"/>
      <c r="OFZ7"/>
      <c r="OGA7"/>
      <c r="OGB7"/>
      <c r="OGC7"/>
      <c r="OGD7"/>
      <c r="OGE7"/>
      <c r="OGF7"/>
      <c r="OGG7"/>
      <c r="OGH7"/>
      <c r="OGI7"/>
      <c r="OGJ7"/>
      <c r="OGK7"/>
      <c r="OGL7"/>
      <c r="OGM7"/>
      <c r="OGN7"/>
      <c r="OGO7"/>
      <c r="OGP7"/>
      <c r="OGQ7"/>
      <c r="OGR7"/>
      <c r="OGS7"/>
      <c r="OGT7"/>
      <c r="OGU7"/>
      <c r="OGV7"/>
      <c r="OGW7"/>
      <c r="OGX7"/>
      <c r="OGY7"/>
      <c r="OGZ7"/>
      <c r="OHA7"/>
      <c r="OHB7"/>
      <c r="OHC7"/>
      <c r="OHD7"/>
      <c r="OHE7"/>
      <c r="OHF7"/>
      <c r="OHG7"/>
      <c r="OHH7"/>
      <c r="OHI7"/>
      <c r="OHJ7"/>
      <c r="OHK7"/>
      <c r="OHL7"/>
      <c r="OHM7"/>
      <c r="OHN7"/>
      <c r="OHO7"/>
      <c r="OHP7"/>
      <c r="OHQ7"/>
      <c r="OHR7"/>
      <c r="OHS7"/>
      <c r="OHT7"/>
      <c r="OHU7"/>
      <c r="OHV7"/>
      <c r="OHW7"/>
      <c r="OHX7"/>
      <c r="OHY7"/>
      <c r="OHZ7"/>
      <c r="OIA7"/>
      <c r="OIB7"/>
      <c r="OIC7"/>
      <c r="OID7"/>
      <c r="OIE7"/>
      <c r="OIF7"/>
      <c r="OIG7"/>
      <c r="OIH7"/>
      <c r="OII7"/>
      <c r="OIJ7"/>
      <c r="OIK7"/>
      <c r="OIL7"/>
      <c r="OIM7"/>
      <c r="OIN7"/>
      <c r="OIO7"/>
      <c r="OIP7"/>
      <c r="OIQ7"/>
      <c r="OIR7"/>
      <c r="OIS7"/>
      <c r="OIT7"/>
      <c r="OIU7"/>
      <c r="OIV7"/>
      <c r="OIW7"/>
      <c r="OIX7"/>
      <c r="OIY7"/>
      <c r="OIZ7"/>
      <c r="OJA7"/>
      <c r="OJB7"/>
      <c r="OJC7"/>
      <c r="OJD7"/>
      <c r="OJE7"/>
      <c r="OJF7"/>
      <c r="OJG7"/>
      <c r="OJH7"/>
      <c r="OJI7"/>
      <c r="OJJ7"/>
      <c r="OJK7"/>
      <c r="OJL7"/>
      <c r="OJM7"/>
      <c r="OJN7"/>
      <c r="OJO7"/>
      <c r="OJP7"/>
      <c r="OJQ7"/>
      <c r="OJR7"/>
      <c r="OJS7"/>
      <c r="OJT7"/>
      <c r="OJU7"/>
      <c r="OJV7"/>
      <c r="OJW7"/>
      <c r="OJX7"/>
      <c r="OJY7"/>
      <c r="OJZ7"/>
      <c r="OKA7"/>
      <c r="OKB7"/>
      <c r="OKC7"/>
      <c r="OKD7"/>
      <c r="OKE7"/>
      <c r="OKF7"/>
      <c r="OKG7"/>
      <c r="OKH7"/>
      <c r="OKI7"/>
      <c r="OKJ7"/>
      <c r="OKK7"/>
      <c r="OKL7"/>
      <c r="OKM7"/>
      <c r="OKN7"/>
      <c r="OKO7"/>
      <c r="OKP7"/>
      <c r="OKQ7"/>
      <c r="OKR7"/>
      <c r="OKS7"/>
      <c r="OKT7"/>
      <c r="OKU7"/>
      <c r="OKV7"/>
      <c r="OKW7"/>
      <c r="OKX7"/>
      <c r="OKY7"/>
      <c r="OKZ7"/>
      <c r="OLA7"/>
      <c r="OLB7"/>
      <c r="OLC7"/>
      <c r="OLD7"/>
      <c r="OLE7"/>
      <c r="OLF7"/>
      <c r="OLG7"/>
      <c r="OLH7"/>
      <c r="OLI7"/>
      <c r="OLJ7"/>
      <c r="OLK7"/>
      <c r="OLL7"/>
      <c r="OLM7"/>
      <c r="OLN7"/>
      <c r="OLO7"/>
      <c r="OLP7"/>
      <c r="OLQ7"/>
      <c r="OLR7"/>
      <c r="OLS7"/>
      <c r="OLT7"/>
      <c r="OLU7"/>
      <c r="OLV7"/>
      <c r="OLW7"/>
      <c r="OLX7"/>
      <c r="OLY7"/>
      <c r="OLZ7"/>
      <c r="OMA7"/>
      <c r="OMB7"/>
      <c r="OMC7"/>
      <c r="OMD7"/>
      <c r="OME7"/>
      <c r="OMF7"/>
      <c r="OMG7"/>
      <c r="OMH7"/>
      <c r="OMI7"/>
      <c r="OMJ7"/>
      <c r="OMK7"/>
      <c r="OML7"/>
      <c r="OMM7"/>
      <c r="OMN7"/>
      <c r="OMO7"/>
      <c r="OMP7"/>
      <c r="OMQ7"/>
      <c r="OMR7"/>
      <c r="OMS7"/>
      <c r="OMT7"/>
      <c r="OMU7"/>
      <c r="OMV7"/>
      <c r="OMW7"/>
      <c r="OMX7"/>
      <c r="OMY7"/>
      <c r="OMZ7"/>
      <c r="ONA7"/>
      <c r="ONB7"/>
      <c r="ONC7"/>
      <c r="OND7"/>
      <c r="ONE7"/>
      <c r="ONF7"/>
      <c r="ONG7"/>
      <c r="ONH7"/>
      <c r="ONI7"/>
      <c r="ONJ7"/>
      <c r="ONK7"/>
      <c r="ONL7"/>
      <c r="ONM7"/>
      <c r="ONN7"/>
      <c r="ONO7"/>
      <c r="ONP7"/>
      <c r="ONQ7"/>
      <c r="ONR7"/>
      <c r="ONS7"/>
      <c r="ONT7"/>
      <c r="ONU7"/>
      <c r="ONV7"/>
      <c r="ONW7"/>
      <c r="ONX7"/>
      <c r="ONY7"/>
      <c r="ONZ7"/>
      <c r="OOA7"/>
      <c r="OOB7"/>
      <c r="OOC7"/>
      <c r="OOD7"/>
      <c r="OOE7"/>
      <c r="OOF7"/>
      <c r="OOG7"/>
      <c r="OOH7"/>
      <c r="OOI7"/>
      <c r="OOJ7"/>
      <c r="OOK7"/>
      <c r="OOL7"/>
      <c r="OOM7"/>
      <c r="OON7"/>
      <c r="OOO7"/>
      <c r="OOP7"/>
      <c r="OOQ7"/>
      <c r="OOR7"/>
      <c r="OOS7"/>
      <c r="OOT7"/>
      <c r="OOU7"/>
      <c r="OOV7"/>
      <c r="OOW7"/>
      <c r="OOX7"/>
      <c r="OOY7"/>
      <c r="OOZ7"/>
      <c r="OPA7"/>
      <c r="OPB7"/>
      <c r="OPC7"/>
      <c r="OPD7"/>
      <c r="OPE7"/>
      <c r="OPF7"/>
      <c r="OPG7"/>
      <c r="OPH7"/>
      <c r="OPI7"/>
      <c r="OPJ7"/>
      <c r="OPK7"/>
      <c r="OPL7"/>
      <c r="OPM7"/>
      <c r="OPN7"/>
      <c r="OPO7"/>
      <c r="OPP7"/>
      <c r="OPQ7"/>
      <c r="OPR7"/>
      <c r="OPS7"/>
      <c r="OPT7"/>
      <c r="OPU7"/>
      <c r="OPV7"/>
      <c r="OPW7"/>
      <c r="OPX7"/>
      <c r="OPY7"/>
      <c r="OPZ7"/>
      <c r="OQA7"/>
      <c r="OQB7"/>
      <c r="OQC7"/>
      <c r="OQD7"/>
      <c r="OQE7"/>
      <c r="OQF7"/>
      <c r="OQG7"/>
      <c r="OQH7"/>
      <c r="OQI7"/>
      <c r="OQJ7"/>
      <c r="OQK7"/>
      <c r="OQL7"/>
      <c r="OQM7"/>
      <c r="OQN7"/>
      <c r="OQO7"/>
      <c r="OQP7"/>
      <c r="OQQ7"/>
      <c r="OQR7"/>
      <c r="OQS7"/>
      <c r="OQT7"/>
      <c r="OQU7"/>
      <c r="OQV7"/>
      <c r="OQW7"/>
      <c r="OQX7"/>
      <c r="OQY7"/>
      <c r="OQZ7"/>
      <c r="ORA7"/>
      <c r="ORB7"/>
      <c r="ORC7"/>
      <c r="ORD7"/>
      <c r="ORE7"/>
      <c r="ORF7"/>
      <c r="ORG7"/>
      <c r="ORH7"/>
      <c r="ORI7"/>
      <c r="ORJ7"/>
      <c r="ORK7"/>
      <c r="ORL7"/>
      <c r="ORM7"/>
      <c r="ORN7"/>
      <c r="ORO7"/>
      <c r="ORP7"/>
      <c r="ORQ7"/>
      <c r="ORR7"/>
      <c r="ORS7"/>
      <c r="ORT7"/>
      <c r="ORU7"/>
      <c r="ORV7"/>
      <c r="ORW7"/>
      <c r="ORX7"/>
      <c r="ORY7"/>
      <c r="ORZ7"/>
      <c r="OSA7"/>
      <c r="OSB7"/>
      <c r="OSC7"/>
      <c r="OSD7"/>
      <c r="OSE7"/>
      <c r="OSF7"/>
      <c r="OSG7"/>
      <c r="OSH7"/>
      <c r="OSI7"/>
      <c r="OSJ7"/>
      <c r="OSK7"/>
      <c r="OSL7"/>
      <c r="OSM7"/>
      <c r="OSN7"/>
      <c r="OSO7"/>
      <c r="OSP7"/>
      <c r="OSQ7"/>
      <c r="OSR7"/>
      <c r="OSS7"/>
      <c r="OST7"/>
      <c r="OSU7"/>
      <c r="OSV7"/>
      <c r="OSW7"/>
      <c r="OSX7"/>
      <c r="OSY7"/>
      <c r="OSZ7"/>
      <c r="OTA7"/>
      <c r="OTB7"/>
      <c r="OTC7"/>
      <c r="OTD7"/>
      <c r="OTE7"/>
      <c r="OTF7"/>
      <c r="OTG7"/>
      <c r="OTH7"/>
      <c r="OTI7"/>
      <c r="OTJ7"/>
      <c r="OTK7"/>
      <c r="OTL7"/>
      <c r="OTM7"/>
      <c r="OTN7"/>
      <c r="OTO7"/>
      <c r="OTP7"/>
      <c r="OTQ7"/>
      <c r="OTR7"/>
      <c r="OTS7"/>
      <c r="OTT7"/>
      <c r="OTU7"/>
      <c r="OTV7"/>
      <c r="OTW7"/>
      <c r="OTX7"/>
      <c r="OTY7"/>
      <c r="OTZ7"/>
      <c r="OUA7"/>
      <c r="OUB7"/>
      <c r="OUC7"/>
      <c r="OUD7"/>
      <c r="OUE7"/>
      <c r="OUF7"/>
      <c r="OUG7"/>
      <c r="OUH7"/>
      <c r="OUI7"/>
      <c r="OUJ7"/>
      <c r="OUK7"/>
      <c r="OUL7"/>
      <c r="OUM7"/>
      <c r="OUN7"/>
      <c r="OUO7"/>
      <c r="OUP7"/>
      <c r="OUQ7"/>
      <c r="OUR7"/>
      <c r="OUS7"/>
      <c r="OUT7"/>
      <c r="OUU7"/>
      <c r="OUV7"/>
      <c r="OUW7"/>
      <c r="OUX7"/>
      <c r="OUY7"/>
      <c r="OUZ7"/>
      <c r="OVA7"/>
      <c r="OVB7"/>
      <c r="OVC7"/>
      <c r="OVD7"/>
      <c r="OVE7"/>
      <c r="OVF7"/>
      <c r="OVG7"/>
      <c r="OVH7"/>
      <c r="OVI7"/>
      <c r="OVJ7"/>
      <c r="OVK7"/>
      <c r="OVL7"/>
      <c r="OVM7"/>
      <c r="OVN7"/>
      <c r="OVO7"/>
      <c r="OVP7"/>
      <c r="OVQ7"/>
      <c r="OVR7"/>
      <c r="OVS7"/>
      <c r="OVT7"/>
      <c r="OVU7"/>
      <c r="OVV7"/>
      <c r="OVW7"/>
      <c r="OVX7"/>
      <c r="OVY7"/>
      <c r="OVZ7"/>
      <c r="OWA7"/>
      <c r="OWB7"/>
      <c r="OWC7"/>
      <c r="OWD7"/>
      <c r="OWE7"/>
      <c r="OWF7"/>
      <c r="OWG7"/>
      <c r="OWH7"/>
      <c r="OWI7"/>
      <c r="OWJ7"/>
      <c r="OWK7"/>
      <c r="OWL7"/>
      <c r="OWM7"/>
      <c r="OWN7"/>
      <c r="OWO7"/>
      <c r="OWP7"/>
      <c r="OWQ7"/>
      <c r="OWR7"/>
      <c r="OWS7"/>
      <c r="OWT7"/>
      <c r="OWU7"/>
      <c r="OWV7"/>
      <c r="OWW7"/>
      <c r="OWX7"/>
      <c r="OWY7"/>
      <c r="OWZ7"/>
      <c r="OXA7"/>
      <c r="OXB7"/>
      <c r="OXC7"/>
      <c r="OXD7"/>
      <c r="OXE7"/>
      <c r="OXF7"/>
      <c r="OXG7"/>
      <c r="OXH7"/>
      <c r="OXI7"/>
      <c r="OXJ7"/>
      <c r="OXK7"/>
      <c r="OXL7"/>
      <c r="OXM7"/>
      <c r="OXN7"/>
      <c r="OXO7"/>
      <c r="OXP7"/>
      <c r="OXQ7"/>
      <c r="OXR7"/>
      <c r="OXS7"/>
      <c r="OXT7"/>
      <c r="OXU7"/>
      <c r="OXV7"/>
      <c r="OXW7"/>
      <c r="OXX7"/>
      <c r="OXY7"/>
      <c r="OXZ7"/>
      <c r="OYA7"/>
      <c r="OYB7"/>
      <c r="OYC7"/>
      <c r="OYD7"/>
      <c r="OYE7"/>
      <c r="OYF7"/>
      <c r="OYG7"/>
      <c r="OYH7"/>
      <c r="OYI7"/>
      <c r="OYJ7"/>
      <c r="OYK7"/>
      <c r="OYL7"/>
      <c r="OYM7"/>
      <c r="OYN7"/>
      <c r="OYO7"/>
      <c r="OYP7"/>
      <c r="OYQ7"/>
      <c r="OYR7"/>
      <c r="OYS7"/>
      <c r="OYT7"/>
      <c r="OYU7"/>
      <c r="OYV7"/>
      <c r="OYW7"/>
      <c r="OYX7"/>
      <c r="OYY7"/>
      <c r="OYZ7"/>
      <c r="OZA7"/>
      <c r="OZB7"/>
      <c r="OZC7"/>
      <c r="OZD7"/>
      <c r="OZE7"/>
      <c r="OZF7"/>
      <c r="OZG7"/>
      <c r="OZH7"/>
      <c r="OZI7"/>
      <c r="OZJ7"/>
      <c r="OZK7"/>
      <c r="OZL7"/>
      <c r="OZM7"/>
      <c r="OZN7"/>
      <c r="OZO7"/>
      <c r="OZP7"/>
      <c r="OZQ7"/>
      <c r="OZR7"/>
      <c r="OZS7"/>
      <c r="OZT7"/>
      <c r="OZU7"/>
      <c r="OZV7"/>
      <c r="OZW7"/>
      <c r="OZX7"/>
      <c r="OZY7"/>
      <c r="OZZ7"/>
      <c r="PAA7"/>
      <c r="PAB7"/>
      <c r="PAC7"/>
      <c r="PAD7"/>
      <c r="PAE7"/>
      <c r="PAF7"/>
      <c r="PAG7"/>
      <c r="PAH7"/>
      <c r="PAI7"/>
      <c r="PAJ7"/>
      <c r="PAK7"/>
      <c r="PAL7"/>
      <c r="PAM7"/>
      <c r="PAN7"/>
      <c r="PAO7"/>
      <c r="PAP7"/>
      <c r="PAQ7"/>
      <c r="PAR7"/>
      <c r="PAS7"/>
      <c r="PAT7"/>
      <c r="PAU7"/>
      <c r="PAV7"/>
      <c r="PAW7"/>
      <c r="PAX7"/>
      <c r="PAY7"/>
      <c r="PAZ7"/>
      <c r="PBA7"/>
      <c r="PBB7"/>
      <c r="PBC7"/>
      <c r="PBD7"/>
      <c r="PBE7"/>
      <c r="PBF7"/>
      <c r="PBG7"/>
      <c r="PBH7"/>
      <c r="PBI7"/>
      <c r="PBJ7"/>
      <c r="PBK7"/>
      <c r="PBL7"/>
      <c r="PBM7"/>
      <c r="PBN7"/>
      <c r="PBO7"/>
      <c r="PBP7"/>
      <c r="PBQ7"/>
      <c r="PBR7"/>
      <c r="PBS7"/>
      <c r="PBT7"/>
      <c r="PBU7"/>
      <c r="PBV7"/>
      <c r="PBW7"/>
      <c r="PBX7"/>
      <c r="PBY7"/>
      <c r="PBZ7"/>
      <c r="PCA7"/>
      <c r="PCB7"/>
      <c r="PCC7"/>
      <c r="PCD7"/>
      <c r="PCE7"/>
      <c r="PCF7"/>
      <c r="PCG7"/>
      <c r="PCH7"/>
      <c r="PCI7"/>
      <c r="PCJ7"/>
      <c r="PCK7"/>
      <c r="PCL7"/>
      <c r="PCM7"/>
      <c r="PCN7"/>
      <c r="PCO7"/>
      <c r="PCP7"/>
      <c r="PCQ7"/>
      <c r="PCR7"/>
      <c r="PCS7"/>
      <c r="PCT7"/>
      <c r="PCU7"/>
      <c r="PCV7"/>
      <c r="PCW7"/>
      <c r="PCX7"/>
      <c r="PCY7"/>
      <c r="PCZ7"/>
      <c r="PDA7"/>
      <c r="PDB7"/>
      <c r="PDC7"/>
      <c r="PDD7"/>
      <c r="PDE7"/>
      <c r="PDF7"/>
      <c r="PDG7"/>
      <c r="PDH7"/>
      <c r="PDI7"/>
      <c r="PDJ7"/>
      <c r="PDK7"/>
      <c r="PDL7"/>
      <c r="PDM7"/>
      <c r="PDN7"/>
      <c r="PDO7"/>
      <c r="PDP7"/>
      <c r="PDQ7"/>
      <c r="PDR7"/>
      <c r="PDS7"/>
      <c r="PDT7"/>
      <c r="PDU7"/>
      <c r="PDV7"/>
      <c r="PDW7"/>
      <c r="PDX7"/>
      <c r="PDY7"/>
      <c r="PDZ7"/>
      <c r="PEA7"/>
      <c r="PEB7"/>
      <c r="PEC7"/>
      <c r="PED7"/>
      <c r="PEE7"/>
      <c r="PEF7"/>
      <c r="PEG7"/>
      <c r="PEH7"/>
      <c r="PEI7"/>
      <c r="PEJ7"/>
      <c r="PEK7"/>
      <c r="PEL7"/>
      <c r="PEM7"/>
      <c r="PEN7"/>
      <c r="PEO7"/>
      <c r="PEP7"/>
      <c r="PEQ7"/>
      <c r="PER7"/>
      <c r="PES7"/>
      <c r="PET7"/>
      <c r="PEU7"/>
      <c r="PEV7"/>
      <c r="PEW7"/>
      <c r="PEX7"/>
      <c r="PEY7"/>
      <c r="PEZ7"/>
      <c r="PFA7"/>
      <c r="PFB7"/>
      <c r="PFC7"/>
      <c r="PFD7"/>
      <c r="PFE7"/>
      <c r="PFF7"/>
      <c r="PFG7"/>
      <c r="PFH7"/>
      <c r="PFI7"/>
      <c r="PFJ7"/>
      <c r="PFK7"/>
      <c r="PFL7"/>
      <c r="PFM7"/>
      <c r="PFN7"/>
      <c r="PFO7"/>
      <c r="PFP7"/>
      <c r="PFQ7"/>
      <c r="PFR7"/>
      <c r="PFS7"/>
      <c r="PFT7"/>
      <c r="PFU7"/>
      <c r="PFV7"/>
      <c r="PFW7"/>
      <c r="PFX7"/>
      <c r="PFY7"/>
      <c r="PFZ7"/>
      <c r="PGA7"/>
      <c r="PGB7"/>
      <c r="PGC7"/>
      <c r="PGD7"/>
      <c r="PGE7"/>
      <c r="PGF7"/>
      <c r="PGG7"/>
      <c r="PGH7"/>
      <c r="PGI7"/>
      <c r="PGJ7"/>
      <c r="PGK7"/>
      <c r="PGL7"/>
      <c r="PGM7"/>
      <c r="PGN7"/>
      <c r="PGO7"/>
      <c r="PGP7"/>
      <c r="PGQ7"/>
      <c r="PGR7"/>
      <c r="PGS7"/>
      <c r="PGT7"/>
      <c r="PGU7"/>
      <c r="PGV7"/>
      <c r="PGW7"/>
      <c r="PGX7"/>
      <c r="PGY7"/>
      <c r="PGZ7"/>
      <c r="PHA7"/>
      <c r="PHB7"/>
      <c r="PHC7"/>
      <c r="PHD7"/>
      <c r="PHE7"/>
      <c r="PHF7"/>
      <c r="PHG7"/>
      <c r="PHH7"/>
      <c r="PHI7"/>
      <c r="PHJ7"/>
      <c r="PHK7"/>
      <c r="PHL7"/>
      <c r="PHM7"/>
      <c r="PHN7"/>
      <c r="PHO7"/>
      <c r="PHP7"/>
      <c r="PHQ7"/>
      <c r="PHR7"/>
      <c r="PHS7"/>
      <c r="PHT7"/>
      <c r="PHU7"/>
      <c r="PHV7"/>
      <c r="PHW7"/>
      <c r="PHX7"/>
      <c r="PHY7"/>
      <c r="PHZ7"/>
      <c r="PIA7"/>
      <c r="PIB7"/>
      <c r="PIC7"/>
      <c r="PID7"/>
      <c r="PIE7"/>
      <c r="PIF7"/>
      <c r="PIG7"/>
      <c r="PIH7"/>
      <c r="PII7"/>
      <c r="PIJ7"/>
      <c r="PIK7"/>
      <c r="PIL7"/>
      <c r="PIM7"/>
      <c r="PIN7"/>
      <c r="PIO7"/>
      <c r="PIP7"/>
      <c r="PIQ7"/>
      <c r="PIR7"/>
      <c r="PIS7"/>
      <c r="PIT7"/>
      <c r="PIU7"/>
      <c r="PIV7"/>
      <c r="PIW7"/>
      <c r="PIX7"/>
      <c r="PIY7"/>
      <c r="PIZ7"/>
      <c r="PJA7"/>
      <c r="PJB7"/>
      <c r="PJC7"/>
      <c r="PJD7"/>
      <c r="PJE7"/>
      <c r="PJF7"/>
      <c r="PJG7"/>
      <c r="PJH7"/>
      <c r="PJI7"/>
      <c r="PJJ7"/>
      <c r="PJK7"/>
      <c r="PJL7"/>
      <c r="PJM7"/>
      <c r="PJN7"/>
      <c r="PJO7"/>
      <c r="PJP7"/>
      <c r="PJQ7"/>
      <c r="PJR7"/>
      <c r="PJS7"/>
      <c r="PJT7"/>
      <c r="PJU7"/>
      <c r="PJV7"/>
      <c r="PJW7"/>
      <c r="PJX7"/>
      <c r="PJY7"/>
      <c r="PJZ7"/>
      <c r="PKA7"/>
      <c r="PKB7"/>
      <c r="PKC7"/>
      <c r="PKD7"/>
      <c r="PKE7"/>
      <c r="PKF7"/>
      <c r="PKG7"/>
      <c r="PKH7"/>
      <c r="PKI7"/>
      <c r="PKJ7"/>
      <c r="PKK7"/>
      <c r="PKL7"/>
      <c r="PKM7"/>
      <c r="PKN7"/>
      <c r="PKO7"/>
      <c r="PKP7"/>
      <c r="PKQ7"/>
      <c r="PKR7"/>
      <c r="PKS7"/>
      <c r="PKT7"/>
      <c r="PKU7"/>
      <c r="PKV7"/>
      <c r="PKW7"/>
      <c r="PKX7"/>
      <c r="PKY7"/>
      <c r="PKZ7"/>
      <c r="PLA7"/>
      <c r="PLB7"/>
      <c r="PLC7"/>
      <c r="PLD7"/>
      <c r="PLE7"/>
      <c r="PLF7"/>
      <c r="PLG7"/>
      <c r="PLH7"/>
      <c r="PLI7"/>
      <c r="PLJ7"/>
      <c r="PLK7"/>
      <c r="PLL7"/>
      <c r="PLM7"/>
      <c r="PLN7"/>
      <c r="PLO7"/>
      <c r="PLP7"/>
      <c r="PLQ7"/>
      <c r="PLR7"/>
      <c r="PLS7"/>
      <c r="PLT7"/>
      <c r="PLU7"/>
      <c r="PLV7"/>
      <c r="PLW7"/>
      <c r="PLX7"/>
      <c r="PLY7"/>
      <c r="PLZ7"/>
      <c r="PMA7"/>
      <c r="PMB7"/>
      <c r="PMC7"/>
      <c r="PMD7"/>
      <c r="PME7"/>
      <c r="PMF7"/>
      <c r="PMG7"/>
      <c r="PMH7"/>
      <c r="PMI7"/>
      <c r="PMJ7"/>
      <c r="PMK7"/>
      <c r="PML7"/>
      <c r="PMM7"/>
      <c r="PMN7"/>
      <c r="PMO7"/>
      <c r="PMP7"/>
      <c r="PMQ7"/>
      <c r="PMR7"/>
      <c r="PMS7"/>
      <c r="PMT7"/>
      <c r="PMU7"/>
      <c r="PMV7"/>
      <c r="PMW7"/>
      <c r="PMX7"/>
      <c r="PMY7"/>
      <c r="PMZ7"/>
      <c r="PNA7"/>
      <c r="PNB7"/>
      <c r="PNC7"/>
      <c r="PND7"/>
      <c r="PNE7"/>
      <c r="PNF7"/>
      <c r="PNG7"/>
      <c r="PNH7"/>
      <c r="PNI7"/>
      <c r="PNJ7"/>
      <c r="PNK7"/>
      <c r="PNL7"/>
      <c r="PNM7"/>
      <c r="PNN7"/>
      <c r="PNO7"/>
      <c r="PNP7"/>
      <c r="PNQ7"/>
      <c r="PNR7"/>
      <c r="PNS7"/>
      <c r="PNT7"/>
      <c r="PNU7"/>
      <c r="PNV7"/>
      <c r="PNW7"/>
      <c r="PNX7"/>
      <c r="PNY7"/>
      <c r="PNZ7"/>
      <c r="POA7"/>
      <c r="POB7"/>
      <c r="POC7"/>
      <c r="POD7"/>
      <c r="POE7"/>
      <c r="POF7"/>
      <c r="POG7"/>
      <c r="POH7"/>
      <c r="POI7"/>
      <c r="POJ7"/>
      <c r="POK7"/>
      <c r="POL7"/>
      <c r="POM7"/>
      <c r="PON7"/>
      <c r="POO7"/>
      <c r="POP7"/>
      <c r="POQ7"/>
      <c r="POR7"/>
      <c r="POS7"/>
      <c r="POT7"/>
      <c r="POU7"/>
      <c r="POV7"/>
      <c r="POW7"/>
      <c r="POX7"/>
      <c r="POY7"/>
      <c r="POZ7"/>
      <c r="PPA7"/>
      <c r="PPB7"/>
      <c r="PPC7"/>
      <c r="PPD7"/>
      <c r="PPE7"/>
      <c r="PPF7"/>
      <c r="PPG7"/>
      <c r="PPH7"/>
      <c r="PPI7"/>
      <c r="PPJ7"/>
      <c r="PPK7"/>
      <c r="PPL7"/>
      <c r="PPM7"/>
      <c r="PPN7"/>
      <c r="PPO7"/>
      <c r="PPP7"/>
      <c r="PPQ7"/>
      <c r="PPR7"/>
      <c r="PPS7"/>
      <c r="PPT7"/>
      <c r="PPU7"/>
      <c r="PPV7"/>
      <c r="PPW7"/>
      <c r="PPX7"/>
      <c r="PPY7"/>
      <c r="PPZ7"/>
      <c r="PQA7"/>
      <c r="PQB7"/>
      <c r="PQC7"/>
      <c r="PQD7"/>
      <c r="PQE7"/>
      <c r="PQF7"/>
      <c r="PQG7"/>
      <c r="PQH7"/>
      <c r="PQI7"/>
      <c r="PQJ7"/>
      <c r="PQK7"/>
      <c r="PQL7"/>
      <c r="PQM7"/>
      <c r="PQN7"/>
      <c r="PQO7"/>
      <c r="PQP7"/>
      <c r="PQQ7"/>
      <c r="PQR7"/>
      <c r="PQS7"/>
      <c r="PQT7"/>
      <c r="PQU7"/>
      <c r="PQV7"/>
      <c r="PQW7"/>
      <c r="PQX7"/>
      <c r="PQY7"/>
      <c r="PQZ7"/>
      <c r="PRA7"/>
      <c r="PRB7"/>
      <c r="PRC7"/>
      <c r="PRD7"/>
      <c r="PRE7"/>
      <c r="PRF7"/>
      <c r="PRG7"/>
      <c r="PRH7"/>
      <c r="PRI7"/>
      <c r="PRJ7"/>
      <c r="PRK7"/>
      <c r="PRL7"/>
      <c r="PRM7"/>
      <c r="PRN7"/>
      <c r="PRO7"/>
      <c r="PRP7"/>
      <c r="PRQ7"/>
      <c r="PRR7"/>
      <c r="PRS7"/>
      <c r="PRT7"/>
      <c r="PRU7"/>
      <c r="PRV7"/>
      <c r="PRW7"/>
      <c r="PRX7"/>
      <c r="PRY7"/>
      <c r="PRZ7"/>
      <c r="PSA7"/>
      <c r="PSB7"/>
      <c r="PSC7"/>
      <c r="PSD7"/>
      <c r="PSE7"/>
      <c r="PSF7"/>
      <c r="PSG7"/>
      <c r="PSH7"/>
      <c r="PSI7"/>
      <c r="PSJ7"/>
      <c r="PSK7"/>
      <c r="PSL7"/>
      <c r="PSM7"/>
      <c r="PSN7"/>
      <c r="PSO7"/>
      <c r="PSP7"/>
      <c r="PSQ7"/>
      <c r="PSR7"/>
      <c r="PSS7"/>
      <c r="PST7"/>
      <c r="PSU7"/>
      <c r="PSV7"/>
      <c r="PSW7"/>
      <c r="PSX7"/>
      <c r="PSY7"/>
      <c r="PSZ7"/>
      <c r="PTA7"/>
      <c r="PTB7"/>
      <c r="PTC7"/>
      <c r="PTD7"/>
      <c r="PTE7"/>
      <c r="PTF7"/>
      <c r="PTG7"/>
      <c r="PTH7"/>
      <c r="PTI7"/>
      <c r="PTJ7"/>
      <c r="PTK7"/>
      <c r="PTL7"/>
      <c r="PTM7"/>
      <c r="PTN7"/>
      <c r="PTO7"/>
      <c r="PTP7"/>
      <c r="PTQ7"/>
      <c r="PTR7"/>
      <c r="PTS7"/>
      <c r="PTT7"/>
      <c r="PTU7"/>
      <c r="PTV7"/>
      <c r="PTW7"/>
      <c r="PTX7"/>
      <c r="PTY7"/>
      <c r="PTZ7"/>
      <c r="PUA7"/>
      <c r="PUB7"/>
      <c r="PUC7"/>
      <c r="PUD7"/>
      <c r="PUE7"/>
      <c r="PUF7"/>
      <c r="PUG7"/>
      <c r="PUH7"/>
      <c r="PUI7"/>
      <c r="PUJ7"/>
      <c r="PUK7"/>
      <c r="PUL7"/>
      <c r="PUM7"/>
      <c r="PUN7"/>
      <c r="PUO7"/>
      <c r="PUP7"/>
      <c r="PUQ7"/>
      <c r="PUR7"/>
      <c r="PUS7"/>
      <c r="PUT7"/>
      <c r="PUU7"/>
      <c r="PUV7"/>
      <c r="PUW7"/>
      <c r="PUX7"/>
      <c r="PUY7"/>
      <c r="PUZ7"/>
      <c r="PVA7"/>
      <c r="PVB7"/>
      <c r="PVC7"/>
      <c r="PVD7"/>
      <c r="PVE7"/>
      <c r="PVF7"/>
      <c r="PVG7"/>
      <c r="PVH7"/>
      <c r="PVI7"/>
      <c r="PVJ7"/>
      <c r="PVK7"/>
      <c r="PVL7"/>
      <c r="PVM7"/>
      <c r="PVN7"/>
      <c r="PVO7"/>
      <c r="PVP7"/>
      <c r="PVQ7"/>
      <c r="PVR7"/>
      <c r="PVS7"/>
      <c r="PVT7"/>
      <c r="PVU7"/>
      <c r="PVV7"/>
      <c r="PVW7"/>
      <c r="PVX7"/>
      <c r="PVY7"/>
      <c r="PVZ7"/>
      <c r="PWA7"/>
      <c r="PWB7"/>
      <c r="PWC7"/>
      <c r="PWD7"/>
      <c r="PWE7"/>
      <c r="PWF7"/>
      <c r="PWG7"/>
      <c r="PWH7"/>
      <c r="PWI7"/>
      <c r="PWJ7"/>
      <c r="PWK7"/>
      <c r="PWL7"/>
      <c r="PWM7"/>
      <c r="PWN7"/>
      <c r="PWO7"/>
      <c r="PWP7"/>
      <c r="PWQ7"/>
      <c r="PWR7"/>
      <c r="PWS7"/>
      <c r="PWT7"/>
      <c r="PWU7"/>
      <c r="PWV7"/>
      <c r="PWW7"/>
      <c r="PWX7"/>
      <c r="PWY7"/>
      <c r="PWZ7"/>
      <c r="PXA7"/>
      <c r="PXB7"/>
      <c r="PXC7"/>
      <c r="PXD7"/>
      <c r="PXE7"/>
      <c r="PXF7"/>
      <c r="PXG7"/>
      <c r="PXH7"/>
      <c r="PXI7"/>
      <c r="PXJ7"/>
      <c r="PXK7"/>
      <c r="PXL7"/>
      <c r="PXM7"/>
      <c r="PXN7"/>
      <c r="PXO7"/>
      <c r="PXP7"/>
      <c r="PXQ7"/>
      <c r="PXR7"/>
      <c r="PXS7"/>
      <c r="PXT7"/>
      <c r="PXU7"/>
      <c r="PXV7"/>
      <c r="PXW7"/>
      <c r="PXX7"/>
      <c r="PXY7"/>
      <c r="PXZ7"/>
      <c r="PYA7"/>
      <c r="PYB7"/>
      <c r="PYC7"/>
      <c r="PYD7"/>
      <c r="PYE7"/>
      <c r="PYF7"/>
      <c r="PYG7"/>
      <c r="PYH7"/>
      <c r="PYI7"/>
      <c r="PYJ7"/>
      <c r="PYK7"/>
      <c r="PYL7"/>
      <c r="PYM7"/>
      <c r="PYN7"/>
      <c r="PYO7"/>
      <c r="PYP7"/>
      <c r="PYQ7"/>
      <c r="PYR7"/>
      <c r="PYS7"/>
      <c r="PYT7"/>
      <c r="PYU7"/>
      <c r="PYV7"/>
      <c r="PYW7"/>
      <c r="PYX7"/>
      <c r="PYY7"/>
      <c r="PYZ7"/>
      <c r="PZA7"/>
      <c r="PZB7"/>
      <c r="PZC7"/>
      <c r="PZD7"/>
      <c r="PZE7"/>
      <c r="PZF7"/>
      <c r="PZG7"/>
      <c r="PZH7"/>
      <c r="PZI7"/>
      <c r="PZJ7"/>
      <c r="PZK7"/>
      <c r="PZL7"/>
      <c r="PZM7"/>
      <c r="PZN7"/>
      <c r="PZO7"/>
      <c r="PZP7"/>
      <c r="PZQ7"/>
      <c r="PZR7"/>
      <c r="PZS7"/>
      <c r="PZT7"/>
      <c r="PZU7"/>
      <c r="PZV7"/>
      <c r="PZW7"/>
      <c r="PZX7"/>
      <c r="PZY7"/>
      <c r="PZZ7"/>
      <c r="QAA7"/>
      <c r="QAB7"/>
      <c r="QAC7"/>
      <c r="QAD7"/>
      <c r="QAE7"/>
      <c r="QAF7"/>
      <c r="QAG7"/>
      <c r="QAH7"/>
      <c r="QAI7"/>
      <c r="QAJ7"/>
      <c r="QAK7"/>
      <c r="QAL7"/>
      <c r="QAM7"/>
      <c r="QAN7"/>
      <c r="QAO7"/>
      <c r="QAP7"/>
      <c r="QAQ7"/>
      <c r="QAR7"/>
      <c r="QAS7"/>
      <c r="QAT7"/>
      <c r="QAU7"/>
      <c r="QAV7"/>
      <c r="QAW7"/>
      <c r="QAX7"/>
      <c r="QAY7"/>
      <c r="QAZ7"/>
      <c r="QBA7"/>
      <c r="QBB7"/>
      <c r="QBC7"/>
      <c r="QBD7"/>
      <c r="QBE7"/>
      <c r="QBF7"/>
      <c r="QBG7"/>
      <c r="QBH7"/>
      <c r="QBI7"/>
      <c r="QBJ7"/>
      <c r="QBK7"/>
      <c r="QBL7"/>
      <c r="QBM7"/>
      <c r="QBN7"/>
      <c r="QBO7"/>
      <c r="QBP7"/>
      <c r="QBQ7"/>
      <c r="QBR7"/>
      <c r="QBS7"/>
      <c r="QBT7"/>
      <c r="QBU7"/>
      <c r="QBV7"/>
      <c r="QBW7"/>
      <c r="QBX7"/>
      <c r="QBY7"/>
      <c r="QBZ7"/>
      <c r="QCA7"/>
      <c r="QCB7"/>
      <c r="QCC7"/>
      <c r="QCD7"/>
      <c r="QCE7"/>
      <c r="QCF7"/>
      <c r="QCG7"/>
      <c r="QCH7"/>
      <c r="QCI7"/>
      <c r="QCJ7"/>
      <c r="QCK7"/>
      <c r="QCL7"/>
      <c r="QCM7"/>
      <c r="QCN7"/>
      <c r="QCO7"/>
      <c r="QCP7"/>
      <c r="QCQ7"/>
      <c r="QCR7"/>
      <c r="QCS7"/>
      <c r="QCT7"/>
      <c r="QCU7"/>
      <c r="QCV7"/>
      <c r="QCW7"/>
      <c r="QCX7"/>
      <c r="QCY7"/>
      <c r="QCZ7"/>
      <c r="QDA7"/>
      <c r="QDB7"/>
      <c r="QDC7"/>
      <c r="QDD7"/>
      <c r="QDE7"/>
      <c r="QDF7"/>
      <c r="QDG7"/>
      <c r="QDH7"/>
      <c r="QDI7"/>
      <c r="QDJ7"/>
      <c r="QDK7"/>
      <c r="QDL7"/>
      <c r="QDM7"/>
      <c r="QDN7"/>
      <c r="QDO7"/>
      <c r="QDP7"/>
      <c r="QDQ7"/>
      <c r="QDR7"/>
      <c r="QDS7"/>
      <c r="QDT7"/>
      <c r="QDU7"/>
      <c r="QDV7"/>
      <c r="QDW7"/>
      <c r="QDX7"/>
      <c r="QDY7"/>
      <c r="QDZ7"/>
      <c r="QEA7"/>
      <c r="QEB7"/>
      <c r="QEC7"/>
      <c r="QED7"/>
      <c r="QEE7"/>
      <c r="QEF7"/>
      <c r="QEG7"/>
      <c r="QEH7"/>
      <c r="QEI7"/>
      <c r="QEJ7"/>
      <c r="QEK7"/>
      <c r="QEL7"/>
      <c r="QEM7"/>
      <c r="QEN7"/>
      <c r="QEO7"/>
      <c r="QEP7"/>
      <c r="QEQ7"/>
      <c r="QER7"/>
      <c r="QES7"/>
      <c r="QET7"/>
      <c r="QEU7"/>
      <c r="QEV7"/>
      <c r="QEW7"/>
      <c r="QEX7"/>
      <c r="QEY7"/>
      <c r="QEZ7"/>
      <c r="QFA7"/>
      <c r="QFB7"/>
      <c r="QFC7"/>
      <c r="QFD7"/>
      <c r="QFE7"/>
      <c r="QFF7"/>
      <c r="QFG7"/>
      <c r="QFH7"/>
      <c r="QFI7"/>
      <c r="QFJ7"/>
      <c r="QFK7"/>
      <c r="QFL7"/>
      <c r="QFM7"/>
      <c r="QFN7"/>
      <c r="QFO7"/>
      <c r="QFP7"/>
      <c r="QFQ7"/>
      <c r="QFR7"/>
      <c r="QFS7"/>
      <c r="QFT7"/>
      <c r="QFU7"/>
      <c r="QFV7"/>
      <c r="QFW7"/>
      <c r="QFX7"/>
      <c r="QFY7"/>
      <c r="QFZ7"/>
      <c r="QGA7"/>
      <c r="QGB7"/>
      <c r="QGC7"/>
      <c r="QGD7"/>
      <c r="QGE7"/>
      <c r="QGF7"/>
      <c r="QGG7"/>
      <c r="QGH7"/>
      <c r="QGI7"/>
      <c r="QGJ7"/>
      <c r="QGK7"/>
      <c r="QGL7"/>
      <c r="QGM7"/>
      <c r="QGN7"/>
      <c r="QGO7"/>
      <c r="QGP7"/>
      <c r="QGQ7"/>
      <c r="QGR7"/>
      <c r="QGS7"/>
      <c r="QGT7"/>
      <c r="QGU7"/>
      <c r="QGV7"/>
      <c r="QGW7"/>
      <c r="QGX7"/>
      <c r="QGY7"/>
      <c r="QGZ7"/>
      <c r="QHA7"/>
      <c r="QHB7"/>
      <c r="QHC7"/>
      <c r="QHD7"/>
      <c r="QHE7"/>
      <c r="QHF7"/>
      <c r="QHG7"/>
      <c r="QHH7"/>
      <c r="QHI7"/>
      <c r="QHJ7"/>
      <c r="QHK7"/>
      <c r="QHL7"/>
      <c r="QHM7"/>
      <c r="QHN7"/>
      <c r="QHO7"/>
      <c r="QHP7"/>
      <c r="QHQ7"/>
      <c r="QHR7"/>
      <c r="QHS7"/>
      <c r="QHT7"/>
      <c r="QHU7"/>
      <c r="QHV7"/>
      <c r="QHW7"/>
      <c r="QHX7"/>
      <c r="QHY7"/>
      <c r="QHZ7"/>
      <c r="QIA7"/>
      <c r="QIB7"/>
      <c r="QIC7"/>
      <c r="QID7"/>
      <c r="QIE7"/>
      <c r="QIF7"/>
      <c r="QIG7"/>
      <c r="QIH7"/>
      <c r="QII7"/>
      <c r="QIJ7"/>
      <c r="QIK7"/>
      <c r="QIL7"/>
      <c r="QIM7"/>
      <c r="QIN7"/>
      <c r="QIO7"/>
      <c r="QIP7"/>
      <c r="QIQ7"/>
      <c r="QIR7"/>
      <c r="QIS7"/>
      <c r="QIT7"/>
      <c r="QIU7"/>
      <c r="QIV7"/>
      <c r="QIW7"/>
      <c r="QIX7"/>
      <c r="QIY7"/>
      <c r="QIZ7"/>
      <c r="QJA7"/>
      <c r="QJB7"/>
      <c r="QJC7"/>
      <c r="QJD7"/>
      <c r="QJE7"/>
      <c r="QJF7"/>
      <c r="QJG7"/>
      <c r="QJH7"/>
      <c r="QJI7"/>
      <c r="QJJ7"/>
      <c r="QJK7"/>
      <c r="QJL7"/>
      <c r="QJM7"/>
      <c r="QJN7"/>
      <c r="QJO7"/>
      <c r="QJP7"/>
      <c r="QJQ7"/>
      <c r="QJR7"/>
      <c r="QJS7"/>
      <c r="QJT7"/>
      <c r="QJU7"/>
      <c r="QJV7"/>
      <c r="QJW7"/>
      <c r="QJX7"/>
      <c r="QJY7"/>
      <c r="QJZ7"/>
      <c r="QKA7"/>
      <c r="QKB7"/>
      <c r="QKC7"/>
      <c r="QKD7"/>
      <c r="QKE7"/>
      <c r="QKF7"/>
      <c r="QKG7"/>
      <c r="QKH7"/>
      <c r="QKI7"/>
      <c r="QKJ7"/>
      <c r="QKK7"/>
      <c r="QKL7"/>
      <c r="QKM7"/>
      <c r="QKN7"/>
      <c r="QKO7"/>
      <c r="QKP7"/>
      <c r="QKQ7"/>
      <c r="QKR7"/>
      <c r="QKS7"/>
      <c r="QKT7"/>
      <c r="QKU7"/>
      <c r="QKV7"/>
      <c r="QKW7"/>
      <c r="QKX7"/>
      <c r="QKY7"/>
      <c r="QKZ7"/>
      <c r="QLA7"/>
      <c r="QLB7"/>
      <c r="QLC7"/>
      <c r="QLD7"/>
      <c r="QLE7"/>
      <c r="QLF7"/>
      <c r="QLG7"/>
      <c r="QLH7"/>
      <c r="QLI7"/>
      <c r="QLJ7"/>
      <c r="QLK7"/>
      <c r="QLL7"/>
      <c r="QLM7"/>
      <c r="QLN7"/>
      <c r="QLO7"/>
      <c r="QLP7"/>
      <c r="QLQ7"/>
      <c r="QLR7"/>
      <c r="QLS7"/>
      <c r="QLT7"/>
      <c r="QLU7"/>
      <c r="QLV7"/>
      <c r="QLW7"/>
      <c r="QLX7"/>
      <c r="QLY7"/>
      <c r="QLZ7"/>
      <c r="QMA7"/>
      <c r="QMB7"/>
      <c r="QMC7"/>
      <c r="QMD7"/>
      <c r="QME7"/>
      <c r="QMF7"/>
      <c r="QMG7"/>
      <c r="QMH7"/>
      <c r="QMI7"/>
      <c r="QMJ7"/>
      <c r="QMK7"/>
      <c r="QML7"/>
      <c r="QMM7"/>
      <c r="QMN7"/>
      <c r="QMO7"/>
      <c r="QMP7"/>
      <c r="QMQ7"/>
      <c r="QMR7"/>
      <c r="QMS7"/>
      <c r="QMT7"/>
      <c r="QMU7"/>
      <c r="QMV7"/>
      <c r="QMW7"/>
      <c r="QMX7"/>
      <c r="QMY7"/>
      <c r="QMZ7"/>
      <c r="QNA7"/>
      <c r="QNB7"/>
      <c r="QNC7"/>
      <c r="QND7"/>
      <c r="QNE7"/>
      <c r="QNF7"/>
      <c r="QNG7"/>
      <c r="QNH7"/>
      <c r="QNI7"/>
      <c r="QNJ7"/>
      <c r="QNK7"/>
      <c r="QNL7"/>
      <c r="QNM7"/>
      <c r="QNN7"/>
      <c r="QNO7"/>
      <c r="QNP7"/>
      <c r="QNQ7"/>
      <c r="QNR7"/>
      <c r="QNS7"/>
      <c r="QNT7"/>
      <c r="QNU7"/>
      <c r="QNV7"/>
      <c r="QNW7"/>
      <c r="QNX7"/>
      <c r="QNY7"/>
      <c r="QNZ7"/>
      <c r="QOA7"/>
      <c r="QOB7"/>
      <c r="QOC7"/>
      <c r="QOD7"/>
      <c r="QOE7"/>
      <c r="QOF7"/>
      <c r="QOG7"/>
      <c r="QOH7"/>
      <c r="QOI7"/>
      <c r="QOJ7"/>
      <c r="QOK7"/>
      <c r="QOL7"/>
      <c r="QOM7"/>
      <c r="QON7"/>
      <c r="QOO7"/>
      <c r="QOP7"/>
      <c r="QOQ7"/>
      <c r="QOR7"/>
      <c r="QOS7"/>
      <c r="QOT7"/>
      <c r="QOU7"/>
      <c r="QOV7"/>
      <c r="QOW7"/>
      <c r="QOX7"/>
      <c r="QOY7"/>
      <c r="QOZ7"/>
      <c r="QPA7"/>
      <c r="QPB7"/>
      <c r="QPC7"/>
      <c r="QPD7"/>
      <c r="QPE7"/>
      <c r="QPF7"/>
      <c r="QPG7"/>
      <c r="QPH7"/>
      <c r="QPI7"/>
      <c r="QPJ7"/>
      <c r="QPK7"/>
      <c r="QPL7"/>
      <c r="QPM7"/>
      <c r="QPN7"/>
      <c r="QPO7"/>
      <c r="QPP7"/>
      <c r="QPQ7"/>
      <c r="QPR7"/>
      <c r="QPS7"/>
      <c r="QPT7"/>
      <c r="QPU7"/>
      <c r="QPV7"/>
      <c r="QPW7"/>
      <c r="QPX7"/>
      <c r="QPY7"/>
      <c r="QPZ7"/>
      <c r="QQA7"/>
      <c r="QQB7"/>
      <c r="QQC7"/>
      <c r="QQD7"/>
      <c r="QQE7"/>
      <c r="QQF7"/>
      <c r="QQG7"/>
      <c r="QQH7"/>
      <c r="QQI7"/>
      <c r="QQJ7"/>
      <c r="QQK7"/>
      <c r="QQL7"/>
      <c r="QQM7"/>
      <c r="QQN7"/>
      <c r="QQO7"/>
      <c r="QQP7"/>
      <c r="QQQ7"/>
      <c r="QQR7"/>
      <c r="QQS7"/>
      <c r="QQT7"/>
      <c r="QQU7"/>
      <c r="QQV7"/>
      <c r="QQW7"/>
      <c r="QQX7"/>
      <c r="QQY7"/>
      <c r="QQZ7"/>
      <c r="QRA7"/>
      <c r="QRB7"/>
      <c r="QRC7"/>
      <c r="QRD7"/>
      <c r="QRE7"/>
      <c r="QRF7"/>
      <c r="QRG7"/>
      <c r="QRH7"/>
      <c r="QRI7"/>
      <c r="QRJ7"/>
      <c r="QRK7"/>
      <c r="QRL7"/>
      <c r="QRM7"/>
      <c r="QRN7"/>
      <c r="QRO7"/>
      <c r="QRP7"/>
      <c r="QRQ7"/>
      <c r="QRR7"/>
      <c r="QRS7"/>
      <c r="QRT7"/>
      <c r="QRU7"/>
      <c r="QRV7"/>
      <c r="QRW7"/>
      <c r="QRX7"/>
      <c r="QRY7"/>
      <c r="QRZ7"/>
      <c r="QSA7"/>
      <c r="QSB7"/>
      <c r="QSC7"/>
      <c r="QSD7"/>
      <c r="QSE7"/>
      <c r="QSF7"/>
      <c r="QSG7"/>
      <c r="QSH7"/>
      <c r="QSI7"/>
      <c r="QSJ7"/>
      <c r="QSK7"/>
      <c r="QSL7"/>
      <c r="QSM7"/>
      <c r="QSN7"/>
      <c r="QSO7"/>
      <c r="QSP7"/>
      <c r="QSQ7"/>
      <c r="QSR7"/>
      <c r="QSS7"/>
      <c r="QST7"/>
      <c r="QSU7"/>
      <c r="QSV7"/>
      <c r="QSW7"/>
      <c r="QSX7"/>
      <c r="QSY7"/>
      <c r="QSZ7"/>
      <c r="QTA7"/>
      <c r="QTB7"/>
      <c r="QTC7"/>
      <c r="QTD7"/>
      <c r="QTE7"/>
      <c r="QTF7"/>
      <c r="QTG7"/>
      <c r="QTH7"/>
      <c r="QTI7"/>
      <c r="QTJ7"/>
      <c r="QTK7"/>
      <c r="QTL7"/>
      <c r="QTM7"/>
      <c r="QTN7"/>
      <c r="QTO7"/>
      <c r="QTP7"/>
      <c r="QTQ7"/>
      <c r="QTR7"/>
      <c r="QTS7"/>
      <c r="QTT7"/>
      <c r="QTU7"/>
      <c r="QTV7"/>
      <c r="QTW7"/>
      <c r="QTX7"/>
      <c r="QTY7"/>
      <c r="QTZ7"/>
      <c r="QUA7"/>
      <c r="QUB7"/>
      <c r="QUC7"/>
      <c r="QUD7"/>
      <c r="QUE7"/>
      <c r="QUF7"/>
      <c r="QUG7"/>
      <c r="QUH7"/>
      <c r="QUI7"/>
      <c r="QUJ7"/>
      <c r="QUK7"/>
      <c r="QUL7"/>
      <c r="QUM7"/>
      <c r="QUN7"/>
      <c r="QUO7"/>
      <c r="QUP7"/>
      <c r="QUQ7"/>
      <c r="QUR7"/>
      <c r="QUS7"/>
      <c r="QUT7"/>
      <c r="QUU7"/>
      <c r="QUV7"/>
      <c r="QUW7"/>
      <c r="QUX7"/>
      <c r="QUY7"/>
      <c r="QUZ7"/>
      <c r="QVA7"/>
      <c r="QVB7"/>
      <c r="QVC7"/>
      <c r="QVD7"/>
      <c r="QVE7"/>
      <c r="QVF7"/>
      <c r="QVG7"/>
      <c r="QVH7"/>
      <c r="QVI7"/>
      <c r="QVJ7"/>
      <c r="QVK7"/>
      <c r="QVL7"/>
      <c r="QVM7"/>
      <c r="QVN7"/>
      <c r="QVO7"/>
      <c r="QVP7"/>
      <c r="QVQ7"/>
      <c r="QVR7"/>
      <c r="QVS7"/>
      <c r="QVT7"/>
      <c r="QVU7"/>
      <c r="QVV7"/>
      <c r="QVW7"/>
      <c r="QVX7"/>
      <c r="QVY7"/>
      <c r="QVZ7"/>
      <c r="QWA7"/>
      <c r="QWB7"/>
      <c r="QWC7"/>
      <c r="QWD7"/>
      <c r="QWE7"/>
      <c r="QWF7"/>
      <c r="QWG7"/>
      <c r="QWH7"/>
      <c r="QWI7"/>
      <c r="QWJ7"/>
      <c r="QWK7"/>
      <c r="QWL7"/>
      <c r="QWM7"/>
      <c r="QWN7"/>
      <c r="QWO7"/>
      <c r="QWP7"/>
      <c r="QWQ7"/>
      <c r="QWR7"/>
      <c r="QWS7"/>
      <c r="QWT7"/>
      <c r="QWU7"/>
      <c r="QWV7"/>
      <c r="QWW7"/>
      <c r="QWX7"/>
      <c r="QWY7"/>
      <c r="QWZ7"/>
      <c r="QXA7"/>
      <c r="QXB7"/>
      <c r="QXC7"/>
      <c r="QXD7"/>
      <c r="QXE7"/>
      <c r="QXF7"/>
      <c r="QXG7"/>
      <c r="QXH7"/>
      <c r="QXI7"/>
      <c r="QXJ7"/>
      <c r="QXK7"/>
      <c r="QXL7"/>
      <c r="QXM7"/>
      <c r="QXN7"/>
      <c r="QXO7"/>
      <c r="QXP7"/>
      <c r="QXQ7"/>
      <c r="QXR7"/>
      <c r="QXS7"/>
      <c r="QXT7"/>
      <c r="QXU7"/>
      <c r="QXV7"/>
      <c r="QXW7"/>
      <c r="QXX7"/>
      <c r="QXY7"/>
      <c r="QXZ7"/>
      <c r="QYA7"/>
      <c r="QYB7"/>
      <c r="QYC7"/>
      <c r="QYD7"/>
      <c r="QYE7"/>
      <c r="QYF7"/>
      <c r="QYG7"/>
      <c r="QYH7"/>
      <c r="QYI7"/>
      <c r="QYJ7"/>
      <c r="QYK7"/>
      <c r="QYL7"/>
      <c r="QYM7"/>
      <c r="QYN7"/>
      <c r="QYO7"/>
      <c r="QYP7"/>
      <c r="QYQ7"/>
      <c r="QYR7"/>
      <c r="QYS7"/>
      <c r="QYT7"/>
      <c r="QYU7"/>
      <c r="QYV7"/>
      <c r="QYW7"/>
      <c r="QYX7"/>
      <c r="QYY7"/>
      <c r="QYZ7"/>
      <c r="QZA7"/>
      <c r="QZB7"/>
      <c r="QZC7"/>
      <c r="QZD7"/>
      <c r="QZE7"/>
      <c r="QZF7"/>
      <c r="QZG7"/>
      <c r="QZH7"/>
      <c r="QZI7"/>
      <c r="QZJ7"/>
      <c r="QZK7"/>
      <c r="QZL7"/>
      <c r="QZM7"/>
      <c r="QZN7"/>
      <c r="QZO7"/>
      <c r="QZP7"/>
      <c r="QZQ7"/>
      <c r="QZR7"/>
      <c r="QZS7"/>
      <c r="QZT7"/>
      <c r="QZU7"/>
      <c r="QZV7"/>
      <c r="QZW7"/>
      <c r="QZX7"/>
      <c r="QZY7"/>
      <c r="QZZ7"/>
      <c r="RAA7"/>
      <c r="RAB7"/>
      <c r="RAC7"/>
      <c r="RAD7"/>
      <c r="RAE7"/>
      <c r="RAF7"/>
      <c r="RAG7"/>
      <c r="RAH7"/>
      <c r="RAI7"/>
      <c r="RAJ7"/>
      <c r="RAK7"/>
      <c r="RAL7"/>
      <c r="RAM7"/>
      <c r="RAN7"/>
      <c r="RAO7"/>
      <c r="RAP7"/>
      <c r="RAQ7"/>
      <c r="RAR7"/>
      <c r="RAS7"/>
      <c r="RAT7"/>
      <c r="RAU7"/>
      <c r="RAV7"/>
      <c r="RAW7"/>
      <c r="RAX7"/>
      <c r="RAY7"/>
      <c r="RAZ7"/>
      <c r="RBA7"/>
      <c r="RBB7"/>
      <c r="RBC7"/>
      <c r="RBD7"/>
      <c r="RBE7"/>
      <c r="RBF7"/>
      <c r="RBG7"/>
      <c r="RBH7"/>
      <c r="RBI7"/>
      <c r="RBJ7"/>
      <c r="RBK7"/>
      <c r="RBL7"/>
      <c r="RBM7"/>
      <c r="RBN7"/>
      <c r="RBO7"/>
      <c r="RBP7"/>
      <c r="RBQ7"/>
      <c r="RBR7"/>
      <c r="RBS7"/>
      <c r="RBT7"/>
      <c r="RBU7"/>
      <c r="RBV7"/>
      <c r="RBW7"/>
      <c r="RBX7"/>
      <c r="RBY7"/>
      <c r="RBZ7"/>
      <c r="RCA7"/>
      <c r="RCB7"/>
      <c r="RCC7"/>
      <c r="RCD7"/>
      <c r="RCE7"/>
      <c r="RCF7"/>
      <c r="RCG7"/>
      <c r="RCH7"/>
      <c r="RCI7"/>
      <c r="RCJ7"/>
      <c r="RCK7"/>
      <c r="RCL7"/>
      <c r="RCM7"/>
      <c r="RCN7"/>
      <c r="RCO7"/>
      <c r="RCP7"/>
      <c r="RCQ7"/>
      <c r="RCR7"/>
      <c r="RCS7"/>
      <c r="RCT7"/>
      <c r="RCU7"/>
      <c r="RCV7"/>
      <c r="RCW7"/>
      <c r="RCX7"/>
      <c r="RCY7"/>
      <c r="RCZ7"/>
      <c r="RDA7"/>
      <c r="RDB7"/>
      <c r="RDC7"/>
      <c r="RDD7"/>
      <c r="RDE7"/>
      <c r="RDF7"/>
      <c r="RDG7"/>
      <c r="RDH7"/>
      <c r="RDI7"/>
      <c r="RDJ7"/>
      <c r="RDK7"/>
      <c r="RDL7"/>
      <c r="RDM7"/>
      <c r="RDN7"/>
      <c r="RDO7"/>
      <c r="RDP7"/>
      <c r="RDQ7"/>
      <c r="RDR7"/>
      <c r="RDS7"/>
      <c r="RDT7"/>
      <c r="RDU7"/>
      <c r="RDV7"/>
      <c r="RDW7"/>
      <c r="RDX7"/>
      <c r="RDY7"/>
      <c r="RDZ7"/>
      <c r="REA7"/>
      <c r="REB7"/>
      <c r="REC7"/>
      <c r="RED7"/>
      <c r="REE7"/>
      <c r="REF7"/>
      <c r="REG7"/>
      <c r="REH7"/>
      <c r="REI7"/>
      <c r="REJ7"/>
      <c r="REK7"/>
      <c r="REL7"/>
      <c r="REM7"/>
      <c r="REN7"/>
      <c r="REO7"/>
      <c r="REP7"/>
      <c r="REQ7"/>
      <c r="RER7"/>
      <c r="RES7"/>
      <c r="RET7"/>
      <c r="REU7"/>
      <c r="REV7"/>
      <c r="REW7"/>
      <c r="REX7"/>
      <c r="REY7"/>
      <c r="REZ7"/>
      <c r="RFA7"/>
      <c r="RFB7"/>
      <c r="RFC7"/>
      <c r="RFD7"/>
      <c r="RFE7"/>
      <c r="RFF7"/>
      <c r="RFG7"/>
      <c r="RFH7"/>
      <c r="RFI7"/>
      <c r="RFJ7"/>
      <c r="RFK7"/>
      <c r="RFL7"/>
      <c r="RFM7"/>
      <c r="RFN7"/>
      <c r="RFO7"/>
      <c r="RFP7"/>
      <c r="RFQ7"/>
      <c r="RFR7"/>
      <c r="RFS7"/>
      <c r="RFT7"/>
      <c r="RFU7"/>
      <c r="RFV7"/>
      <c r="RFW7"/>
      <c r="RFX7"/>
      <c r="RFY7"/>
      <c r="RFZ7"/>
      <c r="RGA7"/>
      <c r="RGB7"/>
      <c r="RGC7"/>
      <c r="RGD7"/>
      <c r="RGE7"/>
      <c r="RGF7"/>
      <c r="RGG7"/>
      <c r="RGH7"/>
      <c r="RGI7"/>
      <c r="RGJ7"/>
      <c r="RGK7"/>
      <c r="RGL7"/>
      <c r="RGM7"/>
      <c r="RGN7"/>
      <c r="RGO7"/>
      <c r="RGP7"/>
      <c r="RGQ7"/>
      <c r="RGR7"/>
      <c r="RGS7"/>
      <c r="RGT7"/>
      <c r="RGU7"/>
      <c r="RGV7"/>
      <c r="RGW7"/>
      <c r="RGX7"/>
      <c r="RGY7"/>
      <c r="RGZ7"/>
      <c r="RHA7"/>
      <c r="RHB7"/>
      <c r="RHC7"/>
      <c r="RHD7"/>
      <c r="RHE7"/>
      <c r="RHF7"/>
      <c r="RHG7"/>
      <c r="RHH7"/>
      <c r="RHI7"/>
      <c r="RHJ7"/>
      <c r="RHK7"/>
      <c r="RHL7"/>
      <c r="RHM7"/>
      <c r="RHN7"/>
      <c r="RHO7"/>
      <c r="RHP7"/>
      <c r="RHQ7"/>
      <c r="RHR7"/>
      <c r="RHS7"/>
      <c r="RHT7"/>
      <c r="RHU7"/>
      <c r="RHV7"/>
      <c r="RHW7"/>
      <c r="RHX7"/>
      <c r="RHY7"/>
      <c r="RHZ7"/>
      <c r="RIA7"/>
      <c r="RIB7"/>
      <c r="RIC7"/>
      <c r="RID7"/>
      <c r="RIE7"/>
      <c r="RIF7"/>
      <c r="RIG7"/>
      <c r="RIH7"/>
      <c r="RII7"/>
      <c r="RIJ7"/>
      <c r="RIK7"/>
      <c r="RIL7"/>
      <c r="RIM7"/>
      <c r="RIN7"/>
      <c r="RIO7"/>
      <c r="RIP7"/>
      <c r="RIQ7"/>
      <c r="RIR7"/>
      <c r="RIS7"/>
      <c r="RIT7"/>
      <c r="RIU7"/>
      <c r="RIV7"/>
      <c r="RIW7"/>
      <c r="RIX7"/>
      <c r="RIY7"/>
      <c r="RIZ7"/>
      <c r="RJA7"/>
      <c r="RJB7"/>
      <c r="RJC7"/>
      <c r="RJD7"/>
      <c r="RJE7"/>
      <c r="RJF7"/>
      <c r="RJG7"/>
      <c r="RJH7"/>
      <c r="RJI7"/>
      <c r="RJJ7"/>
      <c r="RJK7"/>
      <c r="RJL7"/>
      <c r="RJM7"/>
      <c r="RJN7"/>
      <c r="RJO7"/>
      <c r="RJP7"/>
      <c r="RJQ7"/>
      <c r="RJR7"/>
      <c r="RJS7"/>
      <c r="RJT7"/>
      <c r="RJU7"/>
      <c r="RJV7"/>
      <c r="RJW7"/>
      <c r="RJX7"/>
      <c r="RJY7"/>
      <c r="RJZ7"/>
      <c r="RKA7"/>
      <c r="RKB7"/>
      <c r="RKC7"/>
      <c r="RKD7"/>
      <c r="RKE7"/>
      <c r="RKF7"/>
      <c r="RKG7"/>
      <c r="RKH7"/>
      <c r="RKI7"/>
      <c r="RKJ7"/>
      <c r="RKK7"/>
      <c r="RKL7"/>
      <c r="RKM7"/>
      <c r="RKN7"/>
      <c r="RKO7"/>
      <c r="RKP7"/>
      <c r="RKQ7"/>
      <c r="RKR7"/>
      <c r="RKS7"/>
      <c r="RKT7"/>
      <c r="RKU7"/>
      <c r="RKV7"/>
      <c r="RKW7"/>
      <c r="RKX7"/>
      <c r="RKY7"/>
      <c r="RKZ7"/>
      <c r="RLA7"/>
      <c r="RLB7"/>
      <c r="RLC7"/>
      <c r="RLD7"/>
      <c r="RLE7"/>
      <c r="RLF7"/>
      <c r="RLG7"/>
      <c r="RLH7"/>
      <c r="RLI7"/>
      <c r="RLJ7"/>
      <c r="RLK7"/>
      <c r="RLL7"/>
      <c r="RLM7"/>
      <c r="RLN7"/>
      <c r="RLO7"/>
      <c r="RLP7"/>
      <c r="RLQ7"/>
      <c r="RLR7"/>
      <c r="RLS7"/>
      <c r="RLT7"/>
      <c r="RLU7"/>
      <c r="RLV7"/>
      <c r="RLW7"/>
      <c r="RLX7"/>
      <c r="RLY7"/>
      <c r="RLZ7"/>
      <c r="RMA7"/>
      <c r="RMB7"/>
      <c r="RMC7"/>
      <c r="RMD7"/>
      <c r="RME7"/>
      <c r="RMF7"/>
      <c r="RMG7"/>
      <c r="RMH7"/>
      <c r="RMI7"/>
      <c r="RMJ7"/>
      <c r="RMK7"/>
      <c r="RML7"/>
      <c r="RMM7"/>
      <c r="RMN7"/>
      <c r="RMO7"/>
      <c r="RMP7"/>
      <c r="RMQ7"/>
      <c r="RMR7"/>
      <c r="RMS7"/>
      <c r="RMT7"/>
      <c r="RMU7"/>
      <c r="RMV7"/>
      <c r="RMW7"/>
      <c r="RMX7"/>
      <c r="RMY7"/>
      <c r="RMZ7"/>
      <c r="RNA7"/>
      <c r="RNB7"/>
      <c r="RNC7"/>
      <c r="RND7"/>
      <c r="RNE7"/>
      <c r="RNF7"/>
      <c r="RNG7"/>
      <c r="RNH7"/>
      <c r="RNI7"/>
      <c r="RNJ7"/>
      <c r="RNK7"/>
      <c r="RNL7"/>
      <c r="RNM7"/>
      <c r="RNN7"/>
      <c r="RNO7"/>
      <c r="RNP7"/>
      <c r="RNQ7"/>
      <c r="RNR7"/>
      <c r="RNS7"/>
      <c r="RNT7"/>
      <c r="RNU7"/>
      <c r="RNV7"/>
      <c r="RNW7"/>
      <c r="RNX7"/>
      <c r="RNY7"/>
      <c r="RNZ7"/>
      <c r="ROA7"/>
      <c r="ROB7"/>
      <c r="ROC7"/>
      <c r="ROD7"/>
      <c r="ROE7"/>
      <c r="ROF7"/>
      <c r="ROG7"/>
      <c r="ROH7"/>
      <c r="ROI7"/>
      <c r="ROJ7"/>
      <c r="ROK7"/>
      <c r="ROL7"/>
      <c r="ROM7"/>
      <c r="RON7"/>
      <c r="ROO7"/>
      <c r="ROP7"/>
      <c r="ROQ7"/>
      <c r="ROR7"/>
      <c r="ROS7"/>
      <c r="ROT7"/>
      <c r="ROU7"/>
      <c r="ROV7"/>
      <c r="ROW7"/>
      <c r="ROX7"/>
      <c r="ROY7"/>
      <c r="ROZ7"/>
      <c r="RPA7"/>
      <c r="RPB7"/>
      <c r="RPC7"/>
      <c r="RPD7"/>
      <c r="RPE7"/>
      <c r="RPF7"/>
      <c r="RPG7"/>
      <c r="RPH7"/>
      <c r="RPI7"/>
      <c r="RPJ7"/>
      <c r="RPK7"/>
      <c r="RPL7"/>
      <c r="RPM7"/>
      <c r="RPN7"/>
      <c r="RPO7"/>
      <c r="RPP7"/>
      <c r="RPQ7"/>
      <c r="RPR7"/>
      <c r="RPS7"/>
      <c r="RPT7"/>
      <c r="RPU7"/>
      <c r="RPV7"/>
      <c r="RPW7"/>
      <c r="RPX7"/>
      <c r="RPY7"/>
      <c r="RPZ7"/>
      <c r="RQA7"/>
      <c r="RQB7"/>
      <c r="RQC7"/>
      <c r="RQD7"/>
      <c r="RQE7"/>
      <c r="RQF7"/>
      <c r="RQG7"/>
      <c r="RQH7"/>
      <c r="RQI7"/>
      <c r="RQJ7"/>
      <c r="RQK7"/>
      <c r="RQL7"/>
      <c r="RQM7"/>
      <c r="RQN7"/>
      <c r="RQO7"/>
      <c r="RQP7"/>
      <c r="RQQ7"/>
      <c r="RQR7"/>
      <c r="RQS7"/>
      <c r="RQT7"/>
      <c r="RQU7"/>
      <c r="RQV7"/>
      <c r="RQW7"/>
      <c r="RQX7"/>
      <c r="RQY7"/>
      <c r="RQZ7"/>
      <c r="RRA7"/>
      <c r="RRB7"/>
      <c r="RRC7"/>
      <c r="RRD7"/>
      <c r="RRE7"/>
      <c r="RRF7"/>
      <c r="RRG7"/>
      <c r="RRH7"/>
      <c r="RRI7"/>
      <c r="RRJ7"/>
      <c r="RRK7"/>
      <c r="RRL7"/>
      <c r="RRM7"/>
      <c r="RRN7"/>
      <c r="RRO7"/>
      <c r="RRP7"/>
      <c r="RRQ7"/>
      <c r="RRR7"/>
      <c r="RRS7"/>
      <c r="RRT7"/>
      <c r="RRU7"/>
      <c r="RRV7"/>
      <c r="RRW7"/>
      <c r="RRX7"/>
      <c r="RRY7"/>
      <c r="RRZ7"/>
      <c r="RSA7"/>
      <c r="RSB7"/>
      <c r="RSC7"/>
      <c r="RSD7"/>
      <c r="RSE7"/>
      <c r="RSF7"/>
      <c r="RSG7"/>
      <c r="RSH7"/>
      <c r="RSI7"/>
      <c r="RSJ7"/>
      <c r="RSK7"/>
      <c r="RSL7"/>
      <c r="RSM7"/>
      <c r="RSN7"/>
      <c r="RSO7"/>
      <c r="RSP7"/>
      <c r="RSQ7"/>
      <c r="RSR7"/>
      <c r="RSS7"/>
      <c r="RST7"/>
      <c r="RSU7"/>
      <c r="RSV7"/>
      <c r="RSW7"/>
      <c r="RSX7"/>
      <c r="RSY7"/>
      <c r="RSZ7"/>
      <c r="RTA7"/>
      <c r="RTB7"/>
      <c r="RTC7"/>
      <c r="RTD7"/>
      <c r="RTE7"/>
      <c r="RTF7"/>
      <c r="RTG7"/>
      <c r="RTH7"/>
      <c r="RTI7"/>
      <c r="RTJ7"/>
      <c r="RTK7"/>
      <c r="RTL7"/>
      <c r="RTM7"/>
      <c r="RTN7"/>
      <c r="RTO7"/>
      <c r="RTP7"/>
      <c r="RTQ7"/>
      <c r="RTR7"/>
      <c r="RTS7"/>
      <c r="RTT7"/>
      <c r="RTU7"/>
      <c r="RTV7"/>
      <c r="RTW7"/>
      <c r="RTX7"/>
      <c r="RTY7"/>
      <c r="RTZ7"/>
      <c r="RUA7"/>
      <c r="RUB7"/>
      <c r="RUC7"/>
      <c r="RUD7"/>
      <c r="RUE7"/>
      <c r="RUF7"/>
      <c r="RUG7"/>
      <c r="RUH7"/>
      <c r="RUI7"/>
      <c r="RUJ7"/>
      <c r="RUK7"/>
      <c r="RUL7"/>
      <c r="RUM7"/>
      <c r="RUN7"/>
      <c r="RUO7"/>
      <c r="RUP7"/>
      <c r="RUQ7"/>
      <c r="RUR7"/>
      <c r="RUS7"/>
      <c r="RUT7"/>
      <c r="RUU7"/>
      <c r="RUV7"/>
      <c r="RUW7"/>
      <c r="RUX7"/>
      <c r="RUY7"/>
      <c r="RUZ7"/>
      <c r="RVA7"/>
      <c r="RVB7"/>
      <c r="RVC7"/>
      <c r="RVD7"/>
      <c r="RVE7"/>
      <c r="RVF7"/>
      <c r="RVG7"/>
      <c r="RVH7"/>
      <c r="RVI7"/>
      <c r="RVJ7"/>
      <c r="RVK7"/>
      <c r="RVL7"/>
      <c r="RVM7"/>
      <c r="RVN7"/>
      <c r="RVO7"/>
      <c r="RVP7"/>
      <c r="RVQ7"/>
      <c r="RVR7"/>
      <c r="RVS7"/>
      <c r="RVT7"/>
      <c r="RVU7"/>
      <c r="RVV7"/>
      <c r="RVW7"/>
      <c r="RVX7"/>
      <c r="RVY7"/>
      <c r="RVZ7"/>
      <c r="RWA7"/>
      <c r="RWB7"/>
      <c r="RWC7"/>
      <c r="RWD7"/>
      <c r="RWE7"/>
      <c r="RWF7"/>
      <c r="RWG7"/>
      <c r="RWH7"/>
      <c r="RWI7"/>
      <c r="RWJ7"/>
      <c r="RWK7"/>
      <c r="RWL7"/>
      <c r="RWM7"/>
      <c r="RWN7"/>
      <c r="RWO7"/>
      <c r="RWP7"/>
      <c r="RWQ7"/>
      <c r="RWR7"/>
      <c r="RWS7"/>
      <c r="RWT7"/>
      <c r="RWU7"/>
      <c r="RWV7"/>
      <c r="RWW7"/>
      <c r="RWX7"/>
      <c r="RWY7"/>
      <c r="RWZ7"/>
      <c r="RXA7"/>
      <c r="RXB7"/>
      <c r="RXC7"/>
      <c r="RXD7"/>
      <c r="RXE7"/>
      <c r="RXF7"/>
      <c r="RXG7"/>
      <c r="RXH7"/>
      <c r="RXI7"/>
      <c r="RXJ7"/>
      <c r="RXK7"/>
      <c r="RXL7"/>
      <c r="RXM7"/>
      <c r="RXN7"/>
      <c r="RXO7"/>
      <c r="RXP7"/>
      <c r="RXQ7"/>
      <c r="RXR7"/>
      <c r="RXS7"/>
      <c r="RXT7"/>
      <c r="RXU7"/>
      <c r="RXV7"/>
      <c r="RXW7"/>
      <c r="RXX7"/>
      <c r="RXY7"/>
      <c r="RXZ7"/>
      <c r="RYA7"/>
      <c r="RYB7"/>
      <c r="RYC7"/>
      <c r="RYD7"/>
      <c r="RYE7"/>
      <c r="RYF7"/>
      <c r="RYG7"/>
      <c r="RYH7"/>
      <c r="RYI7"/>
      <c r="RYJ7"/>
      <c r="RYK7"/>
      <c r="RYL7"/>
      <c r="RYM7"/>
      <c r="RYN7"/>
      <c r="RYO7"/>
      <c r="RYP7"/>
      <c r="RYQ7"/>
      <c r="RYR7"/>
      <c r="RYS7"/>
      <c r="RYT7"/>
      <c r="RYU7"/>
      <c r="RYV7"/>
      <c r="RYW7"/>
      <c r="RYX7"/>
      <c r="RYY7"/>
      <c r="RYZ7"/>
      <c r="RZA7"/>
      <c r="RZB7"/>
      <c r="RZC7"/>
      <c r="RZD7"/>
      <c r="RZE7"/>
      <c r="RZF7"/>
      <c r="RZG7"/>
      <c r="RZH7"/>
      <c r="RZI7"/>
      <c r="RZJ7"/>
      <c r="RZK7"/>
      <c r="RZL7"/>
      <c r="RZM7"/>
      <c r="RZN7"/>
      <c r="RZO7"/>
      <c r="RZP7"/>
      <c r="RZQ7"/>
      <c r="RZR7"/>
      <c r="RZS7"/>
      <c r="RZT7"/>
      <c r="RZU7"/>
      <c r="RZV7"/>
      <c r="RZW7"/>
      <c r="RZX7"/>
      <c r="RZY7"/>
      <c r="RZZ7"/>
      <c r="SAA7"/>
      <c r="SAB7"/>
      <c r="SAC7"/>
      <c r="SAD7"/>
      <c r="SAE7"/>
      <c r="SAF7"/>
      <c r="SAG7"/>
      <c r="SAH7"/>
      <c r="SAI7"/>
      <c r="SAJ7"/>
      <c r="SAK7"/>
      <c r="SAL7"/>
      <c r="SAM7"/>
      <c r="SAN7"/>
      <c r="SAO7"/>
      <c r="SAP7"/>
      <c r="SAQ7"/>
      <c r="SAR7"/>
      <c r="SAS7"/>
      <c r="SAT7"/>
      <c r="SAU7"/>
      <c r="SAV7"/>
      <c r="SAW7"/>
      <c r="SAX7"/>
      <c r="SAY7"/>
      <c r="SAZ7"/>
      <c r="SBA7"/>
      <c r="SBB7"/>
      <c r="SBC7"/>
      <c r="SBD7"/>
      <c r="SBE7"/>
      <c r="SBF7"/>
      <c r="SBG7"/>
      <c r="SBH7"/>
      <c r="SBI7"/>
      <c r="SBJ7"/>
      <c r="SBK7"/>
      <c r="SBL7"/>
      <c r="SBM7"/>
      <c r="SBN7"/>
      <c r="SBO7"/>
      <c r="SBP7"/>
      <c r="SBQ7"/>
      <c r="SBR7"/>
      <c r="SBS7"/>
      <c r="SBT7"/>
      <c r="SBU7"/>
      <c r="SBV7"/>
      <c r="SBW7"/>
      <c r="SBX7"/>
      <c r="SBY7"/>
      <c r="SBZ7"/>
      <c r="SCA7"/>
      <c r="SCB7"/>
      <c r="SCC7"/>
      <c r="SCD7"/>
      <c r="SCE7"/>
      <c r="SCF7"/>
      <c r="SCG7"/>
      <c r="SCH7"/>
      <c r="SCI7"/>
      <c r="SCJ7"/>
      <c r="SCK7"/>
      <c r="SCL7"/>
      <c r="SCM7"/>
      <c r="SCN7"/>
      <c r="SCO7"/>
      <c r="SCP7"/>
      <c r="SCQ7"/>
      <c r="SCR7"/>
      <c r="SCS7"/>
      <c r="SCT7"/>
      <c r="SCU7"/>
      <c r="SCV7"/>
      <c r="SCW7"/>
      <c r="SCX7"/>
      <c r="SCY7"/>
      <c r="SCZ7"/>
      <c r="SDA7"/>
      <c r="SDB7"/>
      <c r="SDC7"/>
      <c r="SDD7"/>
      <c r="SDE7"/>
      <c r="SDF7"/>
      <c r="SDG7"/>
      <c r="SDH7"/>
      <c r="SDI7"/>
      <c r="SDJ7"/>
      <c r="SDK7"/>
      <c r="SDL7"/>
      <c r="SDM7"/>
      <c r="SDN7"/>
      <c r="SDO7"/>
      <c r="SDP7"/>
      <c r="SDQ7"/>
      <c r="SDR7"/>
      <c r="SDS7"/>
      <c r="SDT7"/>
      <c r="SDU7"/>
      <c r="SDV7"/>
      <c r="SDW7"/>
      <c r="SDX7"/>
      <c r="SDY7"/>
      <c r="SDZ7"/>
      <c r="SEA7"/>
      <c r="SEB7"/>
      <c r="SEC7"/>
      <c r="SED7"/>
      <c r="SEE7"/>
      <c r="SEF7"/>
      <c r="SEG7"/>
      <c r="SEH7"/>
      <c r="SEI7"/>
      <c r="SEJ7"/>
      <c r="SEK7"/>
      <c r="SEL7"/>
      <c r="SEM7"/>
      <c r="SEN7"/>
      <c r="SEO7"/>
      <c r="SEP7"/>
      <c r="SEQ7"/>
      <c r="SER7"/>
      <c r="SES7"/>
      <c r="SET7"/>
      <c r="SEU7"/>
      <c r="SEV7"/>
      <c r="SEW7"/>
      <c r="SEX7"/>
      <c r="SEY7"/>
      <c r="SEZ7"/>
      <c r="SFA7"/>
      <c r="SFB7"/>
      <c r="SFC7"/>
      <c r="SFD7"/>
      <c r="SFE7"/>
      <c r="SFF7"/>
      <c r="SFG7"/>
      <c r="SFH7"/>
      <c r="SFI7"/>
      <c r="SFJ7"/>
      <c r="SFK7"/>
      <c r="SFL7"/>
      <c r="SFM7"/>
      <c r="SFN7"/>
      <c r="SFO7"/>
      <c r="SFP7"/>
      <c r="SFQ7"/>
      <c r="SFR7"/>
      <c r="SFS7"/>
      <c r="SFT7"/>
      <c r="SFU7"/>
      <c r="SFV7"/>
      <c r="SFW7"/>
      <c r="SFX7"/>
      <c r="SFY7"/>
      <c r="SFZ7"/>
      <c r="SGA7"/>
      <c r="SGB7"/>
      <c r="SGC7"/>
      <c r="SGD7"/>
      <c r="SGE7"/>
      <c r="SGF7"/>
      <c r="SGG7"/>
      <c r="SGH7"/>
      <c r="SGI7"/>
      <c r="SGJ7"/>
      <c r="SGK7"/>
      <c r="SGL7"/>
      <c r="SGM7"/>
      <c r="SGN7"/>
      <c r="SGO7"/>
      <c r="SGP7"/>
      <c r="SGQ7"/>
      <c r="SGR7"/>
      <c r="SGS7"/>
      <c r="SGT7"/>
      <c r="SGU7"/>
      <c r="SGV7"/>
      <c r="SGW7"/>
      <c r="SGX7"/>
      <c r="SGY7"/>
      <c r="SGZ7"/>
      <c r="SHA7"/>
      <c r="SHB7"/>
      <c r="SHC7"/>
      <c r="SHD7"/>
      <c r="SHE7"/>
      <c r="SHF7"/>
      <c r="SHG7"/>
      <c r="SHH7"/>
      <c r="SHI7"/>
      <c r="SHJ7"/>
      <c r="SHK7"/>
      <c r="SHL7"/>
      <c r="SHM7"/>
      <c r="SHN7"/>
      <c r="SHO7"/>
      <c r="SHP7"/>
      <c r="SHQ7"/>
      <c r="SHR7"/>
      <c r="SHS7"/>
      <c r="SHT7"/>
      <c r="SHU7"/>
      <c r="SHV7"/>
      <c r="SHW7"/>
      <c r="SHX7"/>
      <c r="SHY7"/>
      <c r="SHZ7"/>
      <c r="SIA7"/>
      <c r="SIB7"/>
      <c r="SIC7"/>
      <c r="SID7"/>
      <c r="SIE7"/>
      <c r="SIF7"/>
      <c r="SIG7"/>
      <c r="SIH7"/>
      <c r="SII7"/>
      <c r="SIJ7"/>
      <c r="SIK7"/>
      <c r="SIL7"/>
      <c r="SIM7"/>
      <c r="SIN7"/>
      <c r="SIO7"/>
      <c r="SIP7"/>
      <c r="SIQ7"/>
      <c r="SIR7"/>
      <c r="SIS7"/>
      <c r="SIT7"/>
      <c r="SIU7"/>
      <c r="SIV7"/>
      <c r="SIW7"/>
      <c r="SIX7"/>
      <c r="SIY7"/>
      <c r="SIZ7"/>
      <c r="SJA7"/>
      <c r="SJB7"/>
      <c r="SJC7"/>
      <c r="SJD7"/>
      <c r="SJE7"/>
      <c r="SJF7"/>
      <c r="SJG7"/>
      <c r="SJH7"/>
      <c r="SJI7"/>
      <c r="SJJ7"/>
      <c r="SJK7"/>
      <c r="SJL7"/>
      <c r="SJM7"/>
      <c r="SJN7"/>
      <c r="SJO7"/>
      <c r="SJP7"/>
      <c r="SJQ7"/>
      <c r="SJR7"/>
      <c r="SJS7"/>
      <c r="SJT7"/>
      <c r="SJU7"/>
      <c r="SJV7"/>
      <c r="SJW7"/>
      <c r="SJX7"/>
      <c r="SJY7"/>
      <c r="SJZ7"/>
      <c r="SKA7"/>
      <c r="SKB7"/>
      <c r="SKC7"/>
      <c r="SKD7"/>
      <c r="SKE7"/>
      <c r="SKF7"/>
      <c r="SKG7"/>
      <c r="SKH7"/>
      <c r="SKI7"/>
      <c r="SKJ7"/>
      <c r="SKK7"/>
      <c r="SKL7"/>
      <c r="SKM7"/>
      <c r="SKN7"/>
      <c r="SKO7"/>
      <c r="SKP7"/>
      <c r="SKQ7"/>
      <c r="SKR7"/>
      <c r="SKS7"/>
      <c r="SKT7"/>
      <c r="SKU7"/>
      <c r="SKV7"/>
      <c r="SKW7"/>
      <c r="SKX7"/>
      <c r="SKY7"/>
      <c r="SKZ7"/>
      <c r="SLA7"/>
      <c r="SLB7"/>
      <c r="SLC7"/>
      <c r="SLD7"/>
      <c r="SLE7"/>
      <c r="SLF7"/>
      <c r="SLG7"/>
      <c r="SLH7"/>
      <c r="SLI7"/>
      <c r="SLJ7"/>
      <c r="SLK7"/>
      <c r="SLL7"/>
      <c r="SLM7"/>
      <c r="SLN7"/>
      <c r="SLO7"/>
      <c r="SLP7"/>
      <c r="SLQ7"/>
      <c r="SLR7"/>
      <c r="SLS7"/>
      <c r="SLT7"/>
      <c r="SLU7"/>
      <c r="SLV7"/>
      <c r="SLW7"/>
      <c r="SLX7"/>
      <c r="SLY7"/>
      <c r="SLZ7"/>
      <c r="SMA7"/>
      <c r="SMB7"/>
      <c r="SMC7"/>
      <c r="SMD7"/>
      <c r="SME7"/>
      <c r="SMF7"/>
      <c r="SMG7"/>
      <c r="SMH7"/>
      <c r="SMI7"/>
      <c r="SMJ7"/>
      <c r="SMK7"/>
      <c r="SML7"/>
      <c r="SMM7"/>
      <c r="SMN7"/>
      <c r="SMO7"/>
      <c r="SMP7"/>
      <c r="SMQ7"/>
      <c r="SMR7"/>
      <c r="SMS7"/>
      <c r="SMT7"/>
      <c r="SMU7"/>
      <c r="SMV7"/>
      <c r="SMW7"/>
      <c r="SMX7"/>
      <c r="SMY7"/>
      <c r="SMZ7"/>
      <c r="SNA7"/>
      <c r="SNB7"/>
      <c r="SNC7"/>
      <c r="SND7"/>
      <c r="SNE7"/>
      <c r="SNF7"/>
      <c r="SNG7"/>
      <c r="SNH7"/>
      <c r="SNI7"/>
      <c r="SNJ7"/>
      <c r="SNK7"/>
      <c r="SNL7"/>
      <c r="SNM7"/>
      <c r="SNN7"/>
      <c r="SNO7"/>
      <c r="SNP7"/>
      <c r="SNQ7"/>
      <c r="SNR7"/>
      <c r="SNS7"/>
      <c r="SNT7"/>
      <c r="SNU7"/>
      <c r="SNV7"/>
      <c r="SNW7"/>
      <c r="SNX7"/>
      <c r="SNY7"/>
      <c r="SNZ7"/>
      <c r="SOA7"/>
      <c r="SOB7"/>
      <c r="SOC7"/>
      <c r="SOD7"/>
      <c r="SOE7"/>
      <c r="SOF7"/>
      <c r="SOG7"/>
      <c r="SOH7"/>
      <c r="SOI7"/>
      <c r="SOJ7"/>
      <c r="SOK7"/>
      <c r="SOL7"/>
      <c r="SOM7"/>
      <c r="SON7"/>
      <c r="SOO7"/>
      <c r="SOP7"/>
      <c r="SOQ7"/>
      <c r="SOR7"/>
      <c r="SOS7"/>
      <c r="SOT7"/>
      <c r="SOU7"/>
      <c r="SOV7"/>
      <c r="SOW7"/>
      <c r="SOX7"/>
      <c r="SOY7"/>
      <c r="SOZ7"/>
      <c r="SPA7"/>
      <c r="SPB7"/>
      <c r="SPC7"/>
      <c r="SPD7"/>
      <c r="SPE7"/>
      <c r="SPF7"/>
      <c r="SPG7"/>
      <c r="SPH7"/>
      <c r="SPI7"/>
      <c r="SPJ7"/>
      <c r="SPK7"/>
      <c r="SPL7"/>
      <c r="SPM7"/>
      <c r="SPN7"/>
      <c r="SPO7"/>
      <c r="SPP7"/>
      <c r="SPQ7"/>
      <c r="SPR7"/>
      <c r="SPS7"/>
      <c r="SPT7"/>
      <c r="SPU7"/>
      <c r="SPV7"/>
      <c r="SPW7"/>
      <c r="SPX7"/>
      <c r="SPY7"/>
      <c r="SPZ7"/>
      <c r="SQA7"/>
      <c r="SQB7"/>
      <c r="SQC7"/>
      <c r="SQD7"/>
      <c r="SQE7"/>
      <c r="SQF7"/>
      <c r="SQG7"/>
      <c r="SQH7"/>
      <c r="SQI7"/>
      <c r="SQJ7"/>
      <c r="SQK7"/>
      <c r="SQL7"/>
      <c r="SQM7"/>
      <c r="SQN7"/>
      <c r="SQO7"/>
      <c r="SQP7"/>
      <c r="SQQ7"/>
      <c r="SQR7"/>
      <c r="SQS7"/>
      <c r="SQT7"/>
      <c r="SQU7"/>
      <c r="SQV7"/>
      <c r="SQW7"/>
      <c r="SQX7"/>
      <c r="SQY7"/>
      <c r="SQZ7"/>
      <c r="SRA7"/>
      <c r="SRB7"/>
      <c r="SRC7"/>
      <c r="SRD7"/>
      <c r="SRE7"/>
      <c r="SRF7"/>
      <c r="SRG7"/>
      <c r="SRH7"/>
      <c r="SRI7"/>
      <c r="SRJ7"/>
      <c r="SRK7"/>
      <c r="SRL7"/>
      <c r="SRM7"/>
      <c r="SRN7"/>
      <c r="SRO7"/>
      <c r="SRP7"/>
      <c r="SRQ7"/>
      <c r="SRR7"/>
      <c r="SRS7"/>
      <c r="SRT7"/>
      <c r="SRU7"/>
      <c r="SRV7"/>
      <c r="SRW7"/>
      <c r="SRX7"/>
      <c r="SRY7"/>
      <c r="SRZ7"/>
      <c r="SSA7"/>
      <c r="SSB7"/>
      <c r="SSC7"/>
      <c r="SSD7"/>
      <c r="SSE7"/>
      <c r="SSF7"/>
      <c r="SSG7"/>
      <c r="SSH7"/>
      <c r="SSI7"/>
      <c r="SSJ7"/>
      <c r="SSK7"/>
      <c r="SSL7"/>
      <c r="SSM7"/>
      <c r="SSN7"/>
      <c r="SSO7"/>
      <c r="SSP7"/>
      <c r="SSQ7"/>
      <c r="SSR7"/>
      <c r="SSS7"/>
      <c r="SST7"/>
      <c r="SSU7"/>
      <c r="SSV7"/>
      <c r="SSW7"/>
      <c r="SSX7"/>
      <c r="SSY7"/>
      <c r="SSZ7"/>
      <c r="STA7"/>
      <c r="STB7"/>
      <c r="STC7"/>
      <c r="STD7"/>
      <c r="STE7"/>
      <c r="STF7"/>
      <c r="STG7"/>
      <c r="STH7"/>
      <c r="STI7"/>
      <c r="STJ7"/>
      <c r="STK7"/>
      <c r="STL7"/>
      <c r="STM7"/>
      <c r="STN7"/>
      <c r="STO7"/>
      <c r="STP7"/>
      <c r="STQ7"/>
      <c r="STR7"/>
      <c r="STS7"/>
      <c r="STT7"/>
      <c r="STU7"/>
      <c r="STV7"/>
      <c r="STW7"/>
      <c r="STX7"/>
      <c r="STY7"/>
      <c r="STZ7"/>
      <c r="SUA7"/>
      <c r="SUB7"/>
      <c r="SUC7"/>
      <c r="SUD7"/>
      <c r="SUE7"/>
      <c r="SUF7"/>
      <c r="SUG7"/>
      <c r="SUH7"/>
      <c r="SUI7"/>
      <c r="SUJ7"/>
      <c r="SUK7"/>
      <c r="SUL7"/>
      <c r="SUM7"/>
      <c r="SUN7"/>
      <c r="SUO7"/>
      <c r="SUP7"/>
      <c r="SUQ7"/>
      <c r="SUR7"/>
      <c r="SUS7"/>
      <c r="SUT7"/>
      <c r="SUU7"/>
      <c r="SUV7"/>
      <c r="SUW7"/>
      <c r="SUX7"/>
      <c r="SUY7"/>
      <c r="SUZ7"/>
      <c r="SVA7"/>
      <c r="SVB7"/>
      <c r="SVC7"/>
      <c r="SVD7"/>
      <c r="SVE7"/>
      <c r="SVF7"/>
      <c r="SVG7"/>
      <c r="SVH7"/>
      <c r="SVI7"/>
      <c r="SVJ7"/>
      <c r="SVK7"/>
      <c r="SVL7"/>
      <c r="SVM7"/>
      <c r="SVN7"/>
      <c r="SVO7"/>
      <c r="SVP7"/>
      <c r="SVQ7"/>
      <c r="SVR7"/>
      <c r="SVS7"/>
      <c r="SVT7"/>
      <c r="SVU7"/>
      <c r="SVV7"/>
      <c r="SVW7"/>
      <c r="SVX7"/>
      <c r="SVY7"/>
      <c r="SVZ7"/>
      <c r="SWA7"/>
      <c r="SWB7"/>
      <c r="SWC7"/>
      <c r="SWD7"/>
      <c r="SWE7"/>
      <c r="SWF7"/>
      <c r="SWG7"/>
      <c r="SWH7"/>
      <c r="SWI7"/>
      <c r="SWJ7"/>
      <c r="SWK7"/>
      <c r="SWL7"/>
      <c r="SWM7"/>
      <c r="SWN7"/>
      <c r="SWO7"/>
      <c r="SWP7"/>
      <c r="SWQ7"/>
      <c r="SWR7"/>
      <c r="SWS7"/>
      <c r="SWT7"/>
      <c r="SWU7"/>
      <c r="SWV7"/>
      <c r="SWW7"/>
      <c r="SWX7"/>
      <c r="SWY7"/>
      <c r="SWZ7"/>
      <c r="SXA7"/>
      <c r="SXB7"/>
      <c r="SXC7"/>
      <c r="SXD7"/>
      <c r="SXE7"/>
      <c r="SXF7"/>
      <c r="SXG7"/>
      <c r="SXH7"/>
      <c r="SXI7"/>
      <c r="SXJ7"/>
      <c r="SXK7"/>
      <c r="SXL7"/>
      <c r="SXM7"/>
      <c r="SXN7"/>
      <c r="SXO7"/>
      <c r="SXP7"/>
      <c r="SXQ7"/>
      <c r="SXR7"/>
      <c r="SXS7"/>
      <c r="SXT7"/>
      <c r="SXU7"/>
      <c r="SXV7"/>
      <c r="SXW7"/>
      <c r="SXX7"/>
      <c r="SXY7"/>
      <c r="SXZ7"/>
      <c r="SYA7"/>
      <c r="SYB7"/>
      <c r="SYC7"/>
      <c r="SYD7"/>
      <c r="SYE7"/>
      <c r="SYF7"/>
      <c r="SYG7"/>
      <c r="SYH7"/>
      <c r="SYI7"/>
      <c r="SYJ7"/>
      <c r="SYK7"/>
      <c r="SYL7"/>
      <c r="SYM7"/>
      <c r="SYN7"/>
      <c r="SYO7"/>
      <c r="SYP7"/>
      <c r="SYQ7"/>
      <c r="SYR7"/>
      <c r="SYS7"/>
      <c r="SYT7"/>
      <c r="SYU7"/>
      <c r="SYV7"/>
      <c r="SYW7"/>
      <c r="SYX7"/>
      <c r="SYY7"/>
      <c r="SYZ7"/>
      <c r="SZA7"/>
      <c r="SZB7"/>
      <c r="SZC7"/>
      <c r="SZD7"/>
      <c r="SZE7"/>
      <c r="SZF7"/>
      <c r="SZG7"/>
      <c r="SZH7"/>
      <c r="SZI7"/>
      <c r="SZJ7"/>
      <c r="SZK7"/>
      <c r="SZL7"/>
      <c r="SZM7"/>
      <c r="SZN7"/>
      <c r="SZO7"/>
      <c r="SZP7"/>
      <c r="SZQ7"/>
      <c r="SZR7"/>
      <c r="SZS7"/>
      <c r="SZT7"/>
      <c r="SZU7"/>
      <c r="SZV7"/>
      <c r="SZW7"/>
      <c r="SZX7"/>
      <c r="SZY7"/>
      <c r="SZZ7"/>
      <c r="TAA7"/>
      <c r="TAB7"/>
      <c r="TAC7"/>
      <c r="TAD7"/>
      <c r="TAE7"/>
      <c r="TAF7"/>
      <c r="TAG7"/>
      <c r="TAH7"/>
      <c r="TAI7"/>
      <c r="TAJ7"/>
      <c r="TAK7"/>
      <c r="TAL7"/>
      <c r="TAM7"/>
      <c r="TAN7"/>
      <c r="TAO7"/>
      <c r="TAP7"/>
      <c r="TAQ7"/>
      <c r="TAR7"/>
      <c r="TAS7"/>
      <c r="TAT7"/>
      <c r="TAU7"/>
      <c r="TAV7"/>
      <c r="TAW7"/>
      <c r="TAX7"/>
      <c r="TAY7"/>
      <c r="TAZ7"/>
      <c r="TBA7"/>
      <c r="TBB7"/>
      <c r="TBC7"/>
      <c r="TBD7"/>
      <c r="TBE7"/>
      <c r="TBF7"/>
      <c r="TBG7"/>
      <c r="TBH7"/>
      <c r="TBI7"/>
      <c r="TBJ7"/>
      <c r="TBK7"/>
      <c r="TBL7"/>
      <c r="TBM7"/>
      <c r="TBN7"/>
      <c r="TBO7"/>
      <c r="TBP7"/>
      <c r="TBQ7"/>
      <c r="TBR7"/>
      <c r="TBS7"/>
      <c r="TBT7"/>
      <c r="TBU7"/>
      <c r="TBV7"/>
      <c r="TBW7"/>
      <c r="TBX7"/>
      <c r="TBY7"/>
      <c r="TBZ7"/>
      <c r="TCA7"/>
      <c r="TCB7"/>
      <c r="TCC7"/>
      <c r="TCD7"/>
      <c r="TCE7"/>
      <c r="TCF7"/>
      <c r="TCG7"/>
      <c r="TCH7"/>
      <c r="TCI7"/>
      <c r="TCJ7"/>
      <c r="TCK7"/>
      <c r="TCL7"/>
      <c r="TCM7"/>
      <c r="TCN7"/>
      <c r="TCO7"/>
      <c r="TCP7"/>
      <c r="TCQ7"/>
      <c r="TCR7"/>
      <c r="TCS7"/>
      <c r="TCT7"/>
      <c r="TCU7"/>
      <c r="TCV7"/>
      <c r="TCW7"/>
      <c r="TCX7"/>
      <c r="TCY7"/>
      <c r="TCZ7"/>
      <c r="TDA7"/>
      <c r="TDB7"/>
      <c r="TDC7"/>
      <c r="TDD7"/>
      <c r="TDE7"/>
      <c r="TDF7"/>
      <c r="TDG7"/>
      <c r="TDH7"/>
      <c r="TDI7"/>
      <c r="TDJ7"/>
      <c r="TDK7"/>
      <c r="TDL7"/>
      <c r="TDM7"/>
      <c r="TDN7"/>
      <c r="TDO7"/>
      <c r="TDP7"/>
      <c r="TDQ7"/>
      <c r="TDR7"/>
      <c r="TDS7"/>
      <c r="TDT7"/>
      <c r="TDU7"/>
      <c r="TDV7"/>
      <c r="TDW7"/>
      <c r="TDX7"/>
      <c r="TDY7"/>
      <c r="TDZ7"/>
      <c r="TEA7"/>
      <c r="TEB7"/>
      <c r="TEC7"/>
      <c r="TED7"/>
      <c r="TEE7"/>
      <c r="TEF7"/>
      <c r="TEG7"/>
      <c r="TEH7"/>
      <c r="TEI7"/>
      <c r="TEJ7"/>
      <c r="TEK7"/>
      <c r="TEL7"/>
      <c r="TEM7"/>
      <c r="TEN7"/>
      <c r="TEO7"/>
      <c r="TEP7"/>
      <c r="TEQ7"/>
      <c r="TER7"/>
      <c r="TES7"/>
      <c r="TET7"/>
      <c r="TEU7"/>
      <c r="TEV7"/>
      <c r="TEW7"/>
      <c r="TEX7"/>
      <c r="TEY7"/>
      <c r="TEZ7"/>
      <c r="TFA7"/>
      <c r="TFB7"/>
      <c r="TFC7"/>
      <c r="TFD7"/>
      <c r="TFE7"/>
      <c r="TFF7"/>
      <c r="TFG7"/>
      <c r="TFH7"/>
      <c r="TFI7"/>
      <c r="TFJ7"/>
      <c r="TFK7"/>
      <c r="TFL7"/>
      <c r="TFM7"/>
      <c r="TFN7"/>
      <c r="TFO7"/>
      <c r="TFP7"/>
      <c r="TFQ7"/>
      <c r="TFR7"/>
      <c r="TFS7"/>
      <c r="TFT7"/>
      <c r="TFU7"/>
      <c r="TFV7"/>
      <c r="TFW7"/>
      <c r="TFX7"/>
      <c r="TFY7"/>
      <c r="TFZ7"/>
      <c r="TGA7"/>
      <c r="TGB7"/>
      <c r="TGC7"/>
      <c r="TGD7"/>
      <c r="TGE7"/>
      <c r="TGF7"/>
      <c r="TGG7"/>
      <c r="TGH7"/>
      <c r="TGI7"/>
      <c r="TGJ7"/>
      <c r="TGK7"/>
      <c r="TGL7"/>
      <c r="TGM7"/>
      <c r="TGN7"/>
      <c r="TGO7"/>
      <c r="TGP7"/>
      <c r="TGQ7"/>
      <c r="TGR7"/>
      <c r="TGS7"/>
      <c r="TGT7"/>
      <c r="TGU7"/>
      <c r="TGV7"/>
      <c r="TGW7"/>
      <c r="TGX7"/>
      <c r="TGY7"/>
      <c r="TGZ7"/>
      <c r="THA7"/>
      <c r="THB7"/>
      <c r="THC7"/>
      <c r="THD7"/>
      <c r="THE7"/>
      <c r="THF7"/>
      <c r="THG7"/>
      <c r="THH7"/>
      <c r="THI7"/>
      <c r="THJ7"/>
      <c r="THK7"/>
      <c r="THL7"/>
      <c r="THM7"/>
      <c r="THN7"/>
      <c r="THO7"/>
      <c r="THP7"/>
      <c r="THQ7"/>
      <c r="THR7"/>
      <c r="THS7"/>
      <c r="THT7"/>
      <c r="THU7"/>
      <c r="THV7"/>
      <c r="THW7"/>
      <c r="THX7"/>
      <c r="THY7"/>
      <c r="THZ7"/>
      <c r="TIA7"/>
      <c r="TIB7"/>
      <c r="TIC7"/>
      <c r="TID7"/>
      <c r="TIE7"/>
      <c r="TIF7"/>
      <c r="TIG7"/>
      <c r="TIH7"/>
      <c r="TII7"/>
      <c r="TIJ7"/>
      <c r="TIK7"/>
      <c r="TIL7"/>
      <c r="TIM7"/>
      <c r="TIN7"/>
      <c r="TIO7"/>
      <c r="TIP7"/>
      <c r="TIQ7"/>
      <c r="TIR7"/>
      <c r="TIS7"/>
      <c r="TIT7"/>
      <c r="TIU7"/>
      <c r="TIV7"/>
      <c r="TIW7"/>
      <c r="TIX7"/>
      <c r="TIY7"/>
      <c r="TIZ7"/>
      <c r="TJA7"/>
      <c r="TJB7"/>
      <c r="TJC7"/>
      <c r="TJD7"/>
      <c r="TJE7"/>
      <c r="TJF7"/>
      <c r="TJG7"/>
      <c r="TJH7"/>
      <c r="TJI7"/>
      <c r="TJJ7"/>
      <c r="TJK7"/>
      <c r="TJL7"/>
      <c r="TJM7"/>
      <c r="TJN7"/>
      <c r="TJO7"/>
      <c r="TJP7"/>
      <c r="TJQ7"/>
      <c r="TJR7"/>
      <c r="TJS7"/>
      <c r="TJT7"/>
      <c r="TJU7"/>
      <c r="TJV7"/>
      <c r="TJW7"/>
      <c r="TJX7"/>
      <c r="TJY7"/>
      <c r="TJZ7"/>
      <c r="TKA7"/>
      <c r="TKB7"/>
      <c r="TKC7"/>
      <c r="TKD7"/>
      <c r="TKE7"/>
      <c r="TKF7"/>
      <c r="TKG7"/>
      <c r="TKH7"/>
      <c r="TKI7"/>
      <c r="TKJ7"/>
      <c r="TKK7"/>
      <c r="TKL7"/>
      <c r="TKM7"/>
      <c r="TKN7"/>
      <c r="TKO7"/>
      <c r="TKP7"/>
      <c r="TKQ7"/>
      <c r="TKR7"/>
      <c r="TKS7"/>
      <c r="TKT7"/>
      <c r="TKU7"/>
      <c r="TKV7"/>
      <c r="TKW7"/>
      <c r="TKX7"/>
      <c r="TKY7"/>
      <c r="TKZ7"/>
      <c r="TLA7"/>
      <c r="TLB7"/>
      <c r="TLC7"/>
      <c r="TLD7"/>
      <c r="TLE7"/>
      <c r="TLF7"/>
      <c r="TLG7"/>
      <c r="TLH7"/>
      <c r="TLI7"/>
      <c r="TLJ7"/>
      <c r="TLK7"/>
      <c r="TLL7"/>
      <c r="TLM7"/>
      <c r="TLN7"/>
      <c r="TLO7"/>
      <c r="TLP7"/>
      <c r="TLQ7"/>
      <c r="TLR7"/>
      <c r="TLS7"/>
      <c r="TLT7"/>
      <c r="TLU7"/>
      <c r="TLV7"/>
      <c r="TLW7"/>
      <c r="TLX7"/>
      <c r="TLY7"/>
      <c r="TLZ7"/>
      <c r="TMA7"/>
      <c r="TMB7"/>
      <c r="TMC7"/>
      <c r="TMD7"/>
      <c r="TME7"/>
      <c r="TMF7"/>
      <c r="TMG7"/>
      <c r="TMH7"/>
      <c r="TMI7"/>
      <c r="TMJ7"/>
      <c r="TMK7"/>
      <c r="TML7"/>
      <c r="TMM7"/>
      <c r="TMN7"/>
      <c r="TMO7"/>
      <c r="TMP7"/>
      <c r="TMQ7"/>
      <c r="TMR7"/>
      <c r="TMS7"/>
      <c r="TMT7"/>
      <c r="TMU7"/>
      <c r="TMV7"/>
      <c r="TMW7"/>
      <c r="TMX7"/>
      <c r="TMY7"/>
      <c r="TMZ7"/>
      <c r="TNA7"/>
      <c r="TNB7"/>
      <c r="TNC7"/>
      <c r="TND7"/>
      <c r="TNE7"/>
      <c r="TNF7"/>
      <c r="TNG7"/>
      <c r="TNH7"/>
      <c r="TNI7"/>
      <c r="TNJ7"/>
      <c r="TNK7"/>
      <c r="TNL7"/>
      <c r="TNM7"/>
      <c r="TNN7"/>
      <c r="TNO7"/>
      <c r="TNP7"/>
      <c r="TNQ7"/>
      <c r="TNR7"/>
      <c r="TNS7"/>
      <c r="TNT7"/>
      <c r="TNU7"/>
      <c r="TNV7"/>
      <c r="TNW7"/>
      <c r="TNX7"/>
      <c r="TNY7"/>
      <c r="TNZ7"/>
      <c r="TOA7"/>
      <c r="TOB7"/>
      <c r="TOC7"/>
      <c r="TOD7"/>
      <c r="TOE7"/>
      <c r="TOF7"/>
      <c r="TOG7"/>
      <c r="TOH7"/>
      <c r="TOI7"/>
      <c r="TOJ7"/>
      <c r="TOK7"/>
      <c r="TOL7"/>
      <c r="TOM7"/>
      <c r="TON7"/>
      <c r="TOO7"/>
      <c r="TOP7"/>
      <c r="TOQ7"/>
      <c r="TOR7"/>
      <c r="TOS7"/>
      <c r="TOT7"/>
      <c r="TOU7"/>
      <c r="TOV7"/>
      <c r="TOW7"/>
      <c r="TOX7"/>
      <c r="TOY7"/>
      <c r="TOZ7"/>
      <c r="TPA7"/>
      <c r="TPB7"/>
      <c r="TPC7"/>
      <c r="TPD7"/>
      <c r="TPE7"/>
      <c r="TPF7"/>
      <c r="TPG7"/>
      <c r="TPH7"/>
      <c r="TPI7"/>
      <c r="TPJ7"/>
      <c r="TPK7"/>
      <c r="TPL7"/>
      <c r="TPM7"/>
      <c r="TPN7"/>
      <c r="TPO7"/>
      <c r="TPP7"/>
      <c r="TPQ7"/>
      <c r="TPR7"/>
      <c r="TPS7"/>
      <c r="TPT7"/>
      <c r="TPU7"/>
      <c r="TPV7"/>
      <c r="TPW7"/>
      <c r="TPX7"/>
      <c r="TPY7"/>
      <c r="TPZ7"/>
      <c r="TQA7"/>
      <c r="TQB7"/>
      <c r="TQC7"/>
      <c r="TQD7"/>
      <c r="TQE7"/>
      <c r="TQF7"/>
      <c r="TQG7"/>
      <c r="TQH7"/>
      <c r="TQI7"/>
      <c r="TQJ7"/>
      <c r="TQK7"/>
      <c r="TQL7"/>
      <c r="TQM7"/>
      <c r="TQN7"/>
      <c r="TQO7"/>
      <c r="TQP7"/>
      <c r="TQQ7"/>
      <c r="TQR7"/>
      <c r="TQS7"/>
      <c r="TQT7"/>
      <c r="TQU7"/>
      <c r="TQV7"/>
      <c r="TQW7"/>
      <c r="TQX7"/>
      <c r="TQY7"/>
      <c r="TQZ7"/>
      <c r="TRA7"/>
      <c r="TRB7"/>
      <c r="TRC7"/>
      <c r="TRD7"/>
      <c r="TRE7"/>
      <c r="TRF7"/>
      <c r="TRG7"/>
      <c r="TRH7"/>
      <c r="TRI7"/>
      <c r="TRJ7"/>
      <c r="TRK7"/>
      <c r="TRL7"/>
      <c r="TRM7"/>
      <c r="TRN7"/>
      <c r="TRO7"/>
      <c r="TRP7"/>
      <c r="TRQ7"/>
      <c r="TRR7"/>
      <c r="TRS7"/>
      <c r="TRT7"/>
      <c r="TRU7"/>
      <c r="TRV7"/>
      <c r="TRW7"/>
      <c r="TRX7"/>
      <c r="TRY7"/>
      <c r="TRZ7"/>
      <c r="TSA7"/>
      <c r="TSB7"/>
      <c r="TSC7"/>
      <c r="TSD7"/>
      <c r="TSE7"/>
      <c r="TSF7"/>
      <c r="TSG7"/>
      <c r="TSH7"/>
      <c r="TSI7"/>
      <c r="TSJ7"/>
      <c r="TSK7"/>
      <c r="TSL7"/>
      <c r="TSM7"/>
      <c r="TSN7"/>
      <c r="TSO7"/>
      <c r="TSP7"/>
      <c r="TSQ7"/>
      <c r="TSR7"/>
      <c r="TSS7"/>
      <c r="TST7"/>
      <c r="TSU7"/>
      <c r="TSV7"/>
      <c r="TSW7"/>
      <c r="TSX7"/>
      <c r="TSY7"/>
      <c r="TSZ7"/>
      <c r="TTA7"/>
      <c r="TTB7"/>
      <c r="TTC7"/>
      <c r="TTD7"/>
      <c r="TTE7"/>
      <c r="TTF7"/>
      <c r="TTG7"/>
      <c r="TTH7"/>
      <c r="TTI7"/>
      <c r="TTJ7"/>
      <c r="TTK7"/>
      <c r="TTL7"/>
      <c r="TTM7"/>
      <c r="TTN7"/>
      <c r="TTO7"/>
      <c r="TTP7"/>
      <c r="TTQ7"/>
      <c r="TTR7"/>
      <c r="TTS7"/>
      <c r="TTT7"/>
      <c r="TTU7"/>
      <c r="TTV7"/>
      <c r="TTW7"/>
      <c r="TTX7"/>
      <c r="TTY7"/>
      <c r="TTZ7"/>
      <c r="TUA7"/>
      <c r="TUB7"/>
      <c r="TUC7"/>
      <c r="TUD7"/>
      <c r="TUE7"/>
      <c r="TUF7"/>
      <c r="TUG7"/>
      <c r="TUH7"/>
      <c r="TUI7"/>
      <c r="TUJ7"/>
      <c r="TUK7"/>
      <c r="TUL7"/>
      <c r="TUM7"/>
      <c r="TUN7"/>
      <c r="TUO7"/>
      <c r="TUP7"/>
      <c r="TUQ7"/>
      <c r="TUR7"/>
      <c r="TUS7"/>
      <c r="TUT7"/>
      <c r="TUU7"/>
      <c r="TUV7"/>
      <c r="TUW7"/>
      <c r="TUX7"/>
      <c r="TUY7"/>
      <c r="TUZ7"/>
      <c r="TVA7"/>
      <c r="TVB7"/>
      <c r="TVC7"/>
      <c r="TVD7"/>
      <c r="TVE7"/>
      <c r="TVF7"/>
      <c r="TVG7"/>
      <c r="TVH7"/>
      <c r="TVI7"/>
      <c r="TVJ7"/>
      <c r="TVK7"/>
      <c r="TVL7"/>
      <c r="TVM7"/>
      <c r="TVN7"/>
      <c r="TVO7"/>
      <c r="TVP7"/>
      <c r="TVQ7"/>
      <c r="TVR7"/>
      <c r="TVS7"/>
      <c r="TVT7"/>
      <c r="TVU7"/>
      <c r="TVV7"/>
      <c r="TVW7"/>
      <c r="TVX7"/>
      <c r="TVY7"/>
      <c r="TVZ7"/>
      <c r="TWA7"/>
      <c r="TWB7"/>
      <c r="TWC7"/>
      <c r="TWD7"/>
      <c r="TWE7"/>
      <c r="TWF7"/>
      <c r="TWG7"/>
      <c r="TWH7"/>
      <c r="TWI7"/>
      <c r="TWJ7"/>
      <c r="TWK7"/>
      <c r="TWL7"/>
      <c r="TWM7"/>
      <c r="TWN7"/>
      <c r="TWO7"/>
      <c r="TWP7"/>
      <c r="TWQ7"/>
      <c r="TWR7"/>
      <c r="TWS7"/>
      <c r="TWT7"/>
      <c r="TWU7"/>
      <c r="TWV7"/>
      <c r="TWW7"/>
      <c r="TWX7"/>
      <c r="TWY7"/>
      <c r="TWZ7"/>
      <c r="TXA7"/>
      <c r="TXB7"/>
      <c r="TXC7"/>
      <c r="TXD7"/>
      <c r="TXE7"/>
      <c r="TXF7"/>
      <c r="TXG7"/>
      <c r="TXH7"/>
      <c r="TXI7"/>
      <c r="TXJ7"/>
      <c r="TXK7"/>
      <c r="TXL7"/>
      <c r="TXM7"/>
      <c r="TXN7"/>
      <c r="TXO7"/>
      <c r="TXP7"/>
      <c r="TXQ7"/>
      <c r="TXR7"/>
      <c r="TXS7"/>
      <c r="TXT7"/>
      <c r="TXU7"/>
      <c r="TXV7"/>
      <c r="TXW7"/>
      <c r="TXX7"/>
      <c r="TXY7"/>
      <c r="TXZ7"/>
      <c r="TYA7"/>
      <c r="TYB7"/>
      <c r="TYC7"/>
      <c r="TYD7"/>
      <c r="TYE7"/>
      <c r="TYF7"/>
      <c r="TYG7"/>
      <c r="TYH7"/>
      <c r="TYI7"/>
      <c r="TYJ7"/>
      <c r="TYK7"/>
      <c r="TYL7"/>
      <c r="TYM7"/>
      <c r="TYN7"/>
      <c r="TYO7"/>
      <c r="TYP7"/>
      <c r="TYQ7"/>
      <c r="TYR7"/>
      <c r="TYS7"/>
      <c r="TYT7"/>
      <c r="TYU7"/>
      <c r="TYV7"/>
      <c r="TYW7"/>
      <c r="TYX7"/>
      <c r="TYY7"/>
      <c r="TYZ7"/>
      <c r="TZA7"/>
      <c r="TZB7"/>
      <c r="TZC7"/>
      <c r="TZD7"/>
      <c r="TZE7"/>
      <c r="TZF7"/>
      <c r="TZG7"/>
      <c r="TZH7"/>
      <c r="TZI7"/>
      <c r="TZJ7"/>
      <c r="TZK7"/>
      <c r="TZL7"/>
      <c r="TZM7"/>
      <c r="TZN7"/>
      <c r="TZO7"/>
      <c r="TZP7"/>
      <c r="TZQ7"/>
      <c r="TZR7"/>
      <c r="TZS7"/>
      <c r="TZT7"/>
      <c r="TZU7"/>
      <c r="TZV7"/>
      <c r="TZW7"/>
      <c r="TZX7"/>
      <c r="TZY7"/>
      <c r="TZZ7"/>
      <c r="UAA7"/>
      <c r="UAB7"/>
      <c r="UAC7"/>
      <c r="UAD7"/>
      <c r="UAE7"/>
      <c r="UAF7"/>
      <c r="UAG7"/>
      <c r="UAH7"/>
      <c r="UAI7"/>
      <c r="UAJ7"/>
      <c r="UAK7"/>
      <c r="UAL7"/>
      <c r="UAM7"/>
      <c r="UAN7"/>
      <c r="UAO7"/>
      <c r="UAP7"/>
      <c r="UAQ7"/>
      <c r="UAR7"/>
      <c r="UAS7"/>
      <c r="UAT7"/>
      <c r="UAU7"/>
      <c r="UAV7"/>
      <c r="UAW7"/>
      <c r="UAX7"/>
      <c r="UAY7"/>
      <c r="UAZ7"/>
      <c r="UBA7"/>
      <c r="UBB7"/>
      <c r="UBC7"/>
      <c r="UBD7"/>
      <c r="UBE7"/>
      <c r="UBF7"/>
      <c r="UBG7"/>
      <c r="UBH7"/>
      <c r="UBI7"/>
      <c r="UBJ7"/>
      <c r="UBK7"/>
      <c r="UBL7"/>
      <c r="UBM7"/>
      <c r="UBN7"/>
      <c r="UBO7"/>
      <c r="UBP7"/>
      <c r="UBQ7"/>
      <c r="UBR7"/>
      <c r="UBS7"/>
      <c r="UBT7"/>
      <c r="UBU7"/>
      <c r="UBV7"/>
      <c r="UBW7"/>
      <c r="UBX7"/>
      <c r="UBY7"/>
      <c r="UBZ7"/>
      <c r="UCA7"/>
      <c r="UCB7"/>
      <c r="UCC7"/>
      <c r="UCD7"/>
      <c r="UCE7"/>
      <c r="UCF7"/>
      <c r="UCG7"/>
      <c r="UCH7"/>
      <c r="UCI7"/>
      <c r="UCJ7"/>
      <c r="UCK7"/>
      <c r="UCL7"/>
      <c r="UCM7"/>
      <c r="UCN7"/>
      <c r="UCO7"/>
      <c r="UCP7"/>
      <c r="UCQ7"/>
      <c r="UCR7"/>
      <c r="UCS7"/>
      <c r="UCT7"/>
      <c r="UCU7"/>
      <c r="UCV7"/>
      <c r="UCW7"/>
      <c r="UCX7"/>
      <c r="UCY7"/>
      <c r="UCZ7"/>
      <c r="UDA7"/>
      <c r="UDB7"/>
      <c r="UDC7"/>
      <c r="UDD7"/>
      <c r="UDE7"/>
      <c r="UDF7"/>
      <c r="UDG7"/>
      <c r="UDH7"/>
      <c r="UDI7"/>
      <c r="UDJ7"/>
      <c r="UDK7"/>
      <c r="UDL7"/>
      <c r="UDM7"/>
      <c r="UDN7"/>
      <c r="UDO7"/>
      <c r="UDP7"/>
      <c r="UDQ7"/>
      <c r="UDR7"/>
      <c r="UDS7"/>
      <c r="UDT7"/>
      <c r="UDU7"/>
      <c r="UDV7"/>
      <c r="UDW7"/>
      <c r="UDX7"/>
      <c r="UDY7"/>
      <c r="UDZ7"/>
      <c r="UEA7"/>
      <c r="UEB7"/>
      <c r="UEC7"/>
      <c r="UED7"/>
      <c r="UEE7"/>
      <c r="UEF7"/>
      <c r="UEG7"/>
      <c r="UEH7"/>
      <c r="UEI7"/>
      <c r="UEJ7"/>
      <c r="UEK7"/>
      <c r="UEL7"/>
      <c r="UEM7"/>
      <c r="UEN7"/>
      <c r="UEO7"/>
      <c r="UEP7"/>
      <c r="UEQ7"/>
      <c r="UER7"/>
      <c r="UES7"/>
      <c r="UET7"/>
      <c r="UEU7"/>
      <c r="UEV7"/>
      <c r="UEW7"/>
      <c r="UEX7"/>
      <c r="UEY7"/>
      <c r="UEZ7"/>
      <c r="UFA7"/>
      <c r="UFB7"/>
      <c r="UFC7"/>
      <c r="UFD7"/>
      <c r="UFE7"/>
      <c r="UFF7"/>
      <c r="UFG7"/>
      <c r="UFH7"/>
      <c r="UFI7"/>
      <c r="UFJ7"/>
      <c r="UFK7"/>
      <c r="UFL7"/>
      <c r="UFM7"/>
      <c r="UFN7"/>
      <c r="UFO7"/>
      <c r="UFP7"/>
      <c r="UFQ7"/>
      <c r="UFR7"/>
      <c r="UFS7"/>
      <c r="UFT7"/>
      <c r="UFU7"/>
      <c r="UFV7"/>
      <c r="UFW7"/>
      <c r="UFX7"/>
      <c r="UFY7"/>
      <c r="UFZ7"/>
      <c r="UGA7"/>
      <c r="UGB7"/>
      <c r="UGC7"/>
      <c r="UGD7"/>
      <c r="UGE7"/>
      <c r="UGF7"/>
      <c r="UGG7"/>
      <c r="UGH7"/>
      <c r="UGI7"/>
      <c r="UGJ7"/>
      <c r="UGK7"/>
      <c r="UGL7"/>
      <c r="UGM7"/>
      <c r="UGN7"/>
      <c r="UGO7"/>
      <c r="UGP7"/>
      <c r="UGQ7"/>
      <c r="UGR7"/>
      <c r="UGS7"/>
      <c r="UGT7"/>
      <c r="UGU7"/>
      <c r="UGV7"/>
      <c r="UGW7"/>
      <c r="UGX7"/>
      <c r="UGY7"/>
      <c r="UGZ7"/>
      <c r="UHA7"/>
      <c r="UHB7"/>
      <c r="UHC7"/>
      <c r="UHD7"/>
      <c r="UHE7"/>
      <c r="UHF7"/>
      <c r="UHG7"/>
      <c r="UHH7"/>
      <c r="UHI7"/>
      <c r="UHJ7"/>
      <c r="UHK7"/>
      <c r="UHL7"/>
      <c r="UHM7"/>
      <c r="UHN7"/>
      <c r="UHO7"/>
      <c r="UHP7"/>
      <c r="UHQ7"/>
      <c r="UHR7"/>
      <c r="UHS7"/>
      <c r="UHT7"/>
      <c r="UHU7"/>
      <c r="UHV7"/>
      <c r="UHW7"/>
      <c r="UHX7"/>
      <c r="UHY7"/>
      <c r="UHZ7"/>
      <c r="UIA7"/>
      <c r="UIB7"/>
      <c r="UIC7"/>
      <c r="UID7"/>
      <c r="UIE7"/>
      <c r="UIF7"/>
      <c r="UIG7"/>
      <c r="UIH7"/>
      <c r="UII7"/>
      <c r="UIJ7"/>
      <c r="UIK7"/>
      <c r="UIL7"/>
      <c r="UIM7"/>
      <c r="UIN7"/>
      <c r="UIO7"/>
      <c r="UIP7"/>
      <c r="UIQ7"/>
      <c r="UIR7"/>
      <c r="UIS7"/>
      <c r="UIT7"/>
      <c r="UIU7"/>
      <c r="UIV7"/>
      <c r="UIW7"/>
      <c r="UIX7"/>
      <c r="UIY7"/>
      <c r="UIZ7"/>
      <c r="UJA7"/>
      <c r="UJB7"/>
      <c r="UJC7"/>
      <c r="UJD7"/>
      <c r="UJE7"/>
      <c r="UJF7"/>
      <c r="UJG7"/>
      <c r="UJH7"/>
      <c r="UJI7"/>
      <c r="UJJ7"/>
      <c r="UJK7"/>
      <c r="UJL7"/>
      <c r="UJM7"/>
      <c r="UJN7"/>
      <c r="UJO7"/>
      <c r="UJP7"/>
      <c r="UJQ7"/>
      <c r="UJR7"/>
      <c r="UJS7"/>
      <c r="UJT7"/>
      <c r="UJU7"/>
      <c r="UJV7"/>
      <c r="UJW7"/>
      <c r="UJX7"/>
      <c r="UJY7"/>
      <c r="UJZ7"/>
      <c r="UKA7"/>
      <c r="UKB7"/>
      <c r="UKC7"/>
      <c r="UKD7"/>
      <c r="UKE7"/>
      <c r="UKF7"/>
      <c r="UKG7"/>
      <c r="UKH7"/>
      <c r="UKI7"/>
      <c r="UKJ7"/>
      <c r="UKK7"/>
      <c r="UKL7"/>
      <c r="UKM7"/>
      <c r="UKN7"/>
      <c r="UKO7"/>
      <c r="UKP7"/>
      <c r="UKQ7"/>
      <c r="UKR7"/>
      <c r="UKS7"/>
      <c r="UKT7"/>
      <c r="UKU7"/>
      <c r="UKV7"/>
      <c r="UKW7"/>
      <c r="UKX7"/>
      <c r="UKY7"/>
      <c r="UKZ7"/>
      <c r="ULA7"/>
      <c r="ULB7"/>
      <c r="ULC7"/>
      <c r="ULD7"/>
      <c r="ULE7"/>
      <c r="ULF7"/>
      <c r="ULG7"/>
      <c r="ULH7"/>
      <c r="ULI7"/>
      <c r="ULJ7"/>
      <c r="ULK7"/>
      <c r="ULL7"/>
      <c r="ULM7"/>
      <c r="ULN7"/>
      <c r="ULO7"/>
      <c r="ULP7"/>
      <c r="ULQ7"/>
      <c r="ULR7"/>
      <c r="ULS7"/>
      <c r="ULT7"/>
      <c r="ULU7"/>
      <c r="ULV7"/>
      <c r="ULW7"/>
      <c r="ULX7"/>
      <c r="ULY7"/>
      <c r="ULZ7"/>
      <c r="UMA7"/>
      <c r="UMB7"/>
      <c r="UMC7"/>
      <c r="UMD7"/>
      <c r="UME7"/>
      <c r="UMF7"/>
      <c r="UMG7"/>
      <c r="UMH7"/>
      <c r="UMI7"/>
      <c r="UMJ7"/>
      <c r="UMK7"/>
      <c r="UML7"/>
      <c r="UMM7"/>
      <c r="UMN7"/>
      <c r="UMO7"/>
      <c r="UMP7"/>
      <c r="UMQ7"/>
      <c r="UMR7"/>
      <c r="UMS7"/>
      <c r="UMT7"/>
      <c r="UMU7"/>
      <c r="UMV7"/>
      <c r="UMW7"/>
      <c r="UMX7"/>
      <c r="UMY7"/>
      <c r="UMZ7"/>
      <c r="UNA7"/>
      <c r="UNB7"/>
      <c r="UNC7"/>
      <c r="UND7"/>
      <c r="UNE7"/>
      <c r="UNF7"/>
      <c r="UNG7"/>
      <c r="UNH7"/>
      <c r="UNI7"/>
      <c r="UNJ7"/>
      <c r="UNK7"/>
      <c r="UNL7"/>
      <c r="UNM7"/>
      <c r="UNN7"/>
      <c r="UNO7"/>
      <c r="UNP7"/>
      <c r="UNQ7"/>
      <c r="UNR7"/>
      <c r="UNS7"/>
      <c r="UNT7"/>
      <c r="UNU7"/>
      <c r="UNV7"/>
      <c r="UNW7"/>
      <c r="UNX7"/>
      <c r="UNY7"/>
      <c r="UNZ7"/>
      <c r="UOA7"/>
      <c r="UOB7"/>
      <c r="UOC7"/>
      <c r="UOD7"/>
      <c r="UOE7"/>
      <c r="UOF7"/>
      <c r="UOG7"/>
      <c r="UOH7"/>
      <c r="UOI7"/>
      <c r="UOJ7"/>
      <c r="UOK7"/>
      <c r="UOL7"/>
      <c r="UOM7"/>
      <c r="UON7"/>
      <c r="UOO7"/>
      <c r="UOP7"/>
      <c r="UOQ7"/>
      <c r="UOR7"/>
      <c r="UOS7"/>
      <c r="UOT7"/>
      <c r="UOU7"/>
      <c r="UOV7"/>
      <c r="UOW7"/>
      <c r="UOX7"/>
      <c r="UOY7"/>
      <c r="UOZ7"/>
      <c r="UPA7"/>
      <c r="UPB7"/>
      <c r="UPC7"/>
      <c r="UPD7"/>
      <c r="UPE7"/>
      <c r="UPF7"/>
      <c r="UPG7"/>
      <c r="UPH7"/>
      <c r="UPI7"/>
      <c r="UPJ7"/>
      <c r="UPK7"/>
      <c r="UPL7"/>
      <c r="UPM7"/>
      <c r="UPN7"/>
      <c r="UPO7"/>
      <c r="UPP7"/>
      <c r="UPQ7"/>
      <c r="UPR7"/>
      <c r="UPS7"/>
      <c r="UPT7"/>
      <c r="UPU7"/>
      <c r="UPV7"/>
      <c r="UPW7"/>
      <c r="UPX7"/>
      <c r="UPY7"/>
      <c r="UPZ7"/>
      <c r="UQA7"/>
      <c r="UQB7"/>
      <c r="UQC7"/>
      <c r="UQD7"/>
      <c r="UQE7"/>
      <c r="UQF7"/>
      <c r="UQG7"/>
      <c r="UQH7"/>
      <c r="UQI7"/>
      <c r="UQJ7"/>
      <c r="UQK7"/>
      <c r="UQL7"/>
      <c r="UQM7"/>
      <c r="UQN7"/>
      <c r="UQO7"/>
      <c r="UQP7"/>
      <c r="UQQ7"/>
      <c r="UQR7"/>
      <c r="UQS7"/>
      <c r="UQT7"/>
      <c r="UQU7"/>
      <c r="UQV7"/>
      <c r="UQW7"/>
      <c r="UQX7"/>
      <c r="UQY7"/>
      <c r="UQZ7"/>
      <c r="URA7"/>
      <c r="URB7"/>
      <c r="URC7"/>
      <c r="URD7"/>
      <c r="URE7"/>
      <c r="URF7"/>
      <c r="URG7"/>
      <c r="URH7"/>
      <c r="URI7"/>
      <c r="URJ7"/>
      <c r="URK7"/>
      <c r="URL7"/>
      <c r="URM7"/>
      <c r="URN7"/>
      <c r="URO7"/>
      <c r="URP7"/>
      <c r="URQ7"/>
      <c r="URR7"/>
      <c r="URS7"/>
      <c r="URT7"/>
      <c r="URU7"/>
      <c r="URV7"/>
      <c r="URW7"/>
      <c r="URX7"/>
      <c r="URY7"/>
      <c r="URZ7"/>
      <c r="USA7"/>
      <c r="USB7"/>
      <c r="USC7"/>
      <c r="USD7"/>
      <c r="USE7"/>
      <c r="USF7"/>
      <c r="USG7"/>
      <c r="USH7"/>
      <c r="USI7"/>
      <c r="USJ7"/>
      <c r="USK7"/>
      <c r="USL7"/>
      <c r="USM7"/>
      <c r="USN7"/>
      <c r="USO7"/>
      <c r="USP7"/>
      <c r="USQ7"/>
      <c r="USR7"/>
      <c r="USS7"/>
      <c r="UST7"/>
      <c r="USU7"/>
      <c r="USV7"/>
      <c r="USW7"/>
      <c r="USX7"/>
      <c r="USY7"/>
      <c r="USZ7"/>
      <c r="UTA7"/>
      <c r="UTB7"/>
      <c r="UTC7"/>
      <c r="UTD7"/>
      <c r="UTE7"/>
      <c r="UTF7"/>
      <c r="UTG7"/>
      <c r="UTH7"/>
      <c r="UTI7"/>
      <c r="UTJ7"/>
      <c r="UTK7"/>
      <c r="UTL7"/>
      <c r="UTM7"/>
      <c r="UTN7"/>
      <c r="UTO7"/>
      <c r="UTP7"/>
      <c r="UTQ7"/>
      <c r="UTR7"/>
      <c r="UTS7"/>
      <c r="UTT7"/>
      <c r="UTU7"/>
      <c r="UTV7"/>
      <c r="UTW7"/>
      <c r="UTX7"/>
      <c r="UTY7"/>
      <c r="UTZ7"/>
      <c r="UUA7"/>
      <c r="UUB7"/>
      <c r="UUC7"/>
      <c r="UUD7"/>
      <c r="UUE7"/>
      <c r="UUF7"/>
      <c r="UUG7"/>
      <c r="UUH7"/>
      <c r="UUI7"/>
      <c r="UUJ7"/>
      <c r="UUK7"/>
      <c r="UUL7"/>
      <c r="UUM7"/>
      <c r="UUN7"/>
      <c r="UUO7"/>
      <c r="UUP7"/>
      <c r="UUQ7"/>
      <c r="UUR7"/>
      <c r="UUS7"/>
      <c r="UUT7"/>
      <c r="UUU7"/>
      <c r="UUV7"/>
      <c r="UUW7"/>
      <c r="UUX7"/>
      <c r="UUY7"/>
      <c r="UUZ7"/>
      <c r="UVA7"/>
      <c r="UVB7"/>
      <c r="UVC7"/>
      <c r="UVD7"/>
      <c r="UVE7"/>
      <c r="UVF7"/>
      <c r="UVG7"/>
      <c r="UVH7"/>
      <c r="UVI7"/>
      <c r="UVJ7"/>
      <c r="UVK7"/>
      <c r="UVL7"/>
      <c r="UVM7"/>
      <c r="UVN7"/>
      <c r="UVO7"/>
      <c r="UVP7"/>
      <c r="UVQ7"/>
      <c r="UVR7"/>
      <c r="UVS7"/>
      <c r="UVT7"/>
      <c r="UVU7"/>
      <c r="UVV7"/>
      <c r="UVW7"/>
      <c r="UVX7"/>
      <c r="UVY7"/>
      <c r="UVZ7"/>
      <c r="UWA7"/>
      <c r="UWB7"/>
      <c r="UWC7"/>
      <c r="UWD7"/>
      <c r="UWE7"/>
      <c r="UWF7"/>
      <c r="UWG7"/>
      <c r="UWH7"/>
      <c r="UWI7"/>
      <c r="UWJ7"/>
      <c r="UWK7"/>
      <c r="UWL7"/>
      <c r="UWM7"/>
      <c r="UWN7"/>
      <c r="UWO7"/>
      <c r="UWP7"/>
      <c r="UWQ7"/>
      <c r="UWR7"/>
      <c r="UWS7"/>
      <c r="UWT7"/>
      <c r="UWU7"/>
      <c r="UWV7"/>
      <c r="UWW7"/>
      <c r="UWX7"/>
      <c r="UWY7"/>
      <c r="UWZ7"/>
      <c r="UXA7"/>
      <c r="UXB7"/>
      <c r="UXC7"/>
      <c r="UXD7"/>
      <c r="UXE7"/>
      <c r="UXF7"/>
      <c r="UXG7"/>
      <c r="UXH7"/>
      <c r="UXI7"/>
      <c r="UXJ7"/>
      <c r="UXK7"/>
      <c r="UXL7"/>
      <c r="UXM7"/>
      <c r="UXN7"/>
      <c r="UXO7"/>
      <c r="UXP7"/>
      <c r="UXQ7"/>
      <c r="UXR7"/>
      <c r="UXS7"/>
      <c r="UXT7"/>
      <c r="UXU7"/>
      <c r="UXV7"/>
      <c r="UXW7"/>
      <c r="UXX7"/>
      <c r="UXY7"/>
      <c r="UXZ7"/>
      <c r="UYA7"/>
      <c r="UYB7"/>
      <c r="UYC7"/>
      <c r="UYD7"/>
      <c r="UYE7"/>
      <c r="UYF7"/>
      <c r="UYG7"/>
      <c r="UYH7"/>
      <c r="UYI7"/>
      <c r="UYJ7"/>
      <c r="UYK7"/>
      <c r="UYL7"/>
      <c r="UYM7"/>
      <c r="UYN7"/>
      <c r="UYO7"/>
      <c r="UYP7"/>
      <c r="UYQ7"/>
      <c r="UYR7"/>
      <c r="UYS7"/>
      <c r="UYT7"/>
      <c r="UYU7"/>
      <c r="UYV7"/>
      <c r="UYW7"/>
      <c r="UYX7"/>
      <c r="UYY7"/>
      <c r="UYZ7"/>
      <c r="UZA7"/>
      <c r="UZB7"/>
      <c r="UZC7"/>
      <c r="UZD7"/>
      <c r="UZE7"/>
      <c r="UZF7"/>
      <c r="UZG7"/>
      <c r="UZH7"/>
      <c r="UZI7"/>
      <c r="UZJ7"/>
      <c r="UZK7"/>
      <c r="UZL7"/>
      <c r="UZM7"/>
      <c r="UZN7"/>
      <c r="UZO7"/>
      <c r="UZP7"/>
      <c r="UZQ7"/>
      <c r="UZR7"/>
      <c r="UZS7"/>
      <c r="UZT7"/>
      <c r="UZU7"/>
      <c r="UZV7"/>
      <c r="UZW7"/>
      <c r="UZX7"/>
      <c r="UZY7"/>
      <c r="UZZ7"/>
      <c r="VAA7"/>
      <c r="VAB7"/>
      <c r="VAC7"/>
      <c r="VAD7"/>
      <c r="VAE7"/>
      <c r="VAF7"/>
      <c r="VAG7"/>
      <c r="VAH7"/>
      <c r="VAI7"/>
      <c r="VAJ7"/>
      <c r="VAK7"/>
      <c r="VAL7"/>
      <c r="VAM7"/>
      <c r="VAN7"/>
      <c r="VAO7"/>
      <c r="VAP7"/>
      <c r="VAQ7"/>
      <c r="VAR7"/>
      <c r="VAS7"/>
      <c r="VAT7"/>
      <c r="VAU7"/>
      <c r="VAV7"/>
      <c r="VAW7"/>
      <c r="VAX7"/>
      <c r="VAY7"/>
      <c r="VAZ7"/>
      <c r="VBA7"/>
      <c r="VBB7"/>
      <c r="VBC7"/>
      <c r="VBD7"/>
      <c r="VBE7"/>
      <c r="VBF7"/>
      <c r="VBG7"/>
      <c r="VBH7"/>
      <c r="VBI7"/>
      <c r="VBJ7"/>
      <c r="VBK7"/>
      <c r="VBL7"/>
      <c r="VBM7"/>
      <c r="VBN7"/>
      <c r="VBO7"/>
      <c r="VBP7"/>
      <c r="VBQ7"/>
      <c r="VBR7"/>
      <c r="VBS7"/>
      <c r="VBT7"/>
      <c r="VBU7"/>
      <c r="VBV7"/>
      <c r="VBW7"/>
      <c r="VBX7"/>
      <c r="VBY7"/>
      <c r="VBZ7"/>
      <c r="VCA7"/>
      <c r="VCB7"/>
      <c r="VCC7"/>
      <c r="VCD7"/>
      <c r="VCE7"/>
      <c r="VCF7"/>
      <c r="VCG7"/>
      <c r="VCH7"/>
      <c r="VCI7"/>
      <c r="VCJ7"/>
      <c r="VCK7"/>
      <c r="VCL7"/>
      <c r="VCM7"/>
      <c r="VCN7"/>
      <c r="VCO7"/>
      <c r="VCP7"/>
      <c r="VCQ7"/>
      <c r="VCR7"/>
      <c r="VCS7"/>
      <c r="VCT7"/>
      <c r="VCU7"/>
      <c r="VCV7"/>
      <c r="VCW7"/>
      <c r="VCX7"/>
      <c r="VCY7"/>
      <c r="VCZ7"/>
      <c r="VDA7"/>
      <c r="VDB7"/>
      <c r="VDC7"/>
      <c r="VDD7"/>
      <c r="VDE7"/>
      <c r="VDF7"/>
      <c r="VDG7"/>
      <c r="VDH7"/>
      <c r="VDI7"/>
      <c r="VDJ7"/>
      <c r="VDK7"/>
      <c r="VDL7"/>
      <c r="VDM7"/>
      <c r="VDN7"/>
      <c r="VDO7"/>
      <c r="VDP7"/>
      <c r="VDQ7"/>
      <c r="VDR7"/>
      <c r="VDS7"/>
      <c r="VDT7"/>
      <c r="VDU7"/>
      <c r="VDV7"/>
      <c r="VDW7"/>
      <c r="VDX7"/>
      <c r="VDY7"/>
      <c r="VDZ7"/>
      <c r="VEA7"/>
      <c r="VEB7"/>
      <c r="VEC7"/>
      <c r="VED7"/>
      <c r="VEE7"/>
      <c r="VEF7"/>
      <c r="VEG7"/>
      <c r="VEH7"/>
      <c r="VEI7"/>
      <c r="VEJ7"/>
      <c r="VEK7"/>
      <c r="VEL7"/>
      <c r="VEM7"/>
      <c r="VEN7"/>
      <c r="VEO7"/>
      <c r="VEP7"/>
      <c r="VEQ7"/>
      <c r="VER7"/>
      <c r="VES7"/>
      <c r="VET7"/>
      <c r="VEU7"/>
      <c r="VEV7"/>
      <c r="VEW7"/>
      <c r="VEX7"/>
      <c r="VEY7"/>
      <c r="VEZ7"/>
      <c r="VFA7"/>
      <c r="VFB7"/>
      <c r="VFC7"/>
      <c r="VFD7"/>
      <c r="VFE7"/>
      <c r="VFF7"/>
      <c r="VFG7"/>
      <c r="VFH7"/>
      <c r="VFI7"/>
      <c r="VFJ7"/>
      <c r="VFK7"/>
      <c r="VFL7"/>
      <c r="VFM7"/>
      <c r="VFN7"/>
      <c r="VFO7"/>
      <c r="VFP7"/>
      <c r="VFQ7"/>
      <c r="VFR7"/>
      <c r="VFS7"/>
      <c r="VFT7"/>
      <c r="VFU7"/>
      <c r="VFV7"/>
      <c r="VFW7"/>
      <c r="VFX7"/>
      <c r="VFY7"/>
      <c r="VFZ7"/>
      <c r="VGA7"/>
      <c r="VGB7"/>
      <c r="VGC7"/>
      <c r="VGD7"/>
      <c r="VGE7"/>
      <c r="VGF7"/>
      <c r="VGG7"/>
      <c r="VGH7"/>
      <c r="VGI7"/>
      <c r="VGJ7"/>
      <c r="VGK7"/>
      <c r="VGL7"/>
      <c r="VGM7"/>
      <c r="VGN7"/>
      <c r="VGO7"/>
      <c r="VGP7"/>
      <c r="VGQ7"/>
      <c r="VGR7"/>
      <c r="VGS7"/>
      <c r="VGT7"/>
      <c r="VGU7"/>
      <c r="VGV7"/>
      <c r="VGW7"/>
      <c r="VGX7"/>
      <c r="VGY7"/>
      <c r="VGZ7"/>
      <c r="VHA7"/>
      <c r="VHB7"/>
      <c r="VHC7"/>
      <c r="VHD7"/>
      <c r="VHE7"/>
      <c r="VHF7"/>
      <c r="VHG7"/>
      <c r="VHH7"/>
      <c r="VHI7"/>
      <c r="VHJ7"/>
      <c r="VHK7"/>
      <c r="VHL7"/>
      <c r="VHM7"/>
      <c r="VHN7"/>
      <c r="VHO7"/>
      <c r="VHP7"/>
      <c r="VHQ7"/>
      <c r="VHR7"/>
      <c r="VHS7"/>
      <c r="VHT7"/>
      <c r="VHU7"/>
      <c r="VHV7"/>
      <c r="VHW7"/>
      <c r="VHX7"/>
      <c r="VHY7"/>
      <c r="VHZ7"/>
      <c r="VIA7"/>
      <c r="VIB7"/>
      <c r="VIC7"/>
      <c r="VID7"/>
      <c r="VIE7"/>
      <c r="VIF7"/>
      <c r="VIG7"/>
      <c r="VIH7"/>
      <c r="VII7"/>
      <c r="VIJ7"/>
      <c r="VIK7"/>
      <c r="VIL7"/>
      <c r="VIM7"/>
      <c r="VIN7"/>
      <c r="VIO7"/>
      <c r="VIP7"/>
      <c r="VIQ7"/>
      <c r="VIR7"/>
      <c r="VIS7"/>
      <c r="VIT7"/>
      <c r="VIU7"/>
      <c r="VIV7"/>
      <c r="VIW7"/>
      <c r="VIX7"/>
      <c r="VIY7"/>
      <c r="VIZ7"/>
      <c r="VJA7"/>
      <c r="VJB7"/>
      <c r="VJC7"/>
      <c r="VJD7"/>
      <c r="VJE7"/>
      <c r="VJF7"/>
      <c r="VJG7"/>
      <c r="VJH7"/>
      <c r="VJI7"/>
      <c r="VJJ7"/>
      <c r="VJK7"/>
      <c r="VJL7"/>
      <c r="VJM7"/>
      <c r="VJN7"/>
      <c r="VJO7"/>
      <c r="VJP7"/>
      <c r="VJQ7"/>
      <c r="VJR7"/>
      <c r="VJS7"/>
      <c r="VJT7"/>
      <c r="VJU7"/>
      <c r="VJV7"/>
      <c r="VJW7"/>
      <c r="VJX7"/>
      <c r="VJY7"/>
      <c r="VJZ7"/>
      <c r="VKA7"/>
      <c r="VKB7"/>
      <c r="VKC7"/>
      <c r="VKD7"/>
      <c r="VKE7"/>
      <c r="VKF7"/>
      <c r="VKG7"/>
      <c r="VKH7"/>
      <c r="VKI7"/>
      <c r="VKJ7"/>
      <c r="VKK7"/>
      <c r="VKL7"/>
      <c r="VKM7"/>
      <c r="VKN7"/>
      <c r="VKO7"/>
      <c r="VKP7"/>
      <c r="VKQ7"/>
      <c r="VKR7"/>
      <c r="VKS7"/>
      <c r="VKT7"/>
      <c r="VKU7"/>
      <c r="VKV7"/>
      <c r="VKW7"/>
      <c r="VKX7"/>
      <c r="VKY7"/>
      <c r="VKZ7"/>
      <c r="VLA7"/>
      <c r="VLB7"/>
      <c r="VLC7"/>
      <c r="VLD7"/>
      <c r="VLE7"/>
      <c r="VLF7"/>
      <c r="VLG7"/>
      <c r="VLH7"/>
      <c r="VLI7"/>
      <c r="VLJ7"/>
      <c r="VLK7"/>
      <c r="VLL7"/>
      <c r="VLM7"/>
      <c r="VLN7"/>
      <c r="VLO7"/>
      <c r="VLP7"/>
      <c r="VLQ7"/>
      <c r="VLR7"/>
      <c r="VLS7"/>
      <c r="VLT7"/>
      <c r="VLU7"/>
      <c r="VLV7"/>
      <c r="VLW7"/>
      <c r="VLX7"/>
      <c r="VLY7"/>
      <c r="VLZ7"/>
      <c r="VMA7"/>
      <c r="VMB7"/>
      <c r="VMC7"/>
      <c r="VMD7"/>
      <c r="VME7"/>
      <c r="VMF7"/>
      <c r="VMG7"/>
      <c r="VMH7"/>
      <c r="VMI7"/>
      <c r="VMJ7"/>
      <c r="VMK7"/>
      <c r="VML7"/>
      <c r="VMM7"/>
      <c r="VMN7"/>
      <c r="VMO7"/>
      <c r="VMP7"/>
      <c r="VMQ7"/>
      <c r="VMR7"/>
      <c r="VMS7"/>
      <c r="VMT7"/>
      <c r="VMU7"/>
      <c r="VMV7"/>
      <c r="VMW7"/>
      <c r="VMX7"/>
      <c r="VMY7"/>
      <c r="VMZ7"/>
      <c r="VNA7"/>
      <c r="VNB7"/>
      <c r="VNC7"/>
      <c r="VND7"/>
      <c r="VNE7"/>
      <c r="VNF7"/>
      <c r="VNG7"/>
      <c r="VNH7"/>
      <c r="VNI7"/>
      <c r="VNJ7"/>
      <c r="VNK7"/>
      <c r="VNL7"/>
      <c r="VNM7"/>
      <c r="VNN7"/>
      <c r="VNO7"/>
      <c r="VNP7"/>
      <c r="VNQ7"/>
      <c r="VNR7"/>
      <c r="VNS7"/>
      <c r="VNT7"/>
      <c r="VNU7"/>
      <c r="VNV7"/>
      <c r="VNW7"/>
      <c r="VNX7"/>
      <c r="VNY7"/>
      <c r="VNZ7"/>
      <c r="VOA7"/>
      <c r="VOB7"/>
      <c r="VOC7"/>
      <c r="VOD7"/>
      <c r="VOE7"/>
      <c r="VOF7"/>
      <c r="VOG7"/>
      <c r="VOH7"/>
      <c r="VOI7"/>
      <c r="VOJ7"/>
      <c r="VOK7"/>
      <c r="VOL7"/>
      <c r="VOM7"/>
      <c r="VON7"/>
      <c r="VOO7"/>
      <c r="VOP7"/>
      <c r="VOQ7"/>
      <c r="VOR7"/>
      <c r="VOS7"/>
      <c r="VOT7"/>
      <c r="VOU7"/>
      <c r="VOV7"/>
      <c r="VOW7"/>
      <c r="VOX7"/>
      <c r="VOY7"/>
      <c r="VOZ7"/>
      <c r="VPA7"/>
      <c r="VPB7"/>
      <c r="VPC7"/>
      <c r="VPD7"/>
      <c r="VPE7"/>
      <c r="VPF7"/>
      <c r="VPG7"/>
      <c r="VPH7"/>
      <c r="VPI7"/>
      <c r="VPJ7"/>
      <c r="VPK7"/>
      <c r="VPL7"/>
      <c r="VPM7"/>
      <c r="VPN7"/>
      <c r="VPO7"/>
      <c r="VPP7"/>
      <c r="VPQ7"/>
      <c r="VPR7"/>
      <c r="VPS7"/>
      <c r="VPT7"/>
      <c r="VPU7"/>
      <c r="VPV7"/>
      <c r="VPW7"/>
      <c r="VPX7"/>
      <c r="VPY7"/>
      <c r="VPZ7"/>
      <c r="VQA7"/>
      <c r="VQB7"/>
      <c r="VQC7"/>
      <c r="VQD7"/>
      <c r="VQE7"/>
      <c r="VQF7"/>
      <c r="VQG7"/>
      <c r="VQH7"/>
      <c r="VQI7"/>
      <c r="VQJ7"/>
      <c r="VQK7"/>
      <c r="VQL7"/>
      <c r="VQM7"/>
      <c r="VQN7"/>
      <c r="VQO7"/>
      <c r="VQP7"/>
      <c r="VQQ7"/>
      <c r="VQR7"/>
      <c r="VQS7"/>
      <c r="VQT7"/>
      <c r="VQU7"/>
      <c r="VQV7"/>
      <c r="VQW7"/>
      <c r="VQX7"/>
      <c r="VQY7"/>
      <c r="VQZ7"/>
      <c r="VRA7"/>
      <c r="VRB7"/>
      <c r="VRC7"/>
      <c r="VRD7"/>
      <c r="VRE7"/>
      <c r="VRF7"/>
      <c r="VRG7"/>
      <c r="VRH7"/>
      <c r="VRI7"/>
      <c r="VRJ7"/>
      <c r="VRK7"/>
      <c r="VRL7"/>
      <c r="VRM7"/>
      <c r="VRN7"/>
      <c r="VRO7"/>
      <c r="VRP7"/>
      <c r="VRQ7"/>
      <c r="VRR7"/>
      <c r="VRS7"/>
      <c r="VRT7"/>
      <c r="VRU7"/>
      <c r="VRV7"/>
      <c r="VRW7"/>
      <c r="VRX7"/>
      <c r="VRY7"/>
      <c r="VRZ7"/>
      <c r="VSA7"/>
      <c r="VSB7"/>
      <c r="VSC7"/>
      <c r="VSD7"/>
      <c r="VSE7"/>
      <c r="VSF7"/>
      <c r="VSG7"/>
      <c r="VSH7"/>
      <c r="VSI7"/>
      <c r="VSJ7"/>
      <c r="VSK7"/>
      <c r="VSL7"/>
      <c r="VSM7"/>
      <c r="VSN7"/>
      <c r="VSO7"/>
      <c r="VSP7"/>
      <c r="VSQ7"/>
      <c r="VSR7"/>
      <c r="VSS7"/>
      <c r="VST7"/>
      <c r="VSU7"/>
      <c r="VSV7"/>
      <c r="VSW7"/>
      <c r="VSX7"/>
      <c r="VSY7"/>
      <c r="VSZ7"/>
      <c r="VTA7"/>
      <c r="VTB7"/>
      <c r="VTC7"/>
      <c r="VTD7"/>
      <c r="VTE7"/>
      <c r="VTF7"/>
      <c r="VTG7"/>
      <c r="VTH7"/>
      <c r="VTI7"/>
      <c r="VTJ7"/>
      <c r="VTK7"/>
      <c r="VTL7"/>
      <c r="VTM7"/>
      <c r="VTN7"/>
      <c r="VTO7"/>
      <c r="VTP7"/>
      <c r="VTQ7"/>
      <c r="VTR7"/>
      <c r="VTS7"/>
      <c r="VTT7"/>
      <c r="VTU7"/>
      <c r="VTV7"/>
      <c r="VTW7"/>
      <c r="VTX7"/>
      <c r="VTY7"/>
      <c r="VTZ7"/>
      <c r="VUA7"/>
      <c r="VUB7"/>
      <c r="VUC7"/>
      <c r="VUD7"/>
      <c r="VUE7"/>
      <c r="VUF7"/>
      <c r="VUG7"/>
      <c r="VUH7"/>
      <c r="VUI7"/>
      <c r="VUJ7"/>
      <c r="VUK7"/>
      <c r="VUL7"/>
      <c r="VUM7"/>
      <c r="VUN7"/>
      <c r="VUO7"/>
      <c r="VUP7"/>
      <c r="VUQ7"/>
      <c r="VUR7"/>
      <c r="VUS7"/>
      <c r="VUT7"/>
      <c r="VUU7"/>
      <c r="VUV7"/>
      <c r="VUW7"/>
      <c r="VUX7"/>
      <c r="VUY7"/>
      <c r="VUZ7"/>
      <c r="VVA7"/>
      <c r="VVB7"/>
      <c r="VVC7"/>
      <c r="VVD7"/>
      <c r="VVE7"/>
      <c r="VVF7"/>
      <c r="VVG7"/>
      <c r="VVH7"/>
      <c r="VVI7"/>
      <c r="VVJ7"/>
      <c r="VVK7"/>
      <c r="VVL7"/>
      <c r="VVM7"/>
      <c r="VVN7"/>
      <c r="VVO7"/>
      <c r="VVP7"/>
      <c r="VVQ7"/>
      <c r="VVR7"/>
      <c r="VVS7"/>
      <c r="VVT7"/>
      <c r="VVU7"/>
      <c r="VVV7"/>
      <c r="VVW7"/>
      <c r="VVX7"/>
      <c r="VVY7"/>
      <c r="VVZ7"/>
      <c r="VWA7"/>
      <c r="VWB7"/>
      <c r="VWC7"/>
      <c r="VWD7"/>
      <c r="VWE7"/>
      <c r="VWF7"/>
      <c r="VWG7"/>
      <c r="VWH7"/>
      <c r="VWI7"/>
      <c r="VWJ7"/>
      <c r="VWK7"/>
      <c r="VWL7"/>
      <c r="VWM7"/>
      <c r="VWN7"/>
      <c r="VWO7"/>
      <c r="VWP7"/>
      <c r="VWQ7"/>
      <c r="VWR7"/>
      <c r="VWS7"/>
      <c r="VWT7"/>
      <c r="VWU7"/>
      <c r="VWV7"/>
      <c r="VWW7"/>
      <c r="VWX7"/>
      <c r="VWY7"/>
      <c r="VWZ7"/>
      <c r="VXA7"/>
      <c r="VXB7"/>
      <c r="VXC7"/>
      <c r="VXD7"/>
      <c r="VXE7"/>
      <c r="VXF7"/>
      <c r="VXG7"/>
      <c r="VXH7"/>
      <c r="VXI7"/>
      <c r="VXJ7"/>
      <c r="VXK7"/>
      <c r="VXL7"/>
      <c r="VXM7"/>
      <c r="VXN7"/>
      <c r="VXO7"/>
      <c r="VXP7"/>
      <c r="VXQ7"/>
      <c r="VXR7"/>
      <c r="VXS7"/>
      <c r="VXT7"/>
      <c r="VXU7"/>
      <c r="VXV7"/>
      <c r="VXW7"/>
      <c r="VXX7"/>
      <c r="VXY7"/>
      <c r="VXZ7"/>
      <c r="VYA7"/>
      <c r="VYB7"/>
      <c r="VYC7"/>
      <c r="VYD7"/>
      <c r="VYE7"/>
      <c r="VYF7"/>
      <c r="VYG7"/>
      <c r="VYH7"/>
      <c r="VYI7"/>
      <c r="VYJ7"/>
      <c r="VYK7"/>
      <c r="VYL7"/>
      <c r="VYM7"/>
      <c r="VYN7"/>
      <c r="VYO7"/>
      <c r="VYP7"/>
      <c r="VYQ7"/>
      <c r="VYR7"/>
      <c r="VYS7"/>
      <c r="VYT7"/>
      <c r="VYU7"/>
      <c r="VYV7"/>
      <c r="VYW7"/>
      <c r="VYX7"/>
      <c r="VYY7"/>
      <c r="VYZ7"/>
      <c r="VZA7"/>
      <c r="VZB7"/>
      <c r="VZC7"/>
      <c r="VZD7"/>
      <c r="VZE7"/>
      <c r="VZF7"/>
      <c r="VZG7"/>
      <c r="VZH7"/>
      <c r="VZI7"/>
      <c r="VZJ7"/>
      <c r="VZK7"/>
      <c r="VZL7"/>
      <c r="VZM7"/>
      <c r="VZN7"/>
      <c r="VZO7"/>
      <c r="VZP7"/>
      <c r="VZQ7"/>
      <c r="VZR7"/>
      <c r="VZS7"/>
      <c r="VZT7"/>
      <c r="VZU7"/>
      <c r="VZV7"/>
      <c r="VZW7"/>
      <c r="VZX7"/>
      <c r="VZY7"/>
      <c r="VZZ7"/>
      <c r="WAA7"/>
      <c r="WAB7"/>
      <c r="WAC7"/>
      <c r="WAD7"/>
      <c r="WAE7"/>
      <c r="WAF7"/>
      <c r="WAG7"/>
      <c r="WAH7"/>
      <c r="WAI7"/>
      <c r="WAJ7"/>
      <c r="WAK7"/>
      <c r="WAL7"/>
      <c r="WAM7"/>
      <c r="WAN7"/>
      <c r="WAO7"/>
      <c r="WAP7"/>
      <c r="WAQ7"/>
      <c r="WAR7"/>
      <c r="WAS7"/>
      <c r="WAT7"/>
      <c r="WAU7"/>
      <c r="WAV7"/>
      <c r="WAW7"/>
      <c r="WAX7"/>
      <c r="WAY7"/>
      <c r="WAZ7"/>
      <c r="WBA7"/>
      <c r="WBB7"/>
      <c r="WBC7"/>
      <c r="WBD7"/>
      <c r="WBE7"/>
      <c r="WBF7"/>
      <c r="WBG7"/>
      <c r="WBH7"/>
      <c r="WBI7"/>
      <c r="WBJ7"/>
      <c r="WBK7"/>
      <c r="WBL7"/>
      <c r="WBM7"/>
      <c r="WBN7"/>
      <c r="WBO7"/>
      <c r="WBP7"/>
      <c r="WBQ7"/>
      <c r="WBR7"/>
      <c r="WBS7"/>
      <c r="WBT7"/>
      <c r="WBU7"/>
      <c r="WBV7"/>
      <c r="WBW7"/>
      <c r="WBX7"/>
      <c r="WBY7"/>
      <c r="WBZ7"/>
      <c r="WCA7"/>
      <c r="WCB7"/>
      <c r="WCC7"/>
      <c r="WCD7"/>
      <c r="WCE7"/>
      <c r="WCF7"/>
      <c r="WCG7"/>
      <c r="WCH7"/>
      <c r="WCI7"/>
      <c r="WCJ7"/>
      <c r="WCK7"/>
      <c r="WCL7"/>
      <c r="WCM7"/>
      <c r="WCN7"/>
      <c r="WCO7"/>
      <c r="WCP7"/>
      <c r="WCQ7"/>
      <c r="WCR7"/>
      <c r="WCS7"/>
      <c r="WCT7"/>
      <c r="WCU7"/>
      <c r="WCV7"/>
      <c r="WCW7"/>
      <c r="WCX7"/>
      <c r="WCY7"/>
      <c r="WCZ7"/>
      <c r="WDA7"/>
      <c r="WDB7"/>
      <c r="WDC7"/>
      <c r="WDD7"/>
      <c r="WDE7"/>
      <c r="WDF7"/>
      <c r="WDG7"/>
      <c r="WDH7"/>
      <c r="WDI7"/>
      <c r="WDJ7"/>
      <c r="WDK7"/>
      <c r="WDL7"/>
      <c r="WDM7"/>
      <c r="WDN7"/>
      <c r="WDO7"/>
      <c r="WDP7"/>
      <c r="WDQ7"/>
      <c r="WDR7"/>
      <c r="WDS7"/>
      <c r="WDT7"/>
      <c r="WDU7"/>
      <c r="WDV7"/>
      <c r="WDW7"/>
      <c r="WDX7"/>
      <c r="WDY7"/>
      <c r="WDZ7"/>
      <c r="WEA7"/>
      <c r="WEB7"/>
      <c r="WEC7"/>
      <c r="WED7"/>
      <c r="WEE7"/>
      <c r="WEF7"/>
      <c r="WEG7"/>
      <c r="WEH7"/>
      <c r="WEI7"/>
      <c r="WEJ7"/>
      <c r="WEK7"/>
      <c r="WEL7"/>
      <c r="WEM7"/>
      <c r="WEN7"/>
      <c r="WEO7"/>
      <c r="WEP7"/>
      <c r="WEQ7"/>
      <c r="WER7"/>
      <c r="WES7"/>
      <c r="WET7"/>
      <c r="WEU7"/>
      <c r="WEV7"/>
      <c r="WEW7"/>
      <c r="WEX7"/>
      <c r="WEY7"/>
      <c r="WEZ7"/>
      <c r="WFA7"/>
      <c r="WFB7"/>
      <c r="WFC7"/>
      <c r="WFD7"/>
      <c r="WFE7"/>
      <c r="WFF7"/>
      <c r="WFG7"/>
      <c r="WFH7"/>
      <c r="WFI7"/>
      <c r="WFJ7"/>
      <c r="WFK7"/>
      <c r="WFL7"/>
      <c r="WFM7"/>
      <c r="WFN7"/>
      <c r="WFO7"/>
      <c r="WFP7"/>
      <c r="WFQ7"/>
      <c r="WFR7"/>
      <c r="WFS7"/>
      <c r="WFT7"/>
      <c r="WFU7"/>
      <c r="WFV7"/>
      <c r="WFW7"/>
      <c r="WFX7"/>
      <c r="WFY7"/>
      <c r="WFZ7"/>
      <c r="WGA7"/>
      <c r="WGB7"/>
      <c r="WGC7"/>
      <c r="WGD7"/>
      <c r="WGE7"/>
      <c r="WGF7"/>
      <c r="WGG7"/>
      <c r="WGH7"/>
      <c r="WGI7"/>
      <c r="WGJ7"/>
      <c r="WGK7"/>
      <c r="WGL7"/>
      <c r="WGM7"/>
      <c r="WGN7"/>
      <c r="WGO7"/>
      <c r="WGP7"/>
      <c r="WGQ7"/>
      <c r="WGR7"/>
      <c r="WGS7"/>
      <c r="WGT7"/>
      <c r="WGU7"/>
      <c r="WGV7"/>
      <c r="WGW7"/>
      <c r="WGX7"/>
      <c r="WGY7"/>
      <c r="WGZ7"/>
      <c r="WHA7"/>
      <c r="WHB7"/>
      <c r="WHC7"/>
      <c r="WHD7"/>
      <c r="WHE7"/>
      <c r="WHF7"/>
      <c r="WHG7"/>
      <c r="WHH7"/>
      <c r="WHI7"/>
      <c r="WHJ7"/>
      <c r="WHK7"/>
      <c r="WHL7"/>
      <c r="WHM7"/>
      <c r="WHN7"/>
      <c r="WHO7"/>
      <c r="WHP7"/>
      <c r="WHQ7"/>
      <c r="WHR7"/>
      <c r="WHS7"/>
      <c r="WHT7"/>
      <c r="WHU7"/>
      <c r="WHV7"/>
      <c r="WHW7"/>
      <c r="WHX7"/>
      <c r="WHY7"/>
      <c r="WHZ7"/>
      <c r="WIA7"/>
      <c r="WIB7"/>
      <c r="WIC7"/>
      <c r="WID7"/>
      <c r="WIE7"/>
      <c r="WIF7"/>
      <c r="WIG7"/>
      <c r="WIH7"/>
      <c r="WII7"/>
      <c r="WIJ7"/>
      <c r="WIK7"/>
      <c r="WIL7"/>
      <c r="WIM7"/>
      <c r="WIN7"/>
      <c r="WIO7"/>
      <c r="WIP7"/>
      <c r="WIQ7"/>
      <c r="WIR7"/>
      <c r="WIS7"/>
      <c r="WIT7"/>
      <c r="WIU7"/>
      <c r="WIV7"/>
      <c r="WIW7"/>
      <c r="WIX7"/>
      <c r="WIY7"/>
      <c r="WIZ7"/>
      <c r="WJA7"/>
      <c r="WJB7"/>
      <c r="WJC7"/>
      <c r="WJD7"/>
      <c r="WJE7"/>
      <c r="WJF7"/>
      <c r="WJG7"/>
      <c r="WJH7"/>
      <c r="WJI7"/>
      <c r="WJJ7"/>
      <c r="WJK7"/>
      <c r="WJL7"/>
      <c r="WJM7"/>
      <c r="WJN7"/>
      <c r="WJO7"/>
      <c r="WJP7"/>
      <c r="WJQ7"/>
      <c r="WJR7"/>
      <c r="WJS7"/>
      <c r="WJT7"/>
      <c r="WJU7"/>
      <c r="WJV7"/>
      <c r="WJW7"/>
      <c r="WJX7"/>
      <c r="WJY7"/>
      <c r="WJZ7"/>
      <c r="WKA7"/>
      <c r="WKB7"/>
      <c r="WKC7"/>
      <c r="WKD7"/>
      <c r="WKE7"/>
      <c r="WKF7"/>
      <c r="WKG7"/>
      <c r="WKH7"/>
      <c r="WKI7"/>
      <c r="WKJ7"/>
      <c r="WKK7"/>
      <c r="WKL7"/>
      <c r="WKM7"/>
      <c r="WKN7"/>
      <c r="WKO7"/>
      <c r="WKP7"/>
      <c r="WKQ7"/>
      <c r="WKR7"/>
      <c r="WKS7"/>
      <c r="WKT7"/>
      <c r="WKU7"/>
      <c r="WKV7"/>
      <c r="WKW7"/>
      <c r="WKX7"/>
      <c r="WKY7"/>
      <c r="WKZ7"/>
      <c r="WLA7"/>
      <c r="WLB7"/>
      <c r="WLC7"/>
      <c r="WLD7"/>
      <c r="WLE7"/>
      <c r="WLF7"/>
      <c r="WLG7"/>
      <c r="WLH7"/>
      <c r="WLI7"/>
      <c r="WLJ7"/>
      <c r="WLK7"/>
      <c r="WLL7"/>
      <c r="WLM7"/>
      <c r="WLN7"/>
      <c r="WLO7"/>
      <c r="WLP7"/>
      <c r="WLQ7"/>
      <c r="WLR7"/>
      <c r="WLS7"/>
      <c r="WLT7"/>
      <c r="WLU7"/>
      <c r="WLV7"/>
      <c r="WLW7"/>
      <c r="WLX7"/>
      <c r="WLY7"/>
      <c r="WLZ7"/>
      <c r="WMA7"/>
      <c r="WMB7"/>
      <c r="WMC7"/>
      <c r="WMD7"/>
      <c r="WME7"/>
      <c r="WMF7"/>
      <c r="WMG7"/>
      <c r="WMH7"/>
      <c r="WMI7"/>
      <c r="WMJ7"/>
      <c r="WMK7"/>
      <c r="WML7"/>
      <c r="WMM7"/>
      <c r="WMN7"/>
      <c r="WMO7"/>
      <c r="WMP7"/>
      <c r="WMQ7"/>
      <c r="WMR7"/>
      <c r="WMS7"/>
      <c r="WMT7"/>
      <c r="WMU7"/>
      <c r="WMV7"/>
      <c r="WMW7"/>
      <c r="WMX7"/>
      <c r="WMY7"/>
      <c r="WMZ7"/>
      <c r="WNA7"/>
      <c r="WNB7"/>
      <c r="WNC7"/>
      <c r="WND7"/>
      <c r="WNE7"/>
      <c r="WNF7"/>
      <c r="WNG7"/>
      <c r="WNH7"/>
      <c r="WNI7"/>
      <c r="WNJ7"/>
      <c r="WNK7"/>
      <c r="WNL7"/>
      <c r="WNM7"/>
      <c r="WNN7"/>
      <c r="WNO7"/>
      <c r="WNP7"/>
      <c r="WNQ7"/>
      <c r="WNR7"/>
      <c r="WNS7"/>
      <c r="WNT7"/>
      <c r="WNU7"/>
      <c r="WNV7"/>
      <c r="WNW7"/>
      <c r="WNX7"/>
      <c r="WNY7"/>
      <c r="WNZ7"/>
      <c r="WOA7"/>
      <c r="WOB7"/>
      <c r="WOC7"/>
      <c r="WOD7"/>
      <c r="WOE7"/>
      <c r="WOF7"/>
      <c r="WOG7"/>
      <c r="WOH7"/>
      <c r="WOI7"/>
      <c r="WOJ7"/>
      <c r="WOK7"/>
      <c r="WOL7"/>
      <c r="WOM7"/>
      <c r="WON7"/>
      <c r="WOO7"/>
      <c r="WOP7"/>
      <c r="WOQ7"/>
      <c r="WOR7"/>
      <c r="WOS7"/>
      <c r="WOT7"/>
      <c r="WOU7"/>
      <c r="WOV7"/>
      <c r="WOW7"/>
      <c r="WOX7"/>
      <c r="WOY7"/>
      <c r="WOZ7"/>
      <c r="WPA7"/>
      <c r="WPB7"/>
      <c r="WPC7"/>
      <c r="WPD7"/>
      <c r="WPE7"/>
      <c r="WPF7"/>
      <c r="WPG7"/>
      <c r="WPH7"/>
      <c r="WPI7"/>
      <c r="WPJ7"/>
      <c r="WPK7"/>
      <c r="WPL7"/>
      <c r="WPM7"/>
      <c r="WPN7"/>
      <c r="WPO7"/>
      <c r="WPP7"/>
      <c r="WPQ7"/>
      <c r="WPR7"/>
      <c r="WPS7"/>
      <c r="WPT7"/>
      <c r="WPU7"/>
      <c r="WPV7"/>
      <c r="WPW7"/>
      <c r="WPX7"/>
      <c r="WPY7"/>
      <c r="WPZ7"/>
      <c r="WQA7"/>
      <c r="WQB7"/>
      <c r="WQC7"/>
      <c r="WQD7"/>
      <c r="WQE7"/>
      <c r="WQF7"/>
      <c r="WQG7"/>
      <c r="WQH7"/>
      <c r="WQI7"/>
      <c r="WQJ7"/>
      <c r="WQK7"/>
      <c r="WQL7"/>
      <c r="WQM7"/>
      <c r="WQN7"/>
      <c r="WQO7"/>
      <c r="WQP7"/>
      <c r="WQQ7"/>
      <c r="WQR7"/>
      <c r="WQS7"/>
      <c r="WQT7"/>
      <c r="WQU7"/>
      <c r="WQV7"/>
      <c r="WQW7"/>
      <c r="WQX7"/>
      <c r="WQY7"/>
      <c r="WQZ7"/>
      <c r="WRA7"/>
      <c r="WRB7"/>
      <c r="WRC7"/>
      <c r="WRD7"/>
      <c r="WRE7"/>
      <c r="WRF7"/>
      <c r="WRG7"/>
      <c r="WRH7"/>
      <c r="WRI7"/>
      <c r="WRJ7"/>
      <c r="WRK7"/>
      <c r="WRL7"/>
      <c r="WRM7"/>
      <c r="WRN7"/>
      <c r="WRO7"/>
      <c r="WRP7"/>
      <c r="WRQ7"/>
      <c r="WRR7"/>
      <c r="WRS7"/>
      <c r="WRT7"/>
      <c r="WRU7"/>
      <c r="WRV7"/>
      <c r="WRW7"/>
      <c r="WRX7"/>
      <c r="WRY7"/>
      <c r="WRZ7"/>
      <c r="WSA7"/>
      <c r="WSB7"/>
      <c r="WSC7"/>
      <c r="WSD7"/>
      <c r="WSE7"/>
      <c r="WSF7"/>
      <c r="WSG7"/>
      <c r="WSH7"/>
      <c r="WSI7"/>
      <c r="WSJ7"/>
      <c r="WSK7"/>
      <c r="WSL7"/>
      <c r="WSM7"/>
      <c r="WSN7"/>
      <c r="WSO7"/>
      <c r="WSP7"/>
      <c r="WSQ7"/>
      <c r="WSR7"/>
      <c r="WSS7"/>
      <c r="WST7"/>
      <c r="WSU7"/>
      <c r="WSV7"/>
      <c r="WSW7"/>
      <c r="WSX7"/>
      <c r="WSY7"/>
      <c r="WSZ7"/>
      <c r="WTA7"/>
      <c r="WTB7"/>
      <c r="WTC7"/>
      <c r="WTD7"/>
      <c r="WTE7"/>
      <c r="WTF7"/>
      <c r="WTG7"/>
      <c r="WTH7"/>
      <c r="WTI7"/>
      <c r="WTJ7"/>
      <c r="WTK7"/>
      <c r="WTL7"/>
      <c r="WTM7"/>
      <c r="WTN7"/>
      <c r="WTO7"/>
      <c r="WTP7"/>
      <c r="WTQ7"/>
      <c r="WTR7"/>
      <c r="WTS7"/>
      <c r="WTT7"/>
      <c r="WTU7"/>
      <c r="WTV7"/>
      <c r="WTW7"/>
      <c r="WTX7"/>
      <c r="WTY7"/>
      <c r="WTZ7"/>
      <c r="WUA7"/>
      <c r="WUB7"/>
      <c r="WUC7"/>
      <c r="WUD7"/>
      <c r="WUE7"/>
      <c r="WUF7"/>
      <c r="WUG7"/>
      <c r="WUH7"/>
      <c r="WUI7"/>
      <c r="WUJ7"/>
      <c r="WUK7"/>
      <c r="WUL7"/>
      <c r="WUM7"/>
      <c r="WUN7"/>
      <c r="WUO7"/>
      <c r="WUP7"/>
      <c r="WUQ7"/>
      <c r="WUR7"/>
      <c r="WUS7"/>
      <c r="WUT7"/>
      <c r="WUU7"/>
      <c r="WUV7"/>
      <c r="WUW7"/>
      <c r="WUX7"/>
      <c r="WUY7"/>
      <c r="WUZ7"/>
      <c r="WVA7"/>
      <c r="WVB7"/>
      <c r="WVC7"/>
      <c r="WVD7"/>
      <c r="WVE7"/>
      <c r="WVF7"/>
      <c r="WVG7"/>
      <c r="WVH7"/>
      <c r="WVI7"/>
      <c r="WVJ7"/>
      <c r="WVK7"/>
      <c r="WVL7"/>
      <c r="WVM7"/>
      <c r="WVN7"/>
      <c r="WVO7"/>
      <c r="WVP7"/>
      <c r="WVQ7"/>
      <c r="WVR7"/>
      <c r="WVS7"/>
      <c r="WVT7"/>
      <c r="WVU7"/>
      <c r="WVV7"/>
      <c r="WVW7"/>
      <c r="WVX7"/>
      <c r="WVY7"/>
      <c r="WVZ7"/>
      <c r="WWA7"/>
      <c r="WWB7"/>
      <c r="WWC7"/>
      <c r="WWD7"/>
      <c r="WWE7"/>
      <c r="WWF7"/>
      <c r="WWG7"/>
      <c r="WWH7"/>
      <c r="WWI7"/>
      <c r="WWJ7"/>
      <c r="WWK7"/>
      <c r="WWL7"/>
      <c r="WWM7"/>
      <c r="WWN7"/>
      <c r="WWO7"/>
      <c r="WWP7"/>
      <c r="WWQ7"/>
      <c r="WWR7"/>
      <c r="WWS7"/>
      <c r="WWT7"/>
      <c r="WWU7"/>
      <c r="WWV7"/>
      <c r="WWW7"/>
      <c r="WWX7"/>
      <c r="WWY7"/>
      <c r="WWZ7"/>
      <c r="WXA7"/>
      <c r="WXB7"/>
      <c r="WXC7"/>
      <c r="WXD7"/>
      <c r="WXE7"/>
      <c r="WXF7"/>
      <c r="WXG7"/>
      <c r="WXH7"/>
      <c r="WXI7"/>
      <c r="WXJ7"/>
      <c r="WXK7"/>
      <c r="WXL7"/>
      <c r="WXM7"/>
      <c r="WXN7"/>
      <c r="WXO7"/>
      <c r="WXP7"/>
      <c r="WXQ7"/>
      <c r="WXR7"/>
      <c r="WXS7"/>
      <c r="WXT7"/>
      <c r="WXU7"/>
      <c r="WXV7"/>
      <c r="WXW7"/>
      <c r="WXX7"/>
      <c r="WXY7"/>
      <c r="WXZ7"/>
      <c r="WYA7"/>
      <c r="WYB7"/>
      <c r="WYC7"/>
      <c r="WYD7"/>
      <c r="WYE7"/>
      <c r="WYF7"/>
      <c r="WYG7"/>
      <c r="WYH7"/>
      <c r="WYI7"/>
      <c r="WYJ7"/>
      <c r="WYK7"/>
      <c r="WYL7"/>
      <c r="WYM7"/>
      <c r="WYN7"/>
      <c r="WYO7"/>
      <c r="WYP7"/>
      <c r="WYQ7"/>
      <c r="WYR7"/>
      <c r="WYS7"/>
      <c r="WYT7"/>
      <c r="WYU7"/>
      <c r="WYV7"/>
      <c r="WYW7"/>
      <c r="WYX7"/>
      <c r="WYY7"/>
      <c r="WYZ7"/>
      <c r="WZA7"/>
      <c r="WZB7"/>
      <c r="WZC7"/>
      <c r="WZD7"/>
      <c r="WZE7"/>
      <c r="WZF7"/>
      <c r="WZG7"/>
      <c r="WZH7"/>
      <c r="WZI7"/>
      <c r="WZJ7"/>
      <c r="WZK7"/>
      <c r="WZL7"/>
      <c r="WZM7"/>
      <c r="WZN7"/>
      <c r="WZO7"/>
      <c r="WZP7"/>
      <c r="WZQ7"/>
      <c r="WZR7"/>
      <c r="WZS7"/>
      <c r="WZT7"/>
      <c r="WZU7"/>
      <c r="WZV7"/>
      <c r="WZW7"/>
      <c r="WZX7"/>
      <c r="WZY7"/>
      <c r="WZZ7"/>
      <c r="XAA7"/>
      <c r="XAB7"/>
      <c r="XAC7"/>
      <c r="XAD7"/>
      <c r="XAE7"/>
      <c r="XAF7"/>
      <c r="XAG7"/>
      <c r="XAH7"/>
      <c r="XAI7"/>
      <c r="XAJ7"/>
      <c r="XAK7"/>
      <c r="XAL7"/>
      <c r="XAM7"/>
      <c r="XAN7"/>
      <c r="XAO7"/>
      <c r="XAP7"/>
      <c r="XAQ7"/>
      <c r="XAR7"/>
      <c r="XAS7"/>
      <c r="XAT7"/>
      <c r="XAU7"/>
      <c r="XAV7"/>
      <c r="XAW7"/>
      <c r="XAX7"/>
      <c r="XAY7"/>
      <c r="XAZ7"/>
      <c r="XBA7"/>
      <c r="XBB7"/>
      <c r="XBC7"/>
      <c r="XBD7"/>
      <c r="XBE7"/>
      <c r="XBF7"/>
      <c r="XBG7"/>
      <c r="XBH7"/>
      <c r="XBI7"/>
      <c r="XBJ7"/>
      <c r="XBK7"/>
      <c r="XBL7"/>
      <c r="XBM7"/>
      <c r="XBN7"/>
      <c r="XBO7"/>
      <c r="XBP7"/>
      <c r="XBQ7"/>
      <c r="XBR7"/>
      <c r="XBS7"/>
      <c r="XBT7"/>
      <c r="XBU7"/>
      <c r="XBV7"/>
      <c r="XBW7"/>
      <c r="XBX7"/>
      <c r="XBY7"/>
      <c r="XBZ7"/>
      <c r="XCA7"/>
      <c r="XCB7"/>
      <c r="XCC7"/>
      <c r="XCD7"/>
      <c r="XCE7"/>
      <c r="XCF7"/>
      <c r="XCG7"/>
      <c r="XCH7"/>
      <c r="XCI7"/>
      <c r="XCJ7"/>
      <c r="XCK7"/>
      <c r="XCL7"/>
      <c r="XCM7"/>
      <c r="XCN7"/>
      <c r="XCO7"/>
      <c r="XCP7"/>
      <c r="XCQ7"/>
      <c r="XCR7"/>
      <c r="XCS7"/>
      <c r="XCT7"/>
      <c r="XCU7"/>
      <c r="XCV7"/>
      <c r="XCW7"/>
      <c r="XCX7"/>
      <c r="XCY7"/>
      <c r="XCZ7"/>
      <c r="XDA7"/>
      <c r="XDB7"/>
      <c r="XDC7"/>
      <c r="XDD7"/>
      <c r="XDE7"/>
      <c r="XDF7"/>
      <c r="XDG7"/>
      <c r="XDH7"/>
      <c r="XDI7"/>
      <c r="XDJ7"/>
      <c r="XDK7"/>
      <c r="XDL7"/>
      <c r="XDM7"/>
      <c r="XDN7"/>
      <c r="XDO7"/>
      <c r="XDP7"/>
      <c r="XDQ7"/>
      <c r="XDR7"/>
      <c r="XDS7"/>
      <c r="XDT7"/>
      <c r="XDU7"/>
      <c r="XDV7"/>
      <c r="XDW7"/>
      <c r="XDX7"/>
      <c r="XDY7"/>
      <c r="XDZ7"/>
      <c r="XEA7"/>
      <c r="XEB7"/>
      <c r="XEC7"/>
      <c r="XED7"/>
      <c r="XEE7"/>
      <c r="XEF7"/>
      <c r="XEG7"/>
      <c r="XEH7"/>
      <c r="XEI7"/>
      <c r="XEJ7"/>
      <c r="XEK7"/>
      <c r="XEL7"/>
      <c r="XEM7"/>
      <c r="XEN7"/>
      <c r="XEO7"/>
      <c r="XEP7"/>
      <c r="XEQ7"/>
      <c r="XER7"/>
      <c r="XES7"/>
      <c r="XET7"/>
      <c r="XEU7"/>
      <c r="XEV7"/>
      <c r="XEW7"/>
      <c r="XEX7"/>
      <c r="XEY7"/>
      <c r="XEZ7"/>
      <c r="XFA7"/>
      <c r="XFB7"/>
      <c r="XFC7"/>
      <c r="XFD7"/>
    </row>
    <row r="8" spans="1:16384" ht="15" customHeight="1" x14ac:dyDescent="0.25">
      <c r="A8" s="63" t="str">
        <f>'Sups'' Final Roster 0823-0829'!A8</f>
        <v>Campero Juarez Maria Guadalupe</v>
      </c>
      <c r="B8" s="64" t="str">
        <f>'Sups'' Final Roster 0823-0829'!B8</f>
        <v>Criado Esteban</v>
      </c>
      <c r="C8" s="64"/>
      <c r="D8" s="64"/>
      <c r="E8" s="64"/>
      <c r="F8" s="64"/>
      <c r="G8" s="64"/>
      <c r="H8" s="64"/>
      <c r="I8" s="64"/>
      <c r="J8" s="51"/>
      <c r="K8" s="51"/>
      <c r="L8" s="51"/>
      <c r="M8" s="54"/>
    </row>
    <row r="9" spans="1:16384" ht="15" customHeight="1" x14ac:dyDescent="0.25">
      <c r="A9" s="65" t="str">
        <f>'Sups'' Final Roster 0823-0829'!A10</f>
        <v>Pérez Zitzke Agustina</v>
      </c>
      <c r="B9" s="51" t="str">
        <f>'Sups'' Final Roster 0823-0829'!B10</f>
        <v>Villa Aleman Alejandro Roberto</v>
      </c>
      <c r="C9" s="51"/>
      <c r="D9" s="51"/>
      <c r="E9" s="51"/>
      <c r="F9" s="51"/>
      <c r="G9" s="51"/>
      <c r="H9" s="51"/>
      <c r="I9" s="51"/>
      <c r="J9" s="51"/>
      <c r="K9" s="51"/>
      <c r="L9" s="51"/>
      <c r="M9" s="54"/>
    </row>
    <row r="10" spans="1:16384" ht="15" customHeight="1" x14ac:dyDescent="0.25">
      <c r="A10" s="65" t="str">
        <f>'Sups'' Final Roster 0823-0829'!A11</f>
        <v>Ortiz Jose María</v>
      </c>
      <c r="B10" s="51" t="str">
        <f>'Sups'' Final Roster 0823-0829'!B11</f>
        <v>Brandan Ernesto Alejandro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4"/>
    </row>
    <row r="11" spans="1:16384" ht="15" customHeight="1" x14ac:dyDescent="0.25">
      <c r="A11" s="65" t="str">
        <f>'Sups'' Final Roster 0823-0829'!A12</f>
        <v>Ortiz Jose María</v>
      </c>
      <c r="B11" s="51" t="str">
        <f>'Sups'' Final Roster 0823-0829'!B12</f>
        <v>Britos Fernando José</v>
      </c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4"/>
    </row>
    <row r="12" spans="1:16384" ht="15" customHeight="1" x14ac:dyDescent="0.25">
      <c r="A12" s="65" t="e">
        <f>'Sups'' Final Roster 0823-0829'!#REF!</f>
        <v>#REF!</v>
      </c>
      <c r="B12" s="51" t="e">
        <f>'Sups'' Final Roster 0823-0829'!#REF!</f>
        <v>#REF!</v>
      </c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4"/>
    </row>
    <row r="13" spans="1:16384" ht="15" customHeight="1" x14ac:dyDescent="0.25">
      <c r="A13" s="65" t="e">
        <f>'Sups'' Final Roster 0823-0829'!#REF!</f>
        <v>#REF!</v>
      </c>
      <c r="B13" s="51" t="e">
        <f>'Sups'' Final Roster 0823-0829'!#REF!</f>
        <v>#REF!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4"/>
    </row>
    <row r="14" spans="1:16384" ht="15" customHeight="1" x14ac:dyDescent="0.25">
      <c r="A14" s="85" t="e">
        <f>'Sups'' Final Roster 0823-0829'!#REF!</f>
        <v>#REF!</v>
      </c>
      <c r="B14" s="87" t="e">
        <f>'Sups'' Final Roster 0823-0829'!#REF!</f>
        <v>#REF!</v>
      </c>
      <c r="C14" s="87"/>
      <c r="D14" s="87"/>
      <c r="E14" s="87"/>
      <c r="F14" s="87"/>
      <c r="G14" s="87"/>
      <c r="H14" s="87"/>
      <c r="I14" s="87"/>
      <c r="J14" s="51"/>
      <c r="K14" s="51"/>
      <c r="L14" s="51"/>
      <c r="M14" s="54"/>
    </row>
    <row r="15" spans="1:16384" ht="15" customHeight="1" x14ac:dyDescent="0.25">
      <c r="A15" s="85" t="e">
        <f>'Sups'' Final Roster 0823-0829'!#REF!</f>
        <v>#REF!</v>
      </c>
      <c r="B15" s="87" t="e">
        <f>'Sups'' Final Roster 0823-0829'!#REF!</f>
        <v>#REF!</v>
      </c>
      <c r="C15" s="87"/>
      <c r="D15" s="87"/>
      <c r="E15" s="87"/>
      <c r="F15" s="87"/>
      <c r="G15" s="87"/>
      <c r="H15" s="87"/>
      <c r="I15" s="87"/>
      <c r="J15" s="51"/>
      <c r="K15" s="51"/>
      <c r="L15" s="51"/>
      <c r="M15" s="54"/>
    </row>
    <row r="16" spans="1:16384" ht="15" customHeight="1" x14ac:dyDescent="0.25">
      <c r="A16" s="85" t="e">
        <f>'Sups'' Final Roster 0823-0829'!#REF!</f>
        <v>#REF!</v>
      </c>
      <c r="B16" s="87" t="e">
        <f>'Sups'' Final Roster 0823-0829'!#REF!</f>
        <v>#REF!</v>
      </c>
      <c r="C16" s="87"/>
      <c r="D16" s="87"/>
      <c r="E16" s="87"/>
      <c r="F16" s="87"/>
      <c r="G16" s="87"/>
      <c r="H16" s="87"/>
      <c r="I16" s="87"/>
      <c r="J16" s="51"/>
      <c r="K16" s="51"/>
      <c r="L16" s="51"/>
      <c r="M16" s="54"/>
    </row>
    <row r="17" spans="1:13" ht="15" customHeight="1" thickBot="1" x14ac:dyDescent="0.3">
      <c r="A17" s="86" t="e">
        <f>'Sups'' Final Roster 0823-0829'!#REF!</f>
        <v>#REF!</v>
      </c>
      <c r="B17" s="88" t="e">
        <f>'Sups'' Final Roster 0823-0829'!#REF!</f>
        <v>#REF!</v>
      </c>
      <c r="C17" s="88"/>
      <c r="D17" s="88"/>
      <c r="E17" s="88"/>
      <c r="F17" s="88"/>
      <c r="G17" s="88"/>
      <c r="H17" s="88"/>
      <c r="I17" s="88"/>
      <c r="J17" s="49"/>
      <c r="K17" s="49"/>
      <c r="L17" s="49"/>
      <c r="M17" s="55"/>
    </row>
    <row r="18" spans="1:13" ht="15" customHeight="1" x14ac:dyDescent="0.25">
      <c r="A18" t="e">
        <f>'Sups'' Final Roster 0823-0829'!#REF!</f>
        <v>#REF!</v>
      </c>
      <c r="B18" t="e">
        <f>'Sups'' Final Roster 0823-0829'!#REF!</f>
        <v>#REF!</v>
      </c>
    </row>
    <row r="19" spans="1:13" ht="15" customHeight="1" x14ac:dyDescent="0.25">
      <c r="A19" t="e">
        <f>'Sups'' Final Roster 0823-0829'!#REF!</f>
        <v>#REF!</v>
      </c>
      <c r="B19" t="e">
        <f>'Sups'' Final Roster 0823-0829'!#REF!</f>
        <v>#REF!</v>
      </c>
    </row>
    <row r="20" spans="1:13" ht="15" customHeight="1" x14ac:dyDescent="0.25">
      <c r="A20" t="e">
        <f>'Sups'' Final Roster 0823-0829'!#REF!</f>
        <v>#REF!</v>
      </c>
      <c r="B20" t="e">
        <f>'Sups'' Final Roster 0823-0829'!#REF!</f>
        <v>#REF!</v>
      </c>
    </row>
    <row r="21" spans="1:13" ht="15" customHeight="1" x14ac:dyDescent="0.25">
      <c r="A21" t="e">
        <f>'Sups'' Final Roster 0823-0829'!#REF!</f>
        <v>#REF!</v>
      </c>
      <c r="B21" t="e">
        <f>'Sups'' Final Roster 0823-0829'!#REF!</f>
        <v>#REF!</v>
      </c>
    </row>
    <row r="22" spans="1:13" ht="15" customHeight="1" x14ac:dyDescent="0.25">
      <c r="A22" t="e">
        <f>'Sups'' Final Roster 0823-0829'!#REF!</f>
        <v>#REF!</v>
      </c>
      <c r="B22" t="e">
        <f>'Sups'' Final Roster 0823-0829'!#REF!</f>
        <v>#REF!</v>
      </c>
    </row>
    <row r="23" spans="1:13" ht="15" customHeight="1" x14ac:dyDescent="0.25">
      <c r="A23" t="e">
        <f>'Sups'' Final Roster 0823-0829'!#REF!</f>
        <v>#REF!</v>
      </c>
      <c r="B23" t="e">
        <f>'Sups'' Final Roster 0823-0829'!#REF!</f>
        <v>#REF!</v>
      </c>
    </row>
    <row r="24" spans="1:13" ht="15" customHeight="1" x14ac:dyDescent="0.25">
      <c r="A24" t="str">
        <f>'Sups'' Final Roster 0823-0829'!A13</f>
        <v>Ortiz Jose María</v>
      </c>
      <c r="B24" t="str">
        <f>'Sups'' Final Roster 0823-0829'!B13</f>
        <v>Esquivel Pavan Pamela Sol</v>
      </c>
    </row>
    <row r="25" spans="1:13" ht="15" customHeight="1" x14ac:dyDescent="0.25">
      <c r="A25" t="str">
        <f>'Sups'' Final Roster 0823-0829'!A14</f>
        <v>Ortiz Jose María</v>
      </c>
      <c r="B25" t="str">
        <f>'Sups'' Final Roster 0823-0829'!B14</f>
        <v>Gerez Andrea Soledad</v>
      </c>
    </row>
    <row r="26" spans="1:13" ht="15" customHeight="1" x14ac:dyDescent="0.25">
      <c r="A26" t="e">
        <f>'Sups'' Final Roster 0823-0829'!#REF!</f>
        <v>#REF!</v>
      </c>
      <c r="B26" t="e">
        <f>'Sups'' Final Roster 0823-0829'!#REF!</f>
        <v>#REF!</v>
      </c>
    </row>
    <row r="27" spans="1:13" ht="15" customHeight="1" x14ac:dyDescent="0.25">
      <c r="A27" t="e">
        <f>'Sups'' Final Roster 0823-0829'!#REF!</f>
        <v>#REF!</v>
      </c>
      <c r="B27" t="e">
        <f>'Sups'' Final Roster 0823-0829'!#REF!</f>
        <v>#REF!</v>
      </c>
    </row>
    <row r="28" spans="1:13" ht="15" customHeight="1" x14ac:dyDescent="0.25">
      <c r="A28" t="e">
        <f>'Sups'' Final Roster 0823-0829'!#REF!</f>
        <v>#REF!</v>
      </c>
      <c r="B28" t="e">
        <f>'Sups'' Final Roster 0823-0829'!#REF!</f>
        <v>#REF!</v>
      </c>
    </row>
    <row r="29" spans="1:13" ht="15" customHeight="1" x14ac:dyDescent="0.25">
      <c r="A29" t="e">
        <f>'Sups'' Final Roster 0823-0829'!#REF!</f>
        <v>#REF!</v>
      </c>
      <c r="B29" t="e">
        <f>'Sups'' Final Roster 0823-0829'!#REF!</f>
        <v>#REF!</v>
      </c>
    </row>
    <row r="30" spans="1:13" ht="15" customHeight="1" x14ac:dyDescent="0.25">
      <c r="A30" t="e">
        <f>'Sups'' Final Roster 0823-0829'!#REF!</f>
        <v>#REF!</v>
      </c>
      <c r="B30" t="e">
        <f>'Sups'' Final Roster 0823-0829'!#REF!</f>
        <v>#REF!</v>
      </c>
    </row>
    <row r="31" spans="1:13" ht="15" customHeight="1" x14ac:dyDescent="0.25">
      <c r="A31" t="e">
        <f>'Sups'' Final Roster 0823-0829'!#REF!</f>
        <v>#REF!</v>
      </c>
      <c r="B31" t="e">
        <f>'Sups'' Final Roster 0823-0829'!#REF!</f>
        <v>#REF!</v>
      </c>
    </row>
    <row r="32" spans="1:13" ht="15" customHeight="1" x14ac:dyDescent="0.25">
      <c r="A32" t="e">
        <f>'Sups'' Final Roster 0823-0829'!#REF!</f>
        <v>#REF!</v>
      </c>
      <c r="B32" t="e">
        <f>'Sups'' Final Roster 0823-0829'!#REF!</f>
        <v>#REF!</v>
      </c>
    </row>
    <row r="33" spans="1:2" ht="15" customHeight="1" x14ac:dyDescent="0.25">
      <c r="A33" t="e">
        <f>'Sups'' Final Roster 0823-0829'!#REF!</f>
        <v>#REF!</v>
      </c>
      <c r="B33" t="e">
        <f>'Sups'' Final Roster 0823-0829'!#REF!</f>
        <v>#REF!</v>
      </c>
    </row>
    <row r="34" spans="1:2" ht="15" customHeight="1" x14ac:dyDescent="0.25">
      <c r="A34" t="e">
        <f>'Sups'' Final Roster 0823-0829'!#REF!</f>
        <v>#REF!</v>
      </c>
      <c r="B34" t="e">
        <f>'Sups'' Final Roster 0823-0829'!#REF!</f>
        <v>#REF!</v>
      </c>
    </row>
    <row r="35" spans="1:2" ht="15" customHeight="1" x14ac:dyDescent="0.25">
      <c r="A35" t="e">
        <f>'Sups'' Final Roster 0823-0829'!#REF!</f>
        <v>#REF!</v>
      </c>
      <c r="B35" t="e">
        <f>'Sups'' Final Roster 0823-0829'!#REF!</f>
        <v>#REF!</v>
      </c>
    </row>
    <row r="36" spans="1:2" ht="15" customHeight="1" x14ac:dyDescent="0.25">
      <c r="A36" t="e">
        <f>'Sups'' Final Roster 0823-0829'!#REF!</f>
        <v>#REF!</v>
      </c>
      <c r="B36" t="e">
        <f>'Sups'' Final Roster 0823-0829'!#REF!</f>
        <v>#REF!</v>
      </c>
    </row>
    <row r="37" spans="1:2" ht="15" customHeight="1" x14ac:dyDescent="0.25">
      <c r="A37" t="e">
        <f>'Sups'' Final Roster 0823-0829'!#REF!</f>
        <v>#REF!</v>
      </c>
      <c r="B37" t="e">
        <f>'Sups'' Final Roster 0823-0829'!#REF!</f>
        <v>#REF!</v>
      </c>
    </row>
    <row r="38" spans="1:2" ht="15" customHeight="1" x14ac:dyDescent="0.25">
      <c r="A38" t="e">
        <f>'Sups'' Final Roster 0823-0829'!#REF!</f>
        <v>#REF!</v>
      </c>
      <c r="B38" t="e">
        <f>'Sups'' Final Roster 0823-0829'!#REF!</f>
        <v>#REF!</v>
      </c>
    </row>
    <row r="39" spans="1:2" ht="15" customHeight="1" x14ac:dyDescent="0.25">
      <c r="A39" t="e">
        <f>'Sups'' Final Roster 0823-0829'!#REF!</f>
        <v>#REF!</v>
      </c>
      <c r="B39" t="e">
        <f>'Sups'' Final Roster 0823-0829'!#REF!</f>
        <v>#REF!</v>
      </c>
    </row>
    <row r="40" spans="1:2" ht="15" customHeight="1" x14ac:dyDescent="0.25">
      <c r="A40" t="e">
        <f>'Sups'' Final Roster 0823-0829'!#REF!</f>
        <v>#REF!</v>
      </c>
      <c r="B40" t="e">
        <f>'Sups'' Final Roster 0823-0829'!#REF!</f>
        <v>#REF!</v>
      </c>
    </row>
    <row r="41" spans="1:2" ht="15" customHeight="1" x14ac:dyDescent="0.25">
      <c r="A41" t="e">
        <f>'Sups'' Final Roster 0823-0829'!#REF!</f>
        <v>#REF!</v>
      </c>
      <c r="B41" t="e">
        <f>'Sups'' Final Roster 0823-0829'!#REF!</f>
        <v>#REF!</v>
      </c>
    </row>
    <row r="42" spans="1:2" ht="15" customHeight="1" x14ac:dyDescent="0.25">
      <c r="A42" t="e">
        <f>'Sups'' Final Roster 0823-0829'!#REF!</f>
        <v>#REF!</v>
      </c>
      <c r="B42" t="e">
        <f>'Sups'' Final Roster 0823-0829'!#REF!</f>
        <v>#REF!</v>
      </c>
    </row>
    <row r="43" spans="1:2" ht="15" customHeight="1" x14ac:dyDescent="0.25">
      <c r="A43" t="e">
        <f>'Sups'' Final Roster 0823-0829'!#REF!</f>
        <v>#REF!</v>
      </c>
      <c r="B43" t="e">
        <f>'Sups'' Final Roster 0823-0829'!#REF!</f>
        <v>#REF!</v>
      </c>
    </row>
    <row r="44" spans="1:2" ht="15" customHeight="1" x14ac:dyDescent="0.25">
      <c r="A44" t="str">
        <f>'Sups'' Final Roster 0823-0829'!A15</f>
        <v>Pérez Zitzke Agustina</v>
      </c>
      <c r="B44" t="str">
        <f>'Sups'' Final Roster 0823-0829'!B15</f>
        <v>Grimaldi Agustina Sofía</v>
      </c>
    </row>
    <row r="45" spans="1:2" ht="15" customHeight="1" x14ac:dyDescent="0.25">
      <c r="A45" t="str">
        <f>'Sups'' Final Roster 0823-0829'!A16</f>
        <v>Pérez Zitzke Agustina</v>
      </c>
      <c r="B45" t="str">
        <f>'Sups'' Final Roster 0823-0829'!B16</f>
        <v>Palomino Juan Pablo</v>
      </c>
    </row>
    <row r="46" spans="1:2" ht="15" customHeight="1" x14ac:dyDescent="0.25">
      <c r="A46" t="e">
        <f>'Sups'' Final Roster 0823-0829'!#REF!</f>
        <v>#REF!</v>
      </c>
      <c r="B46" t="e">
        <f>'Sups'' Final Roster 0823-0829'!#REF!</f>
        <v>#REF!</v>
      </c>
    </row>
    <row r="47" spans="1:2" ht="15" customHeight="1" x14ac:dyDescent="0.25">
      <c r="A47" t="e">
        <f>'Sups'' Final Roster 0823-0829'!#REF!</f>
        <v>#REF!</v>
      </c>
      <c r="B47" t="e">
        <f>'Sups'' Final Roster 0823-0829'!#REF!</f>
        <v>#REF!</v>
      </c>
    </row>
    <row r="48" spans="1:2" ht="15" customHeight="1" x14ac:dyDescent="0.25">
      <c r="A48" t="e">
        <f>'Sups'' Final Roster 0823-0829'!#REF!</f>
        <v>#REF!</v>
      </c>
      <c r="B48" t="e">
        <f>'Sups'' Final Roster 0823-0829'!#REF!</f>
        <v>#REF!</v>
      </c>
    </row>
    <row r="49" spans="1:2" ht="15" customHeight="1" x14ac:dyDescent="0.25">
      <c r="A49" t="e">
        <f>'Sups'' Final Roster 0823-0829'!#REF!</f>
        <v>#REF!</v>
      </c>
      <c r="B49" t="e">
        <f>'Sups'' Final Roster 0823-0829'!#REF!</f>
        <v>#REF!</v>
      </c>
    </row>
    <row r="50" spans="1:2" ht="15" customHeight="1" x14ac:dyDescent="0.25">
      <c r="A50" t="str">
        <f>'Sups'' Final Roster 0823-0829'!A17</f>
        <v>Campero Juarez Maria Guadalupe</v>
      </c>
      <c r="B50" t="str">
        <f>'Sups'' Final Roster 0823-0829'!B17</f>
        <v>Bachur Karim</v>
      </c>
    </row>
    <row r="51" spans="1:2" ht="15" customHeight="1" x14ac:dyDescent="0.25">
      <c r="A51" t="str">
        <f>'Sups'' Final Roster 0823-0829'!A18</f>
        <v>Campero Juarez Maria Guadalupe</v>
      </c>
      <c r="B51" t="str">
        <f>'Sups'' Final Roster 0823-0829'!B18</f>
        <v>Mendoza Norma Mercedes</v>
      </c>
    </row>
    <row r="52" spans="1:2" ht="15" customHeight="1" x14ac:dyDescent="0.25">
      <c r="A52" t="str">
        <f>'Sups'' Final Roster 0823-0829'!A19</f>
        <v>Pérez Zitzke Agustina</v>
      </c>
      <c r="B52" t="str">
        <f>'Sups'' Final Roster 0823-0829'!B19</f>
        <v xml:space="preserve">Albornoz Miguel </v>
      </c>
    </row>
    <row r="53" spans="1:2" ht="15" customHeight="1" x14ac:dyDescent="0.25">
      <c r="A53" t="str">
        <f>'Sups'' Final Roster 0823-0829'!A20</f>
        <v>Ortiz Jose María</v>
      </c>
      <c r="B53" t="str">
        <f>'Sups'' Final Roster 0823-0829'!B20</f>
        <v>Silva Gabriel Alberto</v>
      </c>
    </row>
    <row r="54" spans="1:2" ht="15" customHeight="1" x14ac:dyDescent="0.25">
      <c r="A54">
        <f>'Sups'' Final Roster 0823-0829'!A21</f>
        <v>0</v>
      </c>
      <c r="B54">
        <f>'Sups'' Final Roster 0823-0829'!B21</f>
        <v>0</v>
      </c>
    </row>
    <row r="55" spans="1:2" ht="15" customHeight="1" x14ac:dyDescent="0.25">
      <c r="A55">
        <f>'Sups'' Final Roster 0823-0829'!A22</f>
        <v>0</v>
      </c>
      <c r="B55">
        <f>'Sups'' Final Roster 0823-0829'!B22</f>
        <v>0</v>
      </c>
    </row>
    <row r="56" spans="1:2" ht="15" customHeight="1" x14ac:dyDescent="0.25">
      <c r="A56">
        <f>'Sups'' Final Roster 0823-0829'!A23</f>
        <v>0</v>
      </c>
      <c r="B56">
        <f>'Sups'' Final Roster 0823-0829'!B23</f>
        <v>0</v>
      </c>
    </row>
  </sheetData>
  <autoFilter ref="A1:M13"/>
  <conditionalFormatting sqref="B2:B3">
    <cfRule type="duplicateValues" dxfId="1085" priority="48"/>
  </conditionalFormatting>
  <conditionalFormatting sqref="B4">
    <cfRule type="duplicateValues" dxfId="1084" priority="47"/>
  </conditionalFormatting>
  <conditionalFormatting sqref="B5">
    <cfRule type="duplicateValues" dxfId="1083" priority="46"/>
  </conditionalFormatting>
  <conditionalFormatting sqref="B5">
    <cfRule type="duplicateValues" dxfId="1082" priority="45"/>
  </conditionalFormatting>
  <conditionalFormatting sqref="B6">
    <cfRule type="duplicateValues" dxfId="1081" priority="44"/>
  </conditionalFormatting>
  <conditionalFormatting sqref="B6">
    <cfRule type="duplicateValues" dxfId="1080" priority="43"/>
  </conditionalFormatting>
  <conditionalFormatting sqref="B6">
    <cfRule type="duplicateValues" dxfId="1079" priority="42"/>
  </conditionalFormatting>
  <conditionalFormatting sqref="B7">
    <cfRule type="duplicateValues" dxfId="1078" priority="41"/>
  </conditionalFormatting>
  <conditionalFormatting sqref="B6">
    <cfRule type="duplicateValues" dxfId="1077" priority="40"/>
  </conditionalFormatting>
  <conditionalFormatting sqref="B6">
    <cfRule type="duplicateValues" dxfId="1076" priority="39"/>
  </conditionalFormatting>
  <conditionalFormatting sqref="B7">
    <cfRule type="duplicateValues" dxfId="1075" priority="38"/>
  </conditionalFormatting>
  <conditionalFormatting sqref="B7">
    <cfRule type="duplicateValues" dxfId="1074" priority="37"/>
  </conditionalFormatting>
  <conditionalFormatting sqref="B7">
    <cfRule type="duplicateValues" dxfId="1073" priority="36"/>
  </conditionalFormatting>
  <conditionalFormatting sqref="B7">
    <cfRule type="duplicateValues" dxfId="1072" priority="35"/>
  </conditionalFormatting>
  <conditionalFormatting sqref="B7">
    <cfRule type="duplicateValues" dxfId="1071" priority="34"/>
  </conditionalFormatting>
  <conditionalFormatting sqref="B7">
    <cfRule type="duplicateValues" dxfId="1070" priority="33"/>
  </conditionalFormatting>
  <conditionalFormatting sqref="B7">
    <cfRule type="duplicateValues" dxfId="1069" priority="32"/>
  </conditionalFormatting>
  <conditionalFormatting sqref="B7">
    <cfRule type="duplicateValues" dxfId="1068" priority="31"/>
  </conditionalFormatting>
  <conditionalFormatting sqref="A2:M13">
    <cfRule type="cellIs" dxfId="1067" priority="30" operator="equal">
      <formula>"FER"</formula>
    </cfRule>
  </conditionalFormatting>
  <conditionalFormatting sqref="C2:I13">
    <cfRule type="cellIs" dxfId="1066" priority="29" operator="equal">
      <formula>"off"</formula>
    </cfRule>
  </conditionalFormatting>
  <conditionalFormatting sqref="C2:I13">
    <cfRule type="cellIs" dxfId="1065" priority="27" operator="equal">
      <formula>"vac"</formula>
    </cfRule>
  </conditionalFormatting>
  <conditionalFormatting sqref="C2:I13">
    <cfRule type="cellIs" dxfId="1064" priority="28" operator="equal">
      <formula>"LOA"</formula>
    </cfRule>
  </conditionalFormatting>
  <conditionalFormatting sqref="B6:B13">
    <cfRule type="duplicateValues" dxfId="1063" priority="49"/>
  </conditionalFormatting>
  <conditionalFormatting sqref="B8:B13">
    <cfRule type="duplicateValues" dxfId="1062" priority="50"/>
  </conditionalFormatting>
  <conditionalFormatting sqref="A15:L17">
    <cfRule type="cellIs" dxfId="1061" priority="20" operator="equal">
      <formula>"FER"</formula>
    </cfRule>
  </conditionalFormatting>
  <conditionalFormatting sqref="C15:I17">
    <cfRule type="cellIs" dxfId="1060" priority="17" operator="equal">
      <formula>"off"</formula>
    </cfRule>
  </conditionalFormatting>
  <conditionalFormatting sqref="C15:I17">
    <cfRule type="cellIs" dxfId="1059" priority="15" operator="equal">
      <formula>"vac"</formula>
    </cfRule>
  </conditionalFormatting>
  <conditionalFormatting sqref="C15:I17">
    <cfRule type="cellIs" dxfId="1058" priority="16" operator="equal">
      <formula>"LOA"</formula>
    </cfRule>
  </conditionalFormatting>
  <conditionalFormatting sqref="B15:B17">
    <cfRule type="duplicateValues" dxfId="1057" priority="18"/>
  </conditionalFormatting>
  <conditionalFormatting sqref="B15:B17">
    <cfRule type="duplicateValues" dxfId="1056" priority="19"/>
  </conditionalFormatting>
  <conditionalFormatting sqref="C15:I17">
    <cfRule type="cellIs" dxfId="1055" priority="14" operator="equal">
      <formula>"FER"</formula>
    </cfRule>
  </conditionalFormatting>
  <conditionalFormatting sqref="M15:M17">
    <cfRule type="cellIs" dxfId="1054" priority="13" operator="equal">
      <formula>"FER"</formula>
    </cfRule>
  </conditionalFormatting>
  <conditionalFormatting sqref="B15:B17">
    <cfRule type="duplicateValues" dxfId="1053" priority="11"/>
  </conditionalFormatting>
  <conditionalFormatting sqref="B15:B17">
    <cfRule type="duplicateValues" dxfId="1052" priority="12"/>
  </conditionalFormatting>
  <conditionalFormatting sqref="A14:L14">
    <cfRule type="cellIs" dxfId="1051" priority="10" operator="equal">
      <formula>"FER"</formula>
    </cfRule>
  </conditionalFormatting>
  <conditionalFormatting sqref="C14:I14">
    <cfRule type="cellIs" dxfId="1050" priority="7" operator="equal">
      <formula>"off"</formula>
    </cfRule>
  </conditionalFormatting>
  <conditionalFormatting sqref="C14:I14">
    <cfRule type="cellIs" dxfId="1049" priority="5" operator="equal">
      <formula>"vac"</formula>
    </cfRule>
  </conditionalFormatting>
  <conditionalFormatting sqref="C14:I14">
    <cfRule type="cellIs" dxfId="1048" priority="6" operator="equal">
      <formula>"LOA"</formula>
    </cfRule>
  </conditionalFormatting>
  <conditionalFormatting sqref="B14">
    <cfRule type="duplicateValues" dxfId="1047" priority="8"/>
  </conditionalFormatting>
  <conditionalFormatting sqref="B14">
    <cfRule type="duplicateValues" dxfId="1046" priority="9"/>
  </conditionalFormatting>
  <conditionalFormatting sqref="C14:I14">
    <cfRule type="cellIs" dxfId="1045" priority="4" operator="equal">
      <formula>"FER"</formula>
    </cfRule>
  </conditionalFormatting>
  <conditionalFormatting sqref="M14">
    <cfRule type="cellIs" dxfId="1044" priority="3" operator="equal">
      <formula>"FER"</formula>
    </cfRule>
  </conditionalFormatting>
  <conditionalFormatting sqref="B14">
    <cfRule type="duplicateValues" dxfId="1043" priority="1"/>
  </conditionalFormatting>
  <conditionalFormatting sqref="B14">
    <cfRule type="duplicateValues" dxfId="1042" priority="2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"/>
  <sheetViews>
    <sheetView showGridLines="0" zoomScale="70" zoomScaleNormal="70" workbookViewId="0">
      <selection activeCell="K1" sqref="K1:XFD1048576"/>
    </sheetView>
  </sheetViews>
  <sheetFormatPr defaultColWidth="0" defaultRowHeight="15" customHeight="1" zeroHeight="1" x14ac:dyDescent="0.25"/>
  <cols>
    <col min="1" max="1" width="3.85546875" style="6" customWidth="1"/>
    <col min="2" max="2" width="36.85546875" style="6" bestFit="1" customWidth="1"/>
    <col min="3" max="6" width="15.7109375" style="6" customWidth="1"/>
    <col min="7" max="9" width="15.7109375" style="9" customWidth="1"/>
    <col min="10" max="10" width="3.85546875" style="6" customWidth="1"/>
    <col min="11" max="16384" width="9.140625" style="6" hidden="1"/>
  </cols>
  <sheetData>
    <row r="1" spans="2:9" ht="15.75" thickBot="1" x14ac:dyDescent="0.3">
      <c r="G1" s="9" t="s">
        <v>49</v>
      </c>
    </row>
    <row r="2" spans="2:9" ht="15.75" thickBot="1" x14ac:dyDescent="0.3">
      <c r="B2" s="10" t="s">
        <v>44</v>
      </c>
      <c r="C2" s="11" t="s">
        <v>45</v>
      </c>
      <c r="D2" s="12" t="s">
        <v>42</v>
      </c>
      <c r="E2" s="13" t="s">
        <v>50</v>
      </c>
    </row>
    <row r="3" spans="2:9" x14ac:dyDescent="0.25">
      <c r="B3" s="8" t="s">
        <v>62</v>
      </c>
      <c r="C3" s="14">
        <f>+COUNTIF(Agents!$Z$2:$Z$149,Resumen!B3)</f>
        <v>0</v>
      </c>
      <c r="D3" s="14">
        <f>+SUMIF(Agents!$Z$2:$Z$149,Resumen!B3,Agents!$AP$2:$AP$149)</f>
        <v>0</v>
      </c>
      <c r="E3" s="15" t="e">
        <f>D3/C3</f>
        <v>#DIV/0!</v>
      </c>
      <c r="G3" s="7"/>
    </row>
    <row r="4" spans="2:9" x14ac:dyDescent="0.25">
      <c r="B4" s="16" t="s">
        <v>61</v>
      </c>
      <c r="C4" s="17">
        <f>+COUNTIF(Agents!$Z$2:$Z$149,Resumen!B4)</f>
        <v>0</v>
      </c>
      <c r="D4" s="17">
        <f>+SUMIF(Agents!$Z$2:$Z$149,Resumen!B4,Agents!$AP$2:$AP$149)</f>
        <v>0</v>
      </c>
      <c r="E4" s="18" t="e">
        <f t="shared" ref="E4:E5" si="0">D4/C4</f>
        <v>#DIV/0!</v>
      </c>
    </row>
    <row r="5" spans="2:9" x14ac:dyDescent="0.25">
      <c r="B5" s="16" t="s">
        <v>65</v>
      </c>
      <c r="C5" s="17">
        <f>+COUNTIF(Agents!$Z$2:$Z$149,Resumen!B5)</f>
        <v>0</v>
      </c>
      <c r="D5" s="17">
        <f>+SUMIF(Agents!$Z$2:$Z$149,Resumen!B5,Agents!$AP$2:$AP$149)</f>
        <v>0</v>
      </c>
      <c r="E5" s="18" t="e">
        <f t="shared" si="0"/>
        <v>#DIV/0!</v>
      </c>
    </row>
    <row r="6" spans="2:9" ht="15.75" thickBot="1" x14ac:dyDescent="0.3">
      <c r="B6" s="16" t="s">
        <v>63</v>
      </c>
      <c r="C6" s="17">
        <f>+COUNTIF(Agents!$Z$2:$Z$149,Resumen!B6)</f>
        <v>0</v>
      </c>
      <c r="D6" s="17">
        <f>+SUMIF(Agents!$Z$2:$Z$149,Resumen!B6,Agents!$AP$2:$AP$149)</f>
        <v>0</v>
      </c>
      <c r="E6" s="18" t="e">
        <f t="shared" ref="E6" si="1">D6/C6</f>
        <v>#DIV/0!</v>
      </c>
    </row>
    <row r="7" spans="2:9" ht="15.75" thickBot="1" x14ac:dyDescent="0.3">
      <c r="B7" s="19" t="s">
        <v>46</v>
      </c>
      <c r="C7" s="20">
        <f>SUM(C3:C6)</f>
        <v>0</v>
      </c>
      <c r="D7" s="20">
        <f>SUM(D3:D6)</f>
        <v>0</v>
      </c>
      <c r="E7" s="21" t="e">
        <f t="shared" ref="E7" si="2">D7/C7</f>
        <v>#DIV/0!</v>
      </c>
    </row>
    <row r="8" spans="2:9" x14ac:dyDescent="0.25">
      <c r="B8" s="22"/>
      <c r="C8" s="23"/>
      <c r="D8" s="23"/>
      <c r="E8" s="24"/>
    </row>
    <row r="9" spans="2:9" x14ac:dyDescent="0.25">
      <c r="B9" s="22" t="s">
        <v>62</v>
      </c>
      <c r="C9" s="23"/>
      <c r="D9" s="23"/>
      <c r="E9" s="24"/>
    </row>
    <row r="10" spans="2:9" ht="15.75" thickBot="1" x14ac:dyDescent="0.3">
      <c r="B10" s="22"/>
      <c r="C10" s="23"/>
      <c r="D10" s="23"/>
      <c r="E10" s="24"/>
    </row>
    <row r="11" spans="2:9" ht="15.75" thickBot="1" x14ac:dyDescent="0.3">
      <c r="B11" s="10"/>
      <c r="C11" s="11" t="s">
        <v>4</v>
      </c>
      <c r="D11" s="11" t="s">
        <v>5</v>
      </c>
      <c r="E11" s="11" t="s">
        <v>6</v>
      </c>
      <c r="F11" s="11" t="s">
        <v>7</v>
      </c>
      <c r="G11" s="11" t="s">
        <v>8</v>
      </c>
      <c r="H11" s="11" t="s">
        <v>9</v>
      </c>
      <c r="I11" s="25" t="s">
        <v>10</v>
      </c>
    </row>
    <row r="12" spans="2:9" x14ac:dyDescent="0.25">
      <c r="B12" s="8" t="s">
        <v>51</v>
      </c>
      <c r="C12" s="33">
        <f>+COUNTIF(Agents!$Z$2:$Z$149,Resumen!B3)</f>
        <v>0</v>
      </c>
      <c r="D12" s="33">
        <f t="shared" ref="D12:I12" si="3">+C12</f>
        <v>0</v>
      </c>
      <c r="E12" s="33">
        <f t="shared" si="3"/>
        <v>0</v>
      </c>
      <c r="F12" s="33">
        <f t="shared" si="3"/>
        <v>0</v>
      </c>
      <c r="G12" s="33">
        <f t="shared" si="3"/>
        <v>0</v>
      </c>
      <c r="H12" s="33">
        <f t="shared" si="3"/>
        <v>0</v>
      </c>
      <c r="I12" s="34">
        <f t="shared" si="3"/>
        <v>0</v>
      </c>
    </row>
    <row r="13" spans="2:9" x14ac:dyDescent="0.25">
      <c r="B13" s="8" t="s">
        <v>52</v>
      </c>
      <c r="C13" s="33">
        <f>+COUNTIFS(Agents!E$2:E$149,Resumen!$B13,Agents!$Z$2:$Z$149,Resumen!$B$3)</f>
        <v>0</v>
      </c>
      <c r="D13" s="33">
        <f>+COUNTIFS(Agents!F$2:F$149,Resumen!$B13,Agents!$Z$2:$Z$149,Resumen!$B$3)</f>
        <v>0</v>
      </c>
      <c r="E13" s="33">
        <f>+COUNTIFS(Agents!G$2:G$149,Resumen!$B13,Agents!$Z$2:$Z$149,Resumen!$B$3)</f>
        <v>0</v>
      </c>
      <c r="F13" s="33">
        <f>+COUNTIFS(Agents!H$2:H$149,Resumen!$B13,Agents!$Z$2:$Z$149,Resumen!$B$3)</f>
        <v>0</v>
      </c>
      <c r="G13" s="33">
        <f>+COUNTIFS(Agents!I$2:I$149,Resumen!$B13,Agents!$Z$2:$Z$149,Resumen!$B$3)</f>
        <v>0</v>
      </c>
      <c r="H13" s="33">
        <f>+COUNTIFS(Agents!J$2:J$149,Resumen!$B13,Agents!$Z$2:$Z$149,Resumen!$B$3)</f>
        <v>0</v>
      </c>
      <c r="I13" s="34">
        <f>+COUNTIFS(Agents!K$2:K$149,Resumen!$B13,Agents!$Z$2:$Z$149,Resumen!$B$3)</f>
        <v>0</v>
      </c>
    </row>
    <row r="14" spans="2:9" x14ac:dyDescent="0.25">
      <c r="B14" s="8" t="s">
        <v>47</v>
      </c>
      <c r="C14" s="33">
        <f>+COUNTIFS(Agents!E$2:E$149,Resumen!$B14,Agents!$Z$2:$Z$149,Resumen!$B$3)</f>
        <v>0</v>
      </c>
      <c r="D14" s="33">
        <f>+COUNTIFS(Agents!F$2:F$149,Resumen!$B14,Agents!$Z$2:$Z$149,Resumen!$B$3)</f>
        <v>0</v>
      </c>
      <c r="E14" s="33">
        <f>+COUNTIFS(Agents!G$2:G$149,Resumen!$B14,Agents!$Z$2:$Z$149,Resumen!$B$3)</f>
        <v>0</v>
      </c>
      <c r="F14" s="33">
        <f>+COUNTIFS(Agents!H$2:H$149,Resumen!$B14,Agents!$Z$2:$Z$149,Resumen!$B$3)</f>
        <v>0</v>
      </c>
      <c r="G14" s="33">
        <f>+COUNTIFS(Agents!I$2:I$149,Resumen!$B14,Agents!$Z$2:$Z$149,Resumen!$B$3)</f>
        <v>0</v>
      </c>
      <c r="H14" s="33">
        <f>+COUNTIFS(Agents!J$2:J$149,Resumen!$B14,Agents!$Z$2:$Z$149,Resumen!$B$3)</f>
        <v>0</v>
      </c>
      <c r="I14" s="34">
        <f>+COUNTIFS(Agents!K$2:K$149,Resumen!$B14,Agents!$Z$2:$Z$149,Resumen!$B$3)</f>
        <v>0</v>
      </c>
    </row>
    <row r="15" spans="2:9" x14ac:dyDescent="0.25">
      <c r="B15" s="8" t="s">
        <v>40</v>
      </c>
      <c r="C15" s="33">
        <f>+COUNTIFS(Agents!E$2:E$149,Resumen!$B15,Agents!$Z$2:$Z$149,Resumen!$B$3)</f>
        <v>0</v>
      </c>
      <c r="D15" s="33">
        <f>+COUNTIFS(Agents!F$2:F$149,Resumen!$B15,Agents!$Z$2:$Z$149,Resumen!$B$3)</f>
        <v>0</v>
      </c>
      <c r="E15" s="33">
        <f>+COUNTIFS(Agents!G$2:G$149,Resumen!$B15,Agents!$Z$2:$Z$149,Resumen!$B$3)</f>
        <v>0</v>
      </c>
      <c r="F15" s="33">
        <f>+COUNTIFS(Agents!H$2:H$149,Resumen!$B15,Agents!$Z$2:$Z$149,Resumen!$B$3)</f>
        <v>0</v>
      </c>
      <c r="G15" s="33">
        <f>+COUNTIFS(Agents!I$2:I$149,Resumen!$B15,Agents!$Z$2:$Z$149,Resumen!$B$3)</f>
        <v>0</v>
      </c>
      <c r="H15" s="33">
        <f>+COUNTIFS(Agents!J$2:J$149,Resumen!$B15,Agents!$Z$2:$Z$149,Resumen!$B$3)</f>
        <v>0</v>
      </c>
      <c r="I15" s="34">
        <f>+COUNTIFS(Agents!K$2:K$149,Resumen!$B15,Agents!$Z$2:$Z$149,Resumen!$B$3)</f>
        <v>0</v>
      </c>
    </row>
    <row r="16" spans="2:9" x14ac:dyDescent="0.25">
      <c r="B16" s="8" t="s">
        <v>48</v>
      </c>
      <c r="C16" s="33">
        <f>+COUNTIFS(Agents!E$2:E$149,Resumen!$B16,Agents!$Z$2:$Z$149,Resumen!$B$3)</f>
        <v>0</v>
      </c>
      <c r="D16" s="33">
        <f>+COUNTIFS(Agents!F$2:F$149,Resumen!$B16,Agents!$Z$2:$Z$149,Resumen!$B$3)</f>
        <v>0</v>
      </c>
      <c r="E16" s="33">
        <f>+COUNTIFS(Agents!G$2:G$149,Resumen!$B16,Agents!$Z$2:$Z$149,Resumen!$B$3)</f>
        <v>0</v>
      </c>
      <c r="F16" s="33">
        <f>+COUNTIFS(Agents!H$2:H$149,Resumen!$B16,Agents!$Z$2:$Z$149,Resumen!$B$3)</f>
        <v>0</v>
      </c>
      <c r="G16" s="33">
        <f>+COUNTIFS(Agents!I$2:I$149,Resumen!$B16,Agents!$Z$2:$Z$149,Resumen!$B$3)</f>
        <v>0</v>
      </c>
      <c r="H16" s="33">
        <f>+COUNTIFS(Agents!J$2:J$149,Resumen!$B16,Agents!$Z$2:$Z$149,Resumen!$B$3)</f>
        <v>0</v>
      </c>
      <c r="I16" s="34">
        <f>+COUNTIFS(Agents!K$2:K$149,Resumen!$B16,Agents!$Z$2:$Z$149,Resumen!$B$3)</f>
        <v>0</v>
      </c>
    </row>
    <row r="17" spans="2:9" x14ac:dyDescent="0.25">
      <c r="B17" s="8" t="s">
        <v>53</v>
      </c>
      <c r="C17" s="33">
        <f>+COUNTIFS(Agents!E$2:E$149,Resumen!$B17,Agents!$Z$2:$Z$149,Resumen!$B$3)</f>
        <v>0</v>
      </c>
      <c r="D17" s="33">
        <f>+COUNTIFS(Agents!F$2:F$149,Resumen!$B17,Agents!$Z$2:$Z$149,Resumen!$B$3)</f>
        <v>0</v>
      </c>
      <c r="E17" s="33">
        <f>+COUNTIFS(Agents!G$2:G$149,Resumen!$B17,Agents!$Z$2:$Z$149,Resumen!$B$3)</f>
        <v>0</v>
      </c>
      <c r="F17" s="33">
        <f>+COUNTIFS(Agents!H$2:H$149,Resumen!$B17,Agents!$Z$2:$Z$149,Resumen!$B$3)</f>
        <v>0</v>
      </c>
      <c r="G17" s="33">
        <f>+COUNTIFS(Agents!I$2:I$149,Resumen!$B17,Agents!$Z$2:$Z$149,Resumen!$B$3)</f>
        <v>0</v>
      </c>
      <c r="H17" s="33">
        <f>+COUNTIFS(Agents!J$2:J$149,Resumen!$B17,Agents!$Z$2:$Z$149,Resumen!$B$3)</f>
        <v>0</v>
      </c>
      <c r="I17" s="34">
        <f>+COUNTIFS(Agents!K$2:K$149,Resumen!$B17,Agents!$Z$2:$Z$149,Resumen!$B$3)</f>
        <v>0</v>
      </c>
    </row>
    <row r="18" spans="2:9" x14ac:dyDescent="0.25">
      <c r="B18" s="8" t="s">
        <v>54</v>
      </c>
      <c r="C18" s="33">
        <f>+COUNTIFS(Agents!E$2:E$149,Resumen!$B18,Agents!$Z$2:$Z$149,Resumen!$B$3)</f>
        <v>0</v>
      </c>
      <c r="D18" s="33">
        <f>+COUNTIFS(Agents!F$2:F$149,Resumen!$B18,Agents!$Z$2:$Z$149,Resumen!$B$3)</f>
        <v>0</v>
      </c>
      <c r="E18" s="33">
        <f>+COUNTIFS(Agents!G$2:G$149,Resumen!$B18,Agents!$Z$2:$Z$149,Resumen!$B$3)</f>
        <v>0</v>
      </c>
      <c r="F18" s="33">
        <f>+COUNTIFS(Agents!H$2:H$149,Resumen!$B18,Agents!$Z$2:$Z$149,Resumen!$B$3)</f>
        <v>0</v>
      </c>
      <c r="G18" s="33">
        <f>+COUNTIFS(Agents!I$2:I$149,Resumen!$B18,Agents!$Z$2:$Z$149,Resumen!$B$3)</f>
        <v>0</v>
      </c>
      <c r="H18" s="33">
        <f>+COUNTIFS(Agents!J$2:J$149,Resumen!$B18,Agents!$Z$2:$Z$149,Resumen!$B$3)</f>
        <v>0</v>
      </c>
      <c r="I18" s="34">
        <f>+COUNTIFS(Agents!K$2:K$149,Resumen!$B18,Agents!$Z$2:$Z$149,Resumen!$B$3)</f>
        <v>0</v>
      </c>
    </row>
    <row r="19" spans="2:9" ht="15.75" thickBot="1" x14ac:dyDescent="0.3">
      <c r="B19" s="26" t="s">
        <v>55</v>
      </c>
      <c r="C19" s="35">
        <f t="shared" ref="C19:H19" si="4">+C12-SUM(C13:C18)</f>
        <v>0</v>
      </c>
      <c r="D19" s="35">
        <f t="shared" si="4"/>
        <v>0</v>
      </c>
      <c r="E19" s="35">
        <f t="shared" si="4"/>
        <v>0</v>
      </c>
      <c r="F19" s="35">
        <f t="shared" si="4"/>
        <v>0</v>
      </c>
      <c r="G19" s="35">
        <f t="shared" si="4"/>
        <v>0</v>
      </c>
      <c r="H19" s="35">
        <f t="shared" si="4"/>
        <v>0</v>
      </c>
      <c r="I19" s="36">
        <f>+I12-SUM(I13:I18)</f>
        <v>0</v>
      </c>
    </row>
    <row r="20" spans="2:9" ht="15.75" thickBot="1" x14ac:dyDescent="0.3">
      <c r="B20" s="29" t="s">
        <v>56</v>
      </c>
      <c r="C20" s="37">
        <f t="shared" ref="C20:H20" si="5">+C12-C15-C13</f>
        <v>0</v>
      </c>
      <c r="D20" s="37">
        <f t="shared" si="5"/>
        <v>0</v>
      </c>
      <c r="E20" s="37">
        <f t="shared" si="5"/>
        <v>0</v>
      </c>
      <c r="F20" s="37">
        <f t="shared" si="5"/>
        <v>0</v>
      </c>
      <c r="G20" s="37">
        <f t="shared" si="5"/>
        <v>0</v>
      </c>
      <c r="H20" s="37">
        <f t="shared" si="5"/>
        <v>0</v>
      </c>
      <c r="I20" s="38">
        <f>+I12-I15-I13</f>
        <v>0</v>
      </c>
    </row>
    <row r="21" spans="2:9" ht="15.75" thickBot="1" x14ac:dyDescent="0.3">
      <c r="B21" s="30"/>
      <c r="C21" s="30"/>
      <c r="D21" s="30"/>
      <c r="E21" s="30"/>
      <c r="F21" s="30"/>
      <c r="G21" s="30"/>
      <c r="H21" s="30"/>
      <c r="I21" s="30"/>
    </row>
    <row r="22" spans="2:9" ht="15.75" thickBot="1" x14ac:dyDescent="0.3">
      <c r="B22" s="10"/>
      <c r="C22" s="11" t="str">
        <f t="shared" ref="C22:I22" si="6">+C11</f>
        <v>Sunday</v>
      </c>
      <c r="D22" s="11" t="str">
        <f t="shared" si="6"/>
        <v>Monday</v>
      </c>
      <c r="E22" s="11" t="str">
        <f t="shared" si="6"/>
        <v>Tuesday</v>
      </c>
      <c r="F22" s="11" t="str">
        <f t="shared" si="6"/>
        <v>Wednesday</v>
      </c>
      <c r="G22" s="11" t="str">
        <f t="shared" si="6"/>
        <v>Thrusday</v>
      </c>
      <c r="H22" s="11" t="str">
        <f t="shared" si="6"/>
        <v>Friday</v>
      </c>
      <c r="I22" s="25" t="str">
        <f t="shared" si="6"/>
        <v>Saturday</v>
      </c>
    </row>
    <row r="23" spans="2:9" ht="15.75" thickBot="1" x14ac:dyDescent="0.3">
      <c r="B23" s="26" t="s">
        <v>57</v>
      </c>
      <c r="C23" s="27">
        <f>+SUMIF(Agents!$Z$2:$Z$149,Resumen!$B$3,Agents!O$2:O$149)</f>
        <v>0</v>
      </c>
      <c r="D23" s="27">
        <f>+SUMIF(Agents!$Z$2:$Z$149,Resumen!$B$3,Agents!P$2:P$149)</f>
        <v>0</v>
      </c>
      <c r="E23" s="27">
        <f>+SUMIF(Agents!$Z$2:$Z$149,Resumen!$B$3,Agents!Q$2:Q$149)</f>
        <v>0</v>
      </c>
      <c r="F23" s="27">
        <f>+SUMIF(Agents!$Z$2:$Z$149,Resumen!$B$3,Agents!R$2:R$149)</f>
        <v>0</v>
      </c>
      <c r="G23" s="27">
        <f>+SUMIF(Agents!$Z$2:$Z$149,Resumen!$B$3,Agents!S$2:S$149)</f>
        <v>0</v>
      </c>
      <c r="H23" s="27">
        <f>+SUMIF(Agents!$Z$2:$Z$149,Resumen!$B$3,Agents!T$2:T$149)</f>
        <v>0</v>
      </c>
      <c r="I23" s="28">
        <f>+SUMIF(Agents!$Z$2:$Z$149,Resumen!$B$3,Agents!U$2:U$149)</f>
        <v>0</v>
      </c>
    </row>
    <row r="24" spans="2:9" ht="15.75" thickBot="1" x14ac:dyDescent="0.3">
      <c r="B24" s="29" t="s">
        <v>58</v>
      </c>
      <c r="C24" s="31">
        <f>IFERROR(C23/C19,0)</f>
        <v>0</v>
      </c>
      <c r="D24" s="31">
        <f t="shared" ref="D24:H24" si="7">IFERROR(D23/D19,0)</f>
        <v>0</v>
      </c>
      <c r="E24" s="31">
        <f t="shared" si="7"/>
        <v>0</v>
      </c>
      <c r="F24" s="31">
        <f t="shared" si="7"/>
        <v>0</v>
      </c>
      <c r="G24" s="31">
        <f t="shared" si="7"/>
        <v>0</v>
      </c>
      <c r="H24" s="31">
        <f t="shared" si="7"/>
        <v>0</v>
      </c>
      <c r="I24" s="32">
        <f>IFERROR(I23/I19,0)</f>
        <v>0</v>
      </c>
    </row>
    <row r="25" spans="2:9" ht="15" customHeight="1" x14ac:dyDescent="0.25"/>
    <row r="26" spans="2:9" ht="15" customHeight="1" x14ac:dyDescent="0.25">
      <c r="B26" s="22" t="s">
        <v>61</v>
      </c>
      <c r="C26" s="23"/>
      <c r="D26" s="23"/>
      <c r="E26" s="24"/>
    </row>
    <row r="27" spans="2:9" ht="15" customHeight="1" thickBot="1" x14ac:dyDescent="0.3">
      <c r="B27" s="22"/>
      <c r="C27" s="23"/>
      <c r="D27" s="23"/>
      <c r="E27" s="24"/>
    </row>
    <row r="28" spans="2:9" ht="15" customHeight="1" thickBot="1" x14ac:dyDescent="0.3">
      <c r="B28" s="10"/>
      <c r="C28" s="11" t="s">
        <v>4</v>
      </c>
      <c r="D28" s="11" t="s">
        <v>5</v>
      </c>
      <c r="E28" s="11" t="s">
        <v>6</v>
      </c>
      <c r="F28" s="11" t="s">
        <v>7</v>
      </c>
      <c r="G28" s="11" t="s">
        <v>8</v>
      </c>
      <c r="H28" s="11" t="s">
        <v>9</v>
      </c>
      <c r="I28" s="25" t="s">
        <v>10</v>
      </c>
    </row>
    <row r="29" spans="2:9" ht="15" customHeight="1" x14ac:dyDescent="0.25">
      <c r="B29" s="8" t="s">
        <v>51</v>
      </c>
      <c r="C29" s="33">
        <f>+COUNTIF(Agents!$Z$2:$Z$149,Resumen!B4)</f>
        <v>0</v>
      </c>
      <c r="D29" s="33">
        <f t="shared" ref="D29" si="8">+C29</f>
        <v>0</v>
      </c>
      <c r="E29" s="33">
        <f t="shared" ref="E29" si="9">+D29</f>
        <v>0</v>
      </c>
      <c r="F29" s="33">
        <f t="shared" ref="F29" si="10">+E29</f>
        <v>0</v>
      </c>
      <c r="G29" s="33">
        <f t="shared" ref="G29" si="11">+F29</f>
        <v>0</v>
      </c>
      <c r="H29" s="33">
        <f t="shared" ref="H29" si="12">+G29</f>
        <v>0</v>
      </c>
      <c r="I29" s="34">
        <f t="shared" ref="I29" si="13">+H29</f>
        <v>0</v>
      </c>
    </row>
    <row r="30" spans="2:9" ht="15" customHeight="1" x14ac:dyDescent="0.25">
      <c r="B30" s="8" t="s">
        <v>52</v>
      </c>
      <c r="C30" s="33">
        <f>+COUNTIFS(Agents!E$2:E$149,Resumen!$B30,Agents!$Z$2:$Z$149,Resumen!$B$4)</f>
        <v>0</v>
      </c>
      <c r="D30" s="33">
        <f>+COUNTIFS(Agents!F$2:F$149,Resumen!$B30,Agents!$Z$2:$Z$149,Resumen!$B$4)</f>
        <v>0</v>
      </c>
      <c r="E30" s="33">
        <f>+COUNTIFS(Agents!G$2:G$149,Resumen!$B30,Agents!$Z$2:$Z$149,Resumen!$B$4)</f>
        <v>0</v>
      </c>
      <c r="F30" s="33">
        <f>+COUNTIFS(Agents!H$2:H$149,Resumen!$B30,Agents!$Z$2:$Z$149,Resumen!$B$4)</f>
        <v>0</v>
      </c>
      <c r="G30" s="33">
        <f>+COUNTIFS(Agents!I$2:I$149,Resumen!$B30,Agents!$Z$2:$Z$149,Resumen!$B$4)</f>
        <v>0</v>
      </c>
      <c r="H30" s="33">
        <f>+COUNTIFS(Agents!J$2:J$149,Resumen!$B30,Agents!$Z$2:$Z$149,Resumen!$B$4)</f>
        <v>0</v>
      </c>
      <c r="I30" s="34">
        <f>+COUNTIFS(Agents!K$2:K$149,Resumen!$B30,Agents!$Z$2:$Z$149,Resumen!$B$4)</f>
        <v>0</v>
      </c>
    </row>
    <row r="31" spans="2:9" ht="15" customHeight="1" x14ac:dyDescent="0.25">
      <c r="B31" s="8" t="s">
        <v>47</v>
      </c>
      <c r="C31" s="33">
        <f>+COUNTIFS(Agents!E$2:E$149,Resumen!$B31,Agents!$Z$2:$Z$149,Resumen!$B$4)</f>
        <v>0</v>
      </c>
      <c r="D31" s="33">
        <f>+COUNTIFS(Agents!F$2:F$149,Resumen!$B31,Agents!$Z$2:$Z$149,Resumen!$B$4)</f>
        <v>0</v>
      </c>
      <c r="E31" s="33">
        <f>+COUNTIFS(Agents!G$2:G$149,Resumen!$B31,Agents!$Z$2:$Z$149,Resumen!$B$4)</f>
        <v>0</v>
      </c>
      <c r="F31" s="33">
        <f>+COUNTIFS(Agents!H$2:H$149,Resumen!$B31,Agents!$Z$2:$Z$149,Resumen!$B$4)</f>
        <v>0</v>
      </c>
      <c r="G31" s="33">
        <f>+COUNTIFS(Agents!I$2:I$149,Resumen!$B31,Agents!$Z$2:$Z$149,Resumen!$B$4)</f>
        <v>0</v>
      </c>
      <c r="H31" s="33">
        <f>+COUNTIFS(Agents!J$2:J$149,Resumen!$B31,Agents!$Z$2:$Z$149,Resumen!$B$4)</f>
        <v>0</v>
      </c>
      <c r="I31" s="34">
        <f>+COUNTIFS(Agents!K$2:K$149,Resumen!$B31,Agents!$Z$2:$Z$149,Resumen!$B$4)</f>
        <v>0</v>
      </c>
    </row>
    <row r="32" spans="2:9" ht="15" customHeight="1" x14ac:dyDescent="0.25">
      <c r="B32" s="8" t="s">
        <v>40</v>
      </c>
      <c r="C32" s="33">
        <f>+COUNTIFS(Agents!E$2:E$149,Resumen!$B32,Agents!$Z$2:$Z$149,Resumen!$B$4)</f>
        <v>0</v>
      </c>
      <c r="D32" s="33">
        <f>+COUNTIFS(Agents!F$2:F$149,Resumen!$B32,Agents!$Z$2:$Z$149,Resumen!$B$4)</f>
        <v>0</v>
      </c>
      <c r="E32" s="33">
        <f>+COUNTIFS(Agents!G$2:G$149,Resumen!$B32,Agents!$Z$2:$Z$149,Resumen!$B$4)</f>
        <v>0</v>
      </c>
      <c r="F32" s="33">
        <f>+COUNTIFS(Agents!H$2:H$149,Resumen!$B32,Agents!$Z$2:$Z$149,Resumen!$B$4)</f>
        <v>0</v>
      </c>
      <c r="G32" s="33">
        <f>+COUNTIFS(Agents!I$2:I$149,Resumen!$B32,Agents!$Z$2:$Z$149,Resumen!$B$4)</f>
        <v>0</v>
      </c>
      <c r="H32" s="33">
        <f>+COUNTIFS(Agents!J$2:J$149,Resumen!$B32,Agents!$Z$2:$Z$149,Resumen!$B$4)</f>
        <v>0</v>
      </c>
      <c r="I32" s="34">
        <f>+COUNTIFS(Agents!K$2:K$149,Resumen!$B32,Agents!$Z$2:$Z$149,Resumen!$B$4)</f>
        <v>0</v>
      </c>
    </row>
    <row r="33" spans="2:9" ht="15" customHeight="1" x14ac:dyDescent="0.25">
      <c r="B33" s="8" t="s">
        <v>48</v>
      </c>
      <c r="C33" s="33">
        <f>+COUNTIFS(Agents!E$2:E$149,Resumen!$B33,Agents!$Z$2:$Z$149,Resumen!$B$4)</f>
        <v>0</v>
      </c>
      <c r="D33" s="33">
        <f>+COUNTIFS(Agents!F$2:F$149,Resumen!$B33,Agents!$Z$2:$Z$149,Resumen!$B$4)</f>
        <v>0</v>
      </c>
      <c r="E33" s="33">
        <f>+COUNTIFS(Agents!G$2:G$149,Resumen!$B33,Agents!$Z$2:$Z$149,Resumen!$B$4)</f>
        <v>0</v>
      </c>
      <c r="F33" s="33">
        <f>+COUNTIFS(Agents!H$2:H$149,Resumen!$B33,Agents!$Z$2:$Z$149,Resumen!$B$4)</f>
        <v>0</v>
      </c>
      <c r="G33" s="33">
        <f>+COUNTIFS(Agents!I$2:I$149,Resumen!$B33,Agents!$Z$2:$Z$149,Resumen!$B$4)</f>
        <v>0</v>
      </c>
      <c r="H33" s="33">
        <f>+COUNTIFS(Agents!J$2:J$149,Resumen!$B33,Agents!$Z$2:$Z$149,Resumen!$B$4)</f>
        <v>0</v>
      </c>
      <c r="I33" s="34">
        <f>+COUNTIFS(Agents!K$2:K$149,Resumen!$B33,Agents!$Z$2:$Z$149,Resumen!$B$4)</f>
        <v>0</v>
      </c>
    </row>
    <row r="34" spans="2:9" ht="15" customHeight="1" x14ac:dyDescent="0.25">
      <c r="B34" s="8" t="s">
        <v>53</v>
      </c>
      <c r="C34" s="33">
        <f>+COUNTIFS(Agents!E$2:E$149,Resumen!$B34,Agents!$Z$2:$Z$149,Resumen!$B$4)</f>
        <v>0</v>
      </c>
      <c r="D34" s="33">
        <f>+COUNTIFS(Agents!F$2:F$149,Resumen!$B34,Agents!$Z$2:$Z$149,Resumen!$B$4)</f>
        <v>0</v>
      </c>
      <c r="E34" s="33">
        <f>+COUNTIFS(Agents!G$2:G$149,Resumen!$B34,Agents!$Z$2:$Z$149,Resumen!$B$4)</f>
        <v>0</v>
      </c>
      <c r="F34" s="33">
        <f>+COUNTIFS(Agents!H$2:H$149,Resumen!$B34,Agents!$Z$2:$Z$149,Resumen!$B$4)</f>
        <v>0</v>
      </c>
      <c r="G34" s="33">
        <f>+COUNTIFS(Agents!I$2:I$149,Resumen!$B34,Agents!$Z$2:$Z$149,Resumen!$B$4)</f>
        <v>0</v>
      </c>
      <c r="H34" s="33">
        <f>+COUNTIFS(Agents!J$2:J$149,Resumen!$B34,Agents!$Z$2:$Z$149,Resumen!$B$4)</f>
        <v>0</v>
      </c>
      <c r="I34" s="34">
        <f>+COUNTIFS(Agents!K$2:K$149,Resumen!$B34,Agents!$Z$2:$Z$149,Resumen!$B$4)</f>
        <v>0</v>
      </c>
    </row>
    <row r="35" spans="2:9" ht="15" customHeight="1" x14ac:dyDescent="0.25">
      <c r="B35" s="8" t="s">
        <v>54</v>
      </c>
      <c r="C35" s="33">
        <f>+COUNTIFS(Agents!E$2:E$149,Resumen!$B35,Agents!$Z$2:$Z$149,Resumen!$B$4)</f>
        <v>0</v>
      </c>
      <c r="D35" s="33">
        <f>+COUNTIFS(Agents!F$2:F$149,Resumen!$B35,Agents!$Z$2:$Z$149,Resumen!$B$4)</f>
        <v>0</v>
      </c>
      <c r="E35" s="33">
        <f>+COUNTIFS(Agents!G$2:G$149,Resumen!$B35,Agents!$Z$2:$Z$149,Resumen!$B$4)</f>
        <v>0</v>
      </c>
      <c r="F35" s="33">
        <f>+COUNTIFS(Agents!H$2:H$149,Resumen!$B35,Agents!$Z$2:$Z$149,Resumen!$B$4)</f>
        <v>0</v>
      </c>
      <c r="G35" s="33">
        <f>+COUNTIFS(Agents!I$2:I$149,Resumen!$B35,Agents!$Z$2:$Z$149,Resumen!$B$4)</f>
        <v>0</v>
      </c>
      <c r="H35" s="33">
        <f>+COUNTIFS(Agents!J$2:J$149,Resumen!$B35,Agents!$Z$2:$Z$149,Resumen!$B$4)</f>
        <v>0</v>
      </c>
      <c r="I35" s="34">
        <f>+COUNTIFS(Agents!K$2:K$149,Resumen!$B35,Agents!$Z$2:$Z$149,Resumen!$B$4)</f>
        <v>0</v>
      </c>
    </row>
    <row r="36" spans="2:9" ht="15" customHeight="1" thickBot="1" x14ac:dyDescent="0.3">
      <c r="B36" s="26" t="s">
        <v>55</v>
      </c>
      <c r="C36" s="35">
        <f t="shared" ref="C36:H36" si="14">+C29-SUM(C30:C35)</f>
        <v>0</v>
      </c>
      <c r="D36" s="35">
        <f t="shared" si="14"/>
        <v>0</v>
      </c>
      <c r="E36" s="35">
        <f t="shared" si="14"/>
        <v>0</v>
      </c>
      <c r="F36" s="35">
        <f t="shared" si="14"/>
        <v>0</v>
      </c>
      <c r="G36" s="35">
        <f t="shared" si="14"/>
        <v>0</v>
      </c>
      <c r="H36" s="35">
        <f t="shared" si="14"/>
        <v>0</v>
      </c>
      <c r="I36" s="36">
        <f>+I29-SUM(I30:I35)</f>
        <v>0</v>
      </c>
    </row>
    <row r="37" spans="2:9" ht="15" customHeight="1" thickBot="1" x14ac:dyDescent="0.3">
      <c r="B37" s="29" t="s">
        <v>56</v>
      </c>
      <c r="C37" s="37">
        <f t="shared" ref="C37:H37" si="15">+C29-C32-C30</f>
        <v>0</v>
      </c>
      <c r="D37" s="37">
        <f t="shared" si="15"/>
        <v>0</v>
      </c>
      <c r="E37" s="37">
        <f t="shared" si="15"/>
        <v>0</v>
      </c>
      <c r="F37" s="37">
        <f t="shared" si="15"/>
        <v>0</v>
      </c>
      <c r="G37" s="37">
        <f t="shared" si="15"/>
        <v>0</v>
      </c>
      <c r="H37" s="37">
        <f t="shared" si="15"/>
        <v>0</v>
      </c>
      <c r="I37" s="38">
        <f>+I29-I32-I30</f>
        <v>0</v>
      </c>
    </row>
    <row r="38" spans="2:9" ht="15" customHeight="1" thickBot="1" x14ac:dyDescent="0.3">
      <c r="B38" s="30"/>
      <c r="C38" s="30"/>
      <c r="D38" s="30"/>
      <c r="E38" s="30"/>
      <c r="F38" s="30"/>
      <c r="G38" s="30"/>
      <c r="H38" s="30"/>
      <c r="I38" s="30"/>
    </row>
    <row r="39" spans="2:9" ht="15" customHeight="1" thickBot="1" x14ac:dyDescent="0.3">
      <c r="B39" s="10"/>
      <c r="C39" s="11" t="str">
        <f t="shared" ref="C39:I39" si="16">+C28</f>
        <v>Sunday</v>
      </c>
      <c r="D39" s="11" t="str">
        <f t="shared" si="16"/>
        <v>Monday</v>
      </c>
      <c r="E39" s="11" t="str">
        <f t="shared" si="16"/>
        <v>Tuesday</v>
      </c>
      <c r="F39" s="11" t="str">
        <f t="shared" si="16"/>
        <v>Wednesday</v>
      </c>
      <c r="G39" s="11" t="str">
        <f t="shared" si="16"/>
        <v>Thrusday</v>
      </c>
      <c r="H39" s="11" t="str">
        <f t="shared" si="16"/>
        <v>Friday</v>
      </c>
      <c r="I39" s="25" t="str">
        <f t="shared" si="16"/>
        <v>Saturday</v>
      </c>
    </row>
    <row r="40" spans="2:9" ht="15" customHeight="1" thickBot="1" x14ac:dyDescent="0.3">
      <c r="B40" s="26" t="s">
        <v>57</v>
      </c>
      <c r="C40" s="27">
        <f>+SUMIF(Agents!$Z$2:$Z$149,Resumen!$B$4,Agents!O$2:O$149)</f>
        <v>0</v>
      </c>
      <c r="D40" s="27">
        <f>+SUMIF(Agents!$Z$2:$Z$149,Resumen!$B$4,Agents!P$2:P$149)</f>
        <v>0</v>
      </c>
      <c r="E40" s="27">
        <f>+SUMIF(Agents!$Z$2:$Z$149,Resumen!$B$4,Agents!Q$2:Q$149)</f>
        <v>0</v>
      </c>
      <c r="F40" s="27">
        <f>+SUMIF(Agents!$Z$2:$Z$149,Resumen!$B$4,Agents!R$2:R$149)</f>
        <v>0</v>
      </c>
      <c r="G40" s="27">
        <f>+SUMIF(Agents!$Z$2:$Z$149,Resumen!$B$4,Agents!S$2:S$149)</f>
        <v>0</v>
      </c>
      <c r="H40" s="27">
        <f>+SUMIF(Agents!$Z$2:$Z$149,Resumen!$B$4,Agents!T$2:T$149)</f>
        <v>0</v>
      </c>
      <c r="I40" s="28">
        <f>+SUMIF(Agents!$Z$2:$Z$149,Resumen!$B$4,Agents!U$2:U$149)</f>
        <v>0</v>
      </c>
    </row>
    <row r="41" spans="2:9" ht="15" customHeight="1" thickBot="1" x14ac:dyDescent="0.3">
      <c r="B41" s="29" t="s">
        <v>58</v>
      </c>
      <c r="C41" s="31">
        <f>IFERROR(C40/C36,0)</f>
        <v>0</v>
      </c>
      <c r="D41" s="31">
        <f t="shared" ref="D41:H41" si="17">IFERROR(D40/D36,0)</f>
        <v>0</v>
      </c>
      <c r="E41" s="31">
        <f t="shared" si="17"/>
        <v>0</v>
      </c>
      <c r="F41" s="31">
        <f t="shared" si="17"/>
        <v>0</v>
      </c>
      <c r="G41" s="31">
        <f t="shared" si="17"/>
        <v>0</v>
      </c>
      <c r="H41" s="31">
        <f t="shared" si="17"/>
        <v>0</v>
      </c>
      <c r="I41" s="32">
        <f>IFERROR(I40/I36,0)</f>
        <v>0</v>
      </c>
    </row>
    <row r="42" spans="2:9" ht="15" customHeight="1" x14ac:dyDescent="0.25"/>
    <row r="43" spans="2:9" ht="15" customHeight="1" x14ac:dyDescent="0.25">
      <c r="B43" s="22" t="s">
        <v>65</v>
      </c>
      <c r="C43" s="23"/>
      <c r="D43" s="23"/>
      <c r="E43" s="24"/>
    </row>
    <row r="44" spans="2:9" ht="15" customHeight="1" thickBot="1" x14ac:dyDescent="0.3">
      <c r="B44" s="22"/>
      <c r="C44" s="23"/>
      <c r="D44" s="23"/>
      <c r="E44" s="24"/>
    </row>
    <row r="45" spans="2:9" ht="15" customHeight="1" thickBot="1" x14ac:dyDescent="0.3">
      <c r="B45" s="10"/>
      <c r="C45" s="11" t="s">
        <v>4</v>
      </c>
      <c r="D45" s="11" t="s">
        <v>5</v>
      </c>
      <c r="E45" s="11" t="s">
        <v>6</v>
      </c>
      <c r="F45" s="11" t="s">
        <v>7</v>
      </c>
      <c r="G45" s="11" t="s">
        <v>8</v>
      </c>
      <c r="H45" s="11" t="s">
        <v>9</v>
      </c>
      <c r="I45" s="25" t="s">
        <v>10</v>
      </c>
    </row>
    <row r="46" spans="2:9" ht="15" customHeight="1" x14ac:dyDescent="0.25">
      <c r="B46" s="8" t="s">
        <v>51</v>
      </c>
      <c r="C46" s="33">
        <f>+COUNTIF(Agents!$Z$2:$Z$149,Resumen!B5)</f>
        <v>0</v>
      </c>
      <c r="D46" s="33">
        <f t="shared" ref="D46" si="18">+C46</f>
        <v>0</v>
      </c>
      <c r="E46" s="33">
        <f t="shared" ref="E46" si="19">+D46</f>
        <v>0</v>
      </c>
      <c r="F46" s="33">
        <f t="shared" ref="F46" si="20">+E46</f>
        <v>0</v>
      </c>
      <c r="G46" s="33">
        <f t="shared" ref="G46" si="21">+F46</f>
        <v>0</v>
      </c>
      <c r="H46" s="33">
        <f t="shared" ref="H46" si="22">+G46</f>
        <v>0</v>
      </c>
      <c r="I46" s="34">
        <f t="shared" ref="I46" si="23">+H46</f>
        <v>0</v>
      </c>
    </row>
    <row r="47" spans="2:9" ht="15" customHeight="1" x14ac:dyDescent="0.25">
      <c r="B47" s="8" t="s">
        <v>52</v>
      </c>
      <c r="C47" s="33">
        <f>+COUNTIFS(Agents!E$2:E$149,Resumen!$B47,Agents!$Z$2:$Z$149,Resumen!$B$5)</f>
        <v>0</v>
      </c>
      <c r="D47" s="33">
        <f>+COUNTIFS(Agents!F$2:F$149,Resumen!$B47,Agents!$Z$2:$Z$149,Resumen!$B$5)</f>
        <v>0</v>
      </c>
      <c r="E47" s="33">
        <f>+COUNTIFS(Agents!G$2:G$149,Resumen!$B47,Agents!$Z$2:$Z$149,Resumen!$B$5)</f>
        <v>0</v>
      </c>
      <c r="F47" s="33">
        <f>+COUNTIFS(Agents!H$2:H$149,Resumen!$B47,Agents!$Z$2:$Z$149,Resumen!$B$5)</f>
        <v>0</v>
      </c>
      <c r="G47" s="33">
        <f>+COUNTIFS(Agents!I$2:I$149,Resumen!$B47,Agents!$Z$2:$Z$149,Resumen!$B$5)</f>
        <v>0</v>
      </c>
      <c r="H47" s="33">
        <f>+COUNTIFS(Agents!J$2:J$149,Resumen!$B47,Agents!$Z$2:$Z$149,Resumen!$B$5)</f>
        <v>0</v>
      </c>
      <c r="I47" s="34">
        <f>+COUNTIFS(Agents!K$2:K$149,Resumen!$B47,Agents!$Z$2:$Z$149,Resumen!$B$5)</f>
        <v>0</v>
      </c>
    </row>
    <row r="48" spans="2:9" ht="15" customHeight="1" x14ac:dyDescent="0.25">
      <c r="B48" s="8" t="s">
        <v>47</v>
      </c>
      <c r="C48" s="33">
        <f>+COUNTIFS(Agents!E$2:E$149,Resumen!$B48,Agents!$Z$2:$Z$149,Resumen!$B$5)</f>
        <v>0</v>
      </c>
      <c r="D48" s="33">
        <f>+COUNTIFS(Agents!F$2:F$149,Resumen!$B48,Agents!$Z$2:$Z$149,Resumen!$B$5)</f>
        <v>0</v>
      </c>
      <c r="E48" s="33">
        <f>+COUNTIFS(Agents!G$2:G$149,Resumen!$B48,Agents!$Z$2:$Z$149,Resumen!$B$5)</f>
        <v>0</v>
      </c>
      <c r="F48" s="33">
        <f>+COUNTIFS(Agents!H$2:H$149,Resumen!$B48,Agents!$Z$2:$Z$149,Resumen!$B$5)</f>
        <v>0</v>
      </c>
      <c r="G48" s="33">
        <f>+COUNTIFS(Agents!I$2:I$149,Resumen!$B48,Agents!$Z$2:$Z$149,Resumen!$B$5)</f>
        <v>0</v>
      </c>
      <c r="H48" s="33">
        <f>+COUNTIFS(Agents!J$2:J$149,Resumen!$B48,Agents!$Z$2:$Z$149,Resumen!$B$5)</f>
        <v>0</v>
      </c>
      <c r="I48" s="34">
        <f>+COUNTIFS(Agents!K$2:K$149,Resumen!$B48,Agents!$Z$2:$Z$149,Resumen!$B$5)</f>
        <v>0</v>
      </c>
    </row>
    <row r="49" spans="2:9" ht="15" customHeight="1" x14ac:dyDescent="0.25">
      <c r="B49" s="8" t="s">
        <v>40</v>
      </c>
      <c r="C49" s="33">
        <f>+COUNTIFS(Agents!E$2:E$149,Resumen!$B49,Agents!$Z$2:$Z$149,Resumen!$B$5)</f>
        <v>0</v>
      </c>
      <c r="D49" s="33">
        <f>+COUNTIFS(Agents!F$2:F$149,Resumen!$B49,Agents!$Z$2:$Z$149,Resumen!$B$5)</f>
        <v>0</v>
      </c>
      <c r="E49" s="33">
        <f>+COUNTIFS(Agents!G$2:G$149,Resumen!$B49,Agents!$Z$2:$Z$149,Resumen!$B$5)</f>
        <v>0</v>
      </c>
      <c r="F49" s="33">
        <f>+COUNTIFS(Agents!H$2:H$149,Resumen!$B49,Agents!$Z$2:$Z$149,Resumen!$B$5)</f>
        <v>0</v>
      </c>
      <c r="G49" s="33">
        <f>+COUNTIFS(Agents!I$2:I$149,Resumen!$B49,Agents!$Z$2:$Z$149,Resumen!$B$5)</f>
        <v>0</v>
      </c>
      <c r="H49" s="33">
        <f>+COUNTIFS(Agents!J$2:J$149,Resumen!$B49,Agents!$Z$2:$Z$149,Resumen!$B$5)</f>
        <v>0</v>
      </c>
      <c r="I49" s="34">
        <f>+COUNTIFS(Agents!K$2:K$149,Resumen!$B49,Agents!$Z$2:$Z$149,Resumen!$B$5)</f>
        <v>0</v>
      </c>
    </row>
    <row r="50" spans="2:9" ht="15" customHeight="1" x14ac:dyDescent="0.25">
      <c r="B50" s="8" t="s">
        <v>48</v>
      </c>
      <c r="C50" s="33">
        <f>+COUNTIFS(Agents!E$2:E$149,Resumen!$B50,Agents!$Z$2:$Z$149,Resumen!$B$5)</f>
        <v>0</v>
      </c>
      <c r="D50" s="33">
        <f>+COUNTIFS(Agents!F$2:F$149,Resumen!$B50,Agents!$Z$2:$Z$149,Resumen!$B$5)</f>
        <v>0</v>
      </c>
      <c r="E50" s="33">
        <f>+COUNTIFS(Agents!G$2:G$149,Resumen!$B50,Agents!$Z$2:$Z$149,Resumen!$B$5)</f>
        <v>0</v>
      </c>
      <c r="F50" s="33">
        <f>+COUNTIFS(Agents!H$2:H$149,Resumen!$B50,Agents!$Z$2:$Z$149,Resumen!$B$5)</f>
        <v>0</v>
      </c>
      <c r="G50" s="33">
        <f>+COUNTIFS(Agents!I$2:I$149,Resumen!$B50,Agents!$Z$2:$Z$149,Resumen!$B$5)</f>
        <v>0</v>
      </c>
      <c r="H50" s="33">
        <f>+COUNTIFS(Agents!J$2:J$149,Resumen!$B50,Agents!$Z$2:$Z$149,Resumen!$B$5)</f>
        <v>0</v>
      </c>
      <c r="I50" s="34">
        <f>+COUNTIFS(Agents!K$2:K$149,Resumen!$B50,Agents!$Z$2:$Z$149,Resumen!$B$5)</f>
        <v>0</v>
      </c>
    </row>
    <row r="51" spans="2:9" ht="15" customHeight="1" x14ac:dyDescent="0.25">
      <c r="B51" s="8" t="s">
        <v>53</v>
      </c>
      <c r="C51" s="33">
        <f>+COUNTIFS(Agents!E$2:E$149,Resumen!$B51,Agents!$Z$2:$Z$149,Resumen!$B$5)</f>
        <v>0</v>
      </c>
      <c r="D51" s="33">
        <f>+COUNTIFS(Agents!F$2:F$149,Resumen!$B51,Agents!$Z$2:$Z$149,Resumen!$B$5)</f>
        <v>0</v>
      </c>
      <c r="E51" s="33">
        <f>+COUNTIFS(Agents!G$2:G$149,Resumen!$B51,Agents!$Z$2:$Z$149,Resumen!$B$5)</f>
        <v>0</v>
      </c>
      <c r="F51" s="33">
        <f>+COUNTIFS(Agents!H$2:H$149,Resumen!$B51,Agents!$Z$2:$Z$149,Resumen!$B$5)</f>
        <v>0</v>
      </c>
      <c r="G51" s="33">
        <f>+COUNTIFS(Agents!I$2:I$149,Resumen!$B51,Agents!$Z$2:$Z$149,Resumen!$B$5)</f>
        <v>0</v>
      </c>
      <c r="H51" s="33">
        <f>+COUNTIFS(Agents!J$2:J$149,Resumen!$B51,Agents!$Z$2:$Z$149,Resumen!$B$5)</f>
        <v>0</v>
      </c>
      <c r="I51" s="34">
        <f>+COUNTIFS(Agents!K$2:K$149,Resumen!$B51,Agents!$Z$2:$Z$149,Resumen!$B$5)</f>
        <v>0</v>
      </c>
    </row>
    <row r="52" spans="2:9" ht="15" customHeight="1" x14ac:dyDescent="0.25">
      <c r="B52" s="8" t="s">
        <v>54</v>
      </c>
      <c r="C52" s="33">
        <f>+COUNTIFS(Agents!E$2:E$149,Resumen!$B52,Agents!$Z$2:$Z$149,Resumen!$B$5)</f>
        <v>0</v>
      </c>
      <c r="D52" s="33">
        <f>+COUNTIFS(Agents!F$2:F$149,Resumen!$B52,Agents!$Z$2:$Z$149,Resumen!$B$5)</f>
        <v>0</v>
      </c>
      <c r="E52" s="33">
        <f>+COUNTIFS(Agents!G$2:G$149,Resumen!$B52,Agents!$Z$2:$Z$149,Resumen!$B$5)</f>
        <v>0</v>
      </c>
      <c r="F52" s="33">
        <f>+COUNTIFS(Agents!H$2:H$149,Resumen!$B52,Agents!$Z$2:$Z$149,Resumen!$B$5)</f>
        <v>0</v>
      </c>
      <c r="G52" s="33">
        <f>+COUNTIFS(Agents!I$2:I$149,Resumen!$B52,Agents!$Z$2:$Z$149,Resumen!$B$5)</f>
        <v>0</v>
      </c>
      <c r="H52" s="33">
        <f>+COUNTIFS(Agents!J$2:J$149,Resumen!$B52,Agents!$Z$2:$Z$149,Resumen!$B$5)</f>
        <v>0</v>
      </c>
      <c r="I52" s="34">
        <f>+COUNTIFS(Agents!K$2:K$149,Resumen!$B52,Agents!$Z$2:$Z$149,Resumen!$B$5)</f>
        <v>0</v>
      </c>
    </row>
    <row r="53" spans="2:9" ht="15" customHeight="1" thickBot="1" x14ac:dyDescent="0.3">
      <c r="B53" s="26" t="s">
        <v>55</v>
      </c>
      <c r="C53" s="35">
        <f t="shared" ref="C53:H53" si="24">+C46-SUM(C47:C52)</f>
        <v>0</v>
      </c>
      <c r="D53" s="35">
        <f t="shared" si="24"/>
        <v>0</v>
      </c>
      <c r="E53" s="35">
        <f t="shared" si="24"/>
        <v>0</v>
      </c>
      <c r="F53" s="35">
        <f t="shared" si="24"/>
        <v>0</v>
      </c>
      <c r="G53" s="35">
        <f t="shared" si="24"/>
        <v>0</v>
      </c>
      <c r="H53" s="35">
        <f t="shared" si="24"/>
        <v>0</v>
      </c>
      <c r="I53" s="36">
        <f>+I46-SUM(I47:I52)</f>
        <v>0</v>
      </c>
    </row>
    <row r="54" spans="2:9" ht="15" customHeight="1" thickBot="1" x14ac:dyDescent="0.3">
      <c r="B54" s="29" t="s">
        <v>56</v>
      </c>
      <c r="C54" s="37">
        <f t="shared" ref="C54:H54" si="25">+C46-C49-C47</f>
        <v>0</v>
      </c>
      <c r="D54" s="37">
        <f t="shared" si="25"/>
        <v>0</v>
      </c>
      <c r="E54" s="37">
        <f t="shared" si="25"/>
        <v>0</v>
      </c>
      <c r="F54" s="37">
        <f t="shared" si="25"/>
        <v>0</v>
      </c>
      <c r="G54" s="37">
        <f t="shared" si="25"/>
        <v>0</v>
      </c>
      <c r="H54" s="37">
        <f t="shared" si="25"/>
        <v>0</v>
      </c>
      <c r="I54" s="38">
        <f>+I46-I49-I47</f>
        <v>0</v>
      </c>
    </row>
    <row r="55" spans="2:9" ht="15" customHeight="1" thickBot="1" x14ac:dyDescent="0.3">
      <c r="B55" s="30"/>
      <c r="C55" s="30"/>
      <c r="D55" s="30"/>
      <c r="E55" s="30"/>
      <c r="F55" s="30"/>
      <c r="G55" s="30"/>
      <c r="H55" s="30"/>
      <c r="I55" s="30"/>
    </row>
    <row r="56" spans="2:9" ht="15" customHeight="1" thickBot="1" x14ac:dyDescent="0.3">
      <c r="B56" s="10"/>
      <c r="C56" s="11" t="str">
        <f t="shared" ref="C56:I56" si="26">+C45</f>
        <v>Sunday</v>
      </c>
      <c r="D56" s="11" t="str">
        <f t="shared" si="26"/>
        <v>Monday</v>
      </c>
      <c r="E56" s="11" t="str">
        <f t="shared" si="26"/>
        <v>Tuesday</v>
      </c>
      <c r="F56" s="11" t="str">
        <f t="shared" si="26"/>
        <v>Wednesday</v>
      </c>
      <c r="G56" s="11" t="str">
        <f t="shared" si="26"/>
        <v>Thrusday</v>
      </c>
      <c r="H56" s="11" t="str">
        <f t="shared" si="26"/>
        <v>Friday</v>
      </c>
      <c r="I56" s="25" t="str">
        <f t="shared" si="26"/>
        <v>Saturday</v>
      </c>
    </row>
    <row r="57" spans="2:9" ht="15" customHeight="1" thickBot="1" x14ac:dyDescent="0.3">
      <c r="B57" s="26" t="s">
        <v>57</v>
      </c>
      <c r="C57" s="27">
        <f>+SUMIF(Agents!$Z$2:$Z$149,Resumen!$B$5,Agents!O$2:O$149)</f>
        <v>0</v>
      </c>
      <c r="D57" s="27">
        <f>+SUMIF(Agents!$Z$2:$Z$149,Resumen!$B$5,Agents!P$2:P$149)</f>
        <v>0</v>
      </c>
      <c r="E57" s="27">
        <f>+SUMIF(Agents!$Z$2:$Z$149,Resumen!$B$5,Agents!Q$2:Q$149)</f>
        <v>0</v>
      </c>
      <c r="F57" s="27">
        <f>+SUMIF(Agents!$Z$2:$Z$149,Resumen!$B$5,Agents!R$2:R$149)</f>
        <v>0</v>
      </c>
      <c r="G57" s="27">
        <f>+SUMIF(Agents!$Z$2:$Z$149,Resumen!$B$5,Agents!S$2:S$149)</f>
        <v>0</v>
      </c>
      <c r="H57" s="27">
        <f>+SUMIF(Agents!$Z$2:$Z$149,Resumen!$B$5,Agents!T$2:T$149)</f>
        <v>0</v>
      </c>
      <c r="I57" s="28">
        <f>+SUMIF(Agents!$Z$2:$Z$149,Resumen!$B$5,Agents!U$2:U$149)</f>
        <v>0</v>
      </c>
    </row>
    <row r="58" spans="2:9" ht="15" customHeight="1" thickBot="1" x14ac:dyDescent="0.3">
      <c r="B58" s="29" t="s">
        <v>58</v>
      </c>
      <c r="C58" s="31">
        <f>IFERROR(C57/C53,0)</f>
        <v>0</v>
      </c>
      <c r="D58" s="31">
        <f t="shared" ref="D58:H58" si="27">IFERROR(D57/D53,0)</f>
        <v>0</v>
      </c>
      <c r="E58" s="31">
        <f t="shared" si="27"/>
        <v>0</v>
      </c>
      <c r="F58" s="31">
        <f t="shared" si="27"/>
        <v>0</v>
      </c>
      <c r="G58" s="31">
        <f t="shared" si="27"/>
        <v>0</v>
      </c>
      <c r="H58" s="31">
        <f t="shared" si="27"/>
        <v>0</v>
      </c>
      <c r="I58" s="32">
        <f>IFERROR(I57/I53,0)</f>
        <v>0</v>
      </c>
    </row>
    <row r="59" spans="2:9" ht="15" customHeight="1" x14ac:dyDescent="0.25"/>
    <row r="60" spans="2:9" ht="15" customHeight="1" x14ac:dyDescent="0.25">
      <c r="B60" s="22" t="s">
        <v>63</v>
      </c>
      <c r="C60" s="23"/>
      <c r="D60" s="23"/>
      <c r="E60" s="24"/>
    </row>
    <row r="61" spans="2:9" ht="15" customHeight="1" thickBot="1" x14ac:dyDescent="0.3">
      <c r="B61" s="22"/>
      <c r="C61" s="23"/>
      <c r="D61" s="23"/>
      <c r="E61" s="24"/>
    </row>
    <row r="62" spans="2:9" ht="15" customHeight="1" thickBot="1" x14ac:dyDescent="0.3">
      <c r="B62" s="10"/>
      <c r="C62" s="11" t="s">
        <v>4</v>
      </c>
      <c r="D62" s="11" t="s">
        <v>5</v>
      </c>
      <c r="E62" s="11" t="s">
        <v>6</v>
      </c>
      <c r="F62" s="11" t="s">
        <v>7</v>
      </c>
      <c r="G62" s="11" t="s">
        <v>8</v>
      </c>
      <c r="H62" s="11" t="s">
        <v>9</v>
      </c>
      <c r="I62" s="25" t="s">
        <v>10</v>
      </c>
    </row>
    <row r="63" spans="2:9" ht="15" customHeight="1" x14ac:dyDescent="0.25">
      <c r="B63" s="8" t="s">
        <v>51</v>
      </c>
      <c r="C63" s="33">
        <f>+COUNTIF(Agents!$Z$2:$Z$149,Resumen!B6)</f>
        <v>0</v>
      </c>
      <c r="D63" s="33">
        <f t="shared" ref="D63" si="28">+C63</f>
        <v>0</v>
      </c>
      <c r="E63" s="33">
        <f t="shared" ref="E63" si="29">+D63</f>
        <v>0</v>
      </c>
      <c r="F63" s="33">
        <f t="shared" ref="F63" si="30">+E63</f>
        <v>0</v>
      </c>
      <c r="G63" s="33">
        <f t="shared" ref="G63" si="31">+F63</f>
        <v>0</v>
      </c>
      <c r="H63" s="33">
        <f t="shared" ref="H63" si="32">+G63</f>
        <v>0</v>
      </c>
      <c r="I63" s="34">
        <f t="shared" ref="I63" si="33">+H63</f>
        <v>0</v>
      </c>
    </row>
    <row r="64" spans="2:9" ht="15" customHeight="1" x14ac:dyDescent="0.25">
      <c r="B64" s="8" t="s">
        <v>52</v>
      </c>
      <c r="C64" s="33">
        <f>+COUNTIFS(Agents!E$2:E$149,Resumen!$B64,Agents!$Z$2:$Z$149,Resumen!$B$6)</f>
        <v>0</v>
      </c>
      <c r="D64" s="33">
        <f>+COUNTIFS(Agents!F$2:F$149,Resumen!$B64,Agents!$Z$2:$Z$149,Resumen!$B$3)</f>
        <v>0</v>
      </c>
      <c r="E64" s="33">
        <f>+COUNTIFS(Agents!G$2:G$149,Resumen!$B64,Agents!$Z$2:$Z$149,Resumen!$B$3)</f>
        <v>0</v>
      </c>
      <c r="F64" s="33">
        <f>+COUNTIFS(Agents!H$2:H$149,Resumen!$B64,Agents!$Z$2:$Z$149,Resumen!$B$3)</f>
        <v>0</v>
      </c>
      <c r="G64" s="33">
        <f>+COUNTIFS(Agents!I$2:I$149,Resumen!$B64,Agents!$Z$2:$Z$149,Resumen!$B$3)</f>
        <v>0</v>
      </c>
      <c r="H64" s="33">
        <f>+COUNTIFS(Agents!J$2:J$149,Resumen!$B64,Agents!$Z$2:$Z$149,Resumen!$B$3)</f>
        <v>0</v>
      </c>
      <c r="I64" s="34">
        <f>+COUNTIFS(Agents!K$2:K$149,Resumen!$B64,Agents!$Z$2:$Z$149,Resumen!$B$3)</f>
        <v>0</v>
      </c>
    </row>
    <row r="65" spans="2:9" ht="15" customHeight="1" x14ac:dyDescent="0.25">
      <c r="B65" s="8" t="s">
        <v>47</v>
      </c>
      <c r="C65" s="33">
        <f>+COUNTIFS(Agents!E$2:E$149,Resumen!$B65,Agents!$Z$2:$Z$149,Resumen!$B$6)</f>
        <v>0</v>
      </c>
      <c r="D65" s="33">
        <f>+COUNTIFS(Agents!F$2:F$149,Resumen!$B65,Agents!$Z$2:$Z$149,Resumen!$B$6)</f>
        <v>0</v>
      </c>
      <c r="E65" s="33">
        <f>+COUNTIFS(Agents!G$2:G$149,Resumen!$B65,Agents!$Z$2:$Z$149,Resumen!$B$6)</f>
        <v>0</v>
      </c>
      <c r="F65" s="33">
        <f>+COUNTIFS(Agents!H$2:H$149,Resumen!$B65,Agents!$Z$2:$Z$149,Resumen!$B$6)</f>
        <v>0</v>
      </c>
      <c r="G65" s="33">
        <f>+COUNTIFS(Agents!I$2:I$149,Resumen!$B65,Agents!$Z$2:$Z$149,Resumen!$B$6)</f>
        <v>0</v>
      </c>
      <c r="H65" s="33">
        <f>+COUNTIFS(Agents!J$2:J$149,Resumen!$B65,Agents!$Z$2:$Z$149,Resumen!$B$6)</f>
        <v>0</v>
      </c>
      <c r="I65" s="34">
        <f>+COUNTIFS(Agents!K$2:K$149,Resumen!$B65,Agents!$Z$2:$Z$149,Resumen!$B$6)</f>
        <v>0</v>
      </c>
    </row>
    <row r="66" spans="2:9" ht="15" customHeight="1" x14ac:dyDescent="0.25">
      <c r="B66" s="8" t="s">
        <v>40</v>
      </c>
      <c r="C66" s="33">
        <f>+COUNTIFS(Agents!E$2:E$149,Resumen!$B66,Agents!$Z$2:$Z$149,Resumen!$B$6)</f>
        <v>0</v>
      </c>
      <c r="D66" s="33">
        <f>+COUNTIFS(Agents!F$2:F$149,Resumen!$B66,Agents!$Z$2:$Z$149,Resumen!$B$6)</f>
        <v>0</v>
      </c>
      <c r="E66" s="33">
        <f>+COUNTIFS(Agents!G$2:G$149,Resumen!$B66,Agents!$Z$2:$Z$149,Resumen!$B$6)</f>
        <v>0</v>
      </c>
      <c r="F66" s="33">
        <f>+COUNTIFS(Agents!H$2:H$149,Resumen!$B66,Agents!$Z$2:$Z$149,Resumen!$B$6)</f>
        <v>0</v>
      </c>
      <c r="G66" s="33">
        <f>+COUNTIFS(Agents!I$2:I$149,Resumen!$B66,Agents!$Z$2:$Z$149,Resumen!$B$6)</f>
        <v>0</v>
      </c>
      <c r="H66" s="33">
        <f>+COUNTIFS(Agents!J$2:J$149,Resumen!$B66,Agents!$Z$2:$Z$149,Resumen!$B$6)</f>
        <v>0</v>
      </c>
      <c r="I66" s="34">
        <f>+COUNTIFS(Agents!K$2:K$149,Resumen!$B66,Agents!$Z$2:$Z$149,Resumen!$B$6)</f>
        <v>0</v>
      </c>
    </row>
    <row r="67" spans="2:9" ht="15" customHeight="1" x14ac:dyDescent="0.25">
      <c r="B67" s="8" t="s">
        <v>48</v>
      </c>
      <c r="C67" s="33">
        <f>+COUNTIFS(Agents!E$2:E$149,Resumen!$B67,Agents!$Z$2:$Z$149,Resumen!$B$6)</f>
        <v>0</v>
      </c>
      <c r="D67" s="33">
        <f>+COUNTIFS(Agents!F$2:F$149,Resumen!$B67,Agents!$Z$2:$Z$149,Resumen!$B$6)</f>
        <v>0</v>
      </c>
      <c r="E67" s="33">
        <f>+COUNTIFS(Agents!G$2:G$149,Resumen!$B67,Agents!$Z$2:$Z$149,Resumen!$B$6)</f>
        <v>0</v>
      </c>
      <c r="F67" s="33">
        <f>+COUNTIFS(Agents!H$2:H$149,Resumen!$B67,Agents!$Z$2:$Z$149,Resumen!$B$6)</f>
        <v>0</v>
      </c>
      <c r="G67" s="33">
        <f>+COUNTIFS(Agents!I$2:I$149,Resumen!$B67,Agents!$Z$2:$Z$149,Resumen!$B$6)</f>
        <v>0</v>
      </c>
      <c r="H67" s="33">
        <f>+COUNTIFS(Agents!J$2:J$149,Resumen!$B67,Agents!$Z$2:$Z$149,Resumen!$B$6)</f>
        <v>0</v>
      </c>
      <c r="I67" s="34">
        <f>+COUNTIFS(Agents!K$2:K$149,Resumen!$B67,Agents!$Z$2:$Z$149,Resumen!$B$6)</f>
        <v>0</v>
      </c>
    </row>
    <row r="68" spans="2:9" ht="15" customHeight="1" x14ac:dyDescent="0.25">
      <c r="B68" s="8" t="s">
        <v>53</v>
      </c>
      <c r="C68" s="33">
        <f>+COUNTIFS(Agents!E$2:E$149,Resumen!$B68,Agents!$Z$2:$Z$149,Resumen!$B$6)</f>
        <v>0</v>
      </c>
      <c r="D68" s="33">
        <f>+COUNTIFS(Agents!F$2:F$149,Resumen!$B68,Agents!$Z$2:$Z$149,Resumen!$B$6)</f>
        <v>0</v>
      </c>
      <c r="E68" s="33">
        <f>+COUNTIFS(Agents!G$2:G$149,Resumen!$B68,Agents!$Z$2:$Z$149,Resumen!$B$6)</f>
        <v>0</v>
      </c>
      <c r="F68" s="33">
        <f>+COUNTIFS(Agents!H$2:H$149,Resumen!$B68,Agents!$Z$2:$Z$149,Resumen!$B$6)</f>
        <v>0</v>
      </c>
      <c r="G68" s="33">
        <f>+COUNTIFS(Agents!I$2:I$149,Resumen!$B68,Agents!$Z$2:$Z$149,Resumen!$B$6)</f>
        <v>0</v>
      </c>
      <c r="H68" s="33">
        <f>+COUNTIFS(Agents!J$2:J$149,Resumen!$B68,Agents!$Z$2:$Z$149,Resumen!$B$6)</f>
        <v>0</v>
      </c>
      <c r="I68" s="34">
        <f>+COUNTIFS(Agents!K$2:K$149,Resumen!$B68,Agents!$Z$2:$Z$149,Resumen!$B$6)</f>
        <v>0</v>
      </c>
    </row>
    <row r="69" spans="2:9" ht="15" customHeight="1" x14ac:dyDescent="0.25">
      <c r="B69" s="8" t="s">
        <v>54</v>
      </c>
      <c r="C69" s="33">
        <f>+COUNTIFS(Agents!E$2:E$149,Resumen!$B69,Agents!$Z$2:$Z$149,Resumen!$B$6)</f>
        <v>0</v>
      </c>
      <c r="D69" s="33">
        <f>+COUNTIFS(Agents!F$2:F$149,Resumen!$B69,Agents!$Z$2:$Z$149,Resumen!$B$6)</f>
        <v>0</v>
      </c>
      <c r="E69" s="33">
        <f>+COUNTIFS(Agents!G$2:G$149,Resumen!$B69,Agents!$Z$2:$Z$149,Resumen!$B$6)</f>
        <v>0</v>
      </c>
      <c r="F69" s="33">
        <f>+COUNTIFS(Agents!H$2:H$149,Resumen!$B69,Agents!$Z$2:$Z$149,Resumen!$B$6)</f>
        <v>0</v>
      </c>
      <c r="G69" s="33">
        <f>+COUNTIFS(Agents!I$2:I$149,Resumen!$B69,Agents!$Z$2:$Z$149,Resumen!$B$6)</f>
        <v>0</v>
      </c>
      <c r="H69" s="33">
        <f>+COUNTIFS(Agents!J$2:J$149,Resumen!$B69,Agents!$Z$2:$Z$149,Resumen!$B$6)</f>
        <v>0</v>
      </c>
      <c r="I69" s="34">
        <f>+COUNTIFS(Agents!K$2:K$149,Resumen!$B69,Agents!$Z$2:$Z$149,Resumen!$B$6)</f>
        <v>0</v>
      </c>
    </row>
    <row r="70" spans="2:9" ht="15" customHeight="1" thickBot="1" x14ac:dyDescent="0.3">
      <c r="B70" s="26" t="s">
        <v>55</v>
      </c>
      <c r="C70" s="35">
        <f t="shared" ref="C70:H70" si="34">+C63-SUM(C64:C69)</f>
        <v>0</v>
      </c>
      <c r="D70" s="35">
        <f t="shared" si="34"/>
        <v>0</v>
      </c>
      <c r="E70" s="35">
        <f t="shared" si="34"/>
        <v>0</v>
      </c>
      <c r="F70" s="35">
        <f t="shared" si="34"/>
        <v>0</v>
      </c>
      <c r="G70" s="35">
        <f t="shared" si="34"/>
        <v>0</v>
      </c>
      <c r="H70" s="35">
        <f t="shared" si="34"/>
        <v>0</v>
      </c>
      <c r="I70" s="36">
        <f>+I63-SUM(I64:I69)</f>
        <v>0</v>
      </c>
    </row>
    <row r="71" spans="2:9" ht="15" customHeight="1" thickBot="1" x14ac:dyDescent="0.3">
      <c r="B71" s="29" t="s">
        <v>56</v>
      </c>
      <c r="C71" s="37">
        <f t="shared" ref="C71:H71" si="35">+C63-C66-C64</f>
        <v>0</v>
      </c>
      <c r="D71" s="37">
        <f t="shared" si="35"/>
        <v>0</v>
      </c>
      <c r="E71" s="37">
        <f t="shared" si="35"/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8">
        <f>+I63-I66-I64</f>
        <v>0</v>
      </c>
    </row>
    <row r="72" spans="2:9" ht="15" customHeight="1" thickBot="1" x14ac:dyDescent="0.3">
      <c r="B72" s="30"/>
      <c r="C72" s="30"/>
      <c r="D72" s="30"/>
      <c r="E72" s="30"/>
      <c r="F72" s="30"/>
      <c r="G72" s="30"/>
      <c r="H72" s="30"/>
      <c r="I72" s="30"/>
    </row>
    <row r="73" spans="2:9" ht="15" customHeight="1" thickBot="1" x14ac:dyDescent="0.3">
      <c r="B73" s="10"/>
      <c r="C73" s="11" t="str">
        <f t="shared" ref="C73:I73" si="36">+C62</f>
        <v>Sunday</v>
      </c>
      <c r="D73" s="11" t="str">
        <f t="shared" si="36"/>
        <v>Monday</v>
      </c>
      <c r="E73" s="11" t="str">
        <f t="shared" si="36"/>
        <v>Tuesday</v>
      </c>
      <c r="F73" s="11" t="str">
        <f t="shared" si="36"/>
        <v>Wednesday</v>
      </c>
      <c r="G73" s="11" t="str">
        <f t="shared" si="36"/>
        <v>Thrusday</v>
      </c>
      <c r="H73" s="11" t="str">
        <f t="shared" si="36"/>
        <v>Friday</v>
      </c>
      <c r="I73" s="25" t="str">
        <f t="shared" si="36"/>
        <v>Saturday</v>
      </c>
    </row>
    <row r="74" spans="2:9" ht="15" customHeight="1" thickBot="1" x14ac:dyDescent="0.3">
      <c r="B74" s="26" t="s">
        <v>57</v>
      </c>
      <c r="C74" s="27">
        <f>+SUMIF(Agents!$Z$2:$Z$149,Resumen!$B$6,Agents!O$2:O$149)</f>
        <v>0</v>
      </c>
      <c r="D74" s="27">
        <f>+SUMIF(Agents!$Z$2:$Z$149,Resumen!$B$6,Agents!P$2:P$149)</f>
        <v>0</v>
      </c>
      <c r="E74" s="27">
        <f>+SUMIF(Agents!$Z$2:$Z$149,Resumen!$B$6,Agents!Q$2:Q$149)</f>
        <v>0</v>
      </c>
      <c r="F74" s="27">
        <f>+SUMIF(Agents!$Z$2:$Z$149,Resumen!$B$6,Agents!R$2:R$149)</f>
        <v>0</v>
      </c>
      <c r="G74" s="27">
        <f>+SUMIF(Agents!$Z$2:$Z$149,Resumen!$B$6,Agents!S$2:S$149)</f>
        <v>0</v>
      </c>
      <c r="H74" s="27">
        <f>+SUMIF(Agents!$Z$2:$Z$149,Resumen!$B$6,Agents!T$2:T$149)</f>
        <v>0</v>
      </c>
      <c r="I74" s="28">
        <f>+SUMIF(Agents!$Z$2:$Z$149,Resumen!$B$6,Agents!U$2:U$149)</f>
        <v>0</v>
      </c>
    </row>
    <row r="75" spans="2:9" ht="15" customHeight="1" thickBot="1" x14ac:dyDescent="0.3">
      <c r="B75" s="29" t="s">
        <v>58</v>
      </c>
      <c r="C75" s="31">
        <f>IFERROR(C74/C70,0)</f>
        <v>0</v>
      </c>
      <c r="D75" s="31">
        <f t="shared" ref="D75:H75" si="37">IFERROR(D74/D70,0)</f>
        <v>0</v>
      </c>
      <c r="E75" s="31">
        <f t="shared" si="37"/>
        <v>0</v>
      </c>
      <c r="F75" s="31">
        <f t="shared" si="37"/>
        <v>0</v>
      </c>
      <c r="G75" s="31">
        <f t="shared" si="37"/>
        <v>0</v>
      </c>
      <c r="H75" s="31">
        <f t="shared" si="37"/>
        <v>0</v>
      </c>
      <c r="I75" s="32">
        <f>IFERROR(I74/I70,0)</f>
        <v>0</v>
      </c>
    </row>
    <row r="76" spans="2:9" ht="15" customHeigh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3E892B5958834497CE23B1395A27A7" ma:contentTypeVersion="0" ma:contentTypeDescription="Create a new document." ma:contentTypeScope="" ma:versionID="31a3bd8b1415527750b03395d827d06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54B823-D9C6-4FF8-8395-88523714480B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D66DC88-F4D1-40E9-94B0-AAE9D8B46D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41C8B7E-C8E2-498B-8A86-9B184F53A3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Agents' Final Roster 0823-0829</vt:lpstr>
      <vt:lpstr>Sups' Final Roster 0823-0829</vt:lpstr>
      <vt:lpstr>ACMs' Final Roster 0823-0829</vt:lpstr>
      <vt:lpstr>Ratios</vt:lpstr>
      <vt:lpstr>Agents</vt:lpstr>
      <vt:lpstr>Sups</vt:lpstr>
      <vt:lpstr>Resumen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Mdibello</dc:creator>
  <cp:lastModifiedBy>Luis Orlando Palavecino</cp:lastModifiedBy>
  <dcterms:created xsi:type="dcterms:W3CDTF">2011-10-05T17:27:39Z</dcterms:created>
  <dcterms:modified xsi:type="dcterms:W3CDTF">2020-08-20T21:01:43Z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0x010100A33E892B5958834497CE23B1395A27A7</vt:lpwstr>
  </property>
</Properties>
</file>