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 Arias\Desktop\Home Office\Archivos\"/>
    </mc:Choice>
  </mc:AlternateContent>
  <bookViews>
    <workbookView xWindow="0" yWindow="0" windowWidth="21495" windowHeight="9915" activeTab="1"/>
  </bookViews>
  <sheets>
    <sheet name="Summary" sheetId="2" r:id="rId1"/>
    <sheet name="Recomendaciones" sheetId="4" r:id="rId2"/>
  </sheets>
  <definedNames>
    <definedName name="_xlnm._FilterDatabase" localSheetId="1" hidden="1">Recomendaciones!$B$2:$M$26</definedName>
  </definedNames>
  <calcPr calcId="152511"/>
</workbook>
</file>

<file path=xl/calcChain.xml><?xml version="1.0" encoding="utf-8"?>
<calcChain xmlns="http://schemas.openxmlformats.org/spreadsheetml/2006/main">
  <c r="B7" i="2" l="1"/>
  <c r="B8" i="2" s="1"/>
  <c r="B6" i="2"/>
  <c r="A6" i="2"/>
  <c r="C6" i="2" s="1"/>
  <c r="B9" i="2" l="1"/>
  <c r="C8" i="2"/>
  <c r="C7" i="2"/>
  <c r="C9" i="2" l="1"/>
  <c r="B10" i="2"/>
  <c r="B11" i="2" l="1"/>
  <c r="C10" i="2"/>
  <c r="B12" i="2" l="1"/>
  <c r="C12" i="2" s="1"/>
  <c r="C11" i="2"/>
  <c r="D6" i="2" l="1"/>
</calcChain>
</file>

<file path=xl/sharedStrings.xml><?xml version="1.0" encoding="utf-8"?>
<sst xmlns="http://schemas.openxmlformats.org/spreadsheetml/2006/main" count="102" uniqueCount="32">
  <si>
    <t>0823 - 0829</t>
  </si>
  <si>
    <t>Recomendaciones</t>
  </si>
  <si>
    <t>Prisma</t>
  </si>
  <si>
    <t>Día</t>
  </si>
  <si>
    <t>#</t>
  </si>
  <si>
    <t xml:space="preserve">Total </t>
  </si>
  <si>
    <t>Number</t>
  </si>
  <si>
    <t>LOB</t>
  </si>
  <si>
    <t>ACM</t>
  </si>
  <si>
    <t>Supervisor</t>
  </si>
  <si>
    <t>Last Name</t>
  </si>
  <si>
    <t>Frist Name</t>
  </si>
  <si>
    <t>Payroll Number</t>
  </si>
  <si>
    <t>CCMS</t>
  </si>
  <si>
    <t>Fecha</t>
  </si>
  <si>
    <t>Schedule Actual</t>
  </si>
  <si>
    <t>Schedule Recomendado</t>
  </si>
  <si>
    <t>Feedback</t>
  </si>
  <si>
    <t>Ortiz Jose María</t>
  </si>
  <si>
    <t>Diaz Jesica Luciana</t>
  </si>
  <si>
    <t xml:space="preserve">Felipe </t>
  </si>
  <si>
    <t>Erika Tamara</t>
  </si>
  <si>
    <t>09:00 - 15:00</t>
  </si>
  <si>
    <t>15:00 - 21:00</t>
  </si>
  <si>
    <t>Perez Zitzke Agustina</t>
  </si>
  <si>
    <t>Grimaldi Agustina Sofía</t>
  </si>
  <si>
    <t>Monges</t>
  </si>
  <si>
    <t>Elina Teresa</t>
  </si>
  <si>
    <t>10:00 - 16:00</t>
  </si>
  <si>
    <t>Esquivel Pavan Pamela Sol</t>
  </si>
  <si>
    <t>Lazarte</t>
  </si>
  <si>
    <t>Carlos 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</si>
</sst>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dd"/>
    <numFmt numFmtId="165" formatCode="ddd\ dd/mm"/>
    <numFmt numFmtId="166" formatCode="ddd\ mm/dd"/>
  </numFmts>
  <fonts count="10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4"/>
      <color rgb="FFFFFF00"/>
      <name val="Calibri"/>
      <charset val="134"/>
      <scheme val="minor"/>
    </font>
    <font>
      <b/>
      <sz val="8"/>
      <color theme="3" tint="-0.249977111117893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3" tint="-0.249977111117893"/>
      <name val="Calibri"/>
      <charset val="134"/>
      <scheme val="minor"/>
    </font>
    <font>
      <b/>
      <sz val="9"/>
      <color theme="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79995117038483843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/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theme="1" tint="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theme="1" tint="0.499984740745262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left"/>
    </xf>
    <xf numFmtId="16" fontId="4" fillId="0" borderId="0" xfId="0" applyNumberFormat="1" applyFont="1"/>
    <xf numFmtId="0" fontId="5" fillId="2" borderId="8" xfId="0" applyFont="1" applyFill="1" applyBorder="1" applyAlignment="1">
      <alignment horizontal="center" vertical="center" wrapText="1"/>
    </xf>
    <xf numFmtId="14" fontId="2" fillId="0" borderId="9" xfId="0" applyNumberFormat="1" applyFont="1" applyFill="1" applyBorder="1" applyAlignment="1">
      <alignment horizontal="center" vertical="center"/>
    </xf>
    <xf numFmtId="165" fontId="2" fillId="0" borderId="4" xfId="0" applyNumberFormat="1" applyFont="1" applyFill="1" applyBorder="1" applyAlignment="1">
      <alignment horizontal="center"/>
    </xf>
    <xf numFmtId="14" fontId="2" fillId="0" borderId="4" xfId="0" applyNumberFormat="1" applyFont="1" applyFill="1" applyBorder="1" applyAlignment="1">
      <alignment horizontal="center" vertical="center"/>
    </xf>
    <xf numFmtId="165" fontId="2" fillId="0" borderId="7" xfId="0" applyNumberFormat="1" applyFont="1" applyFill="1" applyBorder="1" applyAlignment="1">
      <alignment horizontal="center"/>
    </xf>
    <xf numFmtId="14" fontId="2" fillId="0" borderId="7" xfId="0" applyNumberFormat="1" applyFont="1" applyFill="1" applyBorder="1" applyAlignment="1">
      <alignment horizontal="center" vertical="center"/>
    </xf>
    <xf numFmtId="14" fontId="2" fillId="0" borderId="10" xfId="0" applyNumberFormat="1" applyFont="1" applyFill="1" applyBorder="1" applyAlignment="1">
      <alignment horizontal="center" vertical="center"/>
    </xf>
    <xf numFmtId="0" fontId="0" fillId="0" borderId="0" xfId="0" applyBorder="1"/>
    <xf numFmtId="0" fontId="6" fillId="3" borderId="20" xfId="0" applyFont="1" applyFill="1" applyBorder="1" applyAlignment="1">
      <alignment horizontal="center" wrapText="1"/>
    </xf>
    <xf numFmtId="0" fontId="8" fillId="3" borderId="20" xfId="0" applyFont="1" applyFill="1" applyBorder="1" applyAlignment="1">
      <alignment horizontal="center" vertical="center" wrapText="1"/>
    </xf>
    <xf numFmtId="0" fontId="4" fillId="0" borderId="0" xfId="0" applyFont="1"/>
    <xf numFmtId="164" fontId="9" fillId="2" borderId="20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166" fontId="9" fillId="2" borderId="20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wrapText="1"/>
    </xf>
    <xf numFmtId="0" fontId="7" fillId="4" borderId="15" xfId="0" applyFont="1" applyFill="1" applyBorder="1" applyAlignment="1">
      <alignment horizontal="center" wrapText="1"/>
    </xf>
    <xf numFmtId="0" fontId="7" fillId="4" borderId="16" xfId="0" applyFont="1" applyFill="1" applyBorder="1" applyAlignment="1">
      <alignment horizontal="center" wrapText="1"/>
    </xf>
    <xf numFmtId="0" fontId="7" fillId="4" borderId="17" xfId="0" applyFont="1" applyFill="1" applyBorder="1" applyAlignment="1">
      <alignment horizontal="center" wrapText="1"/>
    </xf>
    <xf numFmtId="0" fontId="7" fillId="4" borderId="18" xfId="0" applyFont="1" applyFill="1" applyBorder="1" applyAlignment="1">
      <alignment horizontal="center" wrapText="1"/>
    </xf>
    <xf numFmtId="0" fontId="7" fillId="4" borderId="19" xfId="0" applyFont="1" applyFill="1" applyBorder="1" applyAlignment="1">
      <alignment horizontal="center" wrapTex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</cellXfs>
  <cellStyles count="1">
    <cellStyle name="Normal" xfId="0" builtinId="0"/>
  </cellStyles>
  <dxfs count="41"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</dxfs>
  <tableStyles count="0" defaultTableStyle="TableStyleMedium9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3"/>
  <sheetViews>
    <sheetView showGridLines="0" zoomScale="90" zoomScaleNormal="90" workbookViewId="0">
      <selection activeCell="B2" sqref="B2:D2"/>
    </sheetView>
  </sheetViews>
  <sheetFormatPr baseColWidth="10" defaultColWidth="0" defaultRowHeight="15" zeroHeight="1"/>
  <cols>
    <col min="1" max="1" width="3.85546875" customWidth="1"/>
    <col min="2" max="2" width="11.5703125" customWidth="1"/>
    <col min="3" max="4" width="8.5703125" customWidth="1"/>
    <col min="5" max="5" width="4.28515625" customWidth="1"/>
    <col min="6" max="8" width="0" hidden="1" customWidth="1"/>
    <col min="9" max="16384" width="9.140625" hidden="1"/>
  </cols>
  <sheetData>
    <row r="1" spans="1:4" ht="30" customHeight="1"/>
    <row r="2" spans="1:4">
      <c r="B2" s="30" t="s">
        <v>0</v>
      </c>
      <c r="C2" s="31"/>
      <c r="D2" s="32"/>
    </row>
    <row r="3" spans="1:4" ht="15.75" customHeight="1">
      <c r="B3" s="33" t="s">
        <v>1</v>
      </c>
      <c r="C3" s="34"/>
      <c r="D3" s="35"/>
    </row>
    <row r="4" spans="1:4" ht="15.75" customHeight="1">
      <c r="B4" s="36" t="s">
        <v>2</v>
      </c>
      <c r="C4" s="37"/>
      <c r="D4" s="38"/>
    </row>
    <row r="5" spans="1:4" ht="15.75" customHeight="1">
      <c r="B5" s="21" t="s">
        <v>3</v>
      </c>
      <c r="C5" s="22" t="s">
        <v>4</v>
      </c>
      <c r="D5" s="22" t="s">
        <v>5</v>
      </c>
    </row>
    <row r="6" spans="1:4" ht="20.100000000000001" customHeight="1">
      <c r="A6" s="23" t="str">
        <f>CONCATENATE(MID($B$2,3,2),"/",LEFT($B$2,2))</f>
        <v>23/08</v>
      </c>
      <c r="B6" s="24" t="str">
        <f>TEXT(CONCATENATE(MID($B$2,3,2),"/",LEFT($B$2,2)),"ddd mm/dd")</f>
        <v>dom 08/23</v>
      </c>
      <c r="C6" s="25">
        <f>COUNTIF(Recomendaciones!J:J,Summary!A6)</f>
        <v>0</v>
      </c>
      <c r="D6" s="39">
        <f>SUM(C6:C12)</f>
        <v>24</v>
      </c>
    </row>
    <row r="7" spans="1:4" ht="20.100000000000001" customHeight="1">
      <c r="B7" s="26">
        <f>A6+1</f>
        <v>44067</v>
      </c>
      <c r="C7" s="27">
        <f>COUNTIF(Recomendaciones!J:J,Summary!B7)</f>
        <v>6</v>
      </c>
      <c r="D7" s="40"/>
    </row>
    <row r="8" spans="1:4" ht="20.100000000000001" customHeight="1">
      <c r="B8" s="26">
        <f t="shared" ref="B8:B12" si="0">B7+1</f>
        <v>44068</v>
      </c>
      <c r="C8" s="27">
        <f>COUNTIF(Recomendaciones!J:J,Summary!B8)</f>
        <v>6</v>
      </c>
      <c r="D8" s="40"/>
    </row>
    <row r="9" spans="1:4" ht="20.100000000000001" customHeight="1">
      <c r="B9" s="26">
        <f t="shared" si="0"/>
        <v>44069</v>
      </c>
      <c r="C9" s="27">
        <f>COUNTIF(Recomendaciones!J:J,Summary!B9)</f>
        <v>4</v>
      </c>
      <c r="D9" s="40"/>
    </row>
    <row r="10" spans="1:4" ht="20.100000000000001" customHeight="1">
      <c r="B10" s="26">
        <f t="shared" si="0"/>
        <v>44070</v>
      </c>
      <c r="C10" s="27">
        <f>COUNTIF(Recomendaciones!J:J,Summary!B10)</f>
        <v>4</v>
      </c>
      <c r="D10" s="40"/>
    </row>
    <row r="11" spans="1:4" ht="20.100000000000001" customHeight="1">
      <c r="B11" s="26">
        <f t="shared" si="0"/>
        <v>44071</v>
      </c>
      <c r="C11" s="27">
        <f>COUNTIF(Recomendaciones!J:J,Summary!B11)</f>
        <v>4</v>
      </c>
      <c r="D11" s="40"/>
    </row>
    <row r="12" spans="1:4" ht="20.100000000000001" customHeight="1">
      <c r="B12" s="26">
        <f t="shared" si="0"/>
        <v>44072</v>
      </c>
      <c r="C12" s="28">
        <f>COUNTIF(Recomendaciones!J:J,Summary!B12)</f>
        <v>0</v>
      </c>
      <c r="D12" s="41"/>
    </row>
    <row r="13" spans="1:4" s="20" customFormat="1" ht="13.5" customHeight="1">
      <c r="C13" s="29"/>
      <c r="D13" s="29"/>
    </row>
  </sheetData>
  <mergeCells count="4">
    <mergeCell ref="B2:D2"/>
    <mergeCell ref="B3:D3"/>
    <mergeCell ref="B4:D4"/>
    <mergeCell ref="D6:D12"/>
  </mergeCells>
  <pageMargins left="0.69930555555555596" right="0.69930555555555596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7"/>
  <sheetViews>
    <sheetView showGridLines="0" tabSelected="1" zoomScale="70" zoomScaleNormal="70" workbookViewId="0">
      <selection activeCell="K23" sqref="K23"/>
    </sheetView>
  </sheetViews>
  <sheetFormatPr baseColWidth="10" defaultColWidth="0" defaultRowHeight="15" zeroHeight="1"/>
  <cols>
    <col min="1" max="1" width="4.85546875" customWidth="1"/>
    <col min="2" max="2" width="10.7109375" customWidth="1"/>
    <col min="3" max="3" width="14.5703125" customWidth="1"/>
    <col min="4" max="4" width="28.5703125" customWidth="1"/>
    <col min="5" max="5" width="27.42578125" customWidth="1"/>
    <col min="6" max="6" width="15.140625" customWidth="1"/>
    <col min="7" max="7" width="21.5703125" customWidth="1"/>
    <col min="8" max="8" width="19.5703125" customWidth="1"/>
    <col min="9" max="9" width="15.28515625" customWidth="1"/>
    <col min="10" max="10" width="15.140625" customWidth="1"/>
    <col min="11" max="11" width="29.85546875" customWidth="1"/>
    <col min="12" max="12" width="33" customWidth="1"/>
    <col min="13" max="13" width="33.7109375" style="1" customWidth="1"/>
    <col min="14" max="14" width="2.140625" style="1" customWidth="1"/>
    <col min="15" max="46" width="9.140625" style="1" hidden="1" customWidth="1"/>
    <col min="47" max="16384" width="9.140625" hidden="1"/>
  </cols>
  <sheetData>
    <row r="1" spans="2:13" s="1" customFormat="1" ht="24.75" customHeight="1">
      <c r="B1"/>
      <c r="C1"/>
      <c r="D1"/>
      <c r="E1"/>
      <c r="F1"/>
      <c r="G1"/>
      <c r="H1"/>
      <c r="I1"/>
      <c r="J1"/>
      <c r="K1" s="12">
        <v>41399</v>
      </c>
      <c r="L1"/>
    </row>
    <row r="2" spans="2:13" s="1" customFormat="1" ht="27.75" customHeight="1"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13" t="s">
        <v>16</v>
      </c>
      <c r="M2" s="13" t="s">
        <v>17</v>
      </c>
    </row>
    <row r="3" spans="2:13">
      <c r="B3" s="6">
        <v>7</v>
      </c>
      <c r="C3" s="7" t="s">
        <v>2</v>
      </c>
      <c r="D3" s="4" t="s">
        <v>18</v>
      </c>
      <c r="E3" s="5" t="s">
        <v>19</v>
      </c>
      <c r="F3" s="5" t="s">
        <v>20</v>
      </c>
      <c r="G3" s="5" t="s">
        <v>21</v>
      </c>
      <c r="H3" s="5">
        <v>83111</v>
      </c>
      <c r="I3" s="5">
        <v>2426435</v>
      </c>
      <c r="J3" s="15">
        <v>44067</v>
      </c>
      <c r="K3" s="16" t="s">
        <v>22</v>
      </c>
      <c r="L3" s="14" t="s">
        <v>23</v>
      </c>
      <c r="M3" s="15"/>
    </row>
    <row r="4" spans="2:13">
      <c r="B4" s="6">
        <v>8</v>
      </c>
      <c r="C4" s="7" t="s">
        <v>2</v>
      </c>
      <c r="D4" s="4" t="s">
        <v>24</v>
      </c>
      <c r="E4" s="5" t="s">
        <v>25</v>
      </c>
      <c r="F4" s="5" t="s">
        <v>26</v>
      </c>
      <c r="G4" s="5" t="s">
        <v>27</v>
      </c>
      <c r="H4" s="5">
        <v>60260</v>
      </c>
      <c r="I4" s="5">
        <v>433236</v>
      </c>
      <c r="J4" s="15">
        <v>44067</v>
      </c>
      <c r="K4" s="16" t="s">
        <v>22</v>
      </c>
      <c r="L4" s="14" t="s">
        <v>23</v>
      </c>
      <c r="M4" s="15"/>
    </row>
    <row r="5" spans="2:13">
      <c r="B5" s="6">
        <v>9</v>
      </c>
      <c r="C5" s="7" t="s">
        <v>2</v>
      </c>
      <c r="D5" s="4" t="s">
        <v>18</v>
      </c>
      <c r="E5" s="5" t="s">
        <v>29</v>
      </c>
      <c r="F5" s="5" t="s">
        <v>30</v>
      </c>
      <c r="G5" s="5" t="s">
        <v>31</v>
      </c>
      <c r="H5" s="5">
        <v>83366</v>
      </c>
      <c r="I5" s="5">
        <v>2455222</v>
      </c>
      <c r="J5" s="15">
        <v>44067</v>
      </c>
      <c r="K5" s="16" t="s">
        <v>22</v>
      </c>
      <c r="L5" s="14" t="s">
        <v>28</v>
      </c>
      <c r="M5" s="15"/>
    </row>
    <row r="6" spans="2:13">
      <c r="B6" s="6">
        <v>10</v>
      </c>
      <c r="C6" s="7" t="s">
        <v>2</v>
      </c>
      <c r="D6" s="4"/>
      <c r="E6" s="5"/>
      <c r="F6" s="5"/>
      <c r="G6" s="5"/>
      <c r="H6" s="5"/>
      <c r="I6" s="5"/>
      <c r="J6" s="15">
        <v>44067</v>
      </c>
      <c r="K6" s="16" t="s">
        <v>22</v>
      </c>
      <c r="L6" s="14" t="s">
        <v>28</v>
      </c>
      <c r="M6" s="15"/>
    </row>
    <row r="7" spans="2:13">
      <c r="B7" s="6">
        <v>11</v>
      </c>
      <c r="C7" s="7" t="s">
        <v>2</v>
      </c>
      <c r="D7" s="4"/>
      <c r="E7" s="5"/>
      <c r="F7" s="5"/>
      <c r="G7" s="5"/>
      <c r="H7" s="5"/>
      <c r="I7" s="5"/>
      <c r="J7" s="15">
        <v>44067</v>
      </c>
      <c r="K7" s="16" t="s">
        <v>22</v>
      </c>
      <c r="L7" s="14" t="s">
        <v>28</v>
      </c>
      <c r="M7" s="15"/>
    </row>
    <row r="8" spans="2:13">
      <c r="B8" s="6">
        <v>12</v>
      </c>
      <c r="C8" s="7" t="s">
        <v>2</v>
      </c>
      <c r="D8" s="4"/>
      <c r="E8" s="5"/>
      <c r="F8" s="5"/>
      <c r="G8" s="5"/>
      <c r="H8" s="5"/>
      <c r="I8" s="5"/>
      <c r="J8" s="15">
        <v>44067</v>
      </c>
      <c r="K8" s="16" t="s">
        <v>22</v>
      </c>
      <c r="L8" s="14" t="s">
        <v>28</v>
      </c>
      <c r="M8" s="15"/>
    </row>
    <row r="9" spans="2:13">
      <c r="B9" s="6">
        <v>13</v>
      </c>
      <c r="C9" s="7" t="s">
        <v>2</v>
      </c>
      <c r="D9" s="4"/>
      <c r="E9" s="5"/>
      <c r="F9" s="5"/>
      <c r="G9" s="5"/>
      <c r="H9" s="5"/>
      <c r="I9" s="5"/>
      <c r="J9" s="15">
        <v>44068</v>
      </c>
      <c r="K9" s="16" t="s">
        <v>22</v>
      </c>
      <c r="L9" s="14" t="s">
        <v>23</v>
      </c>
      <c r="M9" s="15"/>
    </row>
    <row r="10" spans="2:13">
      <c r="B10" s="6">
        <v>14</v>
      </c>
      <c r="C10" s="7" t="s">
        <v>2</v>
      </c>
      <c r="D10" s="4"/>
      <c r="E10" s="5"/>
      <c r="F10" s="5"/>
      <c r="G10" s="5"/>
      <c r="H10" s="5"/>
      <c r="I10" s="5"/>
      <c r="J10" s="15">
        <v>44068</v>
      </c>
      <c r="K10" s="16" t="s">
        <v>22</v>
      </c>
      <c r="L10" s="14" t="s">
        <v>23</v>
      </c>
      <c r="M10" s="15"/>
    </row>
    <row r="11" spans="2:13">
      <c r="B11" s="6">
        <v>15</v>
      </c>
      <c r="C11" s="7" t="s">
        <v>2</v>
      </c>
      <c r="D11" s="4"/>
      <c r="E11" s="5"/>
      <c r="F11" s="5"/>
      <c r="G11" s="5"/>
      <c r="H11" s="5"/>
      <c r="I11" s="5"/>
      <c r="J11" s="15">
        <v>44068</v>
      </c>
      <c r="K11" s="16" t="s">
        <v>22</v>
      </c>
      <c r="L11" s="14" t="s">
        <v>28</v>
      </c>
      <c r="M11" s="15"/>
    </row>
    <row r="12" spans="2:13">
      <c r="B12" s="6">
        <v>16</v>
      </c>
      <c r="C12" s="7" t="s">
        <v>2</v>
      </c>
      <c r="D12" s="4"/>
      <c r="E12" s="5"/>
      <c r="F12" s="5"/>
      <c r="G12" s="5"/>
      <c r="H12" s="5"/>
      <c r="I12" s="5"/>
      <c r="J12" s="15">
        <v>44068</v>
      </c>
      <c r="K12" s="16" t="s">
        <v>22</v>
      </c>
      <c r="L12" s="14" t="s">
        <v>28</v>
      </c>
      <c r="M12" s="15"/>
    </row>
    <row r="13" spans="2:13">
      <c r="B13" s="6">
        <v>17</v>
      </c>
      <c r="C13" s="7" t="s">
        <v>2</v>
      </c>
      <c r="D13" s="4"/>
      <c r="E13" s="5"/>
      <c r="F13" s="5"/>
      <c r="G13" s="5"/>
      <c r="H13" s="5"/>
      <c r="I13" s="5"/>
      <c r="J13" s="15">
        <v>44068</v>
      </c>
      <c r="K13" s="16" t="s">
        <v>22</v>
      </c>
      <c r="L13" s="14" t="s">
        <v>28</v>
      </c>
      <c r="M13" s="15"/>
    </row>
    <row r="14" spans="2:13">
      <c r="B14" s="6">
        <v>18</v>
      </c>
      <c r="C14" s="7" t="s">
        <v>2</v>
      </c>
      <c r="D14" s="4"/>
      <c r="E14" s="5"/>
      <c r="F14" s="5"/>
      <c r="G14" s="5"/>
      <c r="H14" s="5"/>
      <c r="I14" s="5"/>
      <c r="J14" s="15">
        <v>44068</v>
      </c>
      <c r="K14" s="16" t="s">
        <v>22</v>
      </c>
      <c r="L14" s="14" t="s">
        <v>28</v>
      </c>
      <c r="M14" s="15"/>
    </row>
    <row r="15" spans="2:13">
      <c r="B15" s="6">
        <v>19</v>
      </c>
      <c r="C15" s="7" t="s">
        <v>2</v>
      </c>
      <c r="D15" s="8"/>
      <c r="E15" s="8"/>
      <c r="F15" s="8"/>
      <c r="G15" s="8"/>
      <c r="H15" s="7"/>
      <c r="I15" s="7"/>
      <c r="J15" s="15">
        <v>44069</v>
      </c>
      <c r="K15" s="16" t="s">
        <v>22</v>
      </c>
      <c r="L15" s="14" t="s">
        <v>28</v>
      </c>
      <c r="M15" s="15"/>
    </row>
    <row r="16" spans="2:13">
      <c r="B16" s="6">
        <v>20</v>
      </c>
      <c r="C16" s="7" t="s">
        <v>2</v>
      </c>
      <c r="D16" s="8"/>
      <c r="E16" s="8"/>
      <c r="F16" s="8"/>
      <c r="G16" s="8"/>
      <c r="H16" s="7"/>
      <c r="I16" s="7"/>
      <c r="J16" s="15">
        <v>44069</v>
      </c>
      <c r="K16" s="16" t="s">
        <v>22</v>
      </c>
      <c r="L16" s="14" t="s">
        <v>28</v>
      </c>
      <c r="M16" s="15"/>
    </row>
    <row r="17" spans="2:13">
      <c r="B17" s="6">
        <v>21</v>
      </c>
      <c r="C17" s="7" t="s">
        <v>2</v>
      </c>
      <c r="D17" s="8"/>
      <c r="E17" s="8"/>
      <c r="F17" s="8"/>
      <c r="G17" s="8"/>
      <c r="H17" s="7"/>
      <c r="I17" s="7"/>
      <c r="J17" s="15">
        <v>44069</v>
      </c>
      <c r="K17" s="16" t="s">
        <v>22</v>
      </c>
      <c r="L17" s="14" t="s">
        <v>28</v>
      </c>
      <c r="M17" s="15"/>
    </row>
    <row r="18" spans="2:13">
      <c r="B18" s="6">
        <v>22</v>
      </c>
      <c r="C18" s="7" t="s">
        <v>2</v>
      </c>
      <c r="D18" s="8"/>
      <c r="E18" s="8"/>
      <c r="F18" s="8"/>
      <c r="G18" s="8"/>
      <c r="H18" s="7"/>
      <c r="I18" s="7"/>
      <c r="J18" s="15">
        <v>44069</v>
      </c>
      <c r="K18" s="16" t="s">
        <v>22</v>
      </c>
      <c r="L18" s="14" t="s">
        <v>28</v>
      </c>
      <c r="M18" s="14"/>
    </row>
    <row r="19" spans="2:13">
      <c r="B19" s="6">
        <v>23</v>
      </c>
      <c r="C19" s="7" t="s">
        <v>2</v>
      </c>
      <c r="D19" s="8"/>
      <c r="E19" s="8"/>
      <c r="F19" s="8"/>
      <c r="G19" s="8"/>
      <c r="H19" s="7"/>
      <c r="I19" s="7"/>
      <c r="J19" s="15">
        <v>44070</v>
      </c>
      <c r="K19" s="16" t="s">
        <v>22</v>
      </c>
      <c r="L19" s="14" t="s">
        <v>28</v>
      </c>
      <c r="M19" s="14"/>
    </row>
    <row r="20" spans="2:13">
      <c r="B20" s="6">
        <v>24</v>
      </c>
      <c r="C20" s="7" t="s">
        <v>2</v>
      </c>
      <c r="D20" s="8"/>
      <c r="E20" s="8"/>
      <c r="F20" s="8"/>
      <c r="G20" s="8"/>
      <c r="H20" s="7"/>
      <c r="I20" s="7"/>
      <c r="J20" s="15">
        <v>44070</v>
      </c>
      <c r="K20" s="16" t="s">
        <v>22</v>
      </c>
      <c r="L20" s="14" t="s">
        <v>28</v>
      </c>
      <c r="M20" s="14"/>
    </row>
    <row r="21" spans="2:13">
      <c r="B21" s="6">
        <v>25</v>
      </c>
      <c r="C21" s="7" t="s">
        <v>2</v>
      </c>
      <c r="D21" s="8"/>
      <c r="E21" s="8"/>
      <c r="F21" s="8"/>
      <c r="G21" s="8"/>
      <c r="H21" s="7"/>
      <c r="I21" s="7"/>
      <c r="J21" s="15">
        <v>44070</v>
      </c>
      <c r="K21" s="16" t="s">
        <v>22</v>
      </c>
      <c r="L21" s="14" t="s">
        <v>28</v>
      </c>
      <c r="M21" s="14"/>
    </row>
    <row r="22" spans="2:13">
      <c r="B22" s="6">
        <v>26</v>
      </c>
      <c r="C22" s="7" t="s">
        <v>2</v>
      </c>
      <c r="D22" s="8"/>
      <c r="E22" s="8"/>
      <c r="F22" s="8"/>
      <c r="G22" s="8"/>
      <c r="H22" s="7"/>
      <c r="I22" s="7"/>
      <c r="J22" s="15">
        <v>44070</v>
      </c>
      <c r="K22" s="16" t="s">
        <v>22</v>
      </c>
      <c r="L22" s="14" t="s">
        <v>28</v>
      </c>
      <c r="M22" s="14"/>
    </row>
    <row r="23" spans="2:13">
      <c r="B23" s="6">
        <v>27</v>
      </c>
      <c r="C23" s="7" t="s">
        <v>2</v>
      </c>
      <c r="D23" s="8"/>
      <c r="E23" s="8"/>
      <c r="F23" s="8"/>
      <c r="G23" s="8"/>
      <c r="H23" s="7"/>
      <c r="I23" s="7"/>
      <c r="J23" s="15">
        <v>44071</v>
      </c>
      <c r="K23" s="16" t="s">
        <v>22</v>
      </c>
      <c r="L23" s="14" t="s">
        <v>28</v>
      </c>
      <c r="M23" s="14"/>
    </row>
    <row r="24" spans="2:13">
      <c r="B24" s="6">
        <v>28</v>
      </c>
      <c r="C24" s="7" t="s">
        <v>2</v>
      </c>
      <c r="D24" s="8"/>
      <c r="E24" s="8"/>
      <c r="F24" s="8"/>
      <c r="G24" s="8"/>
      <c r="H24" s="7"/>
      <c r="I24" s="7"/>
      <c r="J24" s="15">
        <v>44071</v>
      </c>
      <c r="K24" s="16" t="s">
        <v>22</v>
      </c>
      <c r="L24" s="14" t="s">
        <v>28</v>
      </c>
      <c r="M24" s="14"/>
    </row>
    <row r="25" spans="2:13">
      <c r="B25" s="6">
        <v>29</v>
      </c>
      <c r="C25" s="7" t="s">
        <v>2</v>
      </c>
      <c r="D25" s="8"/>
      <c r="E25" s="8"/>
      <c r="F25" s="8"/>
      <c r="G25" s="8"/>
      <c r="H25" s="7"/>
      <c r="I25" s="7"/>
      <c r="J25" s="15">
        <v>44071</v>
      </c>
      <c r="K25" s="16" t="s">
        <v>22</v>
      </c>
      <c r="L25" s="14" t="s">
        <v>28</v>
      </c>
      <c r="M25" s="14"/>
    </row>
    <row r="26" spans="2:13">
      <c r="B26" s="9">
        <v>30</v>
      </c>
      <c r="C26" s="10" t="s">
        <v>2</v>
      </c>
      <c r="D26" s="11"/>
      <c r="E26" s="11"/>
      <c r="F26" s="11"/>
      <c r="G26" s="11"/>
      <c r="H26" s="10"/>
      <c r="I26" s="10"/>
      <c r="J26" s="17">
        <v>44071</v>
      </c>
      <c r="K26" s="18" t="s">
        <v>22</v>
      </c>
      <c r="L26" s="19" t="s">
        <v>28</v>
      </c>
      <c r="M26" s="19"/>
    </row>
    <row r="27" spans="2:13"/>
  </sheetData>
  <autoFilter ref="B2:M26"/>
  <sortState ref="B3:M221">
    <sortCondition ref="J3:J221"/>
    <sortCondition ref="K3:K221"/>
  </sortState>
  <conditionalFormatting sqref="H3">
    <cfRule type="duplicateValues" dxfId="40" priority="45"/>
    <cfRule type="duplicateValues" dxfId="39" priority="43"/>
    <cfRule type="duplicateValues" dxfId="38" priority="41"/>
  </conditionalFormatting>
  <conditionalFormatting sqref="I3">
    <cfRule type="duplicateValues" dxfId="37" priority="47"/>
    <cfRule type="duplicateValues" dxfId="36" priority="46"/>
    <cfRule type="duplicateValues" dxfId="35" priority="44"/>
    <cfRule type="duplicateValues" dxfId="34" priority="42"/>
  </conditionalFormatting>
  <conditionalFormatting sqref="D3:G14">
    <cfRule type="cellIs" dxfId="33" priority="34" operator="equal">
      <formula>"TRANSFER"</formula>
    </cfRule>
    <cfRule type="cellIs" dxfId="32" priority="33" operator="equal">
      <formula>"TERM"</formula>
    </cfRule>
    <cfRule type="cellIs" dxfId="31" priority="32" operator="equal">
      <formula>"REINSTATEMENT"</formula>
    </cfRule>
    <cfRule type="cellIs" dxfId="30" priority="31" operator="equal">
      <formula>"PROMOTED"</formula>
    </cfRule>
    <cfRule type="cellIs" dxfId="29" priority="30" operator="equal">
      <formula>"PENDING TERM"</formula>
    </cfRule>
    <cfRule type="cellIs" dxfId="28" priority="29" operator="equal">
      <formula>"LOA"</formula>
    </cfRule>
  </conditionalFormatting>
  <conditionalFormatting sqref="H3:H14">
    <cfRule type="duplicateValues" dxfId="27" priority="26"/>
    <cfRule type="duplicateValues" dxfId="26" priority="24"/>
    <cfRule type="duplicateValues" dxfId="25" priority="22"/>
  </conditionalFormatting>
  <conditionalFormatting sqref="H3:I14">
    <cfRule type="cellIs" dxfId="24" priority="21" operator="equal">
      <formula>"TRANSFER"</formula>
    </cfRule>
    <cfRule type="cellIs" dxfId="23" priority="20" operator="equal">
      <formula>"TERM"</formula>
    </cfRule>
    <cfRule type="cellIs" dxfId="22" priority="19" operator="equal">
      <formula>"REINSTATEMENT"</formula>
    </cfRule>
    <cfRule type="cellIs" dxfId="21" priority="18" operator="equal">
      <formula>"PROMOTED"</formula>
    </cfRule>
    <cfRule type="cellIs" dxfId="20" priority="17" operator="equal">
      <formula>"PENDING TERM"</formula>
    </cfRule>
    <cfRule type="cellIs" dxfId="19" priority="16" operator="equal">
      <formula>"LOA"</formula>
    </cfRule>
  </conditionalFormatting>
  <conditionalFormatting sqref="I3:I14">
    <cfRule type="duplicateValues" dxfId="18" priority="28"/>
    <cfRule type="duplicateValues" dxfId="17" priority="27"/>
    <cfRule type="duplicateValues" dxfId="16" priority="25"/>
    <cfRule type="duplicateValues" dxfId="15" priority="23"/>
  </conditionalFormatting>
  <conditionalFormatting sqref="D5:G5">
    <cfRule type="cellIs" dxfId="14" priority="10" operator="equal">
      <formula>"LOA"</formula>
    </cfRule>
    <cfRule type="cellIs" dxfId="13" priority="11" operator="equal">
      <formula>"PENDING TERM"</formula>
    </cfRule>
    <cfRule type="cellIs" dxfId="12" priority="12" operator="equal">
      <formula>"PROMOTED"</formula>
    </cfRule>
    <cfRule type="cellIs" dxfId="11" priority="13" operator="equal">
      <formula>"REINSTATEMENT"</formula>
    </cfRule>
    <cfRule type="cellIs" dxfId="10" priority="14" operator="equal">
      <formula>"TERM"</formula>
    </cfRule>
    <cfRule type="cellIs" dxfId="9" priority="15" operator="equal">
      <formula>"TRANSFER"</formula>
    </cfRule>
  </conditionalFormatting>
  <conditionalFormatting sqref="H5:I5">
    <cfRule type="cellIs" dxfId="8" priority="1" operator="equal">
      <formula>"LOA"</formula>
    </cfRule>
    <cfRule type="cellIs" dxfId="7" priority="2" operator="equal">
      <formula>"PENDING TERM"</formula>
    </cfRule>
    <cfRule type="cellIs" dxfId="6" priority="3" operator="equal">
      <formula>"PROMOTED"</formula>
    </cfRule>
    <cfRule type="cellIs" dxfId="5" priority="4" operator="equal">
      <formula>"REINSTATEMENT"</formula>
    </cfRule>
    <cfRule type="cellIs" dxfId="4" priority="5" operator="equal">
      <formula>"TERM"</formula>
    </cfRule>
    <cfRule type="cellIs" dxfId="3" priority="6" operator="equal">
      <formula>"TRANSFER"</formula>
    </cfRule>
  </conditionalFormatting>
  <conditionalFormatting sqref="H5">
    <cfRule type="duplicateValues" dxfId="2" priority="7"/>
  </conditionalFormatting>
  <conditionalFormatting sqref="I5">
    <cfRule type="duplicateValues" dxfId="1" priority="8"/>
  </conditionalFormatting>
  <conditionalFormatting sqref="I5">
    <cfRule type="duplicateValues" dxfId="0" priority="9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Summary</vt:lpstr>
      <vt:lpstr>Recomendaciones</vt:lpstr>
    </vt:vector>
  </TitlesOfParts>
  <Company>Teleperformance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Zelarayan</dc:creator>
  <cp:lastModifiedBy>Juan Arias</cp:lastModifiedBy>
  <dcterms:created xsi:type="dcterms:W3CDTF">2013-03-26T17:23:00Z</dcterms:created>
  <dcterms:modified xsi:type="dcterms:W3CDTF">2020-08-21T23:48:14Z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3082-10.2.0.7646</vt:lpwstr>
  </property>
</Properties>
</file>