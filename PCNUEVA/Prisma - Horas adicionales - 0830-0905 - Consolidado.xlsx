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50" activeTab="1"/>
  </bookViews>
  <sheets>
    <sheet name="Summary" sheetId="2" r:id="rId1"/>
    <sheet name="Horas Adicionales" sheetId="4" r:id="rId2"/>
  </sheets>
  <definedNames>
    <definedName name="_xlnm._FilterDatabase" localSheetId="1" hidden="1">'Horas Adicionales'!$B$1:$M$118</definedName>
  </definedNames>
  <calcPr calcId="144525"/>
</workbook>
</file>

<file path=xl/sharedStrings.xml><?xml version="1.0" encoding="utf-8"?>
<sst xmlns="http://schemas.openxmlformats.org/spreadsheetml/2006/main" count="714" uniqueCount="81">
  <si>
    <t>0830 - 0905</t>
  </si>
  <si>
    <t>Adicionales</t>
  </si>
  <si>
    <t>Prisma</t>
  </si>
  <si>
    <t>Día</t>
  </si>
  <si>
    <t>#</t>
  </si>
  <si>
    <t xml:space="preserve">Total </t>
  </si>
  <si>
    <t>Number</t>
  </si>
  <si>
    <t>LOB</t>
  </si>
  <si>
    <t>ACM</t>
  </si>
  <si>
    <t>Supervisor</t>
  </si>
  <si>
    <t>Last Name</t>
  </si>
  <si>
    <t>Frist Name</t>
  </si>
  <si>
    <t>Payroll Number</t>
  </si>
  <si>
    <t>CCMS</t>
  </si>
  <si>
    <t>Fecha</t>
  </si>
  <si>
    <t>Schedule Actual</t>
  </si>
  <si>
    <t>Schedule Recomendado</t>
  </si>
  <si>
    <t>Feedback</t>
  </si>
  <si>
    <t>Perez Zitzke Agustina</t>
  </si>
  <si>
    <t>Grimaldi Agustina Sofía</t>
  </si>
  <si>
    <t>Ricci</t>
  </si>
  <si>
    <t>Rocio del Valle</t>
  </si>
  <si>
    <t>Fuera de Shift</t>
  </si>
  <si>
    <t>17:00 - 18:00</t>
  </si>
  <si>
    <t>Palomino Juan Pablo</t>
  </si>
  <si>
    <t>Mereles Zerda</t>
  </si>
  <si>
    <t>Ana Carolina</t>
  </si>
  <si>
    <t>Villa Aleman Alejandro Roberto</t>
  </si>
  <si>
    <t>Emeterio Toscano</t>
  </si>
  <si>
    <t>Anabela</t>
  </si>
  <si>
    <t>Parrado Quiroga</t>
  </si>
  <si>
    <t>Gimena Marisol</t>
  </si>
  <si>
    <t>18:00 - 19:00</t>
  </si>
  <si>
    <t>Ortiz Jose María</t>
  </si>
  <si>
    <t>Diaz Jesica Luciana</t>
  </si>
  <si>
    <t>Pacheco</t>
  </si>
  <si>
    <t>Milagro Belen</t>
  </si>
  <si>
    <t>Serra</t>
  </si>
  <si>
    <t xml:space="preserve">Tamara </t>
  </si>
  <si>
    <t>Sosa</t>
  </si>
  <si>
    <t>Maria Lucia</t>
  </si>
  <si>
    <t xml:space="preserve">Felipe </t>
  </si>
  <si>
    <t>Erika Tamara</t>
  </si>
  <si>
    <t>Brandan Ernesto Alejandro</t>
  </si>
  <si>
    <t>Vargas</t>
  </si>
  <si>
    <t>Ivan Xavier</t>
  </si>
  <si>
    <t>Bulacio Pereyra</t>
  </si>
  <si>
    <t>Leandro Emiliano</t>
  </si>
  <si>
    <t>Cuello</t>
  </si>
  <si>
    <t>Paula Mariana</t>
  </si>
  <si>
    <t>Castillo</t>
  </si>
  <si>
    <t>Ana Elizabeth</t>
  </si>
  <si>
    <t>19:00 - 20:00</t>
  </si>
  <si>
    <t>Rodriguez Ciccio</t>
  </si>
  <si>
    <t>Nicolas Exequiel</t>
  </si>
  <si>
    <t>Arias</t>
  </si>
  <si>
    <t>Daniela Beatriz</t>
  </si>
  <si>
    <t>Soria Juarez</t>
  </si>
  <si>
    <t>Eugenia Soledad</t>
  </si>
  <si>
    <t>Campero Juarez Maria Guadalupe</t>
  </si>
  <si>
    <t>Corbera Susana Sofía</t>
  </si>
  <si>
    <t>Chavarria Bevacqua</t>
  </si>
  <si>
    <t>Silvana Carolina</t>
  </si>
  <si>
    <t>20:00 - 21:00</t>
  </si>
  <si>
    <t>Villa</t>
  </si>
  <si>
    <t>Luciana Pamela</t>
  </si>
  <si>
    <t>Gerez Andrea Soledad</t>
  </si>
  <si>
    <t>Del Valle</t>
  </si>
  <si>
    <t>Silvina</t>
  </si>
  <si>
    <t xml:space="preserve">Lopez </t>
  </si>
  <si>
    <t xml:space="preserve">Rosa Mariana </t>
  </si>
  <si>
    <t>Monges</t>
  </si>
  <si>
    <t>Elina Teresa</t>
  </si>
  <si>
    <t>Sanchez</t>
  </si>
  <si>
    <t>Maria Florencia</t>
  </si>
  <si>
    <t>11:00 - 12:00</t>
  </si>
  <si>
    <t>Ruiz Barrionuevo</t>
  </si>
  <si>
    <t xml:space="preserve">Isabella Catalina </t>
  </si>
  <si>
    <t>12:00 - 13:00</t>
  </si>
  <si>
    <t>Zottoli</t>
  </si>
  <si>
    <t>Gonzalo</t>
  </si>
</sst>
</file>

<file path=xl/styles.xml><?xml version="1.0" encoding="utf-8"?>
<styleSheet xmlns="http://schemas.openxmlformats.org/spreadsheetml/2006/main">
  <numFmts count="7">
    <numFmt numFmtId="176" formatCode="ddd\ mm/dd"/>
    <numFmt numFmtId="44" formatCode="_(&quot;$&quot;* #,##0.00_);_(&quot;$&quot;* \(#,##0.00\);_(&quot;$&quot;* &quot;-&quot;??_);_(@_)"/>
    <numFmt numFmtId="177" formatCode="ddd\ dd/mm"/>
    <numFmt numFmtId="178" formatCode="_ * #,##0.00_ ;_ * \-#,##0.00_ ;_ * &quot;-&quot;??_ ;_ @_ "/>
    <numFmt numFmtId="42" formatCode="_(&quot;$&quot;* #,##0_);_(&quot;$&quot;* \(#,##0\);_(&quot;$&quot;* &quot;-&quot;_);_(@_)"/>
    <numFmt numFmtId="179" formatCode="dddd"/>
    <numFmt numFmtId="180" formatCode="_ * #,##0_ ;_ * \-#,##0_ ;_ * &quot;-&quot;_ ;_ @_ "/>
  </numFmts>
  <fonts count="27">
    <font>
      <sz val="11"/>
      <color theme="1"/>
      <name val="Calibri"/>
      <family val="2"/>
      <charset val="0"/>
      <scheme val="minor"/>
    </font>
    <font>
      <b/>
      <sz val="14"/>
      <color theme="0"/>
      <name val="Calibri"/>
      <family val="2"/>
      <charset val="0"/>
      <scheme val="minor"/>
    </font>
    <font>
      <sz val="11"/>
      <name val="Calibri"/>
      <family val="2"/>
      <charset val="0"/>
      <scheme val="minor"/>
    </font>
    <font>
      <sz val="11"/>
      <name val="Calibri"/>
      <charset val="134"/>
      <scheme val="minor"/>
    </font>
    <font>
      <sz val="11"/>
      <color theme="0"/>
      <name val="Calibri"/>
      <family val="2"/>
      <charset val="0"/>
      <scheme val="minor"/>
    </font>
    <font>
      <b/>
      <sz val="14"/>
      <color rgb="FFFFFF00"/>
      <name val="Calibri"/>
      <family val="2"/>
      <charset val="0"/>
      <scheme val="minor"/>
    </font>
    <font>
      <b/>
      <sz val="8"/>
      <color theme="3" tint="-0.249977111117893"/>
      <name val="Calibri"/>
      <family val="2"/>
      <charset val="0"/>
      <scheme val="minor"/>
    </font>
    <font>
      <b/>
      <sz val="12"/>
      <color theme="1"/>
      <name val="Calibri"/>
      <family val="2"/>
      <charset val="0"/>
      <scheme val="minor"/>
    </font>
    <font>
      <b/>
      <sz val="12"/>
      <color theme="3" tint="-0.249977111117893"/>
      <name val="Calibri"/>
      <family val="2"/>
      <charset val="0"/>
      <scheme val="minor"/>
    </font>
    <font>
      <b/>
      <sz val="9"/>
      <color theme="0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theme="0" tint="-0.349986266670736"/>
      </right>
      <top style="medium">
        <color auto="1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/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349986266670736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5" fillId="0" borderId="40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6" borderId="43" applyNumberFormat="0" applyAlignment="0" applyProtection="0">
      <alignment vertical="center"/>
    </xf>
    <xf numFmtId="0" fontId="0" fillId="10" borderId="42" applyNumberFormat="0" applyFont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3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12" borderId="39" applyNumberFormat="0" applyAlignment="0" applyProtection="0">
      <alignment vertical="center"/>
    </xf>
    <xf numFmtId="0" fontId="14" fillId="6" borderId="39" applyNumberFormat="0" applyAlignment="0" applyProtection="0">
      <alignment vertical="center"/>
    </xf>
    <xf numFmtId="0" fontId="20" fillId="11" borderId="44" applyNumberFormat="0" applyAlignment="0" applyProtection="0">
      <alignment vertical="center"/>
    </xf>
    <xf numFmtId="0" fontId="16" fillId="0" borderId="41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" fontId="4" fillId="0" borderId="0" xfId="0" applyNumberFormat="1" applyFont="1"/>
    <xf numFmtId="0" fontId="1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/>
    </xf>
    <xf numFmtId="58" fontId="2" fillId="0" borderId="7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58" fontId="2" fillId="0" borderId="17" xfId="0" applyNumberFormat="1" applyFont="1" applyFill="1" applyBorder="1" applyAlignment="1">
      <alignment horizontal="center" vertical="center"/>
    </xf>
    <xf numFmtId="177" fontId="2" fillId="0" borderId="18" xfId="0" applyNumberFormat="1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177" fontId="2" fillId="0" borderId="20" xfId="0" applyNumberFormat="1" applyFont="1" applyFill="1" applyBorder="1" applyAlignment="1">
      <alignment horizontal="center"/>
    </xf>
    <xf numFmtId="58" fontId="2" fillId="0" borderId="21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58" fontId="2" fillId="0" borderId="23" xfId="0" applyNumberFormat="1" applyFont="1" applyFill="1" applyBorder="1" applyAlignment="1">
      <alignment horizontal="center" vertical="center"/>
    </xf>
    <xf numFmtId="0" fontId="0" fillId="0" borderId="0" xfId="0" applyBorder="1"/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wrapText="1"/>
    </xf>
    <xf numFmtId="0" fontId="7" fillId="5" borderId="28" xfId="0" applyFont="1" applyFill="1" applyBorder="1" applyAlignment="1">
      <alignment horizontal="center" wrapText="1"/>
    </xf>
    <xf numFmtId="0" fontId="7" fillId="5" borderId="29" xfId="0" applyFont="1" applyFill="1" applyBorder="1" applyAlignment="1">
      <alignment horizontal="center" wrapText="1"/>
    </xf>
    <xf numFmtId="0" fontId="7" fillId="5" borderId="30" xfId="0" applyFont="1" applyFill="1" applyBorder="1" applyAlignment="1">
      <alignment horizontal="center" wrapText="1"/>
    </xf>
    <xf numFmtId="0" fontId="7" fillId="5" borderId="31" xfId="0" applyFont="1" applyFill="1" applyBorder="1" applyAlignment="1">
      <alignment horizontal="center" wrapText="1"/>
    </xf>
    <xf numFmtId="0" fontId="7" fillId="5" borderId="15" xfId="0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8" fillId="4" borderId="14" xfId="0" applyFont="1" applyFill="1" applyBorder="1" applyAlignment="1">
      <alignment horizontal="center" vertical="center" wrapText="1"/>
    </xf>
    <xf numFmtId="0" fontId="4" fillId="0" borderId="0" xfId="0" applyFont="1"/>
    <xf numFmtId="179" fontId="9" fillId="2" borderId="14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6" fontId="9" fillId="2" borderId="14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dxfs count="15">
    <dxf>
      <font>
        <b val="1"/>
        <i val="0"/>
        <strike val="0"/>
        <color theme="0"/>
      </font>
      <fill>
        <patternFill patternType="solid">
          <bgColor rgb="FF0000FF"/>
        </patternFill>
      </fill>
    </dxf>
    <dxf>
      <font>
        <b val="1"/>
        <i val="0"/>
        <strike val="0"/>
        <color theme="0"/>
      </font>
      <fill>
        <patternFill patternType="solid">
          <bgColor rgb="FF660066"/>
        </patternFill>
      </fill>
    </dxf>
    <dxf>
      <font>
        <b val="1"/>
        <i val="0"/>
        <strike val="0"/>
        <color theme="0"/>
      </font>
      <fill>
        <patternFill patternType="solid">
          <bgColor rgb="FF008000"/>
        </patternFill>
      </fill>
    </dxf>
    <dxf>
      <font>
        <b val="1"/>
        <i val="0"/>
        <strike val="0"/>
        <color theme="0"/>
      </font>
      <fill>
        <patternFill patternType="solid">
          <bgColor theme="1"/>
        </patternFill>
      </fill>
    </dxf>
    <dxf>
      <font>
        <b val="1"/>
        <i val="0"/>
        <strike val="0"/>
        <color theme="0"/>
      </font>
      <fill>
        <patternFill patternType="solid">
          <bgColor rgb="FFFF0000"/>
        </patternFill>
      </fill>
    </dxf>
    <dxf>
      <font>
        <b val="1"/>
        <i val="0"/>
        <strike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 val="1"/>
        <i val="0"/>
        <color theme="0"/>
      </font>
      <fill>
        <patternFill patternType="solid">
          <bgColor rgb="FF0000FF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b val="1"/>
        <i val="0"/>
        <color theme="0"/>
      </font>
      <fill>
        <patternFill patternType="solid">
          <bgColor rgb="FF008000"/>
        </patternFill>
      </fill>
    </dxf>
    <dxf>
      <font>
        <b val="1"/>
        <i val="0"/>
        <color theme="0"/>
      </font>
      <fill>
        <patternFill patternType="solid">
          <bgColor rgb="FF660066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 val="1"/>
        <i val="0"/>
        <strike val="0"/>
      </font>
      <fill>
        <patternFill patternType="solid">
          <bgColor theme="0" tint="-0.149937437055574"/>
        </patternFill>
      </fill>
    </dxf>
  </dxfs>
  <tableStyles count="0" defaultTableStyle="TableStyleMedium9" defaultPivotStyle="PivotStyleLight16"/>
  <colors>
    <mruColors>
      <color rgb="00FFFF00"/>
      <color rgb="00DCE6F1"/>
      <color rgb="0095B3D7"/>
      <color rgb="0016365C"/>
      <color rgb="00244062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3"/>
  <sheetViews>
    <sheetView showGridLines="0" zoomScale="90" zoomScaleNormal="90" workbookViewId="0">
      <selection activeCell="B2" sqref="B2:D2"/>
    </sheetView>
  </sheetViews>
  <sheetFormatPr defaultColWidth="0" defaultRowHeight="15" zeroHeight="1" outlineLevelCol="3"/>
  <cols>
    <col min="1" max="1" width="3.85714285714286" customWidth="1"/>
    <col min="2" max="2" width="11.5714285714286" customWidth="1"/>
    <col min="3" max="4" width="8.57142857142857" customWidth="1"/>
    <col min="5" max="5" width="4.28571428571429" customWidth="1"/>
    <col min="6" max="8" width="0" hidden="1" customWidth="1"/>
    <col min="9" max="16384" width="9.14285714285714" hidden="1"/>
  </cols>
  <sheetData>
    <row r="1" ht="30" customHeight="1"/>
    <row r="2" spans="2:4">
      <c r="B2" s="44" t="s">
        <v>0</v>
      </c>
      <c r="C2" s="45"/>
      <c r="D2" s="46"/>
    </row>
    <row r="3" ht="15.75" customHeight="1" spans="2:4">
      <c r="B3" s="47" t="s">
        <v>1</v>
      </c>
      <c r="C3" s="48"/>
      <c r="D3" s="49"/>
    </row>
    <row r="4" ht="15.75" customHeight="1" spans="2:4">
      <c r="B4" s="50" t="s">
        <v>2</v>
      </c>
      <c r="C4" s="51"/>
      <c r="D4" s="52"/>
    </row>
    <row r="5" ht="15.75" customHeight="1" spans="2:4">
      <c r="B5" s="53" t="s">
        <v>3</v>
      </c>
      <c r="C5" s="54" t="s">
        <v>4</v>
      </c>
      <c r="D5" s="54" t="s">
        <v>5</v>
      </c>
    </row>
    <row r="6" ht="20.1" customHeight="1" spans="1:4">
      <c r="A6" s="55" t="str">
        <f>CONCATENATE(MID($B$2,3,2),"/",LEFT($B$2,2))</f>
        <v>30/08</v>
      </c>
      <c r="B6" s="56" t="str">
        <f>TEXT(CONCATENATE(MID($B$2,3,2),"/",LEFT($B$2,2)),"ddd mm/dd")</f>
        <v>30/08</v>
      </c>
      <c r="C6" s="57">
        <f ca="1">COUNTIF('Horas Adicionales'!J:J,Summary!A6)</f>
        <v>0</v>
      </c>
      <c r="D6" s="58">
        <f ca="1">SUM(C6:C12)</f>
        <v>0</v>
      </c>
    </row>
    <row r="7" ht="20.1" customHeight="1" spans="2:4">
      <c r="B7" s="59" t="e">
        <f>A6+1</f>
        <v>#VALUE!</v>
      </c>
      <c r="C7" s="60">
        <f ca="1">COUNTIF('Horas Adicionales'!J:J,Summary!B7)</f>
        <v>0</v>
      </c>
      <c r="D7" s="61"/>
    </row>
    <row r="8" ht="20.1" customHeight="1" spans="2:4">
      <c r="B8" s="59" t="e">
        <f t="shared" ref="B8:B12" si="0">B7+1</f>
        <v>#VALUE!</v>
      </c>
      <c r="C8" s="60">
        <f ca="1">COUNTIF('Horas Adicionales'!J:J,Summary!B8)</f>
        <v>0</v>
      </c>
      <c r="D8" s="61"/>
    </row>
    <row r="9" ht="20.1" customHeight="1" spans="2:4">
      <c r="B9" s="59" t="e">
        <f t="shared" si="0"/>
        <v>#VALUE!</v>
      </c>
      <c r="C9" s="60">
        <f ca="1">COUNTIF('Horas Adicionales'!J:J,Summary!B9)</f>
        <v>0</v>
      </c>
      <c r="D9" s="61"/>
    </row>
    <row r="10" ht="20.1" customHeight="1" spans="2:4">
      <c r="B10" s="59" t="e">
        <f t="shared" si="0"/>
        <v>#VALUE!</v>
      </c>
      <c r="C10" s="60">
        <f ca="1">COUNTIF('Horas Adicionales'!J:J,Summary!B10)</f>
        <v>0</v>
      </c>
      <c r="D10" s="61"/>
    </row>
    <row r="11" ht="20.1" customHeight="1" spans="2:4">
      <c r="B11" s="59" t="e">
        <f t="shared" si="0"/>
        <v>#VALUE!</v>
      </c>
      <c r="C11" s="60">
        <f ca="1">COUNTIF('Horas Adicionales'!J:J,Summary!B11)</f>
        <v>0</v>
      </c>
      <c r="D11" s="61"/>
    </row>
    <row r="12" ht="20.1" customHeight="1" spans="2:4">
      <c r="B12" s="59" t="e">
        <f t="shared" si="0"/>
        <v>#VALUE!</v>
      </c>
      <c r="C12" s="62">
        <f ca="1">COUNTIF('Horas Adicionales'!J:J,Summary!B12)</f>
        <v>0</v>
      </c>
      <c r="D12" s="63"/>
    </row>
    <row r="13" s="43" customFormat="1" ht="13.5" customHeight="1" spans="3:4">
      <c r="C13" s="64"/>
      <c r="D13" s="64"/>
    </row>
  </sheetData>
  <sheetCalcPr fullCalcOnLoad="1"/>
  <mergeCells count="4">
    <mergeCell ref="B2:D2"/>
    <mergeCell ref="B3:D3"/>
    <mergeCell ref="B4:D4"/>
    <mergeCell ref="D6:D1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19"/>
  <sheetViews>
    <sheetView showGridLines="0" tabSelected="1" zoomScale="85" zoomScaleNormal="85" workbookViewId="0">
      <selection activeCell="H21" sqref="H21:I21"/>
    </sheetView>
  </sheetViews>
  <sheetFormatPr defaultColWidth="0" defaultRowHeight="15" zeroHeight="1"/>
  <cols>
    <col min="1" max="1" width="4.85714285714286" customWidth="1"/>
    <col min="2" max="2" width="10.7142857142857" customWidth="1"/>
    <col min="3" max="3" width="14.5714285714286" customWidth="1"/>
    <col min="4" max="4" width="28.5714285714286" customWidth="1"/>
    <col min="5" max="5" width="27.4285714285714" customWidth="1"/>
    <col min="6" max="6" width="15.1428571428571" customWidth="1"/>
    <col min="7" max="7" width="21.5714285714286" customWidth="1"/>
    <col min="8" max="8" width="19.5714285714286" customWidth="1"/>
    <col min="9" max="9" width="15.2857142857143" customWidth="1"/>
    <col min="10" max="10" width="15.1428571428571" customWidth="1"/>
    <col min="11" max="11" width="29.8571428571429" customWidth="1"/>
    <col min="12" max="12" width="33" customWidth="1"/>
    <col min="13" max="13" width="33.7142857142857" style="1" customWidth="1"/>
    <col min="14" max="14" width="2.14285714285714" style="1" customWidth="1"/>
    <col min="15" max="46" width="9.14285714285714" style="1" hidden="1" customWidth="1"/>
    <col min="47" max="16384" width="9.14285714285714" hidden="1"/>
  </cols>
  <sheetData>
    <row r="1" s="1" customFormat="1" ht="24.75" customHeight="1" spans="2:12">
      <c r="B1"/>
      <c r="C1"/>
      <c r="D1"/>
      <c r="E1"/>
      <c r="F1"/>
      <c r="G1"/>
      <c r="H1"/>
      <c r="I1"/>
      <c r="J1"/>
      <c r="K1" s="28">
        <v>41399</v>
      </c>
      <c r="L1"/>
    </row>
    <row r="2" s="1" customFormat="1" ht="27.75" customHeight="1" spans="2:13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29" t="s">
        <v>15</v>
      </c>
      <c r="L2" s="30" t="s">
        <v>16</v>
      </c>
      <c r="M2" s="31" t="s">
        <v>17</v>
      </c>
    </row>
    <row r="3" spans="2:13">
      <c r="B3" s="4">
        <v>1</v>
      </c>
      <c r="C3" s="5" t="s">
        <v>2</v>
      </c>
      <c r="D3" s="6" t="s">
        <v>18</v>
      </c>
      <c r="E3" s="7" t="s">
        <v>19</v>
      </c>
      <c r="F3" s="7" t="s">
        <v>20</v>
      </c>
      <c r="G3" s="7" t="s">
        <v>21</v>
      </c>
      <c r="H3" s="8">
        <v>88033</v>
      </c>
      <c r="I3" s="8">
        <v>3553104</v>
      </c>
      <c r="J3" s="32">
        <v>44074</v>
      </c>
      <c r="K3" s="33" t="s">
        <v>22</v>
      </c>
      <c r="L3" s="34" t="s">
        <v>23</v>
      </c>
      <c r="M3" s="35"/>
    </row>
    <row r="4" spans="2:13">
      <c r="B4" s="4">
        <v>2</v>
      </c>
      <c r="C4" s="5" t="s">
        <v>2</v>
      </c>
      <c r="D4" s="9" t="s">
        <v>18</v>
      </c>
      <c r="E4" s="8" t="s">
        <v>24</v>
      </c>
      <c r="F4" s="8" t="s">
        <v>25</v>
      </c>
      <c r="G4" s="8" t="s">
        <v>26</v>
      </c>
      <c r="H4" s="8">
        <v>85181</v>
      </c>
      <c r="I4" s="8">
        <v>2360478</v>
      </c>
      <c r="J4" s="32">
        <v>44074</v>
      </c>
      <c r="K4" s="33" t="s">
        <v>22</v>
      </c>
      <c r="L4" s="34" t="s">
        <v>23</v>
      </c>
      <c r="M4" s="35"/>
    </row>
    <row r="5" spans="2:13">
      <c r="B5" s="4">
        <v>3</v>
      </c>
      <c r="C5" s="5" t="s">
        <v>2</v>
      </c>
      <c r="D5" s="10"/>
      <c r="E5" s="10"/>
      <c r="F5" s="10"/>
      <c r="G5" s="10"/>
      <c r="H5" s="5"/>
      <c r="I5" s="5"/>
      <c r="J5" s="32">
        <v>44074</v>
      </c>
      <c r="K5" s="33" t="s">
        <v>22</v>
      </c>
      <c r="L5" s="34" t="s">
        <v>23</v>
      </c>
      <c r="M5" s="35"/>
    </row>
    <row r="6" spans="2:13">
      <c r="B6" s="4">
        <v>4</v>
      </c>
      <c r="C6" s="5" t="s">
        <v>2</v>
      </c>
      <c r="D6" s="9"/>
      <c r="E6" s="8"/>
      <c r="F6" s="8"/>
      <c r="G6" s="8"/>
      <c r="H6" s="8"/>
      <c r="I6" s="8"/>
      <c r="J6" s="32">
        <v>44074</v>
      </c>
      <c r="K6" s="33" t="s">
        <v>22</v>
      </c>
      <c r="L6" s="34" t="s">
        <v>23</v>
      </c>
      <c r="M6" s="35"/>
    </row>
    <row r="7" spans="2:13">
      <c r="B7" s="4">
        <v>5</v>
      </c>
      <c r="C7" s="5" t="s">
        <v>2</v>
      </c>
      <c r="D7" s="9"/>
      <c r="E7" s="8"/>
      <c r="F7" s="8"/>
      <c r="G7" s="8"/>
      <c r="H7" s="8"/>
      <c r="I7" s="8"/>
      <c r="J7" s="32">
        <v>44074</v>
      </c>
      <c r="K7" s="33" t="s">
        <v>22</v>
      </c>
      <c r="L7" s="34" t="s">
        <v>23</v>
      </c>
      <c r="M7" s="35"/>
    </row>
    <row r="8" spans="2:13">
      <c r="B8" s="4">
        <v>6</v>
      </c>
      <c r="C8" s="5" t="s">
        <v>2</v>
      </c>
      <c r="D8" s="9"/>
      <c r="E8" s="8"/>
      <c r="F8" s="8"/>
      <c r="G8" s="8"/>
      <c r="H8" s="8"/>
      <c r="I8" s="8"/>
      <c r="J8" s="32">
        <v>44074</v>
      </c>
      <c r="K8" s="33" t="s">
        <v>22</v>
      </c>
      <c r="L8" s="34" t="s">
        <v>23</v>
      </c>
      <c r="M8" s="35"/>
    </row>
    <row r="9" spans="2:13">
      <c r="B9" s="4">
        <v>7</v>
      </c>
      <c r="C9" s="5" t="s">
        <v>2</v>
      </c>
      <c r="D9" s="11"/>
      <c r="E9" s="12"/>
      <c r="F9" s="12"/>
      <c r="G9" s="12"/>
      <c r="H9" s="13"/>
      <c r="I9" s="13"/>
      <c r="J9" s="32">
        <v>44074</v>
      </c>
      <c r="K9" s="33" t="s">
        <v>22</v>
      </c>
      <c r="L9" s="34" t="s">
        <v>23</v>
      </c>
      <c r="M9" s="35"/>
    </row>
    <row r="10" spans="2:13">
      <c r="B10" s="4">
        <v>8</v>
      </c>
      <c r="C10" s="5" t="s">
        <v>2</v>
      </c>
      <c r="D10" s="14" t="s">
        <v>18</v>
      </c>
      <c r="E10" s="15" t="s">
        <v>27</v>
      </c>
      <c r="F10" s="15" t="s">
        <v>28</v>
      </c>
      <c r="G10" s="15" t="s">
        <v>29</v>
      </c>
      <c r="H10" s="15">
        <v>86343</v>
      </c>
      <c r="I10" s="15">
        <v>3138530</v>
      </c>
      <c r="J10" s="36">
        <v>44074</v>
      </c>
      <c r="K10" s="33" t="s">
        <v>22</v>
      </c>
      <c r="L10" s="34" t="s">
        <v>23</v>
      </c>
      <c r="M10" s="35"/>
    </row>
    <row r="11" spans="2:13">
      <c r="B11" s="4">
        <v>9</v>
      </c>
      <c r="C11" s="5" t="s">
        <v>2</v>
      </c>
      <c r="D11" s="14" t="s">
        <v>18</v>
      </c>
      <c r="E11" s="15" t="s">
        <v>27</v>
      </c>
      <c r="F11" s="15" t="s">
        <v>30</v>
      </c>
      <c r="G11" s="15" t="s">
        <v>31</v>
      </c>
      <c r="H11" s="15">
        <v>86283</v>
      </c>
      <c r="I11" s="15">
        <v>3133256</v>
      </c>
      <c r="J11" s="36">
        <v>44074</v>
      </c>
      <c r="K11" s="33" t="s">
        <v>22</v>
      </c>
      <c r="L11" s="34" t="s">
        <v>23</v>
      </c>
      <c r="M11" s="35"/>
    </row>
    <row r="12" spans="2:13">
      <c r="B12" s="4">
        <v>10</v>
      </c>
      <c r="C12" s="5" t="s">
        <v>2</v>
      </c>
      <c r="D12" s="6" t="s">
        <v>18</v>
      </c>
      <c r="E12" s="16" t="s">
        <v>19</v>
      </c>
      <c r="F12" s="16" t="s">
        <v>20</v>
      </c>
      <c r="G12" s="16" t="s">
        <v>21</v>
      </c>
      <c r="H12" s="17">
        <v>88033</v>
      </c>
      <c r="I12" s="17">
        <v>3553104</v>
      </c>
      <c r="J12" s="32">
        <v>44074</v>
      </c>
      <c r="K12" s="33" t="s">
        <v>22</v>
      </c>
      <c r="L12" s="34" t="s">
        <v>32</v>
      </c>
      <c r="M12" s="35"/>
    </row>
    <row r="13" spans="2:13">
      <c r="B13" s="4">
        <v>11</v>
      </c>
      <c r="C13" s="5" t="s">
        <v>2</v>
      </c>
      <c r="D13" s="14" t="s">
        <v>18</v>
      </c>
      <c r="E13" s="15" t="s">
        <v>27</v>
      </c>
      <c r="F13" s="15" t="s">
        <v>30</v>
      </c>
      <c r="G13" s="15" t="s">
        <v>31</v>
      </c>
      <c r="H13" s="15">
        <v>86283</v>
      </c>
      <c r="I13" s="15">
        <v>3133256</v>
      </c>
      <c r="J13" s="36">
        <v>44074</v>
      </c>
      <c r="K13" s="33" t="s">
        <v>22</v>
      </c>
      <c r="L13" s="34" t="s">
        <v>32</v>
      </c>
      <c r="M13" s="35"/>
    </row>
    <row r="14" spans="2:13">
      <c r="B14" s="4">
        <v>12</v>
      </c>
      <c r="C14" s="5" t="s">
        <v>2</v>
      </c>
      <c r="D14" s="14" t="s">
        <v>18</v>
      </c>
      <c r="E14" s="15" t="s">
        <v>27</v>
      </c>
      <c r="F14" s="15" t="s">
        <v>28</v>
      </c>
      <c r="G14" s="15" t="s">
        <v>29</v>
      </c>
      <c r="H14" s="15">
        <v>86343</v>
      </c>
      <c r="I14" s="15">
        <v>3138530</v>
      </c>
      <c r="J14" s="36">
        <v>44074</v>
      </c>
      <c r="K14" s="33" t="s">
        <v>22</v>
      </c>
      <c r="L14" s="34" t="s">
        <v>32</v>
      </c>
      <c r="M14" s="35"/>
    </row>
    <row r="15" spans="2:13">
      <c r="B15" s="4">
        <v>13</v>
      </c>
      <c r="C15" s="5" t="s">
        <v>2</v>
      </c>
      <c r="D15" s="9" t="s">
        <v>18</v>
      </c>
      <c r="E15" s="8" t="s">
        <v>24</v>
      </c>
      <c r="F15" s="8" t="s">
        <v>25</v>
      </c>
      <c r="G15" s="8" t="s">
        <v>26</v>
      </c>
      <c r="H15" s="8">
        <v>85181</v>
      </c>
      <c r="I15" s="8">
        <v>2360478</v>
      </c>
      <c r="J15" s="36">
        <v>44074</v>
      </c>
      <c r="K15" s="33" t="s">
        <v>22</v>
      </c>
      <c r="L15" s="34" t="s">
        <v>32</v>
      </c>
      <c r="M15" s="35"/>
    </row>
    <row r="16" spans="2:13">
      <c r="B16" s="4">
        <v>14</v>
      </c>
      <c r="C16" s="5" t="s">
        <v>2</v>
      </c>
      <c r="D16" s="6" t="s">
        <v>33</v>
      </c>
      <c r="E16" s="7" t="s">
        <v>34</v>
      </c>
      <c r="F16" s="7" t="s">
        <v>35</v>
      </c>
      <c r="G16" s="7" t="s">
        <v>36</v>
      </c>
      <c r="H16" s="8">
        <v>83709</v>
      </c>
      <c r="I16" s="8">
        <v>2557023</v>
      </c>
      <c r="J16" s="36">
        <v>44074</v>
      </c>
      <c r="K16" s="33" t="s">
        <v>22</v>
      </c>
      <c r="L16" s="34" t="s">
        <v>32</v>
      </c>
      <c r="M16" s="35"/>
    </row>
    <row r="17" ht="15.75" customHeight="1" spans="2:13">
      <c r="B17" s="4">
        <v>15</v>
      </c>
      <c r="C17" s="5" t="s">
        <v>2</v>
      </c>
      <c r="D17" s="6" t="s">
        <v>33</v>
      </c>
      <c r="E17" s="7" t="s">
        <v>34</v>
      </c>
      <c r="F17" s="7" t="s">
        <v>37</v>
      </c>
      <c r="G17" s="7" t="s">
        <v>38</v>
      </c>
      <c r="H17" s="8">
        <v>86280</v>
      </c>
      <c r="I17" s="8">
        <v>3133230</v>
      </c>
      <c r="J17" s="36">
        <v>44074</v>
      </c>
      <c r="K17" s="33" t="s">
        <v>22</v>
      </c>
      <c r="L17" s="34" t="s">
        <v>32</v>
      </c>
      <c r="M17" s="35"/>
    </row>
    <row r="18" spans="2:13">
      <c r="B18" s="4">
        <v>16</v>
      </c>
      <c r="C18" s="5" t="s">
        <v>2</v>
      </c>
      <c r="D18" s="18" t="s">
        <v>18</v>
      </c>
      <c r="E18" s="19" t="s">
        <v>19</v>
      </c>
      <c r="F18" s="19" t="s">
        <v>39</v>
      </c>
      <c r="G18" s="19" t="s">
        <v>40</v>
      </c>
      <c r="H18" s="19">
        <v>87895</v>
      </c>
      <c r="I18" s="19">
        <v>3534360</v>
      </c>
      <c r="J18" s="36">
        <v>44074</v>
      </c>
      <c r="K18" s="33" t="s">
        <v>22</v>
      </c>
      <c r="L18" s="34" t="s">
        <v>32</v>
      </c>
      <c r="M18" s="35"/>
    </row>
    <row r="19" spans="2:13">
      <c r="B19" s="4">
        <v>17</v>
      </c>
      <c r="C19" s="5" t="s">
        <v>2</v>
      </c>
      <c r="D19" s="18" t="s">
        <v>33</v>
      </c>
      <c r="E19" s="19" t="s">
        <v>34</v>
      </c>
      <c r="F19" s="19" t="s">
        <v>41</v>
      </c>
      <c r="G19" s="19" t="s">
        <v>42</v>
      </c>
      <c r="H19" s="19">
        <v>83111</v>
      </c>
      <c r="I19" s="19">
        <v>2426435</v>
      </c>
      <c r="J19" s="36">
        <v>44074</v>
      </c>
      <c r="K19" s="33" t="s">
        <v>22</v>
      </c>
      <c r="L19" s="34" t="s">
        <v>32</v>
      </c>
      <c r="M19" s="35"/>
    </row>
    <row r="20" spans="2:13">
      <c r="B20" s="4">
        <v>18</v>
      </c>
      <c r="C20" s="5" t="s">
        <v>2</v>
      </c>
      <c r="D20" s="9" t="s">
        <v>33</v>
      </c>
      <c r="E20" s="8" t="s">
        <v>43</v>
      </c>
      <c r="F20" s="8" t="s">
        <v>44</v>
      </c>
      <c r="G20" s="8" t="s">
        <v>45</v>
      </c>
      <c r="H20" s="8">
        <v>86285</v>
      </c>
      <c r="I20" s="8">
        <v>2831528</v>
      </c>
      <c r="J20" s="36">
        <v>44074</v>
      </c>
      <c r="K20" s="33" t="s">
        <v>22</v>
      </c>
      <c r="L20" s="34" t="s">
        <v>32</v>
      </c>
      <c r="M20" s="35"/>
    </row>
    <row r="21" spans="2:13">
      <c r="B21" s="4">
        <v>19</v>
      </c>
      <c r="C21" s="5" t="s">
        <v>2</v>
      </c>
      <c r="D21" s="18" t="s">
        <v>33</v>
      </c>
      <c r="E21" s="19" t="s">
        <v>34</v>
      </c>
      <c r="F21" s="19" t="s">
        <v>46</v>
      </c>
      <c r="G21" s="19" t="s">
        <v>47</v>
      </c>
      <c r="H21" s="19">
        <v>86142</v>
      </c>
      <c r="I21" s="19">
        <v>3118266</v>
      </c>
      <c r="J21" s="36">
        <v>44074</v>
      </c>
      <c r="K21" s="33" t="s">
        <v>22</v>
      </c>
      <c r="L21" s="34" t="s">
        <v>32</v>
      </c>
      <c r="M21" s="35"/>
    </row>
    <row r="22" spans="2:13">
      <c r="B22" s="4">
        <v>20</v>
      </c>
      <c r="C22" s="20" t="s">
        <v>2</v>
      </c>
      <c r="D22" s="21" t="s">
        <v>18</v>
      </c>
      <c r="E22" s="15" t="s">
        <v>27</v>
      </c>
      <c r="F22" s="15" t="s">
        <v>48</v>
      </c>
      <c r="G22" s="15" t="s">
        <v>49</v>
      </c>
      <c r="H22" s="15">
        <v>88153</v>
      </c>
      <c r="I22" s="15">
        <v>3624035</v>
      </c>
      <c r="J22" s="36">
        <v>44074</v>
      </c>
      <c r="K22" s="33" t="s">
        <v>22</v>
      </c>
      <c r="L22" s="34" t="s">
        <v>32</v>
      </c>
      <c r="M22" s="35"/>
    </row>
    <row r="23" spans="2:13">
      <c r="B23" s="4">
        <v>21</v>
      </c>
      <c r="C23" s="5" t="s">
        <v>2</v>
      </c>
      <c r="D23" s="22" t="s">
        <v>18</v>
      </c>
      <c r="E23" s="17" t="s">
        <v>24</v>
      </c>
      <c r="F23" s="17" t="s">
        <v>50</v>
      </c>
      <c r="G23" s="17" t="s">
        <v>51</v>
      </c>
      <c r="H23" s="17">
        <v>84602</v>
      </c>
      <c r="I23" s="17">
        <v>2744900</v>
      </c>
      <c r="J23" s="32">
        <v>44074</v>
      </c>
      <c r="K23" s="33" t="s">
        <v>22</v>
      </c>
      <c r="L23" s="34" t="s">
        <v>52</v>
      </c>
      <c r="M23" s="35"/>
    </row>
    <row r="24" spans="2:13">
      <c r="B24" s="4">
        <v>22</v>
      </c>
      <c r="C24" s="5" t="s">
        <v>2</v>
      </c>
      <c r="D24" s="14" t="s">
        <v>18</v>
      </c>
      <c r="E24" s="15" t="s">
        <v>27</v>
      </c>
      <c r="F24" s="15" t="s">
        <v>30</v>
      </c>
      <c r="G24" s="15" t="s">
        <v>31</v>
      </c>
      <c r="H24" s="15">
        <v>86283</v>
      </c>
      <c r="I24" s="15">
        <v>3133256</v>
      </c>
      <c r="J24" s="36">
        <v>44074</v>
      </c>
      <c r="K24" s="33" t="s">
        <v>22</v>
      </c>
      <c r="L24" s="34" t="s">
        <v>52</v>
      </c>
      <c r="M24" s="35"/>
    </row>
    <row r="25" spans="2:13">
      <c r="B25" s="4">
        <v>23</v>
      </c>
      <c r="C25" s="5" t="s">
        <v>2</v>
      </c>
      <c r="D25" s="23" t="s">
        <v>18</v>
      </c>
      <c r="E25" s="24" t="s">
        <v>27</v>
      </c>
      <c r="F25" s="24" t="s">
        <v>28</v>
      </c>
      <c r="G25" s="24" t="s">
        <v>29</v>
      </c>
      <c r="H25" s="24">
        <v>86343</v>
      </c>
      <c r="I25" s="24">
        <v>3138530</v>
      </c>
      <c r="J25" s="36">
        <v>44074</v>
      </c>
      <c r="K25" s="33" t="s">
        <v>22</v>
      </c>
      <c r="L25" s="34" t="s">
        <v>52</v>
      </c>
      <c r="M25" s="35"/>
    </row>
    <row r="26" spans="2:13">
      <c r="B26" s="4">
        <v>24</v>
      </c>
      <c r="C26" s="20" t="s">
        <v>2</v>
      </c>
      <c r="D26" s="21" t="s">
        <v>18</v>
      </c>
      <c r="E26" s="15" t="s">
        <v>27</v>
      </c>
      <c r="F26" s="15" t="s">
        <v>48</v>
      </c>
      <c r="G26" s="15" t="s">
        <v>49</v>
      </c>
      <c r="H26" s="15">
        <v>88153</v>
      </c>
      <c r="I26" s="15">
        <v>3624035</v>
      </c>
      <c r="J26" s="36">
        <v>44074</v>
      </c>
      <c r="K26" s="33" t="s">
        <v>22</v>
      </c>
      <c r="L26" s="34" t="s">
        <v>52</v>
      </c>
      <c r="M26" s="35"/>
    </row>
    <row r="27" spans="2:13">
      <c r="B27" s="4">
        <v>25</v>
      </c>
      <c r="C27" s="5" t="s">
        <v>2</v>
      </c>
      <c r="D27" s="6" t="s">
        <v>33</v>
      </c>
      <c r="E27" s="7" t="s">
        <v>34</v>
      </c>
      <c r="F27" s="7" t="s">
        <v>35</v>
      </c>
      <c r="G27" s="7" t="s">
        <v>36</v>
      </c>
      <c r="H27" s="8">
        <v>83709</v>
      </c>
      <c r="I27" s="8">
        <v>2557023</v>
      </c>
      <c r="J27" s="36">
        <v>44074</v>
      </c>
      <c r="K27" s="33" t="s">
        <v>22</v>
      </c>
      <c r="L27" s="34" t="s">
        <v>52</v>
      </c>
      <c r="M27" s="35"/>
    </row>
    <row r="28" spans="2:13">
      <c r="B28" s="4">
        <v>26</v>
      </c>
      <c r="C28" s="5" t="s">
        <v>2</v>
      </c>
      <c r="D28" s="9" t="s">
        <v>33</v>
      </c>
      <c r="E28" s="8" t="s">
        <v>43</v>
      </c>
      <c r="F28" s="8" t="s">
        <v>53</v>
      </c>
      <c r="G28" s="8" t="s">
        <v>54</v>
      </c>
      <c r="H28" s="8">
        <v>86339</v>
      </c>
      <c r="I28" s="8">
        <v>3138527</v>
      </c>
      <c r="J28" s="36">
        <v>44074</v>
      </c>
      <c r="K28" s="33" t="s">
        <v>22</v>
      </c>
      <c r="L28" s="34" t="s">
        <v>52</v>
      </c>
      <c r="M28" s="35"/>
    </row>
    <row r="29" spans="2:13">
      <c r="B29" s="4">
        <v>27</v>
      </c>
      <c r="C29" s="5" t="s">
        <v>2</v>
      </c>
      <c r="D29" s="9" t="s">
        <v>33</v>
      </c>
      <c r="E29" s="8" t="s">
        <v>43</v>
      </c>
      <c r="F29" s="8" t="s">
        <v>55</v>
      </c>
      <c r="G29" s="8" t="s">
        <v>56</v>
      </c>
      <c r="H29" s="8">
        <v>85619</v>
      </c>
      <c r="I29" s="8">
        <v>2873635</v>
      </c>
      <c r="J29" s="36">
        <v>44074</v>
      </c>
      <c r="K29" s="33" t="s">
        <v>22</v>
      </c>
      <c r="L29" s="34" t="s">
        <v>52</v>
      </c>
      <c r="M29" s="35"/>
    </row>
    <row r="30" spans="2:13">
      <c r="B30" s="4">
        <v>28</v>
      </c>
      <c r="C30" s="5" t="s">
        <v>2</v>
      </c>
      <c r="D30" s="6" t="s">
        <v>33</v>
      </c>
      <c r="E30" s="7" t="s">
        <v>34</v>
      </c>
      <c r="F30" s="7" t="s">
        <v>37</v>
      </c>
      <c r="G30" s="7" t="s">
        <v>38</v>
      </c>
      <c r="H30" s="8">
        <v>86280</v>
      </c>
      <c r="I30" s="8">
        <v>3133230</v>
      </c>
      <c r="J30" s="36">
        <v>44074</v>
      </c>
      <c r="K30" s="33" t="s">
        <v>22</v>
      </c>
      <c r="L30" s="34" t="s">
        <v>52</v>
      </c>
      <c r="M30" s="35"/>
    </row>
    <row r="31" spans="2:13">
      <c r="B31" s="4">
        <v>29</v>
      </c>
      <c r="C31" s="5" t="s">
        <v>2</v>
      </c>
      <c r="D31" s="6" t="s">
        <v>33</v>
      </c>
      <c r="E31" s="7" t="s">
        <v>34</v>
      </c>
      <c r="F31" s="7" t="s">
        <v>46</v>
      </c>
      <c r="G31" s="7" t="s">
        <v>47</v>
      </c>
      <c r="H31" s="8">
        <v>86142</v>
      </c>
      <c r="I31" s="8">
        <v>3118266</v>
      </c>
      <c r="J31" s="36">
        <v>44074</v>
      </c>
      <c r="K31" s="33" t="s">
        <v>22</v>
      </c>
      <c r="L31" s="34" t="s">
        <v>52</v>
      </c>
      <c r="M31" s="35"/>
    </row>
    <row r="32" spans="2:13">
      <c r="B32" s="4">
        <v>30</v>
      </c>
      <c r="C32" s="5" t="s">
        <v>2</v>
      </c>
      <c r="D32" s="9" t="s">
        <v>18</v>
      </c>
      <c r="E32" s="25" t="s">
        <v>24</v>
      </c>
      <c r="F32" s="25" t="s">
        <v>57</v>
      </c>
      <c r="G32" s="25" t="s">
        <v>58</v>
      </c>
      <c r="H32" s="25">
        <v>83489</v>
      </c>
      <c r="I32" s="25">
        <v>2490376</v>
      </c>
      <c r="J32" s="32">
        <v>44074</v>
      </c>
      <c r="K32" s="33" t="s">
        <v>22</v>
      </c>
      <c r="L32" s="34" t="s">
        <v>52</v>
      </c>
      <c r="M32" s="35"/>
    </row>
    <row r="33" spans="2:13">
      <c r="B33" s="4">
        <v>31</v>
      </c>
      <c r="C33" s="5" t="s">
        <v>2</v>
      </c>
      <c r="D33" s="9" t="s">
        <v>59</v>
      </c>
      <c r="E33" s="8" t="s">
        <v>60</v>
      </c>
      <c r="F33" s="8" t="s">
        <v>61</v>
      </c>
      <c r="G33" s="8" t="s">
        <v>62</v>
      </c>
      <c r="H33" s="8">
        <v>87045</v>
      </c>
      <c r="I33" s="8">
        <v>3409666</v>
      </c>
      <c r="J33" s="32">
        <v>44074</v>
      </c>
      <c r="K33" s="33" t="s">
        <v>22</v>
      </c>
      <c r="L33" s="34" t="s">
        <v>63</v>
      </c>
      <c r="M33" s="35"/>
    </row>
    <row r="34" spans="2:13">
      <c r="B34" s="4">
        <v>32</v>
      </c>
      <c r="C34" s="5" t="s">
        <v>2</v>
      </c>
      <c r="D34" s="9" t="s">
        <v>18</v>
      </c>
      <c r="E34" s="8" t="s">
        <v>24</v>
      </c>
      <c r="F34" s="8" t="s">
        <v>57</v>
      </c>
      <c r="G34" s="8" t="s">
        <v>58</v>
      </c>
      <c r="H34" s="8">
        <v>83489</v>
      </c>
      <c r="I34" s="8">
        <v>2490376</v>
      </c>
      <c r="J34" s="32">
        <v>44074</v>
      </c>
      <c r="K34" s="33" t="s">
        <v>22</v>
      </c>
      <c r="L34" s="34" t="s">
        <v>63</v>
      </c>
      <c r="M34" s="35"/>
    </row>
    <row r="35" spans="2:13">
      <c r="B35" s="4">
        <v>33</v>
      </c>
      <c r="C35" s="5" t="s">
        <v>2</v>
      </c>
      <c r="D35" s="9" t="s">
        <v>18</v>
      </c>
      <c r="E35" s="26" t="s">
        <v>24</v>
      </c>
      <c r="F35" s="26" t="s">
        <v>50</v>
      </c>
      <c r="G35" s="26" t="s">
        <v>51</v>
      </c>
      <c r="H35" s="26">
        <v>84602</v>
      </c>
      <c r="I35" s="26">
        <v>2744900</v>
      </c>
      <c r="J35" s="32">
        <v>44074</v>
      </c>
      <c r="K35" s="33" t="s">
        <v>22</v>
      </c>
      <c r="L35" s="34" t="s">
        <v>63</v>
      </c>
      <c r="M35" s="35"/>
    </row>
    <row r="36" spans="2:13">
      <c r="B36" s="4">
        <v>34</v>
      </c>
      <c r="C36" s="5" t="s">
        <v>2</v>
      </c>
      <c r="D36" s="14" t="s">
        <v>18</v>
      </c>
      <c r="E36" s="15" t="s">
        <v>27</v>
      </c>
      <c r="F36" s="15" t="s">
        <v>30</v>
      </c>
      <c r="G36" s="15" t="s">
        <v>31</v>
      </c>
      <c r="H36" s="15">
        <v>86283</v>
      </c>
      <c r="I36" s="15">
        <v>3133256</v>
      </c>
      <c r="J36" s="36">
        <v>44074</v>
      </c>
      <c r="K36" s="33" t="s">
        <v>22</v>
      </c>
      <c r="L36" s="34" t="s">
        <v>63</v>
      </c>
      <c r="M36" s="35"/>
    </row>
    <row r="37" spans="2:13">
      <c r="B37" s="4">
        <v>35</v>
      </c>
      <c r="C37" s="5" t="s">
        <v>2</v>
      </c>
      <c r="D37" s="14" t="s">
        <v>18</v>
      </c>
      <c r="E37" s="15" t="s">
        <v>27</v>
      </c>
      <c r="F37" s="15" t="s">
        <v>28</v>
      </c>
      <c r="G37" s="15" t="s">
        <v>29</v>
      </c>
      <c r="H37" s="15">
        <v>86343</v>
      </c>
      <c r="I37" s="15">
        <v>3138530</v>
      </c>
      <c r="J37" s="36">
        <v>44074</v>
      </c>
      <c r="K37" s="33" t="s">
        <v>22</v>
      </c>
      <c r="L37" s="34" t="s">
        <v>63</v>
      </c>
      <c r="M37" s="35"/>
    </row>
    <row r="38" spans="2:13">
      <c r="B38" s="4">
        <v>36</v>
      </c>
      <c r="C38" s="5" t="s">
        <v>2</v>
      </c>
      <c r="D38" s="6" t="s">
        <v>18</v>
      </c>
      <c r="E38" s="27" t="s">
        <v>19</v>
      </c>
      <c r="F38" s="27" t="s">
        <v>20</v>
      </c>
      <c r="G38" s="27" t="s">
        <v>21</v>
      </c>
      <c r="H38" s="25">
        <v>88033</v>
      </c>
      <c r="I38" s="25">
        <v>3553104</v>
      </c>
      <c r="J38" s="32">
        <v>44075</v>
      </c>
      <c r="K38" s="33" t="s">
        <v>22</v>
      </c>
      <c r="L38" s="34" t="s">
        <v>23</v>
      </c>
      <c r="M38" s="35"/>
    </row>
    <row r="39" spans="2:13">
      <c r="B39" s="4">
        <v>37</v>
      </c>
      <c r="C39" s="5" t="s">
        <v>2</v>
      </c>
      <c r="D39" s="8" t="s">
        <v>18</v>
      </c>
      <c r="E39" s="8" t="s">
        <v>19</v>
      </c>
      <c r="F39" s="8" t="s">
        <v>64</v>
      </c>
      <c r="G39" s="8" t="s">
        <v>65</v>
      </c>
      <c r="H39" s="8">
        <v>88034</v>
      </c>
      <c r="I39" s="8">
        <v>3553109</v>
      </c>
      <c r="J39" s="32">
        <v>44075</v>
      </c>
      <c r="K39" s="33" t="s">
        <v>22</v>
      </c>
      <c r="L39" s="34" t="s">
        <v>23</v>
      </c>
      <c r="M39" s="35"/>
    </row>
    <row r="40" spans="2:13">
      <c r="B40" s="4">
        <v>38</v>
      </c>
      <c r="C40" s="5" t="s">
        <v>2</v>
      </c>
      <c r="D40" s="9" t="s">
        <v>33</v>
      </c>
      <c r="E40" s="8" t="s">
        <v>66</v>
      </c>
      <c r="F40" s="8" t="s">
        <v>67</v>
      </c>
      <c r="G40" s="8" t="s">
        <v>68</v>
      </c>
      <c r="H40" s="8">
        <v>88149</v>
      </c>
      <c r="I40" s="8">
        <v>3624031</v>
      </c>
      <c r="J40" s="32">
        <v>44075</v>
      </c>
      <c r="K40" s="33" t="s">
        <v>22</v>
      </c>
      <c r="L40" s="34" t="s">
        <v>23</v>
      </c>
      <c r="M40" s="35"/>
    </row>
    <row r="41" spans="2:13">
      <c r="B41" s="4">
        <v>39</v>
      </c>
      <c r="C41" s="5" t="s">
        <v>2</v>
      </c>
      <c r="D41" s="6" t="s">
        <v>18</v>
      </c>
      <c r="E41" s="7" t="s">
        <v>19</v>
      </c>
      <c r="F41" s="7" t="s">
        <v>20</v>
      </c>
      <c r="G41" s="7" t="s">
        <v>21</v>
      </c>
      <c r="H41" s="8">
        <v>88033</v>
      </c>
      <c r="I41" s="8">
        <v>3553104</v>
      </c>
      <c r="J41" s="32">
        <v>44075</v>
      </c>
      <c r="K41" s="33" t="s">
        <v>22</v>
      </c>
      <c r="L41" s="34" t="s">
        <v>32</v>
      </c>
      <c r="M41" s="35"/>
    </row>
    <row r="42" spans="2:13">
      <c r="B42" s="4">
        <v>40</v>
      </c>
      <c r="C42" s="5" t="s">
        <v>2</v>
      </c>
      <c r="D42" s="8" t="s">
        <v>18</v>
      </c>
      <c r="E42" s="8" t="s">
        <v>19</v>
      </c>
      <c r="F42" s="8" t="s">
        <v>64</v>
      </c>
      <c r="G42" s="8" t="s">
        <v>65</v>
      </c>
      <c r="H42" s="8">
        <v>88034</v>
      </c>
      <c r="I42" s="8">
        <v>3553109</v>
      </c>
      <c r="J42" s="32">
        <v>44075</v>
      </c>
      <c r="K42" s="33" t="s">
        <v>22</v>
      </c>
      <c r="L42" s="34" t="s">
        <v>32</v>
      </c>
      <c r="M42" s="35"/>
    </row>
    <row r="43" spans="2:13">
      <c r="B43" s="4">
        <v>41</v>
      </c>
      <c r="C43" s="5" t="s">
        <v>2</v>
      </c>
      <c r="D43" s="9" t="s">
        <v>33</v>
      </c>
      <c r="E43" s="8" t="s">
        <v>66</v>
      </c>
      <c r="F43" s="8" t="s">
        <v>67</v>
      </c>
      <c r="G43" s="8" t="s">
        <v>68</v>
      </c>
      <c r="H43" s="8">
        <v>88149</v>
      </c>
      <c r="I43" s="8">
        <v>3624031</v>
      </c>
      <c r="J43" s="32">
        <v>44075</v>
      </c>
      <c r="K43" s="33" t="s">
        <v>22</v>
      </c>
      <c r="L43" s="34" t="s">
        <v>32</v>
      </c>
      <c r="M43" s="35"/>
    </row>
    <row r="44" spans="2:13">
      <c r="B44" s="4">
        <v>42</v>
      </c>
      <c r="C44" s="5" t="s">
        <v>2</v>
      </c>
      <c r="D44" s="9" t="s">
        <v>33</v>
      </c>
      <c r="E44" s="8" t="s">
        <v>66</v>
      </c>
      <c r="F44" s="8" t="s">
        <v>69</v>
      </c>
      <c r="G44" s="8" t="s">
        <v>70</v>
      </c>
      <c r="H44" s="8">
        <v>83904</v>
      </c>
      <c r="I44" s="8">
        <v>2657802</v>
      </c>
      <c r="J44" s="32">
        <v>44075</v>
      </c>
      <c r="K44" s="33" t="s">
        <v>22</v>
      </c>
      <c r="L44" s="34" t="s">
        <v>32</v>
      </c>
      <c r="M44" s="35"/>
    </row>
    <row r="45" spans="2:13">
      <c r="B45" s="4">
        <v>43</v>
      </c>
      <c r="C45" s="5" t="s">
        <v>2</v>
      </c>
      <c r="D45" s="9" t="s">
        <v>18</v>
      </c>
      <c r="E45" s="8" t="s">
        <v>19</v>
      </c>
      <c r="F45" s="8" t="s">
        <v>71</v>
      </c>
      <c r="G45" s="8" t="s">
        <v>72</v>
      </c>
      <c r="H45" s="8">
        <v>60260</v>
      </c>
      <c r="I45" s="8">
        <v>433236</v>
      </c>
      <c r="J45" s="32">
        <v>44075</v>
      </c>
      <c r="K45" s="33" t="s">
        <v>22</v>
      </c>
      <c r="L45" s="34" t="s">
        <v>52</v>
      </c>
      <c r="M45" s="35"/>
    </row>
    <row r="46" spans="2:13">
      <c r="B46" s="4">
        <v>44</v>
      </c>
      <c r="C46" s="5" t="s">
        <v>2</v>
      </c>
      <c r="D46" s="9" t="s">
        <v>33</v>
      </c>
      <c r="E46" s="8" t="s">
        <v>66</v>
      </c>
      <c r="F46" s="8" t="s">
        <v>69</v>
      </c>
      <c r="G46" s="8" t="s">
        <v>70</v>
      </c>
      <c r="H46" s="8">
        <v>83904</v>
      </c>
      <c r="I46" s="8">
        <v>2657802</v>
      </c>
      <c r="J46" s="32">
        <v>44075</v>
      </c>
      <c r="K46" s="33" t="s">
        <v>22</v>
      </c>
      <c r="L46" s="34" t="s">
        <v>52</v>
      </c>
      <c r="M46" s="35"/>
    </row>
    <row r="47" spans="2:13">
      <c r="B47" s="4">
        <v>45</v>
      </c>
      <c r="C47" s="5" t="s">
        <v>2</v>
      </c>
      <c r="D47" s="9" t="s">
        <v>33</v>
      </c>
      <c r="E47" s="8" t="s">
        <v>66</v>
      </c>
      <c r="F47" s="8" t="s">
        <v>73</v>
      </c>
      <c r="G47" s="8" t="s">
        <v>74</v>
      </c>
      <c r="H47" s="8">
        <v>88026</v>
      </c>
      <c r="I47" s="8">
        <v>3553083</v>
      </c>
      <c r="J47" s="32">
        <v>44075</v>
      </c>
      <c r="K47" s="33" t="s">
        <v>22</v>
      </c>
      <c r="L47" s="34" t="s">
        <v>52</v>
      </c>
      <c r="M47" s="35"/>
    </row>
    <row r="48" spans="2:13">
      <c r="B48" s="4">
        <v>46</v>
      </c>
      <c r="C48" s="5" t="s">
        <v>2</v>
      </c>
      <c r="D48" s="9" t="s">
        <v>18</v>
      </c>
      <c r="E48" s="8" t="s">
        <v>24</v>
      </c>
      <c r="F48" s="8" t="s">
        <v>57</v>
      </c>
      <c r="G48" s="8" t="s">
        <v>58</v>
      </c>
      <c r="H48" s="8">
        <v>83489</v>
      </c>
      <c r="I48" s="8">
        <v>2490376</v>
      </c>
      <c r="J48" s="32">
        <v>44075</v>
      </c>
      <c r="K48" s="33" t="s">
        <v>22</v>
      </c>
      <c r="L48" s="34" t="s">
        <v>52</v>
      </c>
      <c r="M48" s="35"/>
    </row>
    <row r="49" spans="2:13">
      <c r="B49" s="4">
        <v>47</v>
      </c>
      <c r="C49" s="5" t="s">
        <v>2</v>
      </c>
      <c r="D49" s="9" t="s">
        <v>59</v>
      </c>
      <c r="E49" s="8" t="s">
        <v>60</v>
      </c>
      <c r="F49" s="8" t="s">
        <v>61</v>
      </c>
      <c r="G49" s="8" t="s">
        <v>62</v>
      </c>
      <c r="H49" s="8">
        <v>87045</v>
      </c>
      <c r="I49" s="8">
        <v>3409666</v>
      </c>
      <c r="J49" s="32">
        <v>44075</v>
      </c>
      <c r="K49" s="33" t="s">
        <v>22</v>
      </c>
      <c r="L49" s="34" t="s">
        <v>63</v>
      </c>
      <c r="M49" s="35"/>
    </row>
    <row r="50" spans="2:13">
      <c r="B50" s="4">
        <v>48</v>
      </c>
      <c r="C50" s="5" t="s">
        <v>2</v>
      </c>
      <c r="D50" s="9" t="s">
        <v>18</v>
      </c>
      <c r="E50" s="8" t="s">
        <v>24</v>
      </c>
      <c r="F50" s="8" t="s">
        <v>57</v>
      </c>
      <c r="G50" s="8" t="s">
        <v>58</v>
      </c>
      <c r="H50" s="8">
        <v>83489</v>
      </c>
      <c r="I50" s="8">
        <v>2490376</v>
      </c>
      <c r="J50" s="32">
        <v>44075</v>
      </c>
      <c r="K50" s="33" t="s">
        <v>22</v>
      </c>
      <c r="L50" s="34" t="s">
        <v>63</v>
      </c>
      <c r="M50" s="35"/>
    </row>
    <row r="51" spans="2:13">
      <c r="B51" s="4">
        <v>49</v>
      </c>
      <c r="C51" s="5" t="s">
        <v>2</v>
      </c>
      <c r="D51" s="10"/>
      <c r="E51" s="10"/>
      <c r="F51" s="10"/>
      <c r="G51" s="10"/>
      <c r="H51" s="5"/>
      <c r="I51" s="5"/>
      <c r="J51" s="32">
        <v>44076</v>
      </c>
      <c r="K51" s="33" t="s">
        <v>22</v>
      </c>
      <c r="L51" s="34" t="s">
        <v>75</v>
      </c>
      <c r="M51" s="35"/>
    </row>
    <row r="52" spans="2:13">
      <c r="B52" s="4">
        <v>50</v>
      </c>
      <c r="C52" s="5" t="s">
        <v>2</v>
      </c>
      <c r="D52" s="9" t="s">
        <v>59</v>
      </c>
      <c r="E52" s="8" t="s">
        <v>60</v>
      </c>
      <c r="F52" s="8" t="s">
        <v>76</v>
      </c>
      <c r="G52" s="8" t="s">
        <v>77</v>
      </c>
      <c r="H52" s="8">
        <v>87054</v>
      </c>
      <c r="I52" s="8">
        <v>3409729</v>
      </c>
      <c r="J52" s="32">
        <v>44076</v>
      </c>
      <c r="K52" s="33" t="s">
        <v>22</v>
      </c>
      <c r="L52" s="34" t="s">
        <v>75</v>
      </c>
      <c r="M52" s="35"/>
    </row>
    <row r="53" spans="2:13">
      <c r="B53" s="4">
        <v>51</v>
      </c>
      <c r="C53" s="5" t="s">
        <v>2</v>
      </c>
      <c r="D53" s="10"/>
      <c r="E53" s="10"/>
      <c r="F53" s="10"/>
      <c r="G53" s="10"/>
      <c r="H53" s="5"/>
      <c r="I53" s="5"/>
      <c r="J53" s="32">
        <v>44076</v>
      </c>
      <c r="K53" s="33" t="s">
        <v>22</v>
      </c>
      <c r="L53" s="34" t="s">
        <v>75</v>
      </c>
      <c r="M53" s="35"/>
    </row>
    <row r="54" spans="2:13">
      <c r="B54" s="4">
        <v>52</v>
      </c>
      <c r="C54" s="5" t="s">
        <v>2</v>
      </c>
      <c r="D54" s="10"/>
      <c r="E54" s="10"/>
      <c r="F54" s="10"/>
      <c r="G54" s="10"/>
      <c r="H54" s="5"/>
      <c r="I54" s="5"/>
      <c r="J54" s="32">
        <v>44076</v>
      </c>
      <c r="K54" s="33" t="s">
        <v>22</v>
      </c>
      <c r="L54" s="34" t="s">
        <v>75</v>
      </c>
      <c r="M54" s="35"/>
    </row>
    <row r="55" spans="2:13">
      <c r="B55" s="4">
        <v>53</v>
      </c>
      <c r="C55" s="5" t="s">
        <v>2</v>
      </c>
      <c r="D55" s="10"/>
      <c r="E55" s="10"/>
      <c r="F55" s="10"/>
      <c r="G55" s="10"/>
      <c r="H55" s="5"/>
      <c r="I55" s="5"/>
      <c r="J55" s="32">
        <v>44076</v>
      </c>
      <c r="K55" s="33" t="s">
        <v>22</v>
      </c>
      <c r="L55" s="34" t="s">
        <v>75</v>
      </c>
      <c r="M55" s="35"/>
    </row>
    <row r="56" spans="2:13">
      <c r="B56" s="4">
        <v>54</v>
      </c>
      <c r="C56" s="5" t="s">
        <v>2</v>
      </c>
      <c r="D56" s="9" t="s">
        <v>59</v>
      </c>
      <c r="E56" s="8" t="s">
        <v>60</v>
      </c>
      <c r="F56" s="8" t="s">
        <v>76</v>
      </c>
      <c r="G56" s="8" t="s">
        <v>77</v>
      </c>
      <c r="H56" s="8">
        <v>87054</v>
      </c>
      <c r="I56" s="8">
        <v>3409729</v>
      </c>
      <c r="J56" s="32">
        <v>44076</v>
      </c>
      <c r="K56" s="33" t="s">
        <v>22</v>
      </c>
      <c r="L56" s="34" t="s">
        <v>78</v>
      </c>
      <c r="M56" s="35"/>
    </row>
    <row r="57" spans="2:13">
      <c r="B57" s="4">
        <v>55</v>
      </c>
      <c r="C57" s="5" t="s">
        <v>2</v>
      </c>
      <c r="D57" s="10"/>
      <c r="E57" s="10"/>
      <c r="F57" s="10"/>
      <c r="G57" s="10"/>
      <c r="H57" s="5"/>
      <c r="I57" s="5"/>
      <c r="J57" s="32">
        <v>44076</v>
      </c>
      <c r="K57" s="33" t="s">
        <v>22</v>
      </c>
      <c r="L57" s="34" t="s">
        <v>78</v>
      </c>
      <c r="M57" s="35"/>
    </row>
    <row r="58" spans="2:13">
      <c r="B58" s="4">
        <v>56</v>
      </c>
      <c r="C58" s="5" t="s">
        <v>2</v>
      </c>
      <c r="D58" s="10"/>
      <c r="E58" s="10"/>
      <c r="F58" s="10"/>
      <c r="G58" s="10"/>
      <c r="H58" s="5"/>
      <c r="I58" s="5"/>
      <c r="J58" s="32">
        <v>44076</v>
      </c>
      <c r="K58" s="33" t="s">
        <v>22</v>
      </c>
      <c r="L58" s="34" t="s">
        <v>78</v>
      </c>
      <c r="M58" s="35"/>
    </row>
    <row r="59" spans="2:13">
      <c r="B59" s="4">
        <v>57</v>
      </c>
      <c r="C59" s="5" t="s">
        <v>2</v>
      </c>
      <c r="D59" s="10"/>
      <c r="E59" s="10"/>
      <c r="F59" s="10"/>
      <c r="G59" s="10"/>
      <c r="H59" s="5"/>
      <c r="I59" s="5"/>
      <c r="J59" s="32">
        <v>44076</v>
      </c>
      <c r="K59" s="33" t="s">
        <v>22</v>
      </c>
      <c r="L59" s="34" t="s">
        <v>78</v>
      </c>
      <c r="M59" s="35"/>
    </row>
    <row r="60" spans="2:13">
      <c r="B60" s="4">
        <v>58</v>
      </c>
      <c r="C60" s="5" t="s">
        <v>2</v>
      </c>
      <c r="D60" s="10"/>
      <c r="E60" s="10"/>
      <c r="F60" s="10"/>
      <c r="G60" s="10"/>
      <c r="H60" s="5"/>
      <c r="I60" s="5"/>
      <c r="J60" s="32">
        <v>44076</v>
      </c>
      <c r="K60" s="33" t="s">
        <v>22</v>
      </c>
      <c r="L60" s="34" t="s">
        <v>78</v>
      </c>
      <c r="M60" s="35"/>
    </row>
    <row r="61" spans="2:13">
      <c r="B61" s="4">
        <v>59</v>
      </c>
      <c r="C61" s="5" t="s">
        <v>2</v>
      </c>
      <c r="D61" s="8" t="s">
        <v>18</v>
      </c>
      <c r="E61" s="8" t="s">
        <v>19</v>
      </c>
      <c r="F61" s="8" t="s">
        <v>64</v>
      </c>
      <c r="G61" s="8" t="s">
        <v>65</v>
      </c>
      <c r="H61" s="8">
        <v>88034</v>
      </c>
      <c r="I61" s="8">
        <v>3553109</v>
      </c>
      <c r="J61" s="32">
        <v>44076</v>
      </c>
      <c r="K61" s="33" t="s">
        <v>22</v>
      </c>
      <c r="L61" s="34" t="s">
        <v>23</v>
      </c>
      <c r="M61" s="35"/>
    </row>
    <row r="62" spans="2:13">
      <c r="B62" s="4">
        <v>60</v>
      </c>
      <c r="C62" s="5" t="s">
        <v>2</v>
      </c>
      <c r="D62" s="9" t="s">
        <v>33</v>
      </c>
      <c r="E62" s="8" t="s">
        <v>66</v>
      </c>
      <c r="F62" s="8" t="s">
        <v>67</v>
      </c>
      <c r="G62" s="8" t="s">
        <v>68</v>
      </c>
      <c r="H62" s="8">
        <v>88149</v>
      </c>
      <c r="I62" s="8">
        <v>3624031</v>
      </c>
      <c r="J62" s="32">
        <v>44076</v>
      </c>
      <c r="K62" s="33" t="s">
        <v>22</v>
      </c>
      <c r="L62" s="34" t="s">
        <v>23</v>
      </c>
      <c r="M62" s="35"/>
    </row>
    <row r="63" spans="2:13">
      <c r="B63" s="4">
        <v>61</v>
      </c>
      <c r="C63" s="5" t="s">
        <v>2</v>
      </c>
      <c r="D63" s="8" t="s">
        <v>18</v>
      </c>
      <c r="E63" s="8" t="s">
        <v>19</v>
      </c>
      <c r="F63" s="8" t="s">
        <v>64</v>
      </c>
      <c r="G63" s="8" t="s">
        <v>65</v>
      </c>
      <c r="H63" s="8">
        <v>88034</v>
      </c>
      <c r="I63" s="8">
        <v>3553109</v>
      </c>
      <c r="J63" s="32">
        <v>44076</v>
      </c>
      <c r="K63" s="33" t="s">
        <v>22</v>
      </c>
      <c r="L63" s="34" t="s">
        <v>32</v>
      </c>
      <c r="M63" s="35"/>
    </row>
    <row r="64" spans="2:13">
      <c r="B64" s="4">
        <v>62</v>
      </c>
      <c r="C64" s="5" t="s">
        <v>2</v>
      </c>
      <c r="D64" s="9" t="s">
        <v>33</v>
      </c>
      <c r="E64" s="8" t="s">
        <v>66</v>
      </c>
      <c r="F64" s="8" t="s">
        <v>67</v>
      </c>
      <c r="G64" s="8" t="s">
        <v>68</v>
      </c>
      <c r="H64" s="8">
        <v>88149</v>
      </c>
      <c r="I64" s="8">
        <v>3624031</v>
      </c>
      <c r="J64" s="32">
        <v>44076</v>
      </c>
      <c r="K64" s="33" t="s">
        <v>22</v>
      </c>
      <c r="L64" s="34" t="s">
        <v>32</v>
      </c>
      <c r="M64" s="35"/>
    </row>
    <row r="65" spans="2:13">
      <c r="B65" s="4">
        <v>63</v>
      </c>
      <c r="C65" s="5" t="s">
        <v>2</v>
      </c>
      <c r="D65" s="9" t="s">
        <v>33</v>
      </c>
      <c r="E65" s="8" t="s">
        <v>66</v>
      </c>
      <c r="F65" s="8" t="s">
        <v>79</v>
      </c>
      <c r="G65" s="8" t="s">
        <v>80</v>
      </c>
      <c r="H65" s="8">
        <v>88155</v>
      </c>
      <c r="I65" s="8">
        <v>3624072</v>
      </c>
      <c r="J65" s="32">
        <v>44076</v>
      </c>
      <c r="K65" s="33" t="s">
        <v>22</v>
      </c>
      <c r="L65" s="34" t="s">
        <v>32</v>
      </c>
      <c r="M65" s="35"/>
    </row>
    <row r="66" spans="2:13">
      <c r="B66" s="4">
        <v>64</v>
      </c>
      <c r="C66" s="5" t="s">
        <v>2</v>
      </c>
      <c r="D66" s="9" t="s">
        <v>33</v>
      </c>
      <c r="E66" s="8" t="s">
        <v>66</v>
      </c>
      <c r="F66" s="8" t="s">
        <v>73</v>
      </c>
      <c r="G66" s="8" t="s">
        <v>74</v>
      </c>
      <c r="H66" s="8">
        <v>88026</v>
      </c>
      <c r="I66" s="8">
        <v>3553083</v>
      </c>
      <c r="J66" s="32">
        <v>44076</v>
      </c>
      <c r="K66" s="33" t="s">
        <v>22</v>
      </c>
      <c r="L66" s="34" t="s">
        <v>32</v>
      </c>
      <c r="M66" s="35"/>
    </row>
    <row r="67" spans="2:13">
      <c r="B67" s="4">
        <v>65</v>
      </c>
      <c r="C67" s="5" t="s">
        <v>2</v>
      </c>
      <c r="D67" s="9" t="s">
        <v>33</v>
      </c>
      <c r="E67" s="8" t="s">
        <v>66</v>
      </c>
      <c r="F67" s="8" t="s">
        <v>69</v>
      </c>
      <c r="G67" s="8" t="s">
        <v>70</v>
      </c>
      <c r="H67" s="8">
        <v>83904</v>
      </c>
      <c r="I67" s="8">
        <v>2657802</v>
      </c>
      <c r="J67" s="32">
        <v>44076</v>
      </c>
      <c r="K67" s="33" t="s">
        <v>22</v>
      </c>
      <c r="L67" s="34" t="s">
        <v>32</v>
      </c>
      <c r="M67" s="35"/>
    </row>
    <row r="68" spans="2:13">
      <c r="B68" s="4">
        <v>66</v>
      </c>
      <c r="C68" s="5" t="s">
        <v>2</v>
      </c>
      <c r="D68" s="9" t="s">
        <v>18</v>
      </c>
      <c r="E68" s="8" t="s">
        <v>24</v>
      </c>
      <c r="F68" s="8" t="s">
        <v>57</v>
      </c>
      <c r="G68" s="8" t="s">
        <v>58</v>
      </c>
      <c r="H68" s="8">
        <v>83489</v>
      </c>
      <c r="I68" s="8">
        <v>2490376</v>
      </c>
      <c r="J68" s="32">
        <v>44076</v>
      </c>
      <c r="K68" s="33" t="s">
        <v>22</v>
      </c>
      <c r="L68" s="34" t="s">
        <v>32</v>
      </c>
      <c r="M68" s="35"/>
    </row>
    <row r="69" spans="2:13">
      <c r="B69" s="4">
        <v>67</v>
      </c>
      <c r="C69" s="5" t="s">
        <v>2</v>
      </c>
      <c r="D69" s="9" t="s">
        <v>18</v>
      </c>
      <c r="E69" s="8" t="s">
        <v>19</v>
      </c>
      <c r="F69" s="8" t="s">
        <v>71</v>
      </c>
      <c r="G69" s="8" t="s">
        <v>72</v>
      </c>
      <c r="H69" s="8">
        <v>60260</v>
      </c>
      <c r="I69" s="8">
        <v>433236</v>
      </c>
      <c r="J69" s="32">
        <v>44076</v>
      </c>
      <c r="K69" s="33" t="s">
        <v>22</v>
      </c>
      <c r="L69" s="34" t="s">
        <v>52</v>
      </c>
      <c r="M69" s="35"/>
    </row>
    <row r="70" spans="2:13">
      <c r="B70" s="4">
        <v>68</v>
      </c>
      <c r="C70" s="5" t="s">
        <v>2</v>
      </c>
      <c r="D70" s="9" t="s">
        <v>33</v>
      </c>
      <c r="E70" s="8" t="s">
        <v>66</v>
      </c>
      <c r="F70" s="8" t="s">
        <v>69</v>
      </c>
      <c r="G70" s="8" t="s">
        <v>70</v>
      </c>
      <c r="H70" s="8">
        <v>83904</v>
      </c>
      <c r="I70" s="8">
        <v>2657802</v>
      </c>
      <c r="J70" s="32">
        <v>44076</v>
      </c>
      <c r="K70" s="33" t="s">
        <v>22</v>
      </c>
      <c r="L70" s="34" t="s">
        <v>52</v>
      </c>
      <c r="M70" s="35"/>
    </row>
    <row r="71" spans="2:13">
      <c r="B71" s="4">
        <v>69</v>
      </c>
      <c r="C71" s="5" t="s">
        <v>2</v>
      </c>
      <c r="D71" s="9" t="s">
        <v>33</v>
      </c>
      <c r="E71" s="8" t="s">
        <v>66</v>
      </c>
      <c r="F71" s="8" t="s">
        <v>73</v>
      </c>
      <c r="G71" s="8" t="s">
        <v>74</v>
      </c>
      <c r="H71" s="8">
        <v>88026</v>
      </c>
      <c r="I71" s="8">
        <v>3553083</v>
      </c>
      <c r="J71" s="32">
        <v>44076</v>
      </c>
      <c r="K71" s="33" t="s">
        <v>22</v>
      </c>
      <c r="L71" s="34" t="s">
        <v>52</v>
      </c>
      <c r="M71" s="35"/>
    </row>
    <row r="72" spans="2:13">
      <c r="B72" s="4">
        <v>70</v>
      </c>
      <c r="C72" s="5" t="s">
        <v>2</v>
      </c>
      <c r="D72" s="9" t="s">
        <v>18</v>
      </c>
      <c r="E72" s="8" t="s">
        <v>24</v>
      </c>
      <c r="F72" s="8" t="s">
        <v>57</v>
      </c>
      <c r="G72" s="8" t="s">
        <v>58</v>
      </c>
      <c r="H72" s="8">
        <v>83489</v>
      </c>
      <c r="I72" s="8">
        <v>2490376</v>
      </c>
      <c r="J72" s="32">
        <v>44076</v>
      </c>
      <c r="K72" s="33" t="s">
        <v>22</v>
      </c>
      <c r="L72" s="34" t="s">
        <v>52</v>
      </c>
      <c r="M72" s="35"/>
    </row>
    <row r="73" spans="2:13">
      <c r="B73" s="4">
        <v>71</v>
      </c>
      <c r="C73" s="5" t="s">
        <v>2</v>
      </c>
      <c r="D73" s="9" t="s">
        <v>59</v>
      </c>
      <c r="E73" s="8" t="s">
        <v>60</v>
      </c>
      <c r="F73" s="8" t="s">
        <v>76</v>
      </c>
      <c r="G73" s="8" t="s">
        <v>77</v>
      </c>
      <c r="H73" s="8">
        <v>87054</v>
      </c>
      <c r="I73" s="8">
        <v>3409729</v>
      </c>
      <c r="J73" s="32">
        <v>44077</v>
      </c>
      <c r="K73" s="33" t="s">
        <v>22</v>
      </c>
      <c r="L73" s="34" t="s">
        <v>75</v>
      </c>
      <c r="M73" s="35"/>
    </row>
    <row r="74" spans="2:13">
      <c r="B74" s="4">
        <v>72</v>
      </c>
      <c r="C74" s="5" t="s">
        <v>2</v>
      </c>
      <c r="D74" s="9" t="s">
        <v>59</v>
      </c>
      <c r="E74" s="8" t="s">
        <v>60</v>
      </c>
      <c r="F74" s="8" t="s">
        <v>61</v>
      </c>
      <c r="G74" s="8" t="s">
        <v>62</v>
      </c>
      <c r="H74" s="8">
        <v>87045</v>
      </c>
      <c r="I74" s="8">
        <v>3409666</v>
      </c>
      <c r="J74" s="32">
        <v>44077</v>
      </c>
      <c r="K74" s="33" t="s">
        <v>22</v>
      </c>
      <c r="L74" s="34" t="s">
        <v>75</v>
      </c>
      <c r="M74" s="35"/>
    </row>
    <row r="75" spans="2:13">
      <c r="B75" s="4">
        <v>73</v>
      </c>
      <c r="C75" s="5" t="s">
        <v>2</v>
      </c>
      <c r="D75" s="10"/>
      <c r="E75" s="10"/>
      <c r="F75" s="10"/>
      <c r="G75" s="10"/>
      <c r="H75" s="5"/>
      <c r="I75" s="5"/>
      <c r="J75" s="32">
        <v>44077</v>
      </c>
      <c r="K75" s="33" t="s">
        <v>22</v>
      </c>
      <c r="L75" s="34" t="s">
        <v>75</v>
      </c>
      <c r="M75" s="35"/>
    </row>
    <row r="76" spans="2:13">
      <c r="B76" s="4">
        <v>74</v>
      </c>
      <c r="C76" s="5" t="s">
        <v>2</v>
      </c>
      <c r="D76" s="10"/>
      <c r="E76" s="10"/>
      <c r="F76" s="10"/>
      <c r="G76" s="10"/>
      <c r="H76" s="5"/>
      <c r="I76" s="5"/>
      <c r="J76" s="32">
        <v>44077</v>
      </c>
      <c r="K76" s="33" t="s">
        <v>22</v>
      </c>
      <c r="L76" s="34" t="s">
        <v>75</v>
      </c>
      <c r="M76" s="35"/>
    </row>
    <row r="77" spans="2:13">
      <c r="B77" s="4">
        <v>75</v>
      </c>
      <c r="C77" s="5" t="s">
        <v>2</v>
      </c>
      <c r="D77" s="10"/>
      <c r="E77" s="10"/>
      <c r="F77" s="10"/>
      <c r="G77" s="10"/>
      <c r="H77" s="5"/>
      <c r="I77" s="5"/>
      <c r="J77" s="32">
        <v>44077</v>
      </c>
      <c r="K77" s="33" t="s">
        <v>22</v>
      </c>
      <c r="L77" s="34" t="s">
        <v>75</v>
      </c>
      <c r="M77" s="35"/>
    </row>
    <row r="78" spans="2:13">
      <c r="B78" s="4">
        <v>76</v>
      </c>
      <c r="C78" s="5" t="s">
        <v>2</v>
      </c>
      <c r="D78" s="9" t="s">
        <v>59</v>
      </c>
      <c r="E78" s="8" t="s">
        <v>60</v>
      </c>
      <c r="F78" s="8" t="s">
        <v>76</v>
      </c>
      <c r="G78" s="8" t="s">
        <v>77</v>
      </c>
      <c r="H78" s="8">
        <v>87054</v>
      </c>
      <c r="I78" s="8">
        <v>3409729</v>
      </c>
      <c r="J78" s="32">
        <v>44077</v>
      </c>
      <c r="K78" s="33" t="s">
        <v>22</v>
      </c>
      <c r="L78" s="34" t="s">
        <v>78</v>
      </c>
      <c r="M78" s="35"/>
    </row>
    <row r="79" spans="2:13">
      <c r="B79" s="4">
        <v>77</v>
      </c>
      <c r="C79" s="5" t="s">
        <v>2</v>
      </c>
      <c r="D79" s="9" t="s">
        <v>59</v>
      </c>
      <c r="E79" s="8" t="s">
        <v>60</v>
      </c>
      <c r="F79" s="8" t="s">
        <v>61</v>
      </c>
      <c r="G79" s="8" t="s">
        <v>62</v>
      </c>
      <c r="H79" s="8">
        <v>87045</v>
      </c>
      <c r="I79" s="8">
        <v>3409666</v>
      </c>
      <c r="J79" s="32">
        <v>44077</v>
      </c>
      <c r="K79" s="33" t="s">
        <v>22</v>
      </c>
      <c r="L79" s="34" t="s">
        <v>78</v>
      </c>
      <c r="M79" s="35"/>
    </row>
    <row r="80" spans="2:13">
      <c r="B80" s="4">
        <v>78</v>
      </c>
      <c r="C80" s="5" t="s">
        <v>2</v>
      </c>
      <c r="D80" s="10"/>
      <c r="E80" s="10"/>
      <c r="F80" s="10"/>
      <c r="G80" s="10"/>
      <c r="H80" s="5"/>
      <c r="I80" s="5"/>
      <c r="J80" s="32">
        <v>44077</v>
      </c>
      <c r="K80" s="33" t="s">
        <v>22</v>
      </c>
      <c r="L80" s="34" t="s">
        <v>78</v>
      </c>
      <c r="M80" s="35"/>
    </row>
    <row r="81" spans="2:13">
      <c r="B81" s="4">
        <v>79</v>
      </c>
      <c r="C81" s="5" t="s">
        <v>2</v>
      </c>
      <c r="D81" s="10"/>
      <c r="E81" s="10"/>
      <c r="F81" s="10"/>
      <c r="G81" s="10"/>
      <c r="H81" s="5"/>
      <c r="I81" s="5"/>
      <c r="J81" s="32">
        <v>44077</v>
      </c>
      <c r="K81" s="33" t="s">
        <v>22</v>
      </c>
      <c r="L81" s="34" t="s">
        <v>78</v>
      </c>
      <c r="M81" s="35"/>
    </row>
    <row r="82" spans="2:13">
      <c r="B82" s="4">
        <v>80</v>
      </c>
      <c r="C82" s="5" t="s">
        <v>2</v>
      </c>
      <c r="D82" s="10"/>
      <c r="E82" s="10"/>
      <c r="F82" s="10"/>
      <c r="G82" s="10"/>
      <c r="H82" s="5"/>
      <c r="I82" s="5"/>
      <c r="J82" s="32">
        <v>44077</v>
      </c>
      <c r="K82" s="33" t="s">
        <v>22</v>
      </c>
      <c r="L82" s="34" t="s">
        <v>78</v>
      </c>
      <c r="M82" s="35"/>
    </row>
    <row r="83" spans="2:13">
      <c r="B83" s="4">
        <v>81</v>
      </c>
      <c r="C83" s="5" t="s">
        <v>2</v>
      </c>
      <c r="D83" s="6" t="s">
        <v>18</v>
      </c>
      <c r="E83" s="7" t="s">
        <v>19</v>
      </c>
      <c r="F83" s="7" t="s">
        <v>20</v>
      </c>
      <c r="G83" s="7" t="s">
        <v>21</v>
      </c>
      <c r="H83" s="8">
        <v>88033</v>
      </c>
      <c r="I83" s="8">
        <v>3553104</v>
      </c>
      <c r="J83" s="32">
        <v>44077</v>
      </c>
      <c r="K83" s="33" t="s">
        <v>22</v>
      </c>
      <c r="L83" s="34" t="s">
        <v>23</v>
      </c>
      <c r="M83" s="35"/>
    </row>
    <row r="84" spans="2:13">
      <c r="B84" s="4">
        <v>82</v>
      </c>
      <c r="C84" s="5" t="s">
        <v>2</v>
      </c>
      <c r="D84" s="8" t="s">
        <v>18</v>
      </c>
      <c r="E84" s="8" t="s">
        <v>19</v>
      </c>
      <c r="F84" s="8" t="s">
        <v>64</v>
      </c>
      <c r="G84" s="8" t="s">
        <v>65</v>
      </c>
      <c r="H84" s="8">
        <v>88034</v>
      </c>
      <c r="I84" s="8">
        <v>3553109</v>
      </c>
      <c r="J84" s="32">
        <v>44077</v>
      </c>
      <c r="K84" s="33" t="s">
        <v>22</v>
      </c>
      <c r="L84" s="34" t="s">
        <v>23</v>
      </c>
      <c r="M84" s="35"/>
    </row>
    <row r="85" spans="2:13">
      <c r="B85" s="4">
        <v>83</v>
      </c>
      <c r="C85" s="5" t="s">
        <v>2</v>
      </c>
      <c r="D85" s="6" t="s">
        <v>18</v>
      </c>
      <c r="E85" s="7" t="s">
        <v>19</v>
      </c>
      <c r="F85" s="7" t="s">
        <v>20</v>
      </c>
      <c r="G85" s="7" t="s">
        <v>21</v>
      </c>
      <c r="H85" s="8">
        <v>88033</v>
      </c>
      <c r="I85" s="8">
        <v>3553104</v>
      </c>
      <c r="J85" s="32">
        <v>44077</v>
      </c>
      <c r="K85" s="33" t="s">
        <v>22</v>
      </c>
      <c r="L85" s="34" t="s">
        <v>32</v>
      </c>
      <c r="M85" s="35"/>
    </row>
    <row r="86" spans="2:13">
      <c r="B86" s="4">
        <v>84</v>
      </c>
      <c r="C86" s="5" t="s">
        <v>2</v>
      </c>
      <c r="D86" s="8" t="s">
        <v>18</v>
      </c>
      <c r="E86" s="8" t="s">
        <v>19</v>
      </c>
      <c r="F86" s="8" t="s">
        <v>64</v>
      </c>
      <c r="G86" s="8" t="s">
        <v>65</v>
      </c>
      <c r="H86" s="8">
        <v>88034</v>
      </c>
      <c r="I86" s="8">
        <v>3553109</v>
      </c>
      <c r="J86" s="32">
        <v>44077</v>
      </c>
      <c r="K86" s="33" t="s">
        <v>22</v>
      </c>
      <c r="L86" s="34" t="s">
        <v>32</v>
      </c>
      <c r="M86" s="35"/>
    </row>
    <row r="87" spans="2:13">
      <c r="B87" s="4">
        <v>85</v>
      </c>
      <c r="C87" s="5" t="s">
        <v>2</v>
      </c>
      <c r="D87" s="9" t="s">
        <v>33</v>
      </c>
      <c r="E87" s="26" t="s">
        <v>66</v>
      </c>
      <c r="F87" s="26" t="s">
        <v>79</v>
      </c>
      <c r="G87" s="26" t="s">
        <v>80</v>
      </c>
      <c r="H87" s="26">
        <v>88155</v>
      </c>
      <c r="I87" s="26">
        <v>3624072</v>
      </c>
      <c r="J87" s="32">
        <v>44077</v>
      </c>
      <c r="K87" s="33" t="s">
        <v>22</v>
      </c>
      <c r="L87" s="34" t="s">
        <v>32</v>
      </c>
      <c r="M87" s="35"/>
    </row>
    <row r="88" spans="2:13">
      <c r="B88" s="4">
        <v>86</v>
      </c>
      <c r="C88" s="5" t="s">
        <v>2</v>
      </c>
      <c r="D88" s="14" t="s">
        <v>18</v>
      </c>
      <c r="E88" s="15" t="s">
        <v>27</v>
      </c>
      <c r="F88" s="15" t="s">
        <v>30</v>
      </c>
      <c r="G88" s="15" t="s">
        <v>31</v>
      </c>
      <c r="H88" s="15">
        <v>86283</v>
      </c>
      <c r="I88" s="15">
        <v>3133256</v>
      </c>
      <c r="J88" s="36">
        <v>44077</v>
      </c>
      <c r="K88" s="33" t="s">
        <v>22</v>
      </c>
      <c r="L88" s="34" t="s">
        <v>32</v>
      </c>
      <c r="M88" s="35"/>
    </row>
    <row r="89" spans="2:13">
      <c r="B89" s="4">
        <v>87</v>
      </c>
      <c r="C89" s="5" t="s">
        <v>2</v>
      </c>
      <c r="D89" s="9" t="s">
        <v>33</v>
      </c>
      <c r="E89" s="25" t="s">
        <v>66</v>
      </c>
      <c r="F89" s="25" t="s">
        <v>69</v>
      </c>
      <c r="G89" s="25" t="s">
        <v>70</v>
      </c>
      <c r="H89" s="25">
        <v>83904</v>
      </c>
      <c r="I89" s="25">
        <v>2657802</v>
      </c>
      <c r="J89" s="32">
        <v>44077</v>
      </c>
      <c r="K89" s="33" t="s">
        <v>22</v>
      </c>
      <c r="L89" s="34" t="s">
        <v>32</v>
      </c>
      <c r="M89" s="35"/>
    </row>
    <row r="90" spans="2:13">
      <c r="B90" s="4">
        <v>88</v>
      </c>
      <c r="C90" s="5" t="s">
        <v>2</v>
      </c>
      <c r="D90" s="9" t="s">
        <v>33</v>
      </c>
      <c r="E90" s="8" t="s">
        <v>66</v>
      </c>
      <c r="F90" s="8" t="s">
        <v>73</v>
      </c>
      <c r="G90" s="8" t="s">
        <v>74</v>
      </c>
      <c r="H90" s="8">
        <v>88026</v>
      </c>
      <c r="I90" s="8">
        <v>3553083</v>
      </c>
      <c r="J90" s="32">
        <v>44077</v>
      </c>
      <c r="K90" s="33" t="s">
        <v>22</v>
      </c>
      <c r="L90" s="34" t="s">
        <v>32</v>
      </c>
      <c r="M90" s="35"/>
    </row>
    <row r="91" spans="2:13">
      <c r="B91" s="4">
        <v>89</v>
      </c>
      <c r="C91" s="5" t="s">
        <v>2</v>
      </c>
      <c r="D91" s="9" t="s">
        <v>18</v>
      </c>
      <c r="E91" s="8" t="s">
        <v>19</v>
      </c>
      <c r="F91" s="8" t="s">
        <v>71</v>
      </c>
      <c r="G91" s="8" t="s">
        <v>72</v>
      </c>
      <c r="H91" s="8">
        <v>60260</v>
      </c>
      <c r="I91" s="8">
        <v>433236</v>
      </c>
      <c r="J91" s="32">
        <v>44077</v>
      </c>
      <c r="K91" s="33" t="s">
        <v>22</v>
      </c>
      <c r="L91" s="34" t="s">
        <v>52</v>
      </c>
      <c r="M91" s="35"/>
    </row>
    <row r="92" spans="2:13">
      <c r="B92" s="4">
        <v>90</v>
      </c>
      <c r="C92" s="5" t="s">
        <v>2</v>
      </c>
      <c r="D92" s="9" t="s">
        <v>33</v>
      </c>
      <c r="E92" s="8" t="s">
        <v>66</v>
      </c>
      <c r="F92" s="8" t="s">
        <v>73</v>
      </c>
      <c r="G92" s="8" t="s">
        <v>74</v>
      </c>
      <c r="H92" s="8">
        <v>88026</v>
      </c>
      <c r="I92" s="8">
        <v>3553083</v>
      </c>
      <c r="J92" s="32">
        <v>44077</v>
      </c>
      <c r="K92" s="33" t="s">
        <v>22</v>
      </c>
      <c r="L92" s="34" t="s">
        <v>52</v>
      </c>
      <c r="M92" s="35"/>
    </row>
    <row r="93" spans="2:13">
      <c r="B93" s="4">
        <v>91</v>
      </c>
      <c r="C93" s="5" t="s">
        <v>2</v>
      </c>
      <c r="D93" s="9" t="s">
        <v>33</v>
      </c>
      <c r="E93" s="8" t="s">
        <v>66</v>
      </c>
      <c r="F93" s="8" t="s">
        <v>69</v>
      </c>
      <c r="G93" s="8" t="s">
        <v>70</v>
      </c>
      <c r="H93" s="8">
        <v>83904</v>
      </c>
      <c r="I93" s="8">
        <v>2657802</v>
      </c>
      <c r="J93" s="32">
        <v>44077</v>
      </c>
      <c r="K93" s="33" t="s">
        <v>22</v>
      </c>
      <c r="L93" s="34" t="s">
        <v>52</v>
      </c>
      <c r="M93" s="35"/>
    </row>
    <row r="94" spans="2:13">
      <c r="B94" s="4">
        <v>92</v>
      </c>
      <c r="C94" s="5" t="s">
        <v>2</v>
      </c>
      <c r="D94" s="9" t="s">
        <v>33</v>
      </c>
      <c r="E94" s="8" t="s">
        <v>66</v>
      </c>
      <c r="F94" s="8" t="s">
        <v>67</v>
      </c>
      <c r="G94" s="8" t="s">
        <v>68</v>
      </c>
      <c r="H94" s="8">
        <v>88149</v>
      </c>
      <c r="I94" s="8">
        <v>3624031</v>
      </c>
      <c r="J94" s="32">
        <v>44077</v>
      </c>
      <c r="K94" s="33" t="s">
        <v>22</v>
      </c>
      <c r="L94" s="34" t="s">
        <v>52</v>
      </c>
      <c r="M94" s="35"/>
    </row>
    <row r="95" spans="2:13">
      <c r="B95" s="4">
        <v>93</v>
      </c>
      <c r="C95" s="5" t="s">
        <v>2</v>
      </c>
      <c r="D95" s="9" t="s">
        <v>59</v>
      </c>
      <c r="E95" s="8" t="s">
        <v>60</v>
      </c>
      <c r="F95" s="8" t="s">
        <v>76</v>
      </c>
      <c r="G95" s="8" t="s">
        <v>77</v>
      </c>
      <c r="H95" s="8">
        <v>87054</v>
      </c>
      <c r="I95" s="8">
        <v>3409729</v>
      </c>
      <c r="J95" s="32">
        <v>44078</v>
      </c>
      <c r="K95" s="33" t="s">
        <v>22</v>
      </c>
      <c r="L95" s="34" t="s">
        <v>75</v>
      </c>
      <c r="M95" s="35"/>
    </row>
    <row r="96" spans="2:13">
      <c r="B96" s="4">
        <v>94</v>
      </c>
      <c r="C96" s="5" t="s">
        <v>2</v>
      </c>
      <c r="D96" s="10"/>
      <c r="E96" s="10"/>
      <c r="F96" s="10"/>
      <c r="G96" s="10"/>
      <c r="H96" s="5"/>
      <c r="I96" s="5"/>
      <c r="J96" s="32">
        <v>44078</v>
      </c>
      <c r="K96" s="33" t="s">
        <v>22</v>
      </c>
      <c r="L96" s="34" t="s">
        <v>75</v>
      </c>
      <c r="M96" s="35"/>
    </row>
    <row r="97" spans="2:13">
      <c r="B97" s="4">
        <v>95</v>
      </c>
      <c r="C97" s="5" t="s">
        <v>2</v>
      </c>
      <c r="D97" s="10"/>
      <c r="E97" s="10"/>
      <c r="F97" s="10"/>
      <c r="G97" s="10"/>
      <c r="H97" s="5"/>
      <c r="I97" s="5"/>
      <c r="J97" s="32">
        <v>44078</v>
      </c>
      <c r="K97" s="33" t="s">
        <v>22</v>
      </c>
      <c r="L97" s="34" t="s">
        <v>75</v>
      </c>
      <c r="M97" s="35"/>
    </row>
    <row r="98" spans="2:13">
      <c r="B98" s="4">
        <v>96</v>
      </c>
      <c r="C98" s="5" t="s">
        <v>2</v>
      </c>
      <c r="D98" s="10"/>
      <c r="E98" s="10"/>
      <c r="F98" s="10"/>
      <c r="G98" s="10"/>
      <c r="H98" s="5"/>
      <c r="I98" s="5"/>
      <c r="J98" s="32">
        <v>44078</v>
      </c>
      <c r="K98" s="33" t="s">
        <v>22</v>
      </c>
      <c r="L98" s="34" t="s">
        <v>75</v>
      </c>
      <c r="M98" s="35"/>
    </row>
    <row r="99" spans="2:13">
      <c r="B99" s="4">
        <v>97</v>
      </c>
      <c r="C99" s="5" t="s">
        <v>2</v>
      </c>
      <c r="D99" s="10"/>
      <c r="E99" s="10"/>
      <c r="F99" s="10"/>
      <c r="G99" s="10"/>
      <c r="H99" s="5"/>
      <c r="I99" s="5"/>
      <c r="J99" s="32">
        <v>44078</v>
      </c>
      <c r="K99" s="33" t="s">
        <v>22</v>
      </c>
      <c r="L99" s="34" t="s">
        <v>75</v>
      </c>
      <c r="M99" s="35"/>
    </row>
    <row r="100" spans="2:13">
      <c r="B100" s="4">
        <v>98</v>
      </c>
      <c r="C100" s="5" t="s">
        <v>2</v>
      </c>
      <c r="D100" s="10"/>
      <c r="E100" s="10"/>
      <c r="F100" s="10"/>
      <c r="G100" s="10"/>
      <c r="H100" s="5"/>
      <c r="I100" s="5"/>
      <c r="J100" s="32">
        <v>44078</v>
      </c>
      <c r="K100" s="33" t="s">
        <v>22</v>
      </c>
      <c r="L100" s="34" t="s">
        <v>75</v>
      </c>
      <c r="M100" s="35"/>
    </row>
    <row r="101" spans="2:13">
      <c r="B101" s="4">
        <v>99</v>
      </c>
      <c r="C101" s="5" t="s">
        <v>2</v>
      </c>
      <c r="D101" s="9" t="s">
        <v>59</v>
      </c>
      <c r="E101" s="8" t="s">
        <v>60</v>
      </c>
      <c r="F101" s="8" t="s">
        <v>76</v>
      </c>
      <c r="G101" s="8" t="s">
        <v>77</v>
      </c>
      <c r="H101" s="8">
        <v>87054</v>
      </c>
      <c r="I101" s="8">
        <v>3409729</v>
      </c>
      <c r="J101" s="32">
        <v>44078</v>
      </c>
      <c r="K101" s="33" t="s">
        <v>22</v>
      </c>
      <c r="L101" s="34" t="s">
        <v>78</v>
      </c>
      <c r="M101" s="35"/>
    </row>
    <row r="102" spans="2:13">
      <c r="B102" s="4">
        <v>100</v>
      </c>
      <c r="C102" s="5" t="s">
        <v>2</v>
      </c>
      <c r="D102" s="10"/>
      <c r="E102" s="10"/>
      <c r="F102" s="10"/>
      <c r="G102" s="10"/>
      <c r="H102" s="5"/>
      <c r="I102" s="5"/>
      <c r="J102" s="32">
        <v>44078</v>
      </c>
      <c r="K102" s="33" t="s">
        <v>22</v>
      </c>
      <c r="L102" s="34" t="s">
        <v>78</v>
      </c>
      <c r="M102" s="35"/>
    </row>
    <row r="103" spans="2:13">
      <c r="B103" s="4">
        <v>101</v>
      </c>
      <c r="C103" s="5" t="s">
        <v>2</v>
      </c>
      <c r="D103" s="10"/>
      <c r="E103" s="10"/>
      <c r="F103" s="10"/>
      <c r="G103" s="10"/>
      <c r="H103" s="5"/>
      <c r="I103" s="5"/>
      <c r="J103" s="32">
        <v>44078</v>
      </c>
      <c r="K103" s="33" t="s">
        <v>22</v>
      </c>
      <c r="L103" s="34" t="s">
        <v>78</v>
      </c>
      <c r="M103" s="35"/>
    </row>
    <row r="104" spans="2:13">
      <c r="B104" s="4">
        <v>102</v>
      </c>
      <c r="C104" s="5" t="s">
        <v>2</v>
      </c>
      <c r="D104" s="10"/>
      <c r="E104" s="10"/>
      <c r="F104" s="10"/>
      <c r="G104" s="10"/>
      <c r="H104" s="5"/>
      <c r="I104" s="5"/>
      <c r="J104" s="32">
        <v>44078</v>
      </c>
      <c r="K104" s="33" t="s">
        <v>22</v>
      </c>
      <c r="L104" s="34" t="s">
        <v>78</v>
      </c>
      <c r="M104" s="35"/>
    </row>
    <row r="105" spans="2:13">
      <c r="B105" s="4">
        <v>103</v>
      </c>
      <c r="C105" s="5" t="s">
        <v>2</v>
      </c>
      <c r="D105" s="10"/>
      <c r="E105" s="10"/>
      <c r="F105" s="10"/>
      <c r="G105" s="10"/>
      <c r="H105" s="5"/>
      <c r="I105" s="5"/>
      <c r="J105" s="32">
        <v>44078</v>
      </c>
      <c r="K105" s="33" t="s">
        <v>22</v>
      </c>
      <c r="L105" s="34" t="s">
        <v>78</v>
      </c>
      <c r="M105" s="35"/>
    </row>
    <row r="106" spans="2:13">
      <c r="B106" s="4">
        <v>104</v>
      </c>
      <c r="C106" s="5" t="s">
        <v>2</v>
      </c>
      <c r="D106" s="10"/>
      <c r="E106" s="10"/>
      <c r="F106" s="10"/>
      <c r="G106" s="10"/>
      <c r="H106" s="5"/>
      <c r="I106" s="5"/>
      <c r="J106" s="32">
        <v>44078</v>
      </c>
      <c r="K106" s="33" t="s">
        <v>22</v>
      </c>
      <c r="L106" s="34" t="s">
        <v>78</v>
      </c>
      <c r="M106" s="35"/>
    </row>
    <row r="107" spans="2:13">
      <c r="B107" s="4">
        <v>105</v>
      </c>
      <c r="C107" s="5" t="s">
        <v>2</v>
      </c>
      <c r="D107" s="6" t="s">
        <v>18</v>
      </c>
      <c r="E107" s="7" t="s">
        <v>19</v>
      </c>
      <c r="F107" s="7" t="s">
        <v>20</v>
      </c>
      <c r="G107" s="7" t="s">
        <v>21</v>
      </c>
      <c r="H107" s="8">
        <v>88033</v>
      </c>
      <c r="I107" s="8">
        <v>3553104</v>
      </c>
      <c r="J107" s="32">
        <v>44078</v>
      </c>
      <c r="K107" s="33" t="s">
        <v>22</v>
      </c>
      <c r="L107" s="34" t="s">
        <v>23</v>
      </c>
      <c r="M107" s="35"/>
    </row>
    <row r="108" spans="2:13">
      <c r="B108" s="4">
        <v>106</v>
      </c>
      <c r="C108" s="5" t="s">
        <v>2</v>
      </c>
      <c r="D108" s="8" t="s">
        <v>18</v>
      </c>
      <c r="E108" s="8" t="s">
        <v>19</v>
      </c>
      <c r="F108" s="8" t="s">
        <v>64</v>
      </c>
      <c r="G108" s="8" t="s">
        <v>65</v>
      </c>
      <c r="H108" s="8">
        <v>88034</v>
      </c>
      <c r="I108" s="8">
        <v>3553109</v>
      </c>
      <c r="J108" s="32">
        <v>44078</v>
      </c>
      <c r="K108" s="33" t="s">
        <v>22</v>
      </c>
      <c r="L108" s="34" t="s">
        <v>23</v>
      </c>
      <c r="M108" s="35"/>
    </row>
    <row r="109" spans="2:13">
      <c r="B109" s="4">
        <v>107</v>
      </c>
      <c r="C109" s="5" t="s">
        <v>2</v>
      </c>
      <c r="D109" s="6" t="s">
        <v>18</v>
      </c>
      <c r="E109" s="7" t="s">
        <v>19</v>
      </c>
      <c r="F109" s="7" t="s">
        <v>20</v>
      </c>
      <c r="G109" s="7" t="s">
        <v>21</v>
      </c>
      <c r="H109" s="8">
        <v>88033</v>
      </c>
      <c r="I109" s="8">
        <v>3553104</v>
      </c>
      <c r="J109" s="32">
        <v>44078</v>
      </c>
      <c r="K109" s="33" t="s">
        <v>22</v>
      </c>
      <c r="L109" s="34" t="s">
        <v>32</v>
      </c>
      <c r="M109" s="35"/>
    </row>
    <row r="110" spans="2:13">
      <c r="B110" s="4">
        <v>108</v>
      </c>
      <c r="C110" s="5" t="s">
        <v>2</v>
      </c>
      <c r="D110" s="8" t="s">
        <v>18</v>
      </c>
      <c r="E110" s="26" t="s">
        <v>19</v>
      </c>
      <c r="F110" s="26" t="s">
        <v>64</v>
      </c>
      <c r="G110" s="26" t="s">
        <v>65</v>
      </c>
      <c r="H110" s="26">
        <v>88034</v>
      </c>
      <c r="I110" s="26">
        <v>3553109</v>
      </c>
      <c r="J110" s="32">
        <v>44078</v>
      </c>
      <c r="K110" s="33" t="s">
        <v>22</v>
      </c>
      <c r="L110" s="34" t="s">
        <v>32</v>
      </c>
      <c r="M110" s="35"/>
    </row>
    <row r="111" spans="2:13">
      <c r="B111" s="4">
        <v>109</v>
      </c>
      <c r="C111" s="5" t="s">
        <v>2</v>
      </c>
      <c r="D111" s="14" t="s">
        <v>18</v>
      </c>
      <c r="E111" s="15" t="s">
        <v>27</v>
      </c>
      <c r="F111" s="15" t="s">
        <v>30</v>
      </c>
      <c r="G111" s="15" t="s">
        <v>31</v>
      </c>
      <c r="H111" s="15">
        <v>86283</v>
      </c>
      <c r="I111" s="15">
        <v>3133256</v>
      </c>
      <c r="J111" s="36">
        <v>44078</v>
      </c>
      <c r="K111" s="33" t="s">
        <v>22</v>
      </c>
      <c r="L111" s="34" t="s">
        <v>32</v>
      </c>
      <c r="M111" s="35"/>
    </row>
    <row r="112" spans="2:13">
      <c r="B112" s="4">
        <v>110</v>
      </c>
      <c r="C112" s="5" t="s">
        <v>2</v>
      </c>
      <c r="D112" s="9" t="s">
        <v>33</v>
      </c>
      <c r="E112" s="25" t="s">
        <v>66</v>
      </c>
      <c r="F112" s="25" t="s">
        <v>69</v>
      </c>
      <c r="G112" s="25" t="s">
        <v>70</v>
      </c>
      <c r="H112" s="25">
        <v>83904</v>
      </c>
      <c r="I112" s="25">
        <v>2657802</v>
      </c>
      <c r="J112" s="32">
        <v>44078</v>
      </c>
      <c r="K112" s="33" t="s">
        <v>22</v>
      </c>
      <c r="L112" s="34" t="s">
        <v>32</v>
      </c>
      <c r="M112" s="35"/>
    </row>
    <row r="113" spans="2:13">
      <c r="B113" s="4">
        <v>111</v>
      </c>
      <c r="C113" s="5" t="s">
        <v>2</v>
      </c>
      <c r="D113" s="9" t="s">
        <v>33</v>
      </c>
      <c r="E113" s="26" t="s">
        <v>66</v>
      </c>
      <c r="F113" s="26" t="s">
        <v>73</v>
      </c>
      <c r="G113" s="26" t="s">
        <v>74</v>
      </c>
      <c r="H113" s="26">
        <v>88026</v>
      </c>
      <c r="I113" s="26">
        <v>3553083</v>
      </c>
      <c r="J113" s="32">
        <v>44078</v>
      </c>
      <c r="K113" s="33" t="s">
        <v>22</v>
      </c>
      <c r="L113" s="34" t="s">
        <v>32</v>
      </c>
      <c r="M113" s="35"/>
    </row>
    <row r="114" spans="2:13">
      <c r="B114" s="4">
        <v>112</v>
      </c>
      <c r="C114" s="5" t="s">
        <v>2</v>
      </c>
      <c r="D114" s="14" t="s">
        <v>18</v>
      </c>
      <c r="E114" s="15" t="s">
        <v>27</v>
      </c>
      <c r="F114" s="15" t="s">
        <v>28</v>
      </c>
      <c r="G114" s="15" t="s">
        <v>29</v>
      </c>
      <c r="H114" s="15">
        <v>86343</v>
      </c>
      <c r="I114" s="15">
        <v>3138530</v>
      </c>
      <c r="J114" s="36">
        <v>44078</v>
      </c>
      <c r="K114" s="33" t="s">
        <v>22</v>
      </c>
      <c r="L114" s="34" t="s">
        <v>32</v>
      </c>
      <c r="M114" s="35"/>
    </row>
    <row r="115" spans="2:13">
      <c r="B115" s="4">
        <v>113</v>
      </c>
      <c r="C115" s="5" t="s">
        <v>2</v>
      </c>
      <c r="D115" s="9" t="s">
        <v>18</v>
      </c>
      <c r="E115" s="25" t="s">
        <v>19</v>
      </c>
      <c r="F115" s="25" t="s">
        <v>71</v>
      </c>
      <c r="G115" s="25" t="s">
        <v>72</v>
      </c>
      <c r="H115" s="25">
        <v>60260</v>
      </c>
      <c r="I115" s="25">
        <v>433236</v>
      </c>
      <c r="J115" s="32">
        <v>44078</v>
      </c>
      <c r="K115" s="33" t="s">
        <v>22</v>
      </c>
      <c r="L115" s="34" t="s">
        <v>52</v>
      </c>
      <c r="M115" s="35"/>
    </row>
    <row r="116" spans="2:13">
      <c r="B116" s="4">
        <v>114</v>
      </c>
      <c r="C116" s="5" t="s">
        <v>2</v>
      </c>
      <c r="D116" s="9" t="s">
        <v>33</v>
      </c>
      <c r="E116" s="8" t="s">
        <v>66</v>
      </c>
      <c r="F116" s="8" t="s">
        <v>79</v>
      </c>
      <c r="G116" s="8" t="s">
        <v>80</v>
      </c>
      <c r="H116" s="8">
        <v>88155</v>
      </c>
      <c r="I116" s="8">
        <v>3624072</v>
      </c>
      <c r="J116" s="32">
        <v>44078</v>
      </c>
      <c r="K116" s="33" t="s">
        <v>22</v>
      </c>
      <c r="L116" s="34" t="s">
        <v>52</v>
      </c>
      <c r="M116" s="35"/>
    </row>
    <row r="117" spans="2:13">
      <c r="B117" s="4">
        <v>115</v>
      </c>
      <c r="C117" s="5" t="s">
        <v>2</v>
      </c>
      <c r="D117" s="9" t="s">
        <v>33</v>
      </c>
      <c r="E117" s="8" t="s">
        <v>66</v>
      </c>
      <c r="F117" s="8" t="s">
        <v>73</v>
      </c>
      <c r="G117" s="8" t="s">
        <v>74</v>
      </c>
      <c r="H117" s="8">
        <v>88026</v>
      </c>
      <c r="I117" s="8">
        <v>3553083</v>
      </c>
      <c r="J117" s="32">
        <v>44078</v>
      </c>
      <c r="K117" s="33" t="s">
        <v>22</v>
      </c>
      <c r="L117" s="34" t="s">
        <v>52</v>
      </c>
      <c r="M117" s="35"/>
    </row>
    <row r="118" ht="15.75" spans="2:13">
      <c r="B118" s="37">
        <v>116</v>
      </c>
      <c r="C118" s="38" t="s">
        <v>2</v>
      </c>
      <c r="D118" s="9" t="s">
        <v>33</v>
      </c>
      <c r="E118" s="8" t="s">
        <v>66</v>
      </c>
      <c r="F118" s="8" t="s">
        <v>69</v>
      </c>
      <c r="G118" s="8" t="s">
        <v>70</v>
      </c>
      <c r="H118" s="8">
        <v>83904</v>
      </c>
      <c r="I118" s="8">
        <v>2657802</v>
      </c>
      <c r="J118" s="39">
        <v>44078</v>
      </c>
      <c r="K118" s="40" t="s">
        <v>22</v>
      </c>
      <c r="L118" s="41" t="s">
        <v>52</v>
      </c>
      <c r="M118" s="42"/>
    </row>
    <row r="119"/>
  </sheetData>
  <conditionalFormatting sqref="D3:G3">
    <cfRule type="cellIs" dxfId="0" priority="1521" operator="equal">
      <formula>"LOA"</formula>
    </cfRule>
    <cfRule type="cellIs" dxfId="1" priority="1522" operator="equal">
      <formula>"PENDING TERM"</formula>
    </cfRule>
    <cfRule type="cellIs" dxfId="2" priority="1523" operator="equal">
      <formula>"PROMOTED"</formula>
    </cfRule>
    <cfRule type="cellIs" dxfId="3" priority="1524" operator="equal">
      <formula>"REINSTATEMENT"</formula>
    </cfRule>
    <cfRule type="cellIs" dxfId="4" priority="1525" operator="equal">
      <formula>"TERM"</formula>
    </cfRule>
    <cfRule type="cellIs" dxfId="0" priority="1526" operator="equal">
      <formula>"TRANSFER"</formula>
    </cfRule>
  </conditionalFormatting>
  <conditionalFormatting sqref="H3">
    <cfRule type="duplicateValues" dxfId="5" priority="1516"/>
    <cfRule type="duplicateValues" dxfId="5" priority="1518"/>
  </conditionalFormatting>
  <conditionalFormatting sqref="H3:I3">
    <cfRule type="cellIs" dxfId="0" priority="1510" operator="equal">
      <formula>"LOA"</formula>
    </cfRule>
    <cfRule type="cellIs" dxfId="1" priority="1511" operator="equal">
      <formula>"PENDING TERM"</formula>
    </cfRule>
    <cfRule type="cellIs" dxfId="2" priority="1512" operator="equal">
      <formula>"PROMOTED"</formula>
    </cfRule>
    <cfRule type="cellIs" dxfId="3" priority="1513" operator="equal">
      <formula>"REINSTATEMENT"</formula>
    </cfRule>
    <cfRule type="cellIs" dxfId="4" priority="1514" operator="equal">
      <formula>"TERM"</formula>
    </cfRule>
    <cfRule type="cellIs" dxfId="0" priority="1515" operator="equal">
      <formula>"TRANSFER"</formula>
    </cfRule>
  </conditionalFormatting>
  <conditionalFormatting sqref="I3">
    <cfRule type="duplicateValues" dxfId="5" priority="1517"/>
    <cfRule type="duplicateValues" dxfId="5" priority="1519"/>
    <cfRule type="duplicateValues" dxfId="6" priority="1520"/>
  </conditionalFormatting>
  <conditionalFormatting sqref="D4:G4">
    <cfRule type="cellIs" dxfId="0" priority="239" operator="equal">
      <formula>"LOA"</formula>
    </cfRule>
    <cfRule type="cellIs" dxfId="1" priority="240" operator="equal">
      <formula>"PENDING TERM"</formula>
    </cfRule>
    <cfRule type="cellIs" dxfId="2" priority="241" operator="equal">
      <formula>"PROMOTED"</formula>
    </cfRule>
    <cfRule type="cellIs" dxfId="3" priority="242" operator="equal">
      <formula>"REINSTATEMENT"</formula>
    </cfRule>
    <cfRule type="cellIs" dxfId="4" priority="243" operator="equal">
      <formula>"TERM"</formula>
    </cfRule>
    <cfRule type="cellIs" dxfId="0" priority="244" operator="equal">
      <formula>"TRANSFER"</formula>
    </cfRule>
  </conditionalFormatting>
  <conditionalFormatting sqref="H4">
    <cfRule type="duplicateValues" dxfId="5" priority="234"/>
    <cfRule type="duplicateValues" dxfId="5" priority="236"/>
  </conditionalFormatting>
  <conditionalFormatting sqref="H4:I4">
    <cfRule type="cellIs" dxfId="0" priority="228" operator="equal">
      <formula>"LOA"</formula>
    </cfRule>
    <cfRule type="cellIs" dxfId="1" priority="229" operator="equal">
      <formula>"PENDING TERM"</formula>
    </cfRule>
    <cfRule type="cellIs" dxfId="2" priority="230" operator="equal">
      <formula>"PROMOTED"</formula>
    </cfRule>
    <cfRule type="cellIs" dxfId="3" priority="231" operator="equal">
      <formula>"REINSTATEMENT"</formula>
    </cfRule>
    <cfRule type="cellIs" dxfId="4" priority="232" operator="equal">
      <formula>"TERM"</formula>
    </cfRule>
    <cfRule type="cellIs" dxfId="0" priority="233" operator="equal">
      <formula>"TRANSFER"</formula>
    </cfRule>
  </conditionalFormatting>
  <conditionalFormatting sqref="I4">
    <cfRule type="duplicateValues" dxfId="5" priority="235"/>
    <cfRule type="duplicateValues" dxfId="5" priority="237"/>
    <cfRule type="duplicateValues" dxfId="6" priority="238"/>
  </conditionalFormatting>
  <conditionalFormatting sqref="H6">
    <cfRule type="duplicateValues" dxfId="5" priority="186"/>
  </conditionalFormatting>
  <conditionalFormatting sqref="I6">
    <cfRule type="duplicateValues" dxfId="5" priority="187"/>
    <cfRule type="duplicateValues" dxfId="6" priority="188"/>
  </conditionalFormatting>
  <conditionalFormatting sqref="H7">
    <cfRule type="duplicateValues" dxfId="5" priority="177"/>
  </conditionalFormatting>
  <conditionalFormatting sqref="I7">
    <cfRule type="duplicateValues" dxfId="5" priority="178"/>
    <cfRule type="duplicateValues" dxfId="6" priority="179"/>
  </conditionalFormatting>
  <conditionalFormatting sqref="H8">
    <cfRule type="duplicateValues" dxfId="5" priority="164"/>
    <cfRule type="duplicateValues" dxfId="5" priority="166"/>
    <cfRule type="duplicateValues" dxfId="5" priority="168"/>
  </conditionalFormatting>
  <conditionalFormatting sqref="I8">
    <cfRule type="duplicateValues" dxfId="5" priority="165"/>
    <cfRule type="duplicateValues" dxfId="5" priority="167"/>
    <cfRule type="duplicateValues" dxfId="5" priority="169"/>
    <cfRule type="duplicateValues" dxfId="6" priority="170"/>
  </conditionalFormatting>
  <conditionalFormatting sqref="E10">
    <cfRule type="cellIs" dxfId="0" priority="294" operator="equal">
      <formula>"LOA"</formula>
    </cfRule>
    <cfRule type="cellIs" dxfId="1" priority="295" operator="equal">
      <formula>"PENDING TERM"</formula>
    </cfRule>
    <cfRule type="cellIs" dxfId="2" priority="296" operator="equal">
      <formula>"PROMOTED"</formula>
    </cfRule>
    <cfRule type="cellIs" dxfId="3" priority="297" operator="equal">
      <formula>"REINSTATEMENT"</formula>
    </cfRule>
    <cfRule type="cellIs" dxfId="4" priority="298" operator="equal">
      <formula>"TERM"</formula>
    </cfRule>
    <cfRule type="cellIs" dxfId="0" priority="299" operator="equal">
      <formula>"TRANSFER"</formula>
    </cfRule>
  </conditionalFormatting>
  <conditionalFormatting sqref="H10">
    <cfRule type="duplicateValues" dxfId="5" priority="271"/>
    <cfRule type="duplicateValues" dxfId="5" priority="273"/>
  </conditionalFormatting>
  <conditionalFormatting sqref="I10">
    <cfRule type="duplicateValues" dxfId="5" priority="272"/>
    <cfRule type="duplicateValues" dxfId="5" priority="274"/>
    <cfRule type="duplicateValues" dxfId="6" priority="275"/>
  </conditionalFormatting>
  <conditionalFormatting sqref="E11">
    <cfRule type="cellIs" dxfId="0" priority="342" operator="equal">
      <formula>"LOA"</formula>
    </cfRule>
    <cfRule type="cellIs" dxfId="1" priority="343" operator="equal">
      <formula>"PENDING TERM"</formula>
    </cfRule>
    <cfRule type="cellIs" dxfId="2" priority="344" operator="equal">
      <formula>"PROMOTED"</formula>
    </cfRule>
    <cfRule type="cellIs" dxfId="3" priority="345" operator="equal">
      <formula>"REINSTATEMENT"</formula>
    </cfRule>
    <cfRule type="cellIs" dxfId="4" priority="346" operator="equal">
      <formula>"TERM"</formula>
    </cfRule>
    <cfRule type="cellIs" dxfId="0" priority="347" operator="equal">
      <formula>"TRANSFER"</formula>
    </cfRule>
  </conditionalFormatting>
  <conditionalFormatting sqref="H11">
    <cfRule type="duplicateValues" dxfId="5" priority="310"/>
  </conditionalFormatting>
  <conditionalFormatting sqref="I11">
    <cfRule type="duplicateValues" dxfId="5" priority="311"/>
  </conditionalFormatting>
  <conditionalFormatting sqref="D12:G12">
    <cfRule type="cellIs" dxfId="0" priority="1487" operator="equal">
      <formula>"LOA"</formula>
    </cfRule>
    <cfRule type="cellIs" dxfId="1" priority="1488" operator="equal">
      <formula>"PENDING TERM"</formula>
    </cfRule>
    <cfRule type="cellIs" dxfId="2" priority="1489" operator="equal">
      <formula>"PROMOTED"</formula>
    </cfRule>
    <cfRule type="cellIs" dxfId="3" priority="1490" operator="equal">
      <formula>"REINSTATEMENT"</formula>
    </cfRule>
    <cfRule type="cellIs" dxfId="4" priority="1491" operator="equal">
      <formula>"TERM"</formula>
    </cfRule>
    <cfRule type="cellIs" dxfId="0" priority="1492" operator="equal">
      <formula>"TRANSFER"</formula>
    </cfRule>
  </conditionalFormatting>
  <conditionalFormatting sqref="H12">
    <cfRule type="duplicateValues" dxfId="5" priority="1482"/>
    <cfRule type="duplicateValues" dxfId="5" priority="1484"/>
  </conditionalFormatting>
  <conditionalFormatting sqref="H12:I12">
    <cfRule type="cellIs" dxfId="0" priority="1476" operator="equal">
      <formula>"LOA"</formula>
    </cfRule>
    <cfRule type="cellIs" dxfId="1" priority="1477" operator="equal">
      <formula>"PENDING TERM"</formula>
    </cfRule>
    <cfRule type="cellIs" dxfId="2" priority="1478" operator="equal">
      <formula>"PROMOTED"</formula>
    </cfRule>
    <cfRule type="cellIs" dxfId="3" priority="1479" operator="equal">
      <formula>"REINSTATEMENT"</formula>
    </cfRule>
    <cfRule type="cellIs" dxfId="4" priority="1480" operator="equal">
      <formula>"TERM"</formula>
    </cfRule>
    <cfRule type="cellIs" dxfId="0" priority="1481" operator="equal">
      <formula>"TRANSFER"</formula>
    </cfRule>
  </conditionalFormatting>
  <conditionalFormatting sqref="I12">
    <cfRule type="duplicateValues" dxfId="5" priority="1483"/>
    <cfRule type="duplicateValues" dxfId="5" priority="1485"/>
    <cfRule type="duplicateValues" dxfId="6" priority="1486"/>
  </conditionalFormatting>
  <conditionalFormatting sqref="E13">
    <cfRule type="cellIs" dxfId="0" priority="336" operator="equal">
      <formula>"LOA"</formula>
    </cfRule>
    <cfRule type="cellIs" dxfId="1" priority="337" operator="equal">
      <formula>"PENDING TERM"</formula>
    </cfRule>
    <cfRule type="cellIs" dxfId="2" priority="338" operator="equal">
      <formula>"PROMOTED"</formula>
    </cfRule>
    <cfRule type="cellIs" dxfId="3" priority="339" operator="equal">
      <formula>"REINSTATEMENT"</formula>
    </cfRule>
    <cfRule type="cellIs" dxfId="4" priority="340" operator="equal">
      <formula>"TERM"</formula>
    </cfRule>
    <cfRule type="cellIs" dxfId="0" priority="341" operator="equal">
      <formula>"TRANSFER"</formula>
    </cfRule>
  </conditionalFormatting>
  <conditionalFormatting sqref="H13">
    <cfRule type="duplicateValues" dxfId="5" priority="308"/>
  </conditionalFormatting>
  <conditionalFormatting sqref="I13">
    <cfRule type="duplicateValues" dxfId="5" priority="309"/>
  </conditionalFormatting>
  <conditionalFormatting sqref="E14">
    <cfRule type="cellIs" dxfId="0" priority="288" operator="equal">
      <formula>"LOA"</formula>
    </cfRule>
    <cfRule type="cellIs" dxfId="1" priority="289" operator="equal">
      <formula>"PENDING TERM"</formula>
    </cfRule>
    <cfRule type="cellIs" dxfId="2" priority="290" operator="equal">
      <formula>"PROMOTED"</formula>
    </cfRule>
    <cfRule type="cellIs" dxfId="3" priority="291" operator="equal">
      <formula>"REINSTATEMENT"</formula>
    </cfRule>
    <cfRule type="cellIs" dxfId="4" priority="292" operator="equal">
      <formula>"TERM"</formula>
    </cfRule>
    <cfRule type="cellIs" dxfId="0" priority="293" operator="equal">
      <formula>"TRANSFER"</formula>
    </cfRule>
  </conditionalFormatting>
  <conditionalFormatting sqref="H14">
    <cfRule type="duplicateValues" dxfId="5" priority="266"/>
    <cfRule type="duplicateValues" dxfId="5" priority="268"/>
  </conditionalFormatting>
  <conditionalFormatting sqref="I14">
    <cfRule type="duplicateValues" dxfId="5" priority="267"/>
    <cfRule type="duplicateValues" dxfId="5" priority="269"/>
    <cfRule type="duplicateValues" dxfId="6" priority="270"/>
  </conditionalFormatting>
  <conditionalFormatting sqref="D15:G15">
    <cfRule type="cellIs" dxfId="0" priority="222" operator="equal">
      <formula>"LOA"</formula>
    </cfRule>
    <cfRule type="cellIs" dxfId="1" priority="223" operator="equal">
      <formula>"PENDING TERM"</formula>
    </cfRule>
    <cfRule type="cellIs" dxfId="2" priority="224" operator="equal">
      <formula>"PROMOTED"</formula>
    </cfRule>
    <cfRule type="cellIs" dxfId="3" priority="225" operator="equal">
      <formula>"REINSTATEMENT"</formula>
    </cfRule>
    <cfRule type="cellIs" dxfId="4" priority="226" operator="equal">
      <formula>"TERM"</formula>
    </cfRule>
    <cfRule type="cellIs" dxfId="0" priority="227" operator="equal">
      <formula>"TRANSFER"</formula>
    </cfRule>
  </conditionalFormatting>
  <conditionalFormatting sqref="H15">
    <cfRule type="duplicateValues" dxfId="5" priority="217"/>
    <cfRule type="duplicateValues" dxfId="5" priority="219"/>
  </conditionalFormatting>
  <conditionalFormatting sqref="H15:I15">
    <cfRule type="cellIs" dxfId="0" priority="211" operator="equal">
      <formula>"LOA"</formula>
    </cfRule>
    <cfRule type="cellIs" dxfId="1" priority="212" operator="equal">
      <formula>"PENDING TERM"</formula>
    </cfRule>
    <cfRule type="cellIs" dxfId="2" priority="213" operator="equal">
      <formula>"PROMOTED"</formula>
    </cfRule>
    <cfRule type="cellIs" dxfId="3" priority="214" operator="equal">
      <formula>"REINSTATEMENT"</formula>
    </cfRule>
    <cfRule type="cellIs" dxfId="4" priority="215" operator="equal">
      <formula>"TERM"</formula>
    </cfRule>
    <cfRule type="cellIs" dxfId="0" priority="216" operator="equal">
      <formula>"TRANSFER"</formula>
    </cfRule>
  </conditionalFormatting>
  <conditionalFormatting sqref="I15">
    <cfRule type="duplicateValues" dxfId="5" priority="218"/>
    <cfRule type="duplicateValues" dxfId="5" priority="220"/>
    <cfRule type="duplicateValues" dxfId="6" priority="221"/>
  </conditionalFormatting>
  <conditionalFormatting sqref="D16:G16">
    <cfRule type="cellIs" dxfId="0" priority="121" operator="equal">
      <formula>"LOA"</formula>
    </cfRule>
    <cfRule type="cellIs" dxfId="1" priority="122" operator="equal">
      <formula>"PENDING TERM"</formula>
    </cfRule>
    <cfRule type="cellIs" dxfId="2" priority="123" operator="equal">
      <formula>"PROMOTED"</formula>
    </cfRule>
    <cfRule type="cellIs" dxfId="3" priority="124" operator="equal">
      <formula>"REINSTATEMENT"</formula>
    </cfRule>
    <cfRule type="cellIs" dxfId="4" priority="125" operator="equal">
      <formula>"TERM"</formula>
    </cfRule>
    <cfRule type="cellIs" dxfId="0" priority="126" operator="equal">
      <formula>"TRANSFER"</formula>
    </cfRule>
  </conditionalFormatting>
  <conditionalFormatting sqref="H16">
    <cfRule type="duplicateValues" dxfId="5" priority="118"/>
  </conditionalFormatting>
  <conditionalFormatting sqref="H16:I16">
    <cfRule type="cellIs" dxfId="0" priority="112" operator="equal">
      <formula>"LOA"</formula>
    </cfRule>
    <cfRule type="cellIs" dxfId="1" priority="113" operator="equal">
      <formula>"PENDING TERM"</formula>
    </cfRule>
    <cfRule type="cellIs" dxfId="2" priority="114" operator="equal">
      <formula>"PROMOTED"</formula>
    </cfRule>
    <cfRule type="cellIs" dxfId="3" priority="115" operator="equal">
      <formula>"REINSTATEMENT"</formula>
    </cfRule>
    <cfRule type="cellIs" dxfId="4" priority="116" operator="equal">
      <formula>"TERM"</formula>
    </cfRule>
    <cfRule type="cellIs" dxfId="0" priority="117" operator="equal">
      <formula>"TRANSFER"</formula>
    </cfRule>
  </conditionalFormatting>
  <conditionalFormatting sqref="I16">
    <cfRule type="duplicateValues" dxfId="5" priority="119"/>
    <cfRule type="duplicateValues" dxfId="6" priority="120"/>
  </conditionalFormatting>
  <conditionalFormatting sqref="D17:G17">
    <cfRule type="cellIs" dxfId="0" priority="91" operator="equal">
      <formula>"LOA"</formula>
    </cfRule>
    <cfRule type="cellIs" dxfId="1" priority="92" operator="equal">
      <formula>"PENDING TERM"</formula>
    </cfRule>
    <cfRule type="cellIs" dxfId="2" priority="93" operator="equal">
      <formula>"PROMOTED"</formula>
    </cfRule>
    <cfRule type="cellIs" dxfId="3" priority="94" operator="equal">
      <formula>"REINSTATEMENT"</formula>
    </cfRule>
    <cfRule type="cellIs" dxfId="4" priority="95" operator="equal">
      <formula>"TERM"</formula>
    </cfRule>
    <cfRule type="cellIs" dxfId="0" priority="96" operator="equal">
      <formula>"TRANSFER"</formula>
    </cfRule>
  </conditionalFormatting>
  <conditionalFormatting sqref="H17">
    <cfRule type="duplicateValues" dxfId="5" priority="88"/>
  </conditionalFormatting>
  <conditionalFormatting sqref="H17:I17">
    <cfRule type="cellIs" dxfId="0" priority="82" operator="equal">
      <formula>"LOA"</formula>
    </cfRule>
    <cfRule type="cellIs" dxfId="1" priority="83" operator="equal">
      <formula>"PENDING TERM"</formula>
    </cfRule>
    <cfRule type="cellIs" dxfId="2" priority="84" operator="equal">
      <formula>"PROMOTED"</formula>
    </cfRule>
    <cfRule type="cellIs" dxfId="3" priority="85" operator="equal">
      <formula>"REINSTATEMENT"</formula>
    </cfRule>
    <cfRule type="cellIs" dxfId="4" priority="86" operator="equal">
      <formula>"TERM"</formula>
    </cfRule>
    <cfRule type="cellIs" dxfId="0" priority="87" operator="equal">
      <formula>"TRANSFER"</formula>
    </cfRule>
  </conditionalFormatting>
  <conditionalFormatting sqref="I17">
    <cfRule type="duplicateValues" dxfId="5" priority="89"/>
    <cfRule type="duplicateValues" dxfId="6" priority="90"/>
  </conditionalFormatting>
  <conditionalFormatting sqref="D18:G18">
    <cfRule type="cellIs" dxfId="7" priority="47" operator="equal">
      <formula>"TRANSFER"</formula>
    </cfRule>
    <cfRule type="cellIs" dxfId="8" priority="46" operator="equal">
      <formula>"TERM"</formula>
    </cfRule>
    <cfRule type="cellIs" dxfId="9" priority="45" operator="equal">
      <formula>"REINSTATEMENT"</formula>
    </cfRule>
    <cfRule type="cellIs" dxfId="10" priority="44" operator="equal">
      <formula>"PROMOTED"</formula>
    </cfRule>
    <cfRule type="cellIs" dxfId="11" priority="43" operator="equal">
      <formula>"PENDING TERM"</formula>
    </cfRule>
    <cfRule type="cellIs" dxfId="7" priority="42" operator="equal">
      <formula>"LOA"</formula>
    </cfRule>
  </conditionalFormatting>
  <conditionalFormatting sqref="H18">
    <cfRule type="duplicateValues" dxfId="12" priority="39"/>
    <cfRule type="duplicateValues" dxfId="12" priority="37"/>
  </conditionalFormatting>
  <conditionalFormatting sqref="H18:I18">
    <cfRule type="cellIs" dxfId="7" priority="36" operator="equal">
      <formula>"TRANSFER"</formula>
    </cfRule>
    <cfRule type="cellIs" dxfId="8" priority="35" operator="equal">
      <formula>"TERM"</formula>
    </cfRule>
    <cfRule type="cellIs" dxfId="9" priority="34" operator="equal">
      <formula>"REINSTATEMENT"</formula>
    </cfRule>
    <cfRule type="cellIs" dxfId="10" priority="33" operator="equal">
      <formula>"PROMOTED"</formula>
    </cfRule>
    <cfRule type="cellIs" dxfId="11" priority="32" operator="equal">
      <formula>"PENDING TERM"</formula>
    </cfRule>
    <cfRule type="cellIs" dxfId="7" priority="31" operator="equal">
      <formula>"LOA"</formula>
    </cfRule>
  </conditionalFormatting>
  <conditionalFormatting sqref="I18">
    <cfRule type="duplicateValues" dxfId="13" priority="41"/>
    <cfRule type="duplicateValues" dxfId="12" priority="40"/>
    <cfRule type="duplicateValues" dxfId="12" priority="38"/>
  </conditionalFormatting>
  <conditionalFormatting sqref="D19:G19">
    <cfRule type="cellIs" dxfId="7" priority="30" operator="equal">
      <formula>"TRANSFER"</formula>
    </cfRule>
    <cfRule type="cellIs" dxfId="8" priority="29" operator="equal">
      <formula>"TERM"</formula>
    </cfRule>
    <cfRule type="cellIs" dxfId="9" priority="28" operator="equal">
      <formula>"REINSTATEMENT"</formula>
    </cfRule>
    <cfRule type="cellIs" dxfId="10" priority="27" operator="equal">
      <formula>"PROMOTED"</formula>
    </cfRule>
    <cfRule type="cellIs" dxfId="11" priority="26" operator="equal">
      <formula>"PENDING TERM"</formula>
    </cfRule>
    <cfRule type="cellIs" dxfId="7" priority="25" operator="equal">
      <formula>"LOA"</formula>
    </cfRule>
  </conditionalFormatting>
  <conditionalFormatting sqref="H19">
    <cfRule type="duplicateValues" dxfId="12" priority="22"/>
  </conditionalFormatting>
  <conditionalFormatting sqref="H19:I19">
    <cfRule type="cellIs" dxfId="7" priority="21" operator="equal">
      <formula>"TRANSFER"</formula>
    </cfRule>
    <cfRule type="cellIs" dxfId="8" priority="20" operator="equal">
      <formula>"TERM"</formula>
    </cfRule>
    <cfRule type="cellIs" dxfId="9" priority="19" operator="equal">
      <formula>"REINSTATEMENT"</formula>
    </cfRule>
    <cfRule type="cellIs" dxfId="10" priority="18" operator="equal">
      <formula>"PROMOTED"</formula>
    </cfRule>
    <cfRule type="cellIs" dxfId="11" priority="17" operator="equal">
      <formula>"PENDING TERM"</formula>
    </cfRule>
    <cfRule type="cellIs" dxfId="7" priority="16" operator="equal">
      <formula>"LOA"</formula>
    </cfRule>
  </conditionalFormatting>
  <conditionalFormatting sqref="I19">
    <cfRule type="duplicateValues" dxfId="13" priority="24"/>
    <cfRule type="duplicateValues" dxfId="12" priority="23"/>
  </conditionalFormatting>
  <conditionalFormatting sqref="H20">
    <cfRule type="duplicateValues" dxfId="5" priority="155"/>
  </conditionalFormatting>
  <conditionalFormatting sqref="I20">
    <cfRule type="duplicateValues" dxfId="5" priority="156"/>
    <cfRule type="duplicateValues" dxfId="6" priority="157"/>
  </conditionalFormatting>
  <conditionalFormatting sqref="D21:G21">
    <cfRule type="cellIs" dxfId="7" priority="15" operator="equal">
      <formula>"TRANSFER"</formula>
    </cfRule>
    <cfRule type="cellIs" dxfId="8" priority="14" operator="equal">
      <formula>"TERM"</formula>
    </cfRule>
    <cfRule type="cellIs" dxfId="9" priority="13" operator="equal">
      <formula>"REINSTATEMENT"</formula>
    </cfRule>
    <cfRule type="cellIs" dxfId="10" priority="12" operator="equal">
      <formula>"PROMOTED"</formula>
    </cfRule>
    <cfRule type="cellIs" dxfId="11" priority="11" operator="equal">
      <formula>"PENDING TERM"</formula>
    </cfRule>
    <cfRule type="cellIs" dxfId="7" priority="10" operator="equal">
      <formula>"LOA"</formula>
    </cfRule>
  </conditionalFormatting>
  <conditionalFormatting sqref="H21">
    <cfRule type="duplicateValues" dxfId="12" priority="7"/>
  </conditionalFormatting>
  <conditionalFormatting sqref="H21:I21">
    <cfRule type="cellIs" dxfId="7" priority="6" operator="equal">
      <formula>"TRANSFER"</formula>
    </cfRule>
    <cfRule type="cellIs" dxfId="8" priority="5" operator="equal">
      <formula>"TERM"</formula>
    </cfRule>
    <cfRule type="cellIs" dxfId="9" priority="4" operator="equal">
      <formula>"REINSTATEMENT"</formula>
    </cfRule>
    <cfRule type="cellIs" dxfId="10" priority="3" operator="equal">
      <formula>"PROMOTED"</formula>
    </cfRule>
    <cfRule type="cellIs" dxfId="11" priority="2" operator="equal">
      <formula>"PENDING TERM"</formula>
    </cfRule>
    <cfRule type="cellIs" dxfId="7" priority="1" operator="equal">
      <formula>"LOA"</formula>
    </cfRule>
  </conditionalFormatting>
  <conditionalFormatting sqref="I21">
    <cfRule type="duplicateValues" dxfId="13" priority="9"/>
    <cfRule type="duplicateValues" dxfId="12" priority="8"/>
  </conditionalFormatting>
  <conditionalFormatting sqref="E22">
    <cfRule type="cellIs" dxfId="0" priority="200" operator="equal">
      <formula>"LOA"</formula>
    </cfRule>
    <cfRule type="cellIs" dxfId="1" priority="201" operator="equal">
      <formula>"PENDING TERM"</formula>
    </cfRule>
    <cfRule type="cellIs" dxfId="2" priority="202" operator="equal">
      <formula>"PROMOTED"</formula>
    </cfRule>
    <cfRule type="cellIs" dxfId="3" priority="203" operator="equal">
      <formula>"REINSTATEMENT"</formula>
    </cfRule>
    <cfRule type="cellIs" dxfId="4" priority="204" operator="equal">
      <formula>"TERM"</formula>
    </cfRule>
    <cfRule type="cellIs" dxfId="0" priority="205" operator="equal">
      <formula>"TRANSFER"</formula>
    </cfRule>
  </conditionalFormatting>
  <conditionalFormatting sqref="H22">
    <cfRule type="duplicateValues" dxfId="5" priority="206"/>
    <cfRule type="duplicateValues" dxfId="5" priority="208"/>
  </conditionalFormatting>
  <conditionalFormatting sqref="I22">
    <cfRule type="duplicateValues" dxfId="5" priority="207"/>
    <cfRule type="duplicateValues" dxfId="5" priority="209"/>
    <cfRule type="duplicateValues" dxfId="6" priority="210"/>
  </conditionalFormatting>
  <conditionalFormatting sqref="D23:G23">
    <cfRule type="cellIs" dxfId="0" priority="376" operator="equal">
      <formula>"LOA"</formula>
    </cfRule>
    <cfRule type="cellIs" dxfId="1" priority="377" operator="equal">
      <formula>"PENDING TERM"</formula>
    </cfRule>
    <cfRule type="cellIs" dxfId="2" priority="378" operator="equal">
      <formula>"PROMOTED"</formula>
    </cfRule>
    <cfRule type="cellIs" dxfId="3" priority="379" operator="equal">
      <formula>"REINSTATEMENT"</formula>
    </cfRule>
    <cfRule type="cellIs" dxfId="4" priority="380" operator="equal">
      <formula>"TERM"</formula>
    </cfRule>
    <cfRule type="cellIs" dxfId="0" priority="381" operator="equal">
      <formula>"TRANSFER"</formula>
    </cfRule>
  </conditionalFormatting>
  <conditionalFormatting sqref="H23">
    <cfRule type="duplicateValues" dxfId="5" priority="371"/>
    <cfRule type="duplicateValues" dxfId="5" priority="373"/>
  </conditionalFormatting>
  <conditionalFormatting sqref="H23:I23">
    <cfRule type="cellIs" dxfId="0" priority="365" operator="equal">
      <formula>"LOA"</formula>
    </cfRule>
    <cfRule type="cellIs" dxfId="1" priority="366" operator="equal">
      <formula>"PENDING TERM"</formula>
    </cfRule>
    <cfRule type="cellIs" dxfId="2" priority="367" operator="equal">
      <formula>"PROMOTED"</formula>
    </cfRule>
    <cfRule type="cellIs" dxfId="3" priority="368" operator="equal">
      <formula>"REINSTATEMENT"</formula>
    </cfRule>
    <cfRule type="cellIs" dxfId="4" priority="369" operator="equal">
      <formula>"TERM"</formula>
    </cfRule>
    <cfRule type="cellIs" dxfId="0" priority="370" operator="equal">
      <formula>"TRANSFER"</formula>
    </cfRule>
  </conditionalFormatting>
  <conditionalFormatting sqref="I23">
    <cfRule type="duplicateValues" dxfId="5" priority="372"/>
    <cfRule type="duplicateValues" dxfId="5" priority="374"/>
    <cfRule type="duplicateValues" dxfId="6" priority="375"/>
  </conditionalFormatting>
  <conditionalFormatting sqref="E24">
    <cfRule type="cellIs" dxfId="0" priority="330" operator="equal">
      <formula>"LOA"</formula>
    </cfRule>
    <cfRule type="cellIs" dxfId="1" priority="331" operator="equal">
      <formula>"PENDING TERM"</formula>
    </cfRule>
    <cfRule type="cellIs" dxfId="2" priority="332" operator="equal">
      <formula>"PROMOTED"</formula>
    </cfRule>
    <cfRule type="cellIs" dxfId="3" priority="333" operator="equal">
      <formula>"REINSTATEMENT"</formula>
    </cfRule>
    <cfRule type="cellIs" dxfId="4" priority="334" operator="equal">
      <formula>"TERM"</formula>
    </cfRule>
    <cfRule type="cellIs" dxfId="0" priority="335" operator="equal">
      <formula>"TRANSFER"</formula>
    </cfRule>
  </conditionalFormatting>
  <conditionalFormatting sqref="H24">
    <cfRule type="duplicateValues" dxfId="5" priority="306"/>
  </conditionalFormatting>
  <conditionalFormatting sqref="I24">
    <cfRule type="duplicateValues" dxfId="5" priority="307"/>
  </conditionalFormatting>
  <conditionalFormatting sqref="E25">
    <cfRule type="cellIs" dxfId="0" priority="282" operator="equal">
      <formula>"LOA"</formula>
    </cfRule>
    <cfRule type="cellIs" dxfId="1" priority="283" operator="equal">
      <formula>"PENDING TERM"</formula>
    </cfRule>
    <cfRule type="cellIs" dxfId="2" priority="284" operator="equal">
      <formula>"PROMOTED"</formula>
    </cfRule>
    <cfRule type="cellIs" dxfId="3" priority="285" operator="equal">
      <formula>"REINSTATEMENT"</formula>
    </cfRule>
    <cfRule type="cellIs" dxfId="4" priority="286" operator="equal">
      <formula>"TERM"</formula>
    </cfRule>
    <cfRule type="cellIs" dxfId="0" priority="287" operator="equal">
      <formula>"TRANSFER"</formula>
    </cfRule>
  </conditionalFormatting>
  <conditionalFormatting sqref="H25">
    <cfRule type="duplicateValues" dxfId="5" priority="261"/>
    <cfRule type="duplicateValues" dxfId="5" priority="263"/>
  </conditionalFormatting>
  <conditionalFormatting sqref="I25">
    <cfRule type="duplicateValues" dxfId="5" priority="262"/>
    <cfRule type="duplicateValues" dxfId="5" priority="264"/>
    <cfRule type="duplicateValues" dxfId="6" priority="265"/>
  </conditionalFormatting>
  <conditionalFormatting sqref="E26">
    <cfRule type="cellIs" dxfId="0" priority="189" operator="equal">
      <formula>"LOA"</formula>
    </cfRule>
    <cfRule type="cellIs" dxfId="1" priority="190" operator="equal">
      <formula>"PENDING TERM"</formula>
    </cfRule>
    <cfRule type="cellIs" dxfId="2" priority="191" operator="equal">
      <formula>"PROMOTED"</formula>
    </cfRule>
    <cfRule type="cellIs" dxfId="3" priority="192" operator="equal">
      <formula>"REINSTATEMENT"</formula>
    </cfRule>
    <cfRule type="cellIs" dxfId="4" priority="193" operator="equal">
      <formula>"TERM"</formula>
    </cfRule>
    <cfRule type="cellIs" dxfId="0" priority="194" operator="equal">
      <formula>"TRANSFER"</formula>
    </cfRule>
  </conditionalFormatting>
  <conditionalFormatting sqref="H26">
    <cfRule type="duplicateValues" dxfId="5" priority="195"/>
    <cfRule type="duplicateValues" dxfId="5" priority="197"/>
  </conditionalFormatting>
  <conditionalFormatting sqref="I26">
    <cfRule type="duplicateValues" dxfId="5" priority="196"/>
    <cfRule type="duplicateValues" dxfId="5" priority="198"/>
    <cfRule type="duplicateValues" dxfId="6" priority="199"/>
  </conditionalFormatting>
  <conditionalFormatting sqref="D27:G27">
    <cfRule type="cellIs" dxfId="0" priority="106" operator="equal">
      <formula>"LOA"</formula>
    </cfRule>
    <cfRule type="cellIs" dxfId="1" priority="107" operator="equal">
      <formula>"PENDING TERM"</formula>
    </cfRule>
    <cfRule type="cellIs" dxfId="2" priority="108" operator="equal">
      <formula>"PROMOTED"</formula>
    </cfRule>
    <cfRule type="cellIs" dxfId="3" priority="109" operator="equal">
      <formula>"REINSTATEMENT"</formula>
    </cfRule>
    <cfRule type="cellIs" dxfId="4" priority="110" operator="equal">
      <formula>"TERM"</formula>
    </cfRule>
    <cfRule type="cellIs" dxfId="0" priority="111" operator="equal">
      <formula>"TRANSFER"</formula>
    </cfRule>
  </conditionalFormatting>
  <conditionalFormatting sqref="H27">
    <cfRule type="duplicateValues" dxfId="5" priority="103"/>
  </conditionalFormatting>
  <conditionalFormatting sqref="H27:I27">
    <cfRule type="cellIs" dxfId="0" priority="97" operator="equal">
      <formula>"LOA"</formula>
    </cfRule>
    <cfRule type="cellIs" dxfId="1" priority="98" operator="equal">
      <formula>"PENDING TERM"</formula>
    </cfRule>
    <cfRule type="cellIs" dxfId="2" priority="99" operator="equal">
      <formula>"PROMOTED"</formula>
    </cfRule>
    <cfRule type="cellIs" dxfId="3" priority="100" operator="equal">
      <formula>"REINSTATEMENT"</formula>
    </cfRule>
    <cfRule type="cellIs" dxfId="4" priority="101" operator="equal">
      <formula>"TERM"</formula>
    </cfRule>
    <cfRule type="cellIs" dxfId="0" priority="102" operator="equal">
      <formula>"TRANSFER"</formula>
    </cfRule>
  </conditionalFormatting>
  <conditionalFormatting sqref="I27">
    <cfRule type="duplicateValues" dxfId="5" priority="104"/>
    <cfRule type="duplicateValues" dxfId="6" priority="105"/>
  </conditionalFormatting>
  <conditionalFormatting sqref="H28">
    <cfRule type="duplicateValues" dxfId="5" priority="146"/>
  </conditionalFormatting>
  <conditionalFormatting sqref="I28">
    <cfRule type="duplicateValues" dxfId="5" priority="147"/>
    <cfRule type="duplicateValues" dxfId="6" priority="148"/>
  </conditionalFormatting>
  <conditionalFormatting sqref="H29">
    <cfRule type="duplicateValues" dxfId="5" priority="133"/>
    <cfRule type="duplicateValues" dxfId="5" priority="135"/>
    <cfRule type="duplicateValues" dxfId="5" priority="137"/>
  </conditionalFormatting>
  <conditionalFormatting sqref="I29">
    <cfRule type="duplicateValues" dxfId="5" priority="134"/>
    <cfRule type="duplicateValues" dxfId="5" priority="136"/>
    <cfRule type="duplicateValues" dxfId="5" priority="138"/>
    <cfRule type="duplicateValues" dxfId="6" priority="139"/>
  </conditionalFormatting>
  <conditionalFormatting sqref="D30:G30">
    <cfRule type="cellIs" dxfId="0" priority="76" operator="equal">
      <formula>"LOA"</formula>
    </cfRule>
    <cfRule type="cellIs" dxfId="1" priority="77" operator="equal">
      <formula>"PENDING TERM"</formula>
    </cfRule>
    <cfRule type="cellIs" dxfId="2" priority="78" operator="equal">
      <formula>"PROMOTED"</formula>
    </cfRule>
    <cfRule type="cellIs" dxfId="3" priority="79" operator="equal">
      <formula>"REINSTATEMENT"</formula>
    </cfRule>
    <cfRule type="cellIs" dxfId="4" priority="80" operator="equal">
      <formula>"TERM"</formula>
    </cfRule>
    <cfRule type="cellIs" dxfId="0" priority="81" operator="equal">
      <formula>"TRANSFER"</formula>
    </cfRule>
  </conditionalFormatting>
  <conditionalFormatting sqref="H30">
    <cfRule type="duplicateValues" dxfId="5" priority="73"/>
  </conditionalFormatting>
  <conditionalFormatting sqref="H30:I30">
    <cfRule type="cellIs" dxfId="0" priority="67" operator="equal">
      <formula>"LOA"</formula>
    </cfRule>
    <cfRule type="cellIs" dxfId="1" priority="68" operator="equal">
      <formula>"PENDING TERM"</formula>
    </cfRule>
    <cfRule type="cellIs" dxfId="2" priority="69" operator="equal">
      <formula>"PROMOTED"</formula>
    </cfRule>
    <cfRule type="cellIs" dxfId="3" priority="70" operator="equal">
      <formula>"REINSTATEMENT"</formula>
    </cfRule>
    <cfRule type="cellIs" dxfId="4" priority="71" operator="equal">
      <formula>"TERM"</formula>
    </cfRule>
    <cfRule type="cellIs" dxfId="0" priority="72" operator="equal">
      <formula>"TRANSFER"</formula>
    </cfRule>
  </conditionalFormatting>
  <conditionalFormatting sqref="I30">
    <cfRule type="duplicateValues" dxfId="5" priority="74"/>
    <cfRule type="duplicateValues" dxfId="6" priority="75"/>
  </conditionalFormatting>
  <conditionalFormatting sqref="D31:G31">
    <cfRule type="cellIs" dxfId="0" priority="61" operator="equal">
      <formula>"LOA"</formula>
    </cfRule>
    <cfRule type="cellIs" dxfId="1" priority="62" operator="equal">
      <formula>"PENDING TERM"</formula>
    </cfRule>
    <cfRule type="cellIs" dxfId="2" priority="63" operator="equal">
      <formula>"PROMOTED"</formula>
    </cfRule>
    <cfRule type="cellIs" dxfId="3" priority="64" operator="equal">
      <formula>"REINSTATEMENT"</formula>
    </cfRule>
    <cfRule type="cellIs" dxfId="4" priority="65" operator="equal">
      <formula>"TERM"</formula>
    </cfRule>
    <cfRule type="cellIs" dxfId="0" priority="66" operator="equal">
      <formula>"TRANSFER"</formula>
    </cfRule>
  </conditionalFormatting>
  <conditionalFormatting sqref="H31">
    <cfRule type="duplicateValues" dxfId="5" priority="54"/>
    <cfRule type="duplicateValues" dxfId="5" priority="56"/>
    <cfRule type="duplicateValues" dxfId="5" priority="58"/>
  </conditionalFormatting>
  <conditionalFormatting sqref="H31:I31">
    <cfRule type="cellIs" dxfId="0" priority="48" operator="equal">
      <formula>"LOA"</formula>
    </cfRule>
    <cfRule type="cellIs" dxfId="1" priority="49" operator="equal">
      <formula>"PENDING TERM"</formula>
    </cfRule>
    <cfRule type="cellIs" dxfId="2" priority="50" operator="equal">
      <formula>"PROMOTED"</formula>
    </cfRule>
    <cfRule type="cellIs" dxfId="3" priority="51" operator="equal">
      <formula>"REINSTATEMENT"</formula>
    </cfRule>
    <cfRule type="cellIs" dxfId="4" priority="52" operator="equal">
      <formula>"TERM"</formula>
    </cfRule>
    <cfRule type="cellIs" dxfId="0" priority="53" operator="equal">
      <formula>"TRANSFER"</formula>
    </cfRule>
  </conditionalFormatting>
  <conditionalFormatting sqref="I31">
    <cfRule type="duplicateValues" dxfId="5" priority="55"/>
    <cfRule type="duplicateValues" dxfId="5" priority="57"/>
    <cfRule type="duplicateValues" dxfId="5" priority="59"/>
    <cfRule type="duplicateValues" dxfId="6" priority="60"/>
  </conditionalFormatting>
  <conditionalFormatting sqref="D32:G32">
    <cfRule type="cellIs" dxfId="0" priority="886" operator="equal">
      <formula>"LOA"</formula>
    </cfRule>
    <cfRule type="cellIs" dxfId="1" priority="887" operator="equal">
      <formula>"PENDING TERM"</formula>
    </cfRule>
    <cfRule type="cellIs" dxfId="2" priority="888" operator="equal">
      <formula>"PROMOTED"</formula>
    </cfRule>
    <cfRule type="cellIs" dxfId="3" priority="889" operator="equal">
      <formula>"REINSTATEMENT"</formula>
    </cfRule>
    <cfRule type="cellIs" dxfId="4" priority="890" operator="equal">
      <formula>"TERM"</formula>
    </cfRule>
    <cfRule type="cellIs" dxfId="0" priority="891" operator="equal">
      <formula>"TRANSFER"</formula>
    </cfRule>
  </conditionalFormatting>
  <conditionalFormatting sqref="H32">
    <cfRule type="duplicateValues" dxfId="5" priority="881"/>
    <cfRule type="duplicateValues" dxfId="5" priority="883"/>
  </conditionalFormatting>
  <conditionalFormatting sqref="H32:I32">
    <cfRule type="cellIs" dxfId="0" priority="875" operator="equal">
      <formula>"LOA"</formula>
    </cfRule>
    <cfRule type="cellIs" dxfId="1" priority="876" operator="equal">
      <formula>"PENDING TERM"</formula>
    </cfRule>
    <cfRule type="cellIs" dxfId="2" priority="877" operator="equal">
      <formula>"PROMOTED"</formula>
    </cfRule>
    <cfRule type="cellIs" dxfId="3" priority="878" operator="equal">
      <formula>"REINSTATEMENT"</formula>
    </cfRule>
    <cfRule type="cellIs" dxfId="4" priority="879" operator="equal">
      <formula>"TERM"</formula>
    </cfRule>
    <cfRule type="cellIs" dxfId="0" priority="880" operator="equal">
      <formula>"TRANSFER"</formula>
    </cfRule>
  </conditionalFormatting>
  <conditionalFormatting sqref="I32">
    <cfRule type="duplicateValues" dxfId="5" priority="882"/>
    <cfRule type="duplicateValues" dxfId="5" priority="884"/>
    <cfRule type="duplicateValues" dxfId="6" priority="885"/>
  </conditionalFormatting>
  <conditionalFormatting sqref="D33">
    <cfRule type="cellIs" dxfId="0" priority="973" operator="equal">
      <formula>"LOA"</formula>
    </cfRule>
    <cfRule type="cellIs" dxfId="1" priority="974" operator="equal">
      <formula>"PENDING TERM"</formula>
    </cfRule>
    <cfRule type="cellIs" dxfId="2" priority="975" operator="equal">
      <formula>"PROMOTED"</formula>
    </cfRule>
    <cfRule type="cellIs" dxfId="3" priority="976" operator="equal">
      <formula>"REINSTATEMENT"</formula>
    </cfRule>
    <cfRule type="cellIs" dxfId="4" priority="977" operator="equal">
      <formula>"TERM"</formula>
    </cfRule>
    <cfRule type="cellIs" dxfId="0" priority="978" operator="equal">
      <formula>"TRANSFER"</formula>
    </cfRule>
  </conditionalFormatting>
  <conditionalFormatting sqref="H33">
    <cfRule type="duplicateValues" dxfId="5" priority="979"/>
  </conditionalFormatting>
  <conditionalFormatting sqref="I33">
    <cfRule type="duplicateValues" dxfId="5" priority="980"/>
    <cfRule type="duplicateValues" dxfId="6" priority="981"/>
  </conditionalFormatting>
  <conditionalFormatting sqref="D34:G34">
    <cfRule type="cellIs" dxfId="0" priority="869" operator="equal">
      <formula>"LOA"</formula>
    </cfRule>
    <cfRule type="cellIs" dxfId="1" priority="870" operator="equal">
      <formula>"PENDING TERM"</formula>
    </cfRule>
    <cfRule type="cellIs" dxfId="2" priority="871" operator="equal">
      <formula>"PROMOTED"</formula>
    </cfRule>
    <cfRule type="cellIs" dxfId="3" priority="872" operator="equal">
      <formula>"REINSTATEMENT"</formula>
    </cfRule>
    <cfRule type="cellIs" dxfId="4" priority="873" operator="equal">
      <formula>"TERM"</formula>
    </cfRule>
    <cfRule type="cellIs" dxfId="0" priority="874" operator="equal">
      <formula>"TRANSFER"</formula>
    </cfRule>
  </conditionalFormatting>
  <conditionalFormatting sqref="H34">
    <cfRule type="duplicateValues" dxfId="5" priority="864"/>
    <cfRule type="duplicateValues" dxfId="5" priority="866"/>
  </conditionalFormatting>
  <conditionalFormatting sqref="H34:I34">
    <cfRule type="cellIs" dxfId="0" priority="858" operator="equal">
      <formula>"LOA"</formula>
    </cfRule>
    <cfRule type="cellIs" dxfId="1" priority="859" operator="equal">
      <formula>"PENDING TERM"</formula>
    </cfRule>
    <cfRule type="cellIs" dxfId="2" priority="860" operator="equal">
      <formula>"PROMOTED"</formula>
    </cfRule>
    <cfRule type="cellIs" dxfId="3" priority="861" operator="equal">
      <formula>"REINSTATEMENT"</formula>
    </cfRule>
    <cfRule type="cellIs" dxfId="4" priority="862" operator="equal">
      <formula>"TERM"</formula>
    </cfRule>
    <cfRule type="cellIs" dxfId="0" priority="863" operator="equal">
      <formula>"TRANSFER"</formula>
    </cfRule>
  </conditionalFormatting>
  <conditionalFormatting sqref="I34">
    <cfRule type="duplicateValues" dxfId="5" priority="865"/>
    <cfRule type="duplicateValues" dxfId="5" priority="867"/>
    <cfRule type="duplicateValues" dxfId="6" priority="868"/>
  </conditionalFormatting>
  <conditionalFormatting sqref="D35:G35">
    <cfRule type="cellIs" dxfId="0" priority="359" operator="equal">
      <formula>"LOA"</formula>
    </cfRule>
    <cfRule type="cellIs" dxfId="1" priority="360" operator="equal">
      <formula>"PENDING TERM"</formula>
    </cfRule>
    <cfRule type="cellIs" dxfId="2" priority="361" operator="equal">
      <formula>"PROMOTED"</formula>
    </cfRule>
    <cfRule type="cellIs" dxfId="3" priority="362" operator="equal">
      <formula>"REINSTATEMENT"</formula>
    </cfRule>
    <cfRule type="cellIs" dxfId="4" priority="363" operator="equal">
      <formula>"TERM"</formula>
    </cfRule>
    <cfRule type="cellIs" dxfId="0" priority="364" operator="equal">
      <formula>"TRANSFER"</formula>
    </cfRule>
  </conditionalFormatting>
  <conditionalFormatting sqref="H35">
    <cfRule type="duplicateValues" dxfId="5" priority="354"/>
    <cfRule type="duplicateValues" dxfId="5" priority="356"/>
  </conditionalFormatting>
  <conditionalFormatting sqref="H35:I35">
    <cfRule type="cellIs" dxfId="0" priority="348" operator="equal">
      <formula>"LOA"</formula>
    </cfRule>
    <cfRule type="cellIs" dxfId="1" priority="349" operator="equal">
      <formula>"PENDING TERM"</formula>
    </cfRule>
    <cfRule type="cellIs" dxfId="2" priority="350" operator="equal">
      <formula>"PROMOTED"</formula>
    </cfRule>
    <cfRule type="cellIs" dxfId="3" priority="351" operator="equal">
      <formula>"REINSTATEMENT"</formula>
    </cfRule>
    <cfRule type="cellIs" dxfId="4" priority="352" operator="equal">
      <formula>"TERM"</formula>
    </cfRule>
    <cfRule type="cellIs" dxfId="0" priority="353" operator="equal">
      <formula>"TRANSFER"</formula>
    </cfRule>
  </conditionalFormatting>
  <conditionalFormatting sqref="I35">
    <cfRule type="duplicateValues" dxfId="5" priority="355"/>
    <cfRule type="duplicateValues" dxfId="5" priority="357"/>
    <cfRule type="duplicateValues" dxfId="6" priority="358"/>
  </conditionalFormatting>
  <conditionalFormatting sqref="E36">
    <cfRule type="cellIs" dxfId="0" priority="324" operator="equal">
      <formula>"LOA"</formula>
    </cfRule>
    <cfRule type="cellIs" dxfId="1" priority="325" operator="equal">
      <formula>"PENDING TERM"</formula>
    </cfRule>
    <cfRule type="cellIs" dxfId="2" priority="326" operator="equal">
      <formula>"PROMOTED"</formula>
    </cfRule>
    <cfRule type="cellIs" dxfId="3" priority="327" operator="equal">
      <formula>"REINSTATEMENT"</formula>
    </cfRule>
    <cfRule type="cellIs" dxfId="4" priority="328" operator="equal">
      <formula>"TERM"</formula>
    </cfRule>
    <cfRule type="cellIs" dxfId="0" priority="329" operator="equal">
      <formula>"TRANSFER"</formula>
    </cfRule>
  </conditionalFormatting>
  <conditionalFormatting sqref="H36">
    <cfRule type="duplicateValues" dxfId="5" priority="304"/>
  </conditionalFormatting>
  <conditionalFormatting sqref="I36">
    <cfRule type="duplicateValues" dxfId="5" priority="305"/>
  </conditionalFormatting>
  <conditionalFormatting sqref="E37">
    <cfRule type="cellIs" dxfId="0" priority="276" operator="equal">
      <formula>"LOA"</formula>
    </cfRule>
    <cfRule type="cellIs" dxfId="1" priority="277" operator="equal">
      <formula>"PENDING TERM"</formula>
    </cfRule>
    <cfRule type="cellIs" dxfId="2" priority="278" operator="equal">
      <formula>"PROMOTED"</formula>
    </cfRule>
    <cfRule type="cellIs" dxfId="3" priority="279" operator="equal">
      <formula>"REINSTATEMENT"</formula>
    </cfRule>
    <cfRule type="cellIs" dxfId="4" priority="280" operator="equal">
      <formula>"TERM"</formula>
    </cfRule>
    <cfRule type="cellIs" dxfId="0" priority="281" operator="equal">
      <formula>"TRANSFER"</formula>
    </cfRule>
  </conditionalFormatting>
  <conditionalFormatting sqref="H37">
    <cfRule type="duplicateValues" dxfId="5" priority="256"/>
    <cfRule type="duplicateValues" dxfId="5" priority="258"/>
  </conditionalFormatting>
  <conditionalFormatting sqref="I37">
    <cfRule type="duplicateValues" dxfId="5" priority="257"/>
    <cfRule type="duplicateValues" dxfId="5" priority="259"/>
    <cfRule type="duplicateValues" dxfId="6" priority="260"/>
  </conditionalFormatting>
  <conditionalFormatting sqref="D38:G38">
    <cfRule type="cellIs" dxfId="0" priority="1470" operator="equal">
      <formula>"LOA"</formula>
    </cfRule>
    <cfRule type="cellIs" dxfId="1" priority="1471" operator="equal">
      <formula>"PENDING TERM"</formula>
    </cfRule>
    <cfRule type="cellIs" dxfId="2" priority="1472" operator="equal">
      <formula>"PROMOTED"</formula>
    </cfRule>
    <cfRule type="cellIs" dxfId="3" priority="1473" operator="equal">
      <formula>"REINSTATEMENT"</formula>
    </cfRule>
    <cfRule type="cellIs" dxfId="4" priority="1474" operator="equal">
      <formula>"TERM"</formula>
    </cfRule>
    <cfRule type="cellIs" dxfId="0" priority="1475" operator="equal">
      <formula>"TRANSFER"</formula>
    </cfRule>
  </conditionalFormatting>
  <conditionalFormatting sqref="H38">
    <cfRule type="duplicateValues" dxfId="5" priority="1465"/>
    <cfRule type="duplicateValues" dxfId="5" priority="1467"/>
  </conditionalFormatting>
  <conditionalFormatting sqref="H38:I38">
    <cfRule type="cellIs" dxfId="0" priority="1459" operator="equal">
      <formula>"LOA"</formula>
    </cfRule>
    <cfRule type="cellIs" dxfId="1" priority="1460" operator="equal">
      <formula>"PENDING TERM"</formula>
    </cfRule>
    <cfRule type="cellIs" dxfId="2" priority="1461" operator="equal">
      <formula>"PROMOTED"</formula>
    </cfRule>
    <cfRule type="cellIs" dxfId="3" priority="1462" operator="equal">
      <formula>"REINSTATEMENT"</formula>
    </cfRule>
    <cfRule type="cellIs" dxfId="4" priority="1463" operator="equal">
      <formula>"TERM"</formula>
    </cfRule>
    <cfRule type="cellIs" dxfId="0" priority="1464" operator="equal">
      <formula>"TRANSFER"</formula>
    </cfRule>
  </conditionalFormatting>
  <conditionalFormatting sqref="I38">
    <cfRule type="duplicateValues" dxfId="5" priority="1466"/>
    <cfRule type="duplicateValues" dxfId="5" priority="1468"/>
    <cfRule type="duplicateValues" dxfId="6" priority="1469"/>
  </conditionalFormatting>
  <conditionalFormatting sqref="D39">
    <cfRule type="duplicateValues" dxfId="5" priority="1280"/>
    <cfRule type="duplicateValues" dxfId="5" priority="1284"/>
  </conditionalFormatting>
  <conditionalFormatting sqref="D39:G39">
    <cfRule type="cellIs" dxfId="0" priority="1273" operator="equal">
      <formula>"LOA"</formula>
    </cfRule>
    <cfRule type="cellIs" dxfId="1" priority="1274" operator="equal">
      <formula>"PENDING TERM"</formula>
    </cfRule>
    <cfRule type="cellIs" dxfId="2" priority="1275" operator="equal">
      <formula>"PROMOTED"</formula>
    </cfRule>
    <cfRule type="cellIs" dxfId="3" priority="1276" operator="equal">
      <formula>"REINSTATEMENT"</formula>
    </cfRule>
    <cfRule type="cellIs" dxfId="4" priority="1277" operator="equal">
      <formula>"TERM"</formula>
    </cfRule>
    <cfRule type="cellIs" dxfId="0" priority="1278" operator="equal">
      <formula>"TRANSFER"</formula>
    </cfRule>
  </conditionalFormatting>
  <conditionalFormatting sqref="E39">
    <cfRule type="duplicateValues" dxfId="5" priority="1282"/>
    <cfRule type="duplicateValues" dxfId="5" priority="1286"/>
    <cfRule type="duplicateValues" dxfId="6" priority="1288"/>
  </conditionalFormatting>
  <conditionalFormatting sqref="F39">
    <cfRule type="duplicateValues" dxfId="5" priority="1279"/>
    <cfRule type="duplicateValues" dxfId="5" priority="1283"/>
  </conditionalFormatting>
  <conditionalFormatting sqref="G39">
    <cfRule type="duplicateValues" dxfId="5" priority="1281"/>
    <cfRule type="duplicateValues" dxfId="5" priority="1285"/>
    <cfRule type="duplicateValues" dxfId="6" priority="1287"/>
  </conditionalFormatting>
  <conditionalFormatting sqref="H39">
    <cfRule type="duplicateValues" dxfId="5" priority="1295"/>
    <cfRule type="duplicateValues" dxfId="5" priority="1297"/>
  </conditionalFormatting>
  <conditionalFormatting sqref="H39:I39">
    <cfRule type="cellIs" dxfId="0" priority="1289" operator="equal">
      <formula>"LOA"</formula>
    </cfRule>
    <cfRule type="cellIs" dxfId="1" priority="1290" operator="equal">
      <formula>"PENDING TERM"</formula>
    </cfRule>
    <cfRule type="cellIs" dxfId="2" priority="1291" operator="equal">
      <formula>"PROMOTED"</formula>
    </cfRule>
    <cfRule type="cellIs" dxfId="3" priority="1292" operator="equal">
      <formula>"REINSTATEMENT"</formula>
    </cfRule>
    <cfRule type="cellIs" dxfId="4" priority="1293" operator="equal">
      <formula>"TERM"</formula>
    </cfRule>
    <cfRule type="cellIs" dxfId="0" priority="1294" operator="equal">
      <formula>"TRANSFER"</formula>
    </cfRule>
  </conditionalFormatting>
  <conditionalFormatting sqref="I39">
    <cfRule type="duplicateValues" dxfId="5" priority="1296"/>
    <cfRule type="duplicateValues" dxfId="5" priority="1298"/>
    <cfRule type="duplicateValues" dxfId="6" priority="1299"/>
  </conditionalFormatting>
  <conditionalFormatting sqref="D40:G40">
    <cfRule type="cellIs" dxfId="0" priority="784" operator="equal">
      <formula>"LOA"</formula>
    </cfRule>
    <cfRule type="cellIs" dxfId="1" priority="785" operator="equal">
      <formula>"PENDING TERM"</formula>
    </cfRule>
    <cfRule type="cellIs" dxfId="2" priority="786" operator="equal">
      <formula>"PROMOTED"</formula>
    </cfRule>
    <cfRule type="cellIs" dxfId="3" priority="787" operator="equal">
      <formula>"REINSTATEMENT"</formula>
    </cfRule>
    <cfRule type="cellIs" dxfId="4" priority="788" operator="equal">
      <formula>"TERM"</formula>
    </cfRule>
    <cfRule type="cellIs" dxfId="0" priority="789" operator="equal">
      <formula>"TRANSFER"</formula>
    </cfRule>
  </conditionalFormatting>
  <conditionalFormatting sqref="H40">
    <cfRule type="duplicateValues" dxfId="5" priority="781"/>
  </conditionalFormatting>
  <conditionalFormatting sqref="H40:I40">
    <cfRule type="cellIs" dxfId="0" priority="775" operator="equal">
      <formula>"LOA"</formula>
    </cfRule>
    <cfRule type="cellIs" dxfId="1" priority="776" operator="equal">
      <formula>"PENDING TERM"</formula>
    </cfRule>
    <cfRule type="cellIs" dxfId="2" priority="777" operator="equal">
      <formula>"PROMOTED"</formula>
    </cfRule>
    <cfRule type="cellIs" dxfId="3" priority="778" operator="equal">
      <formula>"REINSTATEMENT"</formula>
    </cfRule>
    <cfRule type="cellIs" dxfId="4" priority="779" operator="equal">
      <formula>"TERM"</formula>
    </cfRule>
    <cfRule type="cellIs" dxfId="0" priority="780" operator="equal">
      <formula>"TRANSFER"</formula>
    </cfRule>
  </conditionalFormatting>
  <conditionalFormatting sqref="I40">
    <cfRule type="duplicateValues" dxfId="5" priority="782"/>
    <cfRule type="duplicateValues" dxfId="6" priority="783"/>
  </conditionalFormatting>
  <conditionalFormatting sqref="D41:G41">
    <cfRule type="cellIs" dxfId="0" priority="1419" operator="equal">
      <formula>"LOA"</formula>
    </cfRule>
    <cfRule type="cellIs" dxfId="1" priority="1420" operator="equal">
      <formula>"PENDING TERM"</formula>
    </cfRule>
    <cfRule type="cellIs" dxfId="2" priority="1421" operator="equal">
      <formula>"PROMOTED"</formula>
    </cfRule>
    <cfRule type="cellIs" dxfId="3" priority="1422" operator="equal">
      <formula>"REINSTATEMENT"</formula>
    </cfRule>
    <cfRule type="cellIs" dxfId="4" priority="1423" operator="equal">
      <formula>"TERM"</formula>
    </cfRule>
    <cfRule type="cellIs" dxfId="0" priority="1424" operator="equal">
      <formula>"TRANSFER"</formula>
    </cfRule>
  </conditionalFormatting>
  <conditionalFormatting sqref="H41">
    <cfRule type="duplicateValues" dxfId="5" priority="1414"/>
    <cfRule type="duplicateValues" dxfId="5" priority="1416"/>
  </conditionalFormatting>
  <conditionalFormatting sqref="H41:I41">
    <cfRule type="cellIs" dxfId="0" priority="1408" operator="equal">
      <formula>"LOA"</formula>
    </cfRule>
    <cfRule type="cellIs" dxfId="1" priority="1409" operator="equal">
      <formula>"PENDING TERM"</formula>
    </cfRule>
    <cfRule type="cellIs" dxfId="2" priority="1410" operator="equal">
      <formula>"PROMOTED"</formula>
    </cfRule>
    <cfRule type="cellIs" dxfId="3" priority="1411" operator="equal">
      <formula>"REINSTATEMENT"</formula>
    </cfRule>
    <cfRule type="cellIs" dxfId="4" priority="1412" operator="equal">
      <formula>"TERM"</formula>
    </cfRule>
    <cfRule type="cellIs" dxfId="0" priority="1413" operator="equal">
      <formula>"TRANSFER"</formula>
    </cfRule>
  </conditionalFormatting>
  <conditionalFormatting sqref="I41">
    <cfRule type="duplicateValues" dxfId="5" priority="1415"/>
    <cfRule type="duplicateValues" dxfId="5" priority="1417"/>
    <cfRule type="duplicateValues" dxfId="6" priority="1418"/>
  </conditionalFormatting>
  <conditionalFormatting sqref="D42">
    <cfRule type="duplicateValues" dxfId="5" priority="1253"/>
    <cfRule type="duplicateValues" dxfId="5" priority="1257"/>
  </conditionalFormatting>
  <conditionalFormatting sqref="D42:G42">
    <cfRule type="cellIs" dxfId="0" priority="1246" operator="equal">
      <formula>"LOA"</formula>
    </cfRule>
    <cfRule type="cellIs" dxfId="1" priority="1247" operator="equal">
      <formula>"PENDING TERM"</formula>
    </cfRule>
    <cfRule type="cellIs" dxfId="2" priority="1248" operator="equal">
      <formula>"PROMOTED"</formula>
    </cfRule>
    <cfRule type="cellIs" dxfId="3" priority="1249" operator="equal">
      <formula>"REINSTATEMENT"</formula>
    </cfRule>
    <cfRule type="cellIs" dxfId="4" priority="1250" operator="equal">
      <formula>"TERM"</formula>
    </cfRule>
    <cfRule type="cellIs" dxfId="0" priority="1251" operator="equal">
      <formula>"TRANSFER"</formula>
    </cfRule>
  </conditionalFormatting>
  <conditionalFormatting sqref="E42">
    <cfRule type="duplicateValues" dxfId="5" priority="1255"/>
    <cfRule type="duplicateValues" dxfId="5" priority="1259"/>
    <cfRule type="duplicateValues" dxfId="6" priority="1261"/>
  </conditionalFormatting>
  <conditionalFormatting sqref="F42">
    <cfRule type="duplicateValues" dxfId="5" priority="1252"/>
    <cfRule type="duplicateValues" dxfId="5" priority="1256"/>
  </conditionalFormatting>
  <conditionalFormatting sqref="G42">
    <cfRule type="duplicateValues" dxfId="5" priority="1254"/>
    <cfRule type="duplicateValues" dxfId="5" priority="1258"/>
    <cfRule type="duplicateValues" dxfId="6" priority="1260"/>
  </conditionalFormatting>
  <conditionalFormatting sqref="H42">
    <cfRule type="duplicateValues" dxfId="5" priority="1268"/>
    <cfRule type="duplicateValues" dxfId="5" priority="1270"/>
  </conditionalFormatting>
  <conditionalFormatting sqref="H42:I42">
    <cfRule type="cellIs" dxfId="0" priority="1262" operator="equal">
      <formula>"LOA"</formula>
    </cfRule>
    <cfRule type="cellIs" dxfId="1" priority="1263" operator="equal">
      <formula>"PENDING TERM"</formula>
    </cfRule>
    <cfRule type="cellIs" dxfId="2" priority="1264" operator="equal">
      <formula>"PROMOTED"</formula>
    </cfRule>
    <cfRule type="cellIs" dxfId="3" priority="1265" operator="equal">
      <formula>"REINSTATEMENT"</formula>
    </cfRule>
    <cfRule type="cellIs" dxfId="4" priority="1266" operator="equal">
      <formula>"TERM"</formula>
    </cfRule>
    <cfRule type="cellIs" dxfId="0" priority="1267" operator="equal">
      <formula>"TRANSFER"</formula>
    </cfRule>
  </conditionalFormatting>
  <conditionalFormatting sqref="I42">
    <cfRule type="duplicateValues" dxfId="5" priority="1269"/>
    <cfRule type="duplicateValues" dxfId="5" priority="1271"/>
    <cfRule type="duplicateValues" dxfId="6" priority="1272"/>
  </conditionalFormatting>
  <conditionalFormatting sqref="D43:G43">
    <cfRule type="cellIs" dxfId="0" priority="769" operator="equal">
      <formula>"LOA"</formula>
    </cfRule>
    <cfRule type="cellIs" dxfId="1" priority="770" operator="equal">
      <formula>"PENDING TERM"</formula>
    </cfRule>
    <cfRule type="cellIs" dxfId="2" priority="771" operator="equal">
      <formula>"PROMOTED"</formula>
    </cfRule>
    <cfRule type="cellIs" dxfId="3" priority="772" operator="equal">
      <formula>"REINSTATEMENT"</formula>
    </cfRule>
    <cfRule type="cellIs" dxfId="4" priority="773" operator="equal">
      <formula>"TERM"</formula>
    </cfRule>
    <cfRule type="cellIs" dxfId="0" priority="774" operator="equal">
      <formula>"TRANSFER"</formula>
    </cfRule>
  </conditionalFormatting>
  <conditionalFormatting sqref="H43">
    <cfRule type="duplicateValues" dxfId="5" priority="766"/>
  </conditionalFormatting>
  <conditionalFormatting sqref="H43:I43">
    <cfRule type="cellIs" dxfId="0" priority="760" operator="equal">
      <formula>"LOA"</formula>
    </cfRule>
    <cfRule type="cellIs" dxfId="1" priority="761" operator="equal">
      <formula>"PENDING TERM"</formula>
    </cfRule>
    <cfRule type="cellIs" dxfId="2" priority="762" operator="equal">
      <formula>"PROMOTED"</formula>
    </cfRule>
    <cfRule type="cellIs" dxfId="3" priority="763" operator="equal">
      <formula>"REINSTATEMENT"</formula>
    </cfRule>
    <cfRule type="cellIs" dxfId="4" priority="764" operator="equal">
      <formula>"TERM"</formula>
    </cfRule>
    <cfRule type="cellIs" dxfId="0" priority="765" operator="equal">
      <formula>"TRANSFER"</formula>
    </cfRule>
  </conditionalFormatting>
  <conditionalFormatting sqref="I43">
    <cfRule type="duplicateValues" dxfId="5" priority="767"/>
    <cfRule type="duplicateValues" dxfId="6" priority="768"/>
  </conditionalFormatting>
  <conditionalFormatting sqref="D44:G44">
    <cfRule type="cellIs" dxfId="0" priority="709" operator="equal">
      <formula>"LOA"</formula>
    </cfRule>
    <cfRule type="cellIs" dxfId="1" priority="710" operator="equal">
      <formula>"PENDING TERM"</formula>
    </cfRule>
    <cfRule type="cellIs" dxfId="2" priority="711" operator="equal">
      <formula>"PROMOTED"</formula>
    </cfRule>
    <cfRule type="cellIs" dxfId="3" priority="712" operator="equal">
      <formula>"REINSTATEMENT"</formula>
    </cfRule>
    <cfRule type="cellIs" dxfId="4" priority="713" operator="equal">
      <formula>"TERM"</formula>
    </cfRule>
    <cfRule type="cellIs" dxfId="0" priority="714" operator="equal">
      <formula>"TRANSFER"</formula>
    </cfRule>
  </conditionalFormatting>
  <conditionalFormatting sqref="H44">
    <cfRule type="duplicateValues" dxfId="5" priority="706"/>
  </conditionalFormatting>
  <conditionalFormatting sqref="H44:I44">
    <cfRule type="cellIs" dxfId="0" priority="700" operator="equal">
      <formula>"LOA"</formula>
    </cfRule>
    <cfRule type="cellIs" dxfId="1" priority="701" operator="equal">
      <formula>"PENDING TERM"</formula>
    </cfRule>
    <cfRule type="cellIs" dxfId="2" priority="702" operator="equal">
      <formula>"PROMOTED"</formula>
    </cfRule>
    <cfRule type="cellIs" dxfId="3" priority="703" operator="equal">
      <formula>"REINSTATEMENT"</formula>
    </cfRule>
    <cfRule type="cellIs" dxfId="4" priority="704" operator="equal">
      <formula>"TERM"</formula>
    </cfRule>
    <cfRule type="cellIs" dxfId="0" priority="705" operator="equal">
      <formula>"TRANSFER"</formula>
    </cfRule>
  </conditionalFormatting>
  <conditionalFormatting sqref="I44">
    <cfRule type="duplicateValues" dxfId="5" priority="707"/>
    <cfRule type="duplicateValues" dxfId="6" priority="708"/>
  </conditionalFormatting>
  <conditionalFormatting sqref="D45:G45">
    <cfRule type="cellIs" dxfId="0" priority="1044" operator="equal">
      <formula>"LOA"</formula>
    </cfRule>
    <cfRule type="cellIs" dxfId="1" priority="1045" operator="equal">
      <formula>"PENDING TERM"</formula>
    </cfRule>
    <cfRule type="cellIs" dxfId="2" priority="1046" operator="equal">
      <formula>"PROMOTED"</formula>
    </cfRule>
    <cfRule type="cellIs" dxfId="3" priority="1047" operator="equal">
      <formula>"REINSTATEMENT"</formula>
    </cfRule>
    <cfRule type="cellIs" dxfId="4" priority="1048" operator="equal">
      <formula>"TERM"</formula>
    </cfRule>
    <cfRule type="cellIs" dxfId="0" priority="1049" operator="equal">
      <formula>"TRANSFER"</formula>
    </cfRule>
  </conditionalFormatting>
  <conditionalFormatting sqref="H45">
    <cfRule type="duplicateValues" dxfId="5" priority="1039"/>
    <cfRule type="duplicateValues" dxfId="5" priority="1041"/>
  </conditionalFormatting>
  <conditionalFormatting sqref="H45:I45">
    <cfRule type="cellIs" dxfId="0" priority="1033" operator="equal">
      <formula>"LOA"</formula>
    </cfRule>
    <cfRule type="cellIs" dxfId="1" priority="1034" operator="equal">
      <formula>"PENDING TERM"</formula>
    </cfRule>
    <cfRule type="cellIs" dxfId="2" priority="1035" operator="equal">
      <formula>"PROMOTED"</formula>
    </cfRule>
    <cfRule type="cellIs" dxfId="3" priority="1036" operator="equal">
      <formula>"REINSTATEMENT"</formula>
    </cfRule>
    <cfRule type="cellIs" dxfId="4" priority="1037" operator="equal">
      <formula>"TERM"</formula>
    </cfRule>
    <cfRule type="cellIs" dxfId="0" priority="1038" operator="equal">
      <formula>"TRANSFER"</formula>
    </cfRule>
  </conditionalFormatting>
  <conditionalFormatting sqref="I45">
    <cfRule type="duplicateValues" dxfId="5" priority="1040"/>
    <cfRule type="duplicateValues" dxfId="5" priority="1042"/>
    <cfRule type="duplicateValues" dxfId="6" priority="1043"/>
  </conditionalFormatting>
  <conditionalFormatting sqref="D46:G46">
    <cfRule type="cellIs" dxfId="0" priority="694" operator="equal">
      <formula>"LOA"</formula>
    </cfRule>
    <cfRule type="cellIs" dxfId="1" priority="695" operator="equal">
      <formula>"PENDING TERM"</formula>
    </cfRule>
    <cfRule type="cellIs" dxfId="2" priority="696" operator="equal">
      <formula>"PROMOTED"</formula>
    </cfRule>
    <cfRule type="cellIs" dxfId="3" priority="697" operator="equal">
      <formula>"REINSTATEMENT"</formula>
    </cfRule>
    <cfRule type="cellIs" dxfId="4" priority="698" operator="equal">
      <formula>"TERM"</formula>
    </cfRule>
    <cfRule type="cellIs" dxfId="0" priority="699" operator="equal">
      <formula>"TRANSFER"</formula>
    </cfRule>
  </conditionalFormatting>
  <conditionalFormatting sqref="H46">
    <cfRule type="duplicateValues" dxfId="5" priority="691"/>
  </conditionalFormatting>
  <conditionalFormatting sqref="H46:I46">
    <cfRule type="cellIs" dxfId="0" priority="685" operator="equal">
      <formula>"LOA"</formula>
    </cfRule>
    <cfRule type="cellIs" dxfId="1" priority="686" operator="equal">
      <formula>"PENDING TERM"</formula>
    </cfRule>
    <cfRule type="cellIs" dxfId="2" priority="687" operator="equal">
      <formula>"PROMOTED"</formula>
    </cfRule>
    <cfRule type="cellIs" dxfId="3" priority="688" operator="equal">
      <formula>"REINSTATEMENT"</formula>
    </cfRule>
    <cfRule type="cellIs" dxfId="4" priority="689" operator="equal">
      <formula>"TERM"</formula>
    </cfRule>
    <cfRule type="cellIs" dxfId="0" priority="690" operator="equal">
      <formula>"TRANSFER"</formula>
    </cfRule>
  </conditionalFormatting>
  <conditionalFormatting sqref="I46">
    <cfRule type="duplicateValues" dxfId="5" priority="692"/>
    <cfRule type="duplicateValues" dxfId="6" priority="693"/>
  </conditionalFormatting>
  <conditionalFormatting sqref="D47:G47">
    <cfRule type="cellIs" dxfId="0" priority="574" operator="equal">
      <formula>"LOA"</formula>
    </cfRule>
    <cfRule type="cellIs" dxfId="1" priority="575" operator="equal">
      <formula>"PENDING TERM"</formula>
    </cfRule>
    <cfRule type="cellIs" dxfId="2" priority="576" operator="equal">
      <formula>"PROMOTED"</formula>
    </cfRule>
    <cfRule type="cellIs" dxfId="3" priority="577" operator="equal">
      <formula>"REINSTATEMENT"</formula>
    </cfRule>
    <cfRule type="cellIs" dxfId="4" priority="578" operator="equal">
      <formula>"TERM"</formula>
    </cfRule>
    <cfRule type="cellIs" dxfId="0" priority="579" operator="equal">
      <formula>"TRANSFER"</formula>
    </cfRule>
  </conditionalFormatting>
  <conditionalFormatting sqref="H47">
    <cfRule type="duplicateValues" dxfId="5" priority="567"/>
    <cfRule type="duplicateValues" dxfId="5" priority="569"/>
    <cfRule type="duplicateValues" dxfId="5" priority="571"/>
  </conditionalFormatting>
  <conditionalFormatting sqref="H47:I47">
    <cfRule type="cellIs" dxfId="0" priority="561" operator="equal">
      <formula>"LOA"</formula>
    </cfRule>
    <cfRule type="cellIs" dxfId="1" priority="562" operator="equal">
      <formula>"PENDING TERM"</formula>
    </cfRule>
    <cfRule type="cellIs" dxfId="2" priority="563" operator="equal">
      <formula>"PROMOTED"</formula>
    </cfRule>
    <cfRule type="cellIs" dxfId="3" priority="564" operator="equal">
      <formula>"REINSTATEMENT"</formula>
    </cfRule>
    <cfRule type="cellIs" dxfId="4" priority="565" operator="equal">
      <formula>"TERM"</formula>
    </cfRule>
    <cfRule type="cellIs" dxfId="0" priority="566" operator="equal">
      <formula>"TRANSFER"</formula>
    </cfRule>
  </conditionalFormatting>
  <conditionalFormatting sqref="I47">
    <cfRule type="duplicateValues" dxfId="5" priority="568"/>
    <cfRule type="duplicateValues" dxfId="5" priority="570"/>
    <cfRule type="duplicateValues" dxfId="5" priority="572"/>
    <cfRule type="duplicateValues" dxfId="6" priority="573"/>
  </conditionalFormatting>
  <conditionalFormatting sqref="D48:G48">
    <cfRule type="cellIs" dxfId="0" priority="835" operator="equal">
      <formula>"LOA"</formula>
    </cfRule>
    <cfRule type="cellIs" dxfId="1" priority="836" operator="equal">
      <formula>"PENDING TERM"</formula>
    </cfRule>
    <cfRule type="cellIs" dxfId="2" priority="837" operator="equal">
      <formula>"PROMOTED"</formula>
    </cfRule>
    <cfRule type="cellIs" dxfId="3" priority="838" operator="equal">
      <formula>"REINSTATEMENT"</formula>
    </cfRule>
    <cfRule type="cellIs" dxfId="4" priority="839" operator="equal">
      <formula>"TERM"</formula>
    </cfRule>
    <cfRule type="cellIs" dxfId="0" priority="840" operator="equal">
      <formula>"TRANSFER"</formula>
    </cfRule>
  </conditionalFormatting>
  <conditionalFormatting sqref="H48">
    <cfRule type="duplicateValues" dxfId="5" priority="830"/>
    <cfRule type="duplicateValues" dxfId="5" priority="832"/>
  </conditionalFormatting>
  <conditionalFormatting sqref="H48:I48">
    <cfRule type="cellIs" dxfId="0" priority="824" operator="equal">
      <formula>"LOA"</formula>
    </cfRule>
    <cfRule type="cellIs" dxfId="1" priority="825" operator="equal">
      <formula>"PENDING TERM"</formula>
    </cfRule>
    <cfRule type="cellIs" dxfId="2" priority="826" operator="equal">
      <formula>"PROMOTED"</formula>
    </cfRule>
    <cfRule type="cellIs" dxfId="3" priority="827" operator="equal">
      <formula>"REINSTATEMENT"</formula>
    </cfRule>
    <cfRule type="cellIs" dxfId="4" priority="828" operator="equal">
      <formula>"TERM"</formula>
    </cfRule>
    <cfRule type="cellIs" dxfId="0" priority="829" operator="equal">
      <formula>"TRANSFER"</formula>
    </cfRule>
  </conditionalFormatting>
  <conditionalFormatting sqref="I48">
    <cfRule type="duplicateValues" dxfId="5" priority="831"/>
    <cfRule type="duplicateValues" dxfId="5" priority="833"/>
    <cfRule type="duplicateValues" dxfId="6" priority="834"/>
  </conditionalFormatting>
  <conditionalFormatting sqref="D49">
    <cfRule type="cellIs" dxfId="0" priority="964" operator="equal">
      <formula>"LOA"</formula>
    </cfRule>
    <cfRule type="cellIs" dxfId="1" priority="965" operator="equal">
      <formula>"PENDING TERM"</formula>
    </cfRule>
    <cfRule type="cellIs" dxfId="2" priority="966" operator="equal">
      <formula>"PROMOTED"</formula>
    </cfRule>
    <cfRule type="cellIs" dxfId="3" priority="967" operator="equal">
      <formula>"REINSTATEMENT"</formula>
    </cfRule>
    <cfRule type="cellIs" dxfId="4" priority="968" operator="equal">
      <formula>"TERM"</formula>
    </cfRule>
    <cfRule type="cellIs" dxfId="0" priority="969" operator="equal">
      <formula>"TRANSFER"</formula>
    </cfRule>
  </conditionalFormatting>
  <conditionalFormatting sqref="H49">
    <cfRule type="duplicateValues" dxfId="5" priority="970"/>
  </conditionalFormatting>
  <conditionalFormatting sqref="I49">
    <cfRule type="duplicateValues" dxfId="5" priority="971"/>
    <cfRule type="duplicateValues" dxfId="6" priority="972"/>
  </conditionalFormatting>
  <conditionalFormatting sqref="D50:G50">
    <cfRule type="cellIs" dxfId="0" priority="852" operator="equal">
      <formula>"LOA"</formula>
    </cfRule>
    <cfRule type="cellIs" dxfId="1" priority="853" operator="equal">
      <formula>"PENDING TERM"</formula>
    </cfRule>
    <cfRule type="cellIs" dxfId="2" priority="854" operator="equal">
      <formula>"PROMOTED"</formula>
    </cfRule>
    <cfRule type="cellIs" dxfId="3" priority="855" operator="equal">
      <formula>"REINSTATEMENT"</formula>
    </cfRule>
    <cfRule type="cellIs" dxfId="4" priority="856" operator="equal">
      <formula>"TERM"</formula>
    </cfRule>
    <cfRule type="cellIs" dxfId="0" priority="857" operator="equal">
      <formula>"TRANSFER"</formula>
    </cfRule>
  </conditionalFormatting>
  <conditionalFormatting sqref="H50">
    <cfRule type="duplicateValues" dxfId="5" priority="847"/>
    <cfRule type="duplicateValues" dxfId="5" priority="849"/>
  </conditionalFormatting>
  <conditionalFormatting sqref="H50:I50">
    <cfRule type="cellIs" dxfId="0" priority="841" operator="equal">
      <formula>"LOA"</formula>
    </cfRule>
    <cfRule type="cellIs" dxfId="1" priority="842" operator="equal">
      <formula>"PENDING TERM"</formula>
    </cfRule>
    <cfRule type="cellIs" dxfId="2" priority="843" operator="equal">
      <formula>"PROMOTED"</formula>
    </cfRule>
    <cfRule type="cellIs" dxfId="3" priority="844" operator="equal">
      <formula>"REINSTATEMENT"</formula>
    </cfRule>
    <cfRule type="cellIs" dxfId="4" priority="845" operator="equal">
      <formula>"TERM"</formula>
    </cfRule>
    <cfRule type="cellIs" dxfId="0" priority="846" operator="equal">
      <formula>"TRANSFER"</formula>
    </cfRule>
  </conditionalFormatting>
  <conditionalFormatting sqref="I50">
    <cfRule type="duplicateValues" dxfId="5" priority="848"/>
    <cfRule type="duplicateValues" dxfId="5" priority="850"/>
    <cfRule type="duplicateValues" dxfId="6" priority="851"/>
  </conditionalFormatting>
  <conditionalFormatting sqref="D52">
    <cfRule type="cellIs" dxfId="0" priority="955" operator="equal">
      <formula>"LOA"</formula>
    </cfRule>
    <cfRule type="cellIs" dxfId="1" priority="956" operator="equal">
      <formula>"PENDING TERM"</formula>
    </cfRule>
    <cfRule type="cellIs" dxfId="2" priority="957" operator="equal">
      <formula>"PROMOTED"</formula>
    </cfRule>
    <cfRule type="cellIs" dxfId="3" priority="958" operator="equal">
      <formula>"REINSTATEMENT"</formula>
    </cfRule>
    <cfRule type="cellIs" dxfId="4" priority="959" operator="equal">
      <formula>"TERM"</formula>
    </cfRule>
    <cfRule type="cellIs" dxfId="0" priority="960" operator="equal">
      <formula>"TRANSFER"</formula>
    </cfRule>
  </conditionalFormatting>
  <conditionalFormatting sqref="H52">
    <cfRule type="duplicateValues" dxfId="5" priority="961"/>
  </conditionalFormatting>
  <conditionalFormatting sqref="I52">
    <cfRule type="duplicateValues" dxfId="5" priority="962"/>
    <cfRule type="duplicateValues" dxfId="6" priority="963"/>
  </conditionalFormatting>
  <conditionalFormatting sqref="D56">
    <cfRule type="cellIs" dxfId="0" priority="946" operator="equal">
      <formula>"LOA"</formula>
    </cfRule>
    <cfRule type="cellIs" dxfId="1" priority="947" operator="equal">
      <formula>"PENDING TERM"</formula>
    </cfRule>
    <cfRule type="cellIs" dxfId="2" priority="948" operator="equal">
      <formula>"PROMOTED"</formula>
    </cfRule>
    <cfRule type="cellIs" dxfId="3" priority="949" operator="equal">
      <formula>"REINSTATEMENT"</formula>
    </cfRule>
    <cfRule type="cellIs" dxfId="4" priority="950" operator="equal">
      <formula>"TERM"</formula>
    </cfRule>
    <cfRule type="cellIs" dxfId="0" priority="951" operator="equal">
      <formula>"TRANSFER"</formula>
    </cfRule>
  </conditionalFormatting>
  <conditionalFormatting sqref="H56">
    <cfRule type="duplicateValues" dxfId="5" priority="952"/>
  </conditionalFormatting>
  <conditionalFormatting sqref="I56">
    <cfRule type="duplicateValues" dxfId="5" priority="953"/>
    <cfRule type="duplicateValues" dxfId="6" priority="954"/>
  </conditionalFormatting>
  <conditionalFormatting sqref="D61">
    <cfRule type="duplicateValues" dxfId="5" priority="1226"/>
    <cfRule type="duplicateValues" dxfId="5" priority="1230"/>
  </conditionalFormatting>
  <conditionalFormatting sqref="D61:G61">
    <cfRule type="cellIs" dxfId="0" priority="1219" operator="equal">
      <formula>"LOA"</formula>
    </cfRule>
    <cfRule type="cellIs" dxfId="1" priority="1220" operator="equal">
      <formula>"PENDING TERM"</formula>
    </cfRule>
    <cfRule type="cellIs" dxfId="2" priority="1221" operator="equal">
      <formula>"PROMOTED"</formula>
    </cfRule>
    <cfRule type="cellIs" dxfId="3" priority="1222" operator="equal">
      <formula>"REINSTATEMENT"</formula>
    </cfRule>
    <cfRule type="cellIs" dxfId="4" priority="1223" operator="equal">
      <formula>"TERM"</formula>
    </cfRule>
    <cfRule type="cellIs" dxfId="0" priority="1224" operator="equal">
      <formula>"TRANSFER"</formula>
    </cfRule>
  </conditionalFormatting>
  <conditionalFormatting sqref="E61">
    <cfRule type="duplicateValues" dxfId="5" priority="1228"/>
    <cfRule type="duplicateValues" dxfId="5" priority="1232"/>
    <cfRule type="duplicateValues" dxfId="6" priority="1234"/>
  </conditionalFormatting>
  <conditionalFormatting sqref="F61">
    <cfRule type="duplicateValues" dxfId="5" priority="1225"/>
    <cfRule type="duplicateValues" dxfId="5" priority="1229"/>
  </conditionalFormatting>
  <conditionalFormatting sqref="G61">
    <cfRule type="duplicateValues" dxfId="5" priority="1227"/>
    <cfRule type="duplicateValues" dxfId="5" priority="1231"/>
    <cfRule type="duplicateValues" dxfId="6" priority="1233"/>
  </conditionalFormatting>
  <conditionalFormatting sqref="H61">
    <cfRule type="duplicateValues" dxfId="5" priority="1241"/>
    <cfRule type="duplicateValues" dxfId="5" priority="1243"/>
  </conditionalFormatting>
  <conditionalFormatting sqref="H61:I61">
    <cfRule type="cellIs" dxfId="0" priority="1235" operator="equal">
      <formula>"LOA"</formula>
    </cfRule>
    <cfRule type="cellIs" dxfId="1" priority="1236" operator="equal">
      <formula>"PENDING TERM"</formula>
    </cfRule>
    <cfRule type="cellIs" dxfId="2" priority="1237" operator="equal">
      <formula>"PROMOTED"</formula>
    </cfRule>
    <cfRule type="cellIs" dxfId="3" priority="1238" operator="equal">
      <formula>"REINSTATEMENT"</formula>
    </cfRule>
    <cfRule type="cellIs" dxfId="4" priority="1239" operator="equal">
      <formula>"TERM"</formula>
    </cfRule>
    <cfRule type="cellIs" dxfId="0" priority="1240" operator="equal">
      <formula>"TRANSFER"</formula>
    </cfRule>
  </conditionalFormatting>
  <conditionalFormatting sqref="I61">
    <cfRule type="duplicateValues" dxfId="5" priority="1242"/>
    <cfRule type="duplicateValues" dxfId="5" priority="1244"/>
    <cfRule type="duplicateValues" dxfId="6" priority="1245"/>
  </conditionalFormatting>
  <conditionalFormatting sqref="D62:G62">
    <cfRule type="cellIs" dxfId="0" priority="754" operator="equal">
      <formula>"LOA"</formula>
    </cfRule>
    <cfRule type="cellIs" dxfId="1" priority="755" operator="equal">
      <formula>"PENDING TERM"</formula>
    </cfRule>
    <cfRule type="cellIs" dxfId="2" priority="756" operator="equal">
      <formula>"PROMOTED"</formula>
    </cfRule>
    <cfRule type="cellIs" dxfId="3" priority="757" operator="equal">
      <formula>"REINSTATEMENT"</formula>
    </cfRule>
    <cfRule type="cellIs" dxfId="4" priority="758" operator="equal">
      <formula>"TERM"</formula>
    </cfRule>
    <cfRule type="cellIs" dxfId="0" priority="759" operator="equal">
      <formula>"TRANSFER"</formula>
    </cfRule>
  </conditionalFormatting>
  <conditionalFormatting sqref="H62">
    <cfRule type="duplicateValues" dxfId="5" priority="751"/>
  </conditionalFormatting>
  <conditionalFormatting sqref="H62:I62">
    <cfRule type="cellIs" dxfId="0" priority="745" operator="equal">
      <formula>"LOA"</formula>
    </cfRule>
    <cfRule type="cellIs" dxfId="1" priority="746" operator="equal">
      <formula>"PENDING TERM"</formula>
    </cfRule>
    <cfRule type="cellIs" dxfId="2" priority="747" operator="equal">
      <formula>"PROMOTED"</formula>
    </cfRule>
    <cfRule type="cellIs" dxfId="3" priority="748" operator="equal">
      <formula>"REINSTATEMENT"</formula>
    </cfRule>
    <cfRule type="cellIs" dxfId="4" priority="749" operator="equal">
      <formula>"TERM"</formula>
    </cfRule>
    <cfRule type="cellIs" dxfId="0" priority="750" operator="equal">
      <formula>"TRANSFER"</formula>
    </cfRule>
  </conditionalFormatting>
  <conditionalFormatting sqref="I62">
    <cfRule type="duplicateValues" dxfId="5" priority="752"/>
    <cfRule type="duplicateValues" dxfId="6" priority="753"/>
  </conditionalFormatting>
  <conditionalFormatting sqref="D63">
    <cfRule type="duplicateValues" dxfId="5" priority="1199"/>
    <cfRule type="duplicateValues" dxfId="5" priority="1203"/>
  </conditionalFormatting>
  <conditionalFormatting sqref="D63:G63">
    <cfRule type="cellIs" dxfId="0" priority="1192" operator="equal">
      <formula>"LOA"</formula>
    </cfRule>
    <cfRule type="cellIs" dxfId="1" priority="1193" operator="equal">
      <formula>"PENDING TERM"</formula>
    </cfRule>
    <cfRule type="cellIs" dxfId="2" priority="1194" operator="equal">
      <formula>"PROMOTED"</formula>
    </cfRule>
    <cfRule type="cellIs" dxfId="3" priority="1195" operator="equal">
      <formula>"REINSTATEMENT"</formula>
    </cfRule>
    <cfRule type="cellIs" dxfId="4" priority="1196" operator="equal">
      <formula>"TERM"</formula>
    </cfRule>
    <cfRule type="cellIs" dxfId="0" priority="1197" operator="equal">
      <formula>"TRANSFER"</formula>
    </cfRule>
  </conditionalFormatting>
  <conditionalFormatting sqref="E63">
    <cfRule type="duplicateValues" dxfId="5" priority="1201"/>
    <cfRule type="duplicateValues" dxfId="5" priority="1205"/>
    <cfRule type="duplicateValues" dxfId="6" priority="1207"/>
  </conditionalFormatting>
  <conditionalFormatting sqref="F63">
    <cfRule type="duplicateValues" dxfId="5" priority="1198"/>
    <cfRule type="duplicateValues" dxfId="5" priority="1202"/>
  </conditionalFormatting>
  <conditionalFormatting sqref="G63">
    <cfRule type="duplicateValues" dxfId="5" priority="1200"/>
    <cfRule type="duplicateValues" dxfId="5" priority="1204"/>
    <cfRule type="duplicateValues" dxfId="6" priority="1206"/>
  </conditionalFormatting>
  <conditionalFormatting sqref="H63">
    <cfRule type="duplicateValues" dxfId="5" priority="1214"/>
    <cfRule type="duplicateValues" dxfId="5" priority="1216"/>
  </conditionalFormatting>
  <conditionalFormatting sqref="H63:I63">
    <cfRule type="cellIs" dxfId="0" priority="1208" operator="equal">
      <formula>"LOA"</formula>
    </cfRule>
    <cfRule type="cellIs" dxfId="1" priority="1209" operator="equal">
      <formula>"PENDING TERM"</formula>
    </cfRule>
    <cfRule type="cellIs" dxfId="2" priority="1210" operator="equal">
      <formula>"PROMOTED"</formula>
    </cfRule>
    <cfRule type="cellIs" dxfId="3" priority="1211" operator="equal">
      <formula>"REINSTATEMENT"</formula>
    </cfRule>
    <cfRule type="cellIs" dxfId="4" priority="1212" operator="equal">
      <formula>"TERM"</formula>
    </cfRule>
    <cfRule type="cellIs" dxfId="0" priority="1213" operator="equal">
      <formula>"TRANSFER"</formula>
    </cfRule>
  </conditionalFormatting>
  <conditionalFormatting sqref="I63">
    <cfRule type="duplicateValues" dxfId="5" priority="1215"/>
    <cfRule type="duplicateValues" dxfId="5" priority="1217"/>
    <cfRule type="duplicateValues" dxfId="6" priority="1218"/>
  </conditionalFormatting>
  <conditionalFormatting sqref="D64:G64">
    <cfRule type="cellIs" dxfId="0" priority="739" operator="equal">
      <formula>"LOA"</formula>
    </cfRule>
    <cfRule type="cellIs" dxfId="1" priority="740" operator="equal">
      <formula>"PENDING TERM"</formula>
    </cfRule>
    <cfRule type="cellIs" dxfId="2" priority="741" operator="equal">
      <formula>"PROMOTED"</formula>
    </cfRule>
    <cfRule type="cellIs" dxfId="3" priority="742" operator="equal">
      <formula>"REINSTATEMENT"</formula>
    </cfRule>
    <cfRule type="cellIs" dxfId="4" priority="743" operator="equal">
      <formula>"TERM"</formula>
    </cfRule>
    <cfRule type="cellIs" dxfId="0" priority="744" operator="equal">
      <formula>"TRANSFER"</formula>
    </cfRule>
  </conditionalFormatting>
  <conditionalFormatting sqref="H64">
    <cfRule type="duplicateValues" dxfId="5" priority="736"/>
  </conditionalFormatting>
  <conditionalFormatting sqref="H64:I64">
    <cfRule type="cellIs" dxfId="0" priority="730" operator="equal">
      <formula>"LOA"</formula>
    </cfRule>
    <cfRule type="cellIs" dxfId="1" priority="731" operator="equal">
      <formula>"PENDING TERM"</formula>
    </cfRule>
    <cfRule type="cellIs" dxfId="2" priority="732" operator="equal">
      <formula>"PROMOTED"</formula>
    </cfRule>
    <cfRule type="cellIs" dxfId="3" priority="733" operator="equal">
      <formula>"REINSTATEMENT"</formula>
    </cfRule>
    <cfRule type="cellIs" dxfId="4" priority="734" operator="equal">
      <formula>"TERM"</formula>
    </cfRule>
    <cfRule type="cellIs" dxfId="0" priority="735" operator="equal">
      <formula>"TRANSFER"</formula>
    </cfRule>
  </conditionalFormatting>
  <conditionalFormatting sqref="I64">
    <cfRule type="duplicateValues" dxfId="5" priority="737"/>
    <cfRule type="duplicateValues" dxfId="6" priority="738"/>
  </conditionalFormatting>
  <conditionalFormatting sqref="D65:G65">
    <cfRule type="cellIs" dxfId="0" priority="414" operator="equal">
      <formula>"LOA"</formula>
    </cfRule>
    <cfRule type="cellIs" dxfId="1" priority="415" operator="equal">
      <formula>"PENDING TERM"</formula>
    </cfRule>
    <cfRule type="cellIs" dxfId="2" priority="416" operator="equal">
      <formula>"PROMOTED"</formula>
    </cfRule>
    <cfRule type="cellIs" dxfId="3" priority="417" operator="equal">
      <formula>"REINSTATEMENT"</formula>
    </cfRule>
    <cfRule type="cellIs" dxfId="4" priority="418" operator="equal">
      <formula>"TERM"</formula>
    </cfRule>
    <cfRule type="cellIs" dxfId="0" priority="419" operator="equal">
      <formula>"TRANSFER"</formula>
    </cfRule>
  </conditionalFormatting>
  <conditionalFormatting sqref="H65">
    <cfRule type="duplicateValues" dxfId="5" priority="407"/>
    <cfRule type="duplicateValues" dxfId="5" priority="409"/>
    <cfRule type="duplicateValues" dxfId="5" priority="411"/>
  </conditionalFormatting>
  <conditionalFormatting sqref="H65:I65">
    <cfRule type="cellIs" dxfId="0" priority="401" operator="equal">
      <formula>"LOA"</formula>
    </cfRule>
    <cfRule type="cellIs" dxfId="1" priority="402" operator="equal">
      <formula>"PENDING TERM"</formula>
    </cfRule>
    <cfRule type="cellIs" dxfId="2" priority="403" operator="equal">
      <formula>"PROMOTED"</formula>
    </cfRule>
    <cfRule type="cellIs" dxfId="3" priority="404" operator="equal">
      <formula>"REINSTATEMENT"</formula>
    </cfRule>
    <cfRule type="cellIs" dxfId="4" priority="405" operator="equal">
      <formula>"TERM"</formula>
    </cfRule>
    <cfRule type="cellIs" dxfId="0" priority="406" operator="equal">
      <formula>"TRANSFER"</formula>
    </cfRule>
  </conditionalFormatting>
  <conditionalFormatting sqref="I65">
    <cfRule type="duplicateValues" dxfId="5" priority="408"/>
    <cfRule type="duplicateValues" dxfId="5" priority="410"/>
    <cfRule type="duplicateValues" dxfId="5" priority="412"/>
    <cfRule type="duplicateValues" dxfId="6" priority="413"/>
  </conditionalFormatting>
  <conditionalFormatting sqref="D66:G66">
    <cfRule type="cellIs" dxfId="0" priority="536" operator="equal">
      <formula>"LOA"</formula>
    </cfRule>
    <cfRule type="cellIs" dxfId="1" priority="537" operator="equal">
      <formula>"PENDING TERM"</formula>
    </cfRule>
    <cfRule type="cellIs" dxfId="2" priority="538" operator="equal">
      <formula>"PROMOTED"</formula>
    </cfRule>
    <cfRule type="cellIs" dxfId="3" priority="539" operator="equal">
      <formula>"REINSTATEMENT"</formula>
    </cfRule>
    <cfRule type="cellIs" dxfId="4" priority="540" operator="equal">
      <formula>"TERM"</formula>
    </cfRule>
    <cfRule type="cellIs" dxfId="0" priority="541" operator="equal">
      <formula>"TRANSFER"</formula>
    </cfRule>
  </conditionalFormatting>
  <conditionalFormatting sqref="H66">
    <cfRule type="duplicateValues" dxfId="5" priority="529"/>
    <cfRule type="duplicateValues" dxfId="5" priority="531"/>
    <cfRule type="duplicateValues" dxfId="5" priority="533"/>
  </conditionalFormatting>
  <conditionalFormatting sqref="H66:I66">
    <cfRule type="cellIs" dxfId="0" priority="523" operator="equal">
      <formula>"LOA"</formula>
    </cfRule>
    <cfRule type="cellIs" dxfId="1" priority="524" operator="equal">
      <formula>"PENDING TERM"</formula>
    </cfRule>
    <cfRule type="cellIs" dxfId="2" priority="525" operator="equal">
      <formula>"PROMOTED"</formula>
    </cfRule>
    <cfRule type="cellIs" dxfId="3" priority="526" operator="equal">
      <formula>"REINSTATEMENT"</formula>
    </cfRule>
    <cfRule type="cellIs" dxfId="4" priority="527" operator="equal">
      <formula>"TERM"</formula>
    </cfRule>
    <cfRule type="cellIs" dxfId="0" priority="528" operator="equal">
      <formula>"TRANSFER"</formula>
    </cfRule>
  </conditionalFormatting>
  <conditionalFormatting sqref="I66">
    <cfRule type="duplicateValues" dxfId="5" priority="530"/>
    <cfRule type="duplicateValues" dxfId="5" priority="532"/>
    <cfRule type="duplicateValues" dxfId="5" priority="534"/>
    <cfRule type="duplicateValues" dxfId="6" priority="535"/>
  </conditionalFormatting>
  <conditionalFormatting sqref="D67:G67">
    <cfRule type="cellIs" dxfId="0" priority="664" operator="equal">
      <formula>"LOA"</formula>
    </cfRule>
    <cfRule type="cellIs" dxfId="1" priority="665" operator="equal">
      <formula>"PENDING TERM"</formula>
    </cfRule>
    <cfRule type="cellIs" dxfId="2" priority="666" operator="equal">
      <formula>"PROMOTED"</formula>
    </cfRule>
    <cfRule type="cellIs" dxfId="3" priority="667" operator="equal">
      <formula>"REINSTATEMENT"</formula>
    </cfRule>
    <cfRule type="cellIs" dxfId="4" priority="668" operator="equal">
      <formula>"TERM"</formula>
    </cfRule>
    <cfRule type="cellIs" dxfId="0" priority="669" operator="equal">
      <formula>"TRANSFER"</formula>
    </cfRule>
  </conditionalFormatting>
  <conditionalFormatting sqref="H67">
    <cfRule type="duplicateValues" dxfId="5" priority="661"/>
  </conditionalFormatting>
  <conditionalFormatting sqref="H67:I67">
    <cfRule type="cellIs" dxfId="0" priority="655" operator="equal">
      <formula>"LOA"</formula>
    </cfRule>
    <cfRule type="cellIs" dxfId="1" priority="656" operator="equal">
      <formula>"PENDING TERM"</formula>
    </cfRule>
    <cfRule type="cellIs" dxfId="2" priority="657" operator="equal">
      <formula>"PROMOTED"</formula>
    </cfRule>
    <cfRule type="cellIs" dxfId="3" priority="658" operator="equal">
      <formula>"REINSTATEMENT"</formula>
    </cfRule>
    <cfRule type="cellIs" dxfId="4" priority="659" operator="equal">
      <formula>"TERM"</formula>
    </cfRule>
    <cfRule type="cellIs" dxfId="0" priority="660" operator="equal">
      <formula>"TRANSFER"</formula>
    </cfRule>
  </conditionalFormatting>
  <conditionalFormatting sqref="I67">
    <cfRule type="duplicateValues" dxfId="5" priority="662"/>
    <cfRule type="duplicateValues" dxfId="6" priority="663"/>
  </conditionalFormatting>
  <conditionalFormatting sqref="D68:G68">
    <cfRule type="cellIs" dxfId="0" priority="801" operator="equal">
      <formula>"LOA"</formula>
    </cfRule>
    <cfRule type="cellIs" dxfId="1" priority="802" operator="equal">
      <formula>"PENDING TERM"</formula>
    </cfRule>
    <cfRule type="cellIs" dxfId="2" priority="803" operator="equal">
      <formula>"PROMOTED"</formula>
    </cfRule>
    <cfRule type="cellIs" dxfId="3" priority="804" operator="equal">
      <formula>"REINSTATEMENT"</formula>
    </cfRule>
    <cfRule type="cellIs" dxfId="4" priority="805" operator="equal">
      <formula>"TERM"</formula>
    </cfRule>
    <cfRule type="cellIs" dxfId="0" priority="806" operator="equal">
      <formula>"TRANSFER"</formula>
    </cfRule>
  </conditionalFormatting>
  <conditionalFormatting sqref="H68">
    <cfRule type="duplicateValues" dxfId="5" priority="796"/>
    <cfRule type="duplicateValues" dxfId="5" priority="798"/>
  </conditionalFormatting>
  <conditionalFormatting sqref="H68:I68">
    <cfRule type="cellIs" dxfId="0" priority="790" operator="equal">
      <formula>"LOA"</formula>
    </cfRule>
    <cfRule type="cellIs" dxfId="1" priority="791" operator="equal">
      <formula>"PENDING TERM"</formula>
    </cfRule>
    <cfRule type="cellIs" dxfId="2" priority="792" operator="equal">
      <formula>"PROMOTED"</formula>
    </cfRule>
    <cfRule type="cellIs" dxfId="3" priority="793" operator="equal">
      <formula>"REINSTATEMENT"</formula>
    </cfRule>
    <cfRule type="cellIs" dxfId="4" priority="794" operator="equal">
      <formula>"TERM"</formula>
    </cfRule>
    <cfRule type="cellIs" dxfId="0" priority="795" operator="equal">
      <formula>"TRANSFER"</formula>
    </cfRule>
  </conditionalFormatting>
  <conditionalFormatting sqref="I68">
    <cfRule type="duplicateValues" dxfId="5" priority="797"/>
    <cfRule type="duplicateValues" dxfId="5" priority="799"/>
    <cfRule type="duplicateValues" dxfId="6" priority="800"/>
  </conditionalFormatting>
  <conditionalFormatting sqref="D69:G69">
    <cfRule type="cellIs" dxfId="0" priority="1027" operator="equal">
      <formula>"LOA"</formula>
    </cfRule>
    <cfRule type="cellIs" dxfId="1" priority="1028" operator="equal">
      <formula>"PENDING TERM"</formula>
    </cfRule>
    <cfRule type="cellIs" dxfId="2" priority="1029" operator="equal">
      <formula>"PROMOTED"</formula>
    </cfRule>
    <cfRule type="cellIs" dxfId="3" priority="1030" operator="equal">
      <formula>"REINSTATEMENT"</formula>
    </cfRule>
    <cfRule type="cellIs" dxfId="4" priority="1031" operator="equal">
      <formula>"TERM"</formula>
    </cfRule>
    <cfRule type="cellIs" dxfId="0" priority="1032" operator="equal">
      <formula>"TRANSFER"</formula>
    </cfRule>
  </conditionalFormatting>
  <conditionalFormatting sqref="H69">
    <cfRule type="duplicateValues" dxfId="5" priority="1022"/>
    <cfRule type="duplicateValues" dxfId="5" priority="1024"/>
  </conditionalFormatting>
  <conditionalFormatting sqref="H69:I69">
    <cfRule type="cellIs" dxfId="0" priority="1016" operator="equal">
      <formula>"LOA"</formula>
    </cfRule>
    <cfRule type="cellIs" dxfId="1" priority="1017" operator="equal">
      <formula>"PENDING TERM"</formula>
    </cfRule>
    <cfRule type="cellIs" dxfId="2" priority="1018" operator="equal">
      <formula>"PROMOTED"</formula>
    </cfRule>
    <cfRule type="cellIs" dxfId="3" priority="1019" operator="equal">
      <formula>"REINSTATEMENT"</formula>
    </cfRule>
    <cfRule type="cellIs" dxfId="4" priority="1020" operator="equal">
      <formula>"TERM"</formula>
    </cfRule>
    <cfRule type="cellIs" dxfId="0" priority="1021" operator="equal">
      <formula>"TRANSFER"</formula>
    </cfRule>
  </conditionalFormatting>
  <conditionalFormatting sqref="I69">
    <cfRule type="duplicateValues" dxfId="5" priority="1023"/>
    <cfRule type="duplicateValues" dxfId="5" priority="1025"/>
    <cfRule type="duplicateValues" dxfId="6" priority="1026"/>
  </conditionalFormatting>
  <conditionalFormatting sqref="D70:G70">
    <cfRule type="cellIs" dxfId="0" priority="679" operator="equal">
      <formula>"LOA"</formula>
    </cfRule>
    <cfRule type="cellIs" dxfId="1" priority="680" operator="equal">
      <formula>"PENDING TERM"</formula>
    </cfRule>
    <cfRule type="cellIs" dxfId="2" priority="681" operator="equal">
      <formula>"PROMOTED"</formula>
    </cfRule>
    <cfRule type="cellIs" dxfId="3" priority="682" operator="equal">
      <formula>"REINSTATEMENT"</formula>
    </cfRule>
    <cfRule type="cellIs" dxfId="4" priority="683" operator="equal">
      <formula>"TERM"</formula>
    </cfRule>
    <cfRule type="cellIs" dxfId="0" priority="684" operator="equal">
      <formula>"TRANSFER"</formula>
    </cfRule>
  </conditionalFormatting>
  <conditionalFormatting sqref="H70">
    <cfRule type="duplicateValues" dxfId="5" priority="676"/>
  </conditionalFormatting>
  <conditionalFormatting sqref="H70:I70">
    <cfRule type="cellIs" dxfId="0" priority="670" operator="equal">
      <formula>"LOA"</formula>
    </cfRule>
    <cfRule type="cellIs" dxfId="1" priority="671" operator="equal">
      <formula>"PENDING TERM"</formula>
    </cfRule>
    <cfRule type="cellIs" dxfId="2" priority="672" operator="equal">
      <formula>"PROMOTED"</formula>
    </cfRule>
    <cfRule type="cellIs" dxfId="3" priority="673" operator="equal">
      <formula>"REINSTATEMENT"</formula>
    </cfRule>
    <cfRule type="cellIs" dxfId="4" priority="674" operator="equal">
      <formula>"TERM"</formula>
    </cfRule>
    <cfRule type="cellIs" dxfId="0" priority="675" operator="equal">
      <formula>"TRANSFER"</formula>
    </cfRule>
  </conditionalFormatting>
  <conditionalFormatting sqref="I70">
    <cfRule type="duplicateValues" dxfId="5" priority="677"/>
    <cfRule type="duplicateValues" dxfId="6" priority="678"/>
  </conditionalFormatting>
  <conditionalFormatting sqref="D71:G71">
    <cfRule type="cellIs" dxfId="0" priority="555" operator="equal">
      <formula>"LOA"</formula>
    </cfRule>
    <cfRule type="cellIs" dxfId="1" priority="556" operator="equal">
      <formula>"PENDING TERM"</formula>
    </cfRule>
    <cfRule type="cellIs" dxfId="2" priority="557" operator="equal">
      <formula>"PROMOTED"</formula>
    </cfRule>
    <cfRule type="cellIs" dxfId="3" priority="558" operator="equal">
      <formula>"REINSTATEMENT"</formula>
    </cfRule>
    <cfRule type="cellIs" dxfId="4" priority="559" operator="equal">
      <formula>"TERM"</formula>
    </cfRule>
    <cfRule type="cellIs" dxfId="0" priority="560" operator="equal">
      <formula>"TRANSFER"</formula>
    </cfRule>
  </conditionalFormatting>
  <conditionalFormatting sqref="H71">
    <cfRule type="duplicateValues" dxfId="5" priority="548"/>
    <cfRule type="duplicateValues" dxfId="5" priority="550"/>
    <cfRule type="duplicateValues" dxfId="5" priority="552"/>
  </conditionalFormatting>
  <conditionalFormatting sqref="H71:I71">
    <cfRule type="cellIs" dxfId="0" priority="542" operator="equal">
      <formula>"LOA"</formula>
    </cfRule>
    <cfRule type="cellIs" dxfId="1" priority="543" operator="equal">
      <formula>"PENDING TERM"</formula>
    </cfRule>
    <cfRule type="cellIs" dxfId="2" priority="544" operator="equal">
      <formula>"PROMOTED"</formula>
    </cfRule>
    <cfRule type="cellIs" dxfId="3" priority="545" operator="equal">
      <formula>"REINSTATEMENT"</formula>
    </cfRule>
    <cfRule type="cellIs" dxfId="4" priority="546" operator="equal">
      <formula>"TERM"</formula>
    </cfRule>
    <cfRule type="cellIs" dxfId="0" priority="547" operator="equal">
      <formula>"TRANSFER"</formula>
    </cfRule>
  </conditionalFormatting>
  <conditionalFormatting sqref="I71">
    <cfRule type="duplicateValues" dxfId="5" priority="549"/>
    <cfRule type="duplicateValues" dxfId="5" priority="551"/>
    <cfRule type="duplicateValues" dxfId="5" priority="553"/>
    <cfRule type="duplicateValues" dxfId="6" priority="554"/>
  </conditionalFormatting>
  <conditionalFormatting sqref="D72:G72">
    <cfRule type="cellIs" dxfId="0" priority="818" operator="equal">
      <formula>"LOA"</formula>
    </cfRule>
    <cfRule type="cellIs" dxfId="1" priority="819" operator="equal">
      <formula>"PENDING TERM"</formula>
    </cfRule>
    <cfRule type="cellIs" dxfId="2" priority="820" operator="equal">
      <formula>"PROMOTED"</formula>
    </cfRule>
    <cfRule type="cellIs" dxfId="3" priority="821" operator="equal">
      <formula>"REINSTATEMENT"</formula>
    </cfRule>
    <cfRule type="cellIs" dxfId="4" priority="822" operator="equal">
      <formula>"TERM"</formula>
    </cfRule>
    <cfRule type="cellIs" dxfId="0" priority="823" operator="equal">
      <formula>"TRANSFER"</formula>
    </cfRule>
  </conditionalFormatting>
  <conditionalFormatting sqref="H72">
    <cfRule type="duplicateValues" dxfId="5" priority="813"/>
    <cfRule type="duplicateValues" dxfId="5" priority="815"/>
  </conditionalFormatting>
  <conditionalFormatting sqref="H72:I72">
    <cfRule type="cellIs" dxfId="0" priority="807" operator="equal">
      <formula>"LOA"</formula>
    </cfRule>
    <cfRule type="cellIs" dxfId="1" priority="808" operator="equal">
      <formula>"PENDING TERM"</formula>
    </cfRule>
    <cfRule type="cellIs" dxfId="2" priority="809" operator="equal">
      <formula>"PROMOTED"</formula>
    </cfRule>
    <cfRule type="cellIs" dxfId="3" priority="810" operator="equal">
      <formula>"REINSTATEMENT"</formula>
    </cfRule>
    <cfRule type="cellIs" dxfId="4" priority="811" operator="equal">
      <formula>"TERM"</formula>
    </cfRule>
    <cfRule type="cellIs" dxfId="0" priority="812" operator="equal">
      <formula>"TRANSFER"</formula>
    </cfRule>
  </conditionalFormatting>
  <conditionalFormatting sqref="I72">
    <cfRule type="duplicateValues" dxfId="5" priority="814"/>
    <cfRule type="duplicateValues" dxfId="5" priority="816"/>
    <cfRule type="duplicateValues" dxfId="6" priority="817"/>
  </conditionalFormatting>
  <conditionalFormatting sqref="D73">
    <cfRule type="cellIs" dxfId="0" priority="937" operator="equal">
      <formula>"LOA"</formula>
    </cfRule>
    <cfRule type="cellIs" dxfId="1" priority="938" operator="equal">
      <formula>"PENDING TERM"</formula>
    </cfRule>
    <cfRule type="cellIs" dxfId="2" priority="939" operator="equal">
      <formula>"PROMOTED"</formula>
    </cfRule>
    <cfRule type="cellIs" dxfId="3" priority="940" operator="equal">
      <formula>"REINSTATEMENT"</formula>
    </cfRule>
    <cfRule type="cellIs" dxfId="4" priority="941" operator="equal">
      <formula>"TERM"</formula>
    </cfRule>
    <cfRule type="cellIs" dxfId="0" priority="942" operator="equal">
      <formula>"TRANSFER"</formula>
    </cfRule>
  </conditionalFormatting>
  <conditionalFormatting sqref="H73">
    <cfRule type="duplicateValues" dxfId="5" priority="943"/>
  </conditionalFormatting>
  <conditionalFormatting sqref="I73">
    <cfRule type="duplicateValues" dxfId="5" priority="944"/>
    <cfRule type="duplicateValues" dxfId="6" priority="945"/>
  </conditionalFormatting>
  <conditionalFormatting sqref="D74">
    <cfRule type="cellIs" dxfId="0" priority="901" operator="equal">
      <formula>"LOA"</formula>
    </cfRule>
    <cfRule type="cellIs" dxfId="1" priority="902" operator="equal">
      <formula>"PENDING TERM"</formula>
    </cfRule>
    <cfRule type="cellIs" dxfId="2" priority="903" operator="equal">
      <formula>"PROMOTED"</formula>
    </cfRule>
    <cfRule type="cellIs" dxfId="3" priority="904" operator="equal">
      <formula>"REINSTATEMENT"</formula>
    </cfRule>
    <cfRule type="cellIs" dxfId="4" priority="905" operator="equal">
      <formula>"TERM"</formula>
    </cfRule>
    <cfRule type="cellIs" dxfId="0" priority="906" operator="equal">
      <formula>"TRANSFER"</formula>
    </cfRule>
  </conditionalFormatting>
  <conditionalFormatting sqref="H74">
    <cfRule type="duplicateValues" dxfId="5" priority="907"/>
  </conditionalFormatting>
  <conditionalFormatting sqref="I74">
    <cfRule type="duplicateValues" dxfId="5" priority="908"/>
    <cfRule type="duplicateValues" dxfId="6" priority="909"/>
  </conditionalFormatting>
  <conditionalFormatting sqref="D78">
    <cfRule type="cellIs" dxfId="0" priority="928" operator="equal">
      <formula>"LOA"</formula>
    </cfRule>
    <cfRule type="cellIs" dxfId="1" priority="929" operator="equal">
      <formula>"PENDING TERM"</formula>
    </cfRule>
    <cfRule type="cellIs" dxfId="2" priority="930" operator="equal">
      <formula>"PROMOTED"</formula>
    </cfRule>
    <cfRule type="cellIs" dxfId="3" priority="931" operator="equal">
      <formula>"REINSTATEMENT"</formula>
    </cfRule>
    <cfRule type="cellIs" dxfId="4" priority="932" operator="equal">
      <formula>"TERM"</formula>
    </cfRule>
    <cfRule type="cellIs" dxfId="0" priority="933" operator="equal">
      <formula>"TRANSFER"</formula>
    </cfRule>
  </conditionalFormatting>
  <conditionalFormatting sqref="H78">
    <cfRule type="duplicateValues" dxfId="5" priority="934"/>
  </conditionalFormatting>
  <conditionalFormatting sqref="I78">
    <cfRule type="duplicateValues" dxfId="5" priority="935"/>
    <cfRule type="duplicateValues" dxfId="6" priority="936"/>
  </conditionalFormatting>
  <conditionalFormatting sqref="D79">
    <cfRule type="cellIs" dxfId="0" priority="892" operator="equal">
      <formula>"LOA"</formula>
    </cfRule>
    <cfRule type="cellIs" dxfId="1" priority="893" operator="equal">
      <formula>"PENDING TERM"</formula>
    </cfRule>
    <cfRule type="cellIs" dxfId="2" priority="894" operator="equal">
      <formula>"PROMOTED"</formula>
    </cfRule>
    <cfRule type="cellIs" dxfId="3" priority="895" operator="equal">
      <formula>"REINSTATEMENT"</formula>
    </cfRule>
    <cfRule type="cellIs" dxfId="4" priority="896" operator="equal">
      <formula>"TERM"</formula>
    </cfRule>
    <cfRule type="cellIs" dxfId="0" priority="897" operator="equal">
      <formula>"TRANSFER"</formula>
    </cfRule>
  </conditionalFormatting>
  <conditionalFormatting sqref="H79">
    <cfRule type="duplicateValues" dxfId="5" priority="898"/>
  </conditionalFormatting>
  <conditionalFormatting sqref="I79">
    <cfRule type="duplicateValues" dxfId="5" priority="899"/>
    <cfRule type="duplicateValues" dxfId="6" priority="900"/>
  </conditionalFormatting>
  <conditionalFormatting sqref="D83:G83">
    <cfRule type="cellIs" dxfId="0" priority="1368" operator="equal">
      <formula>"LOA"</formula>
    </cfRule>
    <cfRule type="cellIs" dxfId="1" priority="1369" operator="equal">
      <formula>"PENDING TERM"</formula>
    </cfRule>
    <cfRule type="cellIs" dxfId="2" priority="1370" operator="equal">
      <formula>"PROMOTED"</formula>
    </cfRule>
    <cfRule type="cellIs" dxfId="3" priority="1371" operator="equal">
      <formula>"REINSTATEMENT"</formula>
    </cfRule>
    <cfRule type="cellIs" dxfId="4" priority="1372" operator="equal">
      <formula>"TERM"</formula>
    </cfRule>
    <cfRule type="cellIs" dxfId="0" priority="1373" operator="equal">
      <formula>"TRANSFER"</formula>
    </cfRule>
  </conditionalFormatting>
  <conditionalFormatting sqref="H83">
    <cfRule type="duplicateValues" dxfId="5" priority="1363"/>
    <cfRule type="duplicateValues" dxfId="5" priority="1365"/>
  </conditionalFormatting>
  <conditionalFormatting sqref="H83:I83">
    <cfRule type="cellIs" dxfId="0" priority="1357" operator="equal">
      <formula>"LOA"</formula>
    </cfRule>
    <cfRule type="cellIs" dxfId="1" priority="1358" operator="equal">
      <formula>"PENDING TERM"</formula>
    </cfRule>
    <cfRule type="cellIs" dxfId="2" priority="1359" operator="equal">
      <formula>"PROMOTED"</formula>
    </cfRule>
    <cfRule type="cellIs" dxfId="3" priority="1360" operator="equal">
      <formula>"REINSTATEMENT"</formula>
    </cfRule>
    <cfRule type="cellIs" dxfId="4" priority="1361" operator="equal">
      <formula>"TERM"</formula>
    </cfRule>
    <cfRule type="cellIs" dxfId="0" priority="1362" operator="equal">
      <formula>"TRANSFER"</formula>
    </cfRule>
  </conditionalFormatting>
  <conditionalFormatting sqref="I83">
    <cfRule type="duplicateValues" dxfId="5" priority="1364"/>
    <cfRule type="duplicateValues" dxfId="5" priority="1366"/>
    <cfRule type="duplicateValues" dxfId="6" priority="1367"/>
  </conditionalFormatting>
  <conditionalFormatting sqref="D84">
    <cfRule type="duplicateValues" dxfId="5" priority="1172"/>
    <cfRule type="duplicateValues" dxfId="5" priority="1176"/>
  </conditionalFormatting>
  <conditionalFormatting sqref="D84:G84">
    <cfRule type="cellIs" dxfId="0" priority="1165" operator="equal">
      <formula>"LOA"</formula>
    </cfRule>
    <cfRule type="cellIs" dxfId="1" priority="1166" operator="equal">
      <formula>"PENDING TERM"</formula>
    </cfRule>
    <cfRule type="cellIs" dxfId="2" priority="1167" operator="equal">
      <formula>"PROMOTED"</formula>
    </cfRule>
    <cfRule type="cellIs" dxfId="3" priority="1168" operator="equal">
      <formula>"REINSTATEMENT"</formula>
    </cfRule>
    <cfRule type="cellIs" dxfId="4" priority="1169" operator="equal">
      <formula>"TERM"</formula>
    </cfRule>
    <cfRule type="cellIs" dxfId="0" priority="1170" operator="equal">
      <formula>"TRANSFER"</formula>
    </cfRule>
  </conditionalFormatting>
  <conditionalFormatting sqref="E84">
    <cfRule type="duplicateValues" dxfId="5" priority="1174"/>
    <cfRule type="duplicateValues" dxfId="5" priority="1178"/>
    <cfRule type="duplicateValues" dxfId="6" priority="1180"/>
  </conditionalFormatting>
  <conditionalFormatting sqref="F84">
    <cfRule type="duplicateValues" dxfId="5" priority="1171"/>
    <cfRule type="duplicateValues" dxfId="5" priority="1175"/>
  </conditionalFormatting>
  <conditionalFormatting sqref="G84">
    <cfRule type="duplicateValues" dxfId="5" priority="1173"/>
    <cfRule type="duplicateValues" dxfId="5" priority="1177"/>
    <cfRule type="duplicateValues" dxfId="6" priority="1179"/>
  </conditionalFormatting>
  <conditionalFormatting sqref="H84">
    <cfRule type="duplicateValues" dxfId="5" priority="1187"/>
    <cfRule type="duplicateValues" dxfId="5" priority="1189"/>
  </conditionalFormatting>
  <conditionalFormatting sqref="H84:I84">
    <cfRule type="cellIs" dxfId="0" priority="1181" operator="equal">
      <formula>"LOA"</formula>
    </cfRule>
    <cfRule type="cellIs" dxfId="1" priority="1182" operator="equal">
      <formula>"PENDING TERM"</formula>
    </cfRule>
    <cfRule type="cellIs" dxfId="2" priority="1183" operator="equal">
      <formula>"PROMOTED"</formula>
    </cfRule>
    <cfRule type="cellIs" dxfId="3" priority="1184" operator="equal">
      <formula>"REINSTATEMENT"</formula>
    </cfRule>
    <cfRule type="cellIs" dxfId="4" priority="1185" operator="equal">
      <formula>"TERM"</formula>
    </cfRule>
    <cfRule type="cellIs" dxfId="0" priority="1186" operator="equal">
      <formula>"TRANSFER"</formula>
    </cfRule>
  </conditionalFormatting>
  <conditionalFormatting sqref="I84">
    <cfRule type="duplicateValues" dxfId="5" priority="1188"/>
    <cfRule type="duplicateValues" dxfId="5" priority="1190"/>
    <cfRule type="duplicateValues" dxfId="6" priority="1191"/>
  </conditionalFormatting>
  <conditionalFormatting sqref="D85:G85">
    <cfRule type="cellIs" dxfId="0" priority="1351" operator="equal">
      <formula>"LOA"</formula>
    </cfRule>
    <cfRule type="cellIs" dxfId="1" priority="1352" operator="equal">
      <formula>"PENDING TERM"</formula>
    </cfRule>
    <cfRule type="cellIs" dxfId="2" priority="1353" operator="equal">
      <formula>"PROMOTED"</formula>
    </cfRule>
    <cfRule type="cellIs" dxfId="3" priority="1354" operator="equal">
      <formula>"REINSTATEMENT"</formula>
    </cfRule>
    <cfRule type="cellIs" dxfId="4" priority="1355" operator="equal">
      <formula>"TERM"</formula>
    </cfRule>
    <cfRule type="cellIs" dxfId="0" priority="1356" operator="equal">
      <formula>"TRANSFER"</formula>
    </cfRule>
  </conditionalFormatting>
  <conditionalFormatting sqref="H85">
    <cfRule type="duplicateValues" dxfId="5" priority="1346"/>
    <cfRule type="duplicateValues" dxfId="5" priority="1348"/>
  </conditionalFormatting>
  <conditionalFormatting sqref="H85:I85">
    <cfRule type="cellIs" dxfId="0" priority="1340" operator="equal">
      <formula>"LOA"</formula>
    </cfRule>
    <cfRule type="cellIs" dxfId="1" priority="1341" operator="equal">
      <formula>"PENDING TERM"</formula>
    </cfRule>
    <cfRule type="cellIs" dxfId="2" priority="1342" operator="equal">
      <formula>"PROMOTED"</formula>
    </cfRule>
    <cfRule type="cellIs" dxfId="3" priority="1343" operator="equal">
      <formula>"REINSTATEMENT"</formula>
    </cfRule>
    <cfRule type="cellIs" dxfId="4" priority="1344" operator="equal">
      <formula>"TERM"</formula>
    </cfRule>
    <cfRule type="cellIs" dxfId="0" priority="1345" operator="equal">
      <formula>"TRANSFER"</formula>
    </cfRule>
  </conditionalFormatting>
  <conditionalFormatting sqref="I85">
    <cfRule type="duplicateValues" dxfId="5" priority="1347"/>
    <cfRule type="duplicateValues" dxfId="5" priority="1349"/>
    <cfRule type="duplicateValues" dxfId="6" priority="1350"/>
  </conditionalFormatting>
  <conditionalFormatting sqref="D86">
    <cfRule type="duplicateValues" dxfId="5" priority="1145"/>
    <cfRule type="duplicateValues" dxfId="5" priority="1149"/>
  </conditionalFormatting>
  <conditionalFormatting sqref="D86:G86">
    <cfRule type="cellIs" dxfId="0" priority="1138" operator="equal">
      <formula>"LOA"</formula>
    </cfRule>
    <cfRule type="cellIs" dxfId="1" priority="1139" operator="equal">
      <formula>"PENDING TERM"</formula>
    </cfRule>
    <cfRule type="cellIs" dxfId="2" priority="1140" operator="equal">
      <formula>"PROMOTED"</formula>
    </cfRule>
    <cfRule type="cellIs" dxfId="3" priority="1141" operator="equal">
      <formula>"REINSTATEMENT"</formula>
    </cfRule>
    <cfRule type="cellIs" dxfId="4" priority="1142" operator="equal">
      <formula>"TERM"</formula>
    </cfRule>
    <cfRule type="cellIs" dxfId="0" priority="1143" operator="equal">
      <formula>"TRANSFER"</formula>
    </cfRule>
  </conditionalFormatting>
  <conditionalFormatting sqref="E86">
    <cfRule type="duplicateValues" dxfId="5" priority="1147"/>
    <cfRule type="duplicateValues" dxfId="5" priority="1151"/>
    <cfRule type="duplicateValues" dxfId="6" priority="1153"/>
  </conditionalFormatting>
  <conditionalFormatting sqref="F86">
    <cfRule type="duplicateValues" dxfId="5" priority="1144"/>
    <cfRule type="duplicateValues" dxfId="5" priority="1148"/>
  </conditionalFormatting>
  <conditionalFormatting sqref="G86">
    <cfRule type="duplicateValues" dxfId="5" priority="1146"/>
    <cfRule type="duplicateValues" dxfId="5" priority="1150"/>
    <cfRule type="duplicateValues" dxfId="6" priority="1152"/>
  </conditionalFormatting>
  <conditionalFormatting sqref="H86">
    <cfRule type="duplicateValues" dxfId="5" priority="1160"/>
    <cfRule type="duplicateValues" dxfId="5" priority="1162"/>
  </conditionalFormatting>
  <conditionalFormatting sqref="H86:I86">
    <cfRule type="cellIs" dxfId="0" priority="1154" operator="equal">
      <formula>"LOA"</formula>
    </cfRule>
    <cfRule type="cellIs" dxfId="1" priority="1155" operator="equal">
      <formula>"PENDING TERM"</formula>
    </cfRule>
    <cfRule type="cellIs" dxfId="2" priority="1156" operator="equal">
      <formula>"PROMOTED"</formula>
    </cfRule>
    <cfRule type="cellIs" dxfId="3" priority="1157" operator="equal">
      <formula>"REINSTATEMENT"</formula>
    </cfRule>
    <cfRule type="cellIs" dxfId="4" priority="1158" operator="equal">
      <formula>"TERM"</formula>
    </cfRule>
    <cfRule type="cellIs" dxfId="0" priority="1159" operator="equal">
      <formula>"TRANSFER"</formula>
    </cfRule>
  </conditionalFormatting>
  <conditionalFormatting sqref="I86">
    <cfRule type="duplicateValues" dxfId="5" priority="1161"/>
    <cfRule type="duplicateValues" dxfId="5" priority="1163"/>
    <cfRule type="duplicateValues" dxfId="6" priority="1164"/>
  </conditionalFormatting>
  <conditionalFormatting sqref="D87:G87">
    <cfRule type="cellIs" dxfId="0" priority="395" operator="equal">
      <formula>"LOA"</formula>
    </cfRule>
    <cfRule type="cellIs" dxfId="1" priority="396" operator="equal">
      <formula>"PENDING TERM"</formula>
    </cfRule>
    <cfRule type="cellIs" dxfId="2" priority="397" operator="equal">
      <formula>"PROMOTED"</formula>
    </cfRule>
    <cfRule type="cellIs" dxfId="3" priority="398" operator="equal">
      <formula>"REINSTATEMENT"</formula>
    </cfRule>
    <cfRule type="cellIs" dxfId="4" priority="399" operator="equal">
      <formula>"TERM"</formula>
    </cfRule>
    <cfRule type="cellIs" dxfId="0" priority="400" operator="equal">
      <formula>"TRANSFER"</formula>
    </cfRule>
  </conditionalFormatting>
  <conditionalFormatting sqref="H87">
    <cfRule type="duplicateValues" dxfId="5" priority="388"/>
    <cfRule type="duplicateValues" dxfId="5" priority="390"/>
    <cfRule type="duplicateValues" dxfId="5" priority="392"/>
  </conditionalFormatting>
  <conditionalFormatting sqref="H87:I87">
    <cfRule type="cellIs" dxfId="0" priority="382" operator="equal">
      <formula>"LOA"</formula>
    </cfRule>
    <cfRule type="cellIs" dxfId="1" priority="383" operator="equal">
      <formula>"PENDING TERM"</formula>
    </cfRule>
    <cfRule type="cellIs" dxfId="2" priority="384" operator="equal">
      <formula>"PROMOTED"</formula>
    </cfRule>
    <cfRule type="cellIs" dxfId="3" priority="385" operator="equal">
      <formula>"REINSTATEMENT"</formula>
    </cfRule>
    <cfRule type="cellIs" dxfId="4" priority="386" operator="equal">
      <formula>"TERM"</formula>
    </cfRule>
    <cfRule type="cellIs" dxfId="0" priority="387" operator="equal">
      <formula>"TRANSFER"</formula>
    </cfRule>
  </conditionalFormatting>
  <conditionalFormatting sqref="I87">
    <cfRule type="duplicateValues" dxfId="5" priority="389"/>
    <cfRule type="duplicateValues" dxfId="5" priority="391"/>
    <cfRule type="duplicateValues" dxfId="5" priority="393"/>
    <cfRule type="duplicateValues" dxfId="6" priority="394"/>
  </conditionalFormatting>
  <conditionalFormatting sqref="E88">
    <cfRule type="cellIs" dxfId="0" priority="318" operator="equal">
      <formula>"LOA"</formula>
    </cfRule>
    <cfRule type="cellIs" dxfId="1" priority="319" operator="equal">
      <formula>"PENDING TERM"</formula>
    </cfRule>
    <cfRule type="cellIs" dxfId="2" priority="320" operator="equal">
      <formula>"PROMOTED"</formula>
    </cfRule>
    <cfRule type="cellIs" dxfId="3" priority="321" operator="equal">
      <formula>"REINSTATEMENT"</formula>
    </cfRule>
    <cfRule type="cellIs" dxfId="4" priority="322" operator="equal">
      <formula>"TERM"</formula>
    </cfRule>
    <cfRule type="cellIs" dxfId="0" priority="323" operator="equal">
      <formula>"TRANSFER"</formula>
    </cfRule>
  </conditionalFormatting>
  <conditionalFormatting sqref="H88">
    <cfRule type="duplicateValues" dxfId="5" priority="302"/>
  </conditionalFormatting>
  <conditionalFormatting sqref="I88">
    <cfRule type="duplicateValues" dxfId="5" priority="303"/>
  </conditionalFormatting>
  <conditionalFormatting sqref="D89:G89">
    <cfRule type="cellIs" dxfId="0" priority="649" operator="equal">
      <formula>"LOA"</formula>
    </cfRule>
    <cfRule type="cellIs" dxfId="1" priority="650" operator="equal">
      <formula>"PENDING TERM"</formula>
    </cfRule>
    <cfRule type="cellIs" dxfId="2" priority="651" operator="equal">
      <formula>"PROMOTED"</formula>
    </cfRule>
    <cfRule type="cellIs" dxfId="3" priority="652" operator="equal">
      <formula>"REINSTATEMENT"</formula>
    </cfRule>
    <cfRule type="cellIs" dxfId="4" priority="653" operator="equal">
      <formula>"TERM"</formula>
    </cfRule>
    <cfRule type="cellIs" dxfId="0" priority="654" operator="equal">
      <formula>"TRANSFER"</formula>
    </cfRule>
  </conditionalFormatting>
  <conditionalFormatting sqref="H89">
    <cfRule type="duplicateValues" dxfId="5" priority="646"/>
  </conditionalFormatting>
  <conditionalFormatting sqref="H89:I89">
    <cfRule type="cellIs" dxfId="0" priority="640" operator="equal">
      <formula>"LOA"</formula>
    </cfRule>
    <cfRule type="cellIs" dxfId="1" priority="641" operator="equal">
      <formula>"PENDING TERM"</formula>
    </cfRule>
    <cfRule type="cellIs" dxfId="2" priority="642" operator="equal">
      <formula>"PROMOTED"</formula>
    </cfRule>
    <cfRule type="cellIs" dxfId="3" priority="643" operator="equal">
      <formula>"REINSTATEMENT"</formula>
    </cfRule>
    <cfRule type="cellIs" dxfId="4" priority="644" operator="equal">
      <formula>"TERM"</formula>
    </cfRule>
    <cfRule type="cellIs" dxfId="0" priority="645" operator="equal">
      <formula>"TRANSFER"</formula>
    </cfRule>
  </conditionalFormatting>
  <conditionalFormatting sqref="I89">
    <cfRule type="duplicateValues" dxfId="5" priority="647"/>
    <cfRule type="duplicateValues" dxfId="6" priority="648"/>
  </conditionalFormatting>
  <conditionalFormatting sqref="D90:G90">
    <cfRule type="cellIs" dxfId="0" priority="517" operator="equal">
      <formula>"LOA"</formula>
    </cfRule>
    <cfRule type="cellIs" dxfId="1" priority="518" operator="equal">
      <formula>"PENDING TERM"</formula>
    </cfRule>
    <cfRule type="cellIs" dxfId="2" priority="519" operator="equal">
      <formula>"PROMOTED"</formula>
    </cfRule>
    <cfRule type="cellIs" dxfId="3" priority="520" operator="equal">
      <formula>"REINSTATEMENT"</formula>
    </cfRule>
    <cfRule type="cellIs" dxfId="4" priority="521" operator="equal">
      <formula>"TERM"</formula>
    </cfRule>
    <cfRule type="cellIs" dxfId="0" priority="522" operator="equal">
      <formula>"TRANSFER"</formula>
    </cfRule>
  </conditionalFormatting>
  <conditionalFormatting sqref="H90">
    <cfRule type="duplicateValues" dxfId="5" priority="510"/>
    <cfRule type="duplicateValues" dxfId="5" priority="512"/>
    <cfRule type="duplicateValues" dxfId="5" priority="514"/>
  </conditionalFormatting>
  <conditionalFormatting sqref="H90:I90">
    <cfRule type="cellIs" dxfId="0" priority="504" operator="equal">
      <formula>"LOA"</formula>
    </cfRule>
    <cfRule type="cellIs" dxfId="1" priority="505" operator="equal">
      <formula>"PENDING TERM"</formula>
    </cfRule>
    <cfRule type="cellIs" dxfId="2" priority="506" operator="equal">
      <formula>"PROMOTED"</formula>
    </cfRule>
    <cfRule type="cellIs" dxfId="3" priority="507" operator="equal">
      <formula>"REINSTATEMENT"</formula>
    </cfRule>
    <cfRule type="cellIs" dxfId="4" priority="508" operator="equal">
      <formula>"TERM"</formula>
    </cfRule>
    <cfRule type="cellIs" dxfId="0" priority="509" operator="equal">
      <formula>"TRANSFER"</formula>
    </cfRule>
  </conditionalFormatting>
  <conditionalFormatting sqref="I90">
    <cfRule type="duplicateValues" dxfId="5" priority="511"/>
    <cfRule type="duplicateValues" dxfId="5" priority="513"/>
    <cfRule type="duplicateValues" dxfId="5" priority="515"/>
    <cfRule type="duplicateValues" dxfId="6" priority="516"/>
  </conditionalFormatting>
  <conditionalFormatting sqref="D91:G91">
    <cfRule type="cellIs" dxfId="0" priority="1010" operator="equal">
      <formula>"LOA"</formula>
    </cfRule>
    <cfRule type="cellIs" dxfId="1" priority="1011" operator="equal">
      <formula>"PENDING TERM"</formula>
    </cfRule>
    <cfRule type="cellIs" dxfId="2" priority="1012" operator="equal">
      <formula>"PROMOTED"</formula>
    </cfRule>
    <cfRule type="cellIs" dxfId="3" priority="1013" operator="equal">
      <formula>"REINSTATEMENT"</formula>
    </cfRule>
    <cfRule type="cellIs" dxfId="4" priority="1014" operator="equal">
      <formula>"TERM"</formula>
    </cfRule>
    <cfRule type="cellIs" dxfId="0" priority="1015" operator="equal">
      <formula>"TRANSFER"</formula>
    </cfRule>
  </conditionalFormatting>
  <conditionalFormatting sqref="H91">
    <cfRule type="duplicateValues" dxfId="5" priority="1005"/>
    <cfRule type="duplicateValues" dxfId="5" priority="1007"/>
  </conditionalFormatting>
  <conditionalFormatting sqref="H91:I91">
    <cfRule type="cellIs" dxfId="0" priority="999" operator="equal">
      <formula>"LOA"</formula>
    </cfRule>
    <cfRule type="cellIs" dxfId="1" priority="1000" operator="equal">
      <formula>"PENDING TERM"</formula>
    </cfRule>
    <cfRule type="cellIs" dxfId="2" priority="1001" operator="equal">
      <formula>"PROMOTED"</formula>
    </cfRule>
    <cfRule type="cellIs" dxfId="3" priority="1002" operator="equal">
      <formula>"REINSTATEMENT"</formula>
    </cfRule>
    <cfRule type="cellIs" dxfId="4" priority="1003" operator="equal">
      <formula>"TERM"</formula>
    </cfRule>
    <cfRule type="cellIs" dxfId="0" priority="1004" operator="equal">
      <formula>"TRANSFER"</formula>
    </cfRule>
  </conditionalFormatting>
  <conditionalFormatting sqref="I91">
    <cfRule type="duplicateValues" dxfId="5" priority="1006"/>
    <cfRule type="duplicateValues" dxfId="5" priority="1008"/>
    <cfRule type="duplicateValues" dxfId="6" priority="1009"/>
  </conditionalFormatting>
  <conditionalFormatting sqref="D92:G92">
    <cfRule type="cellIs" dxfId="0" priority="498" operator="equal">
      <formula>"LOA"</formula>
    </cfRule>
    <cfRule type="cellIs" dxfId="1" priority="499" operator="equal">
      <formula>"PENDING TERM"</formula>
    </cfRule>
    <cfRule type="cellIs" dxfId="2" priority="500" operator="equal">
      <formula>"PROMOTED"</formula>
    </cfRule>
    <cfRule type="cellIs" dxfId="3" priority="501" operator="equal">
      <formula>"REINSTATEMENT"</formula>
    </cfRule>
    <cfRule type="cellIs" dxfId="4" priority="502" operator="equal">
      <formula>"TERM"</formula>
    </cfRule>
    <cfRule type="cellIs" dxfId="0" priority="503" operator="equal">
      <formula>"TRANSFER"</formula>
    </cfRule>
  </conditionalFormatting>
  <conditionalFormatting sqref="H92">
    <cfRule type="duplicateValues" dxfId="5" priority="491"/>
    <cfRule type="duplicateValues" dxfId="5" priority="493"/>
    <cfRule type="duplicateValues" dxfId="5" priority="495"/>
  </conditionalFormatting>
  <conditionalFormatting sqref="H92:I92">
    <cfRule type="cellIs" dxfId="0" priority="485" operator="equal">
      <formula>"LOA"</formula>
    </cfRule>
    <cfRule type="cellIs" dxfId="1" priority="486" operator="equal">
      <formula>"PENDING TERM"</formula>
    </cfRule>
    <cfRule type="cellIs" dxfId="2" priority="487" operator="equal">
      <formula>"PROMOTED"</formula>
    </cfRule>
    <cfRule type="cellIs" dxfId="3" priority="488" operator="equal">
      <formula>"REINSTATEMENT"</formula>
    </cfRule>
    <cfRule type="cellIs" dxfId="4" priority="489" operator="equal">
      <formula>"TERM"</formula>
    </cfRule>
    <cfRule type="cellIs" dxfId="0" priority="490" operator="equal">
      <formula>"TRANSFER"</formula>
    </cfRule>
  </conditionalFormatting>
  <conditionalFormatting sqref="I92">
    <cfRule type="duplicateValues" dxfId="5" priority="492"/>
    <cfRule type="duplicateValues" dxfId="5" priority="494"/>
    <cfRule type="duplicateValues" dxfId="5" priority="496"/>
    <cfRule type="duplicateValues" dxfId="6" priority="497"/>
  </conditionalFormatting>
  <conditionalFormatting sqref="D93:G93">
    <cfRule type="cellIs" dxfId="0" priority="619" operator="equal">
      <formula>"LOA"</formula>
    </cfRule>
    <cfRule type="cellIs" dxfId="1" priority="620" operator="equal">
      <formula>"PENDING TERM"</formula>
    </cfRule>
    <cfRule type="cellIs" dxfId="2" priority="621" operator="equal">
      <formula>"PROMOTED"</formula>
    </cfRule>
    <cfRule type="cellIs" dxfId="3" priority="622" operator="equal">
      <formula>"REINSTATEMENT"</formula>
    </cfRule>
    <cfRule type="cellIs" dxfId="4" priority="623" operator="equal">
      <formula>"TERM"</formula>
    </cfRule>
    <cfRule type="cellIs" dxfId="0" priority="624" operator="equal">
      <formula>"TRANSFER"</formula>
    </cfRule>
  </conditionalFormatting>
  <conditionalFormatting sqref="H93">
    <cfRule type="duplicateValues" dxfId="5" priority="616"/>
  </conditionalFormatting>
  <conditionalFormatting sqref="H93:I93">
    <cfRule type="cellIs" dxfId="0" priority="610" operator="equal">
      <formula>"LOA"</formula>
    </cfRule>
    <cfRule type="cellIs" dxfId="1" priority="611" operator="equal">
      <formula>"PENDING TERM"</formula>
    </cfRule>
    <cfRule type="cellIs" dxfId="2" priority="612" operator="equal">
      <formula>"PROMOTED"</formula>
    </cfRule>
    <cfRule type="cellIs" dxfId="3" priority="613" operator="equal">
      <formula>"REINSTATEMENT"</formula>
    </cfRule>
    <cfRule type="cellIs" dxfId="4" priority="614" operator="equal">
      <formula>"TERM"</formula>
    </cfRule>
    <cfRule type="cellIs" dxfId="0" priority="615" operator="equal">
      <formula>"TRANSFER"</formula>
    </cfRule>
  </conditionalFormatting>
  <conditionalFormatting sqref="I93">
    <cfRule type="duplicateValues" dxfId="5" priority="617"/>
    <cfRule type="duplicateValues" dxfId="6" priority="618"/>
  </conditionalFormatting>
  <conditionalFormatting sqref="D94:G94">
    <cfRule type="cellIs" dxfId="0" priority="724" operator="equal">
      <formula>"LOA"</formula>
    </cfRule>
    <cfRule type="cellIs" dxfId="1" priority="725" operator="equal">
      <formula>"PENDING TERM"</formula>
    </cfRule>
    <cfRule type="cellIs" dxfId="2" priority="726" operator="equal">
      <formula>"PROMOTED"</formula>
    </cfRule>
    <cfRule type="cellIs" dxfId="3" priority="727" operator="equal">
      <formula>"REINSTATEMENT"</formula>
    </cfRule>
    <cfRule type="cellIs" dxfId="4" priority="728" operator="equal">
      <formula>"TERM"</formula>
    </cfRule>
    <cfRule type="cellIs" dxfId="0" priority="729" operator="equal">
      <formula>"TRANSFER"</formula>
    </cfRule>
  </conditionalFormatting>
  <conditionalFormatting sqref="H94">
    <cfRule type="duplicateValues" dxfId="5" priority="721"/>
  </conditionalFormatting>
  <conditionalFormatting sqref="H94:I94">
    <cfRule type="cellIs" dxfId="0" priority="715" operator="equal">
      <formula>"LOA"</formula>
    </cfRule>
    <cfRule type="cellIs" dxfId="1" priority="716" operator="equal">
      <formula>"PENDING TERM"</formula>
    </cfRule>
    <cfRule type="cellIs" dxfId="2" priority="717" operator="equal">
      <formula>"PROMOTED"</formula>
    </cfRule>
    <cfRule type="cellIs" dxfId="3" priority="718" operator="equal">
      <formula>"REINSTATEMENT"</formula>
    </cfRule>
    <cfRule type="cellIs" dxfId="4" priority="719" operator="equal">
      <formula>"TERM"</formula>
    </cfRule>
    <cfRule type="cellIs" dxfId="0" priority="720" operator="equal">
      <formula>"TRANSFER"</formula>
    </cfRule>
  </conditionalFormatting>
  <conditionalFormatting sqref="I94">
    <cfRule type="duplicateValues" dxfId="5" priority="722"/>
    <cfRule type="duplicateValues" dxfId="6" priority="723"/>
  </conditionalFormatting>
  <conditionalFormatting sqref="D95">
    <cfRule type="cellIs" dxfId="0" priority="919" operator="equal">
      <formula>"LOA"</formula>
    </cfRule>
    <cfRule type="cellIs" dxfId="1" priority="920" operator="equal">
      <formula>"PENDING TERM"</formula>
    </cfRule>
    <cfRule type="cellIs" dxfId="2" priority="921" operator="equal">
      <formula>"PROMOTED"</formula>
    </cfRule>
    <cfRule type="cellIs" dxfId="3" priority="922" operator="equal">
      <formula>"REINSTATEMENT"</formula>
    </cfRule>
    <cfRule type="cellIs" dxfId="4" priority="923" operator="equal">
      <formula>"TERM"</formula>
    </cfRule>
    <cfRule type="cellIs" dxfId="0" priority="924" operator="equal">
      <formula>"TRANSFER"</formula>
    </cfRule>
  </conditionalFormatting>
  <conditionalFormatting sqref="H95">
    <cfRule type="duplicateValues" dxfId="5" priority="925"/>
  </conditionalFormatting>
  <conditionalFormatting sqref="I95">
    <cfRule type="duplicateValues" dxfId="5" priority="926"/>
    <cfRule type="duplicateValues" dxfId="6" priority="927"/>
  </conditionalFormatting>
  <conditionalFormatting sqref="D101">
    <cfRule type="cellIs" dxfId="0" priority="910" operator="equal">
      <formula>"LOA"</formula>
    </cfRule>
    <cfRule type="cellIs" dxfId="1" priority="911" operator="equal">
      <formula>"PENDING TERM"</formula>
    </cfRule>
    <cfRule type="cellIs" dxfId="2" priority="912" operator="equal">
      <formula>"PROMOTED"</formula>
    </cfRule>
    <cfRule type="cellIs" dxfId="3" priority="913" operator="equal">
      <formula>"REINSTATEMENT"</formula>
    </cfRule>
    <cfRule type="cellIs" dxfId="4" priority="914" operator="equal">
      <formula>"TERM"</formula>
    </cfRule>
    <cfRule type="cellIs" dxfId="0" priority="915" operator="equal">
      <formula>"TRANSFER"</formula>
    </cfRule>
  </conditionalFormatting>
  <conditionalFormatting sqref="H101">
    <cfRule type="duplicateValues" dxfId="5" priority="916"/>
  </conditionalFormatting>
  <conditionalFormatting sqref="I101">
    <cfRule type="duplicateValues" dxfId="5" priority="917"/>
    <cfRule type="duplicateValues" dxfId="6" priority="918"/>
  </conditionalFormatting>
  <conditionalFormatting sqref="D107:G107">
    <cfRule type="cellIs" dxfId="0" priority="1334" operator="equal">
      <formula>"LOA"</formula>
    </cfRule>
    <cfRule type="cellIs" dxfId="1" priority="1335" operator="equal">
      <formula>"PENDING TERM"</formula>
    </cfRule>
    <cfRule type="cellIs" dxfId="2" priority="1336" operator="equal">
      <formula>"PROMOTED"</formula>
    </cfRule>
    <cfRule type="cellIs" dxfId="3" priority="1337" operator="equal">
      <formula>"REINSTATEMENT"</formula>
    </cfRule>
    <cfRule type="cellIs" dxfId="4" priority="1338" operator="equal">
      <formula>"TERM"</formula>
    </cfRule>
    <cfRule type="cellIs" dxfId="0" priority="1339" operator="equal">
      <formula>"TRANSFER"</formula>
    </cfRule>
  </conditionalFormatting>
  <conditionalFormatting sqref="H107">
    <cfRule type="duplicateValues" dxfId="5" priority="1329"/>
    <cfRule type="duplicateValues" dxfId="5" priority="1331"/>
  </conditionalFormatting>
  <conditionalFormatting sqref="H107:I107">
    <cfRule type="cellIs" dxfId="0" priority="1323" operator="equal">
      <formula>"LOA"</formula>
    </cfRule>
    <cfRule type="cellIs" dxfId="1" priority="1324" operator="equal">
      <formula>"PENDING TERM"</formula>
    </cfRule>
    <cfRule type="cellIs" dxfId="2" priority="1325" operator="equal">
      <formula>"PROMOTED"</formula>
    </cfRule>
    <cfRule type="cellIs" dxfId="3" priority="1326" operator="equal">
      <formula>"REINSTATEMENT"</formula>
    </cfRule>
    <cfRule type="cellIs" dxfId="4" priority="1327" operator="equal">
      <formula>"TERM"</formula>
    </cfRule>
    <cfRule type="cellIs" dxfId="0" priority="1328" operator="equal">
      <formula>"TRANSFER"</formula>
    </cfRule>
  </conditionalFormatting>
  <conditionalFormatting sqref="I107">
    <cfRule type="duplicateValues" dxfId="5" priority="1330"/>
    <cfRule type="duplicateValues" dxfId="5" priority="1332"/>
    <cfRule type="duplicateValues" dxfId="6" priority="1333"/>
  </conditionalFormatting>
  <conditionalFormatting sqref="D108">
    <cfRule type="duplicateValues" dxfId="5" priority="1118"/>
    <cfRule type="duplicateValues" dxfId="5" priority="1122"/>
  </conditionalFormatting>
  <conditionalFormatting sqref="D108:G108">
    <cfRule type="cellIs" dxfId="0" priority="1111" operator="equal">
      <formula>"LOA"</formula>
    </cfRule>
    <cfRule type="cellIs" dxfId="1" priority="1112" operator="equal">
      <formula>"PENDING TERM"</formula>
    </cfRule>
    <cfRule type="cellIs" dxfId="2" priority="1113" operator="equal">
      <formula>"PROMOTED"</formula>
    </cfRule>
    <cfRule type="cellIs" dxfId="3" priority="1114" operator="equal">
      <formula>"REINSTATEMENT"</formula>
    </cfRule>
    <cfRule type="cellIs" dxfId="4" priority="1115" operator="equal">
      <formula>"TERM"</formula>
    </cfRule>
    <cfRule type="cellIs" dxfId="0" priority="1116" operator="equal">
      <formula>"TRANSFER"</formula>
    </cfRule>
  </conditionalFormatting>
  <conditionalFormatting sqref="E108">
    <cfRule type="duplicateValues" dxfId="5" priority="1120"/>
    <cfRule type="duplicateValues" dxfId="5" priority="1124"/>
    <cfRule type="duplicateValues" dxfId="6" priority="1126"/>
  </conditionalFormatting>
  <conditionalFormatting sqref="F108">
    <cfRule type="duplicateValues" dxfId="5" priority="1117"/>
    <cfRule type="duplicateValues" dxfId="5" priority="1121"/>
  </conditionalFormatting>
  <conditionalFormatting sqref="G108">
    <cfRule type="duplicateValues" dxfId="5" priority="1119"/>
    <cfRule type="duplicateValues" dxfId="5" priority="1123"/>
    <cfRule type="duplicateValues" dxfId="6" priority="1125"/>
  </conditionalFormatting>
  <conditionalFormatting sqref="H108">
    <cfRule type="duplicateValues" dxfId="5" priority="1133"/>
    <cfRule type="duplicateValues" dxfId="5" priority="1135"/>
  </conditionalFormatting>
  <conditionalFormatting sqref="H108:I108">
    <cfRule type="cellIs" dxfId="0" priority="1127" operator="equal">
      <formula>"LOA"</formula>
    </cfRule>
    <cfRule type="cellIs" dxfId="1" priority="1128" operator="equal">
      <formula>"PENDING TERM"</formula>
    </cfRule>
    <cfRule type="cellIs" dxfId="2" priority="1129" operator="equal">
      <formula>"PROMOTED"</formula>
    </cfRule>
    <cfRule type="cellIs" dxfId="3" priority="1130" operator="equal">
      <formula>"REINSTATEMENT"</formula>
    </cfRule>
    <cfRule type="cellIs" dxfId="4" priority="1131" operator="equal">
      <formula>"TERM"</formula>
    </cfRule>
    <cfRule type="cellIs" dxfId="0" priority="1132" operator="equal">
      <formula>"TRANSFER"</formula>
    </cfRule>
  </conditionalFormatting>
  <conditionalFormatting sqref="I108">
    <cfRule type="duplicateValues" dxfId="5" priority="1134"/>
    <cfRule type="duplicateValues" dxfId="5" priority="1136"/>
    <cfRule type="duplicateValues" dxfId="6" priority="1137"/>
  </conditionalFormatting>
  <conditionalFormatting sqref="D109:G109">
    <cfRule type="cellIs" dxfId="0" priority="1317" operator="equal">
      <formula>"LOA"</formula>
    </cfRule>
    <cfRule type="cellIs" dxfId="1" priority="1318" operator="equal">
      <formula>"PENDING TERM"</formula>
    </cfRule>
    <cfRule type="cellIs" dxfId="2" priority="1319" operator="equal">
      <formula>"PROMOTED"</formula>
    </cfRule>
    <cfRule type="cellIs" dxfId="3" priority="1320" operator="equal">
      <formula>"REINSTATEMENT"</formula>
    </cfRule>
    <cfRule type="cellIs" dxfId="4" priority="1321" operator="equal">
      <formula>"TERM"</formula>
    </cfRule>
    <cfRule type="cellIs" dxfId="0" priority="1322" operator="equal">
      <formula>"TRANSFER"</formula>
    </cfRule>
  </conditionalFormatting>
  <conditionalFormatting sqref="H109">
    <cfRule type="duplicateValues" dxfId="5" priority="1312"/>
    <cfRule type="duplicateValues" dxfId="5" priority="1314"/>
  </conditionalFormatting>
  <conditionalFormatting sqref="H109:I109">
    <cfRule type="cellIs" dxfId="0" priority="1306" operator="equal">
      <formula>"LOA"</formula>
    </cfRule>
    <cfRule type="cellIs" dxfId="1" priority="1307" operator="equal">
      <formula>"PENDING TERM"</formula>
    </cfRule>
    <cfRule type="cellIs" dxfId="2" priority="1308" operator="equal">
      <formula>"PROMOTED"</formula>
    </cfRule>
    <cfRule type="cellIs" dxfId="3" priority="1309" operator="equal">
      <formula>"REINSTATEMENT"</formula>
    </cfRule>
    <cfRule type="cellIs" dxfId="4" priority="1310" operator="equal">
      <formula>"TERM"</formula>
    </cfRule>
    <cfRule type="cellIs" dxfId="0" priority="1311" operator="equal">
      <formula>"TRANSFER"</formula>
    </cfRule>
  </conditionalFormatting>
  <conditionalFormatting sqref="I109">
    <cfRule type="duplicateValues" dxfId="5" priority="1313"/>
    <cfRule type="duplicateValues" dxfId="5" priority="1315"/>
    <cfRule type="duplicateValues" dxfId="6" priority="1316"/>
  </conditionalFormatting>
  <conditionalFormatting sqref="D110">
    <cfRule type="duplicateValues" dxfId="5" priority="1091"/>
    <cfRule type="duplicateValues" dxfId="5" priority="1095"/>
  </conditionalFormatting>
  <conditionalFormatting sqref="D110:G110">
    <cfRule type="cellIs" dxfId="0" priority="1084" operator="equal">
      <formula>"LOA"</formula>
    </cfRule>
    <cfRule type="cellIs" dxfId="1" priority="1085" operator="equal">
      <formula>"PENDING TERM"</formula>
    </cfRule>
    <cfRule type="cellIs" dxfId="2" priority="1086" operator="equal">
      <formula>"PROMOTED"</formula>
    </cfRule>
    <cfRule type="cellIs" dxfId="3" priority="1087" operator="equal">
      <formula>"REINSTATEMENT"</formula>
    </cfRule>
    <cfRule type="cellIs" dxfId="4" priority="1088" operator="equal">
      <formula>"TERM"</formula>
    </cfRule>
    <cfRule type="cellIs" dxfId="0" priority="1089" operator="equal">
      <formula>"TRANSFER"</formula>
    </cfRule>
  </conditionalFormatting>
  <conditionalFormatting sqref="E110">
    <cfRule type="duplicateValues" dxfId="5" priority="1093"/>
    <cfRule type="duplicateValues" dxfId="5" priority="1097"/>
    <cfRule type="duplicateValues" dxfId="6" priority="1099"/>
  </conditionalFormatting>
  <conditionalFormatting sqref="F110">
    <cfRule type="duplicateValues" dxfId="5" priority="1090"/>
    <cfRule type="duplicateValues" dxfId="5" priority="1094"/>
  </conditionalFormatting>
  <conditionalFormatting sqref="G110">
    <cfRule type="duplicateValues" dxfId="5" priority="1092"/>
    <cfRule type="duplicateValues" dxfId="5" priority="1096"/>
    <cfRule type="duplicateValues" dxfId="6" priority="1098"/>
  </conditionalFormatting>
  <conditionalFormatting sqref="H110">
    <cfRule type="duplicateValues" dxfId="5" priority="1106"/>
    <cfRule type="duplicateValues" dxfId="5" priority="1108"/>
  </conditionalFormatting>
  <conditionalFormatting sqref="H110:I110">
    <cfRule type="cellIs" dxfId="0" priority="1100" operator="equal">
      <formula>"LOA"</formula>
    </cfRule>
    <cfRule type="cellIs" dxfId="1" priority="1101" operator="equal">
      <formula>"PENDING TERM"</formula>
    </cfRule>
    <cfRule type="cellIs" dxfId="2" priority="1102" operator="equal">
      <formula>"PROMOTED"</formula>
    </cfRule>
    <cfRule type="cellIs" dxfId="3" priority="1103" operator="equal">
      <formula>"REINSTATEMENT"</formula>
    </cfRule>
    <cfRule type="cellIs" dxfId="4" priority="1104" operator="equal">
      <formula>"TERM"</formula>
    </cfRule>
    <cfRule type="cellIs" dxfId="0" priority="1105" operator="equal">
      <formula>"TRANSFER"</formula>
    </cfRule>
  </conditionalFormatting>
  <conditionalFormatting sqref="I110">
    <cfRule type="duplicateValues" dxfId="5" priority="1107"/>
    <cfRule type="duplicateValues" dxfId="5" priority="1109"/>
    <cfRule type="duplicateValues" dxfId="6" priority="1110"/>
  </conditionalFormatting>
  <conditionalFormatting sqref="E111">
    <cfRule type="cellIs" dxfId="0" priority="312" operator="equal">
      <formula>"LOA"</formula>
    </cfRule>
    <cfRule type="cellIs" dxfId="1" priority="313" operator="equal">
      <formula>"PENDING TERM"</formula>
    </cfRule>
    <cfRule type="cellIs" dxfId="2" priority="314" operator="equal">
      <formula>"PROMOTED"</formula>
    </cfRule>
    <cfRule type="cellIs" dxfId="3" priority="315" operator="equal">
      <formula>"REINSTATEMENT"</formula>
    </cfRule>
    <cfRule type="cellIs" dxfId="4" priority="316" operator="equal">
      <formula>"TERM"</formula>
    </cfRule>
    <cfRule type="cellIs" dxfId="0" priority="317" operator="equal">
      <formula>"TRANSFER"</formula>
    </cfRule>
  </conditionalFormatting>
  <conditionalFormatting sqref="H111">
    <cfRule type="duplicateValues" dxfId="5" priority="300"/>
  </conditionalFormatting>
  <conditionalFormatting sqref="I111">
    <cfRule type="duplicateValues" dxfId="5" priority="301"/>
  </conditionalFormatting>
  <conditionalFormatting sqref="D112:G112">
    <cfRule type="cellIs" dxfId="0" priority="589" operator="equal">
      <formula>"LOA"</formula>
    </cfRule>
    <cfRule type="cellIs" dxfId="1" priority="590" operator="equal">
      <formula>"PENDING TERM"</formula>
    </cfRule>
    <cfRule type="cellIs" dxfId="2" priority="591" operator="equal">
      <formula>"PROMOTED"</formula>
    </cfRule>
    <cfRule type="cellIs" dxfId="3" priority="592" operator="equal">
      <formula>"REINSTATEMENT"</formula>
    </cfRule>
    <cfRule type="cellIs" dxfId="4" priority="593" operator="equal">
      <formula>"TERM"</formula>
    </cfRule>
    <cfRule type="cellIs" dxfId="0" priority="594" operator="equal">
      <formula>"TRANSFER"</formula>
    </cfRule>
  </conditionalFormatting>
  <conditionalFormatting sqref="H112">
    <cfRule type="duplicateValues" dxfId="5" priority="586"/>
  </conditionalFormatting>
  <conditionalFormatting sqref="H112:I112">
    <cfRule type="cellIs" dxfId="0" priority="580" operator="equal">
      <formula>"LOA"</formula>
    </cfRule>
    <cfRule type="cellIs" dxfId="1" priority="581" operator="equal">
      <formula>"PENDING TERM"</formula>
    </cfRule>
    <cfRule type="cellIs" dxfId="2" priority="582" operator="equal">
      <formula>"PROMOTED"</formula>
    </cfRule>
    <cfRule type="cellIs" dxfId="3" priority="583" operator="equal">
      <formula>"REINSTATEMENT"</formula>
    </cfRule>
    <cfRule type="cellIs" dxfId="4" priority="584" operator="equal">
      <formula>"TERM"</formula>
    </cfRule>
    <cfRule type="cellIs" dxfId="0" priority="585" operator="equal">
      <formula>"TRANSFER"</formula>
    </cfRule>
  </conditionalFormatting>
  <conditionalFormatting sqref="I112">
    <cfRule type="duplicateValues" dxfId="5" priority="587"/>
    <cfRule type="duplicateValues" dxfId="6" priority="588"/>
  </conditionalFormatting>
  <conditionalFormatting sqref="D113:G113">
    <cfRule type="cellIs" dxfId="0" priority="460" operator="equal">
      <formula>"LOA"</formula>
    </cfRule>
    <cfRule type="cellIs" dxfId="1" priority="461" operator="equal">
      <formula>"PENDING TERM"</formula>
    </cfRule>
    <cfRule type="cellIs" dxfId="2" priority="462" operator="equal">
      <formula>"PROMOTED"</formula>
    </cfRule>
    <cfRule type="cellIs" dxfId="3" priority="463" operator="equal">
      <formula>"REINSTATEMENT"</formula>
    </cfRule>
    <cfRule type="cellIs" dxfId="4" priority="464" operator="equal">
      <formula>"TERM"</formula>
    </cfRule>
    <cfRule type="cellIs" dxfId="0" priority="465" operator="equal">
      <formula>"TRANSFER"</formula>
    </cfRule>
  </conditionalFormatting>
  <conditionalFormatting sqref="H113">
    <cfRule type="duplicateValues" dxfId="5" priority="453"/>
    <cfRule type="duplicateValues" dxfId="5" priority="455"/>
    <cfRule type="duplicateValues" dxfId="5" priority="457"/>
  </conditionalFormatting>
  <conditionalFormatting sqref="H113:I113">
    <cfRule type="cellIs" dxfId="0" priority="447" operator="equal">
      <formula>"LOA"</formula>
    </cfRule>
    <cfRule type="cellIs" dxfId="1" priority="448" operator="equal">
      <formula>"PENDING TERM"</formula>
    </cfRule>
    <cfRule type="cellIs" dxfId="2" priority="449" operator="equal">
      <formula>"PROMOTED"</formula>
    </cfRule>
    <cfRule type="cellIs" dxfId="3" priority="450" operator="equal">
      <formula>"REINSTATEMENT"</formula>
    </cfRule>
    <cfRule type="cellIs" dxfId="4" priority="451" operator="equal">
      <formula>"TERM"</formula>
    </cfRule>
    <cfRule type="cellIs" dxfId="0" priority="452" operator="equal">
      <formula>"TRANSFER"</formula>
    </cfRule>
  </conditionalFormatting>
  <conditionalFormatting sqref="I113">
    <cfRule type="duplicateValues" dxfId="5" priority="454"/>
    <cfRule type="duplicateValues" dxfId="5" priority="456"/>
    <cfRule type="duplicateValues" dxfId="5" priority="458"/>
    <cfRule type="duplicateValues" dxfId="6" priority="459"/>
  </conditionalFormatting>
  <conditionalFormatting sqref="E114">
    <cfRule type="cellIs" dxfId="0" priority="250" operator="equal">
      <formula>"LOA"</formula>
    </cfRule>
    <cfRule type="cellIs" dxfId="1" priority="251" operator="equal">
      <formula>"PENDING TERM"</formula>
    </cfRule>
    <cfRule type="cellIs" dxfId="2" priority="252" operator="equal">
      <formula>"PROMOTED"</formula>
    </cfRule>
    <cfRule type="cellIs" dxfId="3" priority="253" operator="equal">
      <formula>"REINSTATEMENT"</formula>
    </cfRule>
    <cfRule type="cellIs" dxfId="4" priority="254" operator="equal">
      <formula>"TERM"</formula>
    </cfRule>
    <cfRule type="cellIs" dxfId="0" priority="255" operator="equal">
      <formula>"TRANSFER"</formula>
    </cfRule>
  </conditionalFormatting>
  <conditionalFormatting sqref="H114">
    <cfRule type="duplicateValues" dxfId="5" priority="245"/>
    <cfRule type="duplicateValues" dxfId="5" priority="247"/>
  </conditionalFormatting>
  <conditionalFormatting sqref="I114">
    <cfRule type="duplicateValues" dxfId="5" priority="246"/>
    <cfRule type="duplicateValues" dxfId="5" priority="248"/>
    <cfRule type="duplicateValues" dxfId="6" priority="249"/>
  </conditionalFormatting>
  <conditionalFormatting sqref="D115:G115">
    <cfRule type="cellIs" dxfId="0" priority="993" operator="equal">
      <formula>"LOA"</formula>
    </cfRule>
    <cfRule type="cellIs" dxfId="1" priority="994" operator="equal">
      <formula>"PENDING TERM"</formula>
    </cfRule>
    <cfRule type="cellIs" dxfId="2" priority="995" operator="equal">
      <formula>"PROMOTED"</formula>
    </cfRule>
    <cfRule type="cellIs" dxfId="3" priority="996" operator="equal">
      <formula>"REINSTATEMENT"</formula>
    </cfRule>
    <cfRule type="cellIs" dxfId="4" priority="997" operator="equal">
      <formula>"TERM"</formula>
    </cfRule>
    <cfRule type="cellIs" dxfId="0" priority="998" operator="equal">
      <formula>"TRANSFER"</formula>
    </cfRule>
  </conditionalFormatting>
  <conditionalFormatting sqref="H115">
    <cfRule type="duplicateValues" dxfId="5" priority="988"/>
    <cfRule type="duplicateValues" dxfId="5" priority="990"/>
  </conditionalFormatting>
  <conditionalFormatting sqref="H115:I115">
    <cfRule type="cellIs" dxfId="0" priority="982" operator="equal">
      <formula>"LOA"</formula>
    </cfRule>
    <cfRule type="cellIs" dxfId="1" priority="983" operator="equal">
      <formula>"PENDING TERM"</formula>
    </cfRule>
    <cfRule type="cellIs" dxfId="2" priority="984" operator="equal">
      <formula>"PROMOTED"</formula>
    </cfRule>
    <cfRule type="cellIs" dxfId="3" priority="985" operator="equal">
      <formula>"REINSTATEMENT"</formula>
    </cfRule>
    <cfRule type="cellIs" dxfId="4" priority="986" operator="equal">
      <formula>"TERM"</formula>
    </cfRule>
    <cfRule type="cellIs" dxfId="0" priority="987" operator="equal">
      <formula>"TRANSFER"</formula>
    </cfRule>
  </conditionalFormatting>
  <conditionalFormatting sqref="I115">
    <cfRule type="duplicateValues" dxfId="5" priority="989"/>
    <cfRule type="duplicateValues" dxfId="5" priority="991"/>
    <cfRule type="duplicateValues" dxfId="6" priority="992"/>
  </conditionalFormatting>
  <conditionalFormatting sqref="D116:G116">
    <cfRule type="cellIs" dxfId="0" priority="441" operator="equal">
      <formula>"LOA"</formula>
    </cfRule>
    <cfRule type="cellIs" dxfId="1" priority="442" operator="equal">
      <formula>"PENDING TERM"</formula>
    </cfRule>
    <cfRule type="cellIs" dxfId="2" priority="443" operator="equal">
      <formula>"PROMOTED"</formula>
    </cfRule>
    <cfRule type="cellIs" dxfId="3" priority="444" operator="equal">
      <formula>"REINSTATEMENT"</formula>
    </cfRule>
    <cfRule type="cellIs" dxfId="4" priority="445" operator="equal">
      <formula>"TERM"</formula>
    </cfRule>
    <cfRule type="cellIs" dxfId="0" priority="446" operator="equal">
      <formula>"TRANSFER"</formula>
    </cfRule>
  </conditionalFormatting>
  <conditionalFormatting sqref="H116">
    <cfRule type="duplicateValues" dxfId="5" priority="434"/>
    <cfRule type="duplicateValues" dxfId="5" priority="436"/>
    <cfRule type="duplicateValues" dxfId="5" priority="438"/>
  </conditionalFormatting>
  <conditionalFormatting sqref="H116:I116">
    <cfRule type="cellIs" dxfId="0" priority="428" operator="equal">
      <formula>"LOA"</formula>
    </cfRule>
    <cfRule type="cellIs" dxfId="1" priority="429" operator="equal">
      <formula>"PENDING TERM"</formula>
    </cfRule>
    <cfRule type="cellIs" dxfId="2" priority="430" operator="equal">
      <formula>"PROMOTED"</formula>
    </cfRule>
    <cfRule type="cellIs" dxfId="3" priority="431" operator="equal">
      <formula>"REINSTATEMENT"</formula>
    </cfRule>
    <cfRule type="cellIs" dxfId="4" priority="432" operator="equal">
      <formula>"TERM"</formula>
    </cfRule>
    <cfRule type="cellIs" dxfId="0" priority="433" operator="equal">
      <formula>"TRANSFER"</formula>
    </cfRule>
  </conditionalFormatting>
  <conditionalFormatting sqref="I116">
    <cfRule type="duplicateValues" dxfId="5" priority="435"/>
    <cfRule type="duplicateValues" dxfId="5" priority="437"/>
    <cfRule type="duplicateValues" dxfId="5" priority="439"/>
    <cfRule type="duplicateValues" dxfId="6" priority="440"/>
  </conditionalFormatting>
  <conditionalFormatting sqref="D117:G117">
    <cfRule type="cellIs" dxfId="0" priority="479" operator="equal">
      <formula>"LOA"</formula>
    </cfRule>
    <cfRule type="cellIs" dxfId="1" priority="480" operator="equal">
      <formula>"PENDING TERM"</formula>
    </cfRule>
    <cfRule type="cellIs" dxfId="2" priority="481" operator="equal">
      <formula>"PROMOTED"</formula>
    </cfRule>
    <cfRule type="cellIs" dxfId="3" priority="482" operator="equal">
      <formula>"REINSTATEMENT"</formula>
    </cfRule>
    <cfRule type="cellIs" dxfId="4" priority="483" operator="equal">
      <formula>"TERM"</formula>
    </cfRule>
    <cfRule type="cellIs" dxfId="0" priority="484" operator="equal">
      <formula>"TRANSFER"</formula>
    </cfRule>
  </conditionalFormatting>
  <conditionalFormatting sqref="H117">
    <cfRule type="duplicateValues" dxfId="5" priority="472"/>
    <cfRule type="duplicateValues" dxfId="5" priority="474"/>
    <cfRule type="duplicateValues" dxfId="5" priority="476"/>
  </conditionalFormatting>
  <conditionalFormatting sqref="H117:I117">
    <cfRule type="cellIs" dxfId="0" priority="466" operator="equal">
      <formula>"LOA"</formula>
    </cfRule>
    <cfRule type="cellIs" dxfId="1" priority="467" operator="equal">
      <formula>"PENDING TERM"</formula>
    </cfRule>
    <cfRule type="cellIs" dxfId="2" priority="468" operator="equal">
      <formula>"PROMOTED"</formula>
    </cfRule>
    <cfRule type="cellIs" dxfId="3" priority="469" operator="equal">
      <formula>"REINSTATEMENT"</formula>
    </cfRule>
    <cfRule type="cellIs" dxfId="4" priority="470" operator="equal">
      <formula>"TERM"</formula>
    </cfRule>
    <cfRule type="cellIs" dxfId="0" priority="471" operator="equal">
      <formula>"TRANSFER"</formula>
    </cfRule>
  </conditionalFormatting>
  <conditionalFormatting sqref="I117">
    <cfRule type="duplicateValues" dxfId="5" priority="473"/>
    <cfRule type="duplicateValues" dxfId="5" priority="475"/>
    <cfRule type="duplicateValues" dxfId="5" priority="477"/>
    <cfRule type="duplicateValues" dxfId="6" priority="478"/>
  </conditionalFormatting>
  <conditionalFormatting sqref="D118:G118">
    <cfRule type="cellIs" dxfId="0" priority="604" operator="equal">
      <formula>"LOA"</formula>
    </cfRule>
    <cfRule type="cellIs" dxfId="1" priority="605" operator="equal">
      <formula>"PENDING TERM"</formula>
    </cfRule>
    <cfRule type="cellIs" dxfId="2" priority="606" operator="equal">
      <formula>"PROMOTED"</formula>
    </cfRule>
    <cfRule type="cellIs" dxfId="3" priority="607" operator="equal">
      <formula>"REINSTATEMENT"</formula>
    </cfRule>
    <cfRule type="cellIs" dxfId="4" priority="608" operator="equal">
      <formula>"TERM"</formula>
    </cfRule>
    <cfRule type="cellIs" dxfId="0" priority="609" operator="equal">
      <formula>"TRANSFER"</formula>
    </cfRule>
  </conditionalFormatting>
  <conditionalFormatting sqref="H118">
    <cfRule type="duplicateValues" dxfId="5" priority="601"/>
  </conditionalFormatting>
  <conditionalFormatting sqref="H118:I118">
    <cfRule type="cellIs" dxfId="0" priority="595" operator="equal">
      <formula>"LOA"</formula>
    </cfRule>
    <cfRule type="cellIs" dxfId="1" priority="596" operator="equal">
      <formula>"PENDING TERM"</formula>
    </cfRule>
    <cfRule type="cellIs" dxfId="2" priority="597" operator="equal">
      <formula>"PROMOTED"</formula>
    </cfRule>
    <cfRule type="cellIs" dxfId="3" priority="598" operator="equal">
      <formula>"REINSTATEMENT"</formula>
    </cfRule>
    <cfRule type="cellIs" dxfId="4" priority="599" operator="equal">
      <formula>"TERM"</formula>
    </cfRule>
    <cfRule type="cellIs" dxfId="0" priority="600" operator="equal">
      <formula>"TRANSFER"</formula>
    </cfRule>
  </conditionalFormatting>
  <conditionalFormatting sqref="I118">
    <cfRule type="duplicateValues" dxfId="5" priority="602"/>
    <cfRule type="duplicateValues" dxfId="6" priority="603"/>
  </conditionalFormatting>
  <conditionalFormatting sqref="L3:L118">
    <cfRule type="cellIs" dxfId="0" priority="1559" operator="equal">
      <formula>"Pending Term"</formula>
    </cfRule>
    <cfRule type="cellIs" dxfId="0" priority="1560" operator="equal">
      <formula>"Approved Off"</formula>
    </cfRule>
    <cfRule type="cellIs" dxfId="0" priority="1561" operator="equal">
      <formula>"FER"</formula>
    </cfRule>
    <cfRule type="cellIs" dxfId="0" priority="1562" operator="equal">
      <formula>"LOA"</formula>
    </cfRule>
    <cfRule type="cellIs" dxfId="14" priority="1563" operator="equal">
      <formula>"OFF"</formula>
    </cfRule>
    <cfRule type="cellIs" dxfId="0" priority="1564" operator="equal">
      <formula>"Study Day"</formula>
    </cfRule>
    <cfRule type="cellIs" dxfId="0" priority="1565" operator="equal">
      <formula>"SUS"</formula>
    </cfRule>
    <cfRule type="cellIs" dxfId="0" priority="1566" operator="equal">
      <formula>"VAC"</formula>
    </cfRule>
  </conditionalFormatting>
  <conditionalFormatting sqref="D6:G6;H6:I6">
    <cfRule type="cellIs" dxfId="0" priority="180" operator="equal">
      <formula>"LOA"</formula>
    </cfRule>
    <cfRule type="cellIs" dxfId="1" priority="181" operator="equal">
      <formula>"PENDING TERM"</formula>
    </cfRule>
    <cfRule type="cellIs" dxfId="2" priority="182" operator="equal">
      <formula>"PROMOTED"</formula>
    </cfRule>
    <cfRule type="cellIs" dxfId="3" priority="183" operator="equal">
      <formula>"REINSTATEMENT"</formula>
    </cfRule>
    <cfRule type="cellIs" dxfId="4" priority="184" operator="equal">
      <formula>"TERM"</formula>
    </cfRule>
    <cfRule type="cellIs" dxfId="0" priority="185" operator="equal">
      <formula>"TRANSFER"</formula>
    </cfRule>
  </conditionalFormatting>
  <conditionalFormatting sqref="D7:G7;H7:I7">
    <cfRule type="cellIs" dxfId="0" priority="171" operator="equal">
      <formula>"LOA"</formula>
    </cfRule>
    <cfRule type="cellIs" dxfId="1" priority="172" operator="equal">
      <formula>"PENDING TERM"</formula>
    </cfRule>
    <cfRule type="cellIs" dxfId="2" priority="173" operator="equal">
      <formula>"PROMOTED"</formula>
    </cfRule>
    <cfRule type="cellIs" dxfId="3" priority="174" operator="equal">
      <formula>"REINSTATEMENT"</formula>
    </cfRule>
    <cfRule type="cellIs" dxfId="4" priority="175" operator="equal">
      <formula>"TERM"</formula>
    </cfRule>
    <cfRule type="cellIs" dxfId="0" priority="176" operator="equal">
      <formula>"TRANSFER"</formula>
    </cfRule>
  </conditionalFormatting>
  <conditionalFormatting sqref="D8:G8;H8:I8">
    <cfRule type="cellIs" dxfId="0" priority="158" operator="equal">
      <formula>"LOA"</formula>
    </cfRule>
    <cfRule type="cellIs" dxfId="1" priority="159" operator="equal">
      <formula>"PENDING TERM"</formula>
    </cfRule>
    <cfRule type="cellIs" dxfId="2" priority="160" operator="equal">
      <formula>"PROMOTED"</formula>
    </cfRule>
    <cfRule type="cellIs" dxfId="3" priority="161" operator="equal">
      <formula>"REINSTATEMENT"</formula>
    </cfRule>
    <cfRule type="cellIs" dxfId="4" priority="162" operator="equal">
      <formula>"TERM"</formula>
    </cfRule>
    <cfRule type="cellIs" dxfId="0" priority="163" operator="equal">
      <formula>"TRANSFER"</formula>
    </cfRule>
  </conditionalFormatting>
  <conditionalFormatting sqref="D20:G20;H20:I20">
    <cfRule type="cellIs" dxfId="0" priority="149" operator="equal">
      <formula>"LOA"</formula>
    </cfRule>
    <cfRule type="cellIs" dxfId="1" priority="150" operator="equal">
      <formula>"PENDING TERM"</formula>
    </cfRule>
    <cfRule type="cellIs" dxfId="2" priority="151" operator="equal">
      <formula>"PROMOTED"</formula>
    </cfRule>
    <cfRule type="cellIs" dxfId="3" priority="152" operator="equal">
      <formula>"REINSTATEMENT"</formula>
    </cfRule>
    <cfRule type="cellIs" dxfId="4" priority="153" operator="equal">
      <formula>"TERM"</formula>
    </cfRule>
    <cfRule type="cellIs" dxfId="0" priority="154" operator="equal">
      <formula>"TRANSFER"</formula>
    </cfRule>
  </conditionalFormatting>
  <conditionalFormatting sqref="D28:G28;H28:I28">
    <cfRule type="cellIs" dxfId="0" priority="140" operator="equal">
      <formula>"LOA"</formula>
    </cfRule>
    <cfRule type="cellIs" dxfId="1" priority="141" operator="equal">
      <formula>"PENDING TERM"</formula>
    </cfRule>
    <cfRule type="cellIs" dxfId="2" priority="142" operator="equal">
      <formula>"PROMOTED"</formula>
    </cfRule>
    <cfRule type="cellIs" dxfId="3" priority="143" operator="equal">
      <formula>"REINSTATEMENT"</formula>
    </cfRule>
    <cfRule type="cellIs" dxfId="4" priority="144" operator="equal">
      <formula>"TERM"</formula>
    </cfRule>
    <cfRule type="cellIs" dxfId="0" priority="145" operator="equal">
      <formula>"TRANSFER"</formula>
    </cfRule>
  </conditionalFormatting>
  <conditionalFormatting sqref="D29:G29;H29:I29">
    <cfRule type="cellIs" dxfId="0" priority="127" operator="equal">
      <formula>"LOA"</formula>
    </cfRule>
    <cfRule type="cellIs" dxfId="1" priority="128" operator="equal">
      <formula>"PENDING TERM"</formula>
    </cfRule>
    <cfRule type="cellIs" dxfId="2" priority="129" operator="equal">
      <formula>"PROMOTED"</formula>
    </cfRule>
    <cfRule type="cellIs" dxfId="3" priority="130" operator="equal">
      <formula>"REINSTATEMENT"</formula>
    </cfRule>
    <cfRule type="cellIs" dxfId="4" priority="131" operator="equal">
      <formula>"TERM"</formula>
    </cfRule>
    <cfRule type="cellIs" dxfId="0" priority="132" operator="equal">
      <formula>"TRANSFER"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Teleperformance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Horas Adicionales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Zelarayan</dc:creator>
  <cp:lastModifiedBy>grimaldi.10</cp:lastModifiedBy>
  <dcterms:created xsi:type="dcterms:W3CDTF">2013-03-26T17:23:00Z</dcterms:created>
  <dcterms:modified xsi:type="dcterms:W3CDTF">2020-08-31T20:29:21Z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3082-11.2.0.9031</vt:lpwstr>
  </property>
</Properties>
</file>