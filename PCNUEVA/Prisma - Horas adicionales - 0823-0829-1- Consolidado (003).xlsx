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Juan Arias\Desktop\Home Office\Archivos\"/>
    </mc:Choice>
  </mc:AlternateContent>
  <bookViews>
    <workbookView xWindow="0" yWindow="0" windowWidth="21600" windowHeight="9675" tabRatio="500" activeTab="1"/>
  </bookViews>
  <sheets>
    <sheet name="Summary" sheetId="1" r:id="rId1"/>
    <sheet name="Horas Adicionales" sheetId="2" r:id="rId2"/>
  </sheets>
  <definedNames>
    <definedName name="_xlnm._FilterDatabase" localSheetId="1" hidden="1">'Horas Adicionales'!$B$2:$M$153</definedName>
  </definedNames>
  <calcPr calcId="152511"/>
</workbook>
</file>

<file path=xl/calcChain.xml><?xml version="1.0" encoding="utf-8"?>
<calcChain xmlns="http://schemas.openxmlformats.org/spreadsheetml/2006/main">
  <c r="B6" i="1" l="1"/>
  <c r="A6" i="1"/>
  <c r="B7" i="1" s="1"/>
  <c r="B8" i="1" l="1"/>
  <c r="C7" i="1"/>
  <c r="C6" i="1"/>
  <c r="B9" i="1" l="1"/>
  <c r="C8" i="1"/>
  <c r="B10" i="1" l="1"/>
  <c r="C9" i="1"/>
  <c r="B11" i="1" l="1"/>
  <c r="C10" i="1"/>
  <c r="B12" i="1" l="1"/>
  <c r="C12" i="1" s="1"/>
  <c r="C11" i="1"/>
  <c r="D6" i="1" l="1"/>
</calcChain>
</file>

<file path=xl/sharedStrings.xml><?xml version="1.0" encoding="utf-8"?>
<sst xmlns="http://schemas.openxmlformats.org/spreadsheetml/2006/main" count="951" uniqueCount="91">
  <si>
    <t>0823 - 0829</t>
  </si>
  <si>
    <t>Adicionales</t>
  </si>
  <si>
    <t>Prisma</t>
  </si>
  <si>
    <t>Día</t>
  </si>
  <si>
    <t>#</t>
  </si>
  <si>
    <t xml:space="preserve">Total </t>
  </si>
  <si>
    <t>Number</t>
  </si>
  <si>
    <t>LOB</t>
  </si>
  <si>
    <t>ACM</t>
  </si>
  <si>
    <t>Supervisor</t>
  </si>
  <si>
    <t>Last Name</t>
  </si>
  <si>
    <t>Frist Name</t>
  </si>
  <si>
    <t>Payroll Number</t>
  </si>
  <si>
    <t>CCMS</t>
  </si>
  <si>
    <t>Fecha</t>
  </si>
  <si>
    <t>Schedule Actual</t>
  </si>
  <si>
    <t>Schedule Recomendado</t>
  </si>
  <si>
    <t>Feedback</t>
  </si>
  <si>
    <t>Ortiz Jose María</t>
  </si>
  <si>
    <t>Britos Fernando José</t>
  </si>
  <si>
    <t>Cortes Jozami</t>
  </si>
  <si>
    <t>Ana Sofia</t>
  </si>
  <si>
    <t>Fuera de Shift</t>
  </si>
  <si>
    <t>18:00 - 19:00</t>
  </si>
  <si>
    <t>Vizcarra</t>
  </si>
  <si>
    <t>Ayelén Magalí del Valle</t>
  </si>
  <si>
    <t>19:00 - 20:00</t>
  </si>
  <si>
    <t>20:00 - 21:00</t>
  </si>
  <si>
    <t>Campero Juarez Maria Guadalupe</t>
  </si>
  <si>
    <t>Corbera Susana Sofía</t>
  </si>
  <si>
    <t>Chavarria Bevacqua</t>
  </si>
  <si>
    <t>Silvana Carolina</t>
  </si>
  <si>
    <t>Perez Zitzke Agustina</t>
  </si>
  <si>
    <t>Grimaldi Agustina Sofía</t>
  </si>
  <si>
    <t>Mendez</t>
  </si>
  <si>
    <t>Leandro Dario</t>
  </si>
  <si>
    <t>Soto</t>
  </si>
  <si>
    <t>Fatima Belen</t>
  </si>
  <si>
    <t>11:00 - 12:00</t>
  </si>
  <si>
    <t>Cantos</t>
  </si>
  <si>
    <t xml:space="preserve">Horacio Nicolas </t>
  </si>
  <si>
    <t>12:00 - 13:00</t>
  </si>
  <si>
    <t>13:00 - 14:00</t>
  </si>
  <si>
    <t>Moreira</t>
  </si>
  <si>
    <t>Fernando Ezequiel</t>
  </si>
  <si>
    <t>15:00 - 16:00</t>
  </si>
  <si>
    <t>Diaz Jesica Luciana</t>
  </si>
  <si>
    <t>Ponce</t>
  </si>
  <si>
    <t>Lucia Emilia</t>
  </si>
  <si>
    <t>Esquivel Pavan Pamela Sol</t>
  </si>
  <si>
    <t>Bonadelli</t>
  </si>
  <si>
    <t>Angel Fabian</t>
  </si>
  <si>
    <t>16:00 - 17:00</t>
  </si>
  <si>
    <t>Villa Aleman Alejandro Roberto</t>
  </si>
  <si>
    <t>Parrado Quiroga</t>
  </si>
  <si>
    <t>Gimena Marisol</t>
  </si>
  <si>
    <t>17:00 - 18:00</t>
  </si>
  <si>
    <t>Gerez Andrea Soledad</t>
  </si>
  <si>
    <t>Zerrizuela</t>
  </si>
  <si>
    <t>Mariana Agostina</t>
  </si>
  <si>
    <t>Del Valle</t>
  </si>
  <si>
    <t>Silvina</t>
  </si>
  <si>
    <t>Monges</t>
  </si>
  <si>
    <t>Elina Teresa</t>
  </si>
  <si>
    <t>Brandan Ernesto Alejandro</t>
  </si>
  <si>
    <t>Burgos</t>
  </si>
  <si>
    <t>Damaris Nahir</t>
  </si>
  <si>
    <t xml:space="preserve">Lopez </t>
  </si>
  <si>
    <t xml:space="preserve">Rosa Mariana </t>
  </si>
  <si>
    <t>Delgado</t>
  </si>
  <si>
    <t>Daiana Melina</t>
  </si>
  <si>
    <t>Cuello</t>
  </si>
  <si>
    <t>Paula Mariana</t>
  </si>
  <si>
    <t>Rodriguez Ciccio</t>
  </si>
  <si>
    <t>Nicolas Exequiel</t>
  </si>
  <si>
    <t>Villa</t>
  </si>
  <si>
    <t>Luciana Pamela</t>
  </si>
  <si>
    <t>Ricci</t>
  </si>
  <si>
    <t>Rocio del Valle</t>
  </si>
  <si>
    <t>Gonzalez</t>
  </si>
  <si>
    <t>Sofia Anahi</t>
  </si>
  <si>
    <t>Mansilla</t>
  </si>
  <si>
    <t>Micaela Belen</t>
  </si>
  <si>
    <t>Arias Juan José</t>
  </si>
  <si>
    <t>Ale</t>
  </si>
  <si>
    <t xml:space="preserve"> Rocío Agustina</t>
  </si>
  <si>
    <t>Palomino Juan Pablo</t>
  </si>
  <si>
    <t>Soria Juarez</t>
  </si>
  <si>
    <t>Eugenia Soledad</t>
  </si>
  <si>
    <t>Mereles Zerda</t>
  </si>
  <si>
    <t>Ana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</si>
</sst>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ddd\ mm/dd"/>
    <numFmt numFmtId="165" formatCode="[$-2C0A]dd\-mmm"/>
    <numFmt numFmtId="166" formatCode="[$-2C0A]dd/mm/yyyy"/>
    <numFmt numFmtId="167" formatCode="ddd\ dd/mm"/>
    <numFmt numFmtId="168" formatCode="dddd"/>
  </numFmts>
  <fonts count="11">
    <font>
      <sz val="11"/>
      <color rgb="FF000000"/>
      <name val="Calibri"/>
      <charset val="134"/>
    </font>
    <font>
      <sz val="11"/>
      <name val="Calibri"/>
      <family val="2"/>
      <scheme val="minor"/>
    </font>
    <font>
      <b/>
      <sz val="14"/>
      <color rgb="FFFFFFFF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rgb="FFFFFFFF"/>
      <name val="Calibri"/>
      <family val="2"/>
    </font>
    <font>
      <b/>
      <sz val="14"/>
      <color rgb="FFFFFF00"/>
      <name val="Calibri"/>
      <family val="2"/>
    </font>
    <font>
      <b/>
      <sz val="8"/>
      <color rgb="FF17375E"/>
      <name val="Calibri"/>
      <family val="2"/>
    </font>
    <font>
      <b/>
      <sz val="12"/>
      <color rgb="FF000000"/>
      <name val="Calibri"/>
      <family val="2"/>
    </font>
    <font>
      <b/>
      <sz val="12"/>
      <color rgb="FF17375E"/>
      <name val="Calibri"/>
      <family val="2"/>
    </font>
    <font>
      <b/>
      <sz val="9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54061"/>
        <bgColor rgb="FF17375E"/>
      </patternFill>
    </fill>
    <fill>
      <patternFill patternType="solid">
        <fgColor rgb="FF95B3D7"/>
        <bgColor rgb="FFA6A6A6"/>
      </patternFill>
    </fill>
    <fill>
      <patternFill patternType="solid">
        <fgColor rgb="FFDCE6F2"/>
        <bgColor rgb="FFD9D9D9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rgb="FFA6A6A6"/>
      </right>
      <top style="medium">
        <color auto="1"/>
      </top>
      <bottom style="medium">
        <color auto="1"/>
      </bottom>
      <diagonal/>
    </border>
    <border>
      <left style="thin">
        <color rgb="FFA6A6A6"/>
      </left>
      <right style="thin">
        <color rgb="FFA6A6A6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rgb="FF808080"/>
      </right>
      <top/>
      <bottom style="hair">
        <color auto="1"/>
      </bottom>
      <diagonal/>
    </border>
    <border>
      <left style="thin">
        <color rgb="FF808080"/>
      </left>
      <right style="thin">
        <color rgb="FF808080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rgb="FF808080"/>
      </right>
      <top style="hair">
        <color auto="1"/>
      </top>
      <bottom style="hair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 style="thin">
        <color rgb="FFA6A6A6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808080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rgb="FF808080"/>
      </right>
      <top style="hair">
        <color auto="1"/>
      </top>
      <bottom style="medium">
        <color auto="1"/>
      </bottom>
      <diagonal/>
    </border>
    <border>
      <left style="thin">
        <color rgb="FF808080"/>
      </left>
      <right style="thin">
        <color rgb="FF808080"/>
      </right>
      <top style="hair">
        <color auto="1"/>
      </top>
      <bottom style="medium">
        <color auto="1"/>
      </bottom>
      <diagonal/>
    </border>
    <border>
      <left style="thin">
        <color rgb="FF808080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rgb="FF7F7F7F"/>
      </bottom>
      <diagonal/>
    </border>
    <border>
      <left style="medium">
        <color auto="1"/>
      </left>
      <right style="medium">
        <color auto="1"/>
      </right>
      <top style="hair">
        <color rgb="FF7F7F7F"/>
      </top>
      <bottom style="hair">
        <color rgb="FF7F7F7F"/>
      </bottom>
      <diagonal/>
    </border>
    <border>
      <left style="medium">
        <color auto="1"/>
      </left>
      <right style="medium">
        <color auto="1"/>
      </right>
      <top style="hair">
        <color rgb="FF7F7F7F"/>
      </top>
      <bottom style="medium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165" fontId="5" fillId="0" borderId="0" xfId="0" applyNumberFormat="1" applyFont="1"/>
    <xf numFmtId="0" fontId="2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167" fontId="3" fillId="0" borderId="5" xfId="0" applyNumberFormat="1" applyFont="1" applyBorder="1" applyAlignment="1">
      <alignment horizontal="center"/>
    </xf>
    <xf numFmtId="166" fontId="3" fillId="0" borderId="11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66" fontId="3" fillId="0" borderId="13" xfId="0" applyNumberFormat="1" applyFont="1" applyBorder="1" applyAlignment="1">
      <alignment horizontal="center" vertical="center"/>
    </xf>
    <xf numFmtId="167" fontId="3" fillId="0" borderId="5" xfId="0" applyNumberFormat="1" applyFont="1" applyFill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167" fontId="3" fillId="0" borderId="15" xfId="0" applyNumberFormat="1" applyFont="1" applyBorder="1" applyAlignment="1">
      <alignment horizontal="center"/>
    </xf>
    <xf numFmtId="166" fontId="3" fillId="0" borderId="16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166" fontId="3" fillId="0" borderId="18" xfId="0" applyNumberFormat="1" applyFont="1" applyBorder="1" applyAlignment="1">
      <alignment horizontal="center" vertical="center"/>
    </xf>
    <xf numFmtId="0" fontId="0" fillId="0" borderId="0" xfId="0" applyBorder="1"/>
    <xf numFmtId="0" fontId="7" fillId="3" borderId="9" xfId="0" applyFont="1" applyFill="1" applyBorder="1" applyAlignment="1">
      <alignment horizontal="center" wrapText="1"/>
    </xf>
    <xf numFmtId="0" fontId="9" fillId="3" borderId="9" xfId="0" applyFont="1" applyFill="1" applyBorder="1" applyAlignment="1">
      <alignment horizontal="center" vertical="center" wrapText="1"/>
    </xf>
    <xf numFmtId="0" fontId="5" fillId="0" borderId="0" xfId="0" applyFont="1"/>
    <xf numFmtId="168" fontId="10" fillId="2" borderId="9" xfId="0" applyNumberFormat="1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164" fontId="10" fillId="2" borderId="9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 wrapText="1"/>
    </xf>
    <xf numFmtId="0" fontId="8" fillId="4" borderId="20" xfId="0" applyFont="1" applyFill="1" applyBorder="1" applyAlignment="1">
      <alignment horizontal="center" wrapText="1"/>
    </xf>
    <xf numFmtId="0" fontId="8" fillId="4" borderId="9" xfId="0" applyFont="1" applyFill="1" applyBorder="1" applyAlignment="1">
      <alignment horizontal="center" wrapText="1"/>
    </xf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777"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rgb="FFFFFFFF"/>
      </font>
      <fill>
        <patternFill patternType="solid">
          <bgColor rgb="FF0000FF"/>
        </patternFill>
      </fill>
    </dxf>
    <dxf>
      <font>
        <b/>
        <i val="0"/>
        <color rgb="FFFFFFFF"/>
      </font>
      <fill>
        <patternFill patternType="solid">
          <bgColor rgb="FF0000FF"/>
        </patternFill>
      </fill>
    </dxf>
    <dxf>
      <font>
        <b/>
        <i val="0"/>
        <color rgb="FFFFFFFF"/>
      </font>
      <fill>
        <patternFill patternType="solid">
          <bgColor rgb="FF0000FF"/>
        </patternFill>
      </fill>
    </dxf>
    <dxf>
      <font>
        <b/>
        <i val="0"/>
      </font>
      <fill>
        <patternFill patternType="solid">
          <bgColor rgb="FFD9D9D9"/>
        </patternFill>
      </fill>
    </dxf>
    <dxf>
      <font>
        <b/>
        <i val="0"/>
        <color rgb="FFFFFFFF"/>
      </font>
      <fill>
        <patternFill patternType="solid">
          <bgColor rgb="FF0000FF"/>
        </patternFill>
      </fill>
    </dxf>
    <dxf>
      <font>
        <b/>
        <i val="0"/>
        <color rgb="FFFFFFFF"/>
      </font>
      <fill>
        <patternFill patternType="solid">
          <bgColor rgb="FF0000FF"/>
        </patternFill>
      </fill>
    </dxf>
    <dxf>
      <font>
        <b/>
        <i val="0"/>
        <color rgb="FFFFFFFF"/>
      </font>
      <fill>
        <patternFill patternType="solid">
          <bgColor rgb="FF0000FF"/>
        </patternFill>
      </fill>
    </dxf>
    <dxf>
      <font>
        <b/>
        <i val="0"/>
        <color rgb="FFFFFFFF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ill>
        <patternFill patternType="solid">
          <bgColor rgb="FF7030A0"/>
        </patternFill>
      </fill>
    </dxf>
    <dxf>
      <font>
        <b/>
        <i val="0"/>
        <color rgb="FFFFFFFF"/>
      </font>
      <fill>
        <patternFill patternType="solid">
          <bgColor rgb="FF7030A0"/>
        </patternFill>
      </fill>
    </dxf>
    <dxf>
      <font>
        <b/>
        <i val="0"/>
        <color rgb="FFFFFFFF"/>
      </font>
      <fill>
        <patternFill patternType="solid">
          <bgColor rgb="FF7030A0"/>
        </patternFill>
      </fill>
    </dxf>
    <dxf>
      <font>
        <b/>
        <i val="0"/>
        <color rgb="FFFFFFFF"/>
      </font>
      <fill>
        <patternFill patternType="solid">
          <bgColor rgb="FF0000FF"/>
        </patternFill>
      </fill>
    </dxf>
    <dxf>
      <font>
        <b/>
        <i val="0"/>
        <color rgb="FFFFFFFF"/>
      </font>
      <fill>
        <patternFill patternType="solid">
          <bgColor rgb="FFFF0000"/>
        </patternFill>
      </fill>
    </dxf>
    <dxf>
      <font>
        <b/>
        <i val="0"/>
        <color rgb="FFFFFFFF"/>
      </font>
      <fill>
        <patternFill patternType="solid">
          <bgColor rgb="FF000000"/>
        </patternFill>
      </fill>
    </dxf>
    <dxf>
      <font>
        <b/>
        <i val="0"/>
        <color rgb="FFFFFFFF"/>
      </font>
      <fill>
        <patternFill patternType="solid">
          <bgColor rgb="FF008000"/>
        </patternFill>
      </fill>
    </dxf>
    <dxf>
      <font>
        <b/>
        <i val="0"/>
        <color rgb="FFFFFFFF"/>
      </font>
      <fill>
        <patternFill patternType="solid">
          <bgColor rgb="FF660066"/>
        </patternFill>
      </fill>
    </dxf>
    <dxf>
      <font>
        <b/>
        <i val="0"/>
        <color rgb="FFFFFFFF"/>
      </font>
      <fill>
        <patternFill patternType="solid">
          <bgColor rgb="FF0000FF"/>
        </patternFill>
      </fill>
    </dxf>
    <dxf>
      <fill>
        <patternFill patternType="solid">
          <bgColor rgb="FF7030A0"/>
        </patternFill>
      </fill>
    </dxf>
    <dxf>
      <font>
        <b/>
        <i val="0"/>
        <color rgb="FFFFFFFF"/>
      </font>
      <fill>
        <patternFill patternType="solid">
          <bgColor rgb="FF7030A0"/>
        </patternFill>
      </fill>
    </dxf>
    <dxf>
      <font>
        <b/>
        <i val="0"/>
        <color rgb="FFFFFFFF"/>
      </font>
      <fill>
        <patternFill patternType="solid">
          <bgColor rgb="FF7030A0"/>
        </patternFill>
      </fill>
    </dxf>
    <dxf>
      <font>
        <b/>
        <i val="0"/>
        <color rgb="FFFFFFFF"/>
      </font>
      <fill>
        <patternFill patternType="solid">
          <bgColor rgb="FF0000FF"/>
        </patternFill>
      </fill>
    </dxf>
    <dxf>
      <font>
        <b/>
        <i val="0"/>
        <color rgb="FFFFFFFF"/>
      </font>
      <fill>
        <patternFill patternType="solid">
          <bgColor rgb="FFFF0000"/>
        </patternFill>
      </fill>
    </dxf>
    <dxf>
      <font>
        <b/>
        <i val="0"/>
        <color rgb="FFFFFFFF"/>
      </font>
      <fill>
        <patternFill patternType="solid">
          <bgColor rgb="FF000000"/>
        </patternFill>
      </fill>
    </dxf>
    <dxf>
      <font>
        <b/>
        <i val="0"/>
        <color rgb="FFFFFFFF"/>
      </font>
      <fill>
        <patternFill patternType="solid">
          <bgColor rgb="FF008000"/>
        </patternFill>
      </fill>
    </dxf>
    <dxf>
      <font>
        <b/>
        <i val="0"/>
        <color rgb="FFFFFFFF"/>
      </font>
      <fill>
        <patternFill patternType="solid">
          <bgColor rgb="FF660066"/>
        </patternFill>
      </fill>
    </dxf>
    <dxf>
      <font>
        <b/>
        <i val="0"/>
        <color rgb="FFFFFFFF"/>
      </font>
      <fill>
        <patternFill patternType="solid">
          <bgColor rgb="FF0000FF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ill>
        <patternFill patternType="solid">
          <bgColor rgb="FF7030A0"/>
        </patternFill>
      </fill>
    </dxf>
    <dxf>
      <font>
        <b/>
        <i val="0"/>
        <color rgb="FFFFFFFF"/>
      </font>
      <fill>
        <patternFill patternType="solid">
          <bgColor rgb="FF7030A0"/>
        </patternFill>
      </fill>
    </dxf>
    <dxf>
      <font>
        <b/>
        <i val="0"/>
        <color rgb="FFFFFFFF"/>
      </font>
      <fill>
        <patternFill patternType="solid">
          <bgColor rgb="FF7030A0"/>
        </patternFill>
      </fill>
    </dxf>
    <dxf>
      <font>
        <b/>
        <i val="0"/>
        <color rgb="FFFFFFFF"/>
      </font>
      <fill>
        <patternFill patternType="solid">
          <bgColor rgb="FF0000FF"/>
        </patternFill>
      </fill>
    </dxf>
    <dxf>
      <font>
        <b/>
        <i val="0"/>
        <color rgb="FFFFFFFF"/>
      </font>
      <fill>
        <patternFill patternType="solid">
          <bgColor rgb="FFFF0000"/>
        </patternFill>
      </fill>
    </dxf>
    <dxf>
      <font>
        <b/>
        <i val="0"/>
        <color rgb="FFFFFFFF"/>
      </font>
      <fill>
        <patternFill patternType="solid">
          <bgColor rgb="FF000000"/>
        </patternFill>
      </fill>
    </dxf>
    <dxf>
      <font>
        <b/>
        <i val="0"/>
        <color rgb="FFFFFFFF"/>
      </font>
      <fill>
        <patternFill patternType="solid">
          <bgColor rgb="FF008000"/>
        </patternFill>
      </fill>
    </dxf>
    <dxf>
      <font>
        <b/>
        <i val="0"/>
        <color rgb="FFFFFFFF"/>
      </font>
      <fill>
        <patternFill patternType="solid">
          <bgColor rgb="FF660066"/>
        </patternFill>
      </fill>
    </dxf>
    <dxf>
      <font>
        <b/>
        <i val="0"/>
        <color rgb="FFFFFFFF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7030A0"/>
      <rgbColor rgb="00FFFFCC"/>
      <rgbColor rgb="00DCE6F2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5B3D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7F7F7F"/>
      <rgbColor rgb="00A6A6A6"/>
      <rgbColor rgb="0017375E"/>
      <rgbColor rgb="00339966"/>
      <rgbColor rgb="00003300"/>
      <rgbColor rgb="00333300"/>
      <rgbColor rgb="00993300"/>
      <rgbColor rgb="00993366"/>
      <rgbColor rgb="00333399"/>
      <rgbColor rgb="0025406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MK13"/>
  <sheetViews>
    <sheetView showGridLines="0" zoomScale="90" zoomScaleNormal="90" workbookViewId="0">
      <selection activeCell="B2" sqref="B2:D2"/>
    </sheetView>
  </sheetViews>
  <sheetFormatPr baseColWidth="10" defaultColWidth="9" defaultRowHeight="15" zeroHeight="1"/>
  <cols>
    <col min="1" max="1" width="3.85546875" customWidth="1"/>
    <col min="2" max="2" width="11.5703125" customWidth="1"/>
    <col min="3" max="4" width="8.5703125" customWidth="1"/>
    <col min="5" max="5" width="4.28515625" customWidth="1"/>
    <col min="6" max="8" width="11.5703125" hidden="1"/>
    <col min="9" max="1025" width="9.140625" hidden="1" customWidth="1"/>
  </cols>
  <sheetData>
    <row r="1" spans="1:4" ht="30" customHeight="1"/>
    <row r="2" spans="1:4" ht="15" customHeight="1">
      <c r="B2" s="36" t="s">
        <v>0</v>
      </c>
      <c r="C2" s="36"/>
      <c r="D2" s="36"/>
    </row>
    <row r="3" spans="1:4" ht="15.75" customHeight="1">
      <c r="B3" s="37" t="s">
        <v>1</v>
      </c>
      <c r="C3" s="37"/>
      <c r="D3" s="37"/>
    </row>
    <row r="4" spans="1:4" ht="15.75" customHeight="1">
      <c r="B4" s="38" t="s">
        <v>2</v>
      </c>
      <c r="C4" s="38"/>
      <c r="D4" s="38"/>
    </row>
    <row r="5" spans="1:4" ht="15.75" customHeight="1">
      <c r="B5" s="27" t="s">
        <v>3</v>
      </c>
      <c r="C5" s="28" t="s">
        <v>4</v>
      </c>
      <c r="D5" s="28" t="s">
        <v>5</v>
      </c>
    </row>
    <row r="6" spans="1:4" ht="20.100000000000001" customHeight="1">
      <c r="A6" s="29" t="str">
        <f>CONCATENATE(MID($B$2,3,2),"/",LEFT($B$2,2))</f>
        <v>23/08</v>
      </c>
      <c r="B6" s="30" t="str">
        <f>TEXT(CONCATENATE(MID($B$2,3,2),"/",LEFT($B$2,2)),"ddd mm/dd")</f>
        <v>dom 08/23</v>
      </c>
      <c r="C6" s="31">
        <f>COUNTIF('Horas Adicionales'!J:J,Summary!A6)</f>
        <v>0</v>
      </c>
      <c r="D6" s="39">
        <f>SUM(C6:C12)</f>
        <v>151</v>
      </c>
    </row>
    <row r="7" spans="1:4" ht="20.100000000000001" customHeight="1">
      <c r="B7" s="32">
        <f>A6+1</f>
        <v>44067</v>
      </c>
      <c r="C7" s="33">
        <f>COUNTIF('Horas Adicionales'!J:J,Summary!B7)</f>
        <v>4</v>
      </c>
      <c r="D7" s="39"/>
    </row>
    <row r="8" spans="1:4" ht="20.100000000000001" customHeight="1">
      <c r="B8" s="32">
        <f>B7+1</f>
        <v>44068</v>
      </c>
      <c r="C8" s="33">
        <f>COUNTIF('Horas Adicionales'!J:J,Summary!B8)</f>
        <v>4</v>
      </c>
      <c r="D8" s="39"/>
    </row>
    <row r="9" spans="1:4" ht="20.100000000000001" customHeight="1">
      <c r="B9" s="32">
        <f>B8+1</f>
        <v>44069</v>
      </c>
      <c r="C9" s="33">
        <f>COUNTIF('Horas Adicionales'!J:J,Summary!B9)</f>
        <v>51</v>
      </c>
      <c r="D9" s="39"/>
    </row>
    <row r="10" spans="1:4" ht="20.100000000000001" customHeight="1">
      <c r="B10" s="32">
        <f>B9+1</f>
        <v>44070</v>
      </c>
      <c r="C10" s="33">
        <f>COUNTIF('Horas Adicionales'!J:J,Summary!B10)</f>
        <v>44</v>
      </c>
      <c r="D10" s="39"/>
    </row>
    <row r="11" spans="1:4" ht="20.100000000000001" customHeight="1">
      <c r="B11" s="32">
        <f>B10+1</f>
        <v>44071</v>
      </c>
      <c r="C11" s="33">
        <f>COUNTIF('Horas Adicionales'!J:J,Summary!B11)</f>
        <v>48</v>
      </c>
      <c r="D11" s="39"/>
    </row>
    <row r="12" spans="1:4" ht="20.100000000000001" customHeight="1">
      <c r="B12" s="32">
        <f>B11+1</f>
        <v>44072</v>
      </c>
      <c r="C12" s="34">
        <f>COUNTIF('Horas Adicionales'!J:J,Summary!B12)</f>
        <v>0</v>
      </c>
      <c r="D12" s="39"/>
    </row>
    <row r="13" spans="1:4" s="26" customFormat="1" ht="13.5" customHeight="1">
      <c r="C13" s="35"/>
      <c r="D13" s="35"/>
    </row>
  </sheetData>
  <mergeCells count="4">
    <mergeCell ref="B2:D2"/>
    <mergeCell ref="B3:D3"/>
    <mergeCell ref="B4:D4"/>
    <mergeCell ref="D6:D12"/>
  </mergeCells>
  <pageMargins left="0.69930555555555596" right="0.69930555555555596" top="0.75" bottom="0.75" header="0.51041666666666696" footer="0.51041666666666696"/>
  <pageSetup firstPageNumber="0" orientation="portrait" useFirstPageNumber="1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K154"/>
  <sheetViews>
    <sheetView showGridLines="0" tabSelected="1" topLeftCell="A91" zoomScale="70" zoomScaleNormal="70" workbookViewId="0">
      <selection activeCell="D41" sqref="D41:I41"/>
    </sheetView>
  </sheetViews>
  <sheetFormatPr baseColWidth="10" defaultColWidth="9" defaultRowHeight="15" zeroHeight="1"/>
  <cols>
    <col min="1" max="1" width="4.85546875" customWidth="1"/>
    <col min="2" max="2" width="10.7109375" customWidth="1"/>
    <col min="3" max="3" width="14.5703125" customWidth="1"/>
    <col min="4" max="4" width="34" customWidth="1"/>
    <col min="5" max="5" width="27.42578125" customWidth="1"/>
    <col min="6" max="6" width="15.140625" customWidth="1"/>
    <col min="7" max="7" width="21.5703125" customWidth="1"/>
    <col min="8" max="8" width="19.5703125" customWidth="1"/>
    <col min="9" max="9" width="15.28515625" customWidth="1"/>
    <col min="10" max="10" width="15.140625" customWidth="1"/>
    <col min="11" max="11" width="29.85546875" customWidth="1"/>
    <col min="12" max="12" width="33" customWidth="1"/>
    <col min="13" max="13" width="33.7109375" customWidth="1"/>
    <col min="14" max="14" width="2.140625" customWidth="1"/>
    <col min="15" max="1025" width="9.140625" hidden="1" customWidth="1"/>
  </cols>
  <sheetData>
    <row r="1" spans="2:13" ht="24.75" customHeight="1">
      <c r="D1" s="1"/>
      <c r="K1" s="11">
        <v>41399</v>
      </c>
    </row>
    <row r="2" spans="2:13" ht="27.75" customHeight="1">
      <c r="B2" s="2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3" t="s">
        <v>11</v>
      </c>
      <c r="H2" s="3" t="s">
        <v>12</v>
      </c>
      <c r="I2" s="3" t="s">
        <v>13</v>
      </c>
      <c r="J2" s="3" t="s">
        <v>14</v>
      </c>
      <c r="K2" s="12" t="s">
        <v>15</v>
      </c>
      <c r="L2" s="13" t="s">
        <v>16</v>
      </c>
      <c r="M2" s="14" t="s">
        <v>17</v>
      </c>
    </row>
    <row r="3" spans="2:13">
      <c r="B3" s="4">
        <v>1</v>
      </c>
      <c r="C3" s="5" t="s">
        <v>2</v>
      </c>
      <c r="D3" s="6" t="s">
        <v>18</v>
      </c>
      <c r="E3" s="7" t="s">
        <v>19</v>
      </c>
      <c r="F3" s="7" t="s">
        <v>20</v>
      </c>
      <c r="G3" s="7" t="s">
        <v>21</v>
      </c>
      <c r="H3" s="7">
        <v>88142</v>
      </c>
      <c r="I3" s="7">
        <v>3624021</v>
      </c>
      <c r="J3" s="15">
        <v>44067</v>
      </c>
      <c r="K3" s="16" t="s">
        <v>22</v>
      </c>
      <c r="L3" s="17" t="s">
        <v>23</v>
      </c>
      <c r="M3" s="18"/>
    </row>
    <row r="4" spans="2:13">
      <c r="B4" s="4">
        <v>2</v>
      </c>
      <c r="C4" s="5" t="s">
        <v>2</v>
      </c>
      <c r="D4" s="1" t="s">
        <v>18</v>
      </c>
      <c r="E4" s="8" t="s">
        <v>19</v>
      </c>
      <c r="F4" s="8" t="s">
        <v>24</v>
      </c>
      <c r="G4" s="8" t="s">
        <v>25</v>
      </c>
      <c r="H4" s="8">
        <v>88360</v>
      </c>
      <c r="I4" s="8">
        <v>3667100</v>
      </c>
      <c r="J4" s="15">
        <v>44067</v>
      </c>
      <c r="K4" s="16" t="s">
        <v>22</v>
      </c>
      <c r="L4" s="17" t="s">
        <v>26</v>
      </c>
      <c r="M4" s="18"/>
    </row>
    <row r="5" spans="2:13">
      <c r="B5" s="4">
        <v>3</v>
      </c>
      <c r="C5" s="5" t="s">
        <v>2</v>
      </c>
      <c r="D5" s="6" t="s">
        <v>18</v>
      </c>
      <c r="E5" s="7" t="s">
        <v>19</v>
      </c>
      <c r="F5" s="7" t="s">
        <v>24</v>
      </c>
      <c r="G5" s="7" t="s">
        <v>25</v>
      </c>
      <c r="H5" s="7">
        <v>88360</v>
      </c>
      <c r="I5" s="7">
        <v>3667100</v>
      </c>
      <c r="J5" s="15">
        <v>44067</v>
      </c>
      <c r="K5" s="16" t="s">
        <v>22</v>
      </c>
      <c r="L5" s="17" t="s">
        <v>27</v>
      </c>
      <c r="M5" s="18"/>
    </row>
    <row r="6" spans="2:13">
      <c r="B6" s="4">
        <v>4</v>
      </c>
      <c r="C6" s="5" t="s">
        <v>2</v>
      </c>
      <c r="D6" s="6" t="s">
        <v>28</v>
      </c>
      <c r="E6" s="7" t="s">
        <v>29</v>
      </c>
      <c r="F6" s="7" t="s">
        <v>30</v>
      </c>
      <c r="G6" s="7" t="s">
        <v>31</v>
      </c>
      <c r="H6" s="7">
        <v>87045</v>
      </c>
      <c r="I6" s="7">
        <v>3409666</v>
      </c>
      <c r="J6" s="15">
        <v>44067</v>
      </c>
      <c r="K6" s="16" t="s">
        <v>22</v>
      </c>
      <c r="L6" s="17" t="s">
        <v>27</v>
      </c>
      <c r="M6" s="18"/>
    </row>
    <row r="7" spans="2:13">
      <c r="B7" s="4">
        <v>5</v>
      </c>
      <c r="C7" s="5" t="s">
        <v>2</v>
      </c>
      <c r="D7" s="1" t="s">
        <v>32</v>
      </c>
      <c r="E7" s="8" t="s">
        <v>33</v>
      </c>
      <c r="F7" s="8" t="s">
        <v>34</v>
      </c>
      <c r="G7" s="8" t="s">
        <v>35</v>
      </c>
      <c r="H7" s="8">
        <v>87670</v>
      </c>
      <c r="I7" s="8">
        <v>3525831</v>
      </c>
      <c r="J7" s="19">
        <v>44068</v>
      </c>
      <c r="K7" s="16" t="s">
        <v>22</v>
      </c>
      <c r="L7" s="17" t="s">
        <v>23</v>
      </c>
      <c r="M7" s="18"/>
    </row>
    <row r="8" spans="2:13">
      <c r="B8" s="4">
        <v>6</v>
      </c>
      <c r="C8" s="5" t="s">
        <v>2</v>
      </c>
      <c r="D8" s="1" t="s">
        <v>18</v>
      </c>
      <c r="E8" s="8" t="s">
        <v>19</v>
      </c>
      <c r="F8" s="8" t="s">
        <v>24</v>
      </c>
      <c r="G8" s="8" t="s">
        <v>25</v>
      </c>
      <c r="H8" s="8">
        <v>88360</v>
      </c>
      <c r="I8" s="8">
        <v>3667100</v>
      </c>
      <c r="J8" s="15">
        <v>44068</v>
      </c>
      <c r="K8" s="16" t="s">
        <v>22</v>
      </c>
      <c r="L8" s="17" t="s">
        <v>26</v>
      </c>
      <c r="M8" s="18"/>
    </row>
    <row r="9" spans="2:13">
      <c r="B9" s="4">
        <v>7</v>
      </c>
      <c r="C9" s="5" t="s">
        <v>2</v>
      </c>
      <c r="D9" s="1" t="s">
        <v>18</v>
      </c>
      <c r="E9" s="8" t="s">
        <v>19</v>
      </c>
      <c r="F9" s="8" t="s">
        <v>24</v>
      </c>
      <c r="G9" s="8" t="s">
        <v>25</v>
      </c>
      <c r="H9" s="8">
        <v>88360</v>
      </c>
      <c r="I9" s="8">
        <v>3667100</v>
      </c>
      <c r="J9" s="15">
        <v>44068</v>
      </c>
      <c r="K9" s="16" t="s">
        <v>22</v>
      </c>
      <c r="L9" s="17" t="s">
        <v>27</v>
      </c>
      <c r="M9" s="18"/>
    </row>
    <row r="10" spans="2:13">
      <c r="B10" s="4">
        <v>8</v>
      </c>
      <c r="C10" s="5" t="s">
        <v>2</v>
      </c>
      <c r="D10" s="1" t="s">
        <v>28</v>
      </c>
      <c r="E10" s="8" t="s">
        <v>29</v>
      </c>
      <c r="F10" s="8" t="s">
        <v>30</v>
      </c>
      <c r="G10" s="8" t="s">
        <v>31</v>
      </c>
      <c r="H10" s="8">
        <v>87045</v>
      </c>
      <c r="I10" s="8">
        <v>3409666</v>
      </c>
      <c r="J10" s="15">
        <v>44068</v>
      </c>
      <c r="K10" s="16" t="s">
        <v>22</v>
      </c>
      <c r="L10" s="17" t="s">
        <v>27</v>
      </c>
      <c r="M10" s="18"/>
    </row>
    <row r="11" spans="2:13">
      <c r="B11" s="4">
        <v>9</v>
      </c>
      <c r="C11" s="5" t="s">
        <v>2</v>
      </c>
      <c r="D11" s="1" t="s">
        <v>28</v>
      </c>
      <c r="E11" s="8" t="s">
        <v>29</v>
      </c>
      <c r="F11" s="8" t="s">
        <v>36</v>
      </c>
      <c r="G11" s="8" t="s">
        <v>37</v>
      </c>
      <c r="H11" s="8">
        <v>87302</v>
      </c>
      <c r="I11" s="8">
        <v>3462494</v>
      </c>
      <c r="J11" s="15">
        <v>44069</v>
      </c>
      <c r="K11" s="16" t="s">
        <v>22</v>
      </c>
      <c r="L11" s="17" t="s">
        <v>38</v>
      </c>
      <c r="M11" s="18"/>
    </row>
    <row r="12" spans="2:13">
      <c r="B12" s="4">
        <v>10</v>
      </c>
      <c r="C12" s="5" t="s">
        <v>2</v>
      </c>
      <c r="D12" s="1" t="s">
        <v>28</v>
      </c>
      <c r="E12" s="8" t="s">
        <v>29</v>
      </c>
      <c r="F12" s="8" t="s">
        <v>39</v>
      </c>
      <c r="G12" s="8" t="s">
        <v>40</v>
      </c>
      <c r="H12" s="8">
        <v>87308</v>
      </c>
      <c r="I12" s="8">
        <v>3462509</v>
      </c>
      <c r="J12" s="15">
        <v>44069</v>
      </c>
      <c r="K12" s="16" t="s">
        <v>22</v>
      </c>
      <c r="L12" s="17" t="s">
        <v>38</v>
      </c>
      <c r="M12" s="18"/>
    </row>
    <row r="13" spans="2:13">
      <c r="B13" s="4">
        <v>11</v>
      </c>
      <c r="C13" s="5" t="s">
        <v>2</v>
      </c>
      <c r="D13" s="1"/>
      <c r="E13" s="8"/>
      <c r="F13" s="8"/>
      <c r="G13" s="8"/>
      <c r="H13" s="8"/>
      <c r="I13" s="8"/>
      <c r="J13" s="15">
        <v>44069</v>
      </c>
      <c r="K13" s="16" t="s">
        <v>22</v>
      </c>
      <c r="L13" s="17" t="s">
        <v>38</v>
      </c>
      <c r="M13" s="18"/>
    </row>
    <row r="14" spans="2:13">
      <c r="B14" s="4">
        <v>12</v>
      </c>
      <c r="C14" s="5" t="s">
        <v>2</v>
      </c>
      <c r="D14" s="1"/>
      <c r="E14" s="8"/>
      <c r="F14" s="8"/>
      <c r="G14" s="8"/>
      <c r="H14" s="8"/>
      <c r="I14" s="8"/>
      <c r="J14" s="15">
        <v>44069</v>
      </c>
      <c r="K14" s="16" t="s">
        <v>22</v>
      </c>
      <c r="L14" s="17" t="s">
        <v>38</v>
      </c>
      <c r="M14" s="18"/>
    </row>
    <row r="15" spans="2:13">
      <c r="B15" s="4">
        <v>13</v>
      </c>
      <c r="C15" s="5" t="s">
        <v>2</v>
      </c>
      <c r="D15" s="1" t="s">
        <v>28</v>
      </c>
      <c r="E15" s="8" t="s">
        <v>29</v>
      </c>
      <c r="F15" s="8" t="s">
        <v>36</v>
      </c>
      <c r="G15" s="8" t="s">
        <v>37</v>
      </c>
      <c r="H15" s="8">
        <v>87302</v>
      </c>
      <c r="I15" s="8">
        <v>3462494</v>
      </c>
      <c r="J15" s="15">
        <v>44069</v>
      </c>
      <c r="K15" s="16" t="s">
        <v>22</v>
      </c>
      <c r="L15" s="17" t="s">
        <v>41</v>
      </c>
      <c r="M15" s="18"/>
    </row>
    <row r="16" spans="2:13">
      <c r="B16" s="4">
        <v>14</v>
      </c>
      <c r="C16" s="5" t="s">
        <v>2</v>
      </c>
      <c r="D16" s="1" t="s">
        <v>28</v>
      </c>
      <c r="E16" s="8" t="s">
        <v>29</v>
      </c>
      <c r="F16" s="8" t="s">
        <v>39</v>
      </c>
      <c r="G16" s="8" t="s">
        <v>40</v>
      </c>
      <c r="H16" s="8">
        <v>87308</v>
      </c>
      <c r="I16" s="8">
        <v>3462509</v>
      </c>
      <c r="J16" s="15">
        <v>44069</v>
      </c>
      <c r="K16" s="16" t="s">
        <v>22</v>
      </c>
      <c r="L16" s="17" t="s">
        <v>41</v>
      </c>
      <c r="M16" s="18"/>
    </row>
    <row r="17" spans="2:13" ht="15.75" customHeight="1">
      <c r="B17" s="4">
        <v>15</v>
      </c>
      <c r="C17" s="5" t="s">
        <v>2</v>
      </c>
      <c r="D17" s="1"/>
      <c r="E17" s="8"/>
      <c r="F17" s="8"/>
      <c r="G17" s="8"/>
      <c r="H17" s="8"/>
      <c r="I17" s="8"/>
      <c r="J17" s="15">
        <v>44069</v>
      </c>
      <c r="K17" s="16" t="s">
        <v>22</v>
      </c>
      <c r="L17" s="17" t="s">
        <v>41</v>
      </c>
      <c r="M17" s="18"/>
    </row>
    <row r="18" spans="2:13">
      <c r="B18" s="4">
        <v>16</v>
      </c>
      <c r="C18" s="5" t="s">
        <v>2</v>
      </c>
      <c r="D18" s="1"/>
      <c r="E18" s="8"/>
      <c r="F18" s="8"/>
      <c r="G18" s="8"/>
      <c r="H18" s="8"/>
      <c r="I18" s="8"/>
      <c r="J18" s="15">
        <v>44069</v>
      </c>
      <c r="K18" s="16" t="s">
        <v>22</v>
      </c>
      <c r="L18" s="17" t="s">
        <v>41</v>
      </c>
      <c r="M18" s="18"/>
    </row>
    <row r="19" spans="2:13">
      <c r="B19" s="4">
        <v>17</v>
      </c>
      <c r="C19" s="5" t="s">
        <v>2</v>
      </c>
      <c r="D19" s="1"/>
      <c r="E19" s="8"/>
      <c r="F19" s="8"/>
      <c r="G19" s="8"/>
      <c r="H19" s="8"/>
      <c r="I19" s="8"/>
      <c r="J19" s="15">
        <v>44069</v>
      </c>
      <c r="K19" s="16" t="s">
        <v>22</v>
      </c>
      <c r="L19" s="17" t="s">
        <v>41</v>
      </c>
      <c r="M19" s="18"/>
    </row>
    <row r="20" spans="2:13">
      <c r="B20" s="4">
        <v>18</v>
      </c>
      <c r="C20" s="5" t="s">
        <v>2</v>
      </c>
      <c r="D20" s="1"/>
      <c r="E20" s="8"/>
      <c r="F20" s="8"/>
      <c r="G20" s="8"/>
      <c r="H20" s="8"/>
      <c r="I20" s="8"/>
      <c r="J20" s="15">
        <v>44069</v>
      </c>
      <c r="K20" s="16" t="s">
        <v>22</v>
      </c>
      <c r="L20" s="17" t="s">
        <v>41</v>
      </c>
      <c r="M20" s="18"/>
    </row>
    <row r="21" spans="2:13">
      <c r="B21" s="4">
        <v>19</v>
      </c>
      <c r="C21" s="5" t="s">
        <v>2</v>
      </c>
      <c r="D21" s="1"/>
      <c r="E21" s="8"/>
      <c r="F21" s="8"/>
      <c r="G21" s="8"/>
      <c r="H21" s="8"/>
      <c r="I21" s="8"/>
      <c r="J21" s="15">
        <v>44069</v>
      </c>
      <c r="K21" s="16" t="s">
        <v>22</v>
      </c>
      <c r="L21" s="17" t="s">
        <v>42</v>
      </c>
      <c r="M21" s="18"/>
    </row>
    <row r="22" spans="2:13">
      <c r="B22" s="4">
        <v>20</v>
      </c>
      <c r="C22" s="5" t="s">
        <v>2</v>
      </c>
      <c r="D22" s="1"/>
      <c r="E22" s="8"/>
      <c r="F22" s="8"/>
      <c r="G22" s="8"/>
      <c r="H22" s="8"/>
      <c r="I22" s="8"/>
      <c r="J22" s="15">
        <v>44069</v>
      </c>
      <c r="K22" s="16" t="s">
        <v>22</v>
      </c>
      <c r="L22" s="17" t="s">
        <v>42</v>
      </c>
      <c r="M22" s="18"/>
    </row>
    <row r="23" spans="2:13">
      <c r="B23" s="4">
        <v>21</v>
      </c>
      <c r="C23" s="5" t="s">
        <v>2</v>
      </c>
      <c r="D23" s="1" t="s">
        <v>18</v>
      </c>
      <c r="E23" s="8" t="s">
        <v>19</v>
      </c>
      <c r="F23" s="8" t="s">
        <v>43</v>
      </c>
      <c r="G23" s="8" t="s">
        <v>44</v>
      </c>
      <c r="H23" s="8">
        <v>88150</v>
      </c>
      <c r="I23" s="8">
        <v>2837489</v>
      </c>
      <c r="J23" s="15">
        <v>44069</v>
      </c>
      <c r="K23" s="16" t="s">
        <v>22</v>
      </c>
      <c r="L23" s="17" t="s">
        <v>45</v>
      </c>
      <c r="M23" s="18"/>
    </row>
    <row r="24" spans="2:13">
      <c r="B24" s="4">
        <v>22</v>
      </c>
      <c r="C24" s="5" t="s">
        <v>2</v>
      </c>
      <c r="D24" s="1" t="s">
        <v>18</v>
      </c>
      <c r="E24" s="8" t="s">
        <v>46</v>
      </c>
      <c r="F24" s="8" t="s">
        <v>47</v>
      </c>
      <c r="G24" s="8" t="s">
        <v>48</v>
      </c>
      <c r="H24" s="8">
        <v>86149</v>
      </c>
      <c r="I24" s="8">
        <v>1947342</v>
      </c>
      <c r="J24" s="15">
        <v>44069</v>
      </c>
      <c r="K24" s="16" t="s">
        <v>22</v>
      </c>
      <c r="L24" s="17" t="s">
        <v>45</v>
      </c>
      <c r="M24" s="18"/>
    </row>
    <row r="25" spans="2:13">
      <c r="B25" s="4">
        <v>23</v>
      </c>
      <c r="C25" s="5" t="s">
        <v>2</v>
      </c>
      <c r="D25" s="1" t="s">
        <v>18</v>
      </c>
      <c r="E25" s="8" t="s">
        <v>49</v>
      </c>
      <c r="F25" s="8" t="s">
        <v>50</v>
      </c>
      <c r="G25" s="8" t="s">
        <v>51</v>
      </c>
      <c r="H25" s="8">
        <v>73450</v>
      </c>
      <c r="I25" s="8">
        <v>567214</v>
      </c>
      <c r="J25" s="15">
        <v>44069</v>
      </c>
      <c r="K25" s="16" t="s">
        <v>22</v>
      </c>
      <c r="L25" s="17" t="s">
        <v>52</v>
      </c>
      <c r="M25" s="18"/>
    </row>
    <row r="26" spans="2:13">
      <c r="B26" s="4">
        <v>24</v>
      </c>
      <c r="C26" s="5" t="s">
        <v>2</v>
      </c>
      <c r="D26" s="1"/>
      <c r="E26" s="8"/>
      <c r="F26" s="8"/>
      <c r="G26" s="8"/>
      <c r="H26" s="8"/>
      <c r="I26" s="8"/>
      <c r="J26" s="15">
        <v>44069</v>
      </c>
      <c r="K26" s="16" t="s">
        <v>22</v>
      </c>
      <c r="L26" s="17" t="s">
        <v>52</v>
      </c>
      <c r="M26" s="18"/>
    </row>
    <row r="27" spans="2:13">
      <c r="B27" s="4">
        <v>25</v>
      </c>
      <c r="C27" s="5" t="s">
        <v>2</v>
      </c>
      <c r="D27" s="1" t="s">
        <v>32</v>
      </c>
      <c r="E27" s="8" t="s">
        <v>53</v>
      </c>
      <c r="F27" s="8" t="s">
        <v>54</v>
      </c>
      <c r="G27" s="8" t="s">
        <v>55</v>
      </c>
      <c r="H27" s="8">
        <v>86283</v>
      </c>
      <c r="I27" s="8">
        <v>3133256</v>
      </c>
      <c r="J27" s="15">
        <v>44069</v>
      </c>
      <c r="K27" s="16" t="s">
        <v>22</v>
      </c>
      <c r="L27" s="17" t="s">
        <v>56</v>
      </c>
      <c r="M27" s="18"/>
    </row>
    <row r="28" spans="2:13">
      <c r="B28" s="4">
        <v>26</v>
      </c>
      <c r="C28" s="5" t="s">
        <v>2</v>
      </c>
      <c r="D28" s="1" t="s">
        <v>18</v>
      </c>
      <c r="E28" s="8" t="s">
        <v>49</v>
      </c>
      <c r="F28" s="8" t="s">
        <v>50</v>
      </c>
      <c r="G28" s="8" t="s">
        <v>51</v>
      </c>
      <c r="H28" s="8">
        <v>73450</v>
      </c>
      <c r="I28" s="8">
        <v>567214</v>
      </c>
      <c r="J28" s="15">
        <v>44069</v>
      </c>
      <c r="K28" s="16" t="s">
        <v>22</v>
      </c>
      <c r="L28" s="17" t="s">
        <v>56</v>
      </c>
      <c r="M28" s="18"/>
    </row>
    <row r="29" spans="2:13">
      <c r="B29" s="4">
        <v>27</v>
      </c>
      <c r="C29" s="5" t="s">
        <v>2</v>
      </c>
      <c r="D29" s="1" t="s">
        <v>32</v>
      </c>
      <c r="E29" s="8" t="s">
        <v>86</v>
      </c>
      <c r="F29" s="8" t="s">
        <v>87</v>
      </c>
      <c r="G29" s="8" t="s">
        <v>88</v>
      </c>
      <c r="H29" s="8">
        <v>83489</v>
      </c>
      <c r="I29" s="8">
        <v>2490376</v>
      </c>
      <c r="J29" s="15">
        <v>44069</v>
      </c>
      <c r="K29" s="16" t="s">
        <v>22</v>
      </c>
      <c r="L29" s="17" t="s">
        <v>56</v>
      </c>
      <c r="M29" s="18"/>
    </row>
    <row r="30" spans="2:13">
      <c r="B30" s="4">
        <v>28</v>
      </c>
      <c r="C30" s="5" t="s">
        <v>2</v>
      </c>
      <c r="D30" s="1" t="s">
        <v>32</v>
      </c>
      <c r="E30" s="8" t="s">
        <v>86</v>
      </c>
      <c r="F30" s="8" t="s">
        <v>89</v>
      </c>
      <c r="G30" s="8" t="s">
        <v>90</v>
      </c>
      <c r="H30" s="8">
        <v>85181</v>
      </c>
      <c r="I30" s="8">
        <v>2360478</v>
      </c>
      <c r="J30" s="15">
        <v>44069</v>
      </c>
      <c r="K30" s="16" t="s">
        <v>22</v>
      </c>
      <c r="L30" s="17" t="s">
        <v>56</v>
      </c>
      <c r="M30" s="18"/>
    </row>
    <row r="31" spans="2:13">
      <c r="B31" s="4">
        <v>29</v>
      </c>
      <c r="C31" s="5" t="s">
        <v>2</v>
      </c>
      <c r="D31" s="1" t="s">
        <v>18</v>
      </c>
      <c r="E31" s="8" t="s">
        <v>57</v>
      </c>
      <c r="F31" s="8" t="s">
        <v>58</v>
      </c>
      <c r="G31" s="8" t="s">
        <v>59</v>
      </c>
      <c r="H31" s="8">
        <v>81902</v>
      </c>
      <c r="I31" s="8">
        <v>2102074</v>
      </c>
      <c r="J31" s="15">
        <v>44069</v>
      </c>
      <c r="K31" s="16" t="s">
        <v>22</v>
      </c>
      <c r="L31" s="17" t="s">
        <v>56</v>
      </c>
      <c r="M31" s="18"/>
    </row>
    <row r="32" spans="2:13">
      <c r="B32" s="4">
        <v>30</v>
      </c>
      <c r="C32" s="5" t="s">
        <v>2</v>
      </c>
      <c r="D32" s="1" t="s">
        <v>18</v>
      </c>
      <c r="E32" s="8" t="s">
        <v>57</v>
      </c>
      <c r="F32" s="8" t="s">
        <v>60</v>
      </c>
      <c r="G32" s="8" t="s">
        <v>61</v>
      </c>
      <c r="H32" s="8">
        <v>88149</v>
      </c>
      <c r="I32" s="8">
        <v>3624031</v>
      </c>
      <c r="J32" s="15">
        <v>44069</v>
      </c>
      <c r="K32" s="16" t="s">
        <v>22</v>
      </c>
      <c r="L32" s="17" t="s">
        <v>56</v>
      </c>
      <c r="M32" s="18"/>
    </row>
    <row r="33" spans="2:13">
      <c r="B33" s="4">
        <v>31</v>
      </c>
      <c r="C33" s="5" t="s">
        <v>2</v>
      </c>
      <c r="D33" s="1" t="s">
        <v>18</v>
      </c>
      <c r="E33" s="8" t="s">
        <v>19</v>
      </c>
      <c r="F33" s="8" t="s">
        <v>24</v>
      </c>
      <c r="G33" s="8" t="s">
        <v>25</v>
      </c>
      <c r="H33" s="8">
        <v>88360</v>
      </c>
      <c r="I33" s="8">
        <v>3667100</v>
      </c>
      <c r="J33" s="15">
        <v>44069</v>
      </c>
      <c r="K33" s="16" t="s">
        <v>22</v>
      </c>
      <c r="L33" s="17" t="s">
        <v>56</v>
      </c>
      <c r="M33" s="18"/>
    </row>
    <row r="34" spans="2:13">
      <c r="B34" s="4">
        <v>32</v>
      </c>
      <c r="C34" s="5" t="s">
        <v>2</v>
      </c>
      <c r="D34" s="1" t="s">
        <v>32</v>
      </c>
      <c r="E34" s="8" t="s">
        <v>33</v>
      </c>
      <c r="F34" s="8" t="s">
        <v>62</v>
      </c>
      <c r="G34" s="8" t="s">
        <v>63</v>
      </c>
      <c r="H34" s="8">
        <v>60260</v>
      </c>
      <c r="I34" s="8">
        <v>433236</v>
      </c>
      <c r="J34" s="15">
        <v>44069</v>
      </c>
      <c r="K34" s="16" t="s">
        <v>22</v>
      </c>
      <c r="L34" s="17" t="s">
        <v>23</v>
      </c>
      <c r="M34" s="18"/>
    </row>
    <row r="35" spans="2:13">
      <c r="B35" s="4">
        <v>33</v>
      </c>
      <c r="C35" s="5" t="s">
        <v>2</v>
      </c>
      <c r="D35" s="1" t="s">
        <v>32</v>
      </c>
      <c r="E35" s="8" t="s">
        <v>53</v>
      </c>
      <c r="F35" s="8" t="s">
        <v>54</v>
      </c>
      <c r="G35" s="8" t="s">
        <v>55</v>
      </c>
      <c r="H35" s="8">
        <v>86283</v>
      </c>
      <c r="I35" s="8">
        <v>3133256</v>
      </c>
      <c r="J35" s="15">
        <v>44069</v>
      </c>
      <c r="K35" s="16" t="s">
        <v>22</v>
      </c>
      <c r="L35" s="17" t="s">
        <v>23</v>
      </c>
      <c r="M35" s="18"/>
    </row>
    <row r="36" spans="2:13">
      <c r="B36" s="4">
        <v>34</v>
      </c>
      <c r="C36" s="5" t="s">
        <v>2</v>
      </c>
      <c r="D36" s="1" t="s">
        <v>18</v>
      </c>
      <c r="E36" s="8" t="s">
        <v>64</v>
      </c>
      <c r="F36" s="8" t="s">
        <v>65</v>
      </c>
      <c r="G36" s="8" t="s">
        <v>66</v>
      </c>
      <c r="H36" s="8">
        <v>88168</v>
      </c>
      <c r="I36" s="8">
        <v>3624164</v>
      </c>
      <c r="J36" s="15">
        <v>44069</v>
      </c>
      <c r="K36" s="16" t="s">
        <v>22</v>
      </c>
      <c r="L36" s="17" t="s">
        <v>23</v>
      </c>
      <c r="M36" s="18"/>
    </row>
    <row r="37" spans="2:13">
      <c r="B37" s="4">
        <v>35</v>
      </c>
      <c r="C37" s="5" t="s">
        <v>2</v>
      </c>
      <c r="D37" s="1" t="s">
        <v>18</v>
      </c>
      <c r="E37" s="8" t="s">
        <v>57</v>
      </c>
      <c r="F37" s="8" t="s">
        <v>58</v>
      </c>
      <c r="G37" s="8" t="s">
        <v>59</v>
      </c>
      <c r="H37" s="8">
        <v>81902</v>
      </c>
      <c r="I37" s="8">
        <v>2102074</v>
      </c>
      <c r="J37" s="15">
        <v>44069</v>
      </c>
      <c r="K37" s="16" t="s">
        <v>22</v>
      </c>
      <c r="L37" s="17" t="s">
        <v>23</v>
      </c>
      <c r="M37" s="18"/>
    </row>
    <row r="38" spans="2:13">
      <c r="B38" s="4">
        <v>36</v>
      </c>
      <c r="C38" s="5" t="s">
        <v>2</v>
      </c>
      <c r="D38" s="1" t="s">
        <v>18</v>
      </c>
      <c r="E38" s="8" t="s">
        <v>57</v>
      </c>
      <c r="F38" s="8" t="s">
        <v>60</v>
      </c>
      <c r="G38" s="8" t="s">
        <v>61</v>
      </c>
      <c r="H38" s="8">
        <v>88149</v>
      </c>
      <c r="I38" s="8">
        <v>3624031</v>
      </c>
      <c r="J38" s="15">
        <v>44069</v>
      </c>
      <c r="K38" s="16" t="s">
        <v>22</v>
      </c>
      <c r="L38" s="17" t="s">
        <v>23</v>
      </c>
      <c r="M38" s="18"/>
    </row>
    <row r="39" spans="2:13">
      <c r="B39" s="4">
        <v>37</v>
      </c>
      <c r="C39" s="5" t="s">
        <v>2</v>
      </c>
      <c r="D39" s="1" t="s">
        <v>32</v>
      </c>
      <c r="E39" s="8" t="s">
        <v>86</v>
      </c>
      <c r="F39" s="8" t="s">
        <v>87</v>
      </c>
      <c r="G39" s="8" t="s">
        <v>88</v>
      </c>
      <c r="H39" s="8">
        <v>83489</v>
      </c>
      <c r="I39" s="8">
        <v>2490376</v>
      </c>
      <c r="J39" s="15">
        <v>44069</v>
      </c>
      <c r="K39" s="16" t="s">
        <v>22</v>
      </c>
      <c r="L39" s="17" t="s">
        <v>23</v>
      </c>
      <c r="M39" s="18"/>
    </row>
    <row r="40" spans="2:13">
      <c r="B40" s="4">
        <v>38</v>
      </c>
      <c r="C40" s="5" t="s">
        <v>2</v>
      </c>
      <c r="D40" s="1" t="s">
        <v>18</v>
      </c>
      <c r="E40" s="8" t="s">
        <v>57</v>
      </c>
      <c r="F40" s="8" t="s">
        <v>67</v>
      </c>
      <c r="G40" s="8" t="s">
        <v>68</v>
      </c>
      <c r="H40" s="8">
        <v>83904</v>
      </c>
      <c r="I40" s="8">
        <v>2657802</v>
      </c>
      <c r="J40" s="15">
        <v>44069</v>
      </c>
      <c r="K40" s="16" t="s">
        <v>22</v>
      </c>
      <c r="L40" s="17" t="s">
        <v>23</v>
      </c>
      <c r="M40" s="18"/>
    </row>
    <row r="41" spans="2:13">
      <c r="B41" s="4">
        <v>39</v>
      </c>
      <c r="C41" s="5" t="s">
        <v>2</v>
      </c>
      <c r="D41" s="1" t="s">
        <v>32</v>
      </c>
      <c r="E41" s="8" t="s">
        <v>86</v>
      </c>
      <c r="F41" s="8" t="s">
        <v>89</v>
      </c>
      <c r="G41" s="8" t="s">
        <v>90</v>
      </c>
      <c r="H41" s="8">
        <v>85181</v>
      </c>
      <c r="I41" s="8">
        <v>2360478</v>
      </c>
      <c r="J41" s="15">
        <v>44069</v>
      </c>
      <c r="K41" s="16" t="s">
        <v>22</v>
      </c>
      <c r="L41" s="17" t="s">
        <v>23</v>
      </c>
      <c r="M41" s="18"/>
    </row>
    <row r="42" spans="2:13">
      <c r="B42" s="4">
        <v>40</v>
      </c>
      <c r="C42" s="5" t="s">
        <v>2</v>
      </c>
      <c r="D42" s="1" t="s">
        <v>18</v>
      </c>
      <c r="E42" s="8" t="s">
        <v>46</v>
      </c>
      <c r="F42" s="8" t="s">
        <v>69</v>
      </c>
      <c r="G42" s="8" t="s">
        <v>70</v>
      </c>
      <c r="H42" s="8">
        <v>86332</v>
      </c>
      <c r="I42" s="8">
        <v>3138445</v>
      </c>
      <c r="J42" s="15">
        <v>44069</v>
      </c>
      <c r="K42" s="16" t="s">
        <v>22</v>
      </c>
      <c r="L42" s="17" t="s">
        <v>23</v>
      </c>
      <c r="M42" s="18"/>
    </row>
    <row r="43" spans="2:13">
      <c r="B43" s="4">
        <v>41</v>
      </c>
      <c r="C43" s="5" t="s">
        <v>2</v>
      </c>
      <c r="D43" s="1" t="s">
        <v>18</v>
      </c>
      <c r="E43" s="8" t="s">
        <v>19</v>
      </c>
      <c r="F43" s="8" t="s">
        <v>20</v>
      </c>
      <c r="G43" s="8" t="s">
        <v>21</v>
      </c>
      <c r="H43" s="8">
        <v>88142</v>
      </c>
      <c r="I43" s="8">
        <v>3624021</v>
      </c>
      <c r="J43" s="15">
        <v>44069</v>
      </c>
      <c r="K43" s="16" t="s">
        <v>22</v>
      </c>
      <c r="L43" s="17" t="s">
        <v>23</v>
      </c>
      <c r="M43" s="18"/>
    </row>
    <row r="44" spans="2:13">
      <c r="B44" s="4">
        <v>42</v>
      </c>
      <c r="C44" s="5" t="s">
        <v>2</v>
      </c>
      <c r="D44" s="1" t="s">
        <v>18</v>
      </c>
      <c r="E44" s="8" t="s">
        <v>19</v>
      </c>
      <c r="F44" s="8" t="s">
        <v>20</v>
      </c>
      <c r="G44" s="8" t="s">
        <v>21</v>
      </c>
      <c r="H44" s="8">
        <v>88142</v>
      </c>
      <c r="I44" s="8">
        <v>3624021</v>
      </c>
      <c r="J44" s="15">
        <v>44069</v>
      </c>
      <c r="K44" s="16" t="s">
        <v>22</v>
      </c>
      <c r="L44" s="17" t="s">
        <v>26</v>
      </c>
      <c r="M44" s="18"/>
    </row>
    <row r="45" spans="2:13">
      <c r="B45" s="4">
        <v>43</v>
      </c>
      <c r="C45" s="5" t="s">
        <v>2</v>
      </c>
      <c r="D45" s="1" t="s">
        <v>18</v>
      </c>
      <c r="E45" s="8" t="s">
        <v>46</v>
      </c>
      <c r="F45" s="8" t="s">
        <v>69</v>
      </c>
      <c r="G45" s="8" t="s">
        <v>70</v>
      </c>
      <c r="H45" s="8">
        <v>86332</v>
      </c>
      <c r="I45" s="8">
        <v>3138445</v>
      </c>
      <c r="J45" s="15">
        <v>44069</v>
      </c>
      <c r="K45" s="16" t="s">
        <v>22</v>
      </c>
      <c r="L45" s="17" t="s">
        <v>26</v>
      </c>
      <c r="M45" s="18"/>
    </row>
    <row r="46" spans="2:13">
      <c r="B46" s="4">
        <v>44</v>
      </c>
      <c r="C46" s="5" t="s">
        <v>2</v>
      </c>
      <c r="D46" s="1" t="s">
        <v>32</v>
      </c>
      <c r="E46" s="8" t="s">
        <v>33</v>
      </c>
      <c r="F46" s="8" t="s">
        <v>34</v>
      </c>
      <c r="G46" s="8" t="s">
        <v>35</v>
      </c>
      <c r="H46" s="8">
        <v>87670</v>
      </c>
      <c r="I46" s="8">
        <v>3525831</v>
      </c>
      <c r="J46" s="15">
        <v>44069</v>
      </c>
      <c r="K46" s="16" t="s">
        <v>22</v>
      </c>
      <c r="L46" s="17" t="s">
        <v>26</v>
      </c>
      <c r="M46" s="18"/>
    </row>
    <row r="47" spans="2:13">
      <c r="B47" s="4">
        <v>45</v>
      </c>
      <c r="C47" s="5" t="s">
        <v>2</v>
      </c>
      <c r="D47" s="1" t="s">
        <v>32</v>
      </c>
      <c r="E47" s="8" t="s">
        <v>33</v>
      </c>
      <c r="F47" s="8" t="s">
        <v>62</v>
      </c>
      <c r="G47" s="8" t="s">
        <v>63</v>
      </c>
      <c r="H47" s="8">
        <v>60260</v>
      </c>
      <c r="I47" s="8">
        <v>433236</v>
      </c>
      <c r="J47" s="15">
        <v>44069</v>
      </c>
      <c r="K47" s="16" t="s">
        <v>22</v>
      </c>
      <c r="L47" s="17" t="s">
        <v>26</v>
      </c>
      <c r="M47" s="18"/>
    </row>
    <row r="48" spans="2:13">
      <c r="B48" s="4">
        <v>46</v>
      </c>
      <c r="C48" s="5" t="s">
        <v>2</v>
      </c>
      <c r="D48" s="1" t="s">
        <v>32</v>
      </c>
      <c r="E48" s="8" t="s">
        <v>53</v>
      </c>
      <c r="F48" s="8" t="s">
        <v>54</v>
      </c>
      <c r="G48" s="8" t="s">
        <v>55</v>
      </c>
      <c r="H48" s="8">
        <v>86283</v>
      </c>
      <c r="I48" s="8">
        <v>3133256</v>
      </c>
      <c r="J48" s="15">
        <v>44069</v>
      </c>
      <c r="K48" s="16" t="s">
        <v>22</v>
      </c>
      <c r="L48" s="17" t="s">
        <v>26</v>
      </c>
      <c r="M48" s="18"/>
    </row>
    <row r="49" spans="2:13">
      <c r="B49" s="4">
        <v>47</v>
      </c>
      <c r="C49" s="5" t="s">
        <v>2</v>
      </c>
      <c r="D49" s="1" t="s">
        <v>32</v>
      </c>
      <c r="E49" s="8" t="s">
        <v>53</v>
      </c>
      <c r="F49" s="8" t="s">
        <v>71</v>
      </c>
      <c r="G49" s="8" t="s">
        <v>72</v>
      </c>
      <c r="H49" s="8">
        <v>88153</v>
      </c>
      <c r="I49" s="8">
        <v>3624035</v>
      </c>
      <c r="J49" s="15">
        <v>44069</v>
      </c>
      <c r="K49" s="16" t="s">
        <v>22</v>
      </c>
      <c r="L49" s="17" t="s">
        <v>26</v>
      </c>
      <c r="M49" s="18"/>
    </row>
    <row r="50" spans="2:13">
      <c r="B50" s="4">
        <v>48</v>
      </c>
      <c r="C50" s="5" t="s">
        <v>2</v>
      </c>
      <c r="D50" s="1" t="s">
        <v>18</v>
      </c>
      <c r="E50" s="8" t="s">
        <v>57</v>
      </c>
      <c r="F50" s="8" t="s">
        <v>58</v>
      </c>
      <c r="G50" s="8" t="s">
        <v>59</v>
      </c>
      <c r="H50" s="8">
        <v>81902</v>
      </c>
      <c r="I50" s="8">
        <v>2102074</v>
      </c>
      <c r="J50" s="15">
        <v>44069</v>
      </c>
      <c r="K50" s="16" t="s">
        <v>22</v>
      </c>
      <c r="L50" s="17" t="s">
        <v>26</v>
      </c>
      <c r="M50" s="18"/>
    </row>
    <row r="51" spans="2:13">
      <c r="B51" s="4">
        <v>48</v>
      </c>
      <c r="C51" s="5" t="s">
        <v>2</v>
      </c>
      <c r="D51" s="1" t="s">
        <v>18</v>
      </c>
      <c r="E51" s="8" t="s">
        <v>57</v>
      </c>
      <c r="F51" s="8" t="s">
        <v>67</v>
      </c>
      <c r="G51" s="8" t="s">
        <v>68</v>
      </c>
      <c r="H51" s="8">
        <v>83904</v>
      </c>
      <c r="I51" s="8">
        <v>2657802</v>
      </c>
      <c r="J51" s="15">
        <v>44069</v>
      </c>
      <c r="K51" s="16" t="s">
        <v>22</v>
      </c>
      <c r="L51" s="17" t="s">
        <v>26</v>
      </c>
      <c r="M51" s="18"/>
    </row>
    <row r="52" spans="2:13">
      <c r="B52" s="4">
        <v>48</v>
      </c>
      <c r="C52" s="5" t="s">
        <v>2</v>
      </c>
      <c r="D52" s="1" t="s">
        <v>18</v>
      </c>
      <c r="E52" s="8" t="s">
        <v>64</v>
      </c>
      <c r="F52" s="8" t="s">
        <v>73</v>
      </c>
      <c r="G52" s="8" t="s">
        <v>74</v>
      </c>
      <c r="H52" s="8">
        <v>86339</v>
      </c>
      <c r="I52" s="8">
        <v>3138527</v>
      </c>
      <c r="J52" s="15">
        <v>44069</v>
      </c>
      <c r="K52" s="16" t="s">
        <v>22</v>
      </c>
      <c r="L52" s="17" t="s">
        <v>26</v>
      </c>
      <c r="M52" s="18"/>
    </row>
    <row r="53" spans="2:13">
      <c r="B53" s="4">
        <v>48</v>
      </c>
      <c r="C53" s="5" t="s">
        <v>2</v>
      </c>
      <c r="D53" s="1" t="s">
        <v>28</v>
      </c>
      <c r="E53" s="8" t="s">
        <v>29</v>
      </c>
      <c r="F53" s="8" t="s">
        <v>30</v>
      </c>
      <c r="G53" s="8" t="s">
        <v>31</v>
      </c>
      <c r="H53" s="8">
        <v>87045</v>
      </c>
      <c r="I53" s="8">
        <v>3409666</v>
      </c>
      <c r="J53" s="15">
        <v>44069</v>
      </c>
      <c r="K53" s="16" t="s">
        <v>22</v>
      </c>
      <c r="L53" s="17" t="s">
        <v>27</v>
      </c>
      <c r="M53" s="18"/>
    </row>
    <row r="54" spans="2:13">
      <c r="B54" s="4">
        <v>48</v>
      </c>
      <c r="C54" s="5" t="s">
        <v>2</v>
      </c>
      <c r="D54" s="1" t="s">
        <v>18</v>
      </c>
      <c r="E54" s="8" t="s">
        <v>46</v>
      </c>
      <c r="F54" s="8" t="s">
        <v>69</v>
      </c>
      <c r="G54" s="8" t="s">
        <v>70</v>
      </c>
      <c r="H54" s="8">
        <v>86332</v>
      </c>
      <c r="I54" s="8">
        <v>3138445</v>
      </c>
      <c r="J54" s="15">
        <v>44069</v>
      </c>
      <c r="K54" s="16" t="s">
        <v>22</v>
      </c>
      <c r="L54" s="17" t="s">
        <v>27</v>
      </c>
      <c r="M54" s="18"/>
    </row>
    <row r="55" spans="2:13">
      <c r="B55" s="4">
        <v>48</v>
      </c>
      <c r="C55" s="5" t="s">
        <v>2</v>
      </c>
      <c r="D55" s="1" t="s">
        <v>32</v>
      </c>
      <c r="E55" s="8" t="s">
        <v>33</v>
      </c>
      <c r="F55" s="8" t="s">
        <v>34</v>
      </c>
      <c r="G55" s="8" t="s">
        <v>35</v>
      </c>
      <c r="H55" s="8">
        <v>87670</v>
      </c>
      <c r="I55" s="8">
        <v>3525831</v>
      </c>
      <c r="J55" s="15">
        <v>44069</v>
      </c>
      <c r="K55" s="16" t="s">
        <v>22</v>
      </c>
      <c r="L55" s="17" t="s">
        <v>27</v>
      </c>
      <c r="M55" s="18"/>
    </row>
    <row r="56" spans="2:13">
      <c r="B56" s="4">
        <v>48</v>
      </c>
      <c r="C56" s="5" t="s">
        <v>2</v>
      </c>
      <c r="D56" s="1" t="s">
        <v>32</v>
      </c>
      <c r="E56" s="8" t="s">
        <v>53</v>
      </c>
      <c r="F56" s="8" t="s">
        <v>71</v>
      </c>
      <c r="G56" s="8" t="s">
        <v>72</v>
      </c>
      <c r="H56" s="8">
        <v>88153</v>
      </c>
      <c r="I56" s="8">
        <v>3624035</v>
      </c>
      <c r="J56" s="15">
        <v>44069</v>
      </c>
      <c r="K56" s="16" t="s">
        <v>22</v>
      </c>
      <c r="L56" s="17" t="s">
        <v>27</v>
      </c>
      <c r="M56" s="18"/>
    </row>
    <row r="57" spans="2:13">
      <c r="B57" s="4">
        <v>48</v>
      </c>
      <c r="C57" s="5" t="s">
        <v>2</v>
      </c>
      <c r="D57" s="1" t="s">
        <v>18</v>
      </c>
      <c r="E57" s="8" t="s">
        <v>57</v>
      </c>
      <c r="F57" s="8" t="s">
        <v>67</v>
      </c>
      <c r="G57" s="8" t="s">
        <v>68</v>
      </c>
      <c r="H57" s="8">
        <v>83904</v>
      </c>
      <c r="I57" s="8">
        <v>2657802</v>
      </c>
      <c r="J57" s="15">
        <v>44069</v>
      </c>
      <c r="K57" s="16" t="s">
        <v>22</v>
      </c>
      <c r="L57" s="17" t="s">
        <v>27</v>
      </c>
      <c r="M57" s="18"/>
    </row>
    <row r="58" spans="2:13">
      <c r="B58" s="4">
        <v>48</v>
      </c>
      <c r="C58" s="5" t="s">
        <v>2</v>
      </c>
      <c r="D58" s="1" t="s">
        <v>18</v>
      </c>
      <c r="E58" s="8" t="s">
        <v>64</v>
      </c>
      <c r="F58" s="8" t="s">
        <v>73</v>
      </c>
      <c r="G58" s="8" t="s">
        <v>74</v>
      </c>
      <c r="H58" s="8">
        <v>86339</v>
      </c>
      <c r="I58" s="8">
        <v>3138527</v>
      </c>
      <c r="J58" s="15">
        <v>44069</v>
      </c>
      <c r="K58" s="16" t="s">
        <v>22</v>
      </c>
      <c r="L58" s="17" t="s">
        <v>27</v>
      </c>
      <c r="M58" s="18"/>
    </row>
    <row r="59" spans="2:13">
      <c r="B59" s="4">
        <v>48</v>
      </c>
      <c r="C59" s="5" t="s">
        <v>2</v>
      </c>
      <c r="D59" s="9" t="s">
        <v>32</v>
      </c>
      <c r="E59" s="10" t="s">
        <v>33</v>
      </c>
      <c r="F59" s="10" t="s">
        <v>75</v>
      </c>
      <c r="G59" s="10" t="s">
        <v>76</v>
      </c>
      <c r="H59" s="10">
        <v>88034</v>
      </c>
      <c r="I59" s="10">
        <v>3553109</v>
      </c>
      <c r="J59" s="15">
        <v>44069</v>
      </c>
      <c r="K59" s="16" t="s">
        <v>22</v>
      </c>
      <c r="L59" s="17" t="s">
        <v>27</v>
      </c>
      <c r="M59" s="18"/>
    </row>
    <row r="60" spans="2:13">
      <c r="B60" s="4">
        <v>48</v>
      </c>
      <c r="C60" s="5" t="s">
        <v>2</v>
      </c>
      <c r="D60" s="1" t="s">
        <v>18</v>
      </c>
      <c r="E60" s="8" t="s">
        <v>64</v>
      </c>
      <c r="F60" s="8" t="s">
        <v>65</v>
      </c>
      <c r="G60" s="8" t="s">
        <v>66</v>
      </c>
      <c r="H60" s="8">
        <v>88168</v>
      </c>
      <c r="I60" s="8">
        <v>3624164</v>
      </c>
      <c r="J60" s="15">
        <v>44069</v>
      </c>
      <c r="K60" s="16" t="s">
        <v>22</v>
      </c>
      <c r="L60" s="17" t="s">
        <v>27</v>
      </c>
      <c r="M60" s="18"/>
    </row>
    <row r="61" spans="2:13">
      <c r="B61" s="4">
        <v>48</v>
      </c>
      <c r="C61" s="5" t="s">
        <v>2</v>
      </c>
      <c r="D61" s="1"/>
      <c r="E61" s="8"/>
      <c r="F61" s="8"/>
      <c r="G61" s="8"/>
      <c r="H61" s="8"/>
      <c r="I61" s="8"/>
      <c r="J61" s="15">
        <v>44069</v>
      </c>
      <c r="K61" s="16" t="s">
        <v>22</v>
      </c>
      <c r="L61" s="17" t="s">
        <v>27</v>
      </c>
      <c r="M61" s="18"/>
    </row>
    <row r="62" spans="2:13">
      <c r="B62" s="4">
        <v>48</v>
      </c>
      <c r="C62" s="5" t="s">
        <v>2</v>
      </c>
      <c r="D62" s="1" t="s">
        <v>28</v>
      </c>
      <c r="E62" s="8" t="s">
        <v>29</v>
      </c>
      <c r="F62" s="8" t="s">
        <v>36</v>
      </c>
      <c r="G62" s="8" t="s">
        <v>37</v>
      </c>
      <c r="H62" s="8">
        <v>87302</v>
      </c>
      <c r="I62" s="8">
        <v>3462494</v>
      </c>
      <c r="J62" s="15">
        <v>44070</v>
      </c>
      <c r="K62" s="16" t="s">
        <v>22</v>
      </c>
      <c r="L62" s="17" t="s">
        <v>38</v>
      </c>
      <c r="M62" s="18"/>
    </row>
    <row r="63" spans="2:13">
      <c r="B63" s="4">
        <v>48</v>
      </c>
      <c r="C63" s="5" t="s">
        <v>2</v>
      </c>
      <c r="D63" s="1" t="s">
        <v>28</v>
      </c>
      <c r="E63" s="8" t="s">
        <v>29</v>
      </c>
      <c r="F63" s="8" t="s">
        <v>39</v>
      </c>
      <c r="G63" s="8" t="s">
        <v>40</v>
      </c>
      <c r="H63" s="8">
        <v>87308</v>
      </c>
      <c r="I63" s="8">
        <v>3462509</v>
      </c>
      <c r="J63" s="15">
        <v>44070</v>
      </c>
      <c r="K63" s="16" t="s">
        <v>22</v>
      </c>
      <c r="L63" s="17" t="s">
        <v>38</v>
      </c>
      <c r="M63" s="18"/>
    </row>
    <row r="64" spans="2:13">
      <c r="B64" s="4">
        <v>48</v>
      </c>
      <c r="C64" s="5" t="s">
        <v>2</v>
      </c>
      <c r="D64" s="1" t="s">
        <v>28</v>
      </c>
      <c r="E64" s="8" t="s">
        <v>29</v>
      </c>
      <c r="F64" s="8" t="s">
        <v>30</v>
      </c>
      <c r="G64" s="8" t="s">
        <v>31</v>
      </c>
      <c r="H64" s="8">
        <v>87045</v>
      </c>
      <c r="I64" s="8">
        <v>3409666</v>
      </c>
      <c r="J64" s="15">
        <v>44070</v>
      </c>
      <c r="K64" s="16" t="s">
        <v>22</v>
      </c>
      <c r="L64" s="17" t="s">
        <v>38</v>
      </c>
      <c r="M64" s="18"/>
    </row>
    <row r="65" spans="2:13">
      <c r="B65" s="4">
        <v>48</v>
      </c>
      <c r="C65" s="5" t="s">
        <v>2</v>
      </c>
      <c r="D65" s="1"/>
      <c r="E65" s="8"/>
      <c r="F65" s="8"/>
      <c r="G65" s="8"/>
      <c r="H65" s="8"/>
      <c r="I65" s="8"/>
      <c r="J65" s="15">
        <v>44070</v>
      </c>
      <c r="K65" s="16" t="s">
        <v>22</v>
      </c>
      <c r="L65" s="17" t="s">
        <v>38</v>
      </c>
      <c r="M65" s="18"/>
    </row>
    <row r="66" spans="2:13">
      <c r="B66" s="4">
        <v>48</v>
      </c>
      <c r="C66" s="5" t="s">
        <v>2</v>
      </c>
      <c r="D66" s="1"/>
      <c r="E66" s="8"/>
      <c r="F66" s="8"/>
      <c r="G66" s="8"/>
      <c r="H66" s="8"/>
      <c r="I66" s="8"/>
      <c r="J66" s="15">
        <v>44070</v>
      </c>
      <c r="K66" s="16" t="s">
        <v>22</v>
      </c>
      <c r="L66" s="17" t="s">
        <v>38</v>
      </c>
      <c r="M66" s="18"/>
    </row>
    <row r="67" spans="2:13">
      <c r="B67" s="4">
        <v>48</v>
      </c>
      <c r="C67" s="5" t="s">
        <v>2</v>
      </c>
      <c r="D67" s="1"/>
      <c r="E67" s="8"/>
      <c r="F67" s="8"/>
      <c r="G67" s="8"/>
      <c r="H67" s="8"/>
      <c r="I67" s="8"/>
      <c r="J67" s="15">
        <v>44070</v>
      </c>
      <c r="K67" s="16" t="s">
        <v>22</v>
      </c>
      <c r="L67" s="17" t="s">
        <v>38</v>
      </c>
      <c r="M67" s="18"/>
    </row>
    <row r="68" spans="2:13">
      <c r="B68" s="4">
        <v>48</v>
      </c>
      <c r="C68" s="5" t="s">
        <v>2</v>
      </c>
      <c r="D68" s="1" t="s">
        <v>28</v>
      </c>
      <c r="E68" s="8" t="s">
        <v>29</v>
      </c>
      <c r="F68" s="8" t="s">
        <v>36</v>
      </c>
      <c r="G68" s="8" t="s">
        <v>37</v>
      </c>
      <c r="H68" s="8">
        <v>87302</v>
      </c>
      <c r="I68" s="8">
        <v>3462494</v>
      </c>
      <c r="J68" s="15">
        <v>44070</v>
      </c>
      <c r="K68" s="16" t="s">
        <v>22</v>
      </c>
      <c r="L68" s="17" t="s">
        <v>41</v>
      </c>
      <c r="M68" s="18"/>
    </row>
    <row r="69" spans="2:13">
      <c r="B69" s="4">
        <v>48</v>
      </c>
      <c r="C69" s="5" t="s">
        <v>2</v>
      </c>
      <c r="D69" s="1" t="s">
        <v>28</v>
      </c>
      <c r="E69" s="8" t="s">
        <v>29</v>
      </c>
      <c r="F69" s="8" t="s">
        <v>39</v>
      </c>
      <c r="G69" s="8" t="s">
        <v>40</v>
      </c>
      <c r="H69" s="8">
        <v>87308</v>
      </c>
      <c r="I69" s="8">
        <v>3462509</v>
      </c>
      <c r="J69" s="15">
        <v>44070</v>
      </c>
      <c r="K69" s="16" t="s">
        <v>22</v>
      </c>
      <c r="L69" s="17" t="s">
        <v>41</v>
      </c>
      <c r="M69" s="18"/>
    </row>
    <row r="70" spans="2:13">
      <c r="B70" s="4">
        <v>48</v>
      </c>
      <c r="C70" s="5" t="s">
        <v>2</v>
      </c>
      <c r="D70" s="1" t="s">
        <v>28</v>
      </c>
      <c r="E70" s="8" t="s">
        <v>29</v>
      </c>
      <c r="F70" s="8" t="s">
        <v>30</v>
      </c>
      <c r="G70" s="8" t="s">
        <v>31</v>
      </c>
      <c r="H70" s="8">
        <v>87045</v>
      </c>
      <c r="I70" s="8">
        <v>3409666</v>
      </c>
      <c r="J70" s="15">
        <v>44070</v>
      </c>
      <c r="K70" s="16" t="s">
        <v>22</v>
      </c>
      <c r="L70" s="17" t="s">
        <v>41</v>
      </c>
      <c r="M70" s="18"/>
    </row>
    <row r="71" spans="2:13">
      <c r="B71" s="4">
        <v>48</v>
      </c>
      <c r="C71" s="5" t="s">
        <v>2</v>
      </c>
      <c r="D71" s="1"/>
      <c r="E71" s="8"/>
      <c r="F71" s="8"/>
      <c r="G71" s="8"/>
      <c r="H71" s="8"/>
      <c r="I71" s="8"/>
      <c r="J71" s="15">
        <v>44070</v>
      </c>
      <c r="K71" s="16" t="s">
        <v>22</v>
      </c>
      <c r="L71" s="17" t="s">
        <v>41</v>
      </c>
      <c r="M71" s="18"/>
    </row>
    <row r="72" spans="2:13">
      <c r="B72" s="4">
        <v>48</v>
      </c>
      <c r="C72" s="5" t="s">
        <v>2</v>
      </c>
      <c r="D72" s="1"/>
      <c r="E72" s="8"/>
      <c r="F72" s="8"/>
      <c r="G72" s="8"/>
      <c r="H72" s="8"/>
      <c r="I72" s="8"/>
      <c r="J72" s="15">
        <v>44070</v>
      </c>
      <c r="K72" s="16" t="s">
        <v>22</v>
      </c>
      <c r="L72" s="17" t="s">
        <v>41</v>
      </c>
      <c r="M72" s="18"/>
    </row>
    <row r="73" spans="2:13">
      <c r="B73" s="4">
        <v>48</v>
      </c>
      <c r="C73" s="5" t="s">
        <v>2</v>
      </c>
      <c r="D73" s="1"/>
      <c r="E73" s="8"/>
      <c r="F73" s="8"/>
      <c r="G73" s="8"/>
      <c r="H73" s="8"/>
      <c r="I73" s="8"/>
      <c r="J73" s="15">
        <v>44070</v>
      </c>
      <c r="K73" s="16" t="s">
        <v>22</v>
      </c>
      <c r="L73" s="17" t="s">
        <v>41</v>
      </c>
      <c r="M73" s="18"/>
    </row>
    <row r="74" spans="2:13">
      <c r="B74" s="4">
        <v>48</v>
      </c>
      <c r="C74" s="5" t="s">
        <v>2</v>
      </c>
      <c r="D74" s="1"/>
      <c r="E74" s="8"/>
      <c r="F74" s="8"/>
      <c r="G74" s="8"/>
      <c r="H74" s="8"/>
      <c r="I74" s="8"/>
      <c r="J74" s="15">
        <v>44070</v>
      </c>
      <c r="K74" s="16" t="s">
        <v>22</v>
      </c>
      <c r="L74" s="17" t="s">
        <v>41</v>
      </c>
      <c r="M74" s="18"/>
    </row>
    <row r="75" spans="2:13">
      <c r="B75" s="4">
        <v>48</v>
      </c>
      <c r="C75" s="5" t="s">
        <v>2</v>
      </c>
      <c r="D75" s="1"/>
      <c r="E75" s="8"/>
      <c r="F75" s="8"/>
      <c r="G75" s="8"/>
      <c r="H75" s="8"/>
      <c r="I75" s="8"/>
      <c r="J75" s="15">
        <v>44070</v>
      </c>
      <c r="K75" s="16" t="s">
        <v>22</v>
      </c>
      <c r="L75" s="17" t="s">
        <v>41</v>
      </c>
      <c r="M75" s="18"/>
    </row>
    <row r="76" spans="2:13">
      <c r="B76" s="4">
        <v>48</v>
      </c>
      <c r="C76" s="5" t="s">
        <v>2</v>
      </c>
      <c r="D76" s="1" t="s">
        <v>32</v>
      </c>
      <c r="E76" s="8" t="s">
        <v>33</v>
      </c>
      <c r="F76" s="8" t="s">
        <v>77</v>
      </c>
      <c r="G76" s="8" t="s">
        <v>78</v>
      </c>
      <c r="H76" s="8">
        <v>88033</v>
      </c>
      <c r="I76" s="8">
        <v>3553104</v>
      </c>
      <c r="J76" s="15">
        <v>44070</v>
      </c>
      <c r="K76" s="16" t="s">
        <v>22</v>
      </c>
      <c r="L76" s="17" t="s">
        <v>56</v>
      </c>
      <c r="M76" s="18"/>
    </row>
    <row r="77" spans="2:13">
      <c r="B77" s="4">
        <v>48</v>
      </c>
      <c r="C77" s="5" t="s">
        <v>2</v>
      </c>
      <c r="D77" s="1" t="s">
        <v>32</v>
      </c>
      <c r="E77" s="8" t="s">
        <v>53</v>
      </c>
      <c r="F77" s="8" t="s">
        <v>54</v>
      </c>
      <c r="G77" s="8" t="s">
        <v>55</v>
      </c>
      <c r="H77" s="8">
        <v>86283</v>
      </c>
      <c r="I77" s="8">
        <v>3133256</v>
      </c>
      <c r="J77" s="15">
        <v>44070</v>
      </c>
      <c r="K77" s="16" t="s">
        <v>22</v>
      </c>
      <c r="L77" s="17" t="s">
        <v>56</v>
      </c>
      <c r="M77" s="18"/>
    </row>
    <row r="78" spans="2:13">
      <c r="B78" s="4">
        <v>48</v>
      </c>
      <c r="C78" s="5" t="s">
        <v>2</v>
      </c>
      <c r="D78" s="1" t="s">
        <v>18</v>
      </c>
      <c r="E78" s="8" t="s">
        <v>49</v>
      </c>
      <c r="F78" s="8" t="s">
        <v>50</v>
      </c>
      <c r="G78" s="8" t="s">
        <v>51</v>
      </c>
      <c r="H78" s="8">
        <v>73450</v>
      </c>
      <c r="I78" s="8">
        <v>567214</v>
      </c>
      <c r="J78" s="15">
        <v>44070</v>
      </c>
      <c r="K78" s="16" t="s">
        <v>22</v>
      </c>
      <c r="L78" s="17" t="s">
        <v>56</v>
      </c>
      <c r="M78" s="18"/>
    </row>
    <row r="79" spans="2:13">
      <c r="B79" s="4">
        <v>48</v>
      </c>
      <c r="C79" s="5" t="s">
        <v>2</v>
      </c>
      <c r="D79" s="1" t="s">
        <v>18</v>
      </c>
      <c r="E79" s="8" t="s">
        <v>46</v>
      </c>
      <c r="F79" s="8" t="s">
        <v>47</v>
      </c>
      <c r="G79" s="8" t="s">
        <v>48</v>
      </c>
      <c r="H79" s="8">
        <v>86149</v>
      </c>
      <c r="I79" s="8">
        <v>1947342</v>
      </c>
      <c r="J79" s="15">
        <v>44070</v>
      </c>
      <c r="K79" s="16" t="s">
        <v>22</v>
      </c>
      <c r="L79" s="17" t="s">
        <v>56</v>
      </c>
      <c r="M79" s="18"/>
    </row>
    <row r="80" spans="2:13">
      <c r="B80" s="4">
        <v>48</v>
      </c>
      <c r="C80" s="5" t="s">
        <v>2</v>
      </c>
      <c r="D80" s="1" t="s">
        <v>18</v>
      </c>
      <c r="E80" s="8" t="s">
        <v>57</v>
      </c>
      <c r="F80" s="8" t="s">
        <v>60</v>
      </c>
      <c r="G80" s="8" t="s">
        <v>61</v>
      </c>
      <c r="H80" s="8">
        <v>88149</v>
      </c>
      <c r="I80" s="8">
        <v>3624031</v>
      </c>
      <c r="J80" s="15">
        <v>44070</v>
      </c>
      <c r="K80" s="16" t="s">
        <v>22</v>
      </c>
      <c r="L80" s="17" t="s">
        <v>56</v>
      </c>
      <c r="M80" s="18"/>
    </row>
    <row r="81" spans="2:13">
      <c r="B81" s="4">
        <v>48</v>
      </c>
      <c r="C81" s="5" t="s">
        <v>2</v>
      </c>
      <c r="D81" s="1" t="s">
        <v>18</v>
      </c>
      <c r="E81" s="8" t="s">
        <v>57</v>
      </c>
      <c r="F81" s="8" t="s">
        <v>58</v>
      </c>
      <c r="G81" s="8" t="s">
        <v>59</v>
      </c>
      <c r="H81" s="8">
        <v>81902</v>
      </c>
      <c r="I81" s="8">
        <v>2102074</v>
      </c>
      <c r="J81" s="15">
        <v>44070</v>
      </c>
      <c r="K81" s="16" t="s">
        <v>22</v>
      </c>
      <c r="L81" s="17" t="s">
        <v>56</v>
      </c>
      <c r="M81" s="18"/>
    </row>
    <row r="82" spans="2:13">
      <c r="B82" s="4">
        <v>48</v>
      </c>
      <c r="C82" s="5" t="s">
        <v>2</v>
      </c>
      <c r="D82" s="1" t="s">
        <v>32</v>
      </c>
      <c r="E82" s="8" t="s">
        <v>33</v>
      </c>
      <c r="F82" s="8" t="s">
        <v>77</v>
      </c>
      <c r="G82" s="8" t="s">
        <v>78</v>
      </c>
      <c r="H82" s="8">
        <v>88033</v>
      </c>
      <c r="I82" s="8">
        <v>3553104</v>
      </c>
      <c r="J82" s="15">
        <v>44070</v>
      </c>
      <c r="K82" s="16" t="s">
        <v>22</v>
      </c>
      <c r="L82" s="17" t="s">
        <v>23</v>
      </c>
      <c r="M82" s="18"/>
    </row>
    <row r="83" spans="2:13">
      <c r="B83" s="4">
        <v>48</v>
      </c>
      <c r="C83" s="5" t="s">
        <v>2</v>
      </c>
      <c r="D83" s="1" t="s">
        <v>32</v>
      </c>
      <c r="E83" s="8" t="s">
        <v>33</v>
      </c>
      <c r="F83" s="8" t="s">
        <v>62</v>
      </c>
      <c r="G83" s="8" t="s">
        <v>63</v>
      </c>
      <c r="H83" s="8">
        <v>60260</v>
      </c>
      <c r="I83" s="8">
        <v>433236</v>
      </c>
      <c r="J83" s="15">
        <v>44070</v>
      </c>
      <c r="K83" s="16" t="s">
        <v>22</v>
      </c>
      <c r="L83" s="17" t="s">
        <v>23</v>
      </c>
      <c r="M83" s="18"/>
    </row>
    <row r="84" spans="2:13">
      <c r="B84" s="4">
        <v>48</v>
      </c>
      <c r="C84" s="5" t="s">
        <v>2</v>
      </c>
      <c r="D84" s="1" t="s">
        <v>32</v>
      </c>
      <c r="E84" s="8" t="s">
        <v>53</v>
      </c>
      <c r="F84" s="8" t="s">
        <v>54</v>
      </c>
      <c r="G84" s="8" t="s">
        <v>55</v>
      </c>
      <c r="H84" s="8">
        <v>86283</v>
      </c>
      <c r="I84" s="8">
        <v>3133256</v>
      </c>
      <c r="J84" s="15">
        <v>44070</v>
      </c>
      <c r="K84" s="16" t="s">
        <v>22</v>
      </c>
      <c r="L84" s="17" t="s">
        <v>23</v>
      </c>
      <c r="M84" s="18"/>
    </row>
    <row r="85" spans="2:13">
      <c r="B85" s="4">
        <v>48</v>
      </c>
      <c r="C85" s="5" t="s">
        <v>2</v>
      </c>
      <c r="D85" s="1" t="s">
        <v>18</v>
      </c>
      <c r="E85" s="8" t="s">
        <v>49</v>
      </c>
      <c r="F85" s="8" t="s">
        <v>50</v>
      </c>
      <c r="G85" s="8" t="s">
        <v>51</v>
      </c>
      <c r="H85" s="8">
        <v>73450</v>
      </c>
      <c r="I85" s="8">
        <v>567214</v>
      </c>
      <c r="J85" s="15">
        <v>44070</v>
      </c>
      <c r="K85" s="16" t="s">
        <v>22</v>
      </c>
      <c r="L85" s="17" t="s">
        <v>23</v>
      </c>
      <c r="M85" s="18"/>
    </row>
    <row r="86" spans="2:13">
      <c r="B86" s="4">
        <v>48</v>
      </c>
      <c r="C86" s="5" t="s">
        <v>2</v>
      </c>
      <c r="D86" s="1" t="s">
        <v>18</v>
      </c>
      <c r="E86" s="8" t="s">
        <v>57</v>
      </c>
      <c r="F86" s="8" t="s">
        <v>58</v>
      </c>
      <c r="G86" s="8" t="s">
        <v>59</v>
      </c>
      <c r="H86" s="8">
        <v>81902</v>
      </c>
      <c r="I86" s="8">
        <v>2102074</v>
      </c>
      <c r="J86" s="15">
        <v>44070</v>
      </c>
      <c r="K86" s="16" t="s">
        <v>22</v>
      </c>
      <c r="L86" s="17" t="s">
        <v>23</v>
      </c>
      <c r="M86" s="18"/>
    </row>
    <row r="87" spans="2:13">
      <c r="B87" s="4">
        <v>48</v>
      </c>
      <c r="C87" s="5" t="s">
        <v>2</v>
      </c>
      <c r="D87" s="1" t="s">
        <v>18</v>
      </c>
      <c r="E87" s="8" t="s">
        <v>64</v>
      </c>
      <c r="F87" s="8" t="s">
        <v>65</v>
      </c>
      <c r="G87" s="8" t="s">
        <v>66</v>
      </c>
      <c r="H87" s="8">
        <v>88168</v>
      </c>
      <c r="I87" s="8">
        <v>3624164</v>
      </c>
      <c r="J87" s="15">
        <v>44070</v>
      </c>
      <c r="K87" s="16" t="s">
        <v>22</v>
      </c>
      <c r="L87" s="17" t="s">
        <v>23</v>
      </c>
      <c r="M87" s="18"/>
    </row>
    <row r="88" spans="2:13">
      <c r="B88" s="4">
        <v>48</v>
      </c>
      <c r="C88" s="5" t="s">
        <v>2</v>
      </c>
      <c r="D88" s="1" t="s">
        <v>18</v>
      </c>
      <c r="E88" s="8" t="s">
        <v>57</v>
      </c>
      <c r="F88" s="8" t="s">
        <v>60</v>
      </c>
      <c r="G88" s="8" t="s">
        <v>61</v>
      </c>
      <c r="H88" s="8">
        <v>88149</v>
      </c>
      <c r="I88" s="8">
        <v>3624031</v>
      </c>
      <c r="J88" s="15">
        <v>44070</v>
      </c>
      <c r="K88" s="16" t="s">
        <v>22</v>
      </c>
      <c r="L88" s="17" t="s">
        <v>23</v>
      </c>
      <c r="M88" s="18"/>
    </row>
    <row r="89" spans="2:13">
      <c r="B89" s="4">
        <v>48</v>
      </c>
      <c r="C89" s="5" t="s">
        <v>2</v>
      </c>
      <c r="D89" s="9" t="s">
        <v>32</v>
      </c>
      <c r="E89" s="10" t="s">
        <v>33</v>
      </c>
      <c r="F89" s="10" t="s">
        <v>75</v>
      </c>
      <c r="G89" s="10" t="s">
        <v>76</v>
      </c>
      <c r="H89" s="10">
        <v>88034</v>
      </c>
      <c r="I89" s="10">
        <v>3553109</v>
      </c>
      <c r="J89" s="15">
        <v>44070</v>
      </c>
      <c r="K89" s="16" t="s">
        <v>22</v>
      </c>
      <c r="L89" s="17" t="s">
        <v>23</v>
      </c>
      <c r="M89" s="18"/>
    </row>
    <row r="90" spans="2:13">
      <c r="B90" s="4">
        <v>48</v>
      </c>
      <c r="C90" s="5" t="s">
        <v>2</v>
      </c>
      <c r="D90" s="1" t="s">
        <v>18</v>
      </c>
      <c r="E90" s="8" t="s">
        <v>57</v>
      </c>
      <c r="F90" s="8" t="s">
        <v>79</v>
      </c>
      <c r="G90" s="8" t="s">
        <v>80</v>
      </c>
      <c r="H90" s="8">
        <v>88148</v>
      </c>
      <c r="I90" s="8">
        <v>3624029</v>
      </c>
      <c r="J90" s="15">
        <v>44070</v>
      </c>
      <c r="K90" s="16" t="s">
        <v>22</v>
      </c>
      <c r="L90" s="17" t="s">
        <v>23</v>
      </c>
      <c r="M90" s="18"/>
    </row>
    <row r="91" spans="2:13">
      <c r="B91" s="4">
        <v>48</v>
      </c>
      <c r="C91" s="5" t="s">
        <v>2</v>
      </c>
      <c r="D91" s="1" t="s">
        <v>18</v>
      </c>
      <c r="E91" s="8" t="s">
        <v>57</v>
      </c>
      <c r="F91" s="8" t="s">
        <v>67</v>
      </c>
      <c r="G91" s="8" t="s">
        <v>68</v>
      </c>
      <c r="H91" s="8">
        <v>83904</v>
      </c>
      <c r="I91" s="8">
        <v>2657802</v>
      </c>
      <c r="J91" s="15">
        <v>44070</v>
      </c>
      <c r="K91" s="16" t="s">
        <v>22</v>
      </c>
      <c r="L91" s="17" t="s">
        <v>23</v>
      </c>
      <c r="M91" s="18"/>
    </row>
    <row r="92" spans="2:13">
      <c r="B92" s="4">
        <v>48</v>
      </c>
      <c r="C92" s="5" t="s">
        <v>2</v>
      </c>
      <c r="D92" s="1" t="s">
        <v>32</v>
      </c>
      <c r="E92" s="8" t="s">
        <v>33</v>
      </c>
      <c r="F92" s="8" t="s">
        <v>34</v>
      </c>
      <c r="G92" s="8" t="s">
        <v>35</v>
      </c>
      <c r="H92" s="8">
        <v>87670</v>
      </c>
      <c r="I92" s="8">
        <v>3525831</v>
      </c>
      <c r="J92" s="15">
        <v>44070</v>
      </c>
      <c r="K92" s="16" t="s">
        <v>22</v>
      </c>
      <c r="L92" s="17" t="s">
        <v>26</v>
      </c>
      <c r="M92" s="18"/>
    </row>
    <row r="93" spans="2:13">
      <c r="B93" s="4">
        <v>48</v>
      </c>
      <c r="C93" s="5" t="s">
        <v>2</v>
      </c>
      <c r="D93" s="1" t="s">
        <v>32</v>
      </c>
      <c r="E93" s="8" t="s">
        <v>33</v>
      </c>
      <c r="F93" s="8" t="s">
        <v>62</v>
      </c>
      <c r="G93" s="8" t="s">
        <v>63</v>
      </c>
      <c r="H93" s="8">
        <v>60260</v>
      </c>
      <c r="I93" s="8">
        <v>433236</v>
      </c>
      <c r="J93" s="15">
        <v>44070</v>
      </c>
      <c r="K93" s="16" t="s">
        <v>22</v>
      </c>
      <c r="L93" s="17" t="s">
        <v>26</v>
      </c>
      <c r="M93" s="18"/>
    </row>
    <row r="94" spans="2:13">
      <c r="B94" s="4">
        <v>48</v>
      </c>
      <c r="C94" s="5" t="s">
        <v>2</v>
      </c>
      <c r="D94" s="1" t="s">
        <v>32</v>
      </c>
      <c r="E94" s="8" t="s">
        <v>53</v>
      </c>
      <c r="F94" s="8" t="s">
        <v>54</v>
      </c>
      <c r="G94" s="8" t="s">
        <v>55</v>
      </c>
      <c r="H94" s="8">
        <v>86283</v>
      </c>
      <c r="I94" s="8">
        <v>3133256</v>
      </c>
      <c r="J94" s="15">
        <v>44070</v>
      </c>
      <c r="K94" s="16" t="s">
        <v>22</v>
      </c>
      <c r="L94" s="17" t="s">
        <v>26</v>
      </c>
      <c r="M94" s="18"/>
    </row>
    <row r="95" spans="2:13">
      <c r="B95" s="4">
        <v>48</v>
      </c>
      <c r="C95" s="5" t="s">
        <v>2</v>
      </c>
      <c r="D95" s="1" t="s">
        <v>32</v>
      </c>
      <c r="E95" s="8" t="s">
        <v>53</v>
      </c>
      <c r="F95" s="8" t="s">
        <v>71</v>
      </c>
      <c r="G95" s="8" t="s">
        <v>72</v>
      </c>
      <c r="H95" s="8">
        <v>88153</v>
      </c>
      <c r="I95" s="8">
        <v>3624035</v>
      </c>
      <c r="J95" s="15">
        <v>44070</v>
      </c>
      <c r="K95" s="16" t="s">
        <v>22</v>
      </c>
      <c r="L95" s="17" t="s">
        <v>26</v>
      </c>
      <c r="M95" s="18"/>
    </row>
    <row r="96" spans="2:13">
      <c r="B96" s="4">
        <v>48</v>
      </c>
      <c r="C96" s="5" t="s">
        <v>2</v>
      </c>
      <c r="D96" s="1" t="s">
        <v>18</v>
      </c>
      <c r="E96" s="8" t="s">
        <v>57</v>
      </c>
      <c r="F96" s="8" t="s">
        <v>58</v>
      </c>
      <c r="G96" s="8" t="s">
        <v>59</v>
      </c>
      <c r="H96" s="8">
        <v>81902</v>
      </c>
      <c r="I96" s="8">
        <v>2102074</v>
      </c>
      <c r="J96" s="15">
        <v>44070</v>
      </c>
      <c r="K96" s="16" t="s">
        <v>22</v>
      </c>
      <c r="L96" s="17" t="s">
        <v>26</v>
      </c>
      <c r="M96" s="18"/>
    </row>
    <row r="97" spans="2:13">
      <c r="B97" s="4">
        <v>48</v>
      </c>
      <c r="C97" s="5" t="s">
        <v>2</v>
      </c>
      <c r="D97" s="1" t="s">
        <v>18</v>
      </c>
      <c r="E97" s="8" t="s">
        <v>57</v>
      </c>
      <c r="F97" s="8" t="s">
        <v>67</v>
      </c>
      <c r="G97" s="8" t="s">
        <v>68</v>
      </c>
      <c r="H97" s="8">
        <v>83904</v>
      </c>
      <c r="I97" s="8">
        <v>2657802</v>
      </c>
      <c r="J97" s="15">
        <v>44070</v>
      </c>
      <c r="K97" s="16" t="s">
        <v>22</v>
      </c>
      <c r="L97" s="17" t="s">
        <v>26</v>
      </c>
      <c r="M97" s="18"/>
    </row>
    <row r="98" spans="2:13">
      <c r="B98" s="4">
        <v>48</v>
      </c>
      <c r="C98" s="5" t="s">
        <v>2</v>
      </c>
      <c r="D98" s="1" t="s">
        <v>18</v>
      </c>
      <c r="E98" s="8" t="s">
        <v>64</v>
      </c>
      <c r="F98" s="8" t="s">
        <v>81</v>
      </c>
      <c r="G98" s="8" t="s">
        <v>82</v>
      </c>
      <c r="H98" s="8">
        <v>83798</v>
      </c>
      <c r="I98" s="8">
        <v>2593757</v>
      </c>
      <c r="J98" s="15">
        <v>44070</v>
      </c>
      <c r="K98" s="16" t="s">
        <v>22</v>
      </c>
      <c r="L98" s="17" t="s">
        <v>26</v>
      </c>
      <c r="M98" s="18"/>
    </row>
    <row r="99" spans="2:13">
      <c r="B99" s="4">
        <v>48</v>
      </c>
      <c r="C99" s="5" t="s">
        <v>2</v>
      </c>
      <c r="D99" s="1" t="s">
        <v>18</v>
      </c>
      <c r="E99" s="8" t="s">
        <v>64</v>
      </c>
      <c r="F99" s="8" t="s">
        <v>73</v>
      </c>
      <c r="G99" s="8" t="s">
        <v>74</v>
      </c>
      <c r="H99" s="8">
        <v>86339</v>
      </c>
      <c r="I99" s="8">
        <v>3138527</v>
      </c>
      <c r="J99" s="15">
        <v>44070</v>
      </c>
      <c r="K99" s="16" t="s">
        <v>22</v>
      </c>
      <c r="L99" s="17" t="s">
        <v>26</v>
      </c>
      <c r="M99" s="18"/>
    </row>
    <row r="100" spans="2:13">
      <c r="B100" s="4">
        <v>48</v>
      </c>
      <c r="C100" s="5" t="s">
        <v>2</v>
      </c>
      <c r="D100" s="1" t="s">
        <v>28</v>
      </c>
      <c r="E100" s="8" t="s">
        <v>29</v>
      </c>
      <c r="F100" s="8" t="s">
        <v>30</v>
      </c>
      <c r="G100" s="8" t="s">
        <v>31</v>
      </c>
      <c r="H100" s="8">
        <v>87045</v>
      </c>
      <c r="I100" s="8">
        <v>3409666</v>
      </c>
      <c r="J100" s="15">
        <v>44070</v>
      </c>
      <c r="K100" s="16" t="s">
        <v>22</v>
      </c>
      <c r="L100" s="17" t="s">
        <v>27</v>
      </c>
      <c r="M100" s="18"/>
    </row>
    <row r="101" spans="2:13">
      <c r="B101" s="4">
        <v>48</v>
      </c>
      <c r="C101" s="5" t="s">
        <v>2</v>
      </c>
      <c r="D101" s="1" t="s">
        <v>32</v>
      </c>
      <c r="E101" s="8" t="s">
        <v>33</v>
      </c>
      <c r="F101" s="8" t="s">
        <v>34</v>
      </c>
      <c r="G101" s="8" t="s">
        <v>35</v>
      </c>
      <c r="H101" s="8">
        <v>87670</v>
      </c>
      <c r="I101" s="8">
        <v>3525831</v>
      </c>
      <c r="J101" s="15">
        <v>44070</v>
      </c>
      <c r="K101" s="16" t="s">
        <v>22</v>
      </c>
      <c r="L101" s="17" t="s">
        <v>27</v>
      </c>
      <c r="M101" s="18"/>
    </row>
    <row r="102" spans="2:13">
      <c r="B102" s="4">
        <v>48</v>
      </c>
      <c r="C102" s="5" t="s">
        <v>2</v>
      </c>
      <c r="D102" s="1" t="s">
        <v>32</v>
      </c>
      <c r="E102" s="8" t="s">
        <v>53</v>
      </c>
      <c r="F102" s="8" t="s">
        <v>54</v>
      </c>
      <c r="G102" s="8" t="s">
        <v>55</v>
      </c>
      <c r="H102" s="8">
        <v>86283</v>
      </c>
      <c r="I102" s="8">
        <v>3133256</v>
      </c>
      <c r="J102" s="15">
        <v>44070</v>
      </c>
      <c r="K102" s="16" t="s">
        <v>22</v>
      </c>
      <c r="L102" s="17" t="s">
        <v>27</v>
      </c>
      <c r="M102" s="18"/>
    </row>
    <row r="103" spans="2:13">
      <c r="B103" s="4">
        <v>48</v>
      </c>
      <c r="C103" s="5" t="s">
        <v>2</v>
      </c>
      <c r="D103" s="1" t="s">
        <v>32</v>
      </c>
      <c r="E103" s="8" t="s">
        <v>53</v>
      </c>
      <c r="F103" s="8" t="s">
        <v>71</v>
      </c>
      <c r="G103" s="8" t="s">
        <v>72</v>
      </c>
      <c r="H103" s="8">
        <v>88153</v>
      </c>
      <c r="I103" s="8">
        <v>3624035</v>
      </c>
      <c r="J103" s="15">
        <v>44070</v>
      </c>
      <c r="K103" s="16" t="s">
        <v>22</v>
      </c>
      <c r="L103" s="17" t="s">
        <v>27</v>
      </c>
      <c r="M103" s="18"/>
    </row>
    <row r="104" spans="2:13">
      <c r="B104" s="4">
        <v>48</v>
      </c>
      <c r="C104" s="5" t="s">
        <v>2</v>
      </c>
      <c r="D104" s="1" t="s">
        <v>18</v>
      </c>
      <c r="E104" s="8" t="s">
        <v>64</v>
      </c>
      <c r="F104" s="8" t="s">
        <v>73</v>
      </c>
      <c r="G104" s="8" t="s">
        <v>74</v>
      </c>
      <c r="H104" s="8">
        <v>86339</v>
      </c>
      <c r="I104" s="8">
        <v>3138527</v>
      </c>
      <c r="J104" s="15">
        <v>44070</v>
      </c>
      <c r="K104" s="16" t="s">
        <v>22</v>
      </c>
      <c r="L104" s="17" t="s">
        <v>27</v>
      </c>
      <c r="M104" s="18"/>
    </row>
    <row r="105" spans="2:13">
      <c r="B105" s="4">
        <v>48</v>
      </c>
      <c r="C105" s="5" t="s">
        <v>2</v>
      </c>
      <c r="D105" s="1" t="s">
        <v>18</v>
      </c>
      <c r="E105" s="8" t="s">
        <v>57</v>
      </c>
      <c r="F105" s="8" t="s">
        <v>67</v>
      </c>
      <c r="G105" s="8" t="s">
        <v>68</v>
      </c>
      <c r="H105" s="8">
        <v>83904</v>
      </c>
      <c r="I105" s="8">
        <v>2657802</v>
      </c>
      <c r="J105" s="15">
        <v>44070</v>
      </c>
      <c r="K105" s="16" t="s">
        <v>22</v>
      </c>
      <c r="L105" s="17" t="s">
        <v>27</v>
      </c>
      <c r="M105" s="18"/>
    </row>
    <row r="106" spans="2:13">
      <c r="B106" s="4">
        <v>48</v>
      </c>
      <c r="C106" s="5" t="s">
        <v>2</v>
      </c>
      <c r="D106" s="1" t="s">
        <v>28</v>
      </c>
      <c r="E106" s="8" t="s">
        <v>29</v>
      </c>
      <c r="F106" s="8" t="s">
        <v>36</v>
      </c>
      <c r="G106" s="8" t="s">
        <v>37</v>
      </c>
      <c r="H106" s="8">
        <v>87302</v>
      </c>
      <c r="I106" s="8">
        <v>3462494</v>
      </c>
      <c r="J106" s="15">
        <v>44071</v>
      </c>
      <c r="K106" s="16" t="s">
        <v>22</v>
      </c>
      <c r="L106" s="17" t="s">
        <v>38</v>
      </c>
      <c r="M106" s="18"/>
    </row>
    <row r="107" spans="2:13">
      <c r="B107" s="4">
        <v>48</v>
      </c>
      <c r="C107" s="5" t="s">
        <v>2</v>
      </c>
      <c r="D107" s="1" t="s">
        <v>28</v>
      </c>
      <c r="E107" s="8" t="s">
        <v>29</v>
      </c>
      <c r="F107" s="8" t="s">
        <v>39</v>
      </c>
      <c r="G107" s="8" t="s">
        <v>40</v>
      </c>
      <c r="H107" s="8">
        <v>87308</v>
      </c>
      <c r="I107" s="8">
        <v>3462509</v>
      </c>
      <c r="J107" s="15">
        <v>44071</v>
      </c>
      <c r="K107" s="16" t="s">
        <v>22</v>
      </c>
      <c r="L107" s="17" t="s">
        <v>38</v>
      </c>
      <c r="M107" s="18"/>
    </row>
    <row r="108" spans="2:13">
      <c r="B108" s="4">
        <v>48</v>
      </c>
      <c r="C108" s="5" t="s">
        <v>2</v>
      </c>
      <c r="D108" s="1" t="s">
        <v>28</v>
      </c>
      <c r="E108" s="8" t="s">
        <v>83</v>
      </c>
      <c r="F108" s="8" t="s">
        <v>84</v>
      </c>
      <c r="G108" s="8" t="s">
        <v>85</v>
      </c>
      <c r="H108" s="8">
        <v>87695</v>
      </c>
      <c r="I108" s="8">
        <v>3526421</v>
      </c>
      <c r="J108" s="15">
        <v>44071</v>
      </c>
      <c r="K108" s="16" t="s">
        <v>22</v>
      </c>
      <c r="L108" s="17" t="s">
        <v>38</v>
      </c>
      <c r="M108" s="18"/>
    </row>
    <row r="109" spans="2:13">
      <c r="B109" s="4">
        <v>48</v>
      </c>
      <c r="C109" s="5" t="s">
        <v>2</v>
      </c>
      <c r="D109" s="1"/>
      <c r="E109" s="8"/>
      <c r="F109" s="8"/>
      <c r="G109" s="8"/>
      <c r="H109" s="8"/>
      <c r="I109" s="8"/>
      <c r="J109" s="15">
        <v>44071</v>
      </c>
      <c r="K109" s="16" t="s">
        <v>22</v>
      </c>
      <c r="L109" s="17" t="s">
        <v>38</v>
      </c>
      <c r="M109" s="18"/>
    </row>
    <row r="110" spans="2:13">
      <c r="B110" s="4">
        <v>48</v>
      </c>
      <c r="C110" s="5" t="s">
        <v>2</v>
      </c>
      <c r="D110" s="1"/>
      <c r="E110" s="8"/>
      <c r="F110" s="8"/>
      <c r="G110" s="8"/>
      <c r="H110" s="8"/>
      <c r="I110" s="8"/>
      <c r="J110" s="15">
        <v>44071</v>
      </c>
      <c r="K110" s="16" t="s">
        <v>22</v>
      </c>
      <c r="L110" s="17" t="s">
        <v>38</v>
      </c>
      <c r="M110" s="18"/>
    </row>
    <row r="111" spans="2:13">
      <c r="B111" s="4">
        <v>48</v>
      </c>
      <c r="C111" s="5" t="s">
        <v>2</v>
      </c>
      <c r="D111" s="1"/>
      <c r="E111" s="8"/>
      <c r="F111" s="8"/>
      <c r="G111" s="8"/>
      <c r="H111" s="8"/>
      <c r="I111" s="8"/>
      <c r="J111" s="15">
        <v>44071</v>
      </c>
      <c r="K111" s="16" t="s">
        <v>22</v>
      </c>
      <c r="L111" s="17" t="s">
        <v>38</v>
      </c>
      <c r="M111" s="18"/>
    </row>
    <row r="112" spans="2:13">
      <c r="B112" s="4">
        <v>48</v>
      </c>
      <c r="C112" s="5" t="s">
        <v>2</v>
      </c>
      <c r="D112" s="1"/>
      <c r="E112" s="8"/>
      <c r="F112" s="8"/>
      <c r="G112" s="8"/>
      <c r="H112" s="8"/>
      <c r="I112" s="8"/>
      <c r="J112" s="15">
        <v>44071</v>
      </c>
      <c r="K112" s="16" t="s">
        <v>22</v>
      </c>
      <c r="L112" s="17" t="s">
        <v>38</v>
      </c>
      <c r="M112" s="18"/>
    </row>
    <row r="113" spans="2:13">
      <c r="B113" s="4">
        <v>48</v>
      </c>
      <c r="C113" s="5" t="s">
        <v>2</v>
      </c>
      <c r="D113" s="1" t="s">
        <v>28</v>
      </c>
      <c r="E113" s="8" t="s">
        <v>29</v>
      </c>
      <c r="F113" s="8" t="s">
        <v>36</v>
      </c>
      <c r="G113" s="8" t="s">
        <v>37</v>
      </c>
      <c r="H113" s="8">
        <v>87302</v>
      </c>
      <c r="I113" s="8">
        <v>3462494</v>
      </c>
      <c r="J113" s="15">
        <v>44071</v>
      </c>
      <c r="K113" s="16" t="s">
        <v>22</v>
      </c>
      <c r="L113" s="17" t="s">
        <v>41</v>
      </c>
      <c r="M113" s="18"/>
    </row>
    <row r="114" spans="2:13">
      <c r="B114" s="4">
        <v>48</v>
      </c>
      <c r="C114" s="5" t="s">
        <v>2</v>
      </c>
      <c r="D114" s="1" t="s">
        <v>28</v>
      </c>
      <c r="E114" s="8" t="s">
        <v>29</v>
      </c>
      <c r="F114" s="8" t="s">
        <v>39</v>
      </c>
      <c r="G114" s="8" t="s">
        <v>40</v>
      </c>
      <c r="H114" s="8">
        <v>87308</v>
      </c>
      <c r="I114" s="8">
        <v>3462509</v>
      </c>
      <c r="J114" s="15">
        <v>44071</v>
      </c>
      <c r="K114" s="16" t="s">
        <v>22</v>
      </c>
      <c r="L114" s="17" t="s">
        <v>41</v>
      </c>
      <c r="M114" s="18"/>
    </row>
    <row r="115" spans="2:13">
      <c r="B115" s="4">
        <v>48</v>
      </c>
      <c r="C115" s="5" t="s">
        <v>2</v>
      </c>
      <c r="D115" s="1" t="s">
        <v>28</v>
      </c>
      <c r="E115" s="8" t="s">
        <v>83</v>
      </c>
      <c r="F115" s="8" t="s">
        <v>84</v>
      </c>
      <c r="G115" s="8" t="s">
        <v>85</v>
      </c>
      <c r="H115" s="8">
        <v>87695</v>
      </c>
      <c r="I115" s="8">
        <v>3526421</v>
      </c>
      <c r="J115" s="15">
        <v>44071</v>
      </c>
      <c r="K115" s="16" t="s">
        <v>22</v>
      </c>
      <c r="L115" s="17" t="s">
        <v>41</v>
      </c>
      <c r="M115" s="18"/>
    </row>
    <row r="116" spans="2:13">
      <c r="B116" s="4">
        <v>48</v>
      </c>
      <c r="C116" s="5" t="s">
        <v>2</v>
      </c>
      <c r="D116" s="1"/>
      <c r="E116" s="8"/>
      <c r="F116" s="8"/>
      <c r="G116" s="8"/>
      <c r="H116" s="8"/>
      <c r="I116" s="8"/>
      <c r="J116" s="15">
        <v>44071</v>
      </c>
      <c r="K116" s="16" t="s">
        <v>22</v>
      </c>
      <c r="L116" s="17" t="s">
        <v>41</v>
      </c>
      <c r="M116" s="18"/>
    </row>
    <row r="117" spans="2:13">
      <c r="B117" s="4">
        <v>48</v>
      </c>
      <c r="C117" s="5" t="s">
        <v>2</v>
      </c>
      <c r="D117" s="1"/>
      <c r="E117" s="8"/>
      <c r="F117" s="8"/>
      <c r="G117" s="8"/>
      <c r="H117" s="8"/>
      <c r="I117" s="8"/>
      <c r="J117" s="15">
        <v>44071</v>
      </c>
      <c r="K117" s="16" t="s">
        <v>22</v>
      </c>
      <c r="L117" s="17" t="s">
        <v>41</v>
      </c>
      <c r="M117" s="18"/>
    </row>
    <row r="118" spans="2:13">
      <c r="B118" s="4">
        <v>48</v>
      </c>
      <c r="C118" s="5" t="s">
        <v>2</v>
      </c>
      <c r="D118" s="1"/>
      <c r="E118" s="8"/>
      <c r="F118" s="8"/>
      <c r="G118" s="8"/>
      <c r="H118" s="8"/>
      <c r="I118" s="8"/>
      <c r="J118" s="15">
        <v>44071</v>
      </c>
      <c r="K118" s="16" t="s">
        <v>22</v>
      </c>
      <c r="L118" s="17" t="s">
        <v>41</v>
      </c>
      <c r="M118" s="18"/>
    </row>
    <row r="119" spans="2:13">
      <c r="B119" s="4">
        <v>48</v>
      </c>
      <c r="C119" s="5" t="s">
        <v>2</v>
      </c>
      <c r="D119" s="1"/>
      <c r="E119" s="8"/>
      <c r="F119" s="8"/>
      <c r="G119" s="8"/>
      <c r="H119" s="8"/>
      <c r="I119" s="8"/>
      <c r="J119" s="15">
        <v>44071</v>
      </c>
      <c r="K119" s="16" t="s">
        <v>22</v>
      </c>
      <c r="L119" s="17" t="s">
        <v>41</v>
      </c>
      <c r="M119" s="18"/>
    </row>
    <row r="120" spans="2:13">
      <c r="B120" s="4">
        <v>48</v>
      </c>
      <c r="C120" s="5" t="s">
        <v>2</v>
      </c>
      <c r="D120" s="1"/>
      <c r="E120" s="8"/>
      <c r="F120" s="8"/>
      <c r="G120" s="8"/>
      <c r="H120" s="8"/>
      <c r="I120" s="8"/>
      <c r="J120" s="15">
        <v>44071</v>
      </c>
      <c r="K120" s="16" t="s">
        <v>22</v>
      </c>
      <c r="L120" s="17" t="s">
        <v>41</v>
      </c>
      <c r="M120" s="18"/>
    </row>
    <row r="121" spans="2:13">
      <c r="B121" s="4">
        <v>48</v>
      </c>
      <c r="C121" s="5" t="s">
        <v>2</v>
      </c>
      <c r="D121" s="1"/>
      <c r="E121" s="8"/>
      <c r="F121" s="8"/>
      <c r="G121" s="8"/>
      <c r="H121" s="8"/>
      <c r="I121" s="8"/>
      <c r="J121" s="15">
        <v>44071</v>
      </c>
      <c r="K121" s="16" t="s">
        <v>22</v>
      </c>
      <c r="L121" s="17" t="s">
        <v>42</v>
      </c>
      <c r="M121" s="18"/>
    </row>
    <row r="122" spans="2:13">
      <c r="B122" s="4">
        <v>48</v>
      </c>
      <c r="C122" s="5" t="s">
        <v>2</v>
      </c>
      <c r="D122" s="1"/>
      <c r="E122" s="8"/>
      <c r="F122" s="8"/>
      <c r="G122" s="8"/>
      <c r="H122" s="8"/>
      <c r="I122" s="8"/>
      <c r="J122" s="15">
        <v>44071</v>
      </c>
      <c r="K122" s="16" t="s">
        <v>22</v>
      </c>
      <c r="L122" s="17" t="s">
        <v>42</v>
      </c>
      <c r="M122" s="18"/>
    </row>
    <row r="123" spans="2:13">
      <c r="B123" s="4">
        <v>48</v>
      </c>
      <c r="C123" s="5" t="s">
        <v>2</v>
      </c>
      <c r="D123" s="1" t="s">
        <v>32</v>
      </c>
      <c r="E123" s="8" t="s">
        <v>33</v>
      </c>
      <c r="F123" s="8" t="s">
        <v>77</v>
      </c>
      <c r="G123" s="8" t="s">
        <v>78</v>
      </c>
      <c r="H123" s="8">
        <v>88033</v>
      </c>
      <c r="I123" s="8">
        <v>3553104</v>
      </c>
      <c r="J123" s="15">
        <v>44071</v>
      </c>
      <c r="K123" s="16" t="s">
        <v>22</v>
      </c>
      <c r="L123" s="17" t="s">
        <v>56</v>
      </c>
      <c r="M123" s="18"/>
    </row>
    <row r="124" spans="2:13">
      <c r="B124" s="4">
        <v>48</v>
      </c>
      <c r="C124" s="5" t="s">
        <v>2</v>
      </c>
      <c r="D124" s="1" t="s">
        <v>32</v>
      </c>
      <c r="E124" s="8" t="s">
        <v>53</v>
      </c>
      <c r="F124" s="8" t="s">
        <v>54</v>
      </c>
      <c r="G124" s="8" t="s">
        <v>55</v>
      </c>
      <c r="H124" s="8">
        <v>86283</v>
      </c>
      <c r="I124" s="8">
        <v>3133256</v>
      </c>
      <c r="J124" s="15">
        <v>44071</v>
      </c>
      <c r="K124" s="16" t="s">
        <v>22</v>
      </c>
      <c r="L124" s="17" t="s">
        <v>56</v>
      </c>
      <c r="M124" s="18"/>
    </row>
    <row r="125" spans="2:13">
      <c r="B125" s="4">
        <v>48</v>
      </c>
      <c r="C125" s="5" t="s">
        <v>2</v>
      </c>
      <c r="D125" s="1" t="s">
        <v>18</v>
      </c>
      <c r="E125" s="8" t="s">
        <v>49</v>
      </c>
      <c r="F125" s="8" t="s">
        <v>50</v>
      </c>
      <c r="G125" s="8" t="s">
        <v>51</v>
      </c>
      <c r="H125" s="8">
        <v>73450</v>
      </c>
      <c r="I125" s="8">
        <v>567214</v>
      </c>
      <c r="J125" s="15">
        <v>44071</v>
      </c>
      <c r="K125" s="16" t="s">
        <v>22</v>
      </c>
      <c r="L125" s="17" t="s">
        <v>56</v>
      </c>
      <c r="M125" s="18"/>
    </row>
    <row r="126" spans="2:13">
      <c r="B126" s="4">
        <v>48</v>
      </c>
      <c r="C126" s="5" t="s">
        <v>2</v>
      </c>
      <c r="D126" s="1" t="s">
        <v>18</v>
      </c>
      <c r="E126" s="8" t="s">
        <v>57</v>
      </c>
      <c r="F126" s="8" t="s">
        <v>60</v>
      </c>
      <c r="G126" s="8" t="s">
        <v>61</v>
      </c>
      <c r="H126" s="8">
        <v>88149</v>
      </c>
      <c r="I126" s="8">
        <v>3624031</v>
      </c>
      <c r="J126" s="15">
        <v>44071</v>
      </c>
      <c r="K126" s="16" t="s">
        <v>22</v>
      </c>
      <c r="L126" s="17" t="s">
        <v>56</v>
      </c>
      <c r="M126" s="18"/>
    </row>
    <row r="127" spans="2:13">
      <c r="B127" s="4">
        <v>48</v>
      </c>
      <c r="C127" s="5" t="s">
        <v>2</v>
      </c>
      <c r="D127" s="1" t="s">
        <v>18</v>
      </c>
      <c r="E127" s="8" t="s">
        <v>46</v>
      </c>
      <c r="F127" s="8" t="s">
        <v>47</v>
      </c>
      <c r="G127" s="8" t="s">
        <v>48</v>
      </c>
      <c r="H127" s="8">
        <v>86149</v>
      </c>
      <c r="I127" s="8">
        <v>1947342</v>
      </c>
      <c r="J127" s="15">
        <v>44071</v>
      </c>
      <c r="K127" s="16" t="s">
        <v>22</v>
      </c>
      <c r="L127" s="17" t="s">
        <v>56</v>
      </c>
      <c r="M127" s="18"/>
    </row>
    <row r="128" spans="2:13">
      <c r="B128" s="4">
        <v>48</v>
      </c>
      <c r="C128" s="5" t="s">
        <v>2</v>
      </c>
      <c r="D128" s="1" t="s">
        <v>18</v>
      </c>
      <c r="E128" s="8" t="s">
        <v>57</v>
      </c>
      <c r="F128" s="8" t="s">
        <v>58</v>
      </c>
      <c r="G128" s="8" t="s">
        <v>59</v>
      </c>
      <c r="H128" s="8">
        <v>81902</v>
      </c>
      <c r="I128" s="8">
        <v>2102074</v>
      </c>
      <c r="J128" s="15">
        <v>44071</v>
      </c>
      <c r="K128" s="16" t="s">
        <v>22</v>
      </c>
      <c r="L128" s="17" t="s">
        <v>56</v>
      </c>
      <c r="M128" s="18"/>
    </row>
    <row r="129" spans="2:13">
      <c r="B129" s="4">
        <v>48</v>
      </c>
      <c r="C129" s="5" t="s">
        <v>2</v>
      </c>
      <c r="D129" s="1"/>
      <c r="E129" s="8"/>
      <c r="F129" s="8"/>
      <c r="G129" s="8"/>
      <c r="H129" s="8"/>
      <c r="I129" s="8"/>
      <c r="J129" s="15">
        <v>44071</v>
      </c>
      <c r="K129" s="16" t="s">
        <v>22</v>
      </c>
      <c r="L129" s="17" t="s">
        <v>56</v>
      </c>
      <c r="M129" s="18"/>
    </row>
    <row r="130" spans="2:13">
      <c r="B130" s="4">
        <v>48</v>
      </c>
      <c r="C130" s="5" t="s">
        <v>2</v>
      </c>
      <c r="D130" s="1" t="s">
        <v>32</v>
      </c>
      <c r="E130" s="8" t="s">
        <v>33</v>
      </c>
      <c r="F130" s="8" t="s">
        <v>77</v>
      </c>
      <c r="G130" s="8" t="s">
        <v>78</v>
      </c>
      <c r="H130" s="8">
        <v>88033</v>
      </c>
      <c r="I130" s="8">
        <v>3553104</v>
      </c>
      <c r="J130" s="15">
        <v>44071</v>
      </c>
      <c r="K130" s="16" t="s">
        <v>22</v>
      </c>
      <c r="L130" s="17" t="s">
        <v>23</v>
      </c>
      <c r="M130" s="18"/>
    </row>
    <row r="131" spans="2:13">
      <c r="B131" s="4">
        <v>48</v>
      </c>
      <c r="C131" s="5" t="s">
        <v>2</v>
      </c>
      <c r="D131" s="1" t="s">
        <v>32</v>
      </c>
      <c r="E131" s="8" t="s">
        <v>33</v>
      </c>
      <c r="F131" s="8" t="s">
        <v>62</v>
      </c>
      <c r="G131" s="8" t="s">
        <v>63</v>
      </c>
      <c r="H131" s="8">
        <v>60260</v>
      </c>
      <c r="I131" s="8">
        <v>433236</v>
      </c>
      <c r="J131" s="15">
        <v>44071</v>
      </c>
      <c r="K131" s="16" t="s">
        <v>22</v>
      </c>
      <c r="L131" s="17" t="s">
        <v>23</v>
      </c>
      <c r="M131" s="18"/>
    </row>
    <row r="132" spans="2:13">
      <c r="B132" s="4">
        <v>48</v>
      </c>
      <c r="C132" s="5" t="s">
        <v>2</v>
      </c>
      <c r="D132" s="1" t="s">
        <v>32</v>
      </c>
      <c r="E132" s="8" t="s">
        <v>53</v>
      </c>
      <c r="F132" s="8" t="s">
        <v>54</v>
      </c>
      <c r="G132" s="8" t="s">
        <v>55</v>
      </c>
      <c r="H132" s="8">
        <v>86283</v>
      </c>
      <c r="I132" s="8">
        <v>3133256</v>
      </c>
      <c r="J132" s="15">
        <v>44071</v>
      </c>
      <c r="K132" s="16" t="s">
        <v>22</v>
      </c>
      <c r="L132" s="17" t="s">
        <v>23</v>
      </c>
      <c r="M132" s="18"/>
    </row>
    <row r="133" spans="2:13">
      <c r="B133" s="4">
        <v>48</v>
      </c>
      <c r="C133" s="5" t="s">
        <v>2</v>
      </c>
      <c r="D133" s="1" t="s">
        <v>18</v>
      </c>
      <c r="E133" s="8" t="s">
        <v>49</v>
      </c>
      <c r="F133" s="8" t="s">
        <v>50</v>
      </c>
      <c r="G133" s="8" t="s">
        <v>51</v>
      </c>
      <c r="H133" s="8">
        <v>73450</v>
      </c>
      <c r="I133" s="8">
        <v>567214</v>
      </c>
      <c r="J133" s="15">
        <v>44071</v>
      </c>
      <c r="K133" s="16" t="s">
        <v>22</v>
      </c>
      <c r="L133" s="17" t="s">
        <v>23</v>
      </c>
      <c r="M133" s="18"/>
    </row>
    <row r="134" spans="2:13">
      <c r="B134" s="4">
        <v>48</v>
      </c>
      <c r="C134" s="5" t="s">
        <v>2</v>
      </c>
      <c r="D134" s="1" t="s">
        <v>18</v>
      </c>
      <c r="E134" s="8" t="s">
        <v>57</v>
      </c>
      <c r="F134" s="8" t="s">
        <v>67</v>
      </c>
      <c r="G134" s="8" t="s">
        <v>68</v>
      </c>
      <c r="H134" s="8">
        <v>83904</v>
      </c>
      <c r="I134" s="8">
        <v>2657802</v>
      </c>
      <c r="J134" s="15">
        <v>44071</v>
      </c>
      <c r="K134" s="16" t="s">
        <v>22</v>
      </c>
      <c r="L134" s="17" t="s">
        <v>23</v>
      </c>
      <c r="M134" s="18"/>
    </row>
    <row r="135" spans="2:13">
      <c r="B135" s="4">
        <v>48</v>
      </c>
      <c r="C135" s="5" t="s">
        <v>2</v>
      </c>
      <c r="D135" s="1" t="s">
        <v>18</v>
      </c>
      <c r="E135" s="8" t="s">
        <v>64</v>
      </c>
      <c r="F135" s="8" t="s">
        <v>65</v>
      </c>
      <c r="G135" s="8" t="s">
        <v>66</v>
      </c>
      <c r="H135" s="8">
        <v>88168</v>
      </c>
      <c r="I135" s="8">
        <v>3624164</v>
      </c>
      <c r="J135" s="15">
        <v>44071</v>
      </c>
      <c r="K135" s="16" t="s">
        <v>22</v>
      </c>
      <c r="L135" s="17" t="s">
        <v>23</v>
      </c>
      <c r="M135" s="18"/>
    </row>
    <row r="136" spans="2:13">
      <c r="B136" s="4">
        <v>48</v>
      </c>
      <c r="C136" s="5" t="s">
        <v>2</v>
      </c>
      <c r="D136" s="1" t="s">
        <v>18</v>
      </c>
      <c r="E136" s="8" t="s">
        <v>57</v>
      </c>
      <c r="F136" s="8" t="s">
        <v>60</v>
      </c>
      <c r="G136" s="8" t="s">
        <v>61</v>
      </c>
      <c r="H136" s="8">
        <v>88149</v>
      </c>
      <c r="I136" s="8">
        <v>3624031</v>
      </c>
      <c r="J136" s="15">
        <v>44071</v>
      </c>
      <c r="K136" s="16" t="s">
        <v>22</v>
      </c>
      <c r="L136" s="17" t="s">
        <v>23</v>
      </c>
      <c r="M136" s="18"/>
    </row>
    <row r="137" spans="2:13">
      <c r="B137" s="4">
        <v>48</v>
      </c>
      <c r="C137" s="5" t="s">
        <v>2</v>
      </c>
      <c r="D137" s="1" t="s">
        <v>18</v>
      </c>
      <c r="E137" s="8" t="s">
        <v>57</v>
      </c>
      <c r="F137" s="8" t="s">
        <v>79</v>
      </c>
      <c r="G137" s="8" t="s">
        <v>80</v>
      </c>
      <c r="H137" s="8">
        <v>88148</v>
      </c>
      <c r="I137" s="8">
        <v>3624029</v>
      </c>
      <c r="J137" s="15">
        <v>44071</v>
      </c>
      <c r="K137" s="16" t="s">
        <v>22</v>
      </c>
      <c r="L137" s="17" t="s">
        <v>23</v>
      </c>
      <c r="M137" s="18"/>
    </row>
    <row r="138" spans="2:13">
      <c r="B138" s="4">
        <v>48</v>
      </c>
      <c r="C138" s="5" t="s">
        <v>2</v>
      </c>
      <c r="D138" s="1" t="s">
        <v>18</v>
      </c>
      <c r="E138" s="8" t="s">
        <v>57</v>
      </c>
      <c r="F138" s="8" t="s">
        <v>58</v>
      </c>
      <c r="G138" s="8" t="s">
        <v>59</v>
      </c>
      <c r="H138" s="8">
        <v>81902</v>
      </c>
      <c r="I138" s="8">
        <v>2102074</v>
      </c>
      <c r="J138" s="15">
        <v>44071</v>
      </c>
      <c r="K138" s="16" t="s">
        <v>22</v>
      </c>
      <c r="L138" s="17" t="s">
        <v>23</v>
      </c>
      <c r="M138" s="18"/>
    </row>
    <row r="139" spans="2:13">
      <c r="B139" s="4">
        <v>48</v>
      </c>
      <c r="C139" s="5" t="s">
        <v>2</v>
      </c>
      <c r="D139" s="1" t="s">
        <v>18</v>
      </c>
      <c r="E139" s="8" t="s">
        <v>19</v>
      </c>
      <c r="F139" s="8" t="s">
        <v>24</v>
      </c>
      <c r="G139" s="8" t="s">
        <v>25</v>
      </c>
      <c r="H139" s="8">
        <v>88360</v>
      </c>
      <c r="I139" s="8">
        <v>3667100</v>
      </c>
      <c r="J139" s="15">
        <v>44071</v>
      </c>
      <c r="K139" s="16" t="s">
        <v>22</v>
      </c>
      <c r="L139" s="17" t="s">
        <v>23</v>
      </c>
      <c r="M139" s="18"/>
    </row>
    <row r="140" spans="2:13">
      <c r="B140" s="4">
        <v>48</v>
      </c>
      <c r="C140" s="5" t="s">
        <v>2</v>
      </c>
      <c r="D140" s="1" t="s">
        <v>18</v>
      </c>
      <c r="E140" s="8" t="s">
        <v>19</v>
      </c>
      <c r="F140" s="8" t="s">
        <v>24</v>
      </c>
      <c r="G140" s="8" t="s">
        <v>25</v>
      </c>
      <c r="H140" s="8">
        <v>88360</v>
      </c>
      <c r="I140" s="8">
        <v>3667100</v>
      </c>
      <c r="J140" s="15">
        <v>44071</v>
      </c>
      <c r="K140" s="16" t="s">
        <v>22</v>
      </c>
      <c r="L140" s="17" t="s">
        <v>26</v>
      </c>
      <c r="M140" s="18"/>
    </row>
    <row r="141" spans="2:13">
      <c r="B141" s="4">
        <v>48</v>
      </c>
      <c r="C141" s="5" t="s">
        <v>2</v>
      </c>
      <c r="D141" s="1" t="s">
        <v>32</v>
      </c>
      <c r="E141" s="8" t="s">
        <v>33</v>
      </c>
      <c r="F141" s="8" t="s">
        <v>34</v>
      </c>
      <c r="G141" s="8" t="s">
        <v>35</v>
      </c>
      <c r="H141" s="8">
        <v>87670</v>
      </c>
      <c r="I141" s="8">
        <v>3525831</v>
      </c>
      <c r="J141" s="15">
        <v>44071</v>
      </c>
      <c r="K141" s="16" t="s">
        <v>22</v>
      </c>
      <c r="L141" s="17" t="s">
        <v>26</v>
      </c>
      <c r="M141" s="18"/>
    </row>
    <row r="142" spans="2:13">
      <c r="B142" s="4">
        <v>48</v>
      </c>
      <c r="C142" s="5" t="s">
        <v>2</v>
      </c>
      <c r="D142" s="1" t="s">
        <v>32</v>
      </c>
      <c r="E142" s="8" t="s">
        <v>33</v>
      </c>
      <c r="F142" s="8" t="s">
        <v>62</v>
      </c>
      <c r="G142" s="8" t="s">
        <v>63</v>
      </c>
      <c r="H142" s="8">
        <v>60260</v>
      </c>
      <c r="I142" s="8">
        <v>433236</v>
      </c>
      <c r="J142" s="15">
        <v>44071</v>
      </c>
      <c r="K142" s="16" t="s">
        <v>22</v>
      </c>
      <c r="L142" s="17" t="s">
        <v>26</v>
      </c>
      <c r="M142" s="18"/>
    </row>
    <row r="143" spans="2:13">
      <c r="B143" s="4">
        <v>48</v>
      </c>
      <c r="C143" s="5" t="s">
        <v>2</v>
      </c>
      <c r="D143" s="1" t="s">
        <v>32</v>
      </c>
      <c r="E143" s="8" t="s">
        <v>53</v>
      </c>
      <c r="F143" s="8" t="s">
        <v>54</v>
      </c>
      <c r="G143" s="8" t="s">
        <v>55</v>
      </c>
      <c r="H143" s="8">
        <v>86283</v>
      </c>
      <c r="I143" s="8">
        <v>3133256</v>
      </c>
      <c r="J143" s="15">
        <v>44071</v>
      </c>
      <c r="K143" s="16" t="s">
        <v>22</v>
      </c>
      <c r="L143" s="17" t="s">
        <v>26</v>
      </c>
      <c r="M143" s="18"/>
    </row>
    <row r="144" spans="2:13">
      <c r="B144" s="4">
        <v>48</v>
      </c>
      <c r="C144" s="5" t="s">
        <v>2</v>
      </c>
      <c r="D144" s="1" t="s">
        <v>18</v>
      </c>
      <c r="E144" s="8" t="s">
        <v>57</v>
      </c>
      <c r="F144" s="8" t="s">
        <v>58</v>
      </c>
      <c r="G144" s="8" t="s">
        <v>59</v>
      </c>
      <c r="H144" s="8">
        <v>81902</v>
      </c>
      <c r="I144" s="8">
        <v>2102074</v>
      </c>
      <c r="J144" s="15">
        <v>44071</v>
      </c>
      <c r="K144" s="16" t="s">
        <v>22</v>
      </c>
      <c r="L144" s="17" t="s">
        <v>26</v>
      </c>
      <c r="M144" s="18"/>
    </row>
    <row r="145" spans="2:13">
      <c r="B145" s="4">
        <v>48</v>
      </c>
      <c r="C145" s="5" t="s">
        <v>2</v>
      </c>
      <c r="D145" s="1" t="s">
        <v>18</v>
      </c>
      <c r="E145" s="8" t="s">
        <v>57</v>
      </c>
      <c r="F145" s="8" t="s">
        <v>67</v>
      </c>
      <c r="G145" s="8" t="s">
        <v>68</v>
      </c>
      <c r="H145" s="8">
        <v>83904</v>
      </c>
      <c r="I145" s="8">
        <v>2657802</v>
      </c>
      <c r="J145" s="15">
        <v>44071</v>
      </c>
      <c r="K145" s="16" t="s">
        <v>22</v>
      </c>
      <c r="L145" s="17" t="s">
        <v>26</v>
      </c>
      <c r="M145" s="18"/>
    </row>
    <row r="146" spans="2:13">
      <c r="B146" s="4">
        <v>48</v>
      </c>
      <c r="C146" s="5" t="s">
        <v>2</v>
      </c>
      <c r="D146" s="1" t="s">
        <v>18</v>
      </c>
      <c r="E146" s="8" t="s">
        <v>64</v>
      </c>
      <c r="F146" s="8" t="s">
        <v>73</v>
      </c>
      <c r="G146" s="8" t="s">
        <v>74</v>
      </c>
      <c r="H146" s="8">
        <v>86339</v>
      </c>
      <c r="I146" s="8">
        <v>3138527</v>
      </c>
      <c r="J146" s="15">
        <v>44071</v>
      </c>
      <c r="K146" s="16" t="s">
        <v>22</v>
      </c>
      <c r="L146" s="17" t="s">
        <v>26</v>
      </c>
      <c r="M146" s="18"/>
    </row>
    <row r="147" spans="2:13">
      <c r="B147" s="4">
        <v>48</v>
      </c>
      <c r="C147" s="5" t="s">
        <v>2</v>
      </c>
      <c r="D147" s="9" t="s">
        <v>32</v>
      </c>
      <c r="E147" s="10" t="s">
        <v>33</v>
      </c>
      <c r="F147" s="10" t="s">
        <v>75</v>
      </c>
      <c r="G147" s="10" t="s">
        <v>76</v>
      </c>
      <c r="H147" s="10">
        <v>88034</v>
      </c>
      <c r="I147" s="10">
        <v>3553109</v>
      </c>
      <c r="J147" s="15">
        <v>44071</v>
      </c>
      <c r="K147" s="16" t="s">
        <v>22</v>
      </c>
      <c r="L147" s="17" t="s">
        <v>26</v>
      </c>
      <c r="M147" s="18"/>
    </row>
    <row r="148" spans="2:13">
      <c r="B148" s="4">
        <v>48</v>
      </c>
      <c r="C148" s="5" t="s">
        <v>2</v>
      </c>
      <c r="D148" s="1" t="s">
        <v>28</v>
      </c>
      <c r="E148" s="8" t="s">
        <v>29</v>
      </c>
      <c r="F148" s="8" t="s">
        <v>30</v>
      </c>
      <c r="G148" s="8" t="s">
        <v>31</v>
      </c>
      <c r="H148" s="8">
        <v>87045</v>
      </c>
      <c r="I148" s="8">
        <v>3409666</v>
      </c>
      <c r="J148" s="15">
        <v>44071</v>
      </c>
      <c r="K148" s="16" t="s">
        <v>22</v>
      </c>
      <c r="L148" s="17" t="s">
        <v>27</v>
      </c>
      <c r="M148" s="18"/>
    </row>
    <row r="149" spans="2:13">
      <c r="B149" s="4">
        <v>48</v>
      </c>
      <c r="C149" s="5" t="s">
        <v>2</v>
      </c>
      <c r="D149" s="1" t="s">
        <v>32</v>
      </c>
      <c r="E149" s="8" t="s">
        <v>33</v>
      </c>
      <c r="F149" s="8" t="s">
        <v>34</v>
      </c>
      <c r="G149" s="8" t="s">
        <v>35</v>
      </c>
      <c r="H149" s="8">
        <v>87670</v>
      </c>
      <c r="I149" s="8">
        <v>3525831</v>
      </c>
      <c r="J149" s="15">
        <v>44071</v>
      </c>
      <c r="K149" s="16" t="s">
        <v>22</v>
      </c>
      <c r="L149" s="17" t="s">
        <v>27</v>
      </c>
      <c r="M149" s="18"/>
    </row>
    <row r="150" spans="2:13">
      <c r="B150" s="4">
        <v>48</v>
      </c>
      <c r="C150" s="5" t="s">
        <v>2</v>
      </c>
      <c r="D150" s="1" t="s">
        <v>18</v>
      </c>
      <c r="E150" s="8" t="s">
        <v>64</v>
      </c>
      <c r="F150" s="8" t="s">
        <v>73</v>
      </c>
      <c r="G150" s="8" t="s">
        <v>74</v>
      </c>
      <c r="H150" s="8">
        <v>86339</v>
      </c>
      <c r="I150" s="8">
        <v>3138527</v>
      </c>
      <c r="J150" s="15">
        <v>44071</v>
      </c>
      <c r="K150" s="16" t="s">
        <v>22</v>
      </c>
      <c r="L150" s="17" t="s">
        <v>27</v>
      </c>
      <c r="M150" s="18"/>
    </row>
    <row r="151" spans="2:13">
      <c r="B151" s="4">
        <v>48</v>
      </c>
      <c r="C151" s="5" t="s">
        <v>2</v>
      </c>
      <c r="D151" s="1" t="s">
        <v>18</v>
      </c>
      <c r="E151" s="8" t="s">
        <v>64</v>
      </c>
      <c r="F151" s="8" t="s">
        <v>65</v>
      </c>
      <c r="G151" s="8" t="s">
        <v>66</v>
      </c>
      <c r="H151" s="8">
        <v>88168</v>
      </c>
      <c r="I151" s="8">
        <v>3624164</v>
      </c>
      <c r="J151" s="15">
        <v>44071</v>
      </c>
      <c r="K151" s="16" t="s">
        <v>22</v>
      </c>
      <c r="L151" s="17" t="s">
        <v>27</v>
      </c>
      <c r="M151" s="18"/>
    </row>
    <row r="152" spans="2:13">
      <c r="B152" s="4">
        <v>48</v>
      </c>
      <c r="C152" s="5" t="s">
        <v>2</v>
      </c>
      <c r="D152" s="1"/>
      <c r="E152" s="8"/>
      <c r="F152" s="8"/>
      <c r="G152" s="8"/>
      <c r="H152" s="8"/>
      <c r="I152" s="8"/>
      <c r="J152" s="15">
        <v>44071</v>
      </c>
      <c r="K152" s="16" t="s">
        <v>22</v>
      </c>
      <c r="L152" s="17" t="s">
        <v>27</v>
      </c>
      <c r="M152" s="18"/>
    </row>
    <row r="153" spans="2:13">
      <c r="B153" s="20">
        <v>48</v>
      </c>
      <c r="C153" s="21" t="s">
        <v>2</v>
      </c>
      <c r="D153" s="1" t="s">
        <v>18</v>
      </c>
      <c r="E153" s="8" t="s">
        <v>57</v>
      </c>
      <c r="F153" s="8" t="s">
        <v>67</v>
      </c>
      <c r="G153" s="8" t="s">
        <v>68</v>
      </c>
      <c r="H153" s="8">
        <v>83904</v>
      </c>
      <c r="I153" s="8">
        <v>2657802</v>
      </c>
      <c r="J153" s="22">
        <v>44071</v>
      </c>
      <c r="K153" s="23" t="s">
        <v>22</v>
      </c>
      <c r="L153" s="24" t="s">
        <v>27</v>
      </c>
      <c r="M153" s="25"/>
    </row>
    <row r="154" spans="2:13"/>
  </sheetData>
  <conditionalFormatting sqref="D1">
    <cfRule type="cellIs" dxfId="776" priority="1014" operator="equal">
      <formula>"TRANSFER"</formula>
    </cfRule>
    <cfRule type="cellIs" dxfId="775" priority="1013" operator="equal">
      <formula>"TERM"</formula>
    </cfRule>
    <cfRule type="cellIs" dxfId="774" priority="1012" operator="equal">
      <formula>"REINSTATEMENT"</formula>
    </cfRule>
    <cfRule type="cellIs" dxfId="773" priority="1011" operator="equal">
      <formula>"PROMOTED"</formula>
    </cfRule>
    <cfRule type="cellIs" dxfId="772" priority="1010" operator="equal">
      <formula>"PENDING TERM"</formula>
    </cfRule>
    <cfRule type="cellIs" dxfId="771" priority="1009" operator="equal">
      <formula>"LOA"</formula>
    </cfRule>
  </conditionalFormatting>
  <conditionalFormatting sqref="D3">
    <cfRule type="cellIs" dxfId="770" priority="792" operator="equal">
      <formula>"LOA"</formula>
    </cfRule>
    <cfRule type="cellIs" dxfId="769" priority="793" operator="equal">
      <formula>"PENDING TERM"</formula>
    </cfRule>
    <cfRule type="cellIs" dxfId="768" priority="794" operator="equal">
      <formula>"PROMOTED"</formula>
    </cfRule>
    <cfRule type="cellIs" dxfId="767" priority="795" operator="equal">
      <formula>"REINSTATEMENT"</formula>
    </cfRule>
    <cfRule type="cellIs" dxfId="766" priority="796" operator="equal">
      <formula>"TERM"</formula>
    </cfRule>
    <cfRule type="cellIs" dxfId="765" priority="797" operator="equal">
      <formula>"TRANSFER"</formula>
    </cfRule>
  </conditionalFormatting>
  <conditionalFormatting sqref="H3">
    <cfRule type="duplicateValues" dxfId="764" priority="798"/>
  </conditionalFormatting>
  <conditionalFormatting sqref="I3">
    <cfRule type="duplicateValues" dxfId="763" priority="799"/>
    <cfRule type="duplicateValues" dxfId="762" priority="800"/>
  </conditionalFormatting>
  <conditionalFormatting sqref="D4:G4">
    <cfRule type="cellIs" dxfId="761" priority="786" operator="equal">
      <formula>"LOA"</formula>
    </cfRule>
    <cfRule type="cellIs" dxfId="760" priority="787" operator="equal">
      <formula>"PENDING TERM"</formula>
    </cfRule>
    <cfRule type="cellIs" dxfId="759" priority="788" operator="equal">
      <formula>"PROMOTED"</formula>
    </cfRule>
    <cfRule type="cellIs" dxfId="758" priority="789" operator="equal">
      <formula>"REINSTATEMENT"</formula>
    </cfRule>
    <cfRule type="cellIs" dxfId="757" priority="790" operator="equal">
      <formula>"TERM"</formula>
    </cfRule>
    <cfRule type="cellIs" dxfId="756" priority="791" operator="equal">
      <formula>"TRANSFER"</formula>
    </cfRule>
  </conditionalFormatting>
  <conditionalFormatting sqref="H4">
    <cfRule type="duplicateValues" dxfId="755" priority="783"/>
  </conditionalFormatting>
  <conditionalFormatting sqref="H4:I4">
    <cfRule type="cellIs" dxfId="754" priority="777" operator="equal">
      <formula>"LOA"</formula>
    </cfRule>
    <cfRule type="cellIs" dxfId="753" priority="778" operator="equal">
      <formula>"PENDING TERM"</formula>
    </cfRule>
    <cfRule type="cellIs" dxfId="752" priority="779" operator="equal">
      <formula>"PROMOTED"</formula>
    </cfRule>
    <cfRule type="cellIs" dxfId="751" priority="780" operator="equal">
      <formula>"REINSTATEMENT"</formula>
    </cfRule>
    <cfRule type="cellIs" dxfId="750" priority="781" operator="equal">
      <formula>"TERM"</formula>
    </cfRule>
    <cfRule type="cellIs" dxfId="749" priority="782" operator="equal">
      <formula>"TRANSFER"</formula>
    </cfRule>
  </conditionalFormatting>
  <conditionalFormatting sqref="I4">
    <cfRule type="duplicateValues" dxfId="748" priority="784"/>
    <cfRule type="duplicateValues" dxfId="747" priority="785"/>
  </conditionalFormatting>
  <conditionalFormatting sqref="D5">
    <cfRule type="cellIs" dxfId="746" priority="1294" operator="equal">
      <formula>"LOA"</formula>
    </cfRule>
    <cfRule type="cellIs" dxfId="745" priority="1295" operator="equal">
      <formula>"PENDING TERM"</formula>
    </cfRule>
    <cfRule type="cellIs" dxfId="744" priority="1296" operator="equal">
      <formula>"PROMOTED"</formula>
    </cfRule>
    <cfRule type="cellIs" dxfId="743" priority="1297" operator="equal">
      <formula>"REINSTATEMENT"</formula>
    </cfRule>
    <cfRule type="cellIs" dxfId="742" priority="1298" operator="equal">
      <formula>"TERM"</formula>
    </cfRule>
    <cfRule type="cellIs" dxfId="741" priority="1299" operator="equal">
      <formula>"TRANSFER"</formula>
    </cfRule>
  </conditionalFormatting>
  <conditionalFormatting sqref="H5">
    <cfRule type="duplicateValues" dxfId="740" priority="1300"/>
  </conditionalFormatting>
  <conditionalFormatting sqref="I5">
    <cfRule type="duplicateValues" dxfId="739" priority="1301"/>
    <cfRule type="duplicateValues" dxfId="738" priority="1302"/>
  </conditionalFormatting>
  <conditionalFormatting sqref="D6">
    <cfRule type="cellIs" dxfId="737" priority="1303" operator="equal">
      <formula>"LOA"</formula>
    </cfRule>
    <cfRule type="cellIs" dxfId="736" priority="1304" operator="equal">
      <formula>"PENDING TERM"</formula>
    </cfRule>
    <cfRule type="cellIs" dxfId="735" priority="1305" operator="equal">
      <formula>"PROMOTED"</formula>
    </cfRule>
    <cfRule type="cellIs" dxfId="734" priority="1306" operator="equal">
      <formula>"REINSTATEMENT"</formula>
    </cfRule>
    <cfRule type="cellIs" dxfId="733" priority="1307" operator="equal">
      <formula>"TERM"</formula>
    </cfRule>
    <cfRule type="cellIs" dxfId="732" priority="1308" operator="equal">
      <formula>"TRANSFER"</formula>
    </cfRule>
  </conditionalFormatting>
  <conditionalFormatting sqref="H6">
    <cfRule type="duplicateValues" dxfId="731" priority="1309"/>
  </conditionalFormatting>
  <conditionalFormatting sqref="I6">
    <cfRule type="duplicateValues" dxfId="730" priority="1310"/>
    <cfRule type="duplicateValues" dxfId="729" priority="1311"/>
  </conditionalFormatting>
  <conditionalFormatting sqref="D7:G7">
    <cfRule type="cellIs" dxfId="728" priority="1283" operator="equal">
      <formula>"TRANSFER"</formula>
    </cfRule>
    <cfRule type="cellIs" dxfId="727" priority="1282" operator="equal">
      <formula>"TERM"</formula>
    </cfRule>
    <cfRule type="cellIs" dxfId="726" priority="1281" operator="equal">
      <formula>"REINSTATEMENT"</formula>
    </cfRule>
    <cfRule type="cellIs" dxfId="725" priority="1280" operator="equal">
      <formula>"PROMOTED"</formula>
    </cfRule>
    <cfRule type="cellIs" dxfId="724" priority="1279" operator="equal">
      <formula>"PENDING TERM"</formula>
    </cfRule>
    <cfRule type="cellIs" dxfId="723" priority="1278" operator="equal">
      <formula>"LOA"</formula>
    </cfRule>
  </conditionalFormatting>
  <conditionalFormatting sqref="H7">
    <cfRule type="duplicateValues" dxfId="722" priority="1275"/>
  </conditionalFormatting>
  <conditionalFormatting sqref="H7:I7">
    <cfRule type="cellIs" dxfId="721" priority="1274" operator="equal">
      <formula>"TRANSFER"</formula>
    </cfRule>
    <cfRule type="cellIs" dxfId="720" priority="1273" operator="equal">
      <formula>"TERM"</formula>
    </cfRule>
    <cfRule type="cellIs" dxfId="719" priority="1272" operator="equal">
      <formula>"REINSTATEMENT"</formula>
    </cfRule>
    <cfRule type="cellIs" dxfId="718" priority="1271" operator="equal">
      <formula>"PROMOTED"</formula>
    </cfRule>
    <cfRule type="cellIs" dxfId="717" priority="1270" operator="equal">
      <formula>"PENDING TERM"</formula>
    </cfRule>
    <cfRule type="cellIs" dxfId="716" priority="1269" operator="equal">
      <formula>"LOA"</formula>
    </cfRule>
  </conditionalFormatting>
  <conditionalFormatting sqref="I7">
    <cfRule type="duplicateValues" dxfId="715" priority="1277"/>
    <cfRule type="duplicateValues" dxfId="714" priority="1276"/>
  </conditionalFormatting>
  <conditionalFormatting sqref="H24">
    <cfRule type="duplicateValues" dxfId="713" priority="165"/>
  </conditionalFormatting>
  <conditionalFormatting sqref="I24">
    <cfRule type="duplicateValues" dxfId="712" priority="167"/>
    <cfRule type="duplicateValues" dxfId="711" priority="166"/>
  </conditionalFormatting>
  <conditionalFormatting sqref="D31:G31">
    <cfRule type="cellIs" dxfId="710" priority="561" operator="equal">
      <formula>"TRANSFER"</formula>
    </cfRule>
    <cfRule type="cellIs" dxfId="709" priority="560" operator="equal">
      <formula>"TERM"</formula>
    </cfRule>
    <cfRule type="cellIs" dxfId="708" priority="559" operator="equal">
      <formula>"REINSTATEMENT"</formula>
    </cfRule>
    <cfRule type="cellIs" dxfId="707" priority="558" operator="equal">
      <formula>"PROMOTED"</formula>
    </cfRule>
    <cfRule type="cellIs" dxfId="706" priority="557" operator="equal">
      <formula>"PENDING TERM"</formula>
    </cfRule>
    <cfRule type="cellIs" dxfId="705" priority="556" operator="equal">
      <formula>"LOA"</formula>
    </cfRule>
  </conditionalFormatting>
  <conditionalFormatting sqref="H31">
    <cfRule type="duplicateValues" dxfId="704" priority="553"/>
    <cfRule type="duplicateValues" dxfId="703" priority="551"/>
    <cfRule type="duplicateValues" dxfId="702" priority="549"/>
  </conditionalFormatting>
  <conditionalFormatting sqref="H31:I31">
    <cfRule type="cellIs" dxfId="701" priority="548" operator="equal">
      <formula>"TRANSFER"</formula>
    </cfRule>
    <cfRule type="cellIs" dxfId="700" priority="547" operator="equal">
      <formula>"TERM"</formula>
    </cfRule>
    <cfRule type="cellIs" dxfId="699" priority="546" operator="equal">
      <formula>"REINSTATEMENT"</formula>
    </cfRule>
    <cfRule type="cellIs" dxfId="698" priority="545" operator="equal">
      <formula>"PROMOTED"</formula>
    </cfRule>
    <cfRule type="cellIs" dxfId="697" priority="544" operator="equal">
      <formula>"PENDING TERM"</formula>
    </cfRule>
    <cfRule type="cellIs" dxfId="696" priority="543" operator="equal">
      <formula>"LOA"</formula>
    </cfRule>
  </conditionalFormatting>
  <conditionalFormatting sqref="I31">
    <cfRule type="duplicateValues" dxfId="695" priority="555"/>
    <cfRule type="duplicateValues" dxfId="694" priority="554"/>
    <cfRule type="duplicateValues" dxfId="693" priority="552"/>
    <cfRule type="duplicateValues" dxfId="692" priority="550"/>
  </conditionalFormatting>
  <conditionalFormatting sqref="D32:G32">
    <cfRule type="cellIs" dxfId="691" priority="666" operator="equal">
      <formula>"TRANSFER"</formula>
    </cfRule>
    <cfRule type="cellIs" dxfId="690" priority="665" operator="equal">
      <formula>"TERM"</formula>
    </cfRule>
    <cfRule type="cellIs" dxfId="689" priority="664" operator="equal">
      <formula>"REINSTATEMENT"</formula>
    </cfRule>
    <cfRule type="cellIs" dxfId="688" priority="663" operator="equal">
      <formula>"PROMOTED"</formula>
    </cfRule>
    <cfRule type="cellIs" dxfId="687" priority="662" operator="equal">
      <formula>"PENDING TERM"</formula>
    </cfRule>
    <cfRule type="cellIs" dxfId="686" priority="661" operator="equal">
      <formula>"LOA"</formula>
    </cfRule>
  </conditionalFormatting>
  <conditionalFormatting sqref="H32">
    <cfRule type="duplicateValues" dxfId="685" priority="658"/>
  </conditionalFormatting>
  <conditionalFormatting sqref="H32:I32">
    <cfRule type="cellIs" dxfId="684" priority="657" operator="equal">
      <formula>"TRANSFER"</formula>
    </cfRule>
    <cfRule type="cellIs" dxfId="683" priority="656" operator="equal">
      <formula>"TERM"</formula>
    </cfRule>
    <cfRule type="cellIs" dxfId="682" priority="655" operator="equal">
      <formula>"REINSTATEMENT"</formula>
    </cfRule>
    <cfRule type="cellIs" dxfId="681" priority="654" operator="equal">
      <formula>"PROMOTED"</formula>
    </cfRule>
    <cfRule type="cellIs" dxfId="680" priority="653" operator="equal">
      <formula>"PENDING TERM"</formula>
    </cfRule>
    <cfRule type="cellIs" dxfId="679" priority="652" operator="equal">
      <formula>"LOA"</formula>
    </cfRule>
  </conditionalFormatting>
  <conditionalFormatting sqref="I32">
    <cfRule type="duplicateValues" dxfId="678" priority="660"/>
    <cfRule type="duplicateValues" dxfId="677" priority="659"/>
  </conditionalFormatting>
  <conditionalFormatting sqref="D36">
    <cfRule type="cellIs" dxfId="676" priority="113" operator="equal">
      <formula>"TRANSFER"</formula>
    </cfRule>
    <cfRule type="cellIs" dxfId="675" priority="112" operator="equal">
      <formula>"TERM"</formula>
    </cfRule>
    <cfRule type="cellIs" dxfId="674" priority="111" operator="equal">
      <formula>"REINSTATEMENT"</formula>
    </cfRule>
    <cfRule type="cellIs" dxfId="673" priority="110" operator="equal">
      <formula>"PROMOTED"</formula>
    </cfRule>
    <cfRule type="cellIs" dxfId="672" priority="109" operator="equal">
      <formula>"PENDING TERM"</formula>
    </cfRule>
    <cfRule type="cellIs" dxfId="671" priority="108" operator="equal">
      <formula>"LOA"</formula>
    </cfRule>
  </conditionalFormatting>
  <conditionalFormatting sqref="H36">
    <cfRule type="duplicateValues" dxfId="670" priority="116"/>
    <cfRule type="duplicateValues" dxfId="669" priority="114"/>
  </conditionalFormatting>
  <conditionalFormatting sqref="I36">
    <cfRule type="duplicateValues" dxfId="668" priority="118"/>
    <cfRule type="duplicateValues" dxfId="667" priority="117"/>
    <cfRule type="duplicateValues" dxfId="666" priority="115"/>
  </conditionalFormatting>
  <conditionalFormatting sqref="D37:G37">
    <cfRule type="cellIs" dxfId="665" priority="542" operator="equal">
      <formula>"TRANSFER"</formula>
    </cfRule>
    <cfRule type="cellIs" dxfId="664" priority="541" operator="equal">
      <formula>"TERM"</formula>
    </cfRule>
    <cfRule type="cellIs" dxfId="663" priority="540" operator="equal">
      <formula>"REINSTATEMENT"</formula>
    </cfRule>
    <cfRule type="cellIs" dxfId="662" priority="539" operator="equal">
      <formula>"PROMOTED"</formula>
    </cfRule>
    <cfRule type="cellIs" dxfId="661" priority="538" operator="equal">
      <formula>"PENDING TERM"</formula>
    </cfRule>
    <cfRule type="cellIs" dxfId="660" priority="537" operator="equal">
      <formula>"LOA"</formula>
    </cfRule>
  </conditionalFormatting>
  <conditionalFormatting sqref="H37">
    <cfRule type="duplicateValues" dxfId="659" priority="534"/>
    <cfRule type="duplicateValues" dxfId="658" priority="532"/>
    <cfRule type="duplicateValues" dxfId="657" priority="530"/>
  </conditionalFormatting>
  <conditionalFormatting sqref="H37:I37">
    <cfRule type="cellIs" dxfId="656" priority="529" operator="equal">
      <formula>"TRANSFER"</formula>
    </cfRule>
    <cfRule type="cellIs" dxfId="655" priority="528" operator="equal">
      <formula>"TERM"</formula>
    </cfRule>
    <cfRule type="cellIs" dxfId="654" priority="527" operator="equal">
      <formula>"REINSTATEMENT"</formula>
    </cfRule>
    <cfRule type="cellIs" dxfId="653" priority="526" operator="equal">
      <formula>"PROMOTED"</formula>
    </cfRule>
    <cfRule type="cellIs" dxfId="652" priority="525" operator="equal">
      <formula>"PENDING TERM"</formula>
    </cfRule>
    <cfRule type="cellIs" dxfId="651" priority="524" operator="equal">
      <formula>"LOA"</formula>
    </cfRule>
  </conditionalFormatting>
  <conditionalFormatting sqref="I37">
    <cfRule type="duplicateValues" dxfId="650" priority="536"/>
    <cfRule type="duplicateValues" dxfId="649" priority="535"/>
    <cfRule type="duplicateValues" dxfId="648" priority="533"/>
    <cfRule type="duplicateValues" dxfId="647" priority="531"/>
  </conditionalFormatting>
  <conditionalFormatting sqref="D38:G38">
    <cfRule type="cellIs" dxfId="646" priority="651" operator="equal">
      <formula>"TRANSFER"</formula>
    </cfRule>
    <cfRule type="cellIs" dxfId="645" priority="650" operator="equal">
      <formula>"TERM"</formula>
    </cfRule>
    <cfRule type="cellIs" dxfId="644" priority="649" operator="equal">
      <formula>"REINSTATEMENT"</formula>
    </cfRule>
    <cfRule type="cellIs" dxfId="643" priority="648" operator="equal">
      <formula>"PROMOTED"</formula>
    </cfRule>
    <cfRule type="cellIs" dxfId="642" priority="647" operator="equal">
      <formula>"PENDING TERM"</formula>
    </cfRule>
    <cfRule type="cellIs" dxfId="641" priority="646" operator="equal">
      <formula>"LOA"</formula>
    </cfRule>
  </conditionalFormatting>
  <conditionalFormatting sqref="H38">
    <cfRule type="duplicateValues" dxfId="640" priority="643"/>
  </conditionalFormatting>
  <conditionalFormatting sqref="H38:I38">
    <cfRule type="cellIs" dxfId="639" priority="642" operator="equal">
      <formula>"TRANSFER"</formula>
    </cfRule>
    <cfRule type="cellIs" dxfId="638" priority="641" operator="equal">
      <formula>"TERM"</formula>
    </cfRule>
    <cfRule type="cellIs" dxfId="637" priority="640" operator="equal">
      <formula>"REINSTATEMENT"</formula>
    </cfRule>
    <cfRule type="cellIs" dxfId="636" priority="639" operator="equal">
      <formula>"PROMOTED"</formula>
    </cfRule>
    <cfRule type="cellIs" dxfId="635" priority="638" operator="equal">
      <formula>"PENDING TERM"</formula>
    </cfRule>
    <cfRule type="cellIs" dxfId="634" priority="637" operator="equal">
      <formula>"LOA"</formula>
    </cfRule>
  </conditionalFormatting>
  <conditionalFormatting sqref="I38">
    <cfRule type="duplicateValues" dxfId="633" priority="645"/>
    <cfRule type="duplicateValues" dxfId="632" priority="644"/>
  </conditionalFormatting>
  <conditionalFormatting sqref="D40:G40">
    <cfRule type="cellIs" dxfId="631" priority="390" operator="equal">
      <formula>"TRANSFER"</formula>
    </cfRule>
    <cfRule type="cellIs" dxfId="630" priority="389" operator="equal">
      <formula>"TERM"</formula>
    </cfRule>
    <cfRule type="cellIs" dxfId="629" priority="388" operator="equal">
      <formula>"REINSTATEMENT"</formula>
    </cfRule>
    <cfRule type="cellIs" dxfId="628" priority="387" operator="equal">
      <formula>"PROMOTED"</formula>
    </cfRule>
    <cfRule type="cellIs" dxfId="627" priority="386" operator="equal">
      <formula>"PENDING TERM"</formula>
    </cfRule>
    <cfRule type="cellIs" dxfId="626" priority="385" operator="equal">
      <formula>"LOA"</formula>
    </cfRule>
  </conditionalFormatting>
  <conditionalFormatting sqref="H40">
    <cfRule type="duplicateValues" dxfId="625" priority="382"/>
  </conditionalFormatting>
  <conditionalFormatting sqref="H40:I40">
    <cfRule type="cellIs" dxfId="624" priority="381" operator="equal">
      <formula>"TRANSFER"</formula>
    </cfRule>
    <cfRule type="cellIs" dxfId="623" priority="380" operator="equal">
      <formula>"TERM"</formula>
    </cfRule>
    <cfRule type="cellIs" dxfId="622" priority="379" operator="equal">
      <formula>"REINSTATEMENT"</formula>
    </cfRule>
    <cfRule type="cellIs" dxfId="621" priority="378" operator="equal">
      <formula>"PROMOTED"</formula>
    </cfRule>
    <cfRule type="cellIs" dxfId="620" priority="377" operator="equal">
      <formula>"PENDING TERM"</formula>
    </cfRule>
    <cfRule type="cellIs" dxfId="619" priority="376" operator="equal">
      <formula>"LOA"</formula>
    </cfRule>
  </conditionalFormatting>
  <conditionalFormatting sqref="I40">
    <cfRule type="duplicateValues" dxfId="618" priority="384"/>
    <cfRule type="duplicateValues" dxfId="617" priority="383"/>
  </conditionalFormatting>
  <conditionalFormatting sqref="D50:G50">
    <cfRule type="cellIs" dxfId="616" priority="523" operator="equal">
      <formula>"TRANSFER"</formula>
    </cfRule>
    <cfRule type="cellIs" dxfId="615" priority="522" operator="equal">
      <formula>"TERM"</formula>
    </cfRule>
    <cfRule type="cellIs" dxfId="614" priority="521" operator="equal">
      <formula>"REINSTATEMENT"</formula>
    </cfRule>
    <cfRule type="cellIs" dxfId="613" priority="520" operator="equal">
      <formula>"PROMOTED"</formula>
    </cfRule>
    <cfRule type="cellIs" dxfId="612" priority="519" operator="equal">
      <formula>"PENDING TERM"</formula>
    </cfRule>
    <cfRule type="cellIs" dxfId="611" priority="518" operator="equal">
      <formula>"LOA"</formula>
    </cfRule>
  </conditionalFormatting>
  <conditionalFormatting sqref="H50">
    <cfRule type="duplicateValues" dxfId="610" priority="515"/>
    <cfRule type="duplicateValues" dxfId="609" priority="513"/>
    <cfRule type="duplicateValues" dxfId="608" priority="511"/>
  </conditionalFormatting>
  <conditionalFormatting sqref="H50:I50">
    <cfRule type="cellIs" dxfId="607" priority="510" operator="equal">
      <formula>"TRANSFER"</formula>
    </cfRule>
    <cfRule type="cellIs" dxfId="606" priority="509" operator="equal">
      <formula>"TERM"</formula>
    </cfRule>
    <cfRule type="cellIs" dxfId="605" priority="508" operator="equal">
      <formula>"REINSTATEMENT"</formula>
    </cfRule>
    <cfRule type="cellIs" dxfId="604" priority="507" operator="equal">
      <formula>"PROMOTED"</formula>
    </cfRule>
    <cfRule type="cellIs" dxfId="603" priority="506" operator="equal">
      <formula>"PENDING TERM"</formula>
    </cfRule>
    <cfRule type="cellIs" dxfId="602" priority="505" operator="equal">
      <formula>"LOA"</formula>
    </cfRule>
  </conditionalFormatting>
  <conditionalFormatting sqref="I50">
    <cfRule type="duplicateValues" dxfId="601" priority="517"/>
    <cfRule type="duplicateValues" dxfId="600" priority="516"/>
    <cfRule type="duplicateValues" dxfId="599" priority="514"/>
    <cfRule type="duplicateValues" dxfId="598" priority="512"/>
  </conditionalFormatting>
  <conditionalFormatting sqref="D51:G51">
    <cfRule type="cellIs" dxfId="597" priority="360" operator="equal">
      <formula>"TRANSFER"</formula>
    </cfRule>
    <cfRule type="cellIs" dxfId="596" priority="359" operator="equal">
      <formula>"TERM"</formula>
    </cfRule>
    <cfRule type="cellIs" dxfId="595" priority="358" operator="equal">
      <formula>"REINSTATEMENT"</formula>
    </cfRule>
    <cfRule type="cellIs" dxfId="594" priority="357" operator="equal">
      <formula>"PROMOTED"</formula>
    </cfRule>
    <cfRule type="cellIs" dxfId="593" priority="356" operator="equal">
      <formula>"PENDING TERM"</formula>
    </cfRule>
    <cfRule type="cellIs" dxfId="592" priority="355" operator="equal">
      <formula>"LOA"</formula>
    </cfRule>
  </conditionalFormatting>
  <conditionalFormatting sqref="H51">
    <cfRule type="duplicateValues" dxfId="591" priority="352"/>
  </conditionalFormatting>
  <conditionalFormatting sqref="H51:I51">
    <cfRule type="cellIs" dxfId="590" priority="351" operator="equal">
      <formula>"TRANSFER"</formula>
    </cfRule>
    <cfRule type="cellIs" dxfId="589" priority="350" operator="equal">
      <formula>"TERM"</formula>
    </cfRule>
    <cfRule type="cellIs" dxfId="588" priority="349" operator="equal">
      <formula>"REINSTATEMENT"</formula>
    </cfRule>
    <cfRule type="cellIs" dxfId="587" priority="348" operator="equal">
      <formula>"PROMOTED"</formula>
    </cfRule>
    <cfRule type="cellIs" dxfId="586" priority="347" operator="equal">
      <formula>"PENDING TERM"</formula>
    </cfRule>
    <cfRule type="cellIs" dxfId="585" priority="346" operator="equal">
      <formula>"LOA"</formula>
    </cfRule>
  </conditionalFormatting>
  <conditionalFormatting sqref="I51">
    <cfRule type="duplicateValues" dxfId="584" priority="354"/>
    <cfRule type="duplicateValues" dxfId="583" priority="353"/>
  </conditionalFormatting>
  <conditionalFormatting sqref="D52">
    <cfRule type="cellIs" dxfId="582" priority="228" operator="equal">
      <formula>"TRANSFER"</formula>
    </cfRule>
    <cfRule type="cellIs" dxfId="581" priority="227" operator="equal">
      <formula>"TERM"</formula>
    </cfRule>
    <cfRule type="cellIs" dxfId="580" priority="226" operator="equal">
      <formula>"REINSTATEMENT"</formula>
    </cfRule>
    <cfRule type="cellIs" dxfId="579" priority="225" operator="equal">
      <formula>"PROMOTED"</formula>
    </cfRule>
    <cfRule type="cellIs" dxfId="578" priority="224" operator="equal">
      <formula>"PENDING TERM"</formula>
    </cfRule>
    <cfRule type="cellIs" dxfId="577" priority="223" operator="equal">
      <formula>"LOA"</formula>
    </cfRule>
  </conditionalFormatting>
  <conditionalFormatting sqref="H52">
    <cfRule type="duplicateValues" dxfId="576" priority="231"/>
    <cfRule type="duplicateValues" dxfId="575" priority="229"/>
  </conditionalFormatting>
  <conditionalFormatting sqref="I52">
    <cfRule type="duplicateValues" dxfId="574" priority="233"/>
    <cfRule type="duplicateValues" dxfId="573" priority="232"/>
    <cfRule type="duplicateValues" dxfId="572" priority="230"/>
  </conditionalFormatting>
  <conditionalFormatting sqref="D57:G57">
    <cfRule type="cellIs" dxfId="571" priority="375" operator="equal">
      <formula>"TRANSFER"</formula>
    </cfRule>
    <cfRule type="cellIs" dxfId="570" priority="374" operator="equal">
      <formula>"TERM"</formula>
    </cfRule>
    <cfRule type="cellIs" dxfId="569" priority="373" operator="equal">
      <formula>"REINSTATEMENT"</formula>
    </cfRule>
    <cfRule type="cellIs" dxfId="568" priority="372" operator="equal">
      <formula>"PROMOTED"</formula>
    </cfRule>
    <cfRule type="cellIs" dxfId="567" priority="371" operator="equal">
      <formula>"PENDING TERM"</formula>
    </cfRule>
    <cfRule type="cellIs" dxfId="566" priority="370" operator="equal">
      <formula>"LOA"</formula>
    </cfRule>
  </conditionalFormatting>
  <conditionalFormatting sqref="H57">
    <cfRule type="duplicateValues" dxfId="565" priority="367"/>
  </conditionalFormatting>
  <conditionalFormatting sqref="H57:I57">
    <cfRule type="cellIs" dxfId="564" priority="366" operator="equal">
      <formula>"TRANSFER"</formula>
    </cfRule>
    <cfRule type="cellIs" dxfId="563" priority="365" operator="equal">
      <formula>"TERM"</formula>
    </cfRule>
    <cfRule type="cellIs" dxfId="562" priority="364" operator="equal">
      <formula>"REINSTATEMENT"</formula>
    </cfRule>
    <cfRule type="cellIs" dxfId="561" priority="363" operator="equal">
      <formula>"PROMOTED"</formula>
    </cfRule>
    <cfRule type="cellIs" dxfId="560" priority="362" operator="equal">
      <formula>"PENDING TERM"</formula>
    </cfRule>
    <cfRule type="cellIs" dxfId="559" priority="361" operator="equal">
      <formula>"LOA"</formula>
    </cfRule>
  </conditionalFormatting>
  <conditionalFormatting sqref="I57">
    <cfRule type="duplicateValues" dxfId="558" priority="369"/>
    <cfRule type="duplicateValues" dxfId="557" priority="368"/>
  </conditionalFormatting>
  <conditionalFormatting sqref="D58">
    <cfRule type="cellIs" dxfId="556" priority="217" operator="equal">
      <formula>"TRANSFER"</formula>
    </cfRule>
    <cfRule type="cellIs" dxfId="555" priority="216" operator="equal">
      <formula>"TERM"</formula>
    </cfRule>
    <cfRule type="cellIs" dxfId="554" priority="215" operator="equal">
      <formula>"REINSTATEMENT"</formula>
    </cfRule>
    <cfRule type="cellIs" dxfId="553" priority="214" operator="equal">
      <formula>"PROMOTED"</formula>
    </cfRule>
    <cfRule type="cellIs" dxfId="552" priority="213" operator="equal">
      <formula>"PENDING TERM"</formula>
    </cfRule>
    <cfRule type="cellIs" dxfId="551" priority="212" operator="equal">
      <formula>"LOA"</formula>
    </cfRule>
  </conditionalFormatting>
  <conditionalFormatting sqref="H58">
    <cfRule type="duplicateValues" dxfId="550" priority="220"/>
    <cfRule type="duplicateValues" dxfId="549" priority="218"/>
  </conditionalFormatting>
  <conditionalFormatting sqref="I58">
    <cfRule type="duplicateValues" dxfId="548" priority="222"/>
    <cfRule type="duplicateValues" dxfId="547" priority="221"/>
    <cfRule type="duplicateValues" dxfId="546" priority="219"/>
  </conditionalFormatting>
  <conditionalFormatting sqref="D59:G59">
    <cfRule type="cellIs" dxfId="545" priority="85" operator="equal">
      <formula>"TRANSFER"</formula>
    </cfRule>
    <cfRule type="cellIs" dxfId="544" priority="84" operator="equal">
      <formula>"TERM"</formula>
    </cfRule>
    <cfRule type="cellIs" dxfId="543" priority="83" operator="equal">
      <formula>"REINSTATEMENT"</formula>
    </cfRule>
    <cfRule type="cellIs" dxfId="542" priority="82" operator="equal">
      <formula>"PROMOTED"</formula>
    </cfRule>
    <cfRule type="cellIs" dxfId="541" priority="81" operator="equal">
      <formula>"PENDING TERM"</formula>
    </cfRule>
    <cfRule type="cellIs" dxfId="540" priority="80" operator="equal">
      <formula>"LOA"</formula>
    </cfRule>
  </conditionalFormatting>
  <conditionalFormatting sqref="H59">
    <cfRule type="duplicateValues" dxfId="539" priority="77"/>
  </conditionalFormatting>
  <conditionalFormatting sqref="H59:I59">
    <cfRule type="cellIs" dxfId="538" priority="76" operator="equal">
      <formula>"TRANSFER"</formula>
    </cfRule>
    <cfRule type="cellIs" dxfId="537" priority="75" operator="equal">
      <formula>"TERM"</formula>
    </cfRule>
    <cfRule type="cellIs" dxfId="536" priority="74" operator="equal">
      <formula>"REINSTATEMENT"</formula>
    </cfRule>
    <cfRule type="cellIs" dxfId="535" priority="73" operator="equal">
      <formula>"PROMOTED"</formula>
    </cfRule>
    <cfRule type="cellIs" dxfId="534" priority="72" operator="equal">
      <formula>"PENDING TERM"</formula>
    </cfRule>
    <cfRule type="cellIs" dxfId="533" priority="71" operator="equal">
      <formula>"LOA"</formula>
    </cfRule>
  </conditionalFormatting>
  <conditionalFormatting sqref="I59">
    <cfRule type="duplicateValues" dxfId="532" priority="79"/>
    <cfRule type="duplicateValues" dxfId="531" priority="78"/>
  </conditionalFormatting>
  <conditionalFormatting sqref="D60">
    <cfRule type="cellIs" dxfId="530" priority="135" operator="equal">
      <formula>"TRANSFER"</formula>
    </cfRule>
    <cfRule type="cellIs" dxfId="529" priority="134" operator="equal">
      <formula>"TERM"</formula>
    </cfRule>
    <cfRule type="cellIs" dxfId="528" priority="133" operator="equal">
      <formula>"REINSTATEMENT"</formula>
    </cfRule>
    <cfRule type="cellIs" dxfId="527" priority="132" operator="equal">
      <formula>"PROMOTED"</formula>
    </cfRule>
    <cfRule type="cellIs" dxfId="526" priority="131" operator="equal">
      <formula>"PENDING TERM"</formula>
    </cfRule>
    <cfRule type="cellIs" dxfId="525" priority="130" operator="equal">
      <formula>"LOA"</formula>
    </cfRule>
  </conditionalFormatting>
  <conditionalFormatting sqref="H60">
    <cfRule type="duplicateValues" dxfId="524" priority="138"/>
    <cfRule type="duplicateValues" dxfId="523" priority="136"/>
  </conditionalFormatting>
  <conditionalFormatting sqref="I60">
    <cfRule type="duplicateValues" dxfId="522" priority="140"/>
    <cfRule type="duplicateValues" dxfId="521" priority="139"/>
    <cfRule type="duplicateValues" dxfId="520" priority="137"/>
  </conditionalFormatting>
  <conditionalFormatting sqref="D78:I78">
    <cfRule type="cellIs" dxfId="519" priority="735" operator="equal">
      <formula>"LOA"</formula>
    </cfRule>
    <cfRule type="cellIs" dxfId="518" priority="736" operator="equal">
      <formula>"PENDING TERM"</formula>
    </cfRule>
    <cfRule type="cellIs" dxfId="517" priority="737" operator="equal">
      <formula>"PROMOTED"</formula>
    </cfRule>
    <cfRule type="cellIs" dxfId="516" priority="738" operator="equal">
      <formula>"REINSTATEMENT"</formula>
    </cfRule>
    <cfRule type="cellIs" dxfId="515" priority="739" operator="equal">
      <formula>"TERM"</formula>
    </cfRule>
    <cfRule type="cellIs" dxfId="514" priority="740" operator="equal">
      <formula>"TRANSFER"</formula>
    </cfRule>
  </conditionalFormatting>
  <conditionalFormatting sqref="H78">
    <cfRule type="duplicateValues" dxfId="513" priority="741"/>
  </conditionalFormatting>
  <conditionalFormatting sqref="I78">
    <cfRule type="duplicateValues" dxfId="512" priority="742"/>
    <cfRule type="duplicateValues" dxfId="511" priority="743"/>
  </conditionalFormatting>
  <conditionalFormatting sqref="H79">
    <cfRule type="duplicateValues" dxfId="510" priority="156"/>
  </conditionalFormatting>
  <conditionalFormatting sqref="I79">
    <cfRule type="duplicateValues" dxfId="509" priority="158"/>
    <cfRule type="duplicateValues" dxfId="508" priority="157"/>
  </conditionalFormatting>
  <conditionalFormatting sqref="D80:G80">
    <cfRule type="cellIs" dxfId="507" priority="636" operator="equal">
      <formula>"TRANSFER"</formula>
    </cfRule>
    <cfRule type="cellIs" dxfId="506" priority="635" operator="equal">
      <formula>"TERM"</formula>
    </cfRule>
    <cfRule type="cellIs" dxfId="505" priority="634" operator="equal">
      <formula>"REINSTATEMENT"</formula>
    </cfRule>
    <cfRule type="cellIs" dxfId="504" priority="633" operator="equal">
      <formula>"PROMOTED"</formula>
    </cfRule>
    <cfRule type="cellIs" dxfId="503" priority="632" operator="equal">
      <formula>"PENDING TERM"</formula>
    </cfRule>
    <cfRule type="cellIs" dxfId="502" priority="631" operator="equal">
      <formula>"LOA"</formula>
    </cfRule>
  </conditionalFormatting>
  <conditionalFormatting sqref="H80">
    <cfRule type="duplicateValues" dxfId="501" priority="628"/>
  </conditionalFormatting>
  <conditionalFormatting sqref="H80:I80">
    <cfRule type="cellIs" dxfId="500" priority="627" operator="equal">
      <formula>"TRANSFER"</formula>
    </cfRule>
    <cfRule type="cellIs" dxfId="499" priority="626" operator="equal">
      <formula>"TERM"</formula>
    </cfRule>
    <cfRule type="cellIs" dxfId="498" priority="625" operator="equal">
      <formula>"REINSTATEMENT"</formula>
    </cfRule>
    <cfRule type="cellIs" dxfId="497" priority="624" operator="equal">
      <formula>"PROMOTED"</formula>
    </cfRule>
    <cfRule type="cellIs" dxfId="496" priority="623" operator="equal">
      <formula>"PENDING TERM"</formula>
    </cfRule>
    <cfRule type="cellIs" dxfId="495" priority="622" operator="equal">
      <formula>"LOA"</formula>
    </cfRule>
  </conditionalFormatting>
  <conditionalFormatting sqref="I80">
    <cfRule type="duplicateValues" dxfId="494" priority="630"/>
    <cfRule type="duplicateValues" dxfId="493" priority="629"/>
  </conditionalFormatting>
  <conditionalFormatting sqref="D81:G81">
    <cfRule type="cellIs" dxfId="492" priority="504" operator="equal">
      <formula>"TRANSFER"</formula>
    </cfRule>
    <cfRule type="cellIs" dxfId="491" priority="503" operator="equal">
      <formula>"TERM"</formula>
    </cfRule>
    <cfRule type="cellIs" dxfId="490" priority="502" operator="equal">
      <formula>"REINSTATEMENT"</formula>
    </cfRule>
    <cfRule type="cellIs" dxfId="489" priority="501" operator="equal">
      <formula>"PROMOTED"</formula>
    </cfRule>
    <cfRule type="cellIs" dxfId="488" priority="500" operator="equal">
      <formula>"PENDING TERM"</formula>
    </cfRule>
    <cfRule type="cellIs" dxfId="487" priority="499" operator="equal">
      <formula>"LOA"</formula>
    </cfRule>
  </conditionalFormatting>
  <conditionalFormatting sqref="H81">
    <cfRule type="duplicateValues" dxfId="486" priority="496"/>
    <cfRule type="duplicateValues" dxfId="485" priority="494"/>
    <cfRule type="duplicateValues" dxfId="484" priority="492"/>
  </conditionalFormatting>
  <conditionalFormatting sqref="H81:I81">
    <cfRule type="cellIs" dxfId="483" priority="491" operator="equal">
      <formula>"TRANSFER"</formula>
    </cfRule>
    <cfRule type="cellIs" dxfId="482" priority="490" operator="equal">
      <formula>"TERM"</formula>
    </cfRule>
    <cfRule type="cellIs" dxfId="481" priority="489" operator="equal">
      <formula>"REINSTATEMENT"</formula>
    </cfRule>
    <cfRule type="cellIs" dxfId="480" priority="488" operator="equal">
      <formula>"PROMOTED"</formula>
    </cfRule>
    <cfRule type="cellIs" dxfId="479" priority="487" operator="equal">
      <formula>"PENDING TERM"</formula>
    </cfRule>
    <cfRule type="cellIs" dxfId="478" priority="486" operator="equal">
      <formula>"LOA"</formula>
    </cfRule>
  </conditionalFormatting>
  <conditionalFormatting sqref="I81">
    <cfRule type="duplicateValues" dxfId="477" priority="498"/>
    <cfRule type="duplicateValues" dxfId="476" priority="497"/>
    <cfRule type="duplicateValues" dxfId="475" priority="495"/>
    <cfRule type="duplicateValues" dxfId="474" priority="493"/>
  </conditionalFormatting>
  <conditionalFormatting sqref="D85:I85">
    <cfRule type="cellIs" dxfId="473" priority="726" operator="equal">
      <formula>"LOA"</formula>
    </cfRule>
    <cfRule type="cellIs" dxfId="472" priority="727" operator="equal">
      <formula>"PENDING TERM"</formula>
    </cfRule>
    <cfRule type="cellIs" dxfId="471" priority="728" operator="equal">
      <formula>"PROMOTED"</formula>
    </cfRule>
    <cfRule type="cellIs" dxfId="470" priority="729" operator="equal">
      <formula>"REINSTATEMENT"</formula>
    </cfRule>
    <cfRule type="cellIs" dxfId="469" priority="730" operator="equal">
      <formula>"TERM"</formula>
    </cfRule>
    <cfRule type="cellIs" dxfId="468" priority="731" operator="equal">
      <formula>"TRANSFER"</formula>
    </cfRule>
  </conditionalFormatting>
  <conditionalFormatting sqref="H85">
    <cfRule type="duplicateValues" dxfId="467" priority="732"/>
  </conditionalFormatting>
  <conditionalFormatting sqref="I85">
    <cfRule type="duplicateValues" dxfId="466" priority="733"/>
    <cfRule type="duplicateValues" dxfId="465" priority="734"/>
  </conditionalFormatting>
  <conditionalFormatting sqref="D86:G86">
    <cfRule type="cellIs" dxfId="464" priority="485" operator="equal">
      <formula>"TRANSFER"</formula>
    </cfRule>
    <cfRule type="cellIs" dxfId="463" priority="484" operator="equal">
      <formula>"TERM"</formula>
    </cfRule>
    <cfRule type="cellIs" dxfId="462" priority="483" operator="equal">
      <formula>"REINSTATEMENT"</formula>
    </cfRule>
    <cfRule type="cellIs" dxfId="461" priority="482" operator="equal">
      <formula>"PROMOTED"</formula>
    </cfRule>
    <cfRule type="cellIs" dxfId="460" priority="481" operator="equal">
      <formula>"PENDING TERM"</formula>
    </cfRule>
    <cfRule type="cellIs" dxfId="459" priority="480" operator="equal">
      <formula>"LOA"</formula>
    </cfRule>
  </conditionalFormatting>
  <conditionalFormatting sqref="H86">
    <cfRule type="duplicateValues" dxfId="458" priority="477"/>
    <cfRule type="duplicateValues" dxfId="457" priority="475"/>
    <cfRule type="duplicateValues" dxfId="456" priority="473"/>
  </conditionalFormatting>
  <conditionalFormatting sqref="H86:I86">
    <cfRule type="cellIs" dxfId="455" priority="472" operator="equal">
      <formula>"TRANSFER"</formula>
    </cfRule>
    <cfRule type="cellIs" dxfId="454" priority="471" operator="equal">
      <formula>"TERM"</formula>
    </cfRule>
    <cfRule type="cellIs" dxfId="453" priority="470" operator="equal">
      <formula>"REINSTATEMENT"</formula>
    </cfRule>
    <cfRule type="cellIs" dxfId="452" priority="469" operator="equal">
      <formula>"PROMOTED"</formula>
    </cfRule>
    <cfRule type="cellIs" dxfId="451" priority="468" operator="equal">
      <formula>"PENDING TERM"</formula>
    </cfRule>
    <cfRule type="cellIs" dxfId="450" priority="467" operator="equal">
      <formula>"LOA"</formula>
    </cfRule>
  </conditionalFormatting>
  <conditionalFormatting sqref="I86">
    <cfRule type="duplicateValues" dxfId="449" priority="479"/>
    <cfRule type="duplicateValues" dxfId="448" priority="478"/>
    <cfRule type="duplicateValues" dxfId="447" priority="476"/>
    <cfRule type="duplicateValues" dxfId="446" priority="474"/>
  </conditionalFormatting>
  <conditionalFormatting sqref="D87">
    <cfRule type="cellIs" dxfId="445" priority="102" operator="equal">
      <formula>"TRANSFER"</formula>
    </cfRule>
    <cfRule type="cellIs" dxfId="444" priority="101" operator="equal">
      <formula>"TERM"</formula>
    </cfRule>
    <cfRule type="cellIs" dxfId="443" priority="100" operator="equal">
      <formula>"REINSTATEMENT"</formula>
    </cfRule>
    <cfRule type="cellIs" dxfId="442" priority="99" operator="equal">
      <formula>"PROMOTED"</formula>
    </cfRule>
    <cfRule type="cellIs" dxfId="441" priority="98" operator="equal">
      <formula>"PENDING TERM"</formula>
    </cfRule>
    <cfRule type="cellIs" dxfId="440" priority="97" operator="equal">
      <formula>"LOA"</formula>
    </cfRule>
  </conditionalFormatting>
  <conditionalFormatting sqref="H87">
    <cfRule type="duplicateValues" dxfId="439" priority="105"/>
    <cfRule type="duplicateValues" dxfId="438" priority="103"/>
  </conditionalFormatting>
  <conditionalFormatting sqref="I87">
    <cfRule type="duplicateValues" dxfId="437" priority="107"/>
    <cfRule type="duplicateValues" dxfId="436" priority="106"/>
    <cfRule type="duplicateValues" dxfId="435" priority="104"/>
  </conditionalFormatting>
  <conditionalFormatting sqref="D88:G88">
    <cfRule type="cellIs" dxfId="434" priority="606" operator="equal">
      <formula>"TRANSFER"</formula>
    </cfRule>
    <cfRule type="cellIs" dxfId="433" priority="605" operator="equal">
      <formula>"TERM"</formula>
    </cfRule>
    <cfRule type="cellIs" dxfId="432" priority="604" operator="equal">
      <formula>"REINSTATEMENT"</formula>
    </cfRule>
    <cfRule type="cellIs" dxfId="431" priority="603" operator="equal">
      <formula>"PROMOTED"</formula>
    </cfRule>
    <cfRule type="cellIs" dxfId="430" priority="602" operator="equal">
      <formula>"PENDING TERM"</formula>
    </cfRule>
    <cfRule type="cellIs" dxfId="429" priority="601" operator="equal">
      <formula>"LOA"</formula>
    </cfRule>
  </conditionalFormatting>
  <conditionalFormatting sqref="H88">
    <cfRule type="duplicateValues" dxfId="428" priority="598"/>
  </conditionalFormatting>
  <conditionalFormatting sqref="H88:I88">
    <cfRule type="cellIs" dxfId="427" priority="597" operator="equal">
      <formula>"TRANSFER"</formula>
    </cfRule>
    <cfRule type="cellIs" dxfId="426" priority="596" operator="equal">
      <formula>"TERM"</formula>
    </cfRule>
    <cfRule type="cellIs" dxfId="425" priority="595" operator="equal">
      <formula>"REINSTATEMENT"</formula>
    </cfRule>
    <cfRule type="cellIs" dxfId="424" priority="594" operator="equal">
      <formula>"PROMOTED"</formula>
    </cfRule>
    <cfRule type="cellIs" dxfId="423" priority="593" operator="equal">
      <formula>"PENDING TERM"</formula>
    </cfRule>
    <cfRule type="cellIs" dxfId="422" priority="592" operator="equal">
      <formula>"LOA"</formula>
    </cfRule>
  </conditionalFormatting>
  <conditionalFormatting sqref="I88">
    <cfRule type="duplicateValues" dxfId="421" priority="600"/>
    <cfRule type="duplicateValues" dxfId="420" priority="599"/>
  </conditionalFormatting>
  <conditionalFormatting sqref="D89:G89">
    <cfRule type="cellIs" dxfId="419" priority="55" operator="equal">
      <formula>"TRANSFER"</formula>
    </cfRule>
    <cfRule type="cellIs" dxfId="418" priority="54" operator="equal">
      <formula>"TERM"</formula>
    </cfRule>
    <cfRule type="cellIs" dxfId="417" priority="53" operator="equal">
      <formula>"REINSTATEMENT"</formula>
    </cfRule>
    <cfRule type="cellIs" dxfId="416" priority="52" operator="equal">
      <formula>"PROMOTED"</formula>
    </cfRule>
    <cfRule type="cellIs" dxfId="415" priority="51" operator="equal">
      <formula>"PENDING TERM"</formula>
    </cfRule>
    <cfRule type="cellIs" dxfId="414" priority="50" operator="equal">
      <formula>"LOA"</formula>
    </cfRule>
  </conditionalFormatting>
  <conditionalFormatting sqref="H89">
    <cfRule type="duplicateValues" dxfId="413" priority="47"/>
  </conditionalFormatting>
  <conditionalFormatting sqref="H89:I89">
    <cfRule type="cellIs" dxfId="412" priority="46" operator="equal">
      <formula>"TRANSFER"</formula>
    </cfRule>
    <cfRule type="cellIs" dxfId="411" priority="45" operator="equal">
      <formula>"TERM"</formula>
    </cfRule>
    <cfRule type="cellIs" dxfId="410" priority="44" operator="equal">
      <formula>"REINSTATEMENT"</formula>
    </cfRule>
    <cfRule type="cellIs" dxfId="409" priority="43" operator="equal">
      <formula>"PROMOTED"</formula>
    </cfRule>
    <cfRule type="cellIs" dxfId="408" priority="42" operator="equal">
      <formula>"PENDING TERM"</formula>
    </cfRule>
    <cfRule type="cellIs" dxfId="407" priority="41" operator="equal">
      <formula>"LOA"</formula>
    </cfRule>
  </conditionalFormatting>
  <conditionalFormatting sqref="I89">
    <cfRule type="duplicateValues" dxfId="406" priority="49"/>
    <cfRule type="duplicateValues" dxfId="405" priority="48"/>
  </conditionalFormatting>
  <conditionalFormatting sqref="D90:G90">
    <cfRule type="cellIs" dxfId="404" priority="681" operator="equal">
      <formula>"TRANSFER"</formula>
    </cfRule>
    <cfRule type="cellIs" dxfId="403" priority="680" operator="equal">
      <formula>"TERM"</formula>
    </cfRule>
    <cfRule type="cellIs" dxfId="402" priority="679" operator="equal">
      <formula>"REINSTATEMENT"</formula>
    </cfRule>
    <cfRule type="cellIs" dxfId="401" priority="678" operator="equal">
      <formula>"PROMOTED"</formula>
    </cfRule>
    <cfRule type="cellIs" dxfId="400" priority="677" operator="equal">
      <formula>"PENDING TERM"</formula>
    </cfRule>
    <cfRule type="cellIs" dxfId="399" priority="676" operator="equal">
      <formula>"LOA"</formula>
    </cfRule>
  </conditionalFormatting>
  <conditionalFormatting sqref="H90">
    <cfRule type="duplicateValues" dxfId="398" priority="673"/>
  </conditionalFormatting>
  <conditionalFormatting sqref="H90:I90">
    <cfRule type="cellIs" dxfId="397" priority="672" operator="equal">
      <formula>"TRANSFER"</formula>
    </cfRule>
    <cfRule type="cellIs" dxfId="396" priority="671" operator="equal">
      <formula>"TERM"</formula>
    </cfRule>
    <cfRule type="cellIs" dxfId="395" priority="670" operator="equal">
      <formula>"REINSTATEMENT"</formula>
    </cfRule>
    <cfRule type="cellIs" dxfId="394" priority="669" operator="equal">
      <formula>"PROMOTED"</formula>
    </cfRule>
    <cfRule type="cellIs" dxfId="393" priority="668" operator="equal">
      <formula>"PENDING TERM"</formula>
    </cfRule>
    <cfRule type="cellIs" dxfId="392" priority="667" operator="equal">
      <formula>"LOA"</formula>
    </cfRule>
  </conditionalFormatting>
  <conditionalFormatting sqref="I90">
    <cfRule type="duplicateValues" dxfId="391" priority="675"/>
    <cfRule type="duplicateValues" dxfId="390" priority="674"/>
  </conditionalFormatting>
  <conditionalFormatting sqref="D91:G91">
    <cfRule type="cellIs" dxfId="389" priority="345" operator="equal">
      <formula>"TRANSFER"</formula>
    </cfRule>
    <cfRule type="cellIs" dxfId="388" priority="344" operator="equal">
      <formula>"TERM"</formula>
    </cfRule>
    <cfRule type="cellIs" dxfId="387" priority="343" operator="equal">
      <formula>"REINSTATEMENT"</formula>
    </cfRule>
    <cfRule type="cellIs" dxfId="386" priority="342" operator="equal">
      <formula>"PROMOTED"</formula>
    </cfRule>
    <cfRule type="cellIs" dxfId="385" priority="341" operator="equal">
      <formula>"PENDING TERM"</formula>
    </cfRule>
    <cfRule type="cellIs" dxfId="384" priority="340" operator="equal">
      <formula>"LOA"</formula>
    </cfRule>
  </conditionalFormatting>
  <conditionalFormatting sqref="H91">
    <cfRule type="duplicateValues" dxfId="383" priority="337"/>
  </conditionalFormatting>
  <conditionalFormatting sqref="H91:I91">
    <cfRule type="cellIs" dxfId="382" priority="336" operator="equal">
      <formula>"TRANSFER"</formula>
    </cfRule>
    <cfRule type="cellIs" dxfId="381" priority="335" operator="equal">
      <formula>"TERM"</formula>
    </cfRule>
    <cfRule type="cellIs" dxfId="380" priority="334" operator="equal">
      <formula>"REINSTATEMENT"</formula>
    </cfRule>
    <cfRule type="cellIs" dxfId="379" priority="333" operator="equal">
      <formula>"PROMOTED"</formula>
    </cfRule>
    <cfRule type="cellIs" dxfId="378" priority="332" operator="equal">
      <formula>"PENDING TERM"</formula>
    </cfRule>
    <cfRule type="cellIs" dxfId="377" priority="331" operator="equal">
      <formula>"LOA"</formula>
    </cfRule>
  </conditionalFormatting>
  <conditionalFormatting sqref="I91">
    <cfRule type="duplicateValues" dxfId="376" priority="339"/>
    <cfRule type="duplicateValues" dxfId="375" priority="338"/>
  </conditionalFormatting>
  <conditionalFormatting sqref="D96:G96">
    <cfRule type="cellIs" dxfId="374" priority="466" operator="equal">
      <formula>"TRANSFER"</formula>
    </cfRule>
    <cfRule type="cellIs" dxfId="373" priority="465" operator="equal">
      <formula>"TERM"</formula>
    </cfRule>
    <cfRule type="cellIs" dxfId="372" priority="464" operator="equal">
      <formula>"REINSTATEMENT"</formula>
    </cfRule>
    <cfRule type="cellIs" dxfId="371" priority="463" operator="equal">
      <formula>"PROMOTED"</formula>
    </cfRule>
    <cfRule type="cellIs" dxfId="370" priority="462" operator="equal">
      <formula>"PENDING TERM"</formula>
    </cfRule>
    <cfRule type="cellIs" dxfId="369" priority="461" operator="equal">
      <formula>"LOA"</formula>
    </cfRule>
  </conditionalFormatting>
  <conditionalFormatting sqref="H96">
    <cfRule type="duplicateValues" dxfId="368" priority="458"/>
    <cfRule type="duplicateValues" dxfId="367" priority="456"/>
    <cfRule type="duplicateValues" dxfId="366" priority="454"/>
  </conditionalFormatting>
  <conditionalFormatting sqref="H96:I96">
    <cfRule type="cellIs" dxfId="365" priority="453" operator="equal">
      <formula>"TRANSFER"</formula>
    </cfRule>
    <cfRule type="cellIs" dxfId="364" priority="452" operator="equal">
      <formula>"TERM"</formula>
    </cfRule>
    <cfRule type="cellIs" dxfId="363" priority="451" operator="equal">
      <formula>"REINSTATEMENT"</formula>
    </cfRule>
    <cfRule type="cellIs" dxfId="362" priority="450" operator="equal">
      <formula>"PROMOTED"</formula>
    </cfRule>
    <cfRule type="cellIs" dxfId="361" priority="449" operator="equal">
      <formula>"PENDING TERM"</formula>
    </cfRule>
    <cfRule type="cellIs" dxfId="360" priority="448" operator="equal">
      <formula>"LOA"</formula>
    </cfRule>
  </conditionalFormatting>
  <conditionalFormatting sqref="I96">
    <cfRule type="duplicateValues" dxfId="359" priority="460"/>
    <cfRule type="duplicateValues" dxfId="358" priority="459"/>
    <cfRule type="duplicateValues" dxfId="357" priority="457"/>
    <cfRule type="duplicateValues" dxfId="356" priority="455"/>
  </conditionalFormatting>
  <conditionalFormatting sqref="D97:G97">
    <cfRule type="cellIs" dxfId="355" priority="330" operator="equal">
      <formula>"TRANSFER"</formula>
    </cfRule>
    <cfRule type="cellIs" dxfId="354" priority="329" operator="equal">
      <formula>"TERM"</formula>
    </cfRule>
    <cfRule type="cellIs" dxfId="353" priority="328" operator="equal">
      <formula>"REINSTATEMENT"</formula>
    </cfRule>
    <cfRule type="cellIs" dxfId="352" priority="327" operator="equal">
      <formula>"PROMOTED"</formula>
    </cfRule>
    <cfRule type="cellIs" dxfId="351" priority="326" operator="equal">
      <formula>"PENDING TERM"</formula>
    </cfRule>
    <cfRule type="cellIs" dxfId="350" priority="325" operator="equal">
      <formula>"LOA"</formula>
    </cfRule>
  </conditionalFormatting>
  <conditionalFormatting sqref="H97">
    <cfRule type="duplicateValues" dxfId="349" priority="322"/>
  </conditionalFormatting>
  <conditionalFormatting sqref="H97:I97">
    <cfRule type="cellIs" dxfId="348" priority="321" operator="equal">
      <formula>"TRANSFER"</formula>
    </cfRule>
    <cfRule type="cellIs" dxfId="347" priority="320" operator="equal">
      <formula>"TERM"</formula>
    </cfRule>
    <cfRule type="cellIs" dxfId="346" priority="319" operator="equal">
      <formula>"REINSTATEMENT"</formula>
    </cfRule>
    <cfRule type="cellIs" dxfId="345" priority="318" operator="equal">
      <formula>"PROMOTED"</formula>
    </cfRule>
    <cfRule type="cellIs" dxfId="344" priority="317" operator="equal">
      <formula>"PENDING TERM"</formula>
    </cfRule>
    <cfRule type="cellIs" dxfId="343" priority="316" operator="equal">
      <formula>"LOA"</formula>
    </cfRule>
  </conditionalFormatting>
  <conditionalFormatting sqref="I97">
    <cfRule type="duplicateValues" dxfId="342" priority="324"/>
    <cfRule type="duplicateValues" dxfId="341" priority="323"/>
  </conditionalFormatting>
  <conditionalFormatting sqref="D98">
    <cfRule type="cellIs" dxfId="340" priority="239" operator="equal">
      <formula>"TRANSFER"</formula>
    </cfRule>
    <cfRule type="cellIs" dxfId="339" priority="238" operator="equal">
      <formula>"TERM"</formula>
    </cfRule>
    <cfRule type="cellIs" dxfId="338" priority="237" operator="equal">
      <formula>"REINSTATEMENT"</formula>
    </cfRule>
    <cfRule type="cellIs" dxfId="337" priority="236" operator="equal">
      <formula>"PROMOTED"</formula>
    </cfRule>
    <cfRule type="cellIs" dxfId="336" priority="235" operator="equal">
      <formula>"PENDING TERM"</formula>
    </cfRule>
    <cfRule type="cellIs" dxfId="335" priority="234" operator="equal">
      <formula>"LOA"</formula>
    </cfRule>
  </conditionalFormatting>
  <conditionalFormatting sqref="H98">
    <cfRule type="duplicateValues" dxfId="334" priority="242"/>
    <cfRule type="duplicateValues" dxfId="333" priority="240"/>
  </conditionalFormatting>
  <conditionalFormatting sqref="I98">
    <cfRule type="duplicateValues" dxfId="332" priority="244"/>
    <cfRule type="duplicateValues" dxfId="331" priority="243"/>
    <cfRule type="duplicateValues" dxfId="330" priority="241"/>
  </conditionalFormatting>
  <conditionalFormatting sqref="D99">
    <cfRule type="cellIs" dxfId="329" priority="206" operator="equal">
      <formula>"TRANSFER"</formula>
    </cfRule>
    <cfRule type="cellIs" dxfId="328" priority="205" operator="equal">
      <formula>"TERM"</formula>
    </cfRule>
    <cfRule type="cellIs" dxfId="327" priority="204" operator="equal">
      <formula>"REINSTATEMENT"</formula>
    </cfRule>
    <cfRule type="cellIs" dxfId="326" priority="203" operator="equal">
      <formula>"PROMOTED"</formula>
    </cfRule>
    <cfRule type="cellIs" dxfId="325" priority="202" operator="equal">
      <formula>"PENDING TERM"</formula>
    </cfRule>
    <cfRule type="cellIs" dxfId="324" priority="201" operator="equal">
      <formula>"LOA"</formula>
    </cfRule>
  </conditionalFormatting>
  <conditionalFormatting sqref="H99">
    <cfRule type="duplicateValues" dxfId="323" priority="209"/>
    <cfRule type="duplicateValues" dxfId="322" priority="207"/>
  </conditionalFormatting>
  <conditionalFormatting sqref="I99">
    <cfRule type="duplicateValues" dxfId="321" priority="211"/>
    <cfRule type="duplicateValues" dxfId="320" priority="210"/>
    <cfRule type="duplicateValues" dxfId="319" priority="208"/>
  </conditionalFormatting>
  <conditionalFormatting sqref="D104">
    <cfRule type="cellIs" dxfId="318" priority="195" operator="equal">
      <formula>"TRANSFER"</formula>
    </cfRule>
    <cfRule type="cellIs" dxfId="317" priority="194" operator="equal">
      <formula>"TERM"</formula>
    </cfRule>
    <cfRule type="cellIs" dxfId="316" priority="193" operator="equal">
      <formula>"REINSTATEMENT"</formula>
    </cfRule>
    <cfRule type="cellIs" dxfId="315" priority="192" operator="equal">
      <formula>"PROMOTED"</formula>
    </cfRule>
    <cfRule type="cellIs" dxfId="314" priority="191" operator="equal">
      <formula>"PENDING TERM"</formula>
    </cfRule>
    <cfRule type="cellIs" dxfId="313" priority="190" operator="equal">
      <formula>"LOA"</formula>
    </cfRule>
  </conditionalFormatting>
  <conditionalFormatting sqref="H104">
    <cfRule type="duplicateValues" dxfId="312" priority="198"/>
    <cfRule type="duplicateValues" dxfId="311" priority="196"/>
  </conditionalFormatting>
  <conditionalFormatting sqref="I104">
    <cfRule type="duplicateValues" dxfId="310" priority="200"/>
    <cfRule type="duplicateValues" dxfId="309" priority="199"/>
    <cfRule type="duplicateValues" dxfId="308" priority="197"/>
  </conditionalFormatting>
  <conditionalFormatting sqref="D105:G105">
    <cfRule type="cellIs" dxfId="307" priority="315" operator="equal">
      <formula>"TRANSFER"</formula>
    </cfRule>
    <cfRule type="cellIs" dxfId="306" priority="314" operator="equal">
      <formula>"TERM"</formula>
    </cfRule>
    <cfRule type="cellIs" dxfId="305" priority="313" operator="equal">
      <formula>"REINSTATEMENT"</formula>
    </cfRule>
    <cfRule type="cellIs" dxfId="304" priority="312" operator="equal">
      <formula>"PROMOTED"</formula>
    </cfRule>
    <cfRule type="cellIs" dxfId="303" priority="311" operator="equal">
      <formula>"PENDING TERM"</formula>
    </cfRule>
    <cfRule type="cellIs" dxfId="302" priority="310" operator="equal">
      <formula>"LOA"</formula>
    </cfRule>
  </conditionalFormatting>
  <conditionalFormatting sqref="H105">
    <cfRule type="duplicateValues" dxfId="301" priority="307"/>
  </conditionalFormatting>
  <conditionalFormatting sqref="H105:I105">
    <cfRule type="cellIs" dxfId="300" priority="306" operator="equal">
      <formula>"TRANSFER"</formula>
    </cfRule>
    <cfRule type="cellIs" dxfId="299" priority="305" operator="equal">
      <formula>"TERM"</formula>
    </cfRule>
    <cfRule type="cellIs" dxfId="298" priority="304" operator="equal">
      <formula>"REINSTATEMENT"</formula>
    </cfRule>
    <cfRule type="cellIs" dxfId="297" priority="303" operator="equal">
      <formula>"PROMOTED"</formula>
    </cfRule>
    <cfRule type="cellIs" dxfId="296" priority="302" operator="equal">
      <formula>"PENDING TERM"</formula>
    </cfRule>
    <cfRule type="cellIs" dxfId="295" priority="301" operator="equal">
      <formula>"LOA"</formula>
    </cfRule>
  </conditionalFormatting>
  <conditionalFormatting sqref="I105">
    <cfRule type="duplicateValues" dxfId="294" priority="309"/>
    <cfRule type="duplicateValues" dxfId="293" priority="308"/>
  </conditionalFormatting>
  <conditionalFormatting sqref="D125:I125">
    <cfRule type="cellIs" dxfId="292" priority="717" operator="equal">
      <formula>"LOA"</formula>
    </cfRule>
    <cfRule type="cellIs" dxfId="291" priority="718" operator="equal">
      <formula>"PENDING TERM"</formula>
    </cfRule>
    <cfRule type="cellIs" dxfId="290" priority="719" operator="equal">
      <formula>"PROMOTED"</formula>
    </cfRule>
    <cfRule type="cellIs" dxfId="289" priority="720" operator="equal">
      <formula>"REINSTATEMENT"</formula>
    </cfRule>
    <cfRule type="cellIs" dxfId="288" priority="721" operator="equal">
      <formula>"TERM"</formula>
    </cfRule>
    <cfRule type="cellIs" dxfId="287" priority="722" operator="equal">
      <formula>"TRANSFER"</formula>
    </cfRule>
  </conditionalFormatting>
  <conditionalFormatting sqref="H125">
    <cfRule type="duplicateValues" dxfId="286" priority="723"/>
  </conditionalFormatting>
  <conditionalFormatting sqref="I125">
    <cfRule type="duplicateValues" dxfId="285" priority="724"/>
    <cfRule type="duplicateValues" dxfId="284" priority="725"/>
  </conditionalFormatting>
  <conditionalFormatting sqref="D126:G126">
    <cfRule type="cellIs" dxfId="283" priority="591" operator="equal">
      <formula>"TRANSFER"</formula>
    </cfRule>
    <cfRule type="cellIs" dxfId="282" priority="590" operator="equal">
      <formula>"TERM"</formula>
    </cfRule>
    <cfRule type="cellIs" dxfId="281" priority="589" operator="equal">
      <formula>"REINSTATEMENT"</formula>
    </cfRule>
    <cfRule type="cellIs" dxfId="280" priority="588" operator="equal">
      <formula>"PROMOTED"</formula>
    </cfRule>
    <cfRule type="cellIs" dxfId="279" priority="587" operator="equal">
      <formula>"PENDING TERM"</formula>
    </cfRule>
    <cfRule type="cellIs" dxfId="278" priority="586" operator="equal">
      <formula>"LOA"</formula>
    </cfRule>
  </conditionalFormatting>
  <conditionalFormatting sqref="H126">
    <cfRule type="duplicateValues" dxfId="277" priority="583"/>
  </conditionalFormatting>
  <conditionalFormatting sqref="H126:I126">
    <cfRule type="cellIs" dxfId="276" priority="582" operator="equal">
      <formula>"TRANSFER"</formula>
    </cfRule>
    <cfRule type="cellIs" dxfId="275" priority="581" operator="equal">
      <formula>"TERM"</formula>
    </cfRule>
    <cfRule type="cellIs" dxfId="274" priority="580" operator="equal">
      <formula>"REINSTATEMENT"</formula>
    </cfRule>
    <cfRule type="cellIs" dxfId="273" priority="579" operator="equal">
      <formula>"PROMOTED"</formula>
    </cfRule>
    <cfRule type="cellIs" dxfId="272" priority="578" operator="equal">
      <formula>"PENDING TERM"</formula>
    </cfRule>
    <cfRule type="cellIs" dxfId="271" priority="577" operator="equal">
      <formula>"LOA"</formula>
    </cfRule>
  </conditionalFormatting>
  <conditionalFormatting sqref="I126">
    <cfRule type="duplicateValues" dxfId="270" priority="585"/>
    <cfRule type="duplicateValues" dxfId="269" priority="584"/>
  </conditionalFormatting>
  <conditionalFormatting sqref="H127">
    <cfRule type="duplicateValues" dxfId="268" priority="147"/>
  </conditionalFormatting>
  <conditionalFormatting sqref="I127">
    <cfRule type="duplicateValues" dxfId="267" priority="149"/>
    <cfRule type="duplicateValues" dxfId="266" priority="148"/>
  </conditionalFormatting>
  <conditionalFormatting sqref="D128:G128">
    <cfRule type="cellIs" dxfId="265" priority="409" operator="equal">
      <formula>"TRANSFER"</formula>
    </cfRule>
    <cfRule type="cellIs" dxfId="264" priority="408" operator="equal">
      <formula>"TERM"</formula>
    </cfRule>
    <cfRule type="cellIs" dxfId="263" priority="407" operator="equal">
      <formula>"REINSTATEMENT"</formula>
    </cfRule>
    <cfRule type="cellIs" dxfId="262" priority="406" operator="equal">
      <formula>"PROMOTED"</formula>
    </cfRule>
    <cfRule type="cellIs" dxfId="261" priority="405" operator="equal">
      <formula>"PENDING TERM"</formula>
    </cfRule>
    <cfRule type="cellIs" dxfId="260" priority="404" operator="equal">
      <formula>"LOA"</formula>
    </cfRule>
  </conditionalFormatting>
  <conditionalFormatting sqref="H128">
    <cfRule type="duplicateValues" dxfId="259" priority="401"/>
    <cfRule type="duplicateValues" dxfId="258" priority="399"/>
    <cfRule type="duplicateValues" dxfId="257" priority="397"/>
  </conditionalFormatting>
  <conditionalFormatting sqref="H128:I128">
    <cfRule type="cellIs" dxfId="256" priority="396" operator="equal">
      <formula>"TRANSFER"</formula>
    </cfRule>
    <cfRule type="cellIs" dxfId="255" priority="395" operator="equal">
      <formula>"TERM"</formula>
    </cfRule>
    <cfRule type="cellIs" dxfId="254" priority="394" operator="equal">
      <formula>"REINSTATEMENT"</formula>
    </cfRule>
    <cfRule type="cellIs" dxfId="253" priority="393" operator="equal">
      <formula>"PROMOTED"</formula>
    </cfRule>
    <cfRule type="cellIs" dxfId="252" priority="392" operator="equal">
      <formula>"PENDING TERM"</formula>
    </cfRule>
    <cfRule type="cellIs" dxfId="251" priority="391" operator="equal">
      <formula>"LOA"</formula>
    </cfRule>
  </conditionalFormatting>
  <conditionalFormatting sqref="I128">
    <cfRule type="duplicateValues" dxfId="250" priority="403"/>
    <cfRule type="duplicateValues" dxfId="249" priority="402"/>
    <cfRule type="duplicateValues" dxfId="248" priority="400"/>
    <cfRule type="duplicateValues" dxfId="247" priority="398"/>
  </conditionalFormatting>
  <conditionalFormatting sqref="D133:I133">
    <cfRule type="cellIs" dxfId="246" priority="708" operator="equal">
      <formula>"LOA"</formula>
    </cfRule>
    <cfRule type="cellIs" dxfId="245" priority="709" operator="equal">
      <formula>"PENDING TERM"</formula>
    </cfRule>
    <cfRule type="cellIs" dxfId="244" priority="710" operator="equal">
      <formula>"PROMOTED"</formula>
    </cfRule>
    <cfRule type="cellIs" dxfId="243" priority="711" operator="equal">
      <formula>"REINSTATEMENT"</formula>
    </cfRule>
    <cfRule type="cellIs" dxfId="242" priority="712" operator="equal">
      <formula>"TERM"</formula>
    </cfRule>
    <cfRule type="cellIs" dxfId="241" priority="713" operator="equal">
      <formula>"TRANSFER"</formula>
    </cfRule>
  </conditionalFormatting>
  <conditionalFormatting sqref="H133">
    <cfRule type="duplicateValues" dxfId="240" priority="714"/>
  </conditionalFormatting>
  <conditionalFormatting sqref="I133">
    <cfRule type="duplicateValues" dxfId="239" priority="715"/>
    <cfRule type="duplicateValues" dxfId="238" priority="716"/>
  </conditionalFormatting>
  <conditionalFormatting sqref="D134:G134">
    <cfRule type="cellIs" dxfId="237" priority="270" operator="equal">
      <formula>"TRANSFER"</formula>
    </cfRule>
    <cfRule type="cellIs" dxfId="236" priority="269" operator="equal">
      <formula>"TERM"</formula>
    </cfRule>
    <cfRule type="cellIs" dxfId="235" priority="268" operator="equal">
      <formula>"REINSTATEMENT"</formula>
    </cfRule>
    <cfRule type="cellIs" dxfId="234" priority="267" operator="equal">
      <formula>"PROMOTED"</formula>
    </cfRule>
    <cfRule type="cellIs" dxfId="233" priority="266" operator="equal">
      <formula>"PENDING TERM"</formula>
    </cfRule>
    <cfRule type="cellIs" dxfId="232" priority="265" operator="equal">
      <formula>"LOA"</formula>
    </cfRule>
  </conditionalFormatting>
  <conditionalFormatting sqref="H134">
    <cfRule type="duplicateValues" dxfId="231" priority="262"/>
  </conditionalFormatting>
  <conditionalFormatting sqref="H134:I134">
    <cfRule type="cellIs" dxfId="230" priority="261" operator="equal">
      <formula>"TRANSFER"</formula>
    </cfRule>
    <cfRule type="cellIs" dxfId="229" priority="260" operator="equal">
      <formula>"TERM"</formula>
    </cfRule>
    <cfRule type="cellIs" dxfId="228" priority="259" operator="equal">
      <formula>"REINSTATEMENT"</formula>
    </cfRule>
    <cfRule type="cellIs" dxfId="227" priority="258" operator="equal">
      <formula>"PROMOTED"</formula>
    </cfRule>
    <cfRule type="cellIs" dxfId="226" priority="257" operator="equal">
      <formula>"PENDING TERM"</formula>
    </cfRule>
    <cfRule type="cellIs" dxfId="225" priority="256" operator="equal">
      <formula>"LOA"</formula>
    </cfRule>
  </conditionalFormatting>
  <conditionalFormatting sqref="I134">
    <cfRule type="duplicateValues" dxfId="224" priority="264"/>
    <cfRule type="duplicateValues" dxfId="223" priority="263"/>
  </conditionalFormatting>
  <conditionalFormatting sqref="D135">
    <cfRule type="cellIs" dxfId="222" priority="91" operator="equal">
      <formula>"TRANSFER"</formula>
    </cfRule>
    <cfRule type="cellIs" dxfId="221" priority="90" operator="equal">
      <formula>"TERM"</formula>
    </cfRule>
    <cfRule type="cellIs" dxfId="220" priority="89" operator="equal">
      <formula>"REINSTATEMENT"</formula>
    </cfRule>
    <cfRule type="cellIs" dxfId="219" priority="88" operator="equal">
      <formula>"PROMOTED"</formula>
    </cfRule>
    <cfRule type="cellIs" dxfId="218" priority="87" operator="equal">
      <formula>"PENDING TERM"</formula>
    </cfRule>
    <cfRule type="cellIs" dxfId="217" priority="86" operator="equal">
      <formula>"LOA"</formula>
    </cfRule>
  </conditionalFormatting>
  <conditionalFormatting sqref="H135">
    <cfRule type="duplicateValues" dxfId="216" priority="94"/>
    <cfRule type="duplicateValues" dxfId="215" priority="92"/>
  </conditionalFormatting>
  <conditionalFormatting sqref="I135">
    <cfRule type="duplicateValues" dxfId="214" priority="96"/>
    <cfRule type="duplicateValues" dxfId="213" priority="95"/>
    <cfRule type="duplicateValues" dxfId="212" priority="93"/>
  </conditionalFormatting>
  <conditionalFormatting sqref="D136:G136">
    <cfRule type="cellIs" dxfId="211" priority="576" operator="equal">
      <formula>"TRANSFER"</formula>
    </cfRule>
    <cfRule type="cellIs" dxfId="210" priority="575" operator="equal">
      <formula>"TERM"</formula>
    </cfRule>
    <cfRule type="cellIs" dxfId="209" priority="574" operator="equal">
      <formula>"REINSTATEMENT"</formula>
    </cfRule>
    <cfRule type="cellIs" dxfId="208" priority="573" operator="equal">
      <formula>"PROMOTED"</formula>
    </cfRule>
    <cfRule type="cellIs" dxfId="207" priority="572" operator="equal">
      <formula>"PENDING TERM"</formula>
    </cfRule>
    <cfRule type="cellIs" dxfId="206" priority="571" operator="equal">
      <formula>"LOA"</formula>
    </cfRule>
  </conditionalFormatting>
  <conditionalFormatting sqref="H136">
    <cfRule type="duplicateValues" dxfId="205" priority="568"/>
  </conditionalFormatting>
  <conditionalFormatting sqref="H136:I136">
    <cfRule type="cellIs" dxfId="204" priority="567" operator="equal">
      <formula>"TRANSFER"</formula>
    </cfRule>
    <cfRule type="cellIs" dxfId="203" priority="566" operator="equal">
      <formula>"TERM"</formula>
    </cfRule>
    <cfRule type="cellIs" dxfId="202" priority="565" operator="equal">
      <formula>"REINSTATEMENT"</formula>
    </cfRule>
    <cfRule type="cellIs" dxfId="201" priority="564" operator="equal">
      <formula>"PROMOTED"</formula>
    </cfRule>
    <cfRule type="cellIs" dxfId="200" priority="563" operator="equal">
      <formula>"PENDING TERM"</formula>
    </cfRule>
    <cfRule type="cellIs" dxfId="199" priority="562" operator="equal">
      <formula>"LOA"</formula>
    </cfRule>
  </conditionalFormatting>
  <conditionalFormatting sqref="I136">
    <cfRule type="duplicateValues" dxfId="198" priority="570"/>
    <cfRule type="duplicateValues" dxfId="197" priority="569"/>
  </conditionalFormatting>
  <conditionalFormatting sqref="D137:G137">
    <cfRule type="cellIs" dxfId="196" priority="696" operator="equal">
      <formula>"TRANSFER"</formula>
    </cfRule>
    <cfRule type="cellIs" dxfId="195" priority="695" operator="equal">
      <formula>"TERM"</formula>
    </cfRule>
    <cfRule type="cellIs" dxfId="194" priority="694" operator="equal">
      <formula>"REINSTATEMENT"</formula>
    </cfRule>
    <cfRule type="cellIs" dxfId="193" priority="693" operator="equal">
      <formula>"PROMOTED"</formula>
    </cfRule>
    <cfRule type="cellIs" dxfId="192" priority="692" operator="equal">
      <formula>"PENDING TERM"</formula>
    </cfRule>
    <cfRule type="cellIs" dxfId="191" priority="691" operator="equal">
      <formula>"LOA"</formula>
    </cfRule>
  </conditionalFormatting>
  <conditionalFormatting sqref="H137">
    <cfRule type="duplicateValues" dxfId="190" priority="688"/>
  </conditionalFormatting>
  <conditionalFormatting sqref="H137:I137">
    <cfRule type="cellIs" dxfId="189" priority="687" operator="equal">
      <formula>"TRANSFER"</formula>
    </cfRule>
    <cfRule type="cellIs" dxfId="188" priority="686" operator="equal">
      <formula>"TERM"</formula>
    </cfRule>
    <cfRule type="cellIs" dxfId="187" priority="685" operator="equal">
      <formula>"REINSTATEMENT"</formula>
    </cfRule>
    <cfRule type="cellIs" dxfId="186" priority="684" operator="equal">
      <formula>"PROMOTED"</formula>
    </cfRule>
    <cfRule type="cellIs" dxfId="185" priority="683" operator="equal">
      <formula>"PENDING TERM"</formula>
    </cfRule>
    <cfRule type="cellIs" dxfId="184" priority="682" operator="equal">
      <formula>"LOA"</formula>
    </cfRule>
  </conditionalFormatting>
  <conditionalFormatting sqref="I137">
    <cfRule type="duplicateValues" dxfId="183" priority="690"/>
    <cfRule type="duplicateValues" dxfId="182" priority="689"/>
  </conditionalFormatting>
  <conditionalFormatting sqref="D138:G138">
    <cfRule type="cellIs" dxfId="181" priority="428" operator="equal">
      <formula>"TRANSFER"</formula>
    </cfRule>
    <cfRule type="cellIs" dxfId="180" priority="427" operator="equal">
      <formula>"TERM"</formula>
    </cfRule>
    <cfRule type="cellIs" dxfId="179" priority="426" operator="equal">
      <formula>"REINSTATEMENT"</formula>
    </cfRule>
    <cfRule type="cellIs" dxfId="178" priority="425" operator="equal">
      <formula>"PROMOTED"</formula>
    </cfRule>
    <cfRule type="cellIs" dxfId="177" priority="424" operator="equal">
      <formula>"PENDING TERM"</formula>
    </cfRule>
    <cfRule type="cellIs" dxfId="176" priority="423" operator="equal">
      <formula>"LOA"</formula>
    </cfRule>
  </conditionalFormatting>
  <conditionalFormatting sqref="H138">
    <cfRule type="duplicateValues" dxfId="175" priority="420"/>
    <cfRule type="duplicateValues" dxfId="174" priority="418"/>
    <cfRule type="duplicateValues" dxfId="173" priority="416"/>
  </conditionalFormatting>
  <conditionalFormatting sqref="H138:I138">
    <cfRule type="cellIs" dxfId="172" priority="415" operator="equal">
      <formula>"TRANSFER"</formula>
    </cfRule>
    <cfRule type="cellIs" dxfId="171" priority="414" operator="equal">
      <formula>"TERM"</formula>
    </cfRule>
    <cfRule type="cellIs" dxfId="170" priority="413" operator="equal">
      <formula>"REINSTATEMENT"</formula>
    </cfRule>
    <cfRule type="cellIs" dxfId="169" priority="412" operator="equal">
      <formula>"PROMOTED"</formula>
    </cfRule>
    <cfRule type="cellIs" dxfId="168" priority="411" operator="equal">
      <formula>"PENDING TERM"</formula>
    </cfRule>
    <cfRule type="cellIs" dxfId="167" priority="410" operator="equal">
      <formula>"LOA"</formula>
    </cfRule>
  </conditionalFormatting>
  <conditionalFormatting sqref="I138">
    <cfRule type="duplicateValues" dxfId="166" priority="422"/>
    <cfRule type="duplicateValues" dxfId="165" priority="421"/>
    <cfRule type="duplicateValues" dxfId="164" priority="419"/>
    <cfRule type="duplicateValues" dxfId="163" priority="417"/>
  </conditionalFormatting>
  <conditionalFormatting sqref="D144:G144">
    <cfRule type="cellIs" dxfId="162" priority="447" operator="equal">
      <formula>"TRANSFER"</formula>
    </cfRule>
    <cfRule type="cellIs" dxfId="161" priority="446" operator="equal">
      <formula>"TERM"</formula>
    </cfRule>
    <cfRule type="cellIs" dxfId="160" priority="445" operator="equal">
      <formula>"REINSTATEMENT"</formula>
    </cfRule>
    <cfRule type="cellIs" dxfId="159" priority="444" operator="equal">
      <formula>"PROMOTED"</formula>
    </cfRule>
    <cfRule type="cellIs" dxfId="158" priority="443" operator="equal">
      <formula>"PENDING TERM"</formula>
    </cfRule>
    <cfRule type="cellIs" dxfId="157" priority="442" operator="equal">
      <formula>"LOA"</formula>
    </cfRule>
  </conditionalFormatting>
  <conditionalFormatting sqref="H144">
    <cfRule type="duplicateValues" dxfId="156" priority="439"/>
    <cfRule type="duplicateValues" dxfId="155" priority="437"/>
    <cfRule type="duplicateValues" dxfId="154" priority="435"/>
  </conditionalFormatting>
  <conditionalFormatting sqref="H144:I144">
    <cfRule type="cellIs" dxfId="153" priority="434" operator="equal">
      <formula>"TRANSFER"</formula>
    </cfRule>
    <cfRule type="cellIs" dxfId="152" priority="433" operator="equal">
      <formula>"TERM"</formula>
    </cfRule>
    <cfRule type="cellIs" dxfId="151" priority="432" operator="equal">
      <formula>"REINSTATEMENT"</formula>
    </cfRule>
    <cfRule type="cellIs" dxfId="150" priority="431" operator="equal">
      <formula>"PROMOTED"</formula>
    </cfRule>
    <cfRule type="cellIs" dxfId="149" priority="430" operator="equal">
      <formula>"PENDING TERM"</formula>
    </cfRule>
    <cfRule type="cellIs" dxfId="148" priority="429" operator="equal">
      <formula>"LOA"</formula>
    </cfRule>
  </conditionalFormatting>
  <conditionalFormatting sqref="I144">
    <cfRule type="duplicateValues" dxfId="147" priority="441"/>
    <cfRule type="duplicateValues" dxfId="146" priority="440"/>
    <cfRule type="duplicateValues" dxfId="145" priority="438"/>
    <cfRule type="duplicateValues" dxfId="144" priority="436"/>
  </conditionalFormatting>
  <conditionalFormatting sqref="D145:G145">
    <cfRule type="cellIs" dxfId="143" priority="285" operator="equal">
      <formula>"TRANSFER"</formula>
    </cfRule>
    <cfRule type="cellIs" dxfId="142" priority="284" operator="equal">
      <formula>"TERM"</formula>
    </cfRule>
    <cfRule type="cellIs" dxfId="141" priority="283" operator="equal">
      <formula>"REINSTATEMENT"</formula>
    </cfRule>
    <cfRule type="cellIs" dxfId="140" priority="282" operator="equal">
      <formula>"PROMOTED"</formula>
    </cfRule>
    <cfRule type="cellIs" dxfId="139" priority="281" operator="equal">
      <formula>"PENDING TERM"</formula>
    </cfRule>
    <cfRule type="cellIs" dxfId="138" priority="280" operator="equal">
      <formula>"LOA"</formula>
    </cfRule>
  </conditionalFormatting>
  <conditionalFormatting sqref="H145">
    <cfRule type="duplicateValues" dxfId="137" priority="277"/>
  </conditionalFormatting>
  <conditionalFormatting sqref="H145:I145">
    <cfRule type="cellIs" dxfId="136" priority="276" operator="equal">
      <formula>"TRANSFER"</formula>
    </cfRule>
    <cfRule type="cellIs" dxfId="135" priority="275" operator="equal">
      <formula>"TERM"</formula>
    </cfRule>
    <cfRule type="cellIs" dxfId="134" priority="274" operator="equal">
      <formula>"REINSTATEMENT"</formula>
    </cfRule>
    <cfRule type="cellIs" dxfId="133" priority="273" operator="equal">
      <formula>"PROMOTED"</formula>
    </cfRule>
    <cfRule type="cellIs" dxfId="132" priority="272" operator="equal">
      <formula>"PENDING TERM"</formula>
    </cfRule>
    <cfRule type="cellIs" dxfId="131" priority="271" operator="equal">
      <formula>"LOA"</formula>
    </cfRule>
  </conditionalFormatting>
  <conditionalFormatting sqref="I145">
    <cfRule type="duplicateValues" dxfId="130" priority="279"/>
    <cfRule type="duplicateValues" dxfId="129" priority="278"/>
  </conditionalFormatting>
  <conditionalFormatting sqref="D146">
    <cfRule type="cellIs" dxfId="128" priority="184" operator="equal">
      <formula>"TRANSFER"</formula>
    </cfRule>
    <cfRule type="cellIs" dxfId="127" priority="183" operator="equal">
      <formula>"TERM"</formula>
    </cfRule>
    <cfRule type="cellIs" dxfId="126" priority="182" operator="equal">
      <formula>"REINSTATEMENT"</formula>
    </cfRule>
    <cfRule type="cellIs" dxfId="125" priority="181" operator="equal">
      <formula>"PROMOTED"</formula>
    </cfRule>
    <cfRule type="cellIs" dxfId="124" priority="180" operator="equal">
      <formula>"PENDING TERM"</formula>
    </cfRule>
    <cfRule type="cellIs" dxfId="123" priority="179" operator="equal">
      <formula>"LOA"</formula>
    </cfRule>
  </conditionalFormatting>
  <conditionalFormatting sqref="H146">
    <cfRule type="duplicateValues" dxfId="122" priority="187"/>
    <cfRule type="duplicateValues" dxfId="121" priority="185"/>
  </conditionalFormatting>
  <conditionalFormatting sqref="I146">
    <cfRule type="duplicateValues" dxfId="120" priority="189"/>
    <cfRule type="duplicateValues" dxfId="119" priority="188"/>
    <cfRule type="duplicateValues" dxfId="118" priority="186"/>
  </conditionalFormatting>
  <conditionalFormatting sqref="D147:G147">
    <cfRule type="cellIs" dxfId="117" priority="70" operator="equal">
      <formula>"TRANSFER"</formula>
    </cfRule>
    <cfRule type="cellIs" dxfId="116" priority="69" operator="equal">
      <formula>"TERM"</formula>
    </cfRule>
    <cfRule type="cellIs" dxfId="115" priority="68" operator="equal">
      <formula>"REINSTATEMENT"</formula>
    </cfRule>
    <cfRule type="cellIs" dxfId="114" priority="67" operator="equal">
      <formula>"PROMOTED"</formula>
    </cfRule>
    <cfRule type="cellIs" dxfId="113" priority="66" operator="equal">
      <formula>"PENDING TERM"</formula>
    </cfRule>
    <cfRule type="cellIs" dxfId="112" priority="65" operator="equal">
      <formula>"LOA"</formula>
    </cfRule>
  </conditionalFormatting>
  <conditionalFormatting sqref="H147">
    <cfRule type="duplicateValues" dxfId="111" priority="62"/>
  </conditionalFormatting>
  <conditionalFormatting sqref="H147:I147">
    <cfRule type="cellIs" dxfId="110" priority="61" operator="equal">
      <formula>"TRANSFER"</formula>
    </cfRule>
    <cfRule type="cellIs" dxfId="109" priority="60" operator="equal">
      <formula>"TERM"</formula>
    </cfRule>
    <cfRule type="cellIs" dxfId="108" priority="59" operator="equal">
      <formula>"REINSTATEMENT"</formula>
    </cfRule>
    <cfRule type="cellIs" dxfId="107" priority="58" operator="equal">
      <formula>"PROMOTED"</formula>
    </cfRule>
    <cfRule type="cellIs" dxfId="106" priority="57" operator="equal">
      <formula>"PENDING TERM"</formula>
    </cfRule>
    <cfRule type="cellIs" dxfId="105" priority="56" operator="equal">
      <formula>"LOA"</formula>
    </cfRule>
  </conditionalFormatting>
  <conditionalFormatting sqref="I147">
    <cfRule type="duplicateValues" dxfId="104" priority="64"/>
    <cfRule type="duplicateValues" dxfId="103" priority="63"/>
  </conditionalFormatting>
  <conditionalFormatting sqref="D150">
    <cfRule type="cellIs" dxfId="102" priority="173" operator="equal">
      <formula>"TRANSFER"</formula>
    </cfRule>
    <cfRule type="cellIs" dxfId="101" priority="172" operator="equal">
      <formula>"TERM"</formula>
    </cfRule>
    <cfRule type="cellIs" dxfId="100" priority="171" operator="equal">
      <formula>"REINSTATEMENT"</formula>
    </cfRule>
    <cfRule type="cellIs" dxfId="99" priority="170" operator="equal">
      <formula>"PROMOTED"</formula>
    </cfRule>
    <cfRule type="cellIs" dxfId="98" priority="169" operator="equal">
      <formula>"PENDING TERM"</formula>
    </cfRule>
    <cfRule type="cellIs" dxfId="97" priority="168" operator="equal">
      <formula>"LOA"</formula>
    </cfRule>
  </conditionalFormatting>
  <conditionalFormatting sqref="H150">
    <cfRule type="duplicateValues" dxfId="96" priority="176"/>
    <cfRule type="duplicateValues" dxfId="95" priority="174"/>
  </conditionalFormatting>
  <conditionalFormatting sqref="I150">
    <cfRule type="duplicateValues" dxfId="94" priority="178"/>
    <cfRule type="duplicateValues" dxfId="93" priority="177"/>
    <cfRule type="duplicateValues" dxfId="92" priority="175"/>
  </conditionalFormatting>
  <conditionalFormatting sqref="D151">
    <cfRule type="cellIs" dxfId="91" priority="124" operator="equal">
      <formula>"TRANSFER"</formula>
    </cfRule>
    <cfRule type="cellIs" dxfId="90" priority="123" operator="equal">
      <formula>"TERM"</formula>
    </cfRule>
    <cfRule type="cellIs" dxfId="89" priority="122" operator="equal">
      <formula>"REINSTATEMENT"</formula>
    </cfRule>
    <cfRule type="cellIs" dxfId="88" priority="121" operator="equal">
      <formula>"PROMOTED"</formula>
    </cfRule>
    <cfRule type="cellIs" dxfId="87" priority="120" operator="equal">
      <formula>"PENDING TERM"</formula>
    </cfRule>
    <cfRule type="cellIs" dxfId="86" priority="119" operator="equal">
      <formula>"LOA"</formula>
    </cfRule>
  </conditionalFormatting>
  <conditionalFormatting sqref="H151">
    <cfRule type="duplicateValues" dxfId="85" priority="127"/>
    <cfRule type="duplicateValues" dxfId="84" priority="125"/>
  </conditionalFormatting>
  <conditionalFormatting sqref="I151">
    <cfRule type="duplicateValues" dxfId="83" priority="129"/>
    <cfRule type="duplicateValues" dxfId="82" priority="128"/>
    <cfRule type="duplicateValues" dxfId="81" priority="126"/>
  </conditionalFormatting>
  <conditionalFormatting sqref="D153:G153">
    <cfRule type="cellIs" dxfId="80" priority="300" operator="equal">
      <formula>"TRANSFER"</formula>
    </cfRule>
    <cfRule type="cellIs" dxfId="79" priority="299" operator="equal">
      <formula>"TERM"</formula>
    </cfRule>
    <cfRule type="cellIs" dxfId="78" priority="298" operator="equal">
      <formula>"REINSTATEMENT"</formula>
    </cfRule>
    <cfRule type="cellIs" dxfId="77" priority="297" operator="equal">
      <formula>"PROMOTED"</formula>
    </cfRule>
    <cfRule type="cellIs" dxfId="76" priority="296" operator="equal">
      <formula>"PENDING TERM"</formula>
    </cfRule>
    <cfRule type="cellIs" dxfId="75" priority="295" operator="equal">
      <formula>"LOA"</formula>
    </cfRule>
  </conditionalFormatting>
  <conditionalFormatting sqref="H153">
    <cfRule type="duplicateValues" dxfId="74" priority="292"/>
  </conditionalFormatting>
  <conditionalFormatting sqref="H153:I153">
    <cfRule type="cellIs" dxfId="73" priority="291" operator="equal">
      <formula>"TRANSFER"</formula>
    </cfRule>
    <cfRule type="cellIs" dxfId="72" priority="290" operator="equal">
      <formula>"TERM"</formula>
    </cfRule>
    <cfRule type="cellIs" dxfId="71" priority="289" operator="equal">
      <formula>"REINSTATEMENT"</formula>
    </cfRule>
    <cfRule type="cellIs" dxfId="70" priority="288" operator="equal">
      <formula>"PROMOTED"</formula>
    </cfRule>
    <cfRule type="cellIs" dxfId="69" priority="287" operator="equal">
      <formula>"PENDING TERM"</formula>
    </cfRule>
    <cfRule type="cellIs" dxfId="68" priority="286" operator="equal">
      <formula>"LOA"</formula>
    </cfRule>
  </conditionalFormatting>
  <conditionalFormatting sqref="I153">
    <cfRule type="duplicateValues" dxfId="67" priority="294"/>
    <cfRule type="duplicateValues" dxfId="66" priority="293"/>
  </conditionalFormatting>
  <conditionalFormatting sqref="L3:L153">
    <cfRule type="cellIs" dxfId="65" priority="1450" operator="equal">
      <formula>"Pending Term"</formula>
    </cfRule>
    <cfRule type="cellIs" dxfId="64" priority="1451" operator="equal">
      <formula>"Approved Off"</formula>
    </cfRule>
    <cfRule type="cellIs" dxfId="63" priority="1452" operator="equal">
      <formula>"FER"</formula>
    </cfRule>
    <cfRule type="cellIs" dxfId="62" priority="1453" operator="equal">
      <formula>"LOA"</formula>
    </cfRule>
    <cfRule type="cellIs" dxfId="61" priority="1454" operator="equal">
      <formula>"OFF"</formula>
    </cfRule>
    <cfRule type="cellIs" dxfId="60" priority="1455" operator="equal">
      <formula>"Study Day"</formula>
    </cfRule>
    <cfRule type="cellIs" dxfId="59" priority="1456" operator="equal">
      <formula>"SUS"</formula>
    </cfRule>
    <cfRule type="cellIs" dxfId="58" priority="1457" operator="equal">
      <formula>"VAC"</formula>
    </cfRule>
  </conditionalFormatting>
  <conditionalFormatting sqref="D29:I29">
    <cfRule type="cellIs" dxfId="57" priority="30" operator="equal">
      <formula>"LOA"</formula>
    </cfRule>
    <cfRule type="cellIs" dxfId="56" priority="31" operator="equal">
      <formula>"PENDING TERM"</formula>
    </cfRule>
    <cfRule type="cellIs" dxfId="55" priority="32" operator="equal">
      <formula>"PROMOTED"</formula>
    </cfRule>
    <cfRule type="cellIs" dxfId="54" priority="33" operator="equal">
      <formula>"REINSTATEMENT"</formula>
    </cfRule>
    <cfRule type="cellIs" dxfId="53" priority="34" operator="equal">
      <formula>"TERM"</formula>
    </cfRule>
    <cfRule type="cellIs" dxfId="52" priority="35" operator="equal">
      <formula>"TRANSFER"</formula>
    </cfRule>
  </conditionalFormatting>
  <conditionalFormatting sqref="H29">
    <cfRule type="duplicateValues" dxfId="51" priority="36"/>
  </conditionalFormatting>
  <conditionalFormatting sqref="I29">
    <cfRule type="duplicateValues" dxfId="50" priority="37"/>
  </conditionalFormatting>
  <conditionalFormatting sqref="H29">
    <cfRule type="duplicateValues" dxfId="49" priority="38"/>
  </conditionalFormatting>
  <conditionalFormatting sqref="I29">
    <cfRule type="duplicateValues" dxfId="48" priority="39"/>
  </conditionalFormatting>
  <conditionalFormatting sqref="I29">
    <cfRule type="duplicateValues" dxfId="47" priority="40"/>
  </conditionalFormatting>
  <conditionalFormatting sqref="D39:I39">
    <cfRule type="cellIs" dxfId="46" priority="19" operator="equal">
      <formula>"LOA"</formula>
    </cfRule>
    <cfRule type="cellIs" dxfId="45" priority="20" operator="equal">
      <formula>"PENDING TERM"</formula>
    </cfRule>
    <cfRule type="cellIs" dxfId="44" priority="21" operator="equal">
      <formula>"PROMOTED"</formula>
    </cfRule>
    <cfRule type="cellIs" dxfId="43" priority="22" operator="equal">
      <formula>"REINSTATEMENT"</formula>
    </cfRule>
    <cfRule type="cellIs" dxfId="42" priority="23" operator="equal">
      <formula>"TERM"</formula>
    </cfRule>
    <cfRule type="cellIs" dxfId="41" priority="24" operator="equal">
      <formula>"TRANSFER"</formula>
    </cfRule>
  </conditionalFormatting>
  <conditionalFormatting sqref="H39">
    <cfRule type="duplicateValues" dxfId="40" priority="25"/>
  </conditionalFormatting>
  <conditionalFormatting sqref="I39">
    <cfRule type="duplicateValues" dxfId="39" priority="26"/>
  </conditionalFormatting>
  <conditionalFormatting sqref="H39">
    <cfRule type="duplicateValues" dxfId="38" priority="27"/>
  </conditionalFormatting>
  <conditionalFormatting sqref="I39">
    <cfRule type="duplicateValues" dxfId="37" priority="28"/>
  </conditionalFormatting>
  <conditionalFormatting sqref="I39">
    <cfRule type="duplicateValues" dxfId="36" priority="29"/>
  </conditionalFormatting>
  <conditionalFormatting sqref="D30:I30">
    <cfRule type="cellIs" dxfId="35" priority="10" operator="equal">
      <formula>"LOA"</formula>
    </cfRule>
    <cfRule type="cellIs" dxfId="34" priority="11" operator="equal">
      <formula>"PENDING TERM"</formula>
    </cfRule>
    <cfRule type="cellIs" dxfId="33" priority="12" operator="equal">
      <formula>"PROMOTED"</formula>
    </cfRule>
    <cfRule type="cellIs" dxfId="32" priority="13" operator="equal">
      <formula>"REINSTATEMENT"</formula>
    </cfRule>
    <cfRule type="cellIs" dxfId="31" priority="14" operator="equal">
      <formula>"TERM"</formula>
    </cfRule>
    <cfRule type="cellIs" dxfId="30" priority="15" operator="equal">
      <formula>"TRANSFER"</formula>
    </cfRule>
  </conditionalFormatting>
  <conditionalFormatting sqref="H30">
    <cfRule type="duplicateValues" dxfId="23" priority="16"/>
  </conditionalFormatting>
  <conditionalFormatting sqref="I30">
    <cfRule type="duplicateValues" dxfId="21" priority="17"/>
  </conditionalFormatting>
  <conditionalFormatting sqref="I30">
    <cfRule type="duplicateValues" dxfId="19" priority="18"/>
  </conditionalFormatting>
  <conditionalFormatting sqref="D41:I41">
    <cfRule type="cellIs" dxfId="17" priority="1" operator="equal">
      <formula>"LOA"</formula>
    </cfRule>
    <cfRule type="cellIs" dxfId="16" priority="2" operator="equal">
      <formula>"PENDING TERM"</formula>
    </cfRule>
    <cfRule type="cellIs" dxfId="15" priority="3" operator="equal">
      <formula>"PROMOTED"</formula>
    </cfRule>
    <cfRule type="cellIs" dxfId="14" priority="4" operator="equal">
      <formula>"REINSTATEMENT"</formula>
    </cfRule>
    <cfRule type="cellIs" dxfId="13" priority="5" operator="equal">
      <formula>"TERM"</formula>
    </cfRule>
    <cfRule type="cellIs" dxfId="12" priority="6" operator="equal">
      <formula>"TRANSFER"</formula>
    </cfRule>
  </conditionalFormatting>
  <conditionalFormatting sqref="H41">
    <cfRule type="duplicateValues" dxfId="5" priority="7"/>
  </conditionalFormatting>
  <conditionalFormatting sqref="I41">
    <cfRule type="duplicateValues" dxfId="3" priority="8"/>
  </conditionalFormatting>
  <conditionalFormatting sqref="I41">
    <cfRule type="duplicateValues" dxfId="1" priority="9"/>
  </conditionalFormatting>
  <pageMargins left="0.69930555555555596" right="0.69930555555555596" top="0.75" bottom="0.75" header="0.51041666666666696" footer="0.51041666666666696"/>
  <pageSetup firstPageNumber="0" orientation="portrait" useFirstPageNumber="1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Summary</vt:lpstr>
      <vt:lpstr>Horas Adicionales</vt:lpstr>
    </vt:vector>
  </TitlesOfParts>
  <Company>Teleperformance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Zelarayan</dc:creator>
  <cp:lastModifiedBy>Juan Arias</cp:lastModifiedBy>
  <cp:revision>1</cp:revision>
  <dcterms:created xsi:type="dcterms:W3CDTF">2013-03-26T17:23:00Z</dcterms:created>
  <dcterms:modified xsi:type="dcterms:W3CDTF">2020-08-25T23:02:38Z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pany">
    <vt:lpwstr>Teleperformance</vt:lpwstr>
  </property>
  <property fmtid="{D5CDD505-2E9C-101B-9397-08002B2CF9AE}" pid="3" name="KSOProductBuildVer">
    <vt:lpwstr>3082-10.2.0.7646</vt:lpwstr>
  </property>
</Properties>
</file>